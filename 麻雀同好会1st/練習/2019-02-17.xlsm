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練習\"/>
    </mc:Choice>
  </mc:AlternateContent>
  <xr:revisionPtr revIDLastSave="0" documentId="13_ncr:1_{7F115117-F4A2-4BA7-8772-748B7BE4D2CB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T11" i="16"/>
  <c r="W11" i="16" s="1"/>
  <c r="O11" i="16"/>
  <c r="V11" i="16" s="1"/>
  <c r="J11" i="16"/>
  <c r="U11" i="16" s="1"/>
  <c r="D11" i="16"/>
  <c r="C11" i="16"/>
  <c r="B11" i="16"/>
  <c r="A11" i="16"/>
  <c r="T10" i="16"/>
  <c r="W10" i="16" s="1"/>
  <c r="O10" i="16"/>
  <c r="V10" i="16" s="1"/>
  <c r="J10" i="16"/>
  <c r="U10" i="16" s="1"/>
  <c r="D10" i="16"/>
  <c r="C10" i="16"/>
  <c r="B10" i="16"/>
  <c r="A10" i="16" s="1"/>
  <c r="T9" i="16"/>
  <c r="W9" i="16" s="1"/>
  <c r="O9" i="16"/>
  <c r="V9" i="16" s="1"/>
  <c r="J9" i="16"/>
  <c r="U9" i="16" s="1"/>
  <c r="D9" i="16"/>
  <c r="C9" i="16"/>
  <c r="B9" i="16"/>
  <c r="A9" i="16" s="1"/>
  <c r="T8" i="16"/>
  <c r="W8" i="16" s="1"/>
  <c r="O8" i="16"/>
  <c r="V8" i="16" s="1"/>
  <c r="J8" i="16"/>
  <c r="U8" i="16" s="1"/>
  <c r="D8" i="16"/>
  <c r="C8" i="16"/>
  <c r="B8" i="16"/>
  <c r="A8" i="16"/>
  <c r="D7" i="16"/>
  <c r="C7" i="16"/>
  <c r="D6" i="16"/>
  <c r="C6" i="16"/>
  <c r="O5" i="16"/>
  <c r="O6" i="16" s="1"/>
  <c r="J5" i="16"/>
  <c r="U5" i="16" s="1"/>
  <c r="D5" i="16"/>
  <c r="C5" i="16"/>
  <c r="B5" i="16"/>
  <c r="B6" i="16" s="1"/>
  <c r="A5" i="16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V5" i="16" l="1"/>
  <c r="B7" i="16"/>
  <c r="A7" i="16" s="1"/>
  <c r="V6" i="16"/>
  <c r="O7" i="16"/>
  <c r="V7" i="16" s="1"/>
  <c r="T5" i="16"/>
  <c r="A6" i="16"/>
  <c r="J6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U6" i="16" l="1"/>
  <c r="J7" i="16"/>
  <c r="U7" i="16" s="1"/>
  <c r="W5" i="16"/>
  <c r="T6" i="16"/>
  <c r="W3" i="1"/>
  <c r="V3" i="1"/>
  <c r="U3" i="1"/>
  <c r="W6" i="16" l="1"/>
  <c r="T7" i="16"/>
  <c r="W7" i="16" s="1"/>
  <c r="B5" i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B11" i="1"/>
  <c r="A11" i="1" s="1"/>
  <c r="A10" i="1"/>
  <c r="O8" i="1"/>
  <c r="V8" i="1" s="1"/>
  <c r="T6" i="1"/>
  <c r="B12" i="1"/>
  <c r="A12" i="1" s="1"/>
  <c r="J8" i="1" l="1"/>
  <c r="U8" i="1" s="1"/>
  <c r="T7" i="1"/>
  <c r="W7" i="1" s="1"/>
  <c r="W6" i="1"/>
  <c r="O9" i="1"/>
  <c r="V9" i="1" s="1"/>
  <c r="B13" i="1"/>
  <c r="A13" i="1" s="1"/>
  <c r="T8" i="1" l="1"/>
  <c r="W8" i="1" s="1"/>
  <c r="J9" i="1"/>
  <c r="U9" i="1" s="1"/>
  <c r="J11" i="1"/>
  <c r="U11" i="1" s="1"/>
  <c r="O10" i="1"/>
  <c r="V10" i="1" s="1"/>
  <c r="B14" i="1"/>
  <c r="A14" i="1" s="1"/>
  <c r="T9" i="1" l="1"/>
  <c r="W9" i="1" s="1"/>
  <c r="J10" i="1"/>
  <c r="U10" i="1" s="1"/>
  <c r="O11" i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<sst xmlns="http://schemas.openxmlformats.org/spreadsheetml/2006/main" count="600" uniqueCount="150">
  <si>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</si>
  <si>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</si>
  <si>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</si>
  <si>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</si>
  <si>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</si>
  <si>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</si>
  <si>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</si>
  <si>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</si>
  <si>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</si>
  <si>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</si>
  <si>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</si>
  <si>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</si>
  <si>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</si>
  <si>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</si>
  <si>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</si>
  <si>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</si>
  <si>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</si>
  <si>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</si>
  <si>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</si>
  <si>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</si>
  <si>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</si>
  <si>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</si>
  <si>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</si>
  <si>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</si>
  <si>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</si>
  <si>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</si>
  <si>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</si>
  <si>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</si>
  <si>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</si>
  <si>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</si>
  <si>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</si>
  <si>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</si>
  <si>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</si>
  <si>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</si>
  <si>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</si>
  <si>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</si>
  <si>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</si>
  <si>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</si>
  <si>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</si>
  <si>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</si>
  <si>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</si>
  <si>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</si>
  <si>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</si>
  <si>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</si>
  <si>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</si>
  <si>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</si>
  <si>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</si>
  <si>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</si>
  <si>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</si>
  <si>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</si>
  <si>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</si>
  <si>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</si>
  <si>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</si>
  <si>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</si>
  <si>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</si>
  <si>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</si>
  <si>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</si>
  <si>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</si>
  <si>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</si>
  <si>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</si>
  <si>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</si>
  <si>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</si>
  <si>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</si>
  <si>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</si>
  <si>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</si>
  <si>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</si>
  <si>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</si>
  <si>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</si>
  <si>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</si>
  <si>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</si>
  <si>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</si>
  <si>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</si>
  <si>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</si>
  <si>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</si>
  <si>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</si>
  <si>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</si>
  <si>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</si>
  <si>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</si>
  <si>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</si>
  <si>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</si>
  <si>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</si>
  <si>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</si>
  <si>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</si>
  <si>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</si>
  <si>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</si>
  <si>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</si>
  <si>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</si>
  <si>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</si>
  <si>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</si>
  <si>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</si>
  <si>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</si>
  <si>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</si>
  <si>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</si>
  <si>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</si>
  <si>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</si>
  <si>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</si>
  <si>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</si>
  <si>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</si>
  <si>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</si>
  <si>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</si>
  <si>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</si>
  <si>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</si>
  <si>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</si>
  <si>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</si>
  <si>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</si>
  <si>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</si>
  <si>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</si>
  <si>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</si>
  <si>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</si>
  <si>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</si>
  <si>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</si>
  <si>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</si>
  <si>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</si>
  <si>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</si>
  <si>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</si>
  <si>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</si>
  <si>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</si>
  <si>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</si>
  <si>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</si>
  <si>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</si>
  <si>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</si>
  <si>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</si>
  <si>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</si>
  <si>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</si>
  <si>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</si>
  <si>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</si>
  <si>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</si>
  <si>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</si>
  <si>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</si>
  <si>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</si>
  <si>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</si>
  <si>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</si>
  <si>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</si>
  <si>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</si>
  <si>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</si>
  <si>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</si>
  <si>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</si>
  <si>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よしのぶ</t>
  </si>
  <si>
    <t>よしのぶ</t>
    <phoneticPr fontId="1"/>
  </si>
  <si>
    <t>れんたろう</t>
    <phoneticPr fontId="1"/>
  </si>
  <si>
    <t>T</t>
  </si>
  <si>
    <t>流局</t>
    <phoneticPr fontId="1"/>
  </si>
  <si>
    <t>ロン</t>
  </si>
  <si>
    <t>放銃</t>
  </si>
  <si>
    <t>01</t>
  </si>
  <si>
    <t>*</t>
  </si>
  <si>
    <t>02</t>
  </si>
  <si>
    <t>れんたろう</t>
  </si>
  <si>
    <t>ツモ</t>
  </si>
  <si>
    <t>ツモ支払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</si>
</sst>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3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139</v>
      </c>
      <c r="L1" s="74"/>
      <c r="M1" s="74"/>
      <c r="N1" s="83"/>
      <c r="O1" s="75"/>
      <c r="P1" s="72" t="s">
        <v>138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よしのぶ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れんたろう</v>
      </c>
      <c r="W2" s="16" t="str">
        <f>$P$1</f>
        <v>よしのぶ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141</v>
      </c>
      <c r="G4" s="9">
        <v>0</v>
      </c>
      <c r="H4" s="9"/>
      <c r="I4" s="55"/>
      <c r="J4" s="21">
        <f>IF(COUNTA($F4,$K4,$P4)&gt;0,J3+SUM(G4:I4),"")</f>
        <v>35000</v>
      </c>
      <c r="K4" s="8" t="s">
        <v>141</v>
      </c>
      <c r="L4" s="9">
        <v>0</v>
      </c>
      <c r="M4" s="9"/>
      <c r="N4" s="55"/>
      <c r="O4" s="21">
        <f>IF(COUNTA($F4,$K4,$P4)&gt;0,O3+SUM(L4:N4),"")</f>
        <v>35000</v>
      </c>
      <c r="P4" s="8" t="s">
        <v>141</v>
      </c>
      <c r="Q4" s="9">
        <v>0</v>
      </c>
      <c r="R4" s="9">
        <v>-1000</v>
      </c>
      <c r="S4" s="55"/>
      <c r="T4" s="21">
        <f>IF(COUNTA($F4,$K4,$P4)&gt;0,T3+SUM(Q4:S4),"")</f>
        <v>34000</v>
      </c>
      <c r="U4" s="60">
        <f t="shared" ref="U4:U30" si="0">IF($J4="","",ROUND(($J4-$J$3)/1000,1))</f>
        <v>0</v>
      </c>
      <c r="V4" s="61">
        <f t="shared" ref="V4:V30" si="1">IF($O4="","",ROUND(($O4-$O$3)/1000,1))</f>
        <v>0</v>
      </c>
      <c r="W4" s="62">
        <f t="shared" ref="W4:W30" si="2">IF($T4="","",ROUND(($T4-$T$3)/1000,1))</f>
        <v>-1</v>
      </c>
      <c r="Y4" s="8" t="s">
        <v>140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140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140</v>
      </c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1</v>
      </c>
      <c r="E5" s="4" t="s">
        <v>135</v>
      </c>
      <c r="F5" s="8" t="s">
        <v>142</v>
      </c>
      <c r="G5" s="9">
        <v>7700</v>
      </c>
      <c r="H5" s="9">
        <v>2000</v>
      </c>
      <c r="I5" s="55">
        <v>1000</v>
      </c>
      <c r="J5" s="21">
        <f t="shared" ref="J5:J30" si="5">IF(COUNTA($F5,$K5,$P5)&gt;0,J4+SUM(G5:I5),"")</f>
        <v>45700</v>
      </c>
      <c r="K5" s="8"/>
      <c r="L5" s="9"/>
      <c r="M5" s="9"/>
      <c r="N5" s="55"/>
      <c r="O5" s="21">
        <f t="shared" ref="O5:O30" si="6">IF(COUNTA($F5,$K5,$P5)&gt;0,O4+SUM(L5:N5),"")</f>
        <v>35000</v>
      </c>
      <c r="P5" s="8" t="s">
        <v>143</v>
      </c>
      <c r="Q5" s="9">
        <v>-7700</v>
      </c>
      <c r="R5" s="9">
        <v>-1000</v>
      </c>
      <c r="S5" s="55">
        <v>-1000</v>
      </c>
      <c r="T5" s="21">
        <f t="shared" ref="T5:T30" si="7">IF(COUNTA($F5,$K5,$P5)&gt;0,T4+SUM(Q5:S5),"")</f>
        <v>24300</v>
      </c>
      <c r="U5" s="60">
        <f t="shared" si="0"/>
        <v>10.7</v>
      </c>
      <c r="V5" s="61">
        <f t="shared" si="1"/>
        <v>0</v>
      </c>
      <c r="W5" s="62">
        <f t="shared" si="2"/>
        <v>-10.7</v>
      </c>
      <c r="Y5" s="8"/>
      <c r="Z5" s="41"/>
      <c r="AA5" s="32">
        <v>1</v>
      </c>
      <c r="AB5" s="32"/>
      <c r="AC5" s="32">
        <v>3</v>
      </c>
      <c r="AD5" s="36">
        <v>40</v>
      </c>
      <c r="AE5" s="47" t="s">
        <v>144</v>
      </c>
      <c r="AF5" s="48" t="s">
        <v>82</v>
      </c>
      <c r="AG5" s="48" t="s">
        <v>85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1</v>
      </c>
      <c r="C6" s="18">
        <f t="shared" ref="C6:C30" si="9">IF($E6="","",IF($F5="チョンボ",C5,IF(OR($E5=$E6,$F5="流局"),C5+1,0)))</f>
        <v>2</v>
      </c>
      <c r="D6" s="18">
        <f t="shared" si="4"/>
        <v>0</v>
      </c>
      <c r="E6" s="4" t="s">
        <v>135</v>
      </c>
      <c r="F6" s="8"/>
      <c r="G6" s="9"/>
      <c r="H6" s="9">
        <v>-1000</v>
      </c>
      <c r="I6" s="55"/>
      <c r="J6" s="21">
        <f t="shared" si="5"/>
        <v>44700</v>
      </c>
      <c r="K6" s="8" t="s">
        <v>142</v>
      </c>
      <c r="L6" s="9">
        <v>16000</v>
      </c>
      <c r="M6" s="9">
        <v>1000</v>
      </c>
      <c r="N6" s="55">
        <v>2000</v>
      </c>
      <c r="O6" s="21">
        <f t="shared" si="6"/>
        <v>54000</v>
      </c>
      <c r="P6" s="8" t="s">
        <v>143</v>
      </c>
      <c r="Q6" s="9">
        <v>-16000</v>
      </c>
      <c r="R6" s="9"/>
      <c r="S6" s="55">
        <v>-2000</v>
      </c>
      <c r="T6" s="21">
        <f t="shared" si="7"/>
        <v>6300</v>
      </c>
      <c r="U6" s="60">
        <f t="shared" si="0"/>
        <v>9.6999999999999993</v>
      </c>
      <c r="V6" s="61">
        <f t="shared" si="1"/>
        <v>19</v>
      </c>
      <c r="W6" s="62">
        <f t="shared" si="2"/>
        <v>-28.7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8</v>
      </c>
      <c r="AY6" s="36" t="s">
        <v>145</v>
      </c>
      <c r="AZ6" s="47" t="s">
        <v>144</v>
      </c>
      <c r="BA6" s="48" t="s">
        <v>146</v>
      </c>
      <c r="BB6" s="48" t="s">
        <v>102</v>
      </c>
      <c r="BC6" s="48" t="s">
        <v>82</v>
      </c>
      <c r="BD6" s="48" t="s">
        <v>82</v>
      </c>
      <c r="BE6" s="48" t="s">
        <v>81</v>
      </c>
      <c r="BF6" s="48" t="s">
        <v>81</v>
      </c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8"/>
        <v>2</v>
      </c>
      <c r="C7" s="18">
        <f t="shared" si="9"/>
        <v>0</v>
      </c>
      <c r="D7" s="18">
        <f t="shared" si="4"/>
        <v>0</v>
      </c>
      <c r="E7" s="4" t="s">
        <v>147</v>
      </c>
      <c r="F7" s="8"/>
      <c r="G7" s="9"/>
      <c r="H7" s="9"/>
      <c r="I7" s="55"/>
      <c r="J7" s="21">
        <f t="shared" si="5"/>
        <v>44700</v>
      </c>
      <c r="K7" s="8" t="s">
        <v>142</v>
      </c>
      <c r="L7" s="9">
        <v>48000</v>
      </c>
      <c r="M7" s="9"/>
      <c r="N7" s="55">
        <v>0</v>
      </c>
      <c r="O7" s="21">
        <f t="shared" si="6"/>
        <v>102000</v>
      </c>
      <c r="P7" s="8" t="s">
        <v>143</v>
      </c>
      <c r="Q7" s="9">
        <v>-48000</v>
      </c>
      <c r="R7" s="9"/>
      <c r="S7" s="55">
        <v>0</v>
      </c>
      <c r="T7" s="21">
        <f t="shared" si="7"/>
        <v>-41700</v>
      </c>
      <c r="U7" s="60">
        <f t="shared" si="0"/>
        <v>9.6999999999999993</v>
      </c>
      <c r="V7" s="61">
        <f t="shared" si="1"/>
        <v>67</v>
      </c>
      <c r="W7" s="62">
        <f t="shared" si="2"/>
        <v>-76.7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>
        <v>13</v>
      </c>
      <c r="AY7" s="36" t="s">
        <v>145</v>
      </c>
      <c r="AZ7" s="47" t="s">
        <v>108</v>
      </c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/>
      </c>
      <c r="B8" s="18" t="str">
        <f t="shared" si="8"/>
        <v/>
      </c>
      <c r="C8" s="18" t="str">
        <f t="shared" si="9"/>
        <v/>
      </c>
      <c r="D8" s="18" t="str">
        <f t="shared" si="4"/>
        <v/>
      </c>
      <c r="E8" s="4"/>
      <c r="F8" s="8"/>
      <c r="G8" s="9"/>
      <c r="H8" s="9"/>
      <c r="I8" s="55"/>
      <c r="J8" s="21" t="str">
        <f t="shared" si="5"/>
        <v/>
      </c>
      <c r="K8" s="8"/>
      <c r="L8" s="9"/>
      <c r="M8" s="9"/>
      <c r="N8" s="55"/>
      <c r="O8" s="21" t="str">
        <f t="shared" si="6"/>
        <v/>
      </c>
      <c r="P8" s="8"/>
      <c r="Q8" s="9"/>
      <c r="R8" s="9"/>
      <c r="S8" s="55"/>
      <c r="T8" s="21" t="str">
        <f t="shared" si="7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7:L30 Q7 Q11:Q30">
    <cfRule type="expression" dxfId="12" priority="8">
      <formula>IF(G4&lt;&gt;"",SUM($G4:$I4,$L4:$N4,$Q4:$S4)-$D4*1000+$D5*1000)</formula>
    </cfRule>
  </conditionalFormatting>
  <conditionalFormatting sqref="F1:G1 I1:L1 S1:T1 N1:Q1">
    <cfRule type="duplicateValues" dxfId="11" priority="7"/>
  </conditionalFormatting>
  <conditionalFormatting sqref="H1">
    <cfRule type="duplicateValues" dxfId="10" priority="6"/>
  </conditionalFormatting>
  <conditionalFormatting sqref="R1">
    <cfRule type="duplicateValues" dxfId="9" priority="5"/>
  </conditionalFormatting>
  <conditionalFormatting sqref="M1">
    <cfRule type="duplicateValues" dxfId="8" priority="4"/>
  </conditionalFormatting>
  <conditionalFormatting sqref="Q8:Q10">
    <cfRule type="expression" dxfId="2" priority="3">
      <formula>IF(Q8&lt;&gt;"",SUM($G8:$I8,$L8:$N8,$Q8:$S8)-$D8*1000+$D9*1000)</formula>
    </cfRule>
  </conditionalFormatting>
  <conditionalFormatting sqref="L4:L6">
    <cfRule type="expression" dxfId="1" priority="2">
      <formula>IF(L4&lt;&gt;"",SUM($G4:$I4,$L4:$N4,$Q4:$S4)-$D4*1000+$D5*1000)</formula>
    </cfRule>
  </conditionalFormatting>
  <conditionalFormatting sqref="Q4:Q6">
    <cfRule type="expression" dxfId="0" priority="1">
      <formula>IF(Q4&lt;&gt;"",SUM($G4:$I4,$L4:$N4,$Q4:$S4)-$D4*1000+$D5*1000)</formula>
    </cfRule>
  </conditionalFormatting>
  <dataValidations count="2">
    <dataValidation type="list" showInputMessage="1" showErrorMessage="1" sqref="K4:K30 F4:F30 P4:P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49787-924A-4B2F-8947-94A3D93C09A8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139</v>
      </c>
      <c r="L1" s="74"/>
      <c r="M1" s="74"/>
      <c r="N1" s="83"/>
      <c r="O1" s="75"/>
      <c r="P1" s="72" t="s">
        <v>138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よしのぶ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れんたろう</v>
      </c>
      <c r="W2" s="16" t="str">
        <f>$P$1</f>
        <v>よしのぶ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147</v>
      </c>
      <c r="F4" s="8" t="s">
        <v>148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 t="s">
        <v>149</v>
      </c>
      <c r="L4" s="9">
        <v>-4500</v>
      </c>
      <c r="M4" s="9"/>
      <c r="N4" s="55">
        <v>0</v>
      </c>
      <c r="O4" s="21">
        <f>IF(COUNTA($F4,$K4,$P4)&gt;0,O3+SUM(L4:N4),"")</f>
        <v>30500</v>
      </c>
      <c r="P4" s="8" t="s">
        <v>149</v>
      </c>
      <c r="Q4" s="9">
        <v>-7500</v>
      </c>
      <c r="R4" s="9"/>
      <c r="S4" s="55">
        <v>0</v>
      </c>
      <c r="T4" s="21">
        <f>IF(COUNTA($F4,$K4,$P4)&gt;0,T3+SUM(Q4:S4),"")</f>
        <v>27500</v>
      </c>
      <c r="U4" s="60">
        <f t="shared" ref="U4:U30" si="0">IF($J4="","",ROUND(($J4-$J$3)/1000,1))</f>
        <v>12</v>
      </c>
      <c r="V4" s="61">
        <f t="shared" ref="V4:V30" si="1">IF($O4="","",ROUND(($O4-$O$3)/1000,1))</f>
        <v>-4.5</v>
      </c>
      <c r="W4" s="62">
        <f t="shared" ref="W4:W30" si="2">IF($T4="","",ROUND(($T4-$T$3)/1000,1))</f>
        <v>-7.5</v>
      </c>
      <c r="Y4" s="8"/>
      <c r="Z4" s="41"/>
      <c r="AA4" s="32">
        <v>1</v>
      </c>
      <c r="AB4" s="32"/>
      <c r="AC4" s="32">
        <v>6</v>
      </c>
      <c r="AD4" s="36" t="s">
        <v>145</v>
      </c>
      <c r="AE4" s="47" t="s">
        <v>144</v>
      </c>
      <c r="AF4" s="48" t="s">
        <v>83</v>
      </c>
      <c r="AG4" s="48" t="s">
        <v>82</v>
      </c>
      <c r="AH4" s="48" t="s">
        <v>80</v>
      </c>
      <c r="AI4" s="48" t="s">
        <v>81</v>
      </c>
      <c r="AJ4" s="48" t="s">
        <v>87</v>
      </c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137</v>
      </c>
      <c r="F5" s="8" t="s">
        <v>142</v>
      </c>
      <c r="G5" s="9">
        <v>8000</v>
      </c>
      <c r="H5" s="9">
        <v>1000</v>
      </c>
      <c r="I5" s="55">
        <v>0</v>
      </c>
      <c r="J5" s="21">
        <f t="shared" ref="J5:J30" si="5">IF(COUNTA($F5,$K5,$P5)&gt;0,J4+SUM(G5:I5),"")</f>
        <v>56000</v>
      </c>
      <c r="K5" s="8" t="s">
        <v>143</v>
      </c>
      <c r="L5" s="9">
        <v>-8000</v>
      </c>
      <c r="M5" s="9">
        <v>-1000</v>
      </c>
      <c r="N5" s="55">
        <v>0</v>
      </c>
      <c r="O5" s="21">
        <f t="shared" ref="O5:O30" si="6">IF(COUNTA($F5,$K5,$P5)&gt;0,O4+SUM(L5:N5),"")</f>
        <v>21500</v>
      </c>
      <c r="P5" s="8"/>
      <c r="Q5" s="9"/>
      <c r="R5" s="9"/>
      <c r="S5" s="55"/>
      <c r="T5" s="21">
        <f t="shared" ref="T5:T30" si="7">IF(COUNTA($F5,$K5,$P5)&gt;0,T4+SUM(Q5:S5),"")</f>
        <v>27500</v>
      </c>
      <c r="U5" s="60">
        <f t="shared" si="0"/>
        <v>21</v>
      </c>
      <c r="V5" s="61">
        <f t="shared" si="1"/>
        <v>-13.5</v>
      </c>
      <c r="W5" s="62">
        <f t="shared" si="2"/>
        <v>-7.5</v>
      </c>
      <c r="Y5" s="8"/>
      <c r="Z5" s="41"/>
      <c r="AA5" s="32"/>
      <c r="AB5" s="32"/>
      <c r="AC5" s="32">
        <v>4</v>
      </c>
      <c r="AD5" s="36">
        <v>40</v>
      </c>
      <c r="AE5" s="47" t="s">
        <v>87</v>
      </c>
      <c r="AF5" s="48" t="s">
        <v>82</v>
      </c>
      <c r="AG5" s="48" t="s">
        <v>80</v>
      </c>
      <c r="AH5" s="48" t="s">
        <v>80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135</v>
      </c>
      <c r="F6" s="8"/>
      <c r="G6" s="9"/>
      <c r="H6" s="9">
        <v>-1000</v>
      </c>
      <c r="I6" s="55"/>
      <c r="J6" s="21">
        <f t="shared" si="5"/>
        <v>55000</v>
      </c>
      <c r="K6" s="8" t="s">
        <v>143</v>
      </c>
      <c r="L6" s="9">
        <v>-16000</v>
      </c>
      <c r="M6" s="9">
        <v>-1000</v>
      </c>
      <c r="N6" s="55">
        <v>0</v>
      </c>
      <c r="O6" s="21">
        <f t="shared" si="6"/>
        <v>4500</v>
      </c>
      <c r="P6" s="8" t="s">
        <v>142</v>
      </c>
      <c r="Q6" s="9">
        <v>16000</v>
      </c>
      <c r="R6" s="9">
        <v>2000</v>
      </c>
      <c r="S6" s="55">
        <v>0</v>
      </c>
      <c r="T6" s="21">
        <f t="shared" si="7"/>
        <v>45500</v>
      </c>
      <c r="U6" s="60">
        <f t="shared" si="0"/>
        <v>20</v>
      </c>
      <c r="V6" s="61">
        <f t="shared" si="1"/>
        <v>-30.5</v>
      </c>
      <c r="W6" s="62">
        <f t="shared" si="2"/>
        <v>10.5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>
        <v>8</v>
      </c>
      <c r="BT6" s="36" t="s">
        <v>145</v>
      </c>
      <c r="BU6" s="47" t="s">
        <v>107</v>
      </c>
      <c r="BV6" s="48" t="s">
        <v>82</v>
      </c>
      <c r="BW6" s="48" t="s">
        <v>82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147</v>
      </c>
      <c r="F7" s="8" t="s">
        <v>149</v>
      </c>
      <c r="G7" s="9">
        <v>-3900</v>
      </c>
      <c r="H7" s="9">
        <v>-1000</v>
      </c>
      <c r="I7" s="55">
        <v>0</v>
      </c>
      <c r="J7" s="21">
        <f t="shared" si="5"/>
        <v>50100</v>
      </c>
      <c r="K7" s="8" t="s">
        <v>148</v>
      </c>
      <c r="L7" s="9">
        <v>7800</v>
      </c>
      <c r="M7" s="9">
        <v>1000</v>
      </c>
      <c r="N7" s="55">
        <v>0</v>
      </c>
      <c r="O7" s="21">
        <f t="shared" si="6"/>
        <v>13300</v>
      </c>
      <c r="P7" s="8" t="s">
        <v>149</v>
      </c>
      <c r="Q7" s="9">
        <v>-3900</v>
      </c>
      <c r="R7" s="9"/>
      <c r="S7" s="55">
        <v>0</v>
      </c>
      <c r="T7" s="21">
        <f t="shared" si="7"/>
        <v>41600</v>
      </c>
      <c r="U7" s="60">
        <f t="shared" si="0"/>
        <v>15.1</v>
      </c>
      <c r="V7" s="61">
        <f t="shared" si="1"/>
        <v>-21.7</v>
      </c>
      <c r="W7" s="62">
        <f t="shared" si="2"/>
        <v>6.6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4</v>
      </c>
      <c r="AY7" s="36">
        <v>20</v>
      </c>
      <c r="AZ7" s="47" t="s">
        <v>144</v>
      </c>
      <c r="BA7" s="48" t="s">
        <v>84</v>
      </c>
      <c r="BB7" s="48" t="s">
        <v>82</v>
      </c>
      <c r="BC7" s="48" t="s">
        <v>83</v>
      </c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1</v>
      </c>
      <c r="D8" s="18">
        <f t="shared" si="4"/>
        <v>0</v>
      </c>
      <c r="E8" s="4" t="s">
        <v>147</v>
      </c>
      <c r="F8" s="8" t="s">
        <v>149</v>
      </c>
      <c r="G8" s="9">
        <v>-4500</v>
      </c>
      <c r="H8" s="9">
        <v>-1000</v>
      </c>
      <c r="I8" s="55">
        <v>-500</v>
      </c>
      <c r="J8" s="21">
        <f t="shared" si="5"/>
        <v>44100</v>
      </c>
      <c r="K8" s="8" t="s">
        <v>149</v>
      </c>
      <c r="L8" s="9">
        <v>-7500</v>
      </c>
      <c r="M8" s="9"/>
      <c r="N8" s="55">
        <v>-500</v>
      </c>
      <c r="O8" s="21">
        <f t="shared" si="6"/>
        <v>5300</v>
      </c>
      <c r="P8" s="8" t="s">
        <v>148</v>
      </c>
      <c r="Q8" s="9">
        <v>12000</v>
      </c>
      <c r="R8" s="9">
        <v>1000</v>
      </c>
      <c r="S8" s="55">
        <v>1000</v>
      </c>
      <c r="T8" s="21">
        <f t="shared" si="7"/>
        <v>55600</v>
      </c>
      <c r="U8" s="60">
        <f t="shared" si="0"/>
        <v>9.1</v>
      </c>
      <c r="V8" s="61">
        <f t="shared" si="1"/>
        <v>-29.7</v>
      </c>
      <c r="W8" s="62">
        <f t="shared" si="2"/>
        <v>20.6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7</v>
      </c>
      <c r="BT8" s="36" t="s">
        <v>145</v>
      </c>
      <c r="BU8" s="47" t="s">
        <v>144</v>
      </c>
      <c r="BV8" s="48" t="s">
        <v>83</v>
      </c>
      <c r="BW8" s="48" t="s">
        <v>82</v>
      </c>
      <c r="BX8" s="48" t="s">
        <v>82</v>
      </c>
      <c r="BY8" s="48" t="s">
        <v>81</v>
      </c>
      <c r="BZ8" s="48" t="s">
        <v>81</v>
      </c>
      <c r="CA8" s="48" t="s">
        <v>81</v>
      </c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">
        <v>137</v>
      </c>
      <c r="F9" s="8" t="s">
        <v>141</v>
      </c>
      <c r="G9" s="9">
        <v>0</v>
      </c>
      <c r="H9" s="9">
        <v>-1000</v>
      </c>
      <c r="I9" s="55"/>
      <c r="J9" s="21">
        <f t="shared" si="5"/>
        <v>43100</v>
      </c>
      <c r="K9" s="8" t="s">
        <v>141</v>
      </c>
      <c r="L9" s="9">
        <v>0</v>
      </c>
      <c r="M9" s="9">
        <v>-1000</v>
      </c>
      <c r="N9" s="55"/>
      <c r="O9" s="21">
        <f t="shared" si="6"/>
        <v>4300</v>
      </c>
      <c r="P9" s="8" t="s">
        <v>141</v>
      </c>
      <c r="Q9" s="9">
        <v>0</v>
      </c>
      <c r="R9" s="9">
        <v>-1000</v>
      </c>
      <c r="S9" s="55"/>
      <c r="T9" s="21">
        <f t="shared" si="7"/>
        <v>54600</v>
      </c>
      <c r="U9" s="60">
        <f t="shared" si="0"/>
        <v>8.1</v>
      </c>
      <c r="V9" s="61">
        <f t="shared" si="1"/>
        <v>-30.7</v>
      </c>
      <c r="W9" s="62">
        <f t="shared" si="2"/>
        <v>19.600000000000001</v>
      </c>
      <c r="Y9" s="8" t="s">
        <v>140</v>
      </c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140</v>
      </c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140</v>
      </c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7" priority="5">
      <formula>IF(G4&lt;&gt;"",SUM($G4:$I4,$L4:$N4,$Q4:$S4)-$D4*1000+$D5*1000)</formula>
    </cfRule>
  </conditionalFormatting>
  <conditionalFormatting sqref="F1:G1 I1:L1 S1:T1 N1:Q1">
    <cfRule type="duplicateValues" dxfId="6" priority="4"/>
  </conditionalFormatting>
  <conditionalFormatting sqref="H1">
    <cfRule type="duplicateValues" dxfId="5" priority="3"/>
  </conditionalFormatting>
  <conditionalFormatting sqref="R1">
    <cfRule type="duplicateValues" dxfId="4" priority="2"/>
  </conditionalFormatting>
  <conditionalFormatting sqref="M1">
    <cfRule type="duplicateValues" dxfId="3" priority="1"/>
  </conditionalFormatting>
  <dataValidations count="2">
    <dataValidation type="list" allowBlank="1" showInputMessage="1" showErrorMessage="1" sqref="E4:E30" xr:uid="{260B26BA-EB0A-4C62-B268-26EFF384491E}">
      <formula1>$U$2:$W$2</formula1>
    </dataValidation>
    <dataValidation type="list" showInputMessage="1" showErrorMessage="1" sqref="K4:K30 P4:P30 F4:F30" xr:uid="{500274F2-E17C-4372-99D7-21224A1E468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2019-02-17T05:51:43Z</dcterms:modified>
</cp:coreProperties>
</file>