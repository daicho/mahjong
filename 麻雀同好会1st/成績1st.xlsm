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18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19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0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21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22.xml" ContentType="application/vnd.openxmlformats-officedocument.drawing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3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24.xml" ContentType="application/vnd.openxmlformats-officedocument.drawing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25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6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27.xml" ContentType="application/vnd.openxmlformats-officedocument.drawing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drawings/drawing28.xml" ContentType="application/vnd.openxmlformats-officedocument.drawing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9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drawings/drawing30.xml" ContentType="application/vnd.openxmlformats-officedocument.drawing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drawings/drawing31.xml" ContentType="application/vnd.openxmlformats-officedocument.drawing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1st\"/>
    </mc:Choice>
  </mc:AlternateContent>
  <xr:revisionPtr revIDLastSave="0" documentId="13_ncr:1_{0ACCDE65-3195-479D-A365-6BDE74D9104A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513" r:id="rId6"/>
    <sheet name="だいち" sheetId="6515" r:id="rId7"/>
    <sheet name="かこたろう" sheetId="6517" r:id="rId8"/>
    <sheet name="ともき" sheetId="6519" r:id="rId9"/>
    <sheet name="りくと" sheetId="6521" r:id="rId10"/>
    <sheet name="いっしー" sheetId="6523" r:id="rId11"/>
    <sheet name="がくと" sheetId="6525" r:id="rId12"/>
    <sheet name="たかの" sheetId="6527" r:id="rId13"/>
    <sheet name="ただ" sheetId="6529" r:id="rId14"/>
    <sheet name="やがさき" sheetId="6531" r:id="rId15"/>
    <sheet name="れんたろう" sheetId="6533" r:id="rId16"/>
    <sheet name="あさひ" sheetId="6535" r:id="rId17"/>
    <sheet name="まっつん" sheetId="6537" r:id="rId18"/>
    <sheet name="ぱぱ" sheetId="6539" r:id="rId19"/>
    <sheet name="ぱぱ2" sheetId="6540" state="hidden" r:id="rId20"/>
    <sheet name="まっつん2" sheetId="6538" state="hidden" r:id="rId21"/>
    <sheet name="あさひ2" sheetId="6536" state="hidden" r:id="rId22"/>
    <sheet name="れんたろう2" sheetId="6534" state="hidden" r:id="rId23"/>
    <sheet name="やがさき2" sheetId="6532" state="hidden" r:id="rId24"/>
    <sheet name="ただ2" sheetId="6530" state="hidden" r:id="rId25"/>
    <sheet name="たかの2" sheetId="6528" state="hidden" r:id="rId26"/>
    <sheet name="がくと2" sheetId="6526" state="hidden" r:id="rId27"/>
    <sheet name="いっしー2" sheetId="6524" state="hidden" r:id="rId28"/>
    <sheet name="りくと2" sheetId="6522" state="hidden" r:id="rId29"/>
    <sheet name="ともき2" sheetId="6520" state="hidden" r:id="rId30"/>
    <sheet name="かこたろう2" sheetId="6518" state="hidden" r:id="rId31"/>
    <sheet name="だいち2" sheetId="6516" state="hidden" r:id="rId32"/>
    <sheet name="全体2" sheetId="6514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Newアガリ数" localSheetId="16">あさひ!$B$52</definedName>
    <definedName name="Newアガリ数" localSheetId="10">いっしー!$B$52</definedName>
    <definedName name="Newアガリ数" localSheetId="11">がくと!$B$52</definedName>
    <definedName name="Newアガリ数" localSheetId="7">かこたろう!$B$52</definedName>
    <definedName name="Newアガリ数" localSheetId="6">だいち!$B$52</definedName>
    <definedName name="Newアガリ数" localSheetId="12">たかの!$B$52</definedName>
    <definedName name="Newアガリ数" localSheetId="13">ただ!$B$52</definedName>
    <definedName name="Newアガリ数" localSheetId="8">ともき!$B$52</definedName>
    <definedName name="Newアガリ数" localSheetId="18">ぱぱ!$B$52</definedName>
    <definedName name="Newアガリ数" localSheetId="17">まっつん!$B$52</definedName>
    <definedName name="Newアガリ数" localSheetId="14">やがさき!$B$52</definedName>
    <definedName name="Newアガリ数" localSheetId="9">りくと!$B$52</definedName>
    <definedName name="Newアガリ数" localSheetId="15">れんたろう!$B$52</definedName>
    <definedName name="Newアガリ数" localSheetId="5">全体!$B$52</definedName>
    <definedName name="Newアガリ数">Template1!$B$52</definedName>
    <definedName name="New局数" localSheetId="16">あさひ!$B$51</definedName>
    <definedName name="New局数" localSheetId="10">いっしー!$B$51</definedName>
    <definedName name="New局数" localSheetId="11">がくと!$B$51</definedName>
    <definedName name="New局数" localSheetId="7">かこたろう!$B$51</definedName>
    <definedName name="New局数" localSheetId="6">だいち!$B$51</definedName>
    <definedName name="New局数" localSheetId="12">たかの!$B$51</definedName>
    <definedName name="New局数" localSheetId="13">ただ!$B$51</definedName>
    <definedName name="New局数" localSheetId="8">ともき!$B$51</definedName>
    <definedName name="New局数" localSheetId="18">ぱぱ!$B$51</definedName>
    <definedName name="New局数" localSheetId="17">まっつん!$B$51</definedName>
    <definedName name="New局数" localSheetId="14">やがさき!$B$51</definedName>
    <definedName name="New局数" localSheetId="9">りくと!$B$51</definedName>
    <definedName name="New局数" localSheetId="15">れんたろう!$B$51</definedName>
    <definedName name="New局数" localSheetId="5">全体!$B$51</definedName>
    <definedName name="New局数">Template1!$B$51</definedName>
    <definedName name="アガリ数" localSheetId="3">Template1!$B$20</definedName>
    <definedName name="アガリ数" localSheetId="16">あさひ!$B$20</definedName>
    <definedName name="アガリ数" localSheetId="10">いっしー!$B$20</definedName>
    <definedName name="アガリ数" localSheetId="11">がくと!$B$20</definedName>
    <definedName name="アガリ数" localSheetId="7">かこたろう!$B$20</definedName>
    <definedName name="アガリ数" localSheetId="6">だいち!$B$20</definedName>
    <definedName name="アガリ数" localSheetId="12">たかの!$B$20</definedName>
    <definedName name="アガリ数" localSheetId="13">ただ!$B$20</definedName>
    <definedName name="アガリ数" localSheetId="8">ともき!$B$20</definedName>
    <definedName name="アガリ数" localSheetId="18">ぱぱ!$B$20</definedName>
    <definedName name="アガリ数" localSheetId="17">まっつん!$B$20</definedName>
    <definedName name="アガリ数" localSheetId="14">やがさき!$B$20</definedName>
    <definedName name="アガリ数" localSheetId="9">りくと!$B$20</definedName>
    <definedName name="アガリ数" localSheetId="15">れんたろう!$B$20</definedName>
    <definedName name="アガリ数" localSheetId="5">全体!$B$20</definedName>
    <definedName name="アガリ数">#REF!</definedName>
    <definedName name="アガリ率" localSheetId="3">Template1!$C$20</definedName>
    <definedName name="アガリ率" localSheetId="16">あさひ!$C$20</definedName>
    <definedName name="アガリ率" localSheetId="10">いっしー!$C$20</definedName>
    <definedName name="アガリ率" localSheetId="11">がくと!$C$20</definedName>
    <definedName name="アガリ率" localSheetId="7">かこたろう!$C$20</definedName>
    <definedName name="アガリ率" localSheetId="6">だいち!$C$20</definedName>
    <definedName name="アガリ率" localSheetId="12">たかの!$C$20</definedName>
    <definedName name="アガリ率" localSheetId="13">ただ!$C$20</definedName>
    <definedName name="アガリ率" localSheetId="8">ともき!$C$20</definedName>
    <definedName name="アガリ率" localSheetId="18">ぱぱ!$C$20</definedName>
    <definedName name="アガリ率" localSheetId="17">まっつん!$C$20</definedName>
    <definedName name="アガリ率" localSheetId="14">やがさき!$C$20</definedName>
    <definedName name="アガリ率" localSheetId="9">りくと!$C$20</definedName>
    <definedName name="アガリ率" localSheetId="15">れんたろう!$C$20</definedName>
    <definedName name="アガリ率" localSheetId="5">全体!$C$20</definedName>
    <definedName name="アガリ率">#REF!</definedName>
    <definedName name="ダマアガリ数" localSheetId="3">Template1!$B$26</definedName>
    <definedName name="ダマアガリ数" localSheetId="16">あさひ!$B$26</definedName>
    <definedName name="ダマアガリ数" localSheetId="10">いっしー!$B$26</definedName>
    <definedName name="ダマアガリ数" localSheetId="11">がくと!$B$26</definedName>
    <definedName name="ダマアガリ数" localSheetId="7">かこたろう!$B$26</definedName>
    <definedName name="ダマアガリ数" localSheetId="6">だいち!$B$26</definedName>
    <definedName name="ダマアガリ数" localSheetId="12">たかの!$B$26</definedName>
    <definedName name="ダマアガリ数" localSheetId="13">ただ!$B$26</definedName>
    <definedName name="ダマアガリ数" localSheetId="8">ともき!$B$26</definedName>
    <definedName name="ダマアガリ数" localSheetId="18">ぱぱ!$B$26</definedName>
    <definedName name="ダマアガリ数" localSheetId="17">まっつん!$B$26</definedName>
    <definedName name="ダマアガリ数" localSheetId="14">やがさき!$B$26</definedName>
    <definedName name="ダマアガリ数" localSheetId="9">りくと!$B$26</definedName>
    <definedName name="ダマアガリ数" localSheetId="15">れんたろう!$B$26</definedName>
    <definedName name="ダマアガリ数" localSheetId="5">全体!$B$26</definedName>
    <definedName name="ダマアガリ数">#REF!</definedName>
    <definedName name="ダマアガリ点">#REF!</definedName>
    <definedName name="ダマアガリ率" localSheetId="3">Template1!$C$26</definedName>
    <definedName name="ダマアガリ率" localSheetId="16">あさひ!$C$26</definedName>
    <definedName name="ダマアガリ率" localSheetId="10">いっしー!$C$26</definedName>
    <definedName name="ダマアガリ率" localSheetId="11">がくと!$C$26</definedName>
    <definedName name="ダマアガリ率" localSheetId="7">かこたろう!$C$26</definedName>
    <definedName name="ダマアガリ率" localSheetId="6">だいち!$C$26</definedName>
    <definedName name="ダマアガリ率" localSheetId="12">たかの!$C$26</definedName>
    <definedName name="ダマアガリ率" localSheetId="13">ただ!$C$26</definedName>
    <definedName name="ダマアガリ率" localSheetId="8">ともき!$C$26</definedName>
    <definedName name="ダマアガリ率" localSheetId="18">ぱぱ!$C$26</definedName>
    <definedName name="ダマアガリ率" localSheetId="17">まっつん!$C$26</definedName>
    <definedName name="ダマアガリ率" localSheetId="14">やがさき!$C$26</definedName>
    <definedName name="ダマアガリ率" localSheetId="9">りくと!$C$26</definedName>
    <definedName name="ダマアガリ率" localSheetId="15">れんたろう!$C$26</definedName>
    <definedName name="ダマアガリ率" localSheetId="5">全体!$C$26</definedName>
    <definedName name="ダマアガリ率">#REF!</definedName>
    <definedName name="チョンボ数" localSheetId="3">Template1!$B$35</definedName>
    <definedName name="チョンボ数" localSheetId="16">あさひ!$B$35</definedName>
    <definedName name="チョンボ数" localSheetId="10">いっしー!$B$35</definedName>
    <definedName name="チョンボ数" localSheetId="11">がくと!$B$35</definedName>
    <definedName name="チョンボ数" localSheetId="7">かこたろう!$B$35</definedName>
    <definedName name="チョンボ数" localSheetId="6">だいち!$B$35</definedName>
    <definedName name="チョンボ数" localSheetId="12">たかの!$B$35</definedName>
    <definedName name="チョンボ数" localSheetId="13">ただ!$B$35</definedName>
    <definedName name="チョンボ数" localSheetId="8">ともき!$B$35</definedName>
    <definedName name="チョンボ数" localSheetId="18">ぱぱ!$B$35</definedName>
    <definedName name="チョンボ数" localSheetId="17">まっつん!$B$35</definedName>
    <definedName name="チョンボ数" localSheetId="14">やがさき!$B$35</definedName>
    <definedName name="チョンボ数" localSheetId="9">りくと!$B$35</definedName>
    <definedName name="チョンボ数" localSheetId="15">れんたろう!$B$35</definedName>
    <definedName name="チョンボ数" localSheetId="5">全体!$B$35</definedName>
    <definedName name="チョンボ数">#REF!</definedName>
    <definedName name="チョンボ率" localSheetId="3">Template1!$C$35</definedName>
    <definedName name="チョンボ率" localSheetId="16">あさひ!$C$35</definedName>
    <definedName name="チョンボ率" localSheetId="10">いっしー!$C$35</definedName>
    <definedName name="チョンボ率" localSheetId="11">がくと!$C$35</definedName>
    <definedName name="チョンボ率" localSheetId="7">かこたろう!$C$35</definedName>
    <definedName name="チョンボ率" localSheetId="6">だいち!$C$35</definedName>
    <definedName name="チョンボ率" localSheetId="12">たかの!$C$35</definedName>
    <definedName name="チョンボ率" localSheetId="13">ただ!$C$35</definedName>
    <definedName name="チョンボ率" localSheetId="8">ともき!$C$35</definedName>
    <definedName name="チョンボ率" localSheetId="18">ぱぱ!$C$35</definedName>
    <definedName name="チョンボ率" localSheetId="17">まっつん!$C$35</definedName>
    <definedName name="チョンボ率" localSheetId="14">やがさき!$C$35</definedName>
    <definedName name="チョンボ率" localSheetId="9">りくと!$C$35</definedName>
    <definedName name="チョンボ率" localSheetId="15">れんたろう!$C$35</definedName>
    <definedName name="チョンボ率" localSheetId="5">全体!$C$35</definedName>
    <definedName name="チョンボ率">#REF!</definedName>
    <definedName name="ツモ数" localSheetId="3">Template1!$B$22</definedName>
    <definedName name="ツモ数" localSheetId="16">あさひ!$B$22</definedName>
    <definedName name="ツモ数" localSheetId="10">いっしー!$B$22</definedName>
    <definedName name="ツモ数" localSheetId="11">がくと!$B$22</definedName>
    <definedName name="ツモ数" localSheetId="7">かこたろう!$B$22</definedName>
    <definedName name="ツモ数" localSheetId="6">だいち!$B$22</definedName>
    <definedName name="ツモ数" localSheetId="12">たかの!$B$22</definedName>
    <definedName name="ツモ数" localSheetId="13">ただ!$B$22</definedName>
    <definedName name="ツモ数" localSheetId="8">ともき!$B$22</definedName>
    <definedName name="ツモ数" localSheetId="18">ぱぱ!$B$22</definedName>
    <definedName name="ツモ数" localSheetId="17">まっつん!$B$22</definedName>
    <definedName name="ツモ数" localSheetId="14">やがさき!$B$22</definedName>
    <definedName name="ツモ数" localSheetId="9">りくと!$B$22</definedName>
    <definedName name="ツモ数" localSheetId="15">れんたろう!$B$22</definedName>
    <definedName name="ツモ数" localSheetId="5">全体!$B$22</definedName>
    <definedName name="ツモ数">#REF!</definedName>
    <definedName name="ツモ率" localSheetId="3">Template1!$C$22</definedName>
    <definedName name="ツモ率" localSheetId="16">あさひ!$C$22</definedName>
    <definedName name="ツモ率" localSheetId="10">いっしー!$C$22</definedName>
    <definedName name="ツモ率" localSheetId="11">がくと!$C$22</definedName>
    <definedName name="ツモ率" localSheetId="7">かこたろう!$C$22</definedName>
    <definedName name="ツモ率" localSheetId="6">だいち!$C$22</definedName>
    <definedName name="ツモ率" localSheetId="12">たかの!$C$22</definedName>
    <definedName name="ツモ率" localSheetId="13">ただ!$C$22</definedName>
    <definedName name="ツモ率" localSheetId="8">ともき!$C$22</definedName>
    <definedName name="ツモ率" localSheetId="18">ぱぱ!$C$22</definedName>
    <definedName name="ツモ率" localSheetId="17">まっつん!$C$22</definedName>
    <definedName name="ツモ率" localSheetId="14">やがさき!$C$22</definedName>
    <definedName name="ツモ率" localSheetId="9">りくと!$C$22</definedName>
    <definedName name="ツモ率" localSheetId="15">れんたろう!$C$22</definedName>
    <definedName name="ツモ率" localSheetId="5">全体!$C$22</definedName>
    <definedName name="ツモ率">#REF!</definedName>
    <definedName name="トップ数" localSheetId="3">Template1!$B$8</definedName>
    <definedName name="トップ数" localSheetId="16">あさひ!$B$8</definedName>
    <definedName name="トップ数" localSheetId="10">いっしー!$B$8</definedName>
    <definedName name="トップ数" localSheetId="11">がくと!$B$8</definedName>
    <definedName name="トップ数" localSheetId="7">かこたろう!$B$8</definedName>
    <definedName name="トップ数" localSheetId="6">だいち!$B$8</definedName>
    <definedName name="トップ数" localSheetId="12">たかの!$B$8</definedName>
    <definedName name="トップ数" localSheetId="13">ただ!$B$8</definedName>
    <definedName name="トップ数" localSheetId="8">ともき!$B$8</definedName>
    <definedName name="トップ数" localSheetId="18">ぱぱ!$B$8</definedName>
    <definedName name="トップ数" localSheetId="17">まっつん!$B$8</definedName>
    <definedName name="トップ数" localSheetId="14">やがさき!$B$8</definedName>
    <definedName name="トップ数" localSheetId="9">りくと!$B$8</definedName>
    <definedName name="トップ数" localSheetId="15">れんたろう!$B$8</definedName>
    <definedName name="トップ数" localSheetId="5">全体!$B$8</definedName>
    <definedName name="トップ数">#REF!</definedName>
    <definedName name="トップ率" localSheetId="3">Template1!$C$8</definedName>
    <definedName name="トップ率" localSheetId="16">あさひ!$C$8</definedName>
    <definedName name="トップ率" localSheetId="10">いっしー!$C$8</definedName>
    <definedName name="トップ率" localSheetId="11">がくと!$C$8</definedName>
    <definedName name="トップ率" localSheetId="7">かこたろう!$C$8</definedName>
    <definedName name="トップ率" localSheetId="6">だいち!$C$8</definedName>
    <definedName name="トップ率" localSheetId="12">たかの!$C$8</definedName>
    <definedName name="トップ率" localSheetId="13">ただ!$C$8</definedName>
    <definedName name="トップ率" localSheetId="8">ともき!$C$8</definedName>
    <definedName name="トップ率" localSheetId="18">ぱぱ!$C$8</definedName>
    <definedName name="トップ率" localSheetId="17">まっつん!$C$8</definedName>
    <definedName name="トップ率" localSheetId="14">やがさき!$C$8</definedName>
    <definedName name="トップ率" localSheetId="9">りくと!$C$8</definedName>
    <definedName name="トップ率" localSheetId="15">れんたろう!$C$8</definedName>
    <definedName name="トップ率" localSheetId="5">全体!$C$8</definedName>
    <definedName name="トップ率">#REF!</definedName>
    <definedName name="バランス" localSheetId="16">あさひ!$B$14</definedName>
    <definedName name="バランス" localSheetId="10">いっしー!$B$14</definedName>
    <definedName name="バランス" localSheetId="11">がくと!$B$14</definedName>
    <definedName name="バランス" localSheetId="7">かこたろう!$B$14</definedName>
    <definedName name="バランス" localSheetId="6">だいち!$B$14</definedName>
    <definedName name="バランス" localSheetId="12">たかの!$B$14</definedName>
    <definedName name="バランス" localSheetId="13">ただ!$B$14</definedName>
    <definedName name="バランス" localSheetId="8">ともき!$B$14</definedName>
    <definedName name="バランス" localSheetId="18">ぱぱ!$B$14</definedName>
    <definedName name="バランス" localSheetId="17">まっつん!$B$14</definedName>
    <definedName name="バランス" localSheetId="14">やがさき!$B$14</definedName>
    <definedName name="バランス" localSheetId="9">りくと!$B$14</definedName>
    <definedName name="バランス" localSheetId="15">れんたろう!$B$14</definedName>
    <definedName name="バランス" localSheetId="5">全体!$B$14</definedName>
    <definedName name="バランス">Template1!$B$14</definedName>
    <definedName name="ふっとばし数">#REF!</definedName>
    <definedName name="ふっとばし率">#REF!</definedName>
    <definedName name="ふっとび数" localSheetId="3">Template1!$B$15</definedName>
    <definedName name="ふっとび数" localSheetId="16">あさひ!$B$15</definedName>
    <definedName name="ふっとび数" localSheetId="10">いっしー!$B$15</definedName>
    <definedName name="ふっとび数" localSheetId="11">がくと!$B$15</definedName>
    <definedName name="ふっとび数" localSheetId="7">かこたろう!$B$15</definedName>
    <definedName name="ふっとび数" localSheetId="6">だいち!$B$15</definedName>
    <definedName name="ふっとび数" localSheetId="12">たかの!$B$15</definedName>
    <definedName name="ふっとび数" localSheetId="13">ただ!$B$15</definedName>
    <definedName name="ふっとび数" localSheetId="8">ともき!$B$15</definedName>
    <definedName name="ふっとび数" localSheetId="18">ぱぱ!$B$15</definedName>
    <definedName name="ふっとび数" localSheetId="17">まっつん!$B$15</definedName>
    <definedName name="ふっとび数" localSheetId="14">やがさき!$B$15</definedName>
    <definedName name="ふっとび数" localSheetId="9">りくと!$B$15</definedName>
    <definedName name="ふっとび数" localSheetId="15">れんたろう!$B$15</definedName>
    <definedName name="ふっとび数" localSheetId="5">全体!$B$15</definedName>
    <definedName name="ふっとび数">#REF!</definedName>
    <definedName name="ふっとび率" localSheetId="3">Template1!$C$15</definedName>
    <definedName name="ふっとび率" localSheetId="16">あさひ!$C$15</definedName>
    <definedName name="ふっとび率" localSheetId="10">いっしー!$C$15</definedName>
    <definedName name="ふっとび率" localSheetId="11">がくと!$C$15</definedName>
    <definedName name="ふっとび率" localSheetId="7">かこたろう!$C$15</definedName>
    <definedName name="ふっとび率" localSheetId="6">だいち!$C$15</definedName>
    <definedName name="ふっとび率" localSheetId="12">たかの!$C$15</definedName>
    <definedName name="ふっとび率" localSheetId="13">ただ!$C$15</definedName>
    <definedName name="ふっとび率" localSheetId="8">ともき!$C$15</definedName>
    <definedName name="ふっとび率" localSheetId="18">ぱぱ!$C$15</definedName>
    <definedName name="ふっとび率" localSheetId="17">まっつん!$C$15</definedName>
    <definedName name="ふっとび率" localSheetId="14">やがさき!$C$15</definedName>
    <definedName name="ふっとび率" localSheetId="9">りくと!$C$15</definedName>
    <definedName name="ふっとび率" localSheetId="15">れんたろう!$C$15</definedName>
    <definedName name="ふっとび率" localSheetId="5">全体!$C$15</definedName>
    <definedName name="ふっとび率">#REF!</definedName>
    <definedName name="ラス数" localSheetId="3">Template1!$B$10</definedName>
    <definedName name="ラス数" localSheetId="16">あさひ!$B$10</definedName>
    <definedName name="ラス数" localSheetId="10">いっしー!$B$10</definedName>
    <definedName name="ラス数" localSheetId="11">がくと!$B$10</definedName>
    <definedName name="ラス数" localSheetId="7">かこたろう!$B$10</definedName>
    <definedName name="ラス数" localSheetId="6">だいち!$B$10</definedName>
    <definedName name="ラス数" localSheetId="12">たかの!$B$10</definedName>
    <definedName name="ラス数" localSheetId="13">ただ!$B$10</definedName>
    <definedName name="ラス数" localSheetId="8">ともき!$B$10</definedName>
    <definedName name="ラス数" localSheetId="18">ぱぱ!$B$10</definedName>
    <definedName name="ラス数" localSheetId="17">まっつん!$B$10</definedName>
    <definedName name="ラス数" localSheetId="14">やがさき!$B$10</definedName>
    <definedName name="ラス数" localSheetId="9">りくと!$B$10</definedName>
    <definedName name="ラス数" localSheetId="15">れんたろう!$B$10</definedName>
    <definedName name="ラス数" localSheetId="5">全体!$B$10</definedName>
    <definedName name="ラス数">#REF!</definedName>
    <definedName name="ラス率" localSheetId="3">Template1!$C$10</definedName>
    <definedName name="ラス率" localSheetId="16">あさひ!$C$10</definedName>
    <definedName name="ラス率" localSheetId="10">いっしー!$C$10</definedName>
    <definedName name="ラス率" localSheetId="11">がくと!$C$10</definedName>
    <definedName name="ラス率" localSheetId="7">かこたろう!$C$10</definedName>
    <definedName name="ラス率" localSheetId="6">だいち!$C$10</definedName>
    <definedName name="ラス率" localSheetId="12">たかの!$C$10</definedName>
    <definedName name="ラス率" localSheetId="13">ただ!$C$10</definedName>
    <definedName name="ラス率" localSheetId="8">ともき!$C$10</definedName>
    <definedName name="ラス率" localSheetId="18">ぱぱ!$C$10</definedName>
    <definedName name="ラス率" localSheetId="17">まっつん!$C$10</definedName>
    <definedName name="ラス率" localSheetId="14">やがさき!$C$10</definedName>
    <definedName name="ラス率" localSheetId="9">りくと!$C$10</definedName>
    <definedName name="ラス率" localSheetId="15">れんたろう!$C$10</definedName>
    <definedName name="ラス率" localSheetId="5">全体!$C$10</definedName>
    <definedName name="ラス率">#REF!</definedName>
    <definedName name="リーチアガリ数" localSheetId="3">Template1!$B$24</definedName>
    <definedName name="リーチアガリ数" localSheetId="16">あさひ!$B$24</definedName>
    <definedName name="リーチアガリ数" localSheetId="10">いっしー!$B$24</definedName>
    <definedName name="リーチアガリ数" localSheetId="11">がくと!$B$24</definedName>
    <definedName name="リーチアガリ数" localSheetId="7">かこたろう!$B$24</definedName>
    <definedName name="リーチアガリ数" localSheetId="6">だいち!$B$24</definedName>
    <definedName name="リーチアガリ数" localSheetId="12">たかの!$B$24</definedName>
    <definedName name="リーチアガリ数" localSheetId="13">ただ!$B$24</definedName>
    <definedName name="リーチアガリ数" localSheetId="8">ともき!$B$24</definedName>
    <definedName name="リーチアガリ数" localSheetId="18">ぱぱ!$B$24</definedName>
    <definedName name="リーチアガリ数" localSheetId="17">まっつん!$B$24</definedName>
    <definedName name="リーチアガリ数" localSheetId="14">やがさき!$B$24</definedName>
    <definedName name="リーチアガリ数" localSheetId="9">りくと!$B$24</definedName>
    <definedName name="リーチアガリ数" localSheetId="15">れんたろう!$B$24</definedName>
    <definedName name="リーチアガリ数" localSheetId="5">全体!$B$24</definedName>
    <definedName name="リーチアガリ数">#REF!</definedName>
    <definedName name="リーチアガリ率" localSheetId="3">Template1!$C$24</definedName>
    <definedName name="リーチアガリ率" localSheetId="16">あさひ!$C$24</definedName>
    <definedName name="リーチアガリ率" localSheetId="10">いっしー!$C$24</definedName>
    <definedName name="リーチアガリ率" localSheetId="11">がくと!$C$24</definedName>
    <definedName name="リーチアガリ率" localSheetId="7">かこたろう!$C$24</definedName>
    <definedName name="リーチアガリ率" localSheetId="6">だいち!$C$24</definedName>
    <definedName name="リーチアガリ率" localSheetId="12">たかの!$C$24</definedName>
    <definedName name="リーチアガリ率" localSheetId="13">ただ!$C$24</definedName>
    <definedName name="リーチアガリ率" localSheetId="8">ともき!$C$24</definedName>
    <definedName name="リーチアガリ率" localSheetId="18">ぱぱ!$C$24</definedName>
    <definedName name="リーチアガリ率" localSheetId="17">まっつん!$C$24</definedName>
    <definedName name="リーチアガリ率" localSheetId="14">やがさき!$C$24</definedName>
    <definedName name="リーチアガリ率" localSheetId="9">りくと!$C$24</definedName>
    <definedName name="リーチアガリ率" localSheetId="15">れんたろう!$C$24</definedName>
    <definedName name="リーチアガリ率" localSheetId="5">全体!$C$24</definedName>
    <definedName name="リーチアガリ率">#REF!</definedName>
    <definedName name="リーチ数" localSheetId="3">Template1!$B$16</definedName>
    <definedName name="リーチ数" localSheetId="16">あさひ!$B$16</definedName>
    <definedName name="リーチ数" localSheetId="10">いっしー!$B$16</definedName>
    <definedName name="リーチ数" localSheetId="11">がくと!$B$16</definedName>
    <definedName name="リーチ数" localSheetId="7">かこたろう!$B$16</definedName>
    <definedName name="リーチ数" localSheetId="6">だいち!$B$16</definedName>
    <definedName name="リーチ数" localSheetId="12">たかの!$B$16</definedName>
    <definedName name="リーチ数" localSheetId="13">ただ!$B$16</definedName>
    <definedName name="リーチ数" localSheetId="8">ともき!$B$16</definedName>
    <definedName name="リーチ数" localSheetId="18">ぱぱ!$B$16</definedName>
    <definedName name="リーチ数" localSheetId="17">まっつん!$B$16</definedName>
    <definedName name="リーチ数" localSheetId="14">やがさき!$B$16</definedName>
    <definedName name="リーチ数" localSheetId="9">りくと!$B$16</definedName>
    <definedName name="リーチ数" localSheetId="15">れんたろう!$B$16</definedName>
    <definedName name="リーチ数" localSheetId="5">全体!$B$16</definedName>
    <definedName name="リーチ数">#REF!</definedName>
    <definedName name="リーチ成功数" localSheetId="3">Template1!$B$18</definedName>
    <definedName name="リーチ成功数" localSheetId="16">あさひ!$B$18</definedName>
    <definedName name="リーチ成功数" localSheetId="10">いっしー!$B$18</definedName>
    <definedName name="リーチ成功数" localSheetId="11">がくと!$B$18</definedName>
    <definedName name="リーチ成功数" localSheetId="7">かこたろう!$B$18</definedName>
    <definedName name="リーチ成功数" localSheetId="6">だいち!$B$18</definedName>
    <definedName name="リーチ成功数" localSheetId="12">たかの!$B$18</definedName>
    <definedName name="リーチ成功数" localSheetId="13">ただ!$B$18</definedName>
    <definedName name="リーチ成功数" localSheetId="8">ともき!$B$18</definedName>
    <definedName name="リーチ成功数" localSheetId="18">ぱぱ!$B$18</definedName>
    <definedName name="リーチ成功数" localSheetId="17">まっつん!$B$18</definedName>
    <definedName name="リーチ成功数" localSheetId="14">やがさき!$B$18</definedName>
    <definedName name="リーチ成功数" localSheetId="9">りくと!$B$18</definedName>
    <definedName name="リーチ成功数" localSheetId="15">れんたろう!$B$18</definedName>
    <definedName name="リーチ成功数" localSheetId="5">全体!$B$18</definedName>
    <definedName name="リーチ成功数">#REF!</definedName>
    <definedName name="リーチ成功率" localSheetId="3">Template1!$C$18</definedName>
    <definedName name="リーチ成功率" localSheetId="16">あさひ!$C$18</definedName>
    <definedName name="リーチ成功率" localSheetId="10">いっしー!$C$18</definedName>
    <definedName name="リーチ成功率" localSheetId="11">がくと!$C$18</definedName>
    <definedName name="リーチ成功率" localSheetId="7">かこたろう!$C$18</definedName>
    <definedName name="リーチ成功率" localSheetId="6">だいち!$C$18</definedName>
    <definedName name="リーチ成功率" localSheetId="12">たかの!$C$18</definedName>
    <definedName name="リーチ成功率" localSheetId="13">ただ!$C$18</definedName>
    <definedName name="リーチ成功率" localSheetId="8">ともき!$C$18</definedName>
    <definedName name="リーチ成功率" localSheetId="18">ぱぱ!$C$18</definedName>
    <definedName name="リーチ成功率" localSheetId="17">まっつん!$C$18</definedName>
    <definedName name="リーチ成功率" localSheetId="14">やがさき!$C$18</definedName>
    <definedName name="リーチ成功率" localSheetId="9">りくと!$C$18</definedName>
    <definedName name="リーチ成功率" localSheetId="15">れんたろう!$C$18</definedName>
    <definedName name="リーチ成功率" localSheetId="5">全体!$C$18</definedName>
    <definedName name="リーチ成功率">#REF!</definedName>
    <definedName name="リーチ率" localSheetId="3">Template1!$C$16</definedName>
    <definedName name="リーチ率" localSheetId="16">あさひ!$C$16</definedName>
    <definedName name="リーチ率" localSheetId="10">いっしー!$C$16</definedName>
    <definedName name="リーチ率" localSheetId="11">がくと!$C$16</definedName>
    <definedName name="リーチ率" localSheetId="7">かこたろう!$C$16</definedName>
    <definedName name="リーチ率" localSheetId="6">だいち!$C$16</definedName>
    <definedName name="リーチ率" localSheetId="12">たかの!$C$16</definedName>
    <definedName name="リーチ率" localSheetId="13">ただ!$C$16</definedName>
    <definedName name="リーチ率" localSheetId="8">ともき!$C$16</definedName>
    <definedName name="リーチ率" localSheetId="18">ぱぱ!$C$16</definedName>
    <definedName name="リーチ率" localSheetId="17">まっつん!$C$16</definedName>
    <definedName name="リーチ率" localSheetId="14">やがさき!$C$16</definedName>
    <definedName name="リーチ率" localSheetId="9">りくと!$C$16</definedName>
    <definedName name="リーチ率" localSheetId="15">れんたろう!$C$16</definedName>
    <definedName name="リーチ率" localSheetId="5">全体!$C$16</definedName>
    <definedName name="リーチ率">#REF!</definedName>
    <definedName name="レーティング" localSheetId="16">あさひ!$B$6</definedName>
    <definedName name="レーティング" localSheetId="10">いっしー!$B$6</definedName>
    <definedName name="レーティング" localSheetId="11">がくと!$B$6</definedName>
    <definedName name="レーティング" localSheetId="7">かこたろう!$B$6</definedName>
    <definedName name="レーティング" localSheetId="6">だいち!$B$6</definedName>
    <definedName name="レーティング" localSheetId="12">たかの!$B$6</definedName>
    <definedName name="レーティング" localSheetId="13">ただ!$B$6</definedName>
    <definedName name="レーティング" localSheetId="8">ともき!$B$6</definedName>
    <definedName name="レーティング" localSheetId="18">ぱぱ!$B$6</definedName>
    <definedName name="レーティング" localSheetId="17">まっつん!$B$6</definedName>
    <definedName name="レーティング" localSheetId="14">やがさき!$B$6</definedName>
    <definedName name="レーティング" localSheetId="9">りくと!$B$6</definedName>
    <definedName name="レーティング" localSheetId="15">れんたろう!$B$6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6">あさひ!$B$23</definedName>
    <definedName name="ロン数" localSheetId="10">いっしー!$B$23</definedName>
    <definedName name="ロン数" localSheetId="11">がくと!$B$23</definedName>
    <definedName name="ロン数" localSheetId="7">かこたろう!$B$23</definedName>
    <definedName name="ロン数" localSheetId="6">だいち!$B$23</definedName>
    <definedName name="ロン数" localSheetId="12">たかの!$B$23</definedName>
    <definedName name="ロン数" localSheetId="13">ただ!$B$23</definedName>
    <definedName name="ロン数" localSheetId="8">ともき!$B$23</definedName>
    <definedName name="ロン数" localSheetId="18">ぱぱ!$B$23</definedName>
    <definedName name="ロン数" localSheetId="17">まっつん!$B$23</definedName>
    <definedName name="ロン数" localSheetId="14">やがさき!$B$23</definedName>
    <definedName name="ロン数" localSheetId="9">りくと!$B$23</definedName>
    <definedName name="ロン数" localSheetId="15">れんたろう!$B$23</definedName>
    <definedName name="ロン数" localSheetId="5">全体!$B$23</definedName>
    <definedName name="ロン数">#REF!</definedName>
    <definedName name="ロン率" localSheetId="3">Template1!$C$23</definedName>
    <definedName name="ロン率" localSheetId="16">あさひ!$C$23</definedName>
    <definedName name="ロン率" localSheetId="10">いっしー!$C$23</definedName>
    <definedName name="ロン率" localSheetId="11">がくと!$C$23</definedName>
    <definedName name="ロン率" localSheetId="7">かこたろう!$C$23</definedName>
    <definedName name="ロン率" localSheetId="6">だいち!$C$23</definedName>
    <definedName name="ロン率" localSheetId="12">たかの!$C$23</definedName>
    <definedName name="ロン率" localSheetId="13">ただ!$C$23</definedName>
    <definedName name="ロン率" localSheetId="8">ともき!$C$23</definedName>
    <definedName name="ロン率" localSheetId="18">ぱぱ!$C$23</definedName>
    <definedName name="ロン率" localSheetId="17">まっつん!$C$23</definedName>
    <definedName name="ロン率" localSheetId="14">やがさき!$C$23</definedName>
    <definedName name="ロン率" localSheetId="9">りくと!$C$23</definedName>
    <definedName name="ロン率" localSheetId="15">れんたろう!$C$23</definedName>
    <definedName name="ロン率" localSheetId="5">全体!$C$23</definedName>
    <definedName name="ロン率">#REF!</definedName>
    <definedName name="一位スコア" localSheetId="16">あさひ!$B$11</definedName>
    <definedName name="一位スコア" localSheetId="10">いっしー!$B$11</definedName>
    <definedName name="一位スコア" localSheetId="11">がくと!$B$11</definedName>
    <definedName name="一位スコア" localSheetId="7">かこたろう!$B$11</definedName>
    <definedName name="一位スコア" localSheetId="6">だいち!$B$11</definedName>
    <definedName name="一位スコア" localSheetId="12">たかの!$B$11</definedName>
    <definedName name="一位スコア" localSheetId="13">ただ!$B$11</definedName>
    <definedName name="一位スコア" localSheetId="8">ともき!$B$11</definedName>
    <definedName name="一位スコア" localSheetId="18">ぱぱ!$B$11</definedName>
    <definedName name="一位スコア" localSheetId="17">まっつん!$B$11</definedName>
    <definedName name="一位スコア" localSheetId="14">やがさき!$B$11</definedName>
    <definedName name="一位スコア" localSheetId="9">りくと!$B$11</definedName>
    <definedName name="一位スコア" localSheetId="15">れんたろう!$B$11</definedName>
    <definedName name="一位スコア" localSheetId="5">全体!$B$11</definedName>
    <definedName name="一位スコア">Template1!$B$11</definedName>
    <definedName name="一位通算スコア" localSheetId="16">あさひ!$C$11</definedName>
    <definedName name="一位通算スコア" localSheetId="10">いっしー!$C$11</definedName>
    <definedName name="一位通算スコア" localSheetId="11">がくと!$C$11</definedName>
    <definedName name="一位通算スコア" localSheetId="7">かこたろう!$C$11</definedName>
    <definedName name="一位通算スコア" localSheetId="6">だいち!$C$11</definedName>
    <definedName name="一位通算スコア" localSheetId="12">たかの!$C$11</definedName>
    <definedName name="一位通算スコア" localSheetId="13">ただ!$C$11</definedName>
    <definedName name="一位通算スコア" localSheetId="8">ともき!$C$11</definedName>
    <definedName name="一位通算スコア" localSheetId="18">ぱぱ!$C$11</definedName>
    <definedName name="一位通算スコア" localSheetId="17">まっつん!$C$11</definedName>
    <definedName name="一位通算スコア" localSheetId="14">やがさき!$C$11</definedName>
    <definedName name="一位通算スコア" localSheetId="9">りくと!$C$11</definedName>
    <definedName name="一位通算スコア" localSheetId="15">れんたろう!$C$11</definedName>
    <definedName name="一位通算スコア" localSheetId="5">全体!$C$11</definedName>
    <definedName name="一位通算スコア">Template1!$C$11</definedName>
    <definedName name="一翻数" localSheetId="16">あさひ!$B$37</definedName>
    <definedName name="一翻数" localSheetId="10">いっしー!$B$37</definedName>
    <definedName name="一翻数" localSheetId="11">がくと!$B$37</definedName>
    <definedName name="一翻数" localSheetId="7">かこたろう!$B$37</definedName>
    <definedName name="一翻数" localSheetId="6">だいち!$B$37</definedName>
    <definedName name="一翻数" localSheetId="12">たかの!$B$37</definedName>
    <definedName name="一翻数" localSheetId="13">ただ!$B$37</definedName>
    <definedName name="一翻数" localSheetId="8">ともき!$B$37</definedName>
    <definedName name="一翻数" localSheetId="18">ぱぱ!$B$37</definedName>
    <definedName name="一翻数" localSheetId="17">まっつん!$B$37</definedName>
    <definedName name="一翻数" localSheetId="14">やがさき!$B$37</definedName>
    <definedName name="一翻数" localSheetId="9">りくと!$B$37</definedName>
    <definedName name="一翻数" localSheetId="15">れんたろう!$B$37</definedName>
    <definedName name="一翻数" localSheetId="5">全体!$B$37</definedName>
    <definedName name="一翻数">Template1!$B$37</definedName>
    <definedName name="一翻率" localSheetId="16">あさひ!$C$37</definedName>
    <definedName name="一翻率" localSheetId="10">いっしー!$C$37</definedName>
    <definedName name="一翻率" localSheetId="11">がくと!$C$37</definedName>
    <definedName name="一翻率" localSheetId="7">かこたろう!$C$37</definedName>
    <definedName name="一翻率" localSheetId="6">だいち!$C$37</definedName>
    <definedName name="一翻率" localSheetId="12">たかの!$C$37</definedName>
    <definedName name="一翻率" localSheetId="13">ただ!$C$37</definedName>
    <definedName name="一翻率" localSheetId="8">ともき!$C$37</definedName>
    <definedName name="一翻率" localSheetId="18">ぱぱ!$C$37</definedName>
    <definedName name="一翻率" localSheetId="17">まっつん!$C$37</definedName>
    <definedName name="一翻率" localSheetId="14">やがさき!$C$37</definedName>
    <definedName name="一翻率" localSheetId="9">りくと!$C$37</definedName>
    <definedName name="一翻率" localSheetId="15">れんたろう!$C$37</definedName>
    <definedName name="一翻率" localSheetId="5">全体!$C$37</definedName>
    <definedName name="一翻率">Template1!$C$37</definedName>
    <definedName name="逆転数">#REF!</definedName>
    <definedName name="逆転率">#REF!</definedName>
    <definedName name="現行連続アガリ" localSheetId="3">Template1!$C$31</definedName>
    <definedName name="現行連続アガリ" localSheetId="16">あさひ!$C$31</definedName>
    <definedName name="現行連続アガリ" localSheetId="10">いっしー!$C$31</definedName>
    <definedName name="現行連続アガリ" localSheetId="11">がくと!$C$31</definedName>
    <definedName name="現行連続アガリ" localSheetId="7">かこたろう!$C$31</definedName>
    <definedName name="現行連続アガリ" localSheetId="6">だいち!$C$31</definedName>
    <definedName name="現行連続アガリ" localSheetId="12">たかの!$C$31</definedName>
    <definedName name="現行連続アガリ" localSheetId="13">ただ!$C$31</definedName>
    <definedName name="現行連続アガリ" localSheetId="8">ともき!$C$31</definedName>
    <definedName name="現行連続アガリ" localSheetId="18">ぱぱ!$C$31</definedName>
    <definedName name="現行連続アガリ" localSheetId="17">まっつん!$C$31</definedName>
    <definedName name="現行連続アガリ" localSheetId="14">やがさき!$C$31</definedName>
    <definedName name="現行連続アガリ" localSheetId="9">りくと!$C$31</definedName>
    <definedName name="現行連続アガリ" localSheetId="15">れんたろう!$C$31</definedName>
    <definedName name="現行連続アガリ" localSheetId="5">全体!$C$31</definedName>
    <definedName name="現行連続アガリ">#REF!</definedName>
    <definedName name="現行連続無放銃" localSheetId="3">Template1!$C$32</definedName>
    <definedName name="現行連続無放銃" localSheetId="16">あさひ!$C$32</definedName>
    <definedName name="現行連続無放銃" localSheetId="10">いっしー!$C$32</definedName>
    <definedName name="現行連続無放銃" localSheetId="11">がくと!$C$32</definedName>
    <definedName name="現行連続無放銃" localSheetId="7">かこたろう!$C$32</definedName>
    <definedName name="現行連続無放銃" localSheetId="6">だいち!$C$32</definedName>
    <definedName name="現行連続無放銃" localSheetId="12">たかの!$C$32</definedName>
    <definedName name="現行連続無放銃" localSheetId="13">ただ!$C$32</definedName>
    <definedName name="現行連続無放銃" localSheetId="8">ともき!$C$32</definedName>
    <definedName name="現行連続無放銃" localSheetId="18">ぱぱ!$C$32</definedName>
    <definedName name="現行連続無放銃" localSheetId="17">まっつん!$C$32</definedName>
    <definedName name="現行連続無放銃" localSheetId="14">やがさき!$C$32</definedName>
    <definedName name="現行連続無放銃" localSheetId="9">りくと!$C$32</definedName>
    <definedName name="現行連続無放銃" localSheetId="15">れんたろう!$C$32</definedName>
    <definedName name="現行連続無放銃" localSheetId="5">全体!$C$32</definedName>
    <definedName name="現行連続無放銃">#REF!</definedName>
    <definedName name="最高点" localSheetId="3">Template1!$B$34</definedName>
    <definedName name="最高点" localSheetId="16">あさひ!$B$34</definedName>
    <definedName name="最高点" localSheetId="10">いっしー!$B$34</definedName>
    <definedName name="最高点" localSheetId="11">がくと!$B$34</definedName>
    <definedName name="最高点" localSheetId="7">かこたろう!$B$34</definedName>
    <definedName name="最高点" localSheetId="6">だいち!$B$34</definedName>
    <definedName name="最高点" localSheetId="12">たかの!$B$34</definedName>
    <definedName name="最高点" localSheetId="13">ただ!$B$34</definedName>
    <definedName name="最高点" localSheetId="8">ともき!$B$34</definedName>
    <definedName name="最高点" localSheetId="18">ぱぱ!$B$34</definedName>
    <definedName name="最高点" localSheetId="17">まっつん!$B$34</definedName>
    <definedName name="最高点" localSheetId="14">やがさき!$B$34</definedName>
    <definedName name="最高点" localSheetId="9">りくと!$B$34</definedName>
    <definedName name="最高点" localSheetId="15">れんたろう!$B$34</definedName>
    <definedName name="最高点" localSheetId="5">全体!$B$34</definedName>
    <definedName name="最高点">#REF!</definedName>
    <definedName name="最大ドラ数" localSheetId="3">Template1!$B$33</definedName>
    <definedName name="最大ドラ数" localSheetId="16">あさひ!$B$33</definedName>
    <definedName name="最大ドラ数" localSheetId="10">いっしー!$B$33</definedName>
    <definedName name="最大ドラ数" localSheetId="11">がくと!$B$33</definedName>
    <definedName name="最大ドラ数" localSheetId="7">かこたろう!$B$33</definedName>
    <definedName name="最大ドラ数" localSheetId="6">だいち!$B$33</definedName>
    <definedName name="最大ドラ数" localSheetId="12">たかの!$B$33</definedName>
    <definedName name="最大ドラ数" localSheetId="13">ただ!$B$33</definedName>
    <definedName name="最大ドラ数" localSheetId="8">ともき!$B$33</definedName>
    <definedName name="最大ドラ数" localSheetId="18">ぱぱ!$B$33</definedName>
    <definedName name="最大ドラ数" localSheetId="17">まっつん!$B$33</definedName>
    <definedName name="最大ドラ数" localSheetId="14">やがさき!$B$33</definedName>
    <definedName name="最大ドラ数" localSheetId="9">りくと!$B$33</definedName>
    <definedName name="最大ドラ数" localSheetId="15">れんたろう!$B$33</definedName>
    <definedName name="最大ドラ数" localSheetId="5">全体!$B$33</definedName>
    <definedName name="最大ドラ数">#REF!</definedName>
    <definedName name="最大点数" localSheetId="3">Template1!$B$34</definedName>
    <definedName name="最大点数" localSheetId="16">あさひ!$B$34</definedName>
    <definedName name="最大点数" localSheetId="10">いっしー!$B$34</definedName>
    <definedName name="最大点数" localSheetId="11">がくと!$B$34</definedName>
    <definedName name="最大点数" localSheetId="7">かこたろう!$B$34</definedName>
    <definedName name="最大点数" localSheetId="6">だいち!$B$34</definedName>
    <definedName name="最大点数" localSheetId="12">たかの!$B$34</definedName>
    <definedName name="最大点数" localSheetId="13">ただ!$B$34</definedName>
    <definedName name="最大点数" localSheetId="8">ともき!$B$34</definedName>
    <definedName name="最大点数" localSheetId="18">ぱぱ!$B$34</definedName>
    <definedName name="最大点数" localSheetId="17">まっつん!$B$34</definedName>
    <definedName name="最大点数" localSheetId="14">やがさき!$B$34</definedName>
    <definedName name="最大点数" localSheetId="9">りくと!$B$34</definedName>
    <definedName name="最大点数" localSheetId="15">れんたろう!$B$34</definedName>
    <definedName name="最大点数" localSheetId="5">全体!$B$34</definedName>
    <definedName name="最大点数">#REF!</definedName>
    <definedName name="三位スコア" localSheetId="16">あさひ!$B$13</definedName>
    <definedName name="三位スコア" localSheetId="10">いっしー!$B$13</definedName>
    <definedName name="三位スコア" localSheetId="11">がくと!$B$13</definedName>
    <definedName name="三位スコア" localSheetId="7">かこたろう!$B$13</definedName>
    <definedName name="三位スコア" localSheetId="6">だいち!$B$13</definedName>
    <definedName name="三位スコア" localSheetId="12">たかの!$B$13</definedName>
    <definedName name="三位スコア" localSheetId="13">ただ!$B$13</definedName>
    <definedName name="三位スコア" localSheetId="8">ともき!$B$13</definedName>
    <definedName name="三位スコア" localSheetId="18">ぱぱ!$B$13</definedName>
    <definedName name="三位スコア" localSheetId="17">まっつん!$B$13</definedName>
    <definedName name="三位スコア" localSheetId="14">やがさき!$B$13</definedName>
    <definedName name="三位スコア" localSheetId="9">りくと!$B$13</definedName>
    <definedName name="三位スコア" localSheetId="15">れんたろう!$B$13</definedName>
    <definedName name="三位スコア" localSheetId="5">全体!$B$13</definedName>
    <definedName name="三位スコア">Template1!$B$13</definedName>
    <definedName name="三位通算スコア" localSheetId="16">あさひ!$C$13</definedName>
    <definedName name="三位通算スコア" localSheetId="10">いっしー!$C$13</definedName>
    <definedName name="三位通算スコア" localSheetId="11">がくと!$C$13</definedName>
    <definedName name="三位通算スコア" localSheetId="7">かこたろう!$C$13</definedName>
    <definedName name="三位通算スコア" localSheetId="6">だいち!$C$13</definedName>
    <definedName name="三位通算スコア" localSheetId="12">たかの!$C$13</definedName>
    <definedName name="三位通算スコア" localSheetId="13">ただ!$C$13</definedName>
    <definedName name="三位通算スコア" localSheetId="8">ともき!$C$13</definedName>
    <definedName name="三位通算スコア" localSheetId="18">ぱぱ!$C$13</definedName>
    <definedName name="三位通算スコア" localSheetId="17">まっつん!$C$13</definedName>
    <definedName name="三位通算スコア" localSheetId="14">やがさき!$C$13</definedName>
    <definedName name="三位通算スコア" localSheetId="9">りくと!$C$13</definedName>
    <definedName name="三位通算スコア" localSheetId="15">れんたろう!$C$13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6">あさひ!$B$3</definedName>
    <definedName name="総局数" localSheetId="10">いっしー!$B$3</definedName>
    <definedName name="総局数" localSheetId="11">がくと!$B$3</definedName>
    <definedName name="総局数" localSheetId="7">かこたろう!$B$3</definedName>
    <definedName name="総局数" localSheetId="6">だいち!$B$3</definedName>
    <definedName name="総局数" localSheetId="12">たかの!$B$3</definedName>
    <definedName name="総局数" localSheetId="13">ただ!$B$3</definedName>
    <definedName name="総局数" localSheetId="8">ともき!$B$3</definedName>
    <definedName name="総局数" localSheetId="18">ぱぱ!$B$3</definedName>
    <definedName name="総局数" localSheetId="17">まっつん!$B$3</definedName>
    <definedName name="総局数" localSheetId="14">やがさき!$B$3</definedName>
    <definedName name="総局数" localSheetId="9">りくと!$B$3</definedName>
    <definedName name="総局数" localSheetId="15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6">あさひ!$B$2</definedName>
    <definedName name="対戦数" localSheetId="10">いっしー!$B$2</definedName>
    <definedName name="対戦数" localSheetId="11">がくと!$B$2</definedName>
    <definedName name="対戦数" localSheetId="7">かこたろう!$B$2</definedName>
    <definedName name="対戦数" localSheetId="6">だいち!$B$2</definedName>
    <definedName name="対戦数" localSheetId="12">たかの!$B$2</definedName>
    <definedName name="対戦数" localSheetId="13">ただ!$B$2</definedName>
    <definedName name="対戦数" localSheetId="8">ともき!$B$2</definedName>
    <definedName name="対戦数" localSheetId="18">ぱぱ!$B$2</definedName>
    <definedName name="対戦数" localSheetId="17">まっつん!$B$2</definedName>
    <definedName name="対戦数" localSheetId="14">やがさき!$B$2</definedName>
    <definedName name="対戦数" localSheetId="9">りくと!$B$2</definedName>
    <definedName name="対戦数" localSheetId="15">れんたろう!$B$2</definedName>
    <definedName name="対戦数" localSheetId="5">全体!$B$2</definedName>
    <definedName name="対戦数">#REF!</definedName>
    <definedName name="通算アガリ点" localSheetId="3">Template1!$C$27</definedName>
    <definedName name="通算アガリ点" localSheetId="16">あさひ!$C$27</definedName>
    <definedName name="通算アガリ点" localSheetId="10">いっしー!$C$27</definedName>
    <definedName name="通算アガリ点" localSheetId="11">がくと!$C$27</definedName>
    <definedName name="通算アガリ点" localSheetId="7">かこたろう!$C$27</definedName>
    <definedName name="通算アガリ点" localSheetId="6">だいち!$C$27</definedName>
    <definedName name="通算アガリ点" localSheetId="12">たかの!$C$27</definedName>
    <definedName name="通算アガリ点" localSheetId="13">ただ!$C$27</definedName>
    <definedName name="通算アガリ点" localSheetId="8">ともき!$C$27</definedName>
    <definedName name="通算アガリ点" localSheetId="18">ぱぱ!$C$27</definedName>
    <definedName name="通算アガリ点" localSheetId="17">まっつん!$C$27</definedName>
    <definedName name="通算アガリ点" localSheetId="14">やがさき!$C$27</definedName>
    <definedName name="通算アガリ点" localSheetId="9">りくと!$C$27</definedName>
    <definedName name="通算アガリ点" localSheetId="15">れんたろう!$C$27</definedName>
    <definedName name="通算アガリ点" localSheetId="5">全体!$C$27</definedName>
    <definedName name="通算アガリ点">#REF!</definedName>
    <definedName name="通算スコア" localSheetId="3">Template1!$B$4</definedName>
    <definedName name="通算スコア" localSheetId="16">あさひ!$B$4</definedName>
    <definedName name="通算スコア" localSheetId="10">いっしー!$B$4</definedName>
    <definedName name="通算スコア" localSheetId="11">がくと!$B$4</definedName>
    <definedName name="通算スコア" localSheetId="7">かこたろう!$B$4</definedName>
    <definedName name="通算スコア" localSheetId="6">だいち!$B$4</definedName>
    <definedName name="通算スコア" localSheetId="12">たかの!$B$4</definedName>
    <definedName name="通算スコア" localSheetId="13">ただ!$B$4</definedName>
    <definedName name="通算スコア" localSheetId="8">ともき!$B$4</definedName>
    <definedName name="通算スコア" localSheetId="18">ぱぱ!$B$4</definedName>
    <definedName name="通算スコア" localSheetId="17">まっつん!$B$4</definedName>
    <definedName name="通算スコア" localSheetId="14">やがさき!$B$4</definedName>
    <definedName name="通算スコア" localSheetId="9">りくと!$B$4</definedName>
    <definedName name="通算スコア" localSheetId="15">れんたろう!$B$4</definedName>
    <definedName name="通算スコア" localSheetId="5">全体!$B$4</definedName>
    <definedName name="通算スコア">#REF!</definedName>
    <definedName name="通算副露アガリ点" localSheetId="3">Template1!$C$29</definedName>
    <definedName name="通算副露アガリ点" localSheetId="16">あさひ!$C$29</definedName>
    <definedName name="通算副露アガリ点" localSheetId="10">いっしー!$C$29</definedName>
    <definedName name="通算副露アガリ点" localSheetId="11">がくと!$C$29</definedName>
    <definedName name="通算副露アガリ点" localSheetId="7">かこたろう!$C$29</definedName>
    <definedName name="通算副露アガリ点" localSheetId="6">だいち!$C$29</definedName>
    <definedName name="通算副露アガリ点" localSheetId="12">たかの!$C$29</definedName>
    <definedName name="通算副露アガリ点" localSheetId="13">ただ!$C$29</definedName>
    <definedName name="通算副露アガリ点" localSheetId="8">ともき!$C$29</definedName>
    <definedName name="通算副露アガリ点" localSheetId="18">ぱぱ!$C$29</definedName>
    <definedName name="通算副露アガリ点" localSheetId="17">まっつん!$C$29</definedName>
    <definedName name="通算副露アガリ点" localSheetId="14">やがさき!$C$29</definedName>
    <definedName name="通算副露アガリ点" localSheetId="9">りくと!$C$29</definedName>
    <definedName name="通算副露アガリ点" localSheetId="15">れんたろう!$C$29</definedName>
    <definedName name="通算副露アガリ点" localSheetId="5">全体!$C$29</definedName>
    <definedName name="通算副露アガリ点">#REF!</definedName>
    <definedName name="通算放銃点" localSheetId="3">Template1!$C$30</definedName>
    <definedName name="通算放銃点" localSheetId="16">あさひ!$C$30</definedName>
    <definedName name="通算放銃点" localSheetId="10">いっしー!$C$30</definedName>
    <definedName name="通算放銃点" localSheetId="11">がくと!$C$30</definedName>
    <definedName name="通算放銃点" localSheetId="7">かこたろう!$C$30</definedName>
    <definedName name="通算放銃点" localSheetId="6">だいち!$C$30</definedName>
    <definedName name="通算放銃点" localSheetId="12">たかの!$C$30</definedName>
    <definedName name="通算放銃点" localSheetId="13">ただ!$C$30</definedName>
    <definedName name="通算放銃点" localSheetId="8">ともき!$C$30</definedName>
    <definedName name="通算放銃点" localSheetId="18">ぱぱ!$C$30</definedName>
    <definedName name="通算放銃点" localSheetId="17">まっつん!$C$30</definedName>
    <definedName name="通算放銃点" localSheetId="14">やがさき!$C$30</definedName>
    <definedName name="通算放銃点" localSheetId="9">りくと!$C$30</definedName>
    <definedName name="通算放銃点" localSheetId="15">れんたろう!$C$30</definedName>
    <definedName name="通算放銃点" localSheetId="5">全体!$C$30</definedName>
    <definedName name="通算放銃点">#REF!</definedName>
    <definedName name="通算門前アガリ点" localSheetId="3">Template1!$C$28</definedName>
    <definedName name="通算門前アガリ点" localSheetId="16">あさひ!$C$28</definedName>
    <definedName name="通算門前アガリ点" localSheetId="10">いっしー!$C$28</definedName>
    <definedName name="通算門前アガリ点" localSheetId="11">がくと!$C$28</definedName>
    <definedName name="通算門前アガリ点" localSheetId="7">かこたろう!$C$28</definedName>
    <definedName name="通算門前アガリ点" localSheetId="6">だいち!$C$28</definedName>
    <definedName name="通算門前アガリ点" localSheetId="12">たかの!$C$28</definedName>
    <definedName name="通算門前アガリ点" localSheetId="13">ただ!$C$28</definedName>
    <definedName name="通算門前アガリ点" localSheetId="8">ともき!$C$28</definedName>
    <definedName name="通算門前アガリ点" localSheetId="18">ぱぱ!$C$28</definedName>
    <definedName name="通算門前アガリ点" localSheetId="17">まっつん!$C$28</definedName>
    <definedName name="通算門前アガリ点" localSheetId="14">やがさき!$C$28</definedName>
    <definedName name="通算門前アガリ点" localSheetId="9">りくと!$C$28</definedName>
    <definedName name="通算門前アガリ点" localSheetId="15">れんたろう!$C$28</definedName>
    <definedName name="通算門前アガリ点" localSheetId="5">全体!$C$28</definedName>
    <definedName name="通算門前アガリ点">#REF!</definedName>
    <definedName name="二位スコア" localSheetId="16">あさひ!$B$12</definedName>
    <definedName name="二位スコア" localSheetId="10">いっしー!$B$12</definedName>
    <definedName name="二位スコア" localSheetId="11">がくと!$B$12</definedName>
    <definedName name="二位スコア" localSheetId="7">かこたろう!$B$12</definedName>
    <definedName name="二位スコア" localSheetId="6">だいち!$B$12</definedName>
    <definedName name="二位スコア" localSheetId="12">たかの!$B$12</definedName>
    <definedName name="二位スコア" localSheetId="13">ただ!$B$12</definedName>
    <definedName name="二位スコア" localSheetId="8">ともき!$B$12</definedName>
    <definedName name="二位スコア" localSheetId="18">ぱぱ!$B$12</definedName>
    <definedName name="二位スコア" localSheetId="17">まっつん!$B$12</definedName>
    <definedName name="二位スコア" localSheetId="14">やがさき!$B$12</definedName>
    <definedName name="二位スコア" localSheetId="9">りくと!$B$12</definedName>
    <definedName name="二位スコア" localSheetId="15">れんたろう!$B$12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6">あさひ!$B$9</definedName>
    <definedName name="二位数" localSheetId="10">いっしー!$B$9</definedName>
    <definedName name="二位数" localSheetId="11">がくと!$B$9</definedName>
    <definedName name="二位数" localSheetId="7">かこたろう!$B$9</definedName>
    <definedName name="二位数" localSheetId="6">だいち!$B$9</definedName>
    <definedName name="二位数" localSheetId="12">たかの!$B$9</definedName>
    <definedName name="二位数" localSheetId="13">ただ!$B$9</definedName>
    <definedName name="二位数" localSheetId="8">ともき!$B$9</definedName>
    <definedName name="二位数" localSheetId="18">ぱぱ!$B$9</definedName>
    <definedName name="二位数" localSheetId="17">まっつん!$B$9</definedName>
    <definedName name="二位数" localSheetId="14">やがさき!$B$9</definedName>
    <definedName name="二位数" localSheetId="9">りくと!$B$9</definedName>
    <definedName name="二位数" localSheetId="15">れんたろう!$B$9</definedName>
    <definedName name="二位数" localSheetId="5">全体!$B$9</definedName>
    <definedName name="二位数">#REF!</definedName>
    <definedName name="二位通算スコア" localSheetId="16">あさひ!$C$12</definedName>
    <definedName name="二位通算スコア" localSheetId="10">いっしー!$C$12</definedName>
    <definedName name="二位通算スコア" localSheetId="11">がくと!$C$12</definedName>
    <definedName name="二位通算スコア" localSheetId="7">かこたろう!$C$12</definedName>
    <definedName name="二位通算スコア" localSheetId="6">だいち!$C$12</definedName>
    <definedName name="二位通算スコア" localSheetId="12">たかの!$C$12</definedName>
    <definedName name="二位通算スコア" localSheetId="13">ただ!$C$12</definedName>
    <definedName name="二位通算スコア" localSheetId="8">ともき!$C$12</definedName>
    <definedName name="二位通算スコア" localSheetId="18">ぱぱ!$C$12</definedName>
    <definedName name="二位通算スコア" localSheetId="17">まっつん!$C$12</definedName>
    <definedName name="二位通算スコア" localSheetId="14">やがさき!$C$12</definedName>
    <definedName name="二位通算スコア" localSheetId="9">りくと!$C$12</definedName>
    <definedName name="二位通算スコア" localSheetId="15">れんたろう!$C$12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6">あさひ!$C$9</definedName>
    <definedName name="二位率" localSheetId="10">いっしー!$C$9</definedName>
    <definedName name="二位率" localSheetId="11">がくと!$C$9</definedName>
    <definedName name="二位率" localSheetId="7">かこたろう!$C$9</definedName>
    <definedName name="二位率" localSheetId="6">だいち!$C$9</definedName>
    <definedName name="二位率" localSheetId="12">たかの!$C$9</definedName>
    <definedName name="二位率" localSheetId="13">ただ!$C$9</definedName>
    <definedName name="二位率" localSheetId="8">ともき!$C$9</definedName>
    <definedName name="二位率" localSheetId="18">ぱぱ!$C$9</definedName>
    <definedName name="二位率" localSheetId="17">まっつん!$C$9</definedName>
    <definedName name="二位率" localSheetId="14">やがさき!$C$9</definedName>
    <definedName name="二位率" localSheetId="9">りくと!$C$9</definedName>
    <definedName name="二位率" localSheetId="15">れんたろう!$C$9</definedName>
    <definedName name="二位率" localSheetId="5">全体!$C$9</definedName>
    <definedName name="二位率">#REF!</definedName>
    <definedName name="副露アガリ数" localSheetId="3">Template1!$B$25</definedName>
    <definedName name="副露アガリ数" localSheetId="16">あさひ!$B$25</definedName>
    <definedName name="副露アガリ数" localSheetId="10">いっしー!$B$25</definedName>
    <definedName name="副露アガリ数" localSheetId="11">がくと!$B$25</definedName>
    <definedName name="副露アガリ数" localSheetId="7">かこたろう!$B$25</definedName>
    <definedName name="副露アガリ数" localSheetId="6">だいち!$B$25</definedName>
    <definedName name="副露アガリ数" localSheetId="12">たかの!$B$25</definedName>
    <definedName name="副露アガリ数" localSheetId="13">ただ!$B$25</definedName>
    <definedName name="副露アガリ数" localSheetId="8">ともき!$B$25</definedName>
    <definedName name="副露アガリ数" localSheetId="18">ぱぱ!$B$25</definedName>
    <definedName name="副露アガリ数" localSheetId="17">まっつん!$B$25</definedName>
    <definedName name="副露アガリ数" localSheetId="14">やがさき!$B$25</definedName>
    <definedName name="副露アガリ数" localSheetId="9">りくと!$B$25</definedName>
    <definedName name="副露アガリ数" localSheetId="15">れんたろう!$B$25</definedName>
    <definedName name="副露アガリ数" localSheetId="5">全体!$B$25</definedName>
    <definedName name="副露アガリ数">#REF!</definedName>
    <definedName name="副露アガリ点" localSheetId="3">Template1!$B$29</definedName>
    <definedName name="副露アガリ点" localSheetId="16">あさひ!$B$29</definedName>
    <definedName name="副露アガリ点" localSheetId="10">いっしー!$B$29</definedName>
    <definedName name="副露アガリ点" localSheetId="11">がくと!$B$29</definedName>
    <definedName name="副露アガリ点" localSheetId="7">かこたろう!$B$29</definedName>
    <definedName name="副露アガリ点" localSheetId="6">だいち!$B$29</definedName>
    <definedName name="副露アガリ点" localSheetId="12">たかの!$B$29</definedName>
    <definedName name="副露アガリ点" localSheetId="13">ただ!$B$29</definedName>
    <definedName name="副露アガリ点" localSheetId="8">ともき!$B$29</definedName>
    <definedName name="副露アガリ点" localSheetId="18">ぱぱ!$B$29</definedName>
    <definedName name="副露アガリ点" localSheetId="17">まっつん!$B$29</definedName>
    <definedName name="副露アガリ点" localSheetId="14">やがさき!$B$29</definedName>
    <definedName name="副露アガリ点" localSheetId="9">りくと!$B$29</definedName>
    <definedName name="副露アガリ点" localSheetId="15">れんたろう!$B$29</definedName>
    <definedName name="副露アガリ点" localSheetId="5">全体!$B$29</definedName>
    <definedName name="副露アガリ点">#REF!</definedName>
    <definedName name="副露アガリ率" localSheetId="3">Template1!$C$25</definedName>
    <definedName name="副露アガリ率" localSheetId="16">あさひ!$C$25</definedName>
    <definedName name="副露アガリ率" localSheetId="10">いっしー!$C$25</definedName>
    <definedName name="副露アガリ率" localSheetId="11">がくと!$C$25</definedName>
    <definedName name="副露アガリ率" localSheetId="7">かこたろう!$C$25</definedName>
    <definedName name="副露アガリ率" localSheetId="6">だいち!$C$25</definedName>
    <definedName name="副露アガリ率" localSheetId="12">たかの!$C$25</definedName>
    <definedName name="副露アガリ率" localSheetId="13">ただ!$C$25</definedName>
    <definedName name="副露アガリ率" localSheetId="8">ともき!$C$25</definedName>
    <definedName name="副露アガリ率" localSheetId="18">ぱぱ!$C$25</definedName>
    <definedName name="副露アガリ率" localSheetId="17">まっつん!$C$25</definedName>
    <definedName name="副露アガリ率" localSheetId="14">やがさき!$C$25</definedName>
    <definedName name="副露アガリ率" localSheetId="9">りくと!$C$25</definedName>
    <definedName name="副露アガリ率" localSheetId="15">れんたろう!$C$25</definedName>
    <definedName name="副露アガリ率" localSheetId="5">全体!$C$25</definedName>
    <definedName name="副露アガリ率">#REF!</definedName>
    <definedName name="副露数" localSheetId="3">Template1!$B$17</definedName>
    <definedName name="副露数" localSheetId="16">あさひ!$B$17</definedName>
    <definedName name="副露数" localSheetId="10">いっしー!$B$17</definedName>
    <definedName name="副露数" localSheetId="11">がくと!$B$17</definedName>
    <definedName name="副露数" localSheetId="7">かこたろう!$B$17</definedName>
    <definedName name="副露数" localSheetId="6">だいち!$B$17</definedName>
    <definedName name="副露数" localSheetId="12">たかの!$B$17</definedName>
    <definedName name="副露数" localSheetId="13">ただ!$B$17</definedName>
    <definedName name="副露数" localSheetId="8">ともき!$B$17</definedName>
    <definedName name="副露数" localSheetId="18">ぱぱ!$B$17</definedName>
    <definedName name="副露数" localSheetId="17">まっつん!$B$17</definedName>
    <definedName name="副露数" localSheetId="14">やがさき!$B$17</definedName>
    <definedName name="副露数" localSheetId="9">りくと!$B$17</definedName>
    <definedName name="副露数" localSheetId="15">れんたろう!$B$17</definedName>
    <definedName name="副露数" localSheetId="5">全体!$B$17</definedName>
    <definedName name="副露数">#REF!</definedName>
    <definedName name="副露成功数" localSheetId="3">Template1!$B$19</definedName>
    <definedName name="副露成功数" localSheetId="16">あさひ!$B$19</definedName>
    <definedName name="副露成功数" localSheetId="10">いっしー!$B$19</definedName>
    <definedName name="副露成功数" localSheetId="11">がくと!$B$19</definedName>
    <definedName name="副露成功数" localSheetId="7">かこたろう!$B$19</definedName>
    <definedName name="副露成功数" localSheetId="6">だいち!$B$19</definedName>
    <definedName name="副露成功数" localSheetId="12">たかの!$B$19</definedName>
    <definedName name="副露成功数" localSheetId="13">ただ!$B$19</definedName>
    <definedName name="副露成功数" localSheetId="8">ともき!$B$19</definedName>
    <definedName name="副露成功数" localSheetId="18">ぱぱ!$B$19</definedName>
    <definedName name="副露成功数" localSheetId="17">まっつん!$B$19</definedName>
    <definedName name="副露成功数" localSheetId="14">やがさき!$B$19</definedName>
    <definedName name="副露成功数" localSheetId="9">りくと!$B$19</definedName>
    <definedName name="副露成功数" localSheetId="15">れんたろう!$B$19</definedName>
    <definedName name="副露成功数" localSheetId="5">全体!$B$19</definedName>
    <definedName name="副露成功数">#REF!</definedName>
    <definedName name="副露成功率" localSheetId="3">Template1!$C$19</definedName>
    <definedName name="副露成功率" localSheetId="16">あさひ!$C$19</definedName>
    <definedName name="副露成功率" localSheetId="10">いっしー!$C$19</definedName>
    <definedName name="副露成功率" localSheetId="11">がくと!$C$19</definedName>
    <definedName name="副露成功率" localSheetId="7">かこたろう!$C$19</definedName>
    <definedName name="副露成功率" localSheetId="6">だいち!$C$19</definedName>
    <definedName name="副露成功率" localSheetId="12">たかの!$C$19</definedName>
    <definedName name="副露成功率" localSheetId="13">ただ!$C$19</definedName>
    <definedName name="副露成功率" localSheetId="8">ともき!$C$19</definedName>
    <definedName name="副露成功率" localSheetId="18">ぱぱ!$C$19</definedName>
    <definedName name="副露成功率" localSheetId="17">まっつん!$C$19</definedName>
    <definedName name="副露成功率" localSheetId="14">やがさき!$C$19</definedName>
    <definedName name="副露成功率" localSheetId="9">りくと!$C$19</definedName>
    <definedName name="副露成功率" localSheetId="15">れんたろう!$C$19</definedName>
    <definedName name="副露成功率" localSheetId="5">全体!$C$19</definedName>
    <definedName name="副露成功率">#REF!</definedName>
    <definedName name="副露率" localSheetId="3">Template1!$C$17</definedName>
    <definedName name="副露率" localSheetId="16">あさひ!$C$17</definedName>
    <definedName name="副露率" localSheetId="10">いっしー!$C$17</definedName>
    <definedName name="副露率" localSheetId="11">がくと!$C$17</definedName>
    <definedName name="副露率" localSheetId="7">かこたろう!$C$17</definedName>
    <definedName name="副露率" localSheetId="6">だいち!$C$17</definedName>
    <definedName name="副露率" localSheetId="12">たかの!$C$17</definedName>
    <definedName name="副露率" localSheetId="13">ただ!$C$17</definedName>
    <definedName name="副露率" localSheetId="8">ともき!$C$17</definedName>
    <definedName name="副露率" localSheetId="18">ぱぱ!$C$17</definedName>
    <definedName name="副露率" localSheetId="17">まっつん!$C$17</definedName>
    <definedName name="副露率" localSheetId="14">やがさき!$C$17</definedName>
    <definedName name="副露率" localSheetId="9">りくと!$C$17</definedName>
    <definedName name="副露率" localSheetId="15">れんたろう!$C$17</definedName>
    <definedName name="副露率" localSheetId="5">全体!$C$17</definedName>
    <definedName name="副露率">#REF!</definedName>
    <definedName name="平均アガリ点" localSheetId="3">Template1!$B$27</definedName>
    <definedName name="平均アガリ点" localSheetId="16">あさひ!$B$27</definedName>
    <definedName name="平均アガリ点" localSheetId="10">いっしー!$B$27</definedName>
    <definedName name="平均アガリ点" localSheetId="11">がくと!$B$27</definedName>
    <definedName name="平均アガリ点" localSheetId="7">かこたろう!$B$27</definedName>
    <definedName name="平均アガリ点" localSheetId="6">だいち!$B$27</definedName>
    <definedName name="平均アガリ点" localSheetId="12">たかの!$B$27</definedName>
    <definedName name="平均アガリ点" localSheetId="13">ただ!$B$27</definedName>
    <definedName name="平均アガリ点" localSheetId="8">ともき!$B$27</definedName>
    <definedName name="平均アガリ点" localSheetId="18">ぱぱ!$B$27</definedName>
    <definedName name="平均アガリ点" localSheetId="17">まっつん!$B$27</definedName>
    <definedName name="平均アガリ点" localSheetId="14">やがさき!$B$27</definedName>
    <definedName name="平均アガリ点" localSheetId="9">りくと!$B$27</definedName>
    <definedName name="平均アガリ点" localSheetId="15">れんたろう!$B$27</definedName>
    <definedName name="平均アガリ点" localSheetId="5">全体!$B$27</definedName>
    <definedName name="平均アガリ点">#REF!</definedName>
    <definedName name="平均スコア" localSheetId="3">Template1!$B$5</definedName>
    <definedName name="平均スコア" localSheetId="16">あさひ!$B$5</definedName>
    <definedName name="平均スコア" localSheetId="10">いっしー!$B$5</definedName>
    <definedName name="平均スコア" localSheetId="11">がくと!$B$5</definedName>
    <definedName name="平均スコア" localSheetId="7">かこたろう!$B$5</definedName>
    <definedName name="平均スコア" localSheetId="6">だいち!$B$5</definedName>
    <definedName name="平均スコア" localSheetId="12">たかの!$B$5</definedName>
    <definedName name="平均スコア" localSheetId="13">ただ!$B$5</definedName>
    <definedName name="平均スコア" localSheetId="8">ともき!$B$5</definedName>
    <definedName name="平均スコア" localSheetId="18">ぱぱ!$B$5</definedName>
    <definedName name="平均スコア" localSheetId="17">まっつん!$B$5</definedName>
    <definedName name="平均スコア" localSheetId="14">やがさき!$B$5</definedName>
    <definedName name="平均スコア" localSheetId="9">りくと!$B$5</definedName>
    <definedName name="平均スコア" localSheetId="15">れんたろう!$B$5</definedName>
    <definedName name="平均スコア" localSheetId="5">全体!$B$5</definedName>
    <definedName name="平均スコア">#REF!</definedName>
    <definedName name="平均順位" localSheetId="3">Template1!$B$7</definedName>
    <definedName name="平均順位" localSheetId="16">あさひ!$B$7</definedName>
    <definedName name="平均順位" localSheetId="10">いっしー!$B$7</definedName>
    <definedName name="平均順位" localSheetId="11">がくと!$B$7</definedName>
    <definedName name="平均順位" localSheetId="7">かこたろう!$B$7</definedName>
    <definedName name="平均順位" localSheetId="6">だいち!$B$7</definedName>
    <definedName name="平均順位" localSheetId="12">たかの!$B$7</definedName>
    <definedName name="平均順位" localSheetId="13">ただ!$B$7</definedName>
    <definedName name="平均順位" localSheetId="8">ともき!$B$7</definedName>
    <definedName name="平均順位" localSheetId="18">ぱぱ!$B$7</definedName>
    <definedName name="平均順位" localSheetId="17">まっつん!$B$7</definedName>
    <definedName name="平均順位" localSheetId="14">やがさき!$B$7</definedName>
    <definedName name="平均順位" localSheetId="9">りくと!$B$7</definedName>
    <definedName name="平均順位" localSheetId="15">れんたろう!$B$7</definedName>
    <definedName name="平均順位" localSheetId="5">全体!$B$7</definedName>
    <definedName name="平均順位">#REF!</definedName>
    <definedName name="平均放銃点" localSheetId="3">Template1!$B$30</definedName>
    <definedName name="平均放銃点" localSheetId="16">あさひ!$B$30</definedName>
    <definedName name="平均放銃点" localSheetId="10">いっしー!$B$30</definedName>
    <definedName name="平均放銃点" localSheetId="11">がくと!$B$30</definedName>
    <definedName name="平均放銃点" localSheetId="7">かこたろう!$B$30</definedName>
    <definedName name="平均放銃点" localSheetId="6">だいち!$B$30</definedName>
    <definedName name="平均放銃点" localSheetId="12">たかの!$B$30</definedName>
    <definedName name="平均放銃点" localSheetId="13">ただ!$B$30</definedName>
    <definedName name="平均放銃点" localSheetId="8">ともき!$B$30</definedName>
    <definedName name="平均放銃点" localSheetId="18">ぱぱ!$B$30</definedName>
    <definedName name="平均放銃点" localSheetId="17">まっつん!$B$30</definedName>
    <definedName name="平均放銃点" localSheetId="14">やがさき!$B$30</definedName>
    <definedName name="平均放銃点" localSheetId="9">りくと!$B$30</definedName>
    <definedName name="平均放銃点" localSheetId="15">れんたろう!$B$30</definedName>
    <definedName name="平均放銃点" localSheetId="5">全体!$B$30</definedName>
    <definedName name="平均放銃点">#REF!</definedName>
    <definedName name="放銃数" localSheetId="3">Template1!$B$21</definedName>
    <definedName name="放銃数" localSheetId="16">あさひ!$B$21</definedName>
    <definedName name="放銃数" localSheetId="10">いっしー!$B$21</definedName>
    <definedName name="放銃数" localSheetId="11">がくと!$B$21</definedName>
    <definedName name="放銃数" localSheetId="7">かこたろう!$B$21</definedName>
    <definedName name="放銃数" localSheetId="6">だいち!$B$21</definedName>
    <definedName name="放銃数" localSheetId="12">たかの!$B$21</definedName>
    <definedName name="放銃数" localSheetId="13">ただ!$B$21</definedName>
    <definedName name="放銃数" localSheetId="8">ともき!$B$21</definedName>
    <definedName name="放銃数" localSheetId="18">ぱぱ!$B$21</definedName>
    <definedName name="放銃数" localSheetId="17">まっつん!$B$21</definedName>
    <definedName name="放銃数" localSheetId="14">やがさき!$B$21</definedName>
    <definedName name="放銃数" localSheetId="9">りくと!$B$21</definedName>
    <definedName name="放銃数" localSheetId="15">れんたろう!$B$21</definedName>
    <definedName name="放銃数" localSheetId="5">全体!$B$21</definedName>
    <definedName name="放銃数">#REF!</definedName>
    <definedName name="放銃率" localSheetId="3">Template1!$C$21</definedName>
    <definedName name="放銃率" localSheetId="16">あさひ!$C$21</definedName>
    <definedName name="放銃率" localSheetId="10">いっしー!$C$21</definedName>
    <definedName name="放銃率" localSheetId="11">がくと!$C$21</definedName>
    <definedName name="放銃率" localSheetId="7">かこたろう!$C$21</definedName>
    <definedName name="放銃率" localSheetId="6">だいち!$C$21</definedName>
    <definedName name="放銃率" localSheetId="12">たかの!$C$21</definedName>
    <definedName name="放銃率" localSheetId="13">ただ!$C$21</definedName>
    <definedName name="放銃率" localSheetId="8">ともき!$C$21</definedName>
    <definedName name="放銃率" localSheetId="18">ぱぱ!$C$21</definedName>
    <definedName name="放銃率" localSheetId="17">まっつん!$C$21</definedName>
    <definedName name="放銃率" localSheetId="14">やがさき!$C$21</definedName>
    <definedName name="放銃率" localSheetId="9">りくと!$C$21</definedName>
    <definedName name="放銃率" localSheetId="15">れんたろう!$C$21</definedName>
    <definedName name="放銃率" localSheetId="5">全体!$C$21</definedName>
    <definedName name="放銃率">#REF!</definedName>
    <definedName name="名前" localSheetId="3">Template1!$B$1</definedName>
    <definedName name="名前" localSheetId="16">あさひ!$B$1</definedName>
    <definedName name="名前" localSheetId="10">いっしー!$B$1</definedName>
    <definedName name="名前" localSheetId="11">がくと!$B$1</definedName>
    <definedName name="名前" localSheetId="7">かこたろう!$B$1</definedName>
    <definedName name="名前" localSheetId="6">だいち!$B$1</definedName>
    <definedName name="名前" localSheetId="12">たかの!$B$1</definedName>
    <definedName name="名前" localSheetId="13">ただ!$B$1</definedName>
    <definedName name="名前" localSheetId="8">ともき!$B$1</definedName>
    <definedName name="名前" localSheetId="18">ぱぱ!$B$1</definedName>
    <definedName name="名前" localSheetId="17">まっつん!$B$1</definedName>
    <definedName name="名前" localSheetId="14">やがさき!$B$1</definedName>
    <definedName name="名前" localSheetId="9">りくと!$B$1</definedName>
    <definedName name="名前" localSheetId="15">れんたろう!$B$1</definedName>
    <definedName name="名前" localSheetId="5">全体!$B$1</definedName>
    <definedName name="名前">#REF!</definedName>
    <definedName name="門前アガリ点" localSheetId="3">Template1!$B$28</definedName>
    <definedName name="門前アガリ点" localSheetId="16">あさひ!$B$28</definedName>
    <definedName name="門前アガリ点" localSheetId="10">いっしー!$B$28</definedName>
    <definedName name="門前アガリ点" localSheetId="11">がくと!$B$28</definedName>
    <definedName name="門前アガリ点" localSheetId="7">かこたろう!$B$28</definedName>
    <definedName name="門前アガリ点" localSheetId="6">だいち!$B$28</definedName>
    <definedName name="門前アガリ点" localSheetId="12">たかの!$B$28</definedName>
    <definedName name="門前アガリ点" localSheetId="13">ただ!$B$28</definedName>
    <definedName name="門前アガリ点" localSheetId="8">ともき!$B$28</definedName>
    <definedName name="門前アガリ点" localSheetId="18">ぱぱ!$B$28</definedName>
    <definedName name="門前アガリ点" localSheetId="17">まっつん!$B$28</definedName>
    <definedName name="門前アガリ点" localSheetId="14">やがさき!$B$28</definedName>
    <definedName name="門前アガリ点" localSheetId="9">りくと!$B$28</definedName>
    <definedName name="門前アガリ点" localSheetId="15">れんたろう!$B$28</definedName>
    <definedName name="門前アガリ点" localSheetId="5">全体!$B$28</definedName>
    <definedName name="門前アガリ点">#REF!</definedName>
    <definedName name="連続アガリ" localSheetId="3">Template1!$B$31</definedName>
    <definedName name="連続アガリ" localSheetId="16">あさひ!$B$31</definedName>
    <definedName name="連続アガリ" localSheetId="10">いっしー!$B$31</definedName>
    <definedName name="連続アガリ" localSheetId="11">がくと!$B$31</definedName>
    <definedName name="連続アガリ" localSheetId="7">かこたろう!$B$31</definedName>
    <definedName name="連続アガリ" localSheetId="6">だいち!$B$31</definedName>
    <definedName name="連続アガリ" localSheetId="12">たかの!$B$31</definedName>
    <definedName name="連続アガリ" localSheetId="13">ただ!$B$31</definedName>
    <definedName name="連続アガリ" localSheetId="8">ともき!$B$31</definedName>
    <definedName name="連続アガリ" localSheetId="18">ぱぱ!$B$31</definedName>
    <definedName name="連続アガリ" localSheetId="17">まっつん!$B$31</definedName>
    <definedName name="連続アガリ" localSheetId="14">やがさき!$B$31</definedName>
    <definedName name="連続アガリ" localSheetId="9">りくと!$B$31</definedName>
    <definedName name="連続アガリ" localSheetId="15">れんたろう!$B$31</definedName>
    <definedName name="連続アガリ" localSheetId="5">全体!$B$31</definedName>
    <definedName name="連続アガリ">#REF!</definedName>
    <definedName name="連続無放銃" localSheetId="3">Template1!$B$32</definedName>
    <definedName name="連続無放銃" localSheetId="16">あさひ!$B$32</definedName>
    <definedName name="連続無放銃" localSheetId="10">いっしー!$B$32</definedName>
    <definedName name="連続無放銃" localSheetId="11">がくと!$B$32</definedName>
    <definedName name="連続無放銃" localSheetId="7">かこたろう!$B$32</definedName>
    <definedName name="連続無放銃" localSheetId="6">だいち!$B$32</definedName>
    <definedName name="連続無放銃" localSheetId="12">たかの!$B$32</definedName>
    <definedName name="連続無放銃" localSheetId="13">ただ!$B$32</definedName>
    <definedName name="連続無放銃" localSheetId="8">ともき!$B$32</definedName>
    <definedName name="連続無放銃" localSheetId="18">ぱぱ!$B$32</definedName>
    <definedName name="連続無放銃" localSheetId="17">まっつん!$B$32</definedName>
    <definedName name="連続無放銃" localSheetId="14">やがさき!$B$32</definedName>
    <definedName name="連続無放銃" localSheetId="9">りくと!$B$32</definedName>
    <definedName name="連続無放銃" localSheetId="15">れんたろう!$B$32</definedName>
    <definedName name="連続無放銃" localSheetId="5">全体!$B$32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5" i="6529" l="1"/>
  <c r="P20" i="6539"/>
  <c r="P15" i="6533" l="1"/>
  <c r="P19" i="6539"/>
  <c r="P15" i="6521" l="1"/>
  <c r="P21" i="6539"/>
  <c r="P17" i="6531" l="1"/>
  <c r="P18" i="6539"/>
  <c r="P16" i="6539"/>
  <c r="P18" i="6515"/>
  <c r="P21" i="6523"/>
  <c r="P17" i="6523"/>
  <c r="P15" i="6539"/>
  <c r="P17" i="6539"/>
  <c r="H52" i="6539"/>
  <c r="H51" i="6539"/>
  <c r="H50" i="6539"/>
  <c r="H49" i="6539"/>
  <c r="H48" i="6539"/>
  <c r="H47" i="6539"/>
  <c r="H46" i="6539"/>
  <c r="H45" i="6539"/>
  <c r="H44" i="6539"/>
  <c r="H43" i="6539"/>
  <c r="H42" i="6539"/>
  <c r="H41" i="6539"/>
  <c r="H40" i="6539"/>
  <c r="H39" i="6539"/>
  <c r="H38" i="6539"/>
  <c r="H37" i="6539"/>
  <c r="H36" i="6539"/>
  <c r="H35" i="6539"/>
  <c r="C35" i="6539"/>
  <c r="H34" i="6539"/>
  <c r="H33" i="6539"/>
  <c r="H32" i="6539"/>
  <c r="H31" i="6539"/>
  <c r="H30" i="6539"/>
  <c r="B30" i="6539"/>
  <c r="H29" i="6539"/>
  <c r="H28" i="6539"/>
  <c r="H8" i="6539"/>
  <c r="H27" i="6539"/>
  <c r="H26" i="6539"/>
  <c r="H12" i="6539"/>
  <c r="H25" i="6539"/>
  <c r="H24" i="6539"/>
  <c r="H9" i="6539"/>
  <c r="C21" i="6539"/>
  <c r="H23" i="6539"/>
  <c r="B20" i="6539"/>
  <c r="C48" i="6539" s="1"/>
  <c r="H11" i="6539"/>
  <c r="B19" i="6539"/>
  <c r="B29" i="6539" s="1"/>
  <c r="H22" i="6539"/>
  <c r="B18" i="6539"/>
  <c r="C18" i="6539" s="1"/>
  <c r="H10" i="6539"/>
  <c r="C17" i="6539"/>
  <c r="H21" i="6539"/>
  <c r="C16" i="6539"/>
  <c r="H20" i="6539"/>
  <c r="C15" i="6539"/>
  <c r="H19" i="6539"/>
  <c r="H18" i="6539"/>
  <c r="B13" i="6539"/>
  <c r="P12" i="6539"/>
  <c r="H17" i="6539"/>
  <c r="B12" i="6539"/>
  <c r="P11" i="6539"/>
  <c r="H16" i="6539"/>
  <c r="B11" i="6539"/>
  <c r="P10" i="6539"/>
  <c r="H2" i="6539"/>
  <c r="C10" i="6539"/>
  <c r="H15" i="6539"/>
  <c r="C9" i="6539"/>
  <c r="H7" i="6539"/>
  <c r="C8" i="6539"/>
  <c r="P7" i="6539"/>
  <c r="H14" i="6539"/>
  <c r="B7" i="6539"/>
  <c r="P6" i="6539"/>
  <c r="H6" i="6539"/>
  <c r="P5" i="6539"/>
  <c r="H5" i="6539"/>
  <c r="B5" i="6539"/>
  <c r="P4" i="6539"/>
  <c r="H3" i="6539"/>
  <c r="P3" i="6539"/>
  <c r="H13" i="6539"/>
  <c r="P2" i="6539"/>
  <c r="H4" i="6539"/>
  <c r="P20" i="6537"/>
  <c r="P19" i="6537"/>
  <c r="P17" i="6513"/>
  <c r="C19" i="6539" l="1"/>
  <c r="B14" i="6539"/>
  <c r="C23" i="6539"/>
  <c r="C25" i="6539"/>
  <c r="B27" i="6539"/>
  <c r="C39" i="6539"/>
  <c r="C47" i="6539"/>
  <c r="C37" i="6539"/>
  <c r="C20" i="6539"/>
  <c r="C26" i="6539"/>
  <c r="C43" i="6539"/>
  <c r="C45" i="6539"/>
  <c r="C22" i="6539"/>
  <c r="C24" i="6539"/>
  <c r="C41" i="6539"/>
  <c r="C49" i="6539"/>
  <c r="B28" i="6539"/>
  <c r="C38" i="6539"/>
  <c r="C40" i="6539"/>
  <c r="C42" i="6539"/>
  <c r="C44" i="6539"/>
  <c r="C46" i="6539"/>
  <c r="P15" i="6523" l="1"/>
  <c r="P21" i="6531"/>
  <c r="P20" i="6531"/>
  <c r="P17" i="6533"/>
  <c r="P19" i="6521" l="1"/>
  <c r="P16" i="6531"/>
  <c r="P19" i="6529"/>
  <c r="P18" i="6531"/>
  <c r="P21" i="6521" l="1"/>
  <c r="P16" i="6537"/>
  <c r="P22" i="6537" l="1"/>
  <c r="P17" i="6515"/>
  <c r="P21" i="6529" l="1"/>
  <c r="P17" i="6535"/>
  <c r="P15" i="6525"/>
  <c r="P16" i="6525"/>
  <c r="P18" i="6533"/>
  <c r="P25" i="6533"/>
  <c r="P15" i="6537"/>
  <c r="P17" i="6537"/>
  <c r="P19" i="6523"/>
  <c r="P18" i="6527"/>
  <c r="P21" i="6537" l="1"/>
  <c r="P18" i="6537"/>
  <c r="H52" i="6537"/>
  <c r="H51" i="6537"/>
  <c r="H50" i="6537"/>
  <c r="H49" i="6537"/>
  <c r="H48" i="6537"/>
  <c r="H47" i="6537"/>
  <c r="H46" i="6537"/>
  <c r="H45" i="6537"/>
  <c r="H44" i="6537"/>
  <c r="H43" i="6537"/>
  <c r="H42" i="6537"/>
  <c r="H41" i="6537"/>
  <c r="H40" i="6537"/>
  <c r="H39" i="6537"/>
  <c r="H38" i="6537"/>
  <c r="H37" i="6537"/>
  <c r="H36" i="6537"/>
  <c r="H35" i="6537"/>
  <c r="C35" i="6537"/>
  <c r="H34" i="6537"/>
  <c r="H33" i="6537"/>
  <c r="H32" i="6537"/>
  <c r="H31" i="6537"/>
  <c r="H20" i="6537"/>
  <c r="B30" i="6537"/>
  <c r="H19" i="6537"/>
  <c r="H30" i="6537"/>
  <c r="H7" i="6537"/>
  <c r="H29" i="6537"/>
  <c r="H28" i="6537"/>
  <c r="H10" i="6537"/>
  <c r="H18" i="6537"/>
  <c r="H27" i="6537"/>
  <c r="H6" i="6537"/>
  <c r="C21" i="6537"/>
  <c r="H26" i="6537"/>
  <c r="B20" i="6537"/>
  <c r="C49" i="6537" s="1"/>
  <c r="H13" i="6537"/>
  <c r="B19" i="6537"/>
  <c r="B29" i="6537" s="1"/>
  <c r="H25" i="6537"/>
  <c r="B18" i="6537"/>
  <c r="C18" i="6537" s="1"/>
  <c r="H16" i="6537"/>
  <c r="C17" i="6537"/>
  <c r="H12" i="6537"/>
  <c r="C16" i="6537"/>
  <c r="H17" i="6537"/>
  <c r="C15" i="6537"/>
  <c r="H24" i="6537"/>
  <c r="H23" i="6537"/>
  <c r="B13" i="6537"/>
  <c r="P12" i="6537"/>
  <c r="H22" i="6537"/>
  <c r="B12" i="6537"/>
  <c r="P11" i="6537"/>
  <c r="H21" i="6537"/>
  <c r="B11" i="6537"/>
  <c r="P10" i="6537"/>
  <c r="H2" i="6537"/>
  <c r="C10" i="6537"/>
  <c r="H15" i="6537"/>
  <c r="C9" i="6537"/>
  <c r="H9" i="6537"/>
  <c r="C8" i="6537"/>
  <c r="P7" i="6537"/>
  <c r="H14" i="6537"/>
  <c r="B7" i="6537"/>
  <c r="P6" i="6537"/>
  <c r="H5" i="6537"/>
  <c r="P5" i="6537"/>
  <c r="H8" i="6537"/>
  <c r="B5" i="6537"/>
  <c r="P4" i="6537"/>
  <c r="H3" i="6537"/>
  <c r="P3" i="6537"/>
  <c r="H11" i="6537"/>
  <c r="P2" i="6537"/>
  <c r="H4" i="6537"/>
  <c r="P15" i="6527"/>
  <c r="P16" i="6529"/>
  <c r="P18" i="6513"/>
  <c r="P24" i="6523"/>
  <c r="P18" i="6525"/>
  <c r="P18" i="6535"/>
  <c r="P15" i="6535"/>
  <c r="B14" i="6537" l="1"/>
  <c r="C19" i="6537"/>
  <c r="C20" i="6537"/>
  <c r="C23" i="6537"/>
  <c r="C25" i="6537"/>
  <c r="B27" i="6537"/>
  <c r="C38" i="6537"/>
  <c r="C40" i="6537"/>
  <c r="C42" i="6537"/>
  <c r="C44" i="6537"/>
  <c r="C46" i="6537"/>
  <c r="C48" i="6537"/>
  <c r="C22" i="6537"/>
  <c r="C24" i="6537"/>
  <c r="C26" i="6537"/>
  <c r="B28" i="6537"/>
  <c r="C37" i="6537"/>
  <c r="C39" i="6537"/>
  <c r="C41" i="6537"/>
  <c r="C43" i="6537"/>
  <c r="C45" i="6537"/>
  <c r="C47" i="6537"/>
  <c r="P22" i="6533" l="1"/>
  <c r="P16" i="6521"/>
  <c r="P16" i="6519"/>
  <c r="P18" i="6519"/>
  <c r="P16" i="6533"/>
  <c r="P24" i="6521"/>
  <c r="P27" i="6513"/>
  <c r="P19" i="6535"/>
  <c r="P16" i="6535"/>
  <c r="H52" i="6535"/>
  <c r="H51" i="6535"/>
  <c r="H50" i="6535"/>
  <c r="H49" i="6535"/>
  <c r="H48" i="6535"/>
  <c r="H47" i="6535"/>
  <c r="H46" i="6535"/>
  <c r="H45" i="6535"/>
  <c r="H44" i="6535"/>
  <c r="H43" i="6535"/>
  <c r="H42" i="6535"/>
  <c r="H41" i="6535"/>
  <c r="H40" i="6535"/>
  <c r="H39" i="6535"/>
  <c r="H38" i="6535"/>
  <c r="H37" i="6535"/>
  <c r="H36" i="6535"/>
  <c r="H35" i="6535"/>
  <c r="C35" i="6535"/>
  <c r="H34" i="6535"/>
  <c r="H33" i="6535"/>
  <c r="H32" i="6535"/>
  <c r="H31" i="6535"/>
  <c r="H30" i="6535"/>
  <c r="B30" i="6535"/>
  <c r="H13" i="6535"/>
  <c r="B29" i="6535"/>
  <c r="H29" i="6535"/>
  <c r="H11" i="6535"/>
  <c r="H28" i="6535"/>
  <c r="H27" i="6535"/>
  <c r="H10" i="6535"/>
  <c r="H26" i="6535"/>
  <c r="H25" i="6535"/>
  <c r="H24" i="6535"/>
  <c r="C21" i="6535"/>
  <c r="H23" i="6535"/>
  <c r="B20" i="6535"/>
  <c r="C49" i="6535" s="1"/>
  <c r="H22" i="6535"/>
  <c r="B19" i="6535"/>
  <c r="C19" i="6535" s="1"/>
  <c r="H21" i="6535"/>
  <c r="B18" i="6535"/>
  <c r="C18" i="6535" s="1"/>
  <c r="H20" i="6535"/>
  <c r="C17" i="6535"/>
  <c r="H19" i="6535"/>
  <c r="C16" i="6535"/>
  <c r="H18" i="6535"/>
  <c r="C15" i="6535"/>
  <c r="H17" i="6535"/>
  <c r="H16" i="6535"/>
  <c r="B13" i="6535"/>
  <c r="P12" i="6535"/>
  <c r="H15" i="6535"/>
  <c r="B12" i="6535"/>
  <c r="P11" i="6535"/>
  <c r="H14" i="6535"/>
  <c r="B11" i="6535"/>
  <c r="P10" i="6535"/>
  <c r="H4" i="6535"/>
  <c r="C10" i="6535"/>
  <c r="H12" i="6535"/>
  <c r="C9" i="6535"/>
  <c r="H7" i="6535"/>
  <c r="C8" i="6535"/>
  <c r="P7" i="6535"/>
  <c r="H9" i="6535"/>
  <c r="B7" i="6535"/>
  <c r="P6" i="6535"/>
  <c r="H6" i="6535"/>
  <c r="P5" i="6535"/>
  <c r="H5" i="6535"/>
  <c r="B5" i="6535"/>
  <c r="P4" i="6535"/>
  <c r="H3" i="6535"/>
  <c r="P3" i="6535"/>
  <c r="H8" i="6535"/>
  <c r="P2" i="6535"/>
  <c r="H2" i="6535"/>
  <c r="B14" i="6535" l="1"/>
  <c r="C20" i="6535"/>
  <c r="C23" i="6535"/>
  <c r="C25" i="6535"/>
  <c r="B27" i="6535"/>
  <c r="C38" i="6535"/>
  <c r="C40" i="6535"/>
  <c r="C42" i="6535"/>
  <c r="C44" i="6535"/>
  <c r="C46" i="6535"/>
  <c r="C48" i="6535"/>
  <c r="C22" i="6535"/>
  <c r="C24" i="6535"/>
  <c r="C26" i="6535"/>
  <c r="B28" i="6535"/>
  <c r="C37" i="6535"/>
  <c r="C39" i="6535"/>
  <c r="C41" i="6535"/>
  <c r="C43" i="6535"/>
  <c r="C45" i="6535"/>
  <c r="C47" i="6535"/>
  <c r="P17" i="6527" l="1"/>
  <c r="P20" i="6533"/>
  <c r="P17" i="6521"/>
  <c r="P20" i="6527"/>
  <c r="P23" i="6529" l="1"/>
  <c r="P22" i="6523"/>
  <c r="P17" i="6529" l="1"/>
  <c r="P24" i="6533"/>
  <c r="P25" i="6523" l="1"/>
  <c r="P19" i="6533"/>
  <c r="P18" i="6521" l="1"/>
  <c r="P23" i="6533"/>
  <c r="P21" i="6533"/>
  <c r="H52" i="6533"/>
  <c r="H51" i="6533"/>
  <c r="H50" i="6533"/>
  <c r="H49" i="6533"/>
  <c r="H48" i="6533"/>
  <c r="H47" i="6533"/>
  <c r="H46" i="6533"/>
  <c r="H45" i="6533"/>
  <c r="H44" i="6533"/>
  <c r="H43" i="6533"/>
  <c r="H42" i="6533"/>
  <c r="H41" i="6533"/>
  <c r="H40" i="6533"/>
  <c r="H39" i="6533"/>
  <c r="H38" i="6533"/>
  <c r="H37" i="6533"/>
  <c r="H36" i="6533"/>
  <c r="H35" i="6533"/>
  <c r="C35" i="6533"/>
  <c r="H34" i="6533"/>
  <c r="H33" i="6533"/>
  <c r="H32" i="6533"/>
  <c r="H20" i="6533"/>
  <c r="H27" i="6533"/>
  <c r="B30" i="6533"/>
  <c r="H16" i="6533"/>
  <c r="H26" i="6533"/>
  <c r="H8" i="6533"/>
  <c r="H31" i="6533"/>
  <c r="H25" i="6533"/>
  <c r="H11" i="6533"/>
  <c r="H24" i="6533"/>
  <c r="H23" i="6533"/>
  <c r="H14" i="6533"/>
  <c r="C21" i="6533"/>
  <c r="H30" i="6533"/>
  <c r="B20" i="6533"/>
  <c r="C49" i="6533" s="1"/>
  <c r="H15" i="6533"/>
  <c r="B19" i="6533"/>
  <c r="B29" i="6533" s="1"/>
  <c r="H29" i="6533"/>
  <c r="B18" i="6533"/>
  <c r="C18" i="6533" s="1"/>
  <c r="H18" i="6533"/>
  <c r="C17" i="6533"/>
  <c r="H12" i="6533"/>
  <c r="C16" i="6533"/>
  <c r="H22" i="6533"/>
  <c r="C15" i="6533"/>
  <c r="H28" i="6533"/>
  <c r="H19" i="6533"/>
  <c r="B13" i="6533"/>
  <c r="P12" i="6533"/>
  <c r="H21" i="6533"/>
  <c r="B12" i="6533"/>
  <c r="P11" i="6533"/>
  <c r="H17" i="6533"/>
  <c r="B11" i="6533"/>
  <c r="P10" i="6533"/>
  <c r="H4" i="6533"/>
  <c r="C10" i="6533"/>
  <c r="H13" i="6533"/>
  <c r="C9" i="6533"/>
  <c r="H9" i="6533"/>
  <c r="C8" i="6533"/>
  <c r="P7" i="6533"/>
  <c r="H7" i="6533"/>
  <c r="B7" i="6533"/>
  <c r="P6" i="6533"/>
  <c r="H6" i="6533"/>
  <c r="P5" i="6533"/>
  <c r="H5" i="6533"/>
  <c r="B5" i="6533"/>
  <c r="P4" i="6533"/>
  <c r="H2" i="6533"/>
  <c r="P3" i="6533"/>
  <c r="H10" i="6533"/>
  <c r="P2" i="6533"/>
  <c r="H3" i="6533"/>
  <c r="P20" i="6515"/>
  <c r="P22" i="6513"/>
  <c r="C19" i="6533" l="1"/>
  <c r="B14" i="6533"/>
  <c r="C20" i="6533"/>
  <c r="C23" i="6533"/>
  <c r="C25" i="6533"/>
  <c r="B27" i="6533"/>
  <c r="C38" i="6533"/>
  <c r="C40" i="6533"/>
  <c r="C42" i="6533"/>
  <c r="C44" i="6533"/>
  <c r="C46" i="6533"/>
  <c r="C48" i="6533"/>
  <c r="C22" i="6533"/>
  <c r="C24" i="6533"/>
  <c r="C26" i="6533"/>
  <c r="B28" i="6533"/>
  <c r="C37" i="6533"/>
  <c r="C39" i="6533"/>
  <c r="C41" i="6533"/>
  <c r="C43" i="6533"/>
  <c r="C45" i="6533"/>
  <c r="C47" i="6533"/>
  <c r="P22" i="6521" l="1"/>
  <c r="P18" i="6529"/>
  <c r="P15" i="6531" l="1"/>
  <c r="P19" i="6531"/>
  <c r="H52" i="6531"/>
  <c r="H51" i="6531"/>
  <c r="H50" i="6531"/>
  <c r="H49" i="6531"/>
  <c r="H48" i="6531"/>
  <c r="H47" i="6531"/>
  <c r="H46" i="6531"/>
  <c r="H45" i="6531"/>
  <c r="H44" i="6531"/>
  <c r="H43" i="6531"/>
  <c r="H42" i="6531"/>
  <c r="H41" i="6531"/>
  <c r="H40" i="6531"/>
  <c r="H39" i="6531"/>
  <c r="H38" i="6531"/>
  <c r="H37" i="6531"/>
  <c r="H36" i="6531"/>
  <c r="H35" i="6531"/>
  <c r="C35" i="6531"/>
  <c r="H34" i="6531"/>
  <c r="H33" i="6531"/>
  <c r="H32" i="6531"/>
  <c r="H31" i="6531"/>
  <c r="H18" i="6531"/>
  <c r="B30" i="6531"/>
  <c r="H17" i="6531"/>
  <c r="H30" i="6531"/>
  <c r="H8" i="6531"/>
  <c r="H29" i="6531"/>
  <c r="H28" i="6531"/>
  <c r="H16" i="6531"/>
  <c r="H27" i="6531"/>
  <c r="H26" i="6531"/>
  <c r="H15" i="6531"/>
  <c r="C21" i="6531"/>
  <c r="H25" i="6531"/>
  <c r="B20" i="6531"/>
  <c r="C49" i="6531" s="1"/>
  <c r="H24" i="6531"/>
  <c r="B19" i="6531"/>
  <c r="C19" i="6531" s="1"/>
  <c r="H23" i="6531"/>
  <c r="B18" i="6531"/>
  <c r="C18" i="6531" s="1"/>
  <c r="H14" i="6531"/>
  <c r="C17" i="6531"/>
  <c r="H12" i="6531"/>
  <c r="C16" i="6531"/>
  <c r="H22" i="6531"/>
  <c r="C15" i="6531"/>
  <c r="H21" i="6531"/>
  <c r="H20" i="6531"/>
  <c r="B13" i="6531"/>
  <c r="P12" i="6531"/>
  <c r="H19" i="6531"/>
  <c r="B12" i="6531"/>
  <c r="P11" i="6531"/>
  <c r="H13" i="6531"/>
  <c r="B11" i="6531"/>
  <c r="P10" i="6531"/>
  <c r="H5" i="6531"/>
  <c r="C10" i="6531"/>
  <c r="H11" i="6531"/>
  <c r="C9" i="6531"/>
  <c r="H10" i="6531"/>
  <c r="C8" i="6531"/>
  <c r="P7" i="6531"/>
  <c r="H9" i="6531"/>
  <c r="B7" i="6531"/>
  <c r="P6" i="6531"/>
  <c r="H6" i="6531"/>
  <c r="P5" i="6531"/>
  <c r="H3" i="6531"/>
  <c r="B5" i="6531"/>
  <c r="P4" i="6531"/>
  <c r="H4" i="6531"/>
  <c r="P3" i="6531"/>
  <c r="H7" i="6531"/>
  <c r="P2" i="6531"/>
  <c r="H2" i="6531"/>
  <c r="P21" i="6527"/>
  <c r="P22" i="6515"/>
  <c r="P23" i="6513"/>
  <c r="B28" i="6531" l="1"/>
  <c r="C20" i="6531"/>
  <c r="C22" i="6531"/>
  <c r="B14" i="6531"/>
  <c r="C26" i="6531"/>
  <c r="C24" i="6531"/>
  <c r="C23" i="6531"/>
  <c r="C25" i="6531"/>
  <c r="B27" i="6531"/>
  <c r="B29" i="6531"/>
  <c r="C38" i="6531"/>
  <c r="C40" i="6531"/>
  <c r="C42" i="6531"/>
  <c r="C44" i="6531"/>
  <c r="C46" i="6531"/>
  <c r="C48" i="6531"/>
  <c r="C37" i="6531"/>
  <c r="C39" i="6531"/>
  <c r="C41" i="6531"/>
  <c r="C43" i="6531"/>
  <c r="C45" i="6531"/>
  <c r="C47" i="6531"/>
  <c r="P16" i="6523" l="1"/>
  <c r="P15" i="6517"/>
  <c r="P22" i="6529" l="1"/>
  <c r="P20" i="6529"/>
  <c r="H52" i="6529"/>
  <c r="H51" i="6529"/>
  <c r="H50" i="6529"/>
  <c r="H49" i="6529"/>
  <c r="H48" i="6529"/>
  <c r="H47" i="6529"/>
  <c r="H46" i="6529"/>
  <c r="H45" i="6529"/>
  <c r="H44" i="6529"/>
  <c r="H43" i="6529"/>
  <c r="H42" i="6529"/>
  <c r="H41" i="6529"/>
  <c r="H40" i="6529"/>
  <c r="H39" i="6529"/>
  <c r="H38" i="6529"/>
  <c r="H37" i="6529"/>
  <c r="H36" i="6529"/>
  <c r="H35" i="6529"/>
  <c r="C35" i="6529"/>
  <c r="H34" i="6529"/>
  <c r="H33" i="6529"/>
  <c r="H32" i="6529"/>
  <c r="H20" i="6529"/>
  <c r="H31" i="6529"/>
  <c r="B30" i="6529"/>
  <c r="H16" i="6529"/>
  <c r="H30" i="6529"/>
  <c r="H8" i="6529"/>
  <c r="H29" i="6529"/>
  <c r="H28" i="6529"/>
  <c r="H14" i="6529"/>
  <c r="H27" i="6529"/>
  <c r="H23" i="6529"/>
  <c r="H15" i="6529"/>
  <c r="C21" i="6529"/>
  <c r="H26" i="6529"/>
  <c r="B20" i="6529"/>
  <c r="C48" i="6529" s="1"/>
  <c r="H13" i="6529"/>
  <c r="B19" i="6529"/>
  <c r="B29" i="6529" s="1"/>
  <c r="H25" i="6529"/>
  <c r="B18" i="6529"/>
  <c r="C18" i="6529" s="1"/>
  <c r="H19" i="6529"/>
  <c r="C17" i="6529"/>
  <c r="H12" i="6529"/>
  <c r="C16" i="6529"/>
  <c r="H18" i="6529"/>
  <c r="C15" i="6529"/>
  <c r="H24" i="6529"/>
  <c r="H22" i="6529"/>
  <c r="B13" i="6529"/>
  <c r="P12" i="6529"/>
  <c r="H21" i="6529"/>
  <c r="B12" i="6529"/>
  <c r="P11" i="6529"/>
  <c r="H17" i="6529"/>
  <c r="B11" i="6529"/>
  <c r="P10" i="6529"/>
  <c r="H3" i="6529"/>
  <c r="C10" i="6529"/>
  <c r="H11" i="6529"/>
  <c r="C9" i="6529"/>
  <c r="H10" i="6529"/>
  <c r="C8" i="6529"/>
  <c r="P7" i="6529"/>
  <c r="H7" i="6529"/>
  <c r="B7" i="6529"/>
  <c r="P6" i="6529"/>
  <c r="H6" i="6529"/>
  <c r="P5" i="6529"/>
  <c r="H5" i="6529"/>
  <c r="B5" i="6529"/>
  <c r="P4" i="6529"/>
  <c r="H2" i="6529"/>
  <c r="P3" i="6529"/>
  <c r="H9" i="6529"/>
  <c r="P2" i="6529"/>
  <c r="H4" i="6529"/>
  <c r="P19" i="6527"/>
  <c r="P16" i="6527"/>
  <c r="H52" i="6527"/>
  <c r="H51" i="6527"/>
  <c r="H50" i="6527"/>
  <c r="H49" i="6527"/>
  <c r="H48" i="6527"/>
  <c r="H47" i="6527"/>
  <c r="H46" i="6527"/>
  <c r="H45" i="6527"/>
  <c r="H44" i="6527"/>
  <c r="H43" i="6527"/>
  <c r="H42" i="6527"/>
  <c r="H41" i="6527"/>
  <c r="H40" i="6527"/>
  <c r="H39" i="6527"/>
  <c r="H38" i="6527"/>
  <c r="H37" i="6527"/>
  <c r="H36" i="6527"/>
  <c r="H35" i="6527"/>
  <c r="C35" i="6527"/>
  <c r="H34" i="6527"/>
  <c r="H33" i="6527"/>
  <c r="H32" i="6527"/>
  <c r="H31" i="6527"/>
  <c r="H30" i="6527"/>
  <c r="B30" i="6527"/>
  <c r="H29" i="6527"/>
  <c r="H28" i="6527"/>
  <c r="H9" i="6527"/>
  <c r="H27" i="6527"/>
  <c r="H26" i="6527"/>
  <c r="H13" i="6527"/>
  <c r="H25" i="6527"/>
  <c r="H24" i="6527"/>
  <c r="H16" i="6527"/>
  <c r="C21" i="6527"/>
  <c r="H23" i="6527"/>
  <c r="B20" i="6527"/>
  <c r="C48" i="6527" s="1"/>
  <c r="H14" i="6527"/>
  <c r="B19" i="6527"/>
  <c r="B29" i="6527" s="1"/>
  <c r="H22" i="6527"/>
  <c r="B18" i="6527"/>
  <c r="C18" i="6527" s="1"/>
  <c r="H15" i="6527"/>
  <c r="C17" i="6527"/>
  <c r="H12" i="6527"/>
  <c r="C16" i="6527"/>
  <c r="H18" i="6527"/>
  <c r="C15" i="6527"/>
  <c r="H21" i="6527"/>
  <c r="H17" i="6527"/>
  <c r="B13" i="6527"/>
  <c r="P12" i="6527"/>
  <c r="H20" i="6527"/>
  <c r="B12" i="6527"/>
  <c r="P11" i="6527"/>
  <c r="H19" i="6527"/>
  <c r="B11" i="6527"/>
  <c r="P10" i="6527"/>
  <c r="H3" i="6527"/>
  <c r="C10" i="6527"/>
  <c r="H11" i="6527"/>
  <c r="C9" i="6527"/>
  <c r="H10" i="6527"/>
  <c r="C8" i="6527"/>
  <c r="P7" i="6527"/>
  <c r="H8" i="6527"/>
  <c r="B7" i="6527"/>
  <c r="P6" i="6527"/>
  <c r="H5" i="6527"/>
  <c r="P5" i="6527"/>
  <c r="H7" i="6527"/>
  <c r="B5" i="6527"/>
  <c r="P4" i="6527"/>
  <c r="H2" i="6527"/>
  <c r="P3" i="6527"/>
  <c r="H6" i="6527"/>
  <c r="P2" i="6527"/>
  <c r="H4" i="6527"/>
  <c r="P24" i="6515"/>
  <c r="P19" i="6515"/>
  <c r="P24" i="6513"/>
  <c r="P19" i="6513"/>
  <c r="C19" i="6527" l="1"/>
  <c r="C19" i="6529"/>
  <c r="B14" i="6529"/>
  <c r="C43" i="6529"/>
  <c r="C24" i="6529"/>
  <c r="C26" i="6529"/>
  <c r="C41" i="6529"/>
  <c r="C49" i="6529"/>
  <c r="C20" i="6529"/>
  <c r="C39" i="6529"/>
  <c r="C47" i="6529"/>
  <c r="C22" i="6529"/>
  <c r="C23" i="6529"/>
  <c r="C25" i="6529"/>
  <c r="C37" i="6529"/>
  <c r="C45" i="6529"/>
  <c r="B28" i="6529"/>
  <c r="B27" i="6529"/>
  <c r="C38" i="6529"/>
  <c r="C40" i="6529"/>
  <c r="C42" i="6529"/>
  <c r="C44" i="6529"/>
  <c r="C46" i="6529"/>
  <c r="B14" i="6527"/>
  <c r="C39" i="6527"/>
  <c r="C47" i="6527"/>
  <c r="C20" i="6527"/>
  <c r="C43" i="6527"/>
  <c r="C24" i="6527"/>
  <c r="C22" i="6527"/>
  <c r="C37" i="6527"/>
  <c r="C45" i="6527"/>
  <c r="C26" i="6527"/>
  <c r="C41" i="6527"/>
  <c r="C49" i="6527"/>
  <c r="B28" i="6527"/>
  <c r="C23" i="6527"/>
  <c r="C25" i="6527"/>
  <c r="B27" i="6527"/>
  <c r="C38" i="6527"/>
  <c r="C40" i="6527"/>
  <c r="C42" i="6527"/>
  <c r="C44" i="6527"/>
  <c r="C46" i="6527"/>
  <c r="P18" i="6523" l="1"/>
  <c r="P19" i="6525"/>
  <c r="P17" i="6525"/>
  <c r="H52" i="6525"/>
  <c r="H51" i="6525"/>
  <c r="H50" i="6525"/>
  <c r="H49" i="6525"/>
  <c r="H48" i="6525"/>
  <c r="H47" i="6525"/>
  <c r="H46" i="6525"/>
  <c r="H45" i="6525"/>
  <c r="H44" i="6525"/>
  <c r="H43" i="6525"/>
  <c r="H42" i="6525"/>
  <c r="H41" i="6525"/>
  <c r="H40" i="6525"/>
  <c r="H39" i="6525"/>
  <c r="H38" i="6525"/>
  <c r="H37" i="6525"/>
  <c r="H36" i="6525"/>
  <c r="H35" i="6525"/>
  <c r="C35" i="6525"/>
  <c r="H34" i="6525"/>
  <c r="H33" i="6525"/>
  <c r="H32" i="6525"/>
  <c r="H31" i="6525"/>
  <c r="H30" i="6525"/>
  <c r="B30" i="6525"/>
  <c r="H29" i="6525"/>
  <c r="H28" i="6525"/>
  <c r="H27" i="6525"/>
  <c r="H26" i="6525"/>
  <c r="H25" i="6525"/>
  <c r="H10" i="6525"/>
  <c r="H24" i="6525"/>
  <c r="H23" i="6525"/>
  <c r="H22" i="6525"/>
  <c r="C21" i="6525"/>
  <c r="H21" i="6525"/>
  <c r="B20" i="6525"/>
  <c r="C49" i="6525" s="1"/>
  <c r="H20" i="6525"/>
  <c r="C19" i="6525"/>
  <c r="B19" i="6525"/>
  <c r="B29" i="6525" s="1"/>
  <c r="H19" i="6525"/>
  <c r="B18" i="6525"/>
  <c r="C18" i="6525" s="1"/>
  <c r="H7" i="6525"/>
  <c r="C17" i="6525"/>
  <c r="H18" i="6525"/>
  <c r="C16" i="6525"/>
  <c r="H17" i="6525"/>
  <c r="C15" i="6525"/>
  <c r="H16" i="6525"/>
  <c r="H15" i="6525"/>
  <c r="B13" i="6525"/>
  <c r="P12" i="6525"/>
  <c r="H14" i="6525"/>
  <c r="B12" i="6525"/>
  <c r="P11" i="6525"/>
  <c r="H13" i="6525"/>
  <c r="B11" i="6525"/>
  <c r="P10" i="6525"/>
  <c r="H4" i="6525"/>
  <c r="C10" i="6525"/>
  <c r="H12" i="6525"/>
  <c r="C9" i="6525"/>
  <c r="H11" i="6525"/>
  <c r="C8" i="6525"/>
  <c r="P7" i="6525"/>
  <c r="H9" i="6525"/>
  <c r="B7" i="6525"/>
  <c r="P6" i="6525"/>
  <c r="H5" i="6525"/>
  <c r="P5" i="6525"/>
  <c r="H6" i="6525"/>
  <c r="B5" i="6525"/>
  <c r="P4" i="6525"/>
  <c r="H8" i="6525"/>
  <c r="P3" i="6525"/>
  <c r="H3" i="6525"/>
  <c r="P2" i="6525"/>
  <c r="H2" i="6525"/>
  <c r="P15" i="6515"/>
  <c r="P16" i="6513"/>
  <c r="B14" i="6525" l="1"/>
  <c r="C25" i="6525"/>
  <c r="C20" i="6525"/>
  <c r="C23" i="6525"/>
  <c r="B27" i="6525"/>
  <c r="C38" i="6525"/>
  <c r="C40" i="6525"/>
  <c r="C42" i="6525"/>
  <c r="C44" i="6525"/>
  <c r="C46" i="6525"/>
  <c r="C48" i="6525"/>
  <c r="C22" i="6525"/>
  <c r="C24" i="6525"/>
  <c r="C26" i="6525"/>
  <c r="B28" i="6525"/>
  <c r="C37" i="6525"/>
  <c r="C39" i="6525"/>
  <c r="C41" i="6525"/>
  <c r="C43" i="6525"/>
  <c r="C45" i="6525"/>
  <c r="C47" i="6525"/>
  <c r="P20" i="6523" l="1"/>
  <c r="P23" i="6523"/>
  <c r="H52" i="6523"/>
  <c r="H51" i="6523"/>
  <c r="H50" i="6523"/>
  <c r="H49" i="6523"/>
  <c r="H48" i="6523"/>
  <c r="H47" i="6523"/>
  <c r="H46" i="6523"/>
  <c r="H45" i="6523"/>
  <c r="H44" i="6523"/>
  <c r="H43" i="6523"/>
  <c r="H42" i="6523"/>
  <c r="H41" i="6523"/>
  <c r="H40" i="6523"/>
  <c r="H39" i="6523"/>
  <c r="H38" i="6523"/>
  <c r="H37" i="6523"/>
  <c r="H36" i="6523"/>
  <c r="H35" i="6523"/>
  <c r="C35" i="6523"/>
  <c r="H34" i="6523"/>
  <c r="H33" i="6523"/>
  <c r="H32" i="6523"/>
  <c r="H17" i="6523"/>
  <c r="H31" i="6523"/>
  <c r="B30" i="6523"/>
  <c r="H15" i="6523"/>
  <c r="H30" i="6523"/>
  <c r="H9" i="6523"/>
  <c r="H29" i="6523"/>
  <c r="H28" i="6523"/>
  <c r="H13" i="6523"/>
  <c r="H27" i="6523"/>
  <c r="H26" i="6523"/>
  <c r="H8" i="6523"/>
  <c r="C21" i="6523"/>
  <c r="H25" i="6523"/>
  <c r="B20" i="6523"/>
  <c r="C48" i="6523" s="1"/>
  <c r="H12" i="6523"/>
  <c r="B19" i="6523"/>
  <c r="B29" i="6523" s="1"/>
  <c r="H24" i="6523"/>
  <c r="B18" i="6523"/>
  <c r="C18" i="6523" s="1"/>
  <c r="H23" i="6523"/>
  <c r="C17" i="6523"/>
  <c r="H16" i="6523"/>
  <c r="C16" i="6523"/>
  <c r="H22" i="6523"/>
  <c r="C15" i="6523"/>
  <c r="H21" i="6523"/>
  <c r="H20" i="6523"/>
  <c r="B13" i="6523"/>
  <c r="P12" i="6523"/>
  <c r="H19" i="6523"/>
  <c r="B12" i="6523"/>
  <c r="P11" i="6523"/>
  <c r="H18" i="6523"/>
  <c r="B11" i="6523"/>
  <c r="P10" i="6523"/>
  <c r="H3" i="6523"/>
  <c r="C10" i="6523"/>
  <c r="H14" i="6523"/>
  <c r="C9" i="6523"/>
  <c r="H11" i="6523"/>
  <c r="C8" i="6523"/>
  <c r="P7" i="6523"/>
  <c r="H7" i="6523"/>
  <c r="B7" i="6523"/>
  <c r="P6" i="6523"/>
  <c r="H5" i="6523"/>
  <c r="P5" i="6523"/>
  <c r="H6" i="6523"/>
  <c r="B5" i="6523"/>
  <c r="P4" i="6523"/>
  <c r="H2" i="6523"/>
  <c r="P3" i="6523"/>
  <c r="H10" i="6523"/>
  <c r="P2" i="6523"/>
  <c r="H4" i="6523"/>
  <c r="P20" i="6521"/>
  <c r="P23" i="6521"/>
  <c r="H52" i="6521"/>
  <c r="H51" i="6521"/>
  <c r="H50" i="6521"/>
  <c r="H49" i="6521"/>
  <c r="H48" i="6521"/>
  <c r="H47" i="6521"/>
  <c r="H46" i="6521"/>
  <c r="H45" i="6521"/>
  <c r="H44" i="6521"/>
  <c r="H43" i="6521"/>
  <c r="H42" i="6521"/>
  <c r="H41" i="6521"/>
  <c r="H40" i="6521"/>
  <c r="H39" i="6521"/>
  <c r="H38" i="6521"/>
  <c r="H37" i="6521"/>
  <c r="H36" i="6521"/>
  <c r="H35" i="6521"/>
  <c r="C35" i="6521"/>
  <c r="H34" i="6521"/>
  <c r="H33" i="6521"/>
  <c r="H32" i="6521"/>
  <c r="H31" i="6521"/>
  <c r="H20" i="6521"/>
  <c r="B30" i="6521"/>
  <c r="H15" i="6521"/>
  <c r="H30" i="6521"/>
  <c r="H7" i="6521"/>
  <c r="H26" i="6521"/>
  <c r="H25" i="6521"/>
  <c r="H11" i="6521"/>
  <c r="H19" i="6521"/>
  <c r="H18" i="6521"/>
  <c r="H12" i="6521"/>
  <c r="C21" i="6521"/>
  <c r="H29" i="6521"/>
  <c r="B20" i="6521"/>
  <c r="C48" i="6521" s="1"/>
  <c r="H13" i="6521"/>
  <c r="B19" i="6521"/>
  <c r="C19" i="6521" s="1"/>
  <c r="H24" i="6521"/>
  <c r="B18" i="6521"/>
  <c r="C18" i="6521" s="1"/>
  <c r="H17" i="6521"/>
  <c r="C17" i="6521"/>
  <c r="H16" i="6521"/>
  <c r="C16" i="6521"/>
  <c r="H28" i="6521"/>
  <c r="C15" i="6521"/>
  <c r="H27" i="6521"/>
  <c r="H23" i="6521"/>
  <c r="B13" i="6521"/>
  <c r="P12" i="6521"/>
  <c r="H22" i="6521"/>
  <c r="B12" i="6521"/>
  <c r="P11" i="6521"/>
  <c r="H21" i="6521"/>
  <c r="B11" i="6521"/>
  <c r="P10" i="6521"/>
  <c r="H4" i="6521"/>
  <c r="C10" i="6521"/>
  <c r="H14" i="6521"/>
  <c r="C9" i="6521"/>
  <c r="H10" i="6521"/>
  <c r="C8" i="6521"/>
  <c r="P7" i="6521"/>
  <c r="H8" i="6521"/>
  <c r="B7" i="6521"/>
  <c r="P6" i="6521"/>
  <c r="H5" i="6521"/>
  <c r="P5" i="6521"/>
  <c r="H6" i="6521"/>
  <c r="B5" i="6521"/>
  <c r="P4" i="6521"/>
  <c r="H2" i="6521"/>
  <c r="P3" i="6521"/>
  <c r="H9" i="6521"/>
  <c r="P2" i="6521"/>
  <c r="H3" i="6521"/>
  <c r="P25" i="6515"/>
  <c r="P21" i="6515"/>
  <c r="P25" i="6513"/>
  <c r="P21" i="6513"/>
  <c r="C19" i="6523" l="1"/>
  <c r="C26" i="6521"/>
  <c r="C41" i="6521"/>
  <c r="C20" i="6523"/>
  <c r="C22" i="6523"/>
  <c r="C26" i="6523"/>
  <c r="C41" i="6523"/>
  <c r="C45" i="6523"/>
  <c r="C37" i="6523"/>
  <c r="C43" i="6523"/>
  <c r="C49" i="6523"/>
  <c r="C24" i="6523"/>
  <c r="C39" i="6523"/>
  <c r="C47" i="6523"/>
  <c r="B14" i="6523"/>
  <c r="B28" i="6523"/>
  <c r="C23" i="6523"/>
  <c r="C25" i="6523"/>
  <c r="B27" i="6523"/>
  <c r="C38" i="6523"/>
  <c r="C40" i="6523"/>
  <c r="C42" i="6523"/>
  <c r="C44" i="6523"/>
  <c r="C46" i="6523"/>
  <c r="B14" i="6521"/>
  <c r="B28" i="6521"/>
  <c r="C20" i="6521"/>
  <c r="C22" i="6521"/>
  <c r="C45" i="6521"/>
  <c r="C37" i="6521"/>
  <c r="C43" i="6521"/>
  <c r="C49" i="6521"/>
  <c r="C24" i="6521"/>
  <c r="C39" i="6521"/>
  <c r="C47" i="6521"/>
  <c r="C23" i="6521"/>
  <c r="C25" i="6521"/>
  <c r="B27" i="6521"/>
  <c r="B29" i="6521"/>
  <c r="C38" i="6521"/>
  <c r="C40" i="6521"/>
  <c r="C42" i="6521"/>
  <c r="C44" i="6521"/>
  <c r="C46" i="6521"/>
  <c r="P15" i="6519" l="1"/>
  <c r="P17" i="6519"/>
  <c r="H52" i="6519"/>
  <c r="H51" i="6519"/>
  <c r="H50" i="6519"/>
  <c r="H49" i="6519"/>
  <c r="H48" i="6519"/>
  <c r="H47" i="6519"/>
  <c r="H46" i="6519"/>
  <c r="H45" i="6519"/>
  <c r="H44" i="6519"/>
  <c r="H43" i="6519"/>
  <c r="H42" i="6519"/>
  <c r="H41" i="6519"/>
  <c r="H40" i="6519"/>
  <c r="H39" i="6519"/>
  <c r="H38" i="6519"/>
  <c r="H37" i="6519"/>
  <c r="H36" i="6519"/>
  <c r="H35" i="6519"/>
  <c r="C35" i="6519"/>
  <c r="H34" i="6519"/>
  <c r="H33" i="6519"/>
  <c r="H32" i="6519"/>
  <c r="H31" i="6519"/>
  <c r="H30" i="6519"/>
  <c r="B30" i="6519"/>
  <c r="H29" i="6519"/>
  <c r="H28" i="6519"/>
  <c r="H6" i="6519"/>
  <c r="H27" i="6519"/>
  <c r="H26" i="6519"/>
  <c r="H11" i="6519"/>
  <c r="H25" i="6519"/>
  <c r="H24" i="6519"/>
  <c r="H10" i="6519"/>
  <c r="C21" i="6519"/>
  <c r="H23" i="6519"/>
  <c r="B20" i="6519"/>
  <c r="C48" i="6519" s="1"/>
  <c r="H22" i="6519"/>
  <c r="B19" i="6519"/>
  <c r="C19" i="6519" s="1"/>
  <c r="H21" i="6519"/>
  <c r="B18" i="6519"/>
  <c r="C18" i="6519" s="1"/>
  <c r="H20" i="6519"/>
  <c r="C17" i="6519"/>
  <c r="H19" i="6519"/>
  <c r="C16" i="6519"/>
  <c r="H18" i="6519"/>
  <c r="C15" i="6519"/>
  <c r="H17" i="6519"/>
  <c r="H16" i="6519"/>
  <c r="B13" i="6519"/>
  <c r="P12" i="6519"/>
  <c r="H15" i="6519"/>
  <c r="B12" i="6519"/>
  <c r="P11" i="6519"/>
  <c r="H14" i="6519"/>
  <c r="B11" i="6519"/>
  <c r="P10" i="6519"/>
  <c r="H3" i="6519"/>
  <c r="C10" i="6519"/>
  <c r="H9" i="6519"/>
  <c r="C9" i="6519"/>
  <c r="H13" i="6519"/>
  <c r="C8" i="6519"/>
  <c r="P7" i="6519"/>
  <c r="H8" i="6519"/>
  <c r="B7" i="6519"/>
  <c r="P6" i="6519"/>
  <c r="H7" i="6519"/>
  <c r="P5" i="6519"/>
  <c r="H5" i="6519"/>
  <c r="B5" i="6519"/>
  <c r="P4" i="6519"/>
  <c r="H2" i="6519"/>
  <c r="P3" i="6519"/>
  <c r="H12" i="6519"/>
  <c r="P2" i="6519"/>
  <c r="H4" i="6519"/>
  <c r="P17" i="6517"/>
  <c r="P16" i="6517"/>
  <c r="H52" i="6517"/>
  <c r="H51" i="6517"/>
  <c r="H50" i="6517"/>
  <c r="H49" i="6517"/>
  <c r="H48" i="6517"/>
  <c r="H47" i="6517"/>
  <c r="H46" i="6517"/>
  <c r="H45" i="6517"/>
  <c r="H44" i="6517"/>
  <c r="H43" i="6517"/>
  <c r="H42" i="6517"/>
  <c r="H41" i="6517"/>
  <c r="H40" i="6517"/>
  <c r="H39" i="6517"/>
  <c r="H38" i="6517"/>
  <c r="H37" i="6517"/>
  <c r="H36" i="6517"/>
  <c r="H35" i="6517"/>
  <c r="C35" i="6517"/>
  <c r="H34" i="6517"/>
  <c r="H33" i="6517"/>
  <c r="H32" i="6517"/>
  <c r="H31" i="6517"/>
  <c r="H30" i="6517"/>
  <c r="B30" i="6517"/>
  <c r="H29" i="6517"/>
  <c r="H28" i="6517"/>
  <c r="H27" i="6517"/>
  <c r="H26" i="6517"/>
  <c r="H25" i="6517"/>
  <c r="H24" i="6517"/>
  <c r="H23" i="6517"/>
  <c r="H22" i="6517"/>
  <c r="H21" i="6517"/>
  <c r="C21" i="6517"/>
  <c r="H20" i="6517"/>
  <c r="B20" i="6517"/>
  <c r="B28" i="6517" s="1"/>
  <c r="H19" i="6517"/>
  <c r="C19" i="6517"/>
  <c r="B19" i="6517"/>
  <c r="B29" i="6517" s="1"/>
  <c r="H18" i="6517"/>
  <c r="C18" i="6517"/>
  <c r="B18" i="6517"/>
  <c r="H17" i="6517"/>
  <c r="C17" i="6517"/>
  <c r="H16" i="6517"/>
  <c r="C16" i="6517"/>
  <c r="H15" i="6517"/>
  <c r="C15" i="6517"/>
  <c r="H14" i="6517"/>
  <c r="H13" i="6517"/>
  <c r="B13" i="6517"/>
  <c r="P12" i="6517"/>
  <c r="H12" i="6517"/>
  <c r="B12" i="6517"/>
  <c r="P11" i="6517"/>
  <c r="H11" i="6517"/>
  <c r="B11" i="6517"/>
  <c r="P10" i="6517"/>
  <c r="H10" i="6517"/>
  <c r="C10" i="6517"/>
  <c r="H9" i="6517"/>
  <c r="C9" i="6517"/>
  <c r="H8" i="6517"/>
  <c r="C8" i="6517"/>
  <c r="P7" i="6517"/>
  <c r="H7" i="6517"/>
  <c r="B7" i="6517"/>
  <c r="P6" i="6517"/>
  <c r="H6" i="6517"/>
  <c r="P5" i="6517"/>
  <c r="H5" i="6517"/>
  <c r="B5" i="6517"/>
  <c r="P4" i="6517"/>
  <c r="H4" i="6517"/>
  <c r="P3" i="6517"/>
  <c r="H3" i="6517"/>
  <c r="P2" i="6517"/>
  <c r="H2" i="6517"/>
  <c r="P26" i="6513"/>
  <c r="P23" i="6515"/>
  <c r="P16" i="6515"/>
  <c r="H52" i="6515"/>
  <c r="H51" i="6515"/>
  <c r="H50" i="6515"/>
  <c r="H49" i="6515"/>
  <c r="H48" i="6515"/>
  <c r="H47" i="6515"/>
  <c r="H46" i="6515"/>
  <c r="H45" i="6515"/>
  <c r="H28" i="6515"/>
  <c r="H44" i="6515"/>
  <c r="H43" i="6515"/>
  <c r="H42" i="6515"/>
  <c r="H41" i="6515"/>
  <c r="H40" i="6515"/>
  <c r="H39" i="6515"/>
  <c r="H38" i="6515"/>
  <c r="H37" i="6515"/>
  <c r="H36" i="6515"/>
  <c r="C35" i="6515"/>
  <c r="H35" i="6515"/>
  <c r="H27" i="6515"/>
  <c r="H34" i="6515"/>
  <c r="H26" i="6515"/>
  <c r="H22" i="6515"/>
  <c r="B30" i="6515"/>
  <c r="H15" i="6515"/>
  <c r="H25" i="6515"/>
  <c r="H7" i="6515"/>
  <c r="H33" i="6515"/>
  <c r="H24" i="6515"/>
  <c r="H11" i="6515"/>
  <c r="H21" i="6515"/>
  <c r="H32" i="6515"/>
  <c r="H13" i="6515"/>
  <c r="C21" i="6515"/>
  <c r="H31" i="6515"/>
  <c r="B20" i="6515"/>
  <c r="C48" i="6515" s="1"/>
  <c r="H14" i="6515"/>
  <c r="B19" i="6515"/>
  <c r="B29" i="6515" s="1"/>
  <c r="H30" i="6515"/>
  <c r="B18" i="6515"/>
  <c r="C18" i="6515" s="1"/>
  <c r="H17" i="6515"/>
  <c r="C17" i="6515"/>
  <c r="H16" i="6515"/>
  <c r="C16" i="6515"/>
  <c r="H19" i="6515"/>
  <c r="C15" i="6515"/>
  <c r="H29" i="6515"/>
  <c r="H18" i="6515"/>
  <c r="B13" i="6515"/>
  <c r="P12" i="6515"/>
  <c r="H23" i="6515"/>
  <c r="B12" i="6515"/>
  <c r="P11" i="6515"/>
  <c r="H20" i="6515"/>
  <c r="B11" i="6515"/>
  <c r="P10" i="6515"/>
  <c r="H4" i="6515"/>
  <c r="C10" i="6515"/>
  <c r="H12" i="6515"/>
  <c r="C9" i="6515"/>
  <c r="H10" i="6515"/>
  <c r="C8" i="6515"/>
  <c r="P7" i="6515"/>
  <c r="H8" i="6515"/>
  <c r="B7" i="6515"/>
  <c r="P6" i="6515"/>
  <c r="H6" i="6515"/>
  <c r="P5" i="6515"/>
  <c r="H5" i="6515"/>
  <c r="B5" i="6515"/>
  <c r="P4" i="6515"/>
  <c r="H2" i="6515"/>
  <c r="P3" i="6515"/>
  <c r="H9" i="6515"/>
  <c r="P2" i="6515"/>
  <c r="H3" i="6515"/>
  <c r="P20" i="6513"/>
  <c r="P15" i="6513"/>
  <c r="H52" i="6513"/>
  <c r="H51" i="6513"/>
  <c r="H50" i="6513"/>
  <c r="H49" i="6513"/>
  <c r="H48" i="6513"/>
  <c r="H47" i="6513"/>
  <c r="H46" i="6513"/>
  <c r="H45" i="6513"/>
  <c r="H31" i="6513"/>
  <c r="H44" i="6513"/>
  <c r="H43" i="6513"/>
  <c r="H42" i="6513"/>
  <c r="H41" i="6513"/>
  <c r="H40" i="6513"/>
  <c r="H39" i="6513"/>
  <c r="H38" i="6513"/>
  <c r="H37" i="6513"/>
  <c r="H36" i="6513"/>
  <c r="C35" i="6513"/>
  <c r="H35" i="6513"/>
  <c r="H30" i="6513"/>
  <c r="H34" i="6513"/>
  <c r="H23" i="6513"/>
  <c r="H21" i="6513"/>
  <c r="B30" i="6513"/>
  <c r="H16" i="6513"/>
  <c r="H27" i="6513"/>
  <c r="H7" i="6513"/>
  <c r="H29" i="6513"/>
  <c r="H26" i="6513"/>
  <c r="H11" i="6513"/>
  <c r="H22" i="6513"/>
  <c r="H25" i="6513"/>
  <c r="H13" i="6513"/>
  <c r="C21" i="6513"/>
  <c r="H33" i="6513"/>
  <c r="B20" i="6513"/>
  <c r="C49" i="6513" s="1"/>
  <c r="H14" i="6513"/>
  <c r="B19" i="6513"/>
  <c r="B29" i="6513" s="1"/>
  <c r="H28" i="6513"/>
  <c r="B18" i="6513"/>
  <c r="C18" i="6513" s="1"/>
  <c r="H17" i="6513"/>
  <c r="C17" i="6513"/>
  <c r="H15" i="6513"/>
  <c r="C16" i="6513"/>
  <c r="H20" i="6513"/>
  <c r="C15" i="6513"/>
  <c r="H32" i="6513"/>
  <c r="H19" i="6513"/>
  <c r="B13" i="6513"/>
  <c r="P12" i="6513"/>
  <c r="H24" i="6513"/>
  <c r="B12" i="6513"/>
  <c r="P11" i="6513"/>
  <c r="H18" i="6513"/>
  <c r="B11" i="6513"/>
  <c r="P10" i="6513"/>
  <c r="H3" i="6513"/>
  <c r="C10" i="6513"/>
  <c r="H12" i="6513"/>
  <c r="C9" i="6513"/>
  <c r="H10" i="6513"/>
  <c r="C8" i="6513"/>
  <c r="P7" i="6513"/>
  <c r="H8" i="6513"/>
  <c r="B7" i="6513"/>
  <c r="P6" i="6513"/>
  <c r="H5" i="6513"/>
  <c r="P5" i="6513"/>
  <c r="H6" i="6513"/>
  <c r="B5" i="6513"/>
  <c r="P4" i="6513"/>
  <c r="H2" i="6513"/>
  <c r="P3" i="6513"/>
  <c r="H9" i="6513"/>
  <c r="P2" i="6513"/>
  <c r="H4" i="6513"/>
  <c r="B28" i="6519" l="1"/>
  <c r="B14" i="6519"/>
  <c r="C19" i="6515"/>
  <c r="C19" i="6513"/>
  <c r="C49" i="6517"/>
  <c r="C39" i="6517"/>
  <c r="C47" i="6517"/>
  <c r="C41" i="6517"/>
  <c r="C37" i="6517"/>
  <c r="C45" i="6517"/>
  <c r="C20" i="6517"/>
  <c r="C43" i="6517"/>
  <c r="B14" i="6515"/>
  <c r="C26" i="6519"/>
  <c r="C41" i="6519"/>
  <c r="C49" i="6519"/>
  <c r="C24" i="6519"/>
  <c r="C39" i="6519"/>
  <c r="C47" i="6519"/>
  <c r="C20" i="6519"/>
  <c r="C22" i="6519"/>
  <c r="C37" i="6519"/>
  <c r="C45" i="6519"/>
  <c r="C43" i="6519"/>
  <c r="C23" i="6519"/>
  <c r="C25" i="6519"/>
  <c r="B27" i="6519"/>
  <c r="B29" i="6519"/>
  <c r="C38" i="6519"/>
  <c r="C40" i="6519"/>
  <c r="C42" i="6519"/>
  <c r="C44" i="6519"/>
  <c r="C46" i="6519"/>
  <c r="B14" i="6517"/>
  <c r="C23" i="6517"/>
  <c r="C25" i="6517"/>
  <c r="B27" i="6517"/>
  <c r="C38" i="6517"/>
  <c r="C40" i="6517"/>
  <c r="C42" i="6517"/>
  <c r="C44" i="6517"/>
  <c r="C46" i="6517"/>
  <c r="C48" i="6517"/>
  <c r="C22" i="6517"/>
  <c r="C24" i="6517"/>
  <c r="C26" i="6517"/>
  <c r="B14" i="6513"/>
  <c r="C24" i="6515"/>
  <c r="C39" i="6515"/>
  <c r="C47" i="6515"/>
  <c r="C20" i="6515"/>
  <c r="C37" i="6515"/>
  <c r="C45" i="6515"/>
  <c r="C22" i="6515"/>
  <c r="C43" i="6515"/>
  <c r="C26" i="6515"/>
  <c r="C41" i="6515"/>
  <c r="C49" i="6515"/>
  <c r="B28" i="6515"/>
  <c r="C23" i="6515"/>
  <c r="C25" i="6515"/>
  <c r="B27" i="6515"/>
  <c r="C38" i="6515"/>
  <c r="C40" i="6515"/>
  <c r="C42" i="6515"/>
  <c r="C44" i="6515"/>
  <c r="C46" i="6515"/>
  <c r="C23" i="6513"/>
  <c r="B27" i="6513"/>
  <c r="C20" i="6513"/>
  <c r="C25" i="6513"/>
  <c r="C38" i="6513"/>
  <c r="C40" i="6513"/>
  <c r="C42" i="6513"/>
  <c r="C44" i="6513"/>
  <c r="C46" i="6513"/>
  <c r="C48" i="6513"/>
  <c r="C22" i="6513"/>
  <c r="C24" i="6513"/>
  <c r="C26" i="6513"/>
  <c r="B28" i="6513"/>
  <c r="C37" i="6513"/>
  <c r="C39" i="6513"/>
  <c r="C41" i="6513"/>
  <c r="C43" i="6513"/>
  <c r="C45" i="6513"/>
  <c r="C47" i="6513"/>
  <c r="H21" i="6023" l="1"/>
  <c r="H52" i="6023"/>
  <c r="H51" i="6023"/>
  <c r="H50" i="6023"/>
  <c r="H49" i="6023"/>
  <c r="H48" i="6023"/>
  <c r="H47" i="6023"/>
  <c r="H46" i="6023"/>
  <c r="H45" i="6023"/>
  <c r="H44" i="6023"/>
  <c r="H43" i="6023"/>
  <c r="H42" i="6023"/>
  <c r="H41" i="6023"/>
  <c r="H40" i="6023"/>
  <c r="H39" i="6023"/>
  <c r="H38" i="6023"/>
  <c r="H37" i="6023"/>
  <c r="H36" i="6023"/>
  <c r="H35" i="6023"/>
  <c r="H34" i="6023"/>
  <c r="H33" i="6023"/>
  <c r="H32" i="6023"/>
  <c r="H31" i="6023"/>
  <c r="H30" i="6023"/>
  <c r="H29" i="6023"/>
  <c r="H28" i="6023"/>
  <c r="H27" i="6023"/>
  <c r="H26" i="6023"/>
  <c r="H25" i="6023"/>
  <c r="H24" i="6023"/>
  <c r="H23" i="6023"/>
  <c r="H22" i="6023"/>
  <c r="H20" i="6023"/>
  <c r="H19" i="6023"/>
  <c r="H18" i="6023"/>
  <c r="H17" i="6023"/>
  <c r="H16" i="6023"/>
  <c r="H15" i="6023"/>
  <c r="H14" i="6023"/>
  <c r="H13" i="6023"/>
  <c r="H12" i="6023"/>
  <c r="H11" i="6023"/>
  <c r="H10" i="6023"/>
  <c r="H9" i="6023"/>
  <c r="H8" i="6023"/>
  <c r="H7" i="6023"/>
  <c r="H6" i="6023"/>
  <c r="H5" i="6023"/>
  <c r="H4" i="6023"/>
  <c r="H3" i="6023"/>
  <c r="H2" i="6023"/>
  <c r="C18" i="6023"/>
  <c r="C17" i="6023"/>
  <c r="C16" i="6023"/>
  <c r="C35" i="6023" l="1"/>
  <c r="B30" i="6023"/>
  <c r="C21" i="6023"/>
  <c r="C20" i="6023"/>
  <c r="B20" i="6023"/>
  <c r="C19" i="6023"/>
  <c r="B19" i="6023"/>
  <c r="B29" i="6023" s="1"/>
  <c r="B18" i="6023"/>
  <c r="C15" i="6023"/>
  <c r="P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P2" i="6023"/>
  <c r="B14" i="6023" l="1"/>
  <c r="C38" i="6023"/>
  <c r="C40" i="6023"/>
  <c r="C44" i="6023"/>
  <c r="C48" i="6023"/>
  <c r="C22" i="6023"/>
  <c r="B28" i="6023"/>
  <c r="C37" i="6023"/>
  <c r="C39" i="6023"/>
  <c r="C41" i="6023"/>
  <c r="C43" i="6023"/>
  <c r="C45" i="6023"/>
  <c r="C47" i="6023"/>
  <c r="C49" i="6023"/>
  <c r="C42" i="6023"/>
  <c r="C46" i="6023"/>
  <c r="C24" i="6023"/>
  <c r="C26" i="6023"/>
  <c r="C23" i="6023"/>
  <c r="C25" i="6023"/>
  <c r="B27" i="6023"/>
</calcChain>
</file>

<file path=xl/sharedStrings.xml><?xml version="1.0" encoding="utf-8"?>
<sst xmlns="http://schemas.openxmlformats.org/spreadsheetml/2006/main" count="3972" uniqueCount="283">
  <si>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</si>
  <si>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</si>
  <si>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</si>
  <si>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</si>
  <si>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</si>
  <si>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</si>
  <si>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</si>
  <si>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</si>
  <si>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</si>
  <si>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</si>
  <si>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</si>
  <si>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</si>
  <si>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</si>
  <si>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</si>
  <si>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</si>
  <si>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</si>
  <si>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</si>
  <si>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</si>
  <si>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</si>
  <si>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</si>
  <si>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</si>
  <si>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</si>
  <si>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</si>
  <si>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</si>
  <si>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</si>
  <si>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</si>
  <si>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</si>
  <si>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</si>
  <si>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</si>
  <si>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</si>
  <si>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</si>
  <si>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</si>
  <si>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</si>
  <si>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</si>
  <si>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</si>
  <si>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</si>
  <si>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</si>
  <si>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</si>
  <si>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</si>
  <si>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</si>
  <si>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</si>
  <si>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</si>
  <si>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</si>
  <si>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</si>
  <si>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</si>
  <si>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</si>
  <si>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</si>
  <si>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</si>
  <si>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</si>
  <si>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</si>
  <si>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</si>
  <si>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</si>
  <si>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</si>
  <si>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</si>
  <si>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</si>
  <si>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</si>
  <si>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</si>
  <si>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</si>
  <si>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</si>
  <si>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</si>
  <si>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</si>
  <si>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</si>
  <si>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</si>
  <si>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</si>
  <si>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</si>
  <si>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</si>
  <si>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</si>
  <si>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</si>
  <si>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</si>
  <si>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</si>
  <si>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</si>
  <si>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</si>
  <si>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</si>
  <si>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</si>
  <si>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</si>
  <si>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</si>
  <si>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</si>
  <si>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</si>
  <si>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</si>
  <si>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</si>
  <si>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</si>
  <si>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</si>
  <si>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</si>
  <si>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</si>
  <si>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</si>
  <si>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</si>
  <si>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</si>
  <si>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</si>
  <si>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</si>
  <si>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</si>
  <si>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</si>
  <si>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</si>
  <si>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</si>
  <si>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</si>
  <si>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</si>
  <si>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</si>
  <si>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</si>
  <si>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</si>
  <si>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</si>
  <si>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</si>
  <si>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</si>
  <si>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</si>
  <si>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</si>
  <si>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</si>
  <si>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</si>
  <si>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</si>
  <si>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</si>
  <si>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</si>
  <si>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</si>
  <si>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</si>
  <si>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</si>
  <si>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</si>
  <si>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</si>
  <si>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</si>
  <si>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</si>
  <si>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</si>
  <si>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</si>
  <si>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</si>
  <si>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</si>
  <si>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</si>
  <si>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</si>
  <si>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</si>
  <si>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</si>
  <si>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</si>
  <si>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</si>
  <si>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</si>
  <si>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</si>
  <si>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</si>
  <si>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</si>
  <si>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</si>
  <si>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</si>
  <si>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</si>
  <si>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</si>
  <si>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</si>
  <si>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</si>
  <si>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</si>
  <si>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</si>
  <si>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</si>
  <si>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</si>
  <si>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</si>
  <si>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</si>
  <si>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</si>
  <si>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</si>
  <si>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</si>
  <si>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</si>
  <si>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</si>
  <si>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</si>
  <si>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</si>
  <si>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</si>
  <si>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</si>
  <si>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</si>
  <si>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</si>
  <si>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</si>
  <si>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</si>
  <si>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</si>
  <si>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</si>
  <si>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</si>
  <si>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</si>
  <si>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</si>
  <si>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</si>
  <si>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</si>
  <si>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</si>
  <si>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</si>
  <si>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</si>
  <si>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</si>
  <si>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</si>
  <si>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</si>
  <si>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</si>
  <si>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</si>
  <si>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</si>
  <si>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</si>
  <si>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</si>
  <si>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</si>
  <si>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</si>
  <si>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</si>
  <si>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</si>
  <si>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</si>
  <si>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</si>
  <si>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</si>
  <si>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</si>
  <si>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</si>
  <si>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</si>
  <si>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</si>
  <si>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</si>
  <si>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</si>
  <si>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</si>
  <si>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</si>
  <si>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</si>
  <si>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</si>
  <si>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</si>
  <si>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</si>
  <si>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</si>
  <si>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</si>
  <si>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</si>
  <si>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Sheet4</t>
  </si>
  <si>
    <t>りくと</t>
  </si>
  <si>
    <t>レーティング</t>
    <phoneticPr fontId="1"/>
  </si>
  <si>
    <t>R</t>
    <phoneticPr fontId="1"/>
  </si>
  <si>
    <t>ともき</t>
  </si>
  <si>
    <t>Sheet5</t>
  </si>
  <si>
    <t>Sheet6</t>
  </si>
  <si>
    <t>Sheet7</t>
  </si>
  <si>
    <t>Sheet8</t>
  </si>
  <si>
    <t>Sheet9</t>
  </si>
  <si>
    <t>Sheet10</t>
  </si>
  <si>
    <t>ぱぱ</t>
  </si>
  <si>
    <t>New局数</t>
    <rPh sb="3" eb="4">
      <t>キョク</t>
    </rPh>
    <rPh sb="4" eb="5">
      <t>スウ</t>
    </rPh>
    <phoneticPr fontId="1"/>
  </si>
  <si>
    <t>Newアガリ</t>
    <phoneticPr fontId="1"/>
  </si>
  <si>
    <t>2018-10-02.xlsm</t>
  </si>
  <si>
    <t>かこたろう</t>
  </si>
  <si>
    <t>2018-10-05.xlsm</t>
  </si>
  <si>
    <t>いっしー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</si>
  <si>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</si>
  <si>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</si>
  <si>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</si>
  <si>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</si>
  <si>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</si>
  <si>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</si>
  <si>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</si>
  <si>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</si>
  <si>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</si>
  <si>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</si>
  <si>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</si>
  <si>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</si>
  <si>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</si>
  <si>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</si>
  <si>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</si>
  <si>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</si>
  <si>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</si>
  <si>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</si>
  <si>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</si>
  <si>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</si>
  <si>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</si>
  <si>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</si>
  <si>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</si>
  <si>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</si>
  <si>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</si>
  <si>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</si>
  <si>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</si>
  <si>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</si>
  <si>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</si>
  <si>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</si>
  <si>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</si>
  <si>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</si>
  <si>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</si>
  <si>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</si>
  <si>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あさひ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</si>
  <si>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</si>
  <si>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</si>
  <si>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</si>
  <si>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</si>
  <si>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</si>
  <si>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</si>
  <si>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</si>
  <si>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</si>
  <si>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</si>
  <si>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</si>
  <si>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</si>
  <si>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</si>
  <si>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</si>
  <si>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</si>
  <si>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</si>
  <si>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2019-01-30.xlsm</t>
  </si>
  <si>
    <t>2019-01-31.xlsm</t>
  </si>
  <si>
    <t>2019-02-01.xlsm</t>
  </si>
  <si>
    <t>2019-02-02.xlsm</t>
  </si>
  <si>
    <t>2019-02-03.xlsm</t>
  </si>
  <si>
    <t>2019-02-06.xlsm</t>
  </si>
  <si>
    <t>2019-02-08.xlsm</t>
  </si>
  <si>
    <t>2019-02-09.xlsm</t>
  </si>
  <si>
    <t>2019-02-10.xlsm</t>
  </si>
  <si>
    <t>2019-02-14.xlsm</t>
  </si>
  <si>
    <t>2019-02-15.xlsm</t>
  </si>
  <si>
    <t>2019-02-16.xlsm</t>
  </si>
  <si>
    <t>2019-02-17.xlsm</t>
  </si>
  <si>
    <t>2019-02-18.xlsm</t>
  </si>
  <si>
    <t>2019-02-19.xlsm</t>
  </si>
  <si>
    <t>2019-02-20.xlsm</t>
  </si>
  <si>
    <t>2019-02-21.xlsm</t>
  </si>
  <si>
    <t>2019-02-22.xlsm</t>
  </si>
  <si>
    <t>2019-02-23.xlsm</t>
  </si>
  <si>
    <t>2019-02-25.xlsm</t>
  </si>
  <si>
    <t>2019-02-26.xlsm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</si>
</sst>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1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全体!$K$2:$K$905</c:f>
              <c:numCache>
                <c:formatCode>General</c:formatCode>
                <c:ptCount val="9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</c:numCache>
            </c:numRef>
          </c:xVal>
          <c:yVal>
            <c:numRef>
              <c:f>全体!$L$2:$L$905</c:f>
              <c:numCache>
                <c:formatCode>\+0.0;\-0.0;\±0</c:formatCode>
                <c:ptCount val="90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05-4114-B286-87898E41F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-15.712682379349046</c:v>
                </c:pt>
                <c:pt idx="1">
                  <c:v>-3.4965034965034967</c:v>
                </c:pt>
                <c:pt idx="2">
                  <c:v>6.2189054726368163</c:v>
                </c:pt>
                <c:pt idx="3">
                  <c:v>2.7662517289073305</c:v>
                </c:pt>
                <c:pt idx="4">
                  <c:v>11.0062893081761</c:v>
                </c:pt>
                <c:pt idx="5">
                  <c:v>5.8139534883720927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24-4E6B-ADA5-A350106AE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68</c:v>
                </c:pt>
                <c:pt idx="1">
                  <c:v>186</c:v>
                </c:pt>
                <c:pt idx="2">
                  <c:v>294</c:v>
                </c:pt>
                <c:pt idx="3">
                  <c:v>321</c:v>
                </c:pt>
                <c:pt idx="4">
                  <c:v>271</c:v>
                </c:pt>
                <c:pt idx="5">
                  <c:v>183</c:v>
                </c:pt>
                <c:pt idx="6">
                  <c:v>121</c:v>
                </c:pt>
                <c:pt idx="7">
                  <c:v>74</c:v>
                </c:pt>
                <c:pt idx="8">
                  <c:v>56</c:v>
                </c:pt>
                <c:pt idx="9">
                  <c:v>24</c:v>
                </c:pt>
                <c:pt idx="10">
                  <c:v>14</c:v>
                </c:pt>
                <c:pt idx="11">
                  <c:v>6</c:v>
                </c:pt>
                <c:pt idx="12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DC-4AFA-90A4-63E3F6F4C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全体!$K$2:$K$905</c:f>
              <c:numCache>
                <c:formatCode>General</c:formatCode>
                <c:ptCount val="9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</c:numCache>
            </c:numRef>
          </c:xVal>
          <c:yVal>
            <c:numRef>
              <c:f>全体!$M$2:$M$905</c:f>
              <c:numCache>
                <c:formatCode>0</c:formatCode>
                <c:ptCount val="904"/>
                <c:pt idx="0">
                  <c:v>1500</c:v>
                </c:pt>
                <c:pt idx="1">
                  <c:v>1502.7</c:v>
                </c:pt>
                <c:pt idx="2">
                  <c:v>1498.7238</c:v>
                </c:pt>
                <c:pt idx="3">
                  <c:v>1499.9914572</c:v>
                </c:pt>
                <c:pt idx="4">
                  <c:v>1499.8175084567999</c:v>
                </c:pt>
                <c:pt idx="5">
                  <c:v>1507.1866034060592</c:v>
                </c:pt>
                <c:pt idx="6">
                  <c:v>1499.9674837856228</c:v>
                </c:pt>
                <c:pt idx="7">
                  <c:v>1502.6916788829089</c:v>
                </c:pt>
                <c:pt idx="8">
                  <c:v>1495.1575288096114</c:v>
                </c:pt>
                <c:pt idx="9">
                  <c:v>1499.9985836367539</c:v>
                </c:pt>
                <c:pt idx="10">
                  <c:v>1515.3405921349333</c:v>
                </c:pt>
                <c:pt idx="11">
                  <c:v>1507.9285485821238</c:v>
                </c:pt>
                <c:pt idx="12">
                  <c:v>1499.876977290631</c:v>
                </c:pt>
                <c:pt idx="13">
                  <c:v>1505.5717154268873</c:v>
                </c:pt>
                <c:pt idx="14">
                  <c:v>1499.1722851343259</c:v>
                </c:pt>
                <c:pt idx="15">
                  <c:v>1499.9212514235198</c:v>
                </c:pt>
                <c:pt idx="16">
                  <c:v>1491.2997239149788</c:v>
                </c:pt>
                <c:pt idx="17">
                  <c:v>1498.569925571489</c:v>
                </c:pt>
                <c:pt idx="18">
                  <c:v>1500.03650601806</c:v>
                </c:pt>
                <c:pt idx="19">
                  <c:v>1498.9562869819517</c:v>
                </c:pt>
                <c:pt idx="20">
                  <c:v>1500.9605492600601</c:v>
                </c:pt>
                <c:pt idx="21">
                  <c:v>1500.0907859644997</c:v>
                </c:pt>
                <c:pt idx="22">
                  <c:v>1493.6282412487126</c:v>
                </c:pt>
                <c:pt idx="23">
                  <c:v>1499.6244718012204</c:v>
                </c:pt>
                <c:pt idx="24">
                  <c:v>1500.1847249704131</c:v>
                </c:pt>
                <c:pt idx="25">
                  <c:v>1492.8276166205906</c:v>
                </c:pt>
                <c:pt idx="26">
                  <c:v>1502.344650920867</c:v>
                </c:pt>
                <c:pt idx="27">
                  <c:v>1500.2845830153419</c:v>
                </c:pt>
                <c:pt idx="28">
                  <c:v>1494.6188755172498</c:v>
                </c:pt>
                <c:pt idx="29">
                  <c:v>1506.9331622641462</c:v>
                </c:pt>
                <c:pt idx="30">
                  <c:v>1500.2915632905613</c:v>
                </c:pt>
                <c:pt idx="31">
                  <c:v>1503.583813910818</c:v>
                </c:pt>
                <c:pt idx="32">
                  <c:v>1501.8163110273531</c:v>
                </c:pt>
                <c:pt idx="33">
                  <c:v>1500.2574131611889</c:v>
                </c:pt>
                <c:pt idx="34">
                  <c:v>1502.5658686822217</c:v>
                </c:pt>
                <c:pt idx="35">
                  <c:v>1506.8044734701284</c:v>
                </c:pt>
                <c:pt idx="36">
                  <c:v>1500.2176466293076</c:v>
                </c:pt>
                <c:pt idx="37">
                  <c:v>1510.4823407495319</c:v>
                </c:pt>
                <c:pt idx="38">
                  <c:v>1506.0334467050347</c:v>
                </c:pt>
                <c:pt idx="39">
                  <c:v>1500.1352460248045</c:v>
                </c:pt>
                <c:pt idx="40">
                  <c:v>1492.2204345486557</c:v>
                </c:pt>
                <c:pt idx="41">
                  <c:v>1504.1531119413637</c:v>
                </c:pt>
                <c:pt idx="42">
                  <c:v>1500.1741932697155</c:v>
                </c:pt>
                <c:pt idx="43">
                  <c:v>1493.5191481100971</c:v>
                </c:pt>
                <c:pt idx="44">
                  <c:v>1493.8340332214366</c:v>
                </c:pt>
                <c:pt idx="45">
                  <c:v>1500.2670290221079</c:v>
                </c:pt>
                <c:pt idx="46">
                  <c:v>1500.5594268479751</c:v>
                </c:pt>
                <c:pt idx="47">
                  <c:v>1501.2460702868873</c:v>
                </c:pt>
                <c:pt idx="48">
                  <c:v>1500.2725938651661</c:v>
                </c:pt>
                <c:pt idx="49">
                  <c:v>1496.424958301975</c:v>
                </c:pt>
                <c:pt idx="50">
                  <c:v>1490.6024085521633</c:v>
                </c:pt>
                <c:pt idx="51">
                  <c:v>1500.3667941008503</c:v>
                </c:pt>
                <c:pt idx="52">
                  <c:v>1503.0525933362451</c:v>
                </c:pt>
                <c:pt idx="53">
                  <c:v>1500.5742777762275</c:v>
                </c:pt>
                <c:pt idx="54">
                  <c:v>1500.3608321095701</c:v>
                </c:pt>
                <c:pt idx="55">
                  <c:v>1510.6186671169128</c:v>
                </c:pt>
                <c:pt idx="56">
                  <c:v>1503.6069551142114</c:v>
                </c:pt>
                <c:pt idx="57">
                  <c:v>1500.1653133835262</c:v>
                </c:pt>
                <c:pt idx="58">
                  <c:v>1504.844321503225</c:v>
                </c:pt>
                <c:pt idx="59">
                  <c:v>1500.2432555742057</c:v>
                </c:pt>
                <c:pt idx="60">
                  <c:v>1500.0257960407605</c:v>
                </c:pt>
                <c:pt idx="61">
                  <c:v>1510.159641264516</c:v>
                </c:pt>
                <c:pt idx="62">
                  <c:v>1501.692683416929</c:v>
                </c:pt>
                <c:pt idx="63">
                  <c:v>1499.8465273164275</c:v>
                </c:pt>
                <c:pt idx="64">
                  <c:v>1495.3054481525289</c:v>
                </c:pt>
                <c:pt idx="65">
                  <c:v>1488.1996154636138</c:v>
                </c:pt>
                <c:pt idx="66">
                  <c:v>1500.0904177708321</c:v>
                </c:pt>
                <c:pt idx="67">
                  <c:v>1504.5838752642071</c:v>
                </c:pt>
                <c:pt idx="68">
                  <c:v>1498.1603720126218</c:v>
                </c:pt>
                <c:pt idx="69">
                  <c:v>1500.2174097805459</c:v>
                </c:pt>
                <c:pt idx="70">
                  <c:v>1499.0941053218626</c:v>
                </c:pt>
                <c:pt idx="71">
                  <c:v>1491.1375406899315</c:v>
                </c:pt>
                <c:pt idx="72">
                  <c:v>1500.4187154457918</c:v>
                </c:pt>
                <c:pt idx="73">
                  <c:v>1494.398203153117</c:v>
                </c:pt>
                <c:pt idx="74">
                  <c:v>1497.4498139341983</c:v>
                </c:pt>
                <c:pt idx="75">
                  <c:v>1500.6091150505931</c:v>
                </c:pt>
                <c:pt idx="76">
                  <c:v>1504.9554603602896</c:v>
                </c:pt>
                <c:pt idx="77">
                  <c:v>1503.4617275981279</c:v>
                </c:pt>
                <c:pt idx="78">
                  <c:v>1500.6989572325392</c:v>
                </c:pt>
                <c:pt idx="79">
                  <c:v>1494.0827634891439</c:v>
                </c:pt>
                <c:pt idx="80">
                  <c:v>1505.236266908209</c:v>
                </c:pt>
                <c:pt idx="81">
                  <c:v>1500.8428493067597</c:v>
                </c:pt>
                <c:pt idx="82">
                  <c:v>1511.3257922109192</c:v>
                </c:pt>
                <c:pt idx="83">
                  <c:v>1508.3358374576537</c:v>
                </c:pt>
                <c:pt idx="84">
                  <c:v>1500.8638224329079</c:v>
                </c:pt>
                <c:pt idx="85">
                  <c:v>1499.4006394983105</c:v>
                </c:pt>
                <c:pt idx="86">
                  <c:v>1504.4442356613206</c:v>
                </c:pt>
                <c:pt idx="87">
                  <c:v>1500.9975702473528</c:v>
                </c:pt>
                <c:pt idx="88">
                  <c:v>1510.6635848258686</c:v>
                </c:pt>
                <c:pt idx="89">
                  <c:v>1503.6756033169133</c:v>
                </c:pt>
                <c:pt idx="90">
                  <c:v>1501.1395496970119</c:v>
                </c:pt>
                <c:pt idx="91">
                  <c:v>1498.6907123988299</c:v>
                </c:pt>
                <c:pt idx="92">
                  <c:v>1491.9365681244369</c:v>
                </c:pt>
                <c:pt idx="93">
                  <c:v>1501.4229487156904</c:v>
                </c:pt>
                <c:pt idx="94">
                  <c:v>1512.4184110233962</c:v>
                </c:pt>
                <c:pt idx="95">
                  <c:v>1508.7679005572559</c:v>
                </c:pt>
                <c:pt idx="96">
                  <c:v>1501.5212931539124</c:v>
                </c:pt>
                <c:pt idx="97">
                  <c:v>1510.5901653949891</c:v>
                </c:pt>
                <c:pt idx="98">
                  <c:v>1509.0746244026191</c:v>
                </c:pt>
                <c:pt idx="99">
                  <c:v>1501.6281766562033</c:v>
                </c:pt>
                <c:pt idx="100">
                  <c:v>1499.176407596266</c:v>
                </c:pt>
                <c:pt idx="101">
                  <c:v>1492.3293491506884</c:v>
                </c:pt>
                <c:pt idx="102">
                  <c:v>1501.9033730557842</c:v>
                </c:pt>
                <c:pt idx="103">
                  <c:v>1501.3579528174496</c:v>
                </c:pt>
                <c:pt idx="104">
                  <c:v>1499.3398051005449</c:v>
                </c:pt>
                <c:pt idx="105">
                  <c:v>1502.1217662699416</c:v>
                </c:pt>
                <c:pt idx="106">
                  <c:v>1499.1090356723221</c:v>
                </c:pt>
                <c:pt idx="107">
                  <c:v>1499.2463814582882</c:v>
                </c:pt>
                <c:pt idx="108">
                  <c:v>1502.3529031695384</c:v>
                </c:pt>
                <c:pt idx="109">
                  <c:v>1506.2147857505213</c:v>
                </c:pt>
                <c:pt idx="110">
                  <c:v>1508.9014970360181</c:v>
                </c:pt>
                <c:pt idx="111">
                  <c:v>1502.482088053802</c:v>
                </c:pt>
                <c:pt idx="112">
                  <c:v>1493.4371955254792</c:v>
                </c:pt>
                <c:pt idx="113">
                  <c:v>1502.1945723523263</c:v>
                </c:pt>
                <c:pt idx="114">
                  <c:v>1502.7274049182124</c:v>
                </c:pt>
                <c:pt idx="115">
                  <c:v>1501.3130404887031</c:v>
                </c:pt>
                <c:pt idx="116">
                  <c:v>1493.8591622457709</c:v>
                </c:pt>
                <c:pt idx="117">
                  <c:v>1502.9740072722964</c:v>
                </c:pt>
                <c:pt idx="118">
                  <c:v>1501.7741632286627</c:v>
                </c:pt>
                <c:pt idx="119">
                  <c:v>1500.8515182492906</c:v>
                </c:pt>
                <c:pt idx="120">
                  <c:v>1503.174409139795</c:v>
                </c:pt>
                <c:pt idx="121">
                  <c:v>1496.6813626849562</c:v>
                </c:pt>
                <c:pt idx="122">
                  <c:v>1501.2612745088466</c:v>
                </c:pt>
                <c:pt idx="123">
                  <c:v>1503.4017068617934</c:v>
                </c:pt>
                <c:pt idx="124">
                  <c:v>1501.8872966206227</c:v>
                </c:pt>
                <c:pt idx="125">
                  <c:v>1502.4519728408989</c:v>
                </c:pt>
                <c:pt idx="126">
                  <c:v>1503.4632610038534</c:v>
                </c:pt>
                <c:pt idx="127">
                  <c:v>1504.9904814378303</c:v>
                </c:pt>
                <c:pt idx="128">
                  <c:v>1507.7865385492034</c:v>
                </c:pt>
                <c:pt idx="129">
                  <c:v>1503.4738193179082</c:v>
                </c:pt>
                <c:pt idx="130">
                  <c:v>1501.6169764020008</c:v>
                </c:pt>
                <c:pt idx="131">
                  <c:v>1503.6412745435887</c:v>
                </c:pt>
                <c:pt idx="132">
                  <c:v>1503.5294268963271</c:v>
                </c:pt>
                <c:pt idx="133">
                  <c:v>1508.5722503349491</c:v>
                </c:pt>
                <c:pt idx="134">
                  <c:v>1502.1008168329395</c:v>
                </c:pt>
                <c:pt idx="135">
                  <c:v>1503.5702119319419</c:v>
                </c:pt>
                <c:pt idx="136">
                  <c:v>1499.9007906603504</c:v>
                </c:pt>
                <c:pt idx="137">
                  <c:v>1499.0973859163882</c:v>
                </c:pt>
                <c:pt idx="138">
                  <c:v>1503.6808016008899</c:v>
                </c:pt>
                <c:pt idx="139">
                  <c:v>1498.1027167912846</c:v>
                </c:pt>
                <c:pt idx="140">
                  <c:v>1492.5401004905368</c:v>
                </c:pt>
                <c:pt idx="141">
                  <c:v>1503.8408598875935</c:v>
                </c:pt>
                <c:pt idx="142">
                  <c:v>1506.775814728268</c:v>
                </c:pt>
                <c:pt idx="143">
                  <c:v>1502.3131598398984</c:v>
                </c:pt>
                <c:pt idx="144">
                  <c:v>1503.8892808808589</c:v>
                </c:pt>
                <c:pt idx="145">
                  <c:v>1503.0259451955737</c:v>
                </c:pt>
                <c:pt idx="146">
                  <c:v>1500.9077895244002</c:v>
                </c:pt>
                <c:pt idx="147">
                  <c:v>1503.9683427872537</c:v>
                </c:pt>
                <c:pt idx="148">
                  <c:v>1506.2545327305302</c:v>
                </c:pt>
                <c:pt idx="149">
                  <c:v>1506.925005534147</c:v>
                </c:pt>
                <c:pt idx="150">
                  <c:v>1503.8834555009421</c:v>
                </c:pt>
                <c:pt idx="151">
                  <c:v>1504.0281547679365</c:v>
                </c:pt>
                <c:pt idx="152">
                  <c:v>1511.8219858393288</c:v>
                </c:pt>
                <c:pt idx="153">
                  <c:v>1503.8910539242929</c:v>
                </c:pt>
                <c:pt idx="154">
                  <c:v>1502.7037076007471</c:v>
                </c:pt>
                <c:pt idx="155">
                  <c:v>1502.2254853551426</c:v>
                </c:pt>
                <c:pt idx="156">
                  <c:v>1503.9641324430117</c:v>
                </c:pt>
                <c:pt idx="157">
                  <c:v>1498.9423476483537</c:v>
                </c:pt>
                <c:pt idx="158">
                  <c:v>1489.0906935624635</c:v>
                </c:pt>
                <c:pt idx="159">
                  <c:v>1504.1381494010886</c:v>
                </c:pt>
                <c:pt idx="160">
                  <c:v>1507.1613205046822</c:v>
                </c:pt>
                <c:pt idx="161">
                  <c:v>1500.3743525816542</c:v>
                </c:pt>
                <c:pt idx="162">
                  <c:v>1504.1941064661642</c:v>
                </c:pt>
                <c:pt idx="163">
                  <c:v>1502.9509418273672</c:v>
                </c:pt>
                <c:pt idx="164">
                  <c:v>1501.913236176403</c:v>
                </c:pt>
                <c:pt idx="165">
                  <c:v>1504.2657567593446</c:v>
                </c:pt>
                <c:pt idx="166">
                  <c:v>1509.9101622187886</c:v>
                </c:pt>
                <c:pt idx="167">
                  <c:v>1510.9487012454758</c:v>
                </c:pt>
                <c:pt idx="168">
                  <c:v>1504.061009038003</c:v>
                </c:pt>
                <c:pt idx="169">
                  <c:v>1506.9346429837749</c:v>
                </c:pt>
                <c:pt idx="170">
                  <c:v>1498.6490351258722</c:v>
                </c:pt>
                <c:pt idx="171">
                  <c:v>1504.165140915117</c:v>
                </c:pt>
                <c:pt idx="172">
                  <c:v>1514.4541500696264</c:v>
                </c:pt>
                <c:pt idx="173">
                  <c:v>1505.3314251692086</c:v>
                </c:pt>
                <c:pt idx="174">
                  <c:v>1504.1834366181934</c:v>
                </c:pt>
                <c:pt idx="175">
                  <c:v>1505.1663359984841</c:v>
                </c:pt>
                <c:pt idx="176">
                  <c:v>1506.3233379824933</c:v>
                </c:pt>
                <c:pt idx="177">
                  <c:v>1504.2513979545984</c:v>
                </c:pt>
                <c:pt idx="178">
                  <c:v>1497.6798895668708</c:v>
                </c:pt>
                <c:pt idx="179">
                  <c:v>1501.0298102294696</c:v>
                </c:pt>
                <c:pt idx="180">
                  <c:v>1504.1436313680929</c:v>
                </c:pt>
                <c:pt idx="181">
                  <c:v>1495.8867695798842</c:v>
                </c:pt>
                <c:pt idx="182">
                  <c:v>1496.895448962405</c:v>
                </c:pt>
                <c:pt idx="183">
                  <c:v>1504.3600762686306</c:v>
                </c:pt>
                <c:pt idx="184">
                  <c:v>1510.6219158110189</c:v>
                </c:pt>
                <c:pt idx="185">
                  <c:v>1506.1361843161528</c:v>
                </c:pt>
                <c:pt idx="186">
                  <c:v>1504.1973672102558</c:v>
                </c:pt>
                <c:pt idx="187">
                  <c:v>1508.0121830069943</c:v>
                </c:pt>
                <c:pt idx="188">
                  <c:v>1505.5041099089524</c:v>
                </c:pt>
                <c:pt idx="189">
                  <c:v>1504.2170852494987</c:v>
                </c:pt>
                <c:pt idx="190">
                  <c:v>1492.3537827380017</c:v>
                </c:pt>
                <c:pt idx="191">
                  <c:v>1490.9476600415737</c:v>
                </c:pt>
                <c:pt idx="192">
                  <c:v>1504.4179740813242</c:v>
                </c:pt>
                <c:pt idx="193">
                  <c:v>1503.4314662368363</c:v>
                </c:pt>
                <c:pt idx="194">
                  <c:v>1495.2508774394153</c:v>
                </c:pt>
                <c:pt idx="195">
                  <c:v>1504.2193721747788</c:v>
                </c:pt>
                <c:pt idx="196">
                  <c:v>1504.39805594173</c:v>
                </c:pt>
                <c:pt idx="197">
                  <c:v>1497.9156676060798</c:v>
                </c:pt>
                <c:pt idx="198">
                  <c:v>1504.2521736004433</c:v>
                </c:pt>
                <c:pt idx="199">
                  <c:v>1509.9326605588406</c:v>
                </c:pt>
                <c:pt idx="200">
                  <c:v>1504.2570645954875</c:v>
                </c:pt>
                <c:pt idx="201">
                  <c:v>1504.1955222079146</c:v>
                </c:pt>
                <c:pt idx="202">
                  <c:v>1500.756349074667</c:v>
                </c:pt>
                <c:pt idx="203">
                  <c:v>1512.2778109802191</c:v>
                </c:pt>
                <c:pt idx="204">
                  <c:v>1504.1101441143378</c:v>
                </c:pt>
                <c:pt idx="205">
                  <c:v>1502.3094832496517</c:v>
                </c:pt>
                <c:pt idx="206">
                  <c:v>1502.8596263501538</c:v>
                </c:pt>
                <c:pt idx="207">
                  <c:v>1504.0724685920529</c:v>
                </c:pt>
                <c:pt idx="208">
                  <c:v>1504.2160337805005</c:v>
                </c:pt>
                <c:pt idx="209">
                  <c:v>1504.4127375778176</c:v>
                </c:pt>
                <c:pt idx="210">
                  <c:v>1504.0142611523506</c:v>
                </c:pt>
                <c:pt idx="211">
                  <c:v>1509.8101755854366</c:v>
                </c:pt>
                <c:pt idx="212">
                  <c:v>1510.261314531924</c:v>
                </c:pt>
                <c:pt idx="213">
                  <c:v>1503.8877466447325</c:v>
                </c:pt>
                <c:pt idx="214">
                  <c:v>1495.662420164864</c:v>
                </c:pt>
                <c:pt idx="215">
                  <c:v>1503.7944456438747</c:v>
                </c:pt>
                <c:pt idx="216">
                  <c:v>1504.1016789700116</c:v>
                </c:pt>
                <c:pt idx="217">
                  <c:v>1509.2490688961916</c:v>
                </c:pt>
                <c:pt idx="218">
                  <c:v>1509.0015744828145</c:v>
                </c:pt>
                <c:pt idx="219">
                  <c:v>1504.1475650359175</c:v>
                </c:pt>
                <c:pt idx="220">
                  <c:v>1502.9826796457021</c:v>
                </c:pt>
                <c:pt idx="221">
                  <c:v>1496.010783567828</c:v>
                </c:pt>
                <c:pt idx="222">
                  <c:v>1504.704718866421</c:v>
                </c:pt>
                <c:pt idx="223">
                  <c:v>1508.0544905532224</c:v>
                </c:pt>
                <c:pt idx="224">
                  <c:v>1502.132163609903</c:v>
                </c:pt>
                <c:pt idx="225">
                  <c:v>1504.8673706282436</c:v>
                </c:pt>
                <c:pt idx="226">
                  <c:v>1502.4201664044742</c:v>
                </c:pt>
                <c:pt idx="227">
                  <c:v>1499.2136454060474</c:v>
                </c:pt>
                <c:pt idx="228">
                  <c:v>1505.080363533611</c:v>
                </c:pt>
                <c:pt idx="229">
                  <c:v>1512.2978813524094</c:v>
                </c:pt>
                <c:pt idx="230">
                  <c:v>1505.0000940642949</c:v>
                </c:pt>
                <c:pt idx="231">
                  <c:v>1505.090093499909</c:v>
                </c:pt>
                <c:pt idx="232">
                  <c:v>1505.9535529389095</c:v>
                </c:pt>
                <c:pt idx="233">
                  <c:v>1503.8958316212761</c:v>
                </c:pt>
                <c:pt idx="234">
                  <c:v>1504.8744566315484</c:v>
                </c:pt>
                <c:pt idx="235">
                  <c:v>1502.3972098917591</c:v>
                </c:pt>
                <c:pt idx="236">
                  <c:v>1499.5568266324085</c:v>
                </c:pt>
                <c:pt idx="237">
                  <c:v>1504.887485672614</c:v>
                </c:pt>
                <c:pt idx="238">
                  <c:v>1500.5501607585784</c:v>
                </c:pt>
                <c:pt idx="239">
                  <c:v>1496.436859794027</c:v>
                </c:pt>
                <c:pt idx="240">
                  <c:v>1504.3722386352629</c:v>
                </c:pt>
                <c:pt idx="241">
                  <c:v>1505.3000052034513</c:v>
                </c:pt>
                <c:pt idx="242">
                  <c:v>1507.3382051722306</c:v>
                </c:pt>
                <c:pt idx="243">
                  <c:v>1504.3781759411972</c:v>
                </c:pt>
                <c:pt idx="244">
                  <c:v>1510.07590688555</c:v>
                </c:pt>
                <c:pt idx="245">
                  <c:v>1511.0954514442367</c:v>
                </c:pt>
                <c:pt idx="246">
                  <c:v>1504.1708787355713</c:v>
                </c:pt>
                <c:pt idx="247">
                  <c:v>1511.3938534631577</c:v>
                </c:pt>
                <c:pt idx="248">
                  <c:v>1503.4534903423787</c:v>
                </c:pt>
                <c:pt idx="249">
                  <c:v>1504.2007694003244</c:v>
                </c:pt>
                <c:pt idx="250">
                  <c:v>1508.2735647839224</c:v>
                </c:pt>
                <c:pt idx="251">
                  <c:v>1500.891923395219</c:v>
                </c:pt>
                <c:pt idx="252">
                  <c:v>1504.2645718548476</c:v>
                </c:pt>
                <c:pt idx="253">
                  <c:v>1509.9569844237185</c:v>
                </c:pt>
                <c:pt idx="254">
                  <c:v>1508.0012425171763</c:v>
                </c:pt>
                <c:pt idx="255">
                  <c:v>1504.2752350620733</c:v>
                </c:pt>
                <c:pt idx="256">
                  <c:v>1514.9655836517009</c:v>
                </c:pt>
                <c:pt idx="257">
                  <c:v>1508.4377901497905</c:v>
                </c:pt>
                <c:pt idx="258">
                  <c:v>1503.9651634088918</c:v>
                </c:pt>
                <c:pt idx="259">
                  <c:v>1505.8913724284384</c:v>
                </c:pt>
                <c:pt idx="260">
                  <c:v>1500.9300241938679</c:v>
                </c:pt>
                <c:pt idx="261">
                  <c:v>1503.7564440487047</c:v>
                </c:pt>
                <c:pt idx="262">
                  <c:v>1503.9739053844125</c:v>
                </c:pt>
                <c:pt idx="263">
                  <c:v>1507.9700619521061</c:v>
                </c:pt>
                <c:pt idx="264">
                  <c:v>1503.5182415803936</c:v>
                </c:pt>
                <c:pt idx="265">
                  <c:v>1499.7051321309111</c:v>
                </c:pt>
                <c:pt idx="266">
                  <c:v>1502.5749013381258</c:v>
                </c:pt>
                <c:pt idx="267">
                  <c:v>1503.6634519300969</c:v>
                </c:pt>
                <c:pt idx="268">
                  <c:v>1504.2894712185164</c:v>
                </c:pt>
                <c:pt idx="269">
                  <c:v>1504.3897343912054</c:v>
                </c:pt>
                <c:pt idx="270">
                  <c:v>1503.6433959848582</c:v>
                </c:pt>
                <c:pt idx="271">
                  <c:v>1495.7195356089492</c:v>
                </c:pt>
                <c:pt idx="272">
                  <c:v>1502.8912183952955</c:v>
                </c:pt>
                <c:pt idx="273">
                  <c:v>1503.3598710849237</c:v>
                </c:pt>
                <c:pt idx="274">
                  <c:v>1495.1017118584141</c:v>
                </c:pt>
                <c:pt idx="275">
                  <c:v>1498.2331015872637</c:v>
                </c:pt>
                <c:pt idx="276">
                  <c:v>1503.2357029777402</c:v>
                </c:pt>
                <c:pt idx="277">
                  <c:v>1503.0602887598736</c:v>
                </c:pt>
                <c:pt idx="278">
                  <c:v>1496.0639270273143</c:v>
                </c:pt>
                <c:pt idx="279">
                  <c:v>1503.0775434651505</c:v>
                </c:pt>
                <c:pt idx="280">
                  <c:v>1507.7570782043597</c:v>
                </c:pt>
                <c:pt idx="281">
                  <c:v>1502.5445357351334</c:v>
                </c:pt>
                <c:pt idx="282">
                  <c:v>1502.8352685207226</c:v>
                </c:pt>
                <c:pt idx="283">
                  <c:v>1504.5162569095983</c:v>
                </c:pt>
                <c:pt idx="284">
                  <c:v>1496.8091593681406</c:v>
                </c:pt>
                <c:pt idx="285">
                  <c:v>1502.6663044119318</c:v>
                </c:pt>
                <c:pt idx="286">
                  <c:v>1506.4483065854602</c:v>
                </c:pt>
                <c:pt idx="287">
                  <c:v>1499.9836167459473</c:v>
                </c:pt>
                <c:pt idx="288">
                  <c:v>1502.6117150454716</c:v>
                </c:pt>
                <c:pt idx="289">
                  <c:v>1493.6680447551987</c:v>
                </c:pt>
                <c:pt idx="290">
                  <c:v>1493.6700364866674</c:v>
                </c:pt>
                <c:pt idx="291">
                  <c:v>1502.1860162677474</c:v>
                </c:pt>
                <c:pt idx="292">
                  <c:v>1499.1789001701409</c:v>
                </c:pt>
                <c:pt idx="293">
                  <c:v>1501.2658267691199</c:v>
                </c:pt>
                <c:pt idx="294">
                  <c:v>1501.8282318085053</c:v>
                </c:pt>
                <c:pt idx="295">
                  <c:v>1509.6892624176542</c:v>
                </c:pt>
                <c:pt idx="296">
                  <c:v>1503.0311268431483</c:v>
                </c:pt>
                <c:pt idx="297">
                  <c:v>1502.0829400820894</c:v>
                </c:pt>
                <c:pt idx="298">
                  <c:v>1501.0144424415969</c:v>
                </c:pt>
                <c:pt idx="299">
                  <c:v>1491.6903557869473</c:v>
                </c:pt>
                <c:pt idx="300">
                  <c:v>1502.1862136522257</c:v>
                </c:pt>
                <c:pt idx="301">
                  <c:v>1495.4470963703122</c:v>
                </c:pt>
                <c:pt idx="302">
                  <c:v>1493.3384137920905</c:v>
                </c:pt>
                <c:pt idx="303">
                  <c:v>1502.312383309338</c:v>
                </c:pt>
                <c:pt idx="304">
                  <c:v>1495.2485090094819</c:v>
                </c:pt>
                <c:pt idx="305">
                  <c:v>1504.1570179554251</c:v>
                </c:pt>
                <c:pt idx="306">
                  <c:v>1502.4820758476926</c:v>
                </c:pt>
                <c:pt idx="307">
                  <c:v>1504.5311833926064</c:v>
                </c:pt>
                <c:pt idx="308">
                  <c:v>1502.0859962922507</c:v>
                </c:pt>
                <c:pt idx="309">
                  <c:v>1502.6254803144973</c:v>
                </c:pt>
                <c:pt idx="310">
                  <c:v>1502.3157274326104</c:v>
                </c:pt>
                <c:pt idx="311">
                  <c:v>1509.7478330680146</c:v>
                </c:pt>
                <c:pt idx="312">
                  <c:v>1502.7353460696065</c:v>
                </c:pt>
                <c:pt idx="313">
                  <c:v>1510.614933993189</c:v>
                </c:pt>
                <c:pt idx="314">
                  <c:v>1510.0052443892298</c:v>
                </c:pt>
                <c:pt idx="315">
                  <c:v>1502.7932129228943</c:v>
                </c:pt>
                <c:pt idx="316">
                  <c:v>1501.8344536453569</c:v>
                </c:pt>
                <c:pt idx="317">
                  <c:v>1514.7774469234848</c:v>
                </c:pt>
                <c:pt idx="318">
                  <c:v>1502.8747822419439</c:v>
                </c:pt>
                <c:pt idx="319">
                  <c:v>1501.5915335484922</c:v>
                </c:pt>
                <c:pt idx="320">
                  <c:v>1507.3179843472012</c:v>
                </c:pt>
                <c:pt idx="321">
                  <c:v>1503.0020764411181</c:v>
                </c:pt>
                <c:pt idx="322">
                  <c:v>1496.2100639824714</c:v>
                </c:pt>
                <c:pt idx="323">
                  <c:v>1502.6708035985766</c:v>
                </c:pt>
                <c:pt idx="324">
                  <c:v>1503.1887787769851</c:v>
                </c:pt>
                <c:pt idx="325">
                  <c:v>1499.8516461043232</c:v>
                </c:pt>
                <c:pt idx="326">
                  <c:v>1501.9885362276973</c:v>
                </c:pt>
                <c:pt idx="327">
                  <c:v>1503.3566050103311</c:v>
                </c:pt>
                <c:pt idx="328">
                  <c:v>1508.2624653802691</c:v>
                </c:pt>
                <c:pt idx="329">
                  <c:v>1509.9168905879874</c:v>
                </c:pt>
                <c:pt idx="330">
                  <c:v>1503.4253892444594</c:v>
                </c:pt>
                <c:pt idx="331">
                  <c:v>1511.3548369089926</c:v>
                </c:pt>
                <c:pt idx="332">
                  <c:v>1510.2727078875387</c:v>
                </c:pt>
                <c:pt idx="333">
                  <c:v>1503.0410716402134</c:v>
                </c:pt>
                <c:pt idx="334">
                  <c:v>1504.1988252103722</c:v>
                </c:pt>
                <c:pt idx="335">
                  <c:v>1510.02963225911</c:v>
                </c:pt>
                <c:pt idx="336">
                  <c:v>1502.6854544655553</c:v>
                </c:pt>
                <c:pt idx="337">
                  <c:v>1500.5513417387619</c:v>
                </c:pt>
                <c:pt idx="338">
                  <c:v>1501.4000336883294</c:v>
                </c:pt>
                <c:pt idx="339">
                  <c:v>1502.4056334861993</c:v>
                </c:pt>
                <c:pt idx="340">
                  <c:v>1499.5171996852821</c:v>
                </c:pt>
                <c:pt idx="341">
                  <c:v>1493.0460964871704</c:v>
                </c:pt>
                <c:pt idx="342">
                  <c:v>1502.1838199082474</c:v>
                </c:pt>
                <c:pt idx="343">
                  <c:v>1498.774716988798</c:v>
                </c:pt>
                <c:pt idx="344">
                  <c:v>1501.7760686868653</c:v>
                </c:pt>
                <c:pt idx="345">
                  <c:v>1502.4014122747442</c:v>
                </c:pt>
                <c:pt idx="346">
                  <c:v>1506.6230038010958</c:v>
                </c:pt>
                <c:pt idx="347">
                  <c:v>1505.4372657782892</c:v>
                </c:pt>
                <c:pt idx="348">
                  <c:v>1502.0626421836196</c:v>
                </c:pt>
                <c:pt idx="349">
                  <c:v>1506.9462663305178</c:v>
                </c:pt>
                <c:pt idx="350">
                  <c:v>1503.0705887325346</c:v>
                </c:pt>
                <c:pt idx="351">
                  <c:v>1501.3961652001394</c:v>
                </c:pt>
                <c:pt idx="352">
                  <c:v>1495.5077882089386</c:v>
                </c:pt>
                <c:pt idx="353">
                  <c:v>1504.3247414796849</c:v>
                </c:pt>
                <c:pt idx="354">
                  <c:v>1500.7587930308068</c:v>
                </c:pt>
                <c:pt idx="355">
                  <c:v>1504.1802402726221</c:v>
                </c:pt>
                <c:pt idx="356">
                  <c:v>1501.8931588309863</c:v>
                </c:pt>
                <c:pt idx="357">
                  <c:v>1500.4657998780003</c:v>
                </c:pt>
                <c:pt idx="358">
                  <c:v>1499.4130050787323</c:v>
                </c:pt>
                <c:pt idx="359">
                  <c:v>1502.18252704826</c:v>
                </c:pt>
                <c:pt idx="360">
                  <c:v>1500.2194318859704</c:v>
                </c:pt>
                <c:pt idx="361">
                  <c:v>1510.2201152946545</c:v>
                </c:pt>
                <c:pt idx="362">
                  <c:v>1506.8407946028867</c:v>
                </c:pt>
                <c:pt idx="363">
                  <c:v>1499.8817498352694</c:v>
                </c:pt>
                <c:pt idx="364">
                  <c:v>1507.7004593362578</c:v>
                </c:pt>
                <c:pt idx="365">
                  <c:v>1500.3522565802402</c:v>
                </c:pt>
                <c:pt idx="366">
                  <c:v>1500.0681430407587</c:v>
                </c:pt>
                <c:pt idx="367">
                  <c:v>1497.6257341825142</c:v>
                </c:pt>
                <c:pt idx="368">
                  <c:v>1496.421979777419</c:v>
                </c:pt>
                <c:pt idx="369">
                  <c:v>1500.3374478987544</c:v>
                </c:pt>
                <c:pt idx="370">
                  <c:v>1491.6534232113618</c:v>
                </c:pt>
                <c:pt idx="371">
                  <c:v>1497.7455026720936</c:v>
                </c:pt>
                <c:pt idx="372">
                  <c:v>1500.4890296560611</c:v>
                </c:pt>
                <c:pt idx="373">
                  <c:v>1508.5980954781248</c:v>
                </c:pt>
                <c:pt idx="374">
                  <c:v>1507.5685069052561</c:v>
                </c:pt>
                <c:pt idx="375">
                  <c:v>1500.4790958638246</c:v>
                </c:pt>
                <c:pt idx="376">
                  <c:v>1503.7342212886417</c:v>
                </c:pt>
                <c:pt idx="377">
                  <c:v>1499.0318159609099</c:v>
                </c:pt>
                <c:pt idx="378">
                  <c:v>1500.9996250651443</c:v>
                </c:pt>
                <c:pt idx="379">
                  <c:v>1494.3456273147535</c:v>
                </c:pt>
                <c:pt idx="380">
                  <c:v>1495.5075535508649</c:v>
                </c:pt>
                <c:pt idx="381">
                  <c:v>1501.6305082295598</c:v>
                </c:pt>
                <c:pt idx="382">
                  <c:v>1504.7767251801824</c:v>
                </c:pt>
                <c:pt idx="383">
                  <c:v>1503.5480648291013</c:v>
                </c:pt>
                <c:pt idx="384">
                  <c:v>1502.1287764401268</c:v>
                </c:pt>
                <c:pt idx="385">
                  <c:v>1503.5320037814861</c:v>
                </c:pt>
                <c:pt idx="386">
                  <c:v>1505.4488117587971</c:v>
                </c:pt>
                <c:pt idx="387">
                  <c:v>1501.6121188882444</c:v>
                </c:pt>
                <c:pt idx="388">
                  <c:v>1505.1784461749148</c:v>
                </c:pt>
                <c:pt idx="389">
                  <c:v>1497.1673754978654</c:v>
                </c:pt>
                <c:pt idx="390">
                  <c:v>1501.1383712448783</c:v>
                </c:pt>
                <c:pt idx="391">
                  <c:v>1503.789541017409</c:v>
                </c:pt>
                <c:pt idx="392">
                  <c:v>1502.4468037713045</c:v>
                </c:pt>
                <c:pt idx="393">
                  <c:v>1500.8061229486766</c:v>
                </c:pt>
                <c:pt idx="394">
                  <c:v>1503.0032862109845</c:v>
                </c:pt>
                <c:pt idx="395">
                  <c:v>1506.6272664937185</c:v>
                </c:pt>
                <c:pt idx="396">
                  <c:v>1501.0855028947562</c:v>
                </c:pt>
                <c:pt idx="397">
                  <c:v>1502.5429898773878</c:v>
                </c:pt>
                <c:pt idx="398">
                  <c:v>1498.9157319381234</c:v>
                </c:pt>
                <c:pt idx="399">
                  <c:v>1501.0342375464945</c:v>
                </c:pt>
                <c:pt idx="400">
                  <c:v>1505.4260321212155</c:v>
                </c:pt>
                <c:pt idx="401">
                  <c:v>1504.4994759284882</c:v>
                </c:pt>
                <c:pt idx="402">
                  <c:v>1500.9324790729172</c:v>
                </c:pt>
                <c:pt idx="403">
                  <c:v>1503.8848841984798</c:v>
                </c:pt>
                <c:pt idx="404">
                  <c:v>1503.993574893289</c:v>
                </c:pt>
                <c:pt idx="405">
                  <c:v>1500.6276134439292</c:v>
                </c:pt>
                <c:pt idx="406">
                  <c:v>1493.7898477632657</c:v>
                </c:pt>
                <c:pt idx="407">
                  <c:v>1498.3331086766862</c:v>
                </c:pt>
                <c:pt idx="408">
                  <c:v>1500.419110024626</c:v>
                </c:pt>
                <c:pt idx="409">
                  <c:v>1507.2625953644783</c:v>
                </c:pt>
                <c:pt idx="410">
                  <c:v>1500.2950197922914</c:v>
                </c:pt>
                <c:pt idx="411">
                  <c:v>1500.1192496735378</c:v>
                </c:pt>
                <c:pt idx="412">
                  <c:v>1491.7785341754966</c:v>
                </c:pt>
                <c:pt idx="413">
                  <c:v>1492.6678629704436</c:v>
                </c:pt>
                <c:pt idx="414">
                  <c:v>1500.3018557926209</c:v>
                </c:pt>
                <c:pt idx="415">
                  <c:v>1502.7060446578653</c:v>
                </c:pt>
                <c:pt idx="416">
                  <c:v>1501.3878083899181</c:v>
                </c:pt>
                <c:pt idx="417">
                  <c:v>1500.3654815395785</c:v>
                </c:pt>
                <c:pt idx="418">
                  <c:v>1496.9552886503409</c:v>
                </c:pt>
                <c:pt idx="419">
                  <c:v>1500.2795569184389</c:v>
                </c:pt>
                <c:pt idx="420">
                  <c:v>1500.6858795769283</c:v>
                </c:pt>
                <c:pt idx="421">
                  <c:v>1508.2897642994667</c:v>
                </c:pt>
                <c:pt idx="422">
                  <c:v>1503.6440257136699</c:v>
                </c:pt>
                <c:pt idx="423">
                  <c:v>1501.0781615593878</c:v>
                </c:pt>
                <c:pt idx="424">
                  <c:v>1505.9256925900315</c:v>
                </c:pt>
                <c:pt idx="425">
                  <c:v>1496.7581384344912</c:v>
                </c:pt>
                <c:pt idx="426">
                  <c:v>1500.9835896038842</c:v>
                </c:pt>
                <c:pt idx="427">
                  <c:v>1502.447688066261</c:v>
                </c:pt>
                <c:pt idx="428">
                  <c:v>1506.9990019378633</c:v>
                </c:pt>
                <c:pt idx="429">
                  <c:v>1500.7410079262361</c:v>
                </c:pt>
                <c:pt idx="430">
                  <c:v>1501.3245618786787</c:v>
                </c:pt>
                <c:pt idx="431">
                  <c:v>1498.0166145074065</c:v>
                </c:pt>
                <c:pt idx="432">
                  <c:v>1499.912514820362</c:v>
                </c:pt>
                <c:pt idx="433">
                  <c:v>1507.8390397314399</c:v>
                </c:pt>
                <c:pt idx="434">
                  <c:v>1506.5200054930513</c:v>
                </c:pt>
                <c:pt idx="435">
                  <c:v>1500.222885460093</c:v>
                </c:pt>
                <c:pt idx="436">
                  <c:v>1505.0275481473325</c:v>
                </c:pt>
                <c:pt idx="437">
                  <c:v>1504.1693828584484</c:v>
                </c:pt>
                <c:pt idx="438">
                  <c:v>1500.5443665612977</c:v>
                </c:pt>
                <c:pt idx="439">
                  <c:v>1502.6591003619299</c:v>
                </c:pt>
                <c:pt idx="440">
                  <c:v>1496.8771457597584</c:v>
                </c:pt>
                <c:pt idx="441">
                  <c:v>1500.9578828851998</c:v>
                </c:pt>
                <c:pt idx="442">
                  <c:v>1508.3321355878886</c:v>
                </c:pt>
                <c:pt idx="443">
                  <c:v>1500.0921427743613</c:v>
                </c:pt>
                <c:pt idx="444">
                  <c:v>1500.901589917715</c:v>
                </c:pt>
                <c:pt idx="445">
                  <c:v>1505.1741803782088</c:v>
                </c:pt>
                <c:pt idx="446">
                  <c:v>1498.5311352959395</c:v>
                </c:pt>
                <c:pt idx="447">
                  <c:v>1500.2079484841638</c:v>
                </c:pt>
                <c:pt idx="448">
                  <c:v>1496.6067007932588</c:v>
                </c:pt>
                <c:pt idx="449">
                  <c:v>1494.7910605884992</c:v>
                </c:pt>
                <c:pt idx="450">
                  <c:v>1500.1503142249683</c:v>
                </c:pt>
                <c:pt idx="451">
                  <c:v>1506.9234123396184</c:v>
                </c:pt>
                <c:pt idx="452">
                  <c:v>1506.6898718655807</c:v>
                </c:pt>
                <c:pt idx="453">
                  <c:v>1500.0857326343871</c:v>
                </c:pt>
                <c:pt idx="454">
                  <c:v>1501.4952182385807</c:v>
                </c:pt>
                <c:pt idx="455">
                  <c:v>1494.7962469291492</c:v>
                </c:pt>
                <c:pt idx="456">
                  <c:v>1500.1254694475742</c:v>
                </c:pt>
                <c:pt idx="457">
                  <c:v>1512.3887166308889</c:v>
                </c:pt>
                <c:pt idx="458">
                  <c:v>1504.8863843311035</c:v>
                </c:pt>
                <c:pt idx="459">
                  <c:v>1500.0390660251169</c:v>
                </c:pt>
                <c:pt idx="460">
                  <c:v>1499.4328316289661</c:v>
                </c:pt>
                <c:pt idx="461">
                  <c:v>1496.2382346391923</c:v>
                </c:pt>
                <c:pt idx="462">
                  <c:v>1499.3268052313572</c:v>
                </c:pt>
                <c:pt idx="463">
                  <c:v>1500.368844399969</c:v>
                </c:pt>
                <c:pt idx="464">
                  <c:v>1494.7626313335693</c:v>
                </c:pt>
                <c:pt idx="465">
                  <c:v>1499.6660555455678</c:v>
                </c:pt>
                <c:pt idx="466">
                  <c:v>1502.6800592122945</c:v>
                </c:pt>
                <c:pt idx="467">
                  <c:v>1501.8779788570207</c:v>
                </c:pt>
                <c:pt idx="468">
                  <c:v>1499.9287109838785</c:v>
                </c:pt>
                <c:pt idx="469">
                  <c:v>1504.3811387179753</c:v>
                </c:pt>
                <c:pt idx="470">
                  <c:v>1501.7688518856676</c:v>
                </c:pt>
                <c:pt idx="471">
                  <c:v>1500.1802387743535</c:v>
                </c:pt>
                <c:pt idx="472">
                  <c:v>1503.9831573417073</c:v>
                </c:pt>
                <c:pt idx="473">
                  <c:v>1495.829258397657</c:v>
                </c:pt>
                <c:pt idx="474">
                  <c:v>1500.468282847271</c:v>
                </c:pt>
                <c:pt idx="475">
                  <c:v>1501.8754731501874</c:v>
                </c:pt>
                <c:pt idx="476">
                  <c:v>1506.6762203112862</c:v>
                </c:pt>
                <c:pt idx="477">
                  <c:v>1500.7021629894184</c:v>
                </c:pt>
                <c:pt idx="478">
                  <c:v>1501.6579500114819</c:v>
                </c:pt>
                <c:pt idx="479">
                  <c:v>1507.6300023114131</c:v>
                </c:pt>
                <c:pt idx="480">
                  <c:v>1500.9302222975446</c:v>
                </c:pt>
                <c:pt idx="481">
                  <c:v>1501.7586409637593</c:v>
                </c:pt>
                <c:pt idx="482">
                  <c:v>1502.7980891179768</c:v>
                </c:pt>
                <c:pt idx="483">
                  <c:v>1501.1853005832691</c:v>
                </c:pt>
                <c:pt idx="484">
                  <c:v>1499.1801887797694</c:v>
                </c:pt>
                <c:pt idx="485">
                  <c:v>1501.4171076470909</c:v>
                </c:pt>
                <c:pt idx="486">
                  <c:v>1501.6606050012083</c:v>
                </c:pt>
                <c:pt idx="487">
                  <c:v>1504.0626413712012</c:v>
                </c:pt>
                <c:pt idx="488">
                  <c:v>1502.0222655229738</c:v>
                </c:pt>
                <c:pt idx="489">
                  <c:v>1502.1001319298359</c:v>
                </c:pt>
                <c:pt idx="490">
                  <c:v>1499.9275311382569</c:v>
                </c:pt>
                <c:pt idx="491">
                  <c:v>1499.1539659514274</c:v>
                </c:pt>
                <c:pt idx="492">
                  <c:v>1502.5790421557188</c:v>
                </c:pt>
                <c:pt idx="493">
                  <c:v>1505.6775679027844</c:v>
                </c:pt>
                <c:pt idx="494">
                  <c:v>1499.0375024953678</c:v>
                </c:pt>
                <c:pt idx="495">
                  <c:v>1503.4532774803956</c:v>
                </c:pt>
                <c:pt idx="496">
                  <c:v>1506.6365578155132</c:v>
                </c:pt>
                <c:pt idx="497">
                  <c:v>1504.6887384686202</c:v>
                </c:pt>
                <c:pt idx="498">
                  <c:v>1504.5526060378083</c:v>
                </c:pt>
                <c:pt idx="499">
                  <c:v>1498.4412904015815</c:v>
                </c:pt>
                <c:pt idx="500">
                  <c:v>1505.326642659172</c:v>
                </c:pt>
                <c:pt idx="501">
                  <c:v>1505.690682803217</c:v>
                </c:pt>
                <c:pt idx="502">
                  <c:v>1500.7245387063977</c:v>
                </c:pt>
                <c:pt idx="503">
                  <c:v>1492.2781914741593</c:v>
                </c:pt>
                <c:pt idx="504">
                  <c:v>1506.8865223253142</c:v>
                </c:pt>
                <c:pt idx="505">
                  <c:v>1508.2552031913624</c:v>
                </c:pt>
                <c:pt idx="506">
                  <c:v>1507.9236719722142</c:v>
                </c:pt>
                <c:pt idx="507">
                  <c:v>1507.306129940381</c:v>
                </c:pt>
                <c:pt idx="508">
                  <c:v>1504.9702931607387</c:v>
                </c:pt>
                <c:pt idx="509">
                  <c:v>1502.9184714017742</c:v>
                </c:pt>
                <c:pt idx="510">
                  <c:v>1507.8989605733636</c:v>
                </c:pt>
                <c:pt idx="511">
                  <c:v>1506.2735668099235</c:v>
                </c:pt>
                <c:pt idx="512">
                  <c:v>1517.3479254090639</c:v>
                </c:pt>
                <c:pt idx="513">
                  <c:v>1508.3758378566095</c:v>
                </c:pt>
                <c:pt idx="514">
                  <c:v>1516.5755828294698</c:v>
                </c:pt>
                <c:pt idx="515">
                  <c:v>1511.388129332493</c:v>
                </c:pt>
                <c:pt idx="516">
                  <c:v>1508.8238005564981</c:v>
                </c:pt>
                <c:pt idx="517">
                  <c:v>1508.044857753159</c:v>
                </c:pt>
                <c:pt idx="518">
                  <c:v>1511.4645886066401</c:v>
                </c:pt>
                <c:pt idx="519">
                  <c:v>1509.0138010750002</c:v>
                </c:pt>
                <c:pt idx="520">
                  <c:v>1511.1797182685502</c:v>
                </c:pt>
                <c:pt idx="521">
                  <c:v>1508.5266399589389</c:v>
                </c:pt>
                <c:pt idx="522">
                  <c:v>1508.7514801191853</c:v>
                </c:pt>
                <c:pt idx="523">
                  <c:v>1511.5009712384701</c:v>
                </c:pt>
                <c:pt idx="524">
                  <c:v>1513.8559654110393</c:v>
                </c:pt>
                <c:pt idx="525">
                  <c:v>1509.176829618573</c:v>
                </c:pt>
                <c:pt idx="526">
                  <c:v>1506.7517686408617</c:v>
                </c:pt>
                <c:pt idx="527">
                  <c:v>1496.0072580290164</c:v>
                </c:pt>
                <c:pt idx="528">
                  <c:v>1509.5552144808423</c:v>
                </c:pt>
                <c:pt idx="529">
                  <c:v>1511.1358831939572</c:v>
                </c:pt>
                <c:pt idx="530">
                  <c:v>1509.9890678947934</c:v>
                </c:pt>
                <c:pt idx="531">
                  <c:v>1510.4511334874246</c:v>
                </c:pt>
                <c:pt idx="532">
                  <c:v>1514.1084266865</c:v>
                </c:pt>
                <c:pt idx="533">
                  <c:v>1511.335776126381</c:v>
                </c:pt>
                <c:pt idx="534">
                  <c:v>1510.7577614696227</c:v>
                </c:pt>
                <c:pt idx="535">
                  <c:v>1515.157214900805</c:v>
                </c:pt>
                <c:pt idx="536">
                  <c:v>1515.5522716114001</c:v>
                </c:pt>
                <c:pt idx="537">
                  <c:v>1511.0489579817317</c:v>
                </c:pt>
                <c:pt idx="538">
                  <c:v>1511.4206642338413</c:v>
                </c:pt>
                <c:pt idx="539">
                  <c:v>1509.4501402484382</c:v>
                </c:pt>
                <c:pt idx="540">
                  <c:v>1510.2814394069476</c:v>
                </c:pt>
                <c:pt idx="541">
                  <c:v>1509.5177507705059</c:v>
                </c:pt>
                <c:pt idx="542">
                  <c:v>1514.2666442658829</c:v>
                </c:pt>
                <c:pt idx="543">
                  <c:v>1510.5630444002875</c:v>
                </c:pt>
                <c:pt idx="544">
                  <c:v>1516.6496661338858</c:v>
                </c:pt>
                <c:pt idx="545">
                  <c:v>1513.1417681370824</c:v>
                </c:pt>
                <c:pt idx="546">
                  <c:v>1511.2209175282599</c:v>
                </c:pt>
                <c:pt idx="547">
                  <c:v>1514.5315920230903</c:v>
                </c:pt>
                <c:pt idx="548">
                  <c:v>1514.8164024709517</c:v>
                </c:pt>
                <c:pt idx="549">
                  <c:v>1511.8775040561261</c:v>
                </c:pt>
                <c:pt idx="550">
                  <c:v>1514.2242390317892</c:v>
                </c:pt>
                <c:pt idx="551">
                  <c:v>1516.2868935975985</c:v>
                </c:pt>
                <c:pt idx="552">
                  <c:v>1512.2351722360129</c:v>
                </c:pt>
                <c:pt idx="553">
                  <c:v>1516.7397612025968</c:v>
                </c:pt>
                <c:pt idx="554">
                  <c:v>1514.5213226353812</c:v>
                </c:pt>
                <c:pt idx="555">
                  <c:v>1512.586194699569</c:v>
                </c:pt>
                <c:pt idx="556">
                  <c:v>1510.5366775313717</c:v>
                </c:pt>
                <c:pt idx="557">
                  <c:v>1511.5774574661834</c:v>
                </c:pt>
                <c:pt idx="558">
                  <c:v>1513.0439927213863</c:v>
                </c:pt>
                <c:pt idx="559">
                  <c:v>1512.8277287650581</c:v>
                </c:pt>
                <c:pt idx="560">
                  <c:v>1514.1607623924676</c:v>
                </c:pt>
                <c:pt idx="561">
                  <c:v>1513.4697978181127</c:v>
                </c:pt>
                <c:pt idx="562">
                  <c:v>1506.086979031204</c:v>
                </c:pt>
                <c:pt idx="563">
                  <c:v>1499.5944571570167</c:v>
                </c:pt>
                <c:pt idx="564">
                  <c:v>1513.3728904140746</c:v>
                </c:pt>
                <c:pt idx="565">
                  <c:v>1517.3906530715901</c:v>
                </c:pt>
                <c:pt idx="566">
                  <c:v>1520.0163091531606</c:v>
                </c:pt>
                <c:pt idx="567">
                  <c:v>1513.6442112982415</c:v>
                </c:pt>
                <c:pt idx="568">
                  <c:v>1521.0803460304521</c:v>
                </c:pt>
                <c:pt idx="569">
                  <c:v>1514.2158639542695</c:v>
                </c:pt>
                <c:pt idx="570">
                  <c:v>1513.9265687705438</c:v>
                </c:pt>
                <c:pt idx="571">
                  <c:v>1515.4750093579205</c:v>
                </c:pt>
                <c:pt idx="572">
                  <c:v>1517.1761593017729</c:v>
                </c:pt>
                <c:pt idx="573">
                  <c:v>1514.2231023459624</c:v>
                </c:pt>
                <c:pt idx="574">
                  <c:v>1515.7157637318867</c:v>
                </c:pt>
                <c:pt idx="575">
                  <c:v>1521.1594691494954</c:v>
                </c:pt>
                <c:pt idx="576">
                  <c:v>1514.4925123345984</c:v>
                </c:pt>
                <c:pt idx="577">
                  <c:v>1502.1775572605907</c:v>
                </c:pt>
                <c:pt idx="578">
                  <c:v>1498.630491917027</c:v>
                </c:pt>
                <c:pt idx="579">
                  <c:v>1514.9767089655249</c:v>
                </c:pt>
                <c:pt idx="580">
                  <c:v>1514.4548487117318</c:v>
                </c:pt>
                <c:pt idx="581">
                  <c:v>1509.4001196194613</c:v>
                </c:pt>
                <c:pt idx="582">
                  <c:v>1515.0677189017445</c:v>
                </c:pt>
                <c:pt idx="583">
                  <c:v>1514.617312588334</c:v>
                </c:pt>
                <c:pt idx="584">
                  <c:v>1507.8696087128039</c:v>
                </c:pt>
                <c:pt idx="585">
                  <c:v>1515.1663910605271</c:v>
                </c:pt>
                <c:pt idx="586">
                  <c:v>1525.9113927141639</c:v>
                </c:pt>
                <c:pt idx="587">
                  <c:v>1519.1319243578789</c:v>
                </c:pt>
                <c:pt idx="588">
                  <c:v>1515.4531328117316</c:v>
                </c:pt>
                <c:pt idx="589">
                  <c:v>1515.5764140148613</c:v>
                </c:pt>
                <c:pt idx="590">
                  <c:v>1522.1789555307721</c:v>
                </c:pt>
                <c:pt idx="591">
                  <c:v>1515.7818817975874</c:v>
                </c:pt>
                <c:pt idx="592">
                  <c:v>1512.2131905068018</c:v>
                </c:pt>
                <c:pt idx="593">
                  <c:v>1517.737911363761</c:v>
                </c:pt>
                <c:pt idx="594">
                  <c:v>1516.1554838955785</c:v>
                </c:pt>
                <c:pt idx="595">
                  <c:v>1518.500550992205</c:v>
                </c:pt>
                <c:pt idx="596">
                  <c:v>1519.8235476862519</c:v>
                </c:pt>
                <c:pt idx="597">
                  <c:v>1515.3246064001344</c:v>
                </c:pt>
                <c:pt idx="598">
                  <c:v>1518.1606587617337</c:v>
                </c:pt>
                <c:pt idx="599">
                  <c:v>1522.3476948091632</c:v>
                </c:pt>
                <c:pt idx="600">
                  <c:v>1515.1876086403081</c:v>
                </c:pt>
                <c:pt idx="601">
                  <c:v>1514.6584829884662</c:v>
                </c:pt>
                <c:pt idx="602">
                  <c:v>1512.1345320905355</c:v>
                </c:pt>
                <c:pt idx="603">
                  <c:v>1515.4577248979922</c:v>
                </c:pt>
                <c:pt idx="604">
                  <c:v>1516.2229785486043</c:v>
                </c:pt>
                <c:pt idx="605">
                  <c:v>1515.1476406773127</c:v>
                </c:pt>
                <c:pt idx="606">
                  <c:v>1515.3747548332487</c:v>
                </c:pt>
                <c:pt idx="607">
                  <c:v>1522.5665063042493</c:v>
                </c:pt>
                <c:pt idx="608">
                  <c:v>1515.9991072664238</c:v>
                </c:pt>
                <c:pt idx="609">
                  <c:v>1515.5731126228252</c:v>
                </c:pt>
                <c:pt idx="610">
                  <c:v>1526.8436739470883</c:v>
                </c:pt>
                <c:pt idx="611">
                  <c:v>1518.5166119034059</c:v>
                </c:pt>
                <c:pt idx="612">
                  <c:v>1516.3595122319855</c:v>
                </c:pt>
                <c:pt idx="613">
                  <c:v>1518.4873551585936</c:v>
                </c:pt>
                <c:pt idx="614">
                  <c:v>1514.2664310276421</c:v>
                </c:pt>
                <c:pt idx="615">
                  <c:v>1516.4248324414762</c:v>
                </c:pt>
                <c:pt idx="616">
                  <c:v>1519.3442834468274</c:v>
                </c:pt>
                <c:pt idx="617">
                  <c:v>1519.1682177461464</c:v>
                </c:pt>
                <c:pt idx="618">
                  <c:v>1516.4552084396696</c:v>
                </c:pt>
                <c:pt idx="619">
                  <c:v>1526.8264771890315</c:v>
                </c:pt>
                <c:pt idx="620">
                  <c:v>1518.5415183258974</c:v>
                </c:pt>
                <c:pt idx="621">
                  <c:v>1516.4442692159421</c:v>
                </c:pt>
                <c:pt idx="622">
                  <c:v>1514.2156036006465</c:v>
                </c:pt>
                <c:pt idx="623">
                  <c:v>1506.3483099790426</c:v>
                </c:pt>
                <c:pt idx="624">
                  <c:v>1516.5822201191684</c:v>
                </c:pt>
                <c:pt idx="625">
                  <c:v>1508.9467267984533</c:v>
                </c:pt>
                <c:pt idx="626">
                  <c:v>1508.3770464376626</c:v>
                </c:pt>
                <c:pt idx="627">
                  <c:v>1516.4507841590366</c:v>
                </c:pt>
                <c:pt idx="628">
                  <c:v>1518.5180794540825</c:v>
                </c:pt>
                <c:pt idx="629">
                  <c:v>1517.926970977358</c:v>
                </c:pt>
                <c:pt idx="630">
                  <c:v>1516.8534091514939</c:v>
                </c:pt>
                <c:pt idx="631">
                  <c:v>1522.428288696585</c:v>
                </c:pt>
                <c:pt idx="632">
                  <c:v>1516.8997189644056</c:v>
                </c:pt>
                <c:pt idx="633">
                  <c:v>1516.7503206506192</c:v>
                </c:pt>
                <c:pt idx="634">
                  <c:v>1518.7918187267155</c:v>
                </c:pt>
                <c:pt idx="635">
                  <c:v>1515.3310678143553</c:v>
                </c:pt>
                <c:pt idx="636">
                  <c:v>1517.3630814074691</c:v>
                </c:pt>
                <c:pt idx="637">
                  <c:v>1519.0649029190242</c:v>
                </c:pt>
                <c:pt idx="638">
                  <c:v>1524.2125135015101</c:v>
                </c:pt>
                <c:pt idx="639">
                  <c:v>1517.935238420501</c:v>
                </c:pt>
                <c:pt idx="640">
                  <c:v>1517.797626989978</c:v>
                </c:pt>
                <c:pt idx="641">
                  <c:v>1519.0288412280381</c:v>
                </c:pt>
                <c:pt idx="642">
                  <c:v>1518.5426681806698</c:v>
                </c:pt>
                <c:pt idx="643">
                  <c:v>1518.8334121715857</c:v>
                </c:pt>
                <c:pt idx="644">
                  <c:v>1521.4084116985562</c:v>
                </c:pt>
                <c:pt idx="645">
                  <c:v>1519.1259612283648</c:v>
                </c:pt>
                <c:pt idx="646">
                  <c:v>1527.9632054609945</c:v>
                </c:pt>
                <c:pt idx="647">
                  <c:v>1526.8474262282284</c:v>
                </c:pt>
                <c:pt idx="648">
                  <c:v>1519.6183416708591</c:v>
                </c:pt>
                <c:pt idx="649">
                  <c:v>1523.9166316208339</c:v>
                </c:pt>
                <c:pt idx="650">
                  <c:v>1527.7391318311088</c:v>
                </c:pt>
                <c:pt idx="651">
                  <c:v>1520.1266970401221</c:v>
                </c:pt>
                <c:pt idx="652">
                  <c:v>1521.3979368578814</c:v>
                </c:pt>
                <c:pt idx="653">
                  <c:v>1520.501549236734</c:v>
                </c:pt>
                <c:pt idx="654">
                  <c:v>1520.6905399413135</c:v>
                </c:pt>
                <c:pt idx="655">
                  <c:v>1517.6023967016656</c:v>
                </c:pt>
                <c:pt idx="656">
                  <c:v>1521.3187823214557</c:v>
                </c:pt>
                <c:pt idx="657">
                  <c:v>1520.6208696275271</c:v>
                </c:pt>
                <c:pt idx="658">
                  <c:v>1515.6491444097619</c:v>
                </c:pt>
                <c:pt idx="659">
                  <c:v>1526.7092495433033</c:v>
                </c:pt>
                <c:pt idx="660">
                  <c:v>1519.8469940460434</c:v>
                </c:pt>
                <c:pt idx="661">
                  <c:v>1516.4159120817671</c:v>
                </c:pt>
                <c:pt idx="662">
                  <c:v>1517.5954166092765</c:v>
                </c:pt>
                <c:pt idx="663">
                  <c:v>1519.793844109621</c:v>
                </c:pt>
                <c:pt idx="664">
                  <c:v>1526.0110810449632</c:v>
                </c:pt>
                <c:pt idx="665">
                  <c:v>1522.0210145586934</c:v>
                </c:pt>
                <c:pt idx="666">
                  <c:v>1518.9548884713413</c:v>
                </c:pt>
                <c:pt idx="667">
                  <c:v>1525.7051591405132</c:v>
                </c:pt>
                <c:pt idx="668">
                  <c:v>1519.14892818567</c:v>
                </c:pt>
                <c:pt idx="669">
                  <c:v>1519.3460346165559</c:v>
                </c:pt>
                <c:pt idx="670">
                  <c:v>1521.7979584088566</c:v>
                </c:pt>
                <c:pt idx="671">
                  <c:v>1519.0151706584036</c:v>
                </c:pt>
                <c:pt idx="672">
                  <c:v>1519.9930796344531</c:v>
                </c:pt>
                <c:pt idx="673">
                  <c:v>1522.6871211566463</c:v>
                </c:pt>
                <c:pt idx="674">
                  <c:v>1527.7769984297065</c:v>
                </c:pt>
                <c:pt idx="675">
                  <c:v>1520.4523364391282</c:v>
                </c:pt>
                <c:pt idx="676">
                  <c:v>1522.0096224204935</c:v>
                </c:pt>
                <c:pt idx="677">
                  <c:v>1527.3195646859706</c:v>
                </c:pt>
                <c:pt idx="678">
                  <c:v>1521.4016472978549</c:v>
                </c:pt>
                <c:pt idx="679">
                  <c:v>1520.1872374140678</c:v>
                </c:pt>
                <c:pt idx="680">
                  <c:v>1519.9881139895833</c:v>
                </c:pt>
                <c:pt idx="681">
                  <c:v>1521.8781853056457</c:v>
                </c:pt>
                <c:pt idx="682">
                  <c:v>1526.4389161938118</c:v>
                </c:pt>
                <c:pt idx="683">
                  <c:v>1521.1442826966488</c:v>
                </c:pt>
                <c:pt idx="684">
                  <c:v>1521.3894170004689</c:v>
                </c:pt>
                <c:pt idx="685">
                  <c:v>1524.0750804984661</c:v>
                </c:pt>
                <c:pt idx="686">
                  <c:v>1521.7946300154754</c:v>
                </c:pt>
                <c:pt idx="687">
                  <c:v>1522.0298622353826</c:v>
                </c:pt>
                <c:pt idx="688">
                  <c:v>1522.2396830619703</c:v>
                </c:pt>
                <c:pt idx="689">
                  <c:v>1519.3522449635984</c:v>
                </c:pt>
                <c:pt idx="690">
                  <c:v>1522.5121314938169</c:v>
                </c:pt>
                <c:pt idx="691">
                  <c:v>1521.6930587048539</c:v>
                </c:pt>
                <c:pt idx="692">
                  <c:v>1517.2789003526248</c:v>
                </c:pt>
                <c:pt idx="693">
                  <c:v>1523.007226950509</c:v>
                </c:pt>
                <c:pt idx="694">
                  <c:v>1515.225183588806</c:v>
                </c:pt>
                <c:pt idx="695">
                  <c:v>1511.5758324872731</c:v>
                </c:pt>
                <c:pt idx="696">
                  <c:v>1523.1043774923496</c:v>
                </c:pt>
                <c:pt idx="697">
                  <c:v>1526.4637512273955</c:v>
                </c:pt>
                <c:pt idx="698">
                  <c:v>1521.0009687200311</c:v>
                </c:pt>
                <c:pt idx="699">
                  <c:v>1523.3469629077108</c:v>
                </c:pt>
                <c:pt idx="700">
                  <c:v>1527.5328811302645</c:v>
                </c:pt>
                <c:pt idx="701">
                  <c:v>1520.389683843483</c:v>
                </c:pt>
                <c:pt idx="702">
                  <c:v>1523.5853457404221</c:v>
                </c:pt>
                <c:pt idx="703">
                  <c:v>1525.1238336659796</c:v>
                </c:pt>
                <c:pt idx="704">
                  <c:v>1529.2450906639838</c:v>
                </c:pt>
                <c:pt idx="705">
                  <c:v>1523.7836201199998</c:v>
                </c:pt>
                <c:pt idx="706">
                  <c:v>1524.8469183992797</c:v>
                </c:pt>
                <c:pt idx="707">
                  <c:v>1519.8198368888841</c:v>
                </c:pt>
                <c:pt idx="708">
                  <c:v>1524.2909178675509</c:v>
                </c:pt>
                <c:pt idx="709">
                  <c:v>1517.1671723603456</c:v>
                </c:pt>
                <c:pt idx="710">
                  <c:v>1519.8961693261836</c:v>
                </c:pt>
                <c:pt idx="711">
                  <c:v>1524.0487923102264</c:v>
                </c:pt>
                <c:pt idx="712">
                  <c:v>1525.074499556365</c:v>
                </c:pt>
                <c:pt idx="713">
                  <c:v>1532.4840525590268</c:v>
                </c:pt>
                <c:pt idx="714">
                  <c:v>1523.0191482436726</c:v>
                </c:pt>
                <c:pt idx="715">
                  <c:v>1525.9050333542104</c:v>
                </c:pt>
                <c:pt idx="716">
                  <c:v>1522.0416031540851</c:v>
                </c:pt>
                <c:pt idx="717">
                  <c:v>1522.0533535351606</c:v>
                </c:pt>
                <c:pt idx="718">
                  <c:v>1523.8170334139495</c:v>
                </c:pt>
                <c:pt idx="719">
                  <c:v>1520.1701312134658</c:v>
                </c:pt>
                <c:pt idx="720">
                  <c:v>1522.917110426185</c:v>
                </c:pt>
                <c:pt idx="721">
                  <c:v>1525.5396077636278</c:v>
                </c:pt>
                <c:pt idx="722">
                  <c:v>1526.184370117046</c:v>
                </c:pt>
                <c:pt idx="723">
                  <c:v>1523.7292638963438</c:v>
                </c:pt>
                <c:pt idx="724">
                  <c:v>1516.1888883129657</c:v>
                </c:pt>
                <c:pt idx="725">
                  <c:v>1513.5357549830878</c:v>
                </c:pt>
                <c:pt idx="726">
                  <c:v>1522.3285404531894</c:v>
                </c:pt>
                <c:pt idx="727">
                  <c:v>1528.4765692104702</c:v>
                </c:pt>
                <c:pt idx="728">
                  <c:v>1525.8217097952074</c:v>
                </c:pt>
                <c:pt idx="729">
                  <c:v>1520.7887795364361</c:v>
                </c:pt>
                <c:pt idx="730">
                  <c:v>1522.4460468592174</c:v>
                </c:pt>
                <c:pt idx="731">
                  <c:v>1520.0433705780622</c:v>
                </c:pt>
                <c:pt idx="732">
                  <c:v>1519.8151103545938</c:v>
                </c:pt>
                <c:pt idx="733">
                  <c:v>1513.0422196924662</c:v>
                </c:pt>
                <c:pt idx="734">
                  <c:v>1513.6899663743113</c:v>
                </c:pt>
                <c:pt idx="735">
                  <c:v>1519.5538265760654</c:v>
                </c:pt>
                <c:pt idx="736">
                  <c:v>1521.296503616609</c:v>
                </c:pt>
                <c:pt idx="737">
                  <c:v>1521.1207245949095</c:v>
                </c:pt>
                <c:pt idx="738">
                  <c:v>1519.2000002473401</c:v>
                </c:pt>
                <c:pt idx="739">
                  <c:v>1521.2448002458561</c:v>
                </c:pt>
                <c:pt idx="740">
                  <c:v>1525.7973314443809</c:v>
                </c:pt>
                <c:pt idx="741">
                  <c:v>1519.8285474557147</c:v>
                </c:pt>
                <c:pt idx="742">
                  <c:v>1523.9515761709804</c:v>
                </c:pt>
                <c:pt idx="743">
                  <c:v>1528.5538667139544</c:v>
                </c:pt>
                <c:pt idx="744">
                  <c:v>1520.4025435136707</c:v>
                </c:pt>
                <c:pt idx="745">
                  <c:v>1513.0561282525887</c:v>
                </c:pt>
                <c:pt idx="746">
                  <c:v>1520.4597914830731</c:v>
                </c:pt>
                <c:pt idx="747">
                  <c:v>1520.2230327341747</c:v>
                </c:pt>
                <c:pt idx="748">
                  <c:v>1520.9536945377697</c:v>
                </c:pt>
                <c:pt idx="749">
                  <c:v>1522.7239723705432</c:v>
                </c:pt>
                <c:pt idx="750">
                  <c:v>1519.3716285363198</c:v>
                </c:pt>
                <c:pt idx="751">
                  <c:v>1510.2793987651019</c:v>
                </c:pt>
                <c:pt idx="752">
                  <c:v>1513.0317223725112</c:v>
                </c:pt>
                <c:pt idx="753">
                  <c:v>1518.6475320382763</c:v>
                </c:pt>
                <c:pt idx="754">
                  <c:v>1528.2076468460466</c:v>
                </c:pt>
                <c:pt idx="755">
                  <c:v>1525.5604009649703</c:v>
                </c:pt>
                <c:pt idx="756">
                  <c:v>1519.0950385591805</c:v>
                </c:pt>
                <c:pt idx="757">
                  <c:v>1520.0844683278253</c:v>
                </c:pt>
                <c:pt idx="758">
                  <c:v>1527.9079615178584</c:v>
                </c:pt>
                <c:pt idx="759">
                  <c:v>1519.5745137487513</c:v>
                </c:pt>
                <c:pt idx="760">
                  <c:v>1516.8890666662587</c:v>
                </c:pt>
                <c:pt idx="761">
                  <c:v>1509.1437322662612</c:v>
                </c:pt>
                <c:pt idx="762">
                  <c:v>1519.6968698726637</c:v>
                </c:pt>
                <c:pt idx="763">
                  <c:v>1521.1146886534277</c:v>
                </c:pt>
                <c:pt idx="764">
                  <c:v>1522.7400005215072</c:v>
                </c:pt>
                <c:pt idx="765">
                  <c:v>1519.7115605183783</c:v>
                </c:pt>
                <c:pt idx="766">
                  <c:v>1523.073291155268</c:v>
                </c:pt>
                <c:pt idx="767">
                  <c:v>1522.7068514083364</c:v>
                </c:pt>
                <c:pt idx="768">
                  <c:v>1519.7146102998863</c:v>
                </c:pt>
                <c:pt idx="769">
                  <c:v>1521.0423226380869</c:v>
                </c:pt>
                <c:pt idx="770">
                  <c:v>1522.0560687022585</c:v>
                </c:pt>
                <c:pt idx="771">
                  <c:v>1520.3277322900449</c:v>
                </c:pt>
                <c:pt idx="772">
                  <c:v>1522.8037658963046</c:v>
                </c:pt>
                <c:pt idx="773">
                  <c:v>1523.1409433009269</c:v>
                </c:pt>
                <c:pt idx="774">
                  <c:v>1520.9200976411214</c:v>
                </c:pt>
                <c:pt idx="775">
                  <c:v>1521.4305770552746</c:v>
                </c:pt>
                <c:pt idx="776">
                  <c:v>1514.5039935929431</c:v>
                </c:pt>
                <c:pt idx="777">
                  <c:v>1520.3269696313855</c:v>
                </c:pt>
                <c:pt idx="778">
                  <c:v>1526.4150078135972</c:v>
                </c:pt>
                <c:pt idx="779">
                  <c:v>1519.7765177667156</c:v>
                </c:pt>
                <c:pt idx="780">
                  <c:v>1519.6578586601154</c:v>
                </c:pt>
                <c:pt idx="781">
                  <c:v>1522.2699115081548</c:v>
                </c:pt>
                <c:pt idx="782">
                  <c:v>1524.0742920391058</c:v>
                </c:pt>
                <c:pt idx="783">
                  <c:v>1520.2158462868711</c:v>
                </c:pt>
                <c:pt idx="784">
                  <c:v>1521.3425512091499</c:v>
                </c:pt>
                <c:pt idx="785">
                  <c:v>1520.410495901895</c:v>
                </c:pt>
                <c:pt idx="786">
                  <c:v>1520.2940329264836</c:v>
                </c:pt>
                <c:pt idx="787">
                  <c:v>1532.5082687289248</c:v>
                </c:pt>
                <c:pt idx="788">
                  <c:v>1522.0412191165512</c:v>
                </c:pt>
                <c:pt idx="789">
                  <c:v>1520.8349718018519</c:v>
                </c:pt>
                <c:pt idx="790">
                  <c:v>1514.1759619710408</c:v>
                </c:pt>
                <c:pt idx="791">
                  <c:v>1521.7409061992146</c:v>
                </c:pt>
                <c:pt idx="792">
                  <c:v>1521.4664607620193</c:v>
                </c:pt>
                <c:pt idx="793">
                  <c:v>1525.8016619974471</c:v>
                </c:pt>
                <c:pt idx="794">
                  <c:v>1524.4408520254624</c:v>
                </c:pt>
                <c:pt idx="795">
                  <c:v>1522.0082069133096</c:v>
                </c:pt>
                <c:pt idx="796">
                  <c:v>1523.8321576718297</c:v>
                </c:pt>
                <c:pt idx="797">
                  <c:v>1521.9011647257987</c:v>
                </c:pt>
                <c:pt idx="798">
                  <c:v>1522.339757737444</c:v>
                </c:pt>
                <c:pt idx="799">
                  <c:v>1523.3517191910194</c:v>
                </c:pt>
                <c:pt idx="800">
                  <c:v>1523.5836088758733</c:v>
                </c:pt>
                <c:pt idx="801">
                  <c:v>1522.662107222618</c:v>
                </c:pt>
                <c:pt idx="802">
                  <c:v>1524.1761345792822</c:v>
                </c:pt>
                <c:pt idx="803">
                  <c:v>1517.1670777718066</c:v>
                </c:pt>
                <c:pt idx="804">
                  <c:v>1523.0160753051757</c:v>
                </c:pt>
                <c:pt idx="805">
                  <c:v>1530.7439788533447</c:v>
                </c:pt>
                <c:pt idx="806">
                  <c:v>1522.6575149802247</c:v>
                </c:pt>
                <c:pt idx="807">
                  <c:v>1523.3135698903434</c:v>
                </c:pt>
                <c:pt idx="808">
                  <c:v>1530.7456884710014</c:v>
                </c:pt>
                <c:pt idx="809">
                  <c:v>1525.8212143401754</c:v>
                </c:pt>
                <c:pt idx="810">
                  <c:v>1523.5722870541344</c:v>
                </c:pt>
                <c:pt idx="811">
                  <c:v>1523.8028533318097</c:v>
                </c:pt>
                <c:pt idx="812">
                  <c:v>1525.5440362118188</c:v>
                </c:pt>
                <c:pt idx="813">
                  <c:v>1524.1967719945478</c:v>
                </c:pt>
                <c:pt idx="814">
                  <c:v>1526.3975913625804</c:v>
                </c:pt>
                <c:pt idx="815">
                  <c:v>1527.2352058144049</c:v>
                </c:pt>
                <c:pt idx="816">
                  <c:v>1524.1797945795186</c:v>
                </c:pt>
                <c:pt idx="817">
                  <c:v>1525.8947158120413</c:v>
                </c:pt>
                <c:pt idx="818">
                  <c:v>1523.9813475171691</c:v>
                </c:pt>
                <c:pt idx="819">
                  <c:v>1524.185459432066</c:v>
                </c:pt>
                <c:pt idx="820">
                  <c:v>1529.0863466754736</c:v>
                </c:pt>
                <c:pt idx="821">
                  <c:v>1530.1058285954207</c:v>
                </c:pt>
                <c:pt idx="822">
                  <c:v>1524.1351936238482</c:v>
                </c:pt>
                <c:pt idx="823">
                  <c:v>1521.8723824621052</c:v>
                </c:pt>
                <c:pt idx="824">
                  <c:v>1525.5091481673326</c:v>
                </c:pt>
                <c:pt idx="825">
                  <c:v>1524.1560932783286</c:v>
                </c:pt>
                <c:pt idx="826">
                  <c:v>1525.5111567186586</c:v>
                </c:pt>
                <c:pt idx="827">
                  <c:v>1520.9900897783466</c:v>
                </c:pt>
                <c:pt idx="828">
                  <c:v>1524.1821492396766</c:v>
                </c:pt>
                <c:pt idx="829">
                  <c:v>1520.8630563442387</c:v>
                </c:pt>
                <c:pt idx="830">
                  <c:v>1525.3398780061732</c:v>
                </c:pt>
                <c:pt idx="831">
                  <c:v>1523.7418387381363</c:v>
                </c:pt>
                <c:pt idx="832">
                  <c:v>1525.1533877057075</c:v>
                </c:pt>
                <c:pt idx="833">
                  <c:v>1522.5604673794733</c:v>
                </c:pt>
                <c:pt idx="834">
                  <c:v>1523.7631045751964</c:v>
                </c:pt>
                <c:pt idx="835">
                  <c:v>1532.4345259477452</c:v>
                </c:pt>
                <c:pt idx="836">
                  <c:v>1525.4299187920587</c:v>
                </c:pt>
                <c:pt idx="837">
                  <c:v>1524.3893392793063</c:v>
                </c:pt>
                <c:pt idx="838">
                  <c:v>1525.7550032436304</c:v>
                </c:pt>
                <c:pt idx="839">
                  <c:v>1525.9244732241687</c:v>
                </c:pt>
                <c:pt idx="840">
                  <c:v>1525.0669263848235</c:v>
                </c:pt>
                <c:pt idx="841">
                  <c:v>1529.4405248265145</c:v>
                </c:pt>
                <c:pt idx="842">
                  <c:v>1523.2938816775554</c:v>
                </c:pt>
                <c:pt idx="843">
                  <c:v>1525.0501183874901</c:v>
                </c:pt>
                <c:pt idx="844">
                  <c:v>1523.4718176771651</c:v>
                </c:pt>
                <c:pt idx="845">
                  <c:v>1521.7049867711021</c:v>
                </c:pt>
                <c:pt idx="846">
                  <c:v>1525.9607568504755</c:v>
                </c:pt>
                <c:pt idx="847">
                  <c:v>1522.5469923093726</c:v>
                </c:pt>
                <c:pt idx="848">
                  <c:v>1520.5757103555163</c:v>
                </c:pt>
                <c:pt idx="849">
                  <c:v>1525.0602560933833</c:v>
                </c:pt>
                <c:pt idx="850">
                  <c:v>1525.0718945568231</c:v>
                </c:pt>
                <c:pt idx="851">
                  <c:v>1522.2034631894821</c:v>
                </c:pt>
                <c:pt idx="852">
                  <c:v>1525.6522424103453</c:v>
                </c:pt>
                <c:pt idx="853">
                  <c:v>1529.4043289558831</c:v>
                </c:pt>
                <c:pt idx="854">
                  <c:v>1533.4759029821478</c:v>
                </c:pt>
                <c:pt idx="855">
                  <c:v>1526.147047564255</c:v>
                </c:pt>
                <c:pt idx="856">
                  <c:v>1531.1201652788695</c:v>
                </c:pt>
                <c:pt idx="857">
                  <c:v>1530.7534442871963</c:v>
                </c:pt>
                <c:pt idx="858">
                  <c:v>1526.0509236214732</c:v>
                </c:pt>
                <c:pt idx="859">
                  <c:v>1527.5986180797443</c:v>
                </c:pt>
                <c:pt idx="860">
                  <c:v>1534.6270263712659</c:v>
                </c:pt>
                <c:pt idx="861">
                  <c:v>1526.5832642130383</c:v>
                </c:pt>
                <c:pt idx="862">
                  <c:v>1532.45976462776</c:v>
                </c:pt>
                <c:pt idx="863">
                  <c:v>1531.6230060399935</c:v>
                </c:pt>
                <c:pt idx="864">
                  <c:v>1527.1372680037534</c:v>
                </c:pt>
                <c:pt idx="865">
                  <c:v>1535.2124443957309</c:v>
                </c:pt>
                <c:pt idx="866">
                  <c:v>1531.1251697293565</c:v>
                </c:pt>
                <c:pt idx="867">
                  <c:v>1526.0184187109803</c:v>
                </c:pt>
                <c:pt idx="868">
                  <c:v>1535.5283081987145</c:v>
                </c:pt>
                <c:pt idx="869">
                  <c:v>1527.4311383495221</c:v>
                </c:pt>
                <c:pt idx="870">
                  <c:v>1526.1325515194251</c:v>
                </c:pt>
                <c:pt idx="871">
                  <c:v>1525.0757562103086</c:v>
                </c:pt>
                <c:pt idx="872">
                  <c:v>1518.2113016730466</c:v>
                </c:pt>
                <c:pt idx="873">
                  <c:v>1526.3640338630082</c:v>
                </c:pt>
                <c:pt idx="874">
                  <c:v>1524.8438496598301</c:v>
                </c:pt>
                <c:pt idx="875">
                  <c:v>1518.5447865618712</c:v>
                </c:pt>
                <c:pt idx="876">
                  <c:v>1526.6115178425</c:v>
                </c:pt>
                <c:pt idx="877">
                  <c:v>1530.003848735445</c:v>
                </c:pt>
                <c:pt idx="878">
                  <c:v>1528.8758256430324</c:v>
                </c:pt>
                <c:pt idx="879">
                  <c:v>1526.7645706891742</c:v>
                </c:pt>
                <c:pt idx="880">
                  <c:v>1532.8259832650392</c:v>
                </c:pt>
                <c:pt idx="881">
                  <c:v>1531.3630273654489</c:v>
                </c:pt>
                <c:pt idx="882">
                  <c:v>1527.0108492012562</c:v>
                </c:pt>
                <c:pt idx="883">
                  <c:v>1539.3527841060486</c:v>
                </c:pt>
                <c:pt idx="884">
                  <c:v>1530.7406674014123</c:v>
                </c:pt>
                <c:pt idx="885">
                  <c:v>1527.2202233970038</c:v>
                </c:pt>
                <c:pt idx="886">
                  <c:v>1523.3789020566219</c:v>
                </c:pt>
                <c:pt idx="887">
                  <c:v>1526.112628644282</c:v>
                </c:pt>
                <c:pt idx="888">
                  <c:v>1527.5519528724165</c:v>
                </c:pt>
                <c:pt idx="889">
                  <c:v>1529.4086411551818</c:v>
                </c:pt>
                <c:pt idx="890">
                  <c:v>1524.9181893082507</c:v>
                </c:pt>
                <c:pt idx="891">
                  <c:v>1528.2666801724013</c:v>
                </c:pt>
                <c:pt idx="892">
                  <c:v>1531.2890800913669</c:v>
                </c:pt>
                <c:pt idx="893">
                  <c:v>1530.2433456108188</c:v>
                </c:pt>
                <c:pt idx="894">
                  <c:v>1527.2058855371538</c:v>
                </c:pt>
                <c:pt idx="895">
                  <c:v>1532.1966502239309</c:v>
                </c:pt>
                <c:pt idx="896">
                  <c:v>1528.9674703225874</c:v>
                </c:pt>
                <c:pt idx="897">
                  <c:v>1527.7736655006518</c:v>
                </c:pt>
                <c:pt idx="898">
                  <c:v>1531.4050235076479</c:v>
                </c:pt>
                <c:pt idx="899">
                  <c:v>1528.0665933666021</c:v>
                </c:pt>
                <c:pt idx="900">
                  <c:v>1527.8441938064025</c:v>
                </c:pt>
                <c:pt idx="901">
                  <c:v>1520.117128643564</c:v>
                </c:pt>
                <c:pt idx="902">
                  <c:v>1527.7184258717027</c:v>
                </c:pt>
                <c:pt idx="903">
                  <c:v>1529.2261153164725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CC-484A-9AF1-A6EF54B49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だいち!$K$2:$K$259</c:f>
              <c:numCache>
                <c:formatCode>General</c:formatCode>
                <c:ptCount val="2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</c:numCache>
            </c:numRef>
          </c:xVal>
          <c:yVal>
            <c:numRef>
              <c:f>だいち!$L$2:$L$259</c:f>
              <c:numCache>
                <c:formatCode>\+0.0;\-0.0;\±0</c:formatCode>
                <c:ptCount val="25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2-4579-B4CA-362B58B02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1510.6719367588933</c:v>
                </c:pt>
                <c:pt idx="1">
                  <c:v>627.86885245901635</c:v>
                </c:pt>
                <c:pt idx="2">
                  <c:v>2042.9824561403509</c:v>
                </c:pt>
                <c:pt idx="3">
                  <c:v>1670.7317073170732</c:v>
                </c:pt>
                <c:pt idx="4">
                  <c:v>1381.6666666666667</c:v>
                </c:pt>
                <c:pt idx="5">
                  <c:v>1779.591836734694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88-4B5A-BBE9-B9E96D5E8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27</c:v>
                </c:pt>
                <c:pt idx="1">
                  <c:v>53</c:v>
                </c:pt>
                <c:pt idx="2">
                  <c:v>107</c:v>
                </c:pt>
                <c:pt idx="3">
                  <c:v>111</c:v>
                </c:pt>
                <c:pt idx="4">
                  <c:v>80</c:v>
                </c:pt>
                <c:pt idx="5">
                  <c:v>58</c:v>
                </c:pt>
                <c:pt idx="6">
                  <c:v>39</c:v>
                </c:pt>
                <c:pt idx="7">
                  <c:v>27</c:v>
                </c:pt>
                <c:pt idx="8">
                  <c:v>17</c:v>
                </c:pt>
                <c:pt idx="9">
                  <c:v>5</c:v>
                </c:pt>
                <c:pt idx="10">
                  <c:v>4</c:v>
                </c:pt>
                <c:pt idx="11">
                  <c:v>1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89-4EFF-A635-32EBCBA1E3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だいち!$K$2:$K$259</c:f>
              <c:numCache>
                <c:formatCode>General</c:formatCode>
                <c:ptCount val="2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</c:numCache>
            </c:numRef>
          </c:xVal>
          <c:yVal>
            <c:numRef>
              <c:f>だいち!$M$2:$M$259</c:f>
              <c:numCache>
                <c:formatCode>0</c:formatCode>
                <c:ptCount val="258"/>
                <c:pt idx="0">
                  <c:v>1500</c:v>
                </c:pt>
                <c:pt idx="1">
                  <c:v>1502.7</c:v>
                </c:pt>
                <c:pt idx="2">
                  <c:v>1502.5098</c:v>
                </c:pt>
                <c:pt idx="3">
                  <c:v>1505.2187412000001</c:v>
                </c:pt>
                <c:pt idx="4">
                  <c:v>1520.5294287528</c:v>
                </c:pt>
                <c:pt idx="5">
                  <c:v>1526.1002521802832</c:v>
                </c:pt>
                <c:pt idx="6">
                  <c:v>1517.3216506672015</c:v>
                </c:pt>
                <c:pt idx="7">
                  <c:v>1516.1377207631983</c:v>
                </c:pt>
                <c:pt idx="8">
                  <c:v>1509.578894438619</c:v>
                </c:pt>
                <c:pt idx="9">
                  <c:v>1502.1654210719873</c:v>
                </c:pt>
                <c:pt idx="10">
                  <c:v>1496.4884285455555</c:v>
                </c:pt>
                <c:pt idx="11">
                  <c:v>1499.8034979742822</c:v>
                </c:pt>
                <c:pt idx="12">
                  <c:v>1502.1146769864365</c:v>
                </c:pt>
                <c:pt idx="13">
                  <c:v>1512.3679889245179</c:v>
                </c:pt>
                <c:pt idx="14">
                  <c:v>1504.3797809909709</c:v>
                </c:pt>
                <c:pt idx="15">
                  <c:v>1497.6995023050251</c:v>
                </c:pt>
                <c:pt idx="16">
                  <c:v>1498.0073052911951</c:v>
                </c:pt>
                <c:pt idx="17">
                  <c:v>1494.173261459448</c:v>
                </c:pt>
                <c:pt idx="18">
                  <c:v>1496.8962218906913</c:v>
                </c:pt>
                <c:pt idx="19">
                  <c:v>1507.1748445593471</c:v>
                </c:pt>
                <c:pt idx="20">
                  <c:v>1511.811795491991</c:v>
                </c:pt>
                <c:pt idx="21">
                  <c:v>1521.874924719039</c:v>
                </c:pt>
                <c:pt idx="22">
                  <c:v>1517.2016751707247</c:v>
                </c:pt>
                <c:pt idx="23">
                  <c:v>1521.5924651197004</c:v>
                </c:pt>
                <c:pt idx="24">
                  <c:v>1520.3409103289821</c:v>
                </c:pt>
                <c:pt idx="25">
                  <c:v>1514.2008648670082</c:v>
                </c:pt>
                <c:pt idx="26">
                  <c:v>1518.4656596778061</c:v>
                </c:pt>
                <c:pt idx="27">
                  <c:v>1511.7428657197393</c:v>
                </c:pt>
                <c:pt idx="28">
                  <c:v>1522.1604085254207</c:v>
                </c:pt>
                <c:pt idx="29">
                  <c:v>1520.5694460742682</c:v>
                </c:pt>
                <c:pt idx="30">
                  <c:v>1530.1180293978225</c:v>
                </c:pt>
                <c:pt idx="31">
                  <c:v>1527.4953212214357</c:v>
                </c:pt>
                <c:pt idx="32">
                  <c:v>1538.3343492941071</c:v>
                </c:pt>
                <c:pt idx="33">
                  <c:v>1547.1823431983426</c:v>
                </c:pt>
                <c:pt idx="34">
                  <c:v>1544.4572491391525</c:v>
                </c:pt>
                <c:pt idx="35">
                  <c:v>1543.6565056443176</c:v>
                </c:pt>
                <c:pt idx="36">
                  <c:v>1540.3945666104516</c:v>
                </c:pt>
                <c:pt idx="37">
                  <c:v>1544.0281992107889</c:v>
                </c:pt>
                <c:pt idx="38">
                  <c:v>1534.7340300155242</c:v>
                </c:pt>
                <c:pt idx="39">
                  <c:v>1533.127625835431</c:v>
                </c:pt>
                <c:pt idx="40">
                  <c:v>1531.7468600804184</c:v>
                </c:pt>
                <c:pt idx="41">
                  <c:v>1525.082378919936</c:v>
                </c:pt>
                <c:pt idx="42">
                  <c:v>1523.4378846464165</c:v>
                </c:pt>
                <c:pt idx="43">
                  <c:v>1524.845257338538</c:v>
                </c:pt>
                <c:pt idx="44">
                  <c:v>1522.8601857945068</c:v>
                </c:pt>
                <c:pt idx="45">
                  <c:v>1527.7870246797397</c:v>
                </c:pt>
                <c:pt idx="46">
                  <c:v>1523.9723025316612</c:v>
                </c:pt>
                <c:pt idx="47">
                  <c:v>1518.2724687164712</c:v>
                </c:pt>
                <c:pt idx="48">
                  <c:v>1521.1208339041723</c:v>
                </c:pt>
                <c:pt idx="49">
                  <c:v>1520.1541089007474</c:v>
                </c:pt>
                <c:pt idx="50">
                  <c:v>1522.3431842473428</c:v>
                </c:pt>
                <c:pt idx="51">
                  <c:v>1522.3771251418589</c:v>
                </c:pt>
                <c:pt idx="52">
                  <c:v>1521.0788623910078</c:v>
                </c:pt>
                <c:pt idx="53">
                  <c:v>1515.9543892166616</c:v>
                </c:pt>
                <c:pt idx="54">
                  <c:v>1518.9066628813616</c:v>
                </c:pt>
                <c:pt idx="55">
                  <c:v>1517.5752229040734</c:v>
                </c:pt>
                <c:pt idx="56">
                  <c:v>1523.139771566649</c:v>
                </c:pt>
                <c:pt idx="57">
                  <c:v>1525.8989329372491</c:v>
                </c:pt>
                <c:pt idx="58">
                  <c:v>1536.0575393396257</c:v>
                </c:pt>
                <c:pt idx="59">
                  <c:v>1536.8491941035879</c:v>
                </c:pt>
                <c:pt idx="60">
                  <c:v>1528.3960989389664</c:v>
                </c:pt>
                <c:pt idx="61">
                  <c:v>1532.0657223453325</c:v>
                </c:pt>
                <c:pt idx="62">
                  <c:v>1520.0353280112604</c:v>
                </c:pt>
                <c:pt idx="63">
                  <c:v>1518.9551160431929</c:v>
                </c:pt>
                <c:pt idx="64">
                  <c:v>1519.0453853469337</c:v>
                </c:pt>
                <c:pt idx="65">
                  <c:v>1524.6371130348521</c:v>
                </c:pt>
                <c:pt idx="66">
                  <c:v>1521.0752903566429</c:v>
                </c:pt>
                <c:pt idx="67">
                  <c:v>1519.172838614503</c:v>
                </c:pt>
                <c:pt idx="68">
                  <c:v>1519.2258015828161</c:v>
                </c:pt>
                <c:pt idx="69">
                  <c:v>1524.9304467733191</c:v>
                </c:pt>
                <c:pt idx="70">
                  <c:v>1529.9528640926792</c:v>
                </c:pt>
                <c:pt idx="71">
                  <c:v>1528.6331469081231</c:v>
                </c:pt>
                <c:pt idx="72">
                  <c:v>1531.8393480266743</c:v>
                </c:pt>
                <c:pt idx="73">
                  <c:v>1529.2303119385142</c:v>
                </c:pt>
                <c:pt idx="74">
                  <c:v>1536.3029300668832</c:v>
                </c:pt>
                <c:pt idx="75">
                  <c:v>1536.9791124864819</c:v>
                </c:pt>
                <c:pt idx="76">
                  <c:v>1534.309237811563</c:v>
                </c:pt>
                <c:pt idx="77">
                  <c:v>1535.0573823846937</c:v>
                </c:pt>
                <c:pt idx="78">
                  <c:v>1540.5710380903856</c:v>
                </c:pt>
                <c:pt idx="79">
                  <c:v>1547.5756118618433</c:v>
                </c:pt>
                <c:pt idx="80">
                  <c:v>1551.3881581906721</c:v>
                </c:pt>
                <c:pt idx="81">
                  <c:v>1556.797829241528</c:v>
                </c:pt>
                <c:pt idx="82">
                  <c:v>1567.1730422660789</c:v>
                </c:pt>
                <c:pt idx="83">
                  <c:v>1568.7200040124824</c:v>
                </c:pt>
                <c:pt idx="84">
                  <c:v>1568.5476839884075</c:v>
                </c:pt>
                <c:pt idx="85">
                  <c:v>1564.3443978844771</c:v>
                </c:pt>
                <c:pt idx="86">
                  <c:v>1564.6063314971702</c:v>
                </c:pt>
                <c:pt idx="87">
                  <c:v>1555.9806935081872</c:v>
                </c:pt>
                <c:pt idx="88">
                  <c:v>1555.4888093471382</c:v>
                </c:pt>
                <c:pt idx="89">
                  <c:v>1559.8538764910554</c:v>
                </c:pt>
                <c:pt idx="90">
                  <c:v>1561.192753232109</c:v>
                </c:pt>
                <c:pt idx="91">
                  <c:v>1564.6235967127163</c:v>
                </c:pt>
                <c:pt idx="92">
                  <c:v>1572.1078551324401</c:v>
                </c:pt>
                <c:pt idx="93">
                  <c:v>1570.6192080016456</c:v>
                </c:pt>
                <c:pt idx="94">
                  <c:v>1563.4694927536357</c:v>
                </c:pt>
                <c:pt idx="95">
                  <c:v>1556.0386757971139</c:v>
                </c:pt>
                <c:pt idx="96">
                  <c:v>1557.7664437423311</c:v>
                </c:pt>
                <c:pt idx="97">
                  <c:v>1557.1258450798771</c:v>
                </c:pt>
                <c:pt idx="98">
                  <c:v>1564.6790900093979</c:v>
                </c:pt>
                <c:pt idx="99">
                  <c:v>1563.3490154693416</c:v>
                </c:pt>
                <c:pt idx="100">
                  <c:v>1561.7029213765254</c:v>
                </c:pt>
                <c:pt idx="101">
                  <c:v>1554.5587038482663</c:v>
                </c:pt>
                <c:pt idx="102">
                  <c:v>1550.9133516251768</c:v>
                </c:pt>
                <c:pt idx="103">
                  <c:v>1555.5338715154257</c:v>
                </c:pt>
                <c:pt idx="104">
                  <c:v>1563.1506682863333</c:v>
                </c:pt>
                <c:pt idx="105">
                  <c:v>1563.9477642766153</c:v>
                </c:pt>
                <c:pt idx="106">
                  <c:v>1561.4460776909557</c:v>
                </c:pt>
                <c:pt idx="107">
                  <c:v>1558.20340122481</c:v>
                </c:pt>
                <c:pt idx="108">
                  <c:v>1554.4581808174612</c:v>
                </c:pt>
                <c:pt idx="109">
                  <c:v>1558.3674317325565</c:v>
                </c:pt>
                <c:pt idx="110">
                  <c:v>1561.443227142161</c:v>
                </c:pt>
                <c:pt idx="111">
                  <c:v>1560.024567779308</c:v>
                </c:pt>
                <c:pt idx="112">
                  <c:v>1569.666420372632</c:v>
                </c:pt>
                <c:pt idx="113">
                  <c:v>1572.5064218503962</c:v>
                </c:pt>
                <c:pt idx="114">
                  <c:v>1565.4233833192939</c:v>
                </c:pt>
                <c:pt idx="115">
                  <c:v>1568.1868430193781</c:v>
                </c:pt>
                <c:pt idx="116">
                  <c:v>1570.4357219612618</c:v>
                </c:pt>
                <c:pt idx="117">
                  <c:v>1572.2151076294942</c:v>
                </c:pt>
                <c:pt idx="118">
                  <c:v>1574.7398169837172</c:v>
                </c:pt>
                <c:pt idx="119">
                  <c:v>1567.457378081815</c:v>
                </c:pt>
                <c:pt idx="120">
                  <c:v>1573.8986338133241</c:v>
                </c:pt>
                <c:pt idx="121">
                  <c:v>1565.115242010444</c:v>
                </c:pt>
                <c:pt idx="122">
                  <c:v>1567.1305505583814</c:v>
                </c:pt>
                <c:pt idx="123">
                  <c:v>1563.3197672550311</c:v>
                </c:pt>
                <c:pt idx="124">
                  <c:v>1570.547848651501</c:v>
                </c:pt>
                <c:pt idx="125">
                  <c:v>1574.978561559592</c:v>
                </c:pt>
                <c:pt idx="126">
                  <c:v>1575.9986901902344</c:v>
                </c:pt>
                <c:pt idx="127">
                  <c:v>1583.4686980490928</c:v>
                </c:pt>
                <c:pt idx="128">
                  <c:v>1587.7738858607984</c:v>
                </c:pt>
                <c:pt idx="129">
                  <c:v>1589.3652425456337</c:v>
                </c:pt>
                <c:pt idx="130">
                  <c:v>1596.2090510903599</c:v>
                </c:pt>
                <c:pt idx="131">
                  <c:v>1592.0317967838178</c:v>
                </c:pt>
                <c:pt idx="132">
                  <c:v>1598.2536060031148</c:v>
                </c:pt>
                <c:pt idx="133">
                  <c:v>1599.074084367096</c:v>
                </c:pt>
                <c:pt idx="134">
                  <c:v>1610.7436398608934</c:v>
                </c:pt>
                <c:pt idx="135">
                  <c:v>1611.117178021728</c:v>
                </c:pt>
                <c:pt idx="136">
                  <c:v>1613.4624749535976</c:v>
                </c:pt>
                <c:pt idx="137">
                  <c:v>1617.2337001038761</c:v>
                </c:pt>
                <c:pt idx="138">
                  <c:v>1620.3342979032529</c:v>
                </c:pt>
                <c:pt idx="139">
                  <c:v>1621.0222921158334</c:v>
                </c:pt>
                <c:pt idx="140">
                  <c:v>1621.2561583631384</c:v>
                </c:pt>
                <c:pt idx="141">
                  <c:v>1621.3626214129595</c:v>
                </c:pt>
                <c:pt idx="142">
                  <c:v>1618.6364456844817</c:v>
                </c:pt>
                <c:pt idx="143">
                  <c:v>1620.3366270103747</c:v>
                </c:pt>
                <c:pt idx="144">
                  <c:v>1617.4546072483124</c:v>
                </c:pt>
                <c:pt idx="145">
                  <c:v>1619.8638796048226</c:v>
                </c:pt>
                <c:pt idx="146">
                  <c:v>1622.3486963271937</c:v>
                </c:pt>
                <c:pt idx="147">
                  <c:v>1615.5306041492306</c:v>
                </c:pt>
                <c:pt idx="148">
                  <c:v>1609.9054205243353</c:v>
                </c:pt>
                <c:pt idx="149">
                  <c:v>1610.6559880011894</c:v>
                </c:pt>
                <c:pt idx="150">
                  <c:v>1607.7000520731822</c:v>
                </c:pt>
                <c:pt idx="151">
                  <c:v>1605.4758517607431</c:v>
                </c:pt>
                <c:pt idx="152">
                  <c:v>1613.0929966501787</c:v>
                </c:pt>
                <c:pt idx="153">
                  <c:v>1611.6884386702777</c:v>
                </c:pt>
                <c:pt idx="154">
                  <c:v>1613.8203080382561</c:v>
                </c:pt>
                <c:pt idx="155">
                  <c:v>1610.7673861900266</c:v>
                </c:pt>
                <c:pt idx="156">
                  <c:v>1611.7407818728864</c:v>
                </c:pt>
                <c:pt idx="157">
                  <c:v>1614.790337181649</c:v>
                </c:pt>
                <c:pt idx="158">
                  <c:v>1618.5655951585591</c:v>
                </c:pt>
                <c:pt idx="159">
                  <c:v>1617.1522015876078</c:v>
                </c:pt>
                <c:pt idx="160">
                  <c:v>1622.5992883780821</c:v>
                </c:pt>
                <c:pt idx="161">
                  <c:v>1625.2416926478136</c:v>
                </c:pt>
                <c:pt idx="162">
                  <c:v>1626.9082424919268</c:v>
                </c:pt>
                <c:pt idx="163">
                  <c:v>1630.7247930369751</c:v>
                </c:pt>
                <c:pt idx="164">
                  <c:v>1627.9664442787532</c:v>
                </c:pt>
                <c:pt idx="165">
                  <c:v>1627.0606456130806</c:v>
                </c:pt>
                <c:pt idx="166">
                  <c:v>1618.9962817394021</c:v>
                </c:pt>
                <c:pt idx="167">
                  <c:v>1622.3803040489656</c:v>
                </c:pt>
                <c:pt idx="168">
                  <c:v>1629.1640222246717</c:v>
                </c:pt>
                <c:pt idx="169">
                  <c:v>1630.0210380913236</c:v>
                </c:pt>
                <c:pt idx="170">
                  <c:v>1630.8189118627756</c:v>
                </c:pt>
                <c:pt idx="171">
                  <c:v>1617.8059983915989</c:v>
                </c:pt>
                <c:pt idx="172">
                  <c:v>1616.6671624012492</c:v>
                </c:pt>
                <c:pt idx="173">
                  <c:v>1615.6071594268417</c:v>
                </c:pt>
                <c:pt idx="174">
                  <c:v>1625.7495164702807</c:v>
                </c:pt>
                <c:pt idx="175">
                  <c:v>1625.2110193714591</c:v>
                </c:pt>
                <c:pt idx="176">
                  <c:v>1620.9857532552303</c:v>
                </c:pt>
                <c:pt idx="177">
                  <c:v>1619.821838735699</c:v>
                </c:pt>
                <c:pt idx="178">
                  <c:v>1626.3869077032848</c:v>
                </c:pt>
                <c:pt idx="179">
                  <c:v>1636.9925862570651</c:v>
                </c:pt>
                <c:pt idx="180">
                  <c:v>1638.3966307395228</c:v>
                </c:pt>
                <c:pt idx="181">
                  <c:v>1640.5842509550857</c:v>
                </c:pt>
                <c:pt idx="182">
                  <c:v>1650.2107454493553</c:v>
                </c:pt>
                <c:pt idx="183">
                  <c:v>1647.1794809766591</c:v>
                </c:pt>
                <c:pt idx="184">
                  <c:v>1648.4624040907991</c:v>
                </c:pt>
                <c:pt idx="185">
                  <c:v>1653.2476296662542</c:v>
                </c:pt>
                <c:pt idx="186">
                  <c:v>1654.4701438882566</c:v>
                </c:pt>
                <c:pt idx="187">
                  <c:v>1655.3493230249271</c:v>
                </c:pt>
                <c:pt idx="188">
                  <c:v>1654.3872270867776</c:v>
                </c:pt>
                <c:pt idx="189">
                  <c:v>1653.862903724257</c:v>
                </c:pt>
                <c:pt idx="190">
                  <c:v>1661.8917263019114</c:v>
                </c:pt>
                <c:pt idx="191">
                  <c:v>1665.3363759440999</c:v>
                </c:pt>
                <c:pt idx="192">
                  <c:v>1665.7363576884354</c:v>
                </c:pt>
                <c:pt idx="193">
                  <c:v>1661.7779395423047</c:v>
                </c:pt>
                <c:pt idx="194">
                  <c:v>1657.4952719050509</c:v>
                </c:pt>
                <c:pt idx="195">
                  <c:v>1663.4143002736207</c:v>
                </c:pt>
                <c:pt idx="196">
                  <c:v>1665.0018144719791</c:v>
                </c:pt>
                <c:pt idx="197">
                  <c:v>1666.8258035851472</c:v>
                </c:pt>
                <c:pt idx="198">
                  <c:v>1667.5048487636363</c:v>
                </c:pt>
                <c:pt idx="199">
                  <c:v>1665.4138196710546</c:v>
                </c:pt>
                <c:pt idx="200">
                  <c:v>1667.2353367530284</c:v>
                </c:pt>
                <c:pt idx="201">
                  <c:v>1666.5739247325102</c:v>
                </c:pt>
                <c:pt idx="202">
                  <c:v>1664.8904811841153</c:v>
                </c:pt>
                <c:pt idx="203">
                  <c:v>1656.2571382970107</c:v>
                </c:pt>
                <c:pt idx="204">
                  <c:v>1658.8175954672286</c:v>
                </c:pt>
                <c:pt idx="205">
                  <c:v>1662.1906898944251</c:v>
                </c:pt>
                <c:pt idx="206">
                  <c:v>1662.8975457550584</c:v>
                </c:pt>
                <c:pt idx="207">
                  <c:v>1663.1261604805281</c:v>
                </c:pt>
                <c:pt idx="208">
                  <c:v>1655.1694035176449</c:v>
                </c:pt>
                <c:pt idx="209">
                  <c:v>1656.1343870965391</c:v>
                </c:pt>
                <c:pt idx="210">
                  <c:v>1657.9575807739598</c:v>
                </c:pt>
                <c:pt idx="211">
                  <c:v>1659.1698352893161</c:v>
                </c:pt>
                <c:pt idx="212">
                  <c:v>1662.4568162775802</c:v>
                </c:pt>
                <c:pt idx="213">
                  <c:v>1654.2580753799148</c:v>
                </c:pt>
                <c:pt idx="214">
                  <c:v>1663.0045269276352</c:v>
                </c:pt>
                <c:pt idx="215">
                  <c:v>1663.1304997660693</c:v>
                </c:pt>
                <c:pt idx="216">
                  <c:v>1659.5837167674729</c:v>
                </c:pt>
                <c:pt idx="217">
                  <c:v>1660.1622144668681</c:v>
                </c:pt>
                <c:pt idx="218">
                  <c:v>1662.681241180067</c:v>
                </c:pt>
                <c:pt idx="219">
                  <c:v>1663.1511537329866</c:v>
                </c:pt>
                <c:pt idx="220">
                  <c:v>1664.7702468105886</c:v>
                </c:pt>
                <c:pt idx="221">
                  <c:v>1666.5116253297251</c:v>
                </c:pt>
                <c:pt idx="222">
                  <c:v>1666.7605555777468</c:v>
                </c:pt>
                <c:pt idx="223">
                  <c:v>1678.0959922442803</c:v>
                </c:pt>
                <c:pt idx="224">
                  <c:v>1670.4934162908146</c:v>
                </c:pt>
                <c:pt idx="225">
                  <c:v>1673.9344557930697</c:v>
                </c:pt>
                <c:pt idx="226">
                  <c:v>1674.8468490583114</c:v>
                </c:pt>
                <c:pt idx="227">
                  <c:v>1674.9437679639616</c:v>
                </c:pt>
                <c:pt idx="228">
                  <c:v>1675.5441053561779</c:v>
                </c:pt>
                <c:pt idx="229">
                  <c:v>1682.3568407240407</c:v>
                </c:pt>
                <c:pt idx="230">
                  <c:v>1688.8346996796965</c:v>
                </c:pt>
                <c:pt idx="231">
                  <c:v>1688.0736914816184</c:v>
                </c:pt>
                <c:pt idx="232">
                  <c:v>1689.2912493327287</c:v>
                </c:pt>
                <c:pt idx="233">
                  <c:v>1690.0155018367323</c:v>
                </c:pt>
                <c:pt idx="234">
                  <c:v>1693.9214088257118</c:v>
                </c:pt>
                <c:pt idx="235">
                  <c:v>1690.6398803727575</c:v>
                </c:pt>
                <c:pt idx="236">
                  <c:v>1690.996041090521</c:v>
                </c:pt>
                <c:pt idx="237">
                  <c:v>1691.4040648439779</c:v>
                </c:pt>
                <c:pt idx="238">
                  <c:v>1699.0696404549142</c:v>
                </c:pt>
                <c:pt idx="239">
                  <c:v>1699.3872226121846</c:v>
                </c:pt>
                <c:pt idx="240">
                  <c:v>1702.7148992765115</c:v>
                </c:pt>
                <c:pt idx="241">
                  <c:v>1700.0706098808523</c:v>
                </c:pt>
                <c:pt idx="242">
                  <c:v>1699.0321862215671</c:v>
                </c:pt>
                <c:pt idx="243">
                  <c:v>1701.7439931042377</c:v>
                </c:pt>
                <c:pt idx="244">
                  <c:v>1705.6635291456123</c:v>
                </c:pt>
                <c:pt idx="245">
                  <c:v>1706.1335479707386</c:v>
                </c:pt>
                <c:pt idx="246">
                  <c:v>1710.9327466829143</c:v>
                </c:pt>
                <c:pt idx="247">
                  <c:v>1719.3331502028168</c:v>
                </c:pt>
                <c:pt idx="248">
                  <c:v>1717.1171513016</c:v>
                </c:pt>
                <c:pt idx="249">
                  <c:v>1714.4524483937903</c:v>
                </c:pt>
                <c:pt idx="250">
                  <c:v>1716.7177337034275</c:v>
                </c:pt>
                <c:pt idx="251">
                  <c:v>1721.639427301207</c:v>
                </c:pt>
                <c:pt idx="252">
                  <c:v>1732.8135907373996</c:v>
                </c:pt>
                <c:pt idx="253">
                  <c:v>1727.7387091929752</c:v>
                </c:pt>
                <c:pt idx="254">
                  <c:v>1728.3942769378173</c:v>
                </c:pt>
                <c:pt idx="255">
                  <c:v>1732.1779112761903</c:v>
                </c:pt>
                <c:pt idx="256">
                  <c:v>1734.5828438085332</c:v>
                </c:pt>
                <c:pt idx="257">
                  <c:v>1725.615346745682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9D-43E6-99A0-E2815C925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98-4955-AFFA-F52C5AD700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かこたろう!$P$2:$P$7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1-4257-9C0F-B9EED5982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F8-4483-A3FF-BFCDF62A63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かこたろう!$M$2:$M$6</c:f>
              <c:numCache>
                <c:formatCode>0</c:formatCode>
                <c:ptCount val="5"/>
                <c:pt idx="0">
                  <c:v>1500</c:v>
                </c:pt>
                <c:pt idx="1">
                  <c:v>1496.04</c:v>
                </c:pt>
                <c:pt idx="2">
                  <c:v>1489.1157599999999</c:v>
                </c:pt>
                <c:pt idx="3">
                  <c:v>1484.60906544</c:v>
                </c:pt>
                <c:pt idx="4">
                  <c:v>1476.2954110473599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43-47D0-8774-A4BD7812E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49-4A8D-9BAB-56FBA5CCB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29-4668-8E4C-7EF7BD2B6B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3D-466F-980C-6D7D02D8F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ともき!$M$2:$M$6</c:f>
              <c:numCache>
                <c:formatCode>0</c:formatCode>
                <c:ptCount val="5"/>
                <c:pt idx="0">
                  <c:v>1500</c:v>
                </c:pt>
                <c:pt idx="1">
                  <c:v>1501.26</c:v>
                </c:pt>
                <c:pt idx="2">
                  <c:v>1495.3724400000001</c:v>
                </c:pt>
                <c:pt idx="3">
                  <c:v>1494.7942053600002</c:v>
                </c:pt>
                <c:pt idx="4">
                  <c:v>1496.6074401278402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4F-47B5-A9B1-E779FD872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りくと!$L$2:$L$144</c:f>
              <c:numCache>
                <c:formatCode>\+0.0;\-0.0;\±0</c:formatCode>
                <c:ptCount val="14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27-4492-A9BA-875F761270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-1066.4285714285713</c:v>
                </c:pt>
                <c:pt idx="1">
                  <c:v>-1137.5</c:v>
                </c:pt>
                <c:pt idx="2">
                  <c:v>1198.4732824427481</c:v>
                </c:pt>
                <c:pt idx="3">
                  <c:v>-956.41025641025647</c:v>
                </c:pt>
                <c:pt idx="4">
                  <c:v>-1676.2376237623762</c:v>
                </c:pt>
                <c:pt idx="5">
                  <c:v>-1628.75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21-4349-8443-9D097CB6E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4</c:v>
                </c:pt>
                <c:pt idx="1">
                  <c:v>22</c:v>
                </c:pt>
                <c:pt idx="2">
                  <c:v>46</c:v>
                </c:pt>
                <c:pt idx="3">
                  <c:v>38</c:v>
                </c:pt>
                <c:pt idx="4">
                  <c:v>37</c:v>
                </c:pt>
                <c:pt idx="5">
                  <c:v>32</c:v>
                </c:pt>
                <c:pt idx="6">
                  <c:v>21</c:v>
                </c:pt>
                <c:pt idx="7">
                  <c:v>8</c:v>
                </c:pt>
                <c:pt idx="8">
                  <c:v>9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98-43A3-A6FE-D4468C0496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りくと!$M$2:$M$144</c:f>
              <c:numCache>
                <c:formatCode>0</c:formatCode>
                <c:ptCount val="143"/>
                <c:pt idx="0">
                  <c:v>1500</c:v>
                </c:pt>
                <c:pt idx="1">
                  <c:v>1507.3679999999999</c:v>
                </c:pt>
                <c:pt idx="2">
                  <c:v>1499.8057919999999</c:v>
                </c:pt>
                <c:pt idx="3">
                  <c:v>1493.4409572479999</c:v>
                </c:pt>
                <c:pt idx="4">
                  <c:v>1500.6983115045118</c:v>
                </c:pt>
                <c:pt idx="5">
                  <c:v>1502.6921216354847</c:v>
                </c:pt>
                <c:pt idx="6">
                  <c:v>1508.6339689056717</c:v>
                </c:pt>
                <c:pt idx="7">
                  <c:v>1518.0561650922377</c:v>
                </c:pt>
                <c:pt idx="8">
                  <c:v>1510.8138281016843</c:v>
                </c:pt>
                <c:pt idx="9">
                  <c:v>1504.3529451330742</c:v>
                </c:pt>
                <c:pt idx="10">
                  <c:v>1496.3648274622758</c:v>
                </c:pt>
                <c:pt idx="11">
                  <c:v>1499.4046384975022</c:v>
                </c:pt>
                <c:pt idx="12">
                  <c:v>1497.9442106665172</c:v>
                </c:pt>
                <c:pt idx="13">
                  <c:v>1509.074545402518</c:v>
                </c:pt>
                <c:pt idx="14">
                  <c:v>1506.0980981301029</c:v>
                </c:pt>
                <c:pt idx="15">
                  <c:v>1507.0875095413223</c:v>
                </c:pt>
                <c:pt idx="16">
                  <c:v>1502.7789844840745</c:v>
                </c:pt>
                <c:pt idx="17">
                  <c:v>1502.67231057717</c:v>
                </c:pt>
                <c:pt idx="18">
                  <c:v>1496.236276713707</c:v>
                </c:pt>
                <c:pt idx="19">
                  <c:v>1495.4548590534248</c:v>
                </c:pt>
                <c:pt idx="20">
                  <c:v>1489.9081298991043</c:v>
                </c:pt>
                <c:pt idx="21">
                  <c:v>1485.5466811197098</c:v>
                </c:pt>
                <c:pt idx="22">
                  <c:v>1483.5334010329916</c:v>
                </c:pt>
                <c:pt idx="23">
                  <c:v>1480.6322006267937</c:v>
                </c:pt>
                <c:pt idx="24">
                  <c:v>1488.5664074230331</c:v>
                </c:pt>
                <c:pt idx="25">
                  <c:v>1488.1730089784949</c:v>
                </c:pt>
                <c:pt idx="26">
                  <c:v>1478.385970924624</c:v>
                </c:pt>
                <c:pt idx="27">
                  <c:v>1471.7716550990763</c:v>
                </c:pt>
                <c:pt idx="28">
                  <c:v>1470.9210251684817</c:v>
                </c:pt>
                <c:pt idx="29">
                  <c:v>1472.1934990174709</c:v>
                </c:pt>
                <c:pt idx="30">
                  <c:v>1464.1163380233661</c:v>
                </c:pt>
                <c:pt idx="31">
                  <c:v>1455.2956399952259</c:v>
                </c:pt>
                <c:pt idx="32">
                  <c:v>1456.7518661552544</c:v>
                </c:pt>
                <c:pt idx="33">
                  <c:v>1460.347354958323</c:v>
                </c:pt>
                <c:pt idx="34">
                  <c:v>1461.5692708285731</c:v>
                </c:pt>
                <c:pt idx="35">
                  <c:v>1457.3778552036017</c:v>
                </c:pt>
                <c:pt idx="36">
                  <c:v>1466.5735880723801</c:v>
                </c:pt>
                <c:pt idx="37">
                  <c:v>1458.6801465439457</c:v>
                </c:pt>
                <c:pt idx="38">
                  <c:v>1460.158065664682</c:v>
                </c:pt>
                <c:pt idx="39">
                  <c:v>1460.025117270694</c:v>
                </c:pt>
                <c:pt idx="40">
                  <c:v>1453.9529665670698</c:v>
                </c:pt>
                <c:pt idx="41">
                  <c:v>1447.0052487676674</c:v>
                </c:pt>
                <c:pt idx="42">
                  <c:v>1448.3252172750613</c:v>
                </c:pt>
                <c:pt idx="43">
                  <c:v>1453.9632659714109</c:v>
                </c:pt>
                <c:pt idx="44">
                  <c:v>1462.1534863755824</c:v>
                </c:pt>
                <c:pt idx="45">
                  <c:v>1459.4645654573289</c:v>
                </c:pt>
                <c:pt idx="46">
                  <c:v>1455.285778064585</c:v>
                </c:pt>
                <c:pt idx="47">
                  <c:v>1458.3860633961974</c:v>
                </c:pt>
                <c:pt idx="48">
                  <c:v>1454.2317470158202</c:v>
                </c:pt>
                <c:pt idx="49">
                  <c:v>1455.6103565337253</c:v>
                </c:pt>
                <c:pt idx="50">
                  <c:v>1455.1566943945229</c:v>
                </c:pt>
                <c:pt idx="51">
                  <c:v>1458.5277542281558</c:v>
                </c:pt>
                <c:pt idx="52">
                  <c:v>1451.7985877027868</c:v>
                </c:pt>
                <c:pt idx="53">
                  <c:v>1446.9217961765701</c:v>
                </c:pt>
                <c:pt idx="54">
                  <c:v>1439.5602653995106</c:v>
                </c:pt>
                <c:pt idx="55">
                  <c:v>1442.5509038071136</c:v>
                </c:pt>
                <c:pt idx="56">
                  <c:v>1451.373598384271</c:v>
                </c:pt>
                <c:pt idx="57">
                  <c:v>1452.2353567939654</c:v>
                </c:pt>
                <c:pt idx="58">
                  <c:v>1462.9679446532016</c:v>
                </c:pt>
                <c:pt idx="59">
                  <c:v>1472.1241369852823</c:v>
                </c:pt>
                <c:pt idx="60">
                  <c:v>1470.6413921633707</c:v>
                </c:pt>
                <c:pt idx="61">
                  <c:v>1471.3695438103905</c:v>
                </c:pt>
                <c:pt idx="62">
                  <c:v>1464.5873265475282</c:v>
                </c:pt>
                <c:pt idx="63">
                  <c:v>1457.6478025882429</c:v>
                </c:pt>
                <c:pt idx="64">
                  <c:v>1446.0879157727136</c:v>
                </c:pt>
                <c:pt idx="65">
                  <c:v>1442.1393882780774</c:v>
                </c:pt>
                <c:pt idx="66">
                  <c:v>1443.0205519484089</c:v>
                </c:pt>
                <c:pt idx="67">
                  <c:v>1444.7424286367184</c:v>
                </c:pt>
                <c:pt idx="68">
                  <c:v>1438.641974064898</c:v>
                </c:pt>
                <c:pt idx="69">
                  <c:v>1437.9961222205086</c:v>
                </c:pt>
                <c:pt idx="70">
                  <c:v>1444.2241454871855</c:v>
                </c:pt>
                <c:pt idx="71">
                  <c:v>1445.4108006142624</c:v>
                </c:pt>
                <c:pt idx="72">
                  <c:v>1439.2643358105768</c:v>
                </c:pt>
                <c:pt idx="73">
                  <c:v>1442.6227497957134</c:v>
                </c:pt>
                <c:pt idx="74">
                  <c:v>1441.8210132969391</c:v>
                </c:pt>
                <c:pt idx="75">
                  <c:v>1438.3360872171575</c:v>
                </c:pt>
                <c:pt idx="76">
                  <c:v>1447.4960706938546</c:v>
                </c:pt>
                <c:pt idx="77">
                  <c:v>1445.5490942696915</c:v>
                </c:pt>
                <c:pt idx="78">
                  <c:v>1448.6417997040733</c:v>
                </c:pt>
                <c:pt idx="79">
                  <c:v>1445.6319489058487</c:v>
                </c:pt>
                <c:pt idx="80">
                  <c:v>1444.6381572124137</c:v>
                </c:pt>
                <c:pt idx="81">
                  <c:v>1447.0823282691392</c:v>
                </c:pt>
                <c:pt idx="82">
                  <c:v>1443.8598342995244</c:v>
                </c:pt>
                <c:pt idx="83">
                  <c:v>1444.3286752937272</c:v>
                </c:pt>
                <c:pt idx="84">
                  <c:v>1449.1687032419647</c:v>
                </c:pt>
                <c:pt idx="85">
                  <c:v>1442.5496910225129</c:v>
                </c:pt>
                <c:pt idx="86">
                  <c:v>1447.1003928763778</c:v>
                </c:pt>
                <c:pt idx="87">
                  <c:v>1451.9837905191196</c:v>
                </c:pt>
                <c:pt idx="88">
                  <c:v>1448.9718877760049</c:v>
                </c:pt>
                <c:pt idx="89">
                  <c:v>1443.5120564493488</c:v>
                </c:pt>
                <c:pt idx="90">
                  <c:v>1444.6609841106529</c:v>
                </c:pt>
                <c:pt idx="91">
                  <c:v>1446.661018205989</c:v>
                </c:pt>
                <c:pt idx="92">
                  <c:v>1452.309052096753</c:v>
                </c:pt>
                <c:pt idx="93">
                  <c:v>1446.0311977841725</c:v>
                </c:pt>
                <c:pt idx="94">
                  <c:v>1451.6530105974675</c:v>
                </c:pt>
                <c:pt idx="95">
                  <c:v>1447.1250925338827</c:v>
                </c:pt>
                <c:pt idx="96">
                  <c:v>1450.5083419786795</c:v>
                </c:pt>
                <c:pt idx="97">
                  <c:v>1448.7832919268074</c:v>
                </c:pt>
                <c:pt idx="98">
                  <c:v>1460.2025921752465</c:v>
                </c:pt>
                <c:pt idx="99">
                  <c:v>1455.3533766221951</c:v>
                </c:pt>
                <c:pt idx="100">
                  <c:v>1453.2392563624619</c:v>
                </c:pt>
                <c:pt idx="101">
                  <c:v>1453.7958208242871</c:v>
                </c:pt>
                <c:pt idx="102">
                  <c:v>1449.4770458993414</c:v>
                </c:pt>
                <c:pt idx="103">
                  <c:v>1445.3701836239454</c:v>
                </c:pt>
                <c:pt idx="104">
                  <c:v>1443.7959625222018</c:v>
                </c:pt>
                <c:pt idx="105">
                  <c:v>1446.2811867470687</c:v>
                </c:pt>
                <c:pt idx="106">
                  <c:v>1444.4854996265863</c:v>
                </c:pt>
                <c:pt idx="107">
                  <c:v>1445.9225866288268</c:v>
                </c:pt>
                <c:pt idx="108">
                  <c:v>1447.6570511090538</c:v>
                </c:pt>
                <c:pt idx="109">
                  <c:v>1441.5151088023995</c:v>
                </c:pt>
                <c:pt idx="110">
                  <c:v>1437.4860181495851</c:v>
                </c:pt>
                <c:pt idx="111">
                  <c:v>1441.2571020406876</c:v>
                </c:pt>
                <c:pt idx="112">
                  <c:v>1445.4315594284435</c:v>
                </c:pt>
                <c:pt idx="113">
                  <c:v>1456.9129700718729</c:v>
                </c:pt>
                <c:pt idx="114">
                  <c:v>1459.4754922514417</c:v>
                </c:pt>
                <c:pt idx="115">
                  <c:v>1456.7846392979329</c:v>
                </c:pt>
                <c:pt idx="116">
                  <c:v>1458.1359314621454</c:v>
                </c:pt>
                <c:pt idx="117">
                  <c:v>1460.3971158733725</c:v>
                </c:pt>
                <c:pt idx="118">
                  <c:v>1461.0007331781324</c:v>
                </c:pt>
                <c:pt idx="119">
                  <c:v>1457.6767287790635</c:v>
                </c:pt>
                <c:pt idx="120">
                  <c:v>1450.5326684063891</c:v>
                </c:pt>
                <c:pt idx="121">
                  <c:v>1457.1114723959508</c:v>
                </c:pt>
                <c:pt idx="122">
                  <c:v>1455.100803561575</c:v>
                </c:pt>
                <c:pt idx="123">
                  <c:v>1447.7261987402055</c:v>
                </c:pt>
                <c:pt idx="124">
                  <c:v>1449.7918415477643</c:v>
                </c:pt>
                <c:pt idx="125">
                  <c:v>1449.8650904984777</c:v>
                </c:pt>
                <c:pt idx="126">
                  <c:v>1456.0758999554869</c:v>
                </c:pt>
                <c:pt idx="127">
                  <c:v>1456.339444555754</c:v>
                </c:pt>
                <c:pt idx="128">
                  <c:v>1455.7974078884195</c:v>
                </c:pt>
                <c:pt idx="129">
                  <c:v>1454.988623441089</c:v>
                </c:pt>
                <c:pt idx="130">
                  <c:v>1455.1146917004423</c:v>
                </c:pt>
                <c:pt idx="131">
                  <c:v>1453.0980035502396</c:v>
                </c:pt>
                <c:pt idx="132">
                  <c:v>1452.1854155289382</c:v>
                </c:pt>
                <c:pt idx="133">
                  <c:v>1445.6623030357646</c:v>
                </c:pt>
                <c:pt idx="134">
                  <c:v>1446.3123292175501</c:v>
                </c:pt>
                <c:pt idx="135">
                  <c:v>1448.5304552422449</c:v>
                </c:pt>
                <c:pt idx="136">
                  <c:v>1445.5812725107915</c:v>
                </c:pt>
                <c:pt idx="137">
                  <c:v>1444.6417848757267</c:v>
                </c:pt>
                <c:pt idx="138">
                  <c:v>1436.5979341664722</c:v>
                </c:pt>
                <c:pt idx="139">
                  <c:v>1439.8523465614733</c:v>
                </c:pt>
                <c:pt idx="140">
                  <c:v>1443.7112324821044</c:v>
                </c:pt>
                <c:pt idx="141">
                  <c:v>1441.1929650872119</c:v>
                </c:pt>
                <c:pt idx="142">
                  <c:v>1441.4918072966886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4A-4219-B510-F202A401B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いっしー!$L$2:$L$67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C7-4650-9F89-4EDE0A990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-164.61538461538461</c:v>
                </c:pt>
                <c:pt idx="1">
                  <c:v>2222.5806451612902</c:v>
                </c:pt>
                <c:pt idx="2">
                  <c:v>-1800</c:v>
                </c:pt>
                <c:pt idx="3">
                  <c:v>-832</c:v>
                </c:pt>
                <c:pt idx="4">
                  <c:v>6852.272727272727</c:v>
                </c:pt>
                <c:pt idx="5">
                  <c:v>-237.5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3D-477C-A60C-935BF1AB3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9</c:v>
                </c:pt>
                <c:pt idx="1">
                  <c:v>11</c:v>
                </c:pt>
                <c:pt idx="2">
                  <c:v>12</c:v>
                </c:pt>
                <c:pt idx="3">
                  <c:v>9</c:v>
                </c:pt>
                <c:pt idx="4">
                  <c:v>11</c:v>
                </c:pt>
                <c:pt idx="5">
                  <c:v>7</c:v>
                </c:pt>
                <c:pt idx="6">
                  <c:v>7</c:v>
                </c:pt>
                <c:pt idx="7">
                  <c:v>3</c:v>
                </c:pt>
                <c:pt idx="8">
                  <c:v>4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BB-4F53-9694-8389D12E8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いっしー!$M$2:$M$67</c:f>
              <c:numCache>
                <c:formatCode>0</c:formatCode>
                <c:ptCount val="66"/>
                <c:pt idx="0">
                  <c:v>1500</c:v>
                </c:pt>
                <c:pt idx="1">
                  <c:v>1492.8240000000001</c:v>
                </c:pt>
                <c:pt idx="2">
                  <c:v>1497.6790560000002</c:v>
                </c:pt>
                <c:pt idx="3">
                  <c:v>1489.6889816640003</c:v>
                </c:pt>
                <c:pt idx="4">
                  <c:v>1490.4948477740163</c:v>
                </c:pt>
                <c:pt idx="5">
                  <c:v>1492.0098786873723</c:v>
                </c:pt>
                <c:pt idx="6">
                  <c:v>1491.1938194152481</c:v>
                </c:pt>
                <c:pt idx="7">
                  <c:v>1491.8046564987567</c:v>
                </c:pt>
                <c:pt idx="8">
                  <c:v>1489.8078285597642</c:v>
                </c:pt>
                <c:pt idx="9">
                  <c:v>1486.4489815884056</c:v>
                </c:pt>
                <c:pt idx="10">
                  <c:v>1486.3142876988752</c:v>
                </c:pt>
                <c:pt idx="11">
                  <c:v>1484.560401972682</c:v>
                </c:pt>
                <c:pt idx="12">
                  <c:v>1496.473039560846</c:v>
                </c:pt>
                <c:pt idx="13">
                  <c:v>1498.5402013234809</c:v>
                </c:pt>
                <c:pt idx="14">
                  <c:v>1507.7769601155401</c:v>
                </c:pt>
                <c:pt idx="15">
                  <c:v>1510.8742983548468</c:v>
                </c:pt>
                <c:pt idx="16">
                  <c:v>1508.0670525647176</c:v>
                </c:pt>
                <c:pt idx="17">
                  <c:v>1503.6566502493292</c:v>
                </c:pt>
                <c:pt idx="18">
                  <c:v>1496.2127103478333</c:v>
                </c:pt>
                <c:pt idx="19">
                  <c:v>1497.7174340857464</c:v>
                </c:pt>
                <c:pt idx="20">
                  <c:v>1502.3091294812318</c:v>
                </c:pt>
                <c:pt idx="21">
                  <c:v>1513.5512747043445</c:v>
                </c:pt>
                <c:pt idx="22">
                  <c:v>1515.0599670561185</c:v>
                </c:pt>
                <c:pt idx="23">
                  <c:v>1518.0356072537818</c:v>
                </c:pt>
                <c:pt idx="24">
                  <c:v>1510.0673936102592</c:v>
                </c:pt>
                <c:pt idx="25">
                  <c:v>1511.7589892485976</c:v>
                </c:pt>
                <c:pt idx="26">
                  <c:v>1526.6704353131061</c:v>
                </c:pt>
                <c:pt idx="27">
                  <c:v>1530.3324127012274</c:v>
                </c:pt>
                <c:pt idx="28">
                  <c:v>1532.5144182250201</c:v>
                </c:pt>
                <c:pt idx="29">
                  <c:v>1537.82733171567</c:v>
                </c:pt>
                <c:pt idx="30">
                  <c:v>1536.4843677253759</c:v>
                </c:pt>
                <c:pt idx="31">
                  <c:v>1534.2314615190237</c:v>
                </c:pt>
                <c:pt idx="32">
                  <c:v>1537.1460727499095</c:v>
                </c:pt>
                <c:pt idx="33">
                  <c:v>1544.3691963134102</c:v>
                </c:pt>
                <c:pt idx="34">
                  <c:v>1542.2009811355297</c:v>
                </c:pt>
                <c:pt idx="35">
                  <c:v>1533.7457752487164</c:v>
                </c:pt>
                <c:pt idx="36">
                  <c:v>1542.2133005972241</c:v>
                </c:pt>
                <c:pt idx="37">
                  <c:v>1544.7080207936408</c:v>
                </c:pt>
                <c:pt idx="38">
                  <c:v>1541.247772668879</c:v>
                </c:pt>
                <c:pt idx="39">
                  <c:v>1541.1202860328656</c:v>
                </c:pt>
                <c:pt idx="40">
                  <c:v>1541.5095643166683</c:v>
                </c:pt>
                <c:pt idx="41">
                  <c:v>1540.9785069307682</c:v>
                </c:pt>
                <c:pt idx="42">
                  <c:v>1544.6266358891835</c:v>
                </c:pt>
                <c:pt idx="43">
                  <c:v>1550.4548760738485</c:v>
                </c:pt>
                <c:pt idx="44">
                  <c:v>1548.7541468174054</c:v>
                </c:pt>
                <c:pt idx="45">
                  <c:v>1542.959621936501</c:v>
                </c:pt>
                <c:pt idx="46">
                  <c:v>1536.4438642048819</c:v>
                </c:pt>
                <c:pt idx="47">
                  <c:v>1532.6252010196526</c:v>
                </c:pt>
                <c:pt idx="48">
                  <c:v>1536.4914498135347</c:v>
                </c:pt>
                <c:pt idx="49">
                  <c:v>1536.1645011146536</c:v>
                </c:pt>
                <c:pt idx="50">
                  <c:v>1536.3435141079656</c:v>
                </c:pt>
                <c:pt idx="51">
                  <c:v>1550.6874530233179</c:v>
                </c:pt>
                <c:pt idx="52">
                  <c:v>1555.3813283051779</c:v>
                </c:pt>
                <c:pt idx="53">
                  <c:v>1546.1810403353468</c:v>
                </c:pt>
                <c:pt idx="54">
                  <c:v>1543.4079540933346</c:v>
                </c:pt>
                <c:pt idx="55">
                  <c:v>1546.0755063687745</c:v>
                </c:pt>
                <c:pt idx="56">
                  <c:v>1546.6570533305619</c:v>
                </c:pt>
                <c:pt idx="57">
                  <c:v>1544.3311110105785</c:v>
                </c:pt>
                <c:pt idx="58">
                  <c:v>1550.0111243445151</c:v>
                </c:pt>
                <c:pt idx="59">
                  <c:v>1547.9170575984481</c:v>
                </c:pt>
                <c:pt idx="60">
                  <c:v>1546.0335552528575</c:v>
                </c:pt>
                <c:pt idx="61">
                  <c:v>1543.6753539213403</c:v>
                </c:pt>
                <c:pt idx="62">
                  <c:v>1542.5253017978123</c:v>
                </c:pt>
                <c:pt idx="63">
                  <c:v>1541.5681499870254</c:v>
                </c:pt>
                <c:pt idx="64">
                  <c:v>1544.5107410871033</c:v>
                </c:pt>
                <c:pt idx="65">
                  <c:v>1545.9176766405806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DA-4D40-B932-9E1B3564E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69-45CF-8837-0044711FB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がくと!$P$2:$P$7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28-4799-80FF-F0A8C99D3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53-4430-88AE-4F7C97D77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がくと!$M$2:$M$7</c:f>
              <c:numCache>
                <c:formatCode>0</c:formatCode>
                <c:ptCount val="6"/>
                <c:pt idx="0">
                  <c:v>1500</c:v>
                </c:pt>
                <c:pt idx="1">
                  <c:v>1492.68</c:v>
                </c:pt>
                <c:pt idx="2">
                  <c:v>1485.42192</c:v>
                </c:pt>
                <c:pt idx="3">
                  <c:v>1484.29138848</c:v>
                </c:pt>
                <c:pt idx="4">
                  <c:v>1480.5816401491199</c:v>
                </c:pt>
                <c:pt idx="5">
                  <c:v>1484.6521503082251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6F-4EEA-8202-206BB30EE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たかの!$L$2:$L$87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45-4B80-B728-97EB54356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-968.23529411764707</c:v>
                </c:pt>
                <c:pt idx="1">
                  <c:v>-3073.75</c:v>
                </c:pt>
                <c:pt idx="2">
                  <c:v>-1090.2777777777778</c:v>
                </c:pt>
                <c:pt idx="3">
                  <c:v>-556.52173913043475</c:v>
                </c:pt>
                <c:pt idx="4">
                  <c:v>-1555.1724137931035</c:v>
                </c:pt>
                <c:pt idx="5">
                  <c:v>-887.23404255319144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58-4184-8B93-FAB12BACB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6</c:v>
                </c:pt>
                <c:pt idx="1">
                  <c:v>25</c:v>
                </c:pt>
                <c:pt idx="2">
                  <c:v>20</c:v>
                </c:pt>
                <c:pt idx="3">
                  <c:v>38</c:v>
                </c:pt>
                <c:pt idx="4">
                  <c:v>23</c:v>
                </c:pt>
                <c:pt idx="5">
                  <c:v>11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50-492B-87B3-9669A8D3AA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たかの!$M$2:$M$87</c:f>
              <c:numCache>
                <c:formatCode>0</c:formatCode>
                <c:ptCount val="86"/>
                <c:pt idx="0">
                  <c:v>1500</c:v>
                </c:pt>
                <c:pt idx="1">
                  <c:v>1512.2819999999999</c:v>
                </c:pt>
                <c:pt idx="2">
                  <c:v>1510.4623079999999</c:v>
                </c:pt>
                <c:pt idx="3">
                  <c:v>1514.6535341519998</c:v>
                </c:pt>
                <c:pt idx="4">
                  <c:v>1510.1796129470879</c:v>
                </c:pt>
                <c:pt idx="5">
                  <c:v>1522.0045352694053</c:v>
                </c:pt>
                <c:pt idx="6">
                  <c:v>1522.1485080577888</c:v>
                </c:pt>
                <c:pt idx="7">
                  <c:v>1522.705617009442</c:v>
                </c:pt>
                <c:pt idx="8">
                  <c:v>1516.7253833073853</c:v>
                </c:pt>
                <c:pt idx="9">
                  <c:v>1514.1650310075411</c:v>
                </c:pt>
                <c:pt idx="10">
                  <c:v>1519.1200408214959</c:v>
                </c:pt>
                <c:pt idx="11">
                  <c:v>1512.0813205765669</c:v>
                </c:pt>
                <c:pt idx="12">
                  <c:v>1505.2468326531075</c:v>
                </c:pt>
                <c:pt idx="13">
                  <c:v>1501.6393516571889</c:v>
                </c:pt>
                <c:pt idx="14">
                  <c:v>1500.1775155472458</c:v>
                </c:pt>
                <c:pt idx="15">
                  <c:v>1493.3244504539623</c:v>
                </c:pt>
                <c:pt idx="16">
                  <c:v>1491.3545037512386</c:v>
                </c:pt>
                <c:pt idx="17">
                  <c:v>1491.538376728731</c:v>
                </c:pt>
                <c:pt idx="18">
                  <c:v>1494.3131464683586</c:v>
                </c:pt>
                <c:pt idx="19">
                  <c:v>1503.0652675895485</c:v>
                </c:pt>
                <c:pt idx="20">
                  <c:v>1495.6008759840113</c:v>
                </c:pt>
                <c:pt idx="21">
                  <c:v>1494.7152707281073</c:v>
                </c:pt>
                <c:pt idx="22">
                  <c:v>1499.3069791037387</c:v>
                </c:pt>
                <c:pt idx="23">
                  <c:v>1496.8511372291164</c:v>
                </c:pt>
                <c:pt idx="24">
                  <c:v>1495.4180304057418</c:v>
                </c:pt>
                <c:pt idx="25">
                  <c:v>1493.4235222233074</c:v>
                </c:pt>
                <c:pt idx="26">
                  <c:v>1489.3529810899674</c:v>
                </c:pt>
                <c:pt idx="27">
                  <c:v>1490.4968632034277</c:v>
                </c:pt>
                <c:pt idx="28">
                  <c:v>1490.679882024207</c:v>
                </c:pt>
                <c:pt idx="29">
                  <c:v>1497.8818027320617</c:v>
                </c:pt>
                <c:pt idx="30">
                  <c:v>1491.4685119156693</c:v>
                </c:pt>
                <c:pt idx="31">
                  <c:v>1488.5257008441754</c:v>
                </c:pt>
                <c:pt idx="32">
                  <c:v>1487.6645466391103</c:v>
                </c:pt>
                <c:pt idx="33">
                  <c:v>1478.4205593592756</c:v>
                </c:pt>
                <c:pt idx="34">
                  <c:v>1476.4140360031199</c:v>
                </c:pt>
                <c:pt idx="35">
                  <c:v>1482.5975517871011</c:v>
                </c:pt>
                <c:pt idx="36">
                  <c:v>1481.7239664763786</c:v>
                </c:pt>
                <c:pt idx="37">
                  <c:v>1477.1536226775204</c:v>
                </c:pt>
                <c:pt idx="38">
                  <c:v>1478.4187009414552</c:v>
                </c:pt>
                <c:pt idx="39">
                  <c:v>1477.3481887358064</c:v>
                </c:pt>
                <c:pt idx="40">
                  <c:v>1474.9400996033914</c:v>
                </c:pt>
                <c:pt idx="41">
                  <c:v>1465.9584590057711</c:v>
                </c:pt>
                <c:pt idx="42">
                  <c:v>1466.7507082517366</c:v>
                </c:pt>
                <c:pt idx="43">
                  <c:v>1458.7602040022261</c:v>
                </c:pt>
                <c:pt idx="44">
                  <c:v>1458.8156427782128</c:v>
                </c:pt>
                <c:pt idx="45">
                  <c:v>1452.3727489215435</c:v>
                </c:pt>
                <c:pt idx="46">
                  <c:v>1445.2305124280142</c:v>
                </c:pt>
                <c:pt idx="47">
                  <c:v>1444.9891293534461</c:v>
                </c:pt>
                <c:pt idx="48">
                  <c:v>1434.6151945773254</c:v>
                </c:pt>
                <c:pt idx="49">
                  <c:v>1432.3195034098615</c:v>
                </c:pt>
                <c:pt idx="50">
                  <c:v>1433.6135863894024</c:v>
                </c:pt>
                <c:pt idx="51">
                  <c:v>1430.3939048710661</c:v>
                </c:pt>
                <c:pt idx="52">
                  <c:v>1430.3315414418396</c:v>
                </c:pt>
                <c:pt idx="53">
                  <c:v>1425.3555521931885</c:v>
                </c:pt>
                <c:pt idx="54">
                  <c:v>1427.0814188800293</c:v>
                </c:pt>
                <c:pt idx="55">
                  <c:v>1423.6849303667491</c:v>
                </c:pt>
                <c:pt idx="56">
                  <c:v>1417.7408207845485</c:v>
                </c:pt>
                <c:pt idx="57">
                  <c:v>1412.9303758598412</c:v>
                </c:pt>
                <c:pt idx="58">
                  <c:v>1406.4747936046822</c:v>
                </c:pt>
                <c:pt idx="59">
                  <c:v>1411.3079448430542</c:v>
                </c:pt>
                <c:pt idx="60">
                  <c:v>1414.6720971739958</c:v>
                </c:pt>
                <c:pt idx="61">
                  <c:v>1422.7440645909519</c:v>
                </c:pt>
                <c:pt idx="62">
                  <c:v>1419.4996002034061</c:v>
                </c:pt>
                <c:pt idx="63">
                  <c:v>1417.4266026021855</c:v>
                </c:pt>
                <c:pt idx="64">
                  <c:v>1415.4380429865723</c:v>
                </c:pt>
                <c:pt idx="65">
                  <c:v>1423.4274147286528</c:v>
                </c:pt>
                <c:pt idx="66">
                  <c:v>1425.7828502402808</c:v>
                </c:pt>
                <c:pt idx="67">
                  <c:v>1429.0421531388392</c:v>
                </c:pt>
                <c:pt idx="68">
                  <c:v>1430.4639002200063</c:v>
                </c:pt>
                <c:pt idx="69">
                  <c:v>1429.1231168186862</c:v>
                </c:pt>
                <c:pt idx="70">
                  <c:v>1430.742378117774</c:v>
                </c:pt>
                <c:pt idx="71">
                  <c:v>1434.9259238490674</c:v>
                </c:pt>
                <c:pt idx="72">
                  <c:v>1430.948368305973</c:v>
                </c:pt>
                <c:pt idx="73">
                  <c:v>1428.9206780961372</c:v>
                </c:pt>
                <c:pt idx="74">
                  <c:v>1423.3771540275604</c:v>
                </c:pt>
                <c:pt idx="75">
                  <c:v>1428.4448911033951</c:v>
                </c:pt>
                <c:pt idx="76">
                  <c:v>1432.4562217567748</c:v>
                </c:pt>
                <c:pt idx="77">
                  <c:v>1425.7334844262341</c:v>
                </c:pt>
                <c:pt idx="78">
                  <c:v>1425.9990835196768</c:v>
                </c:pt>
                <c:pt idx="79">
                  <c:v>1433.6370890185588</c:v>
                </c:pt>
                <c:pt idx="80">
                  <c:v>1442.2732664844475</c:v>
                </c:pt>
                <c:pt idx="81">
                  <c:v>1434.7356268855408</c:v>
                </c:pt>
                <c:pt idx="82">
                  <c:v>1428.4132131242275</c:v>
                </c:pt>
                <c:pt idx="83">
                  <c:v>1427.9847338454822</c:v>
                </c:pt>
                <c:pt idx="84">
                  <c:v>1425.3808254424093</c:v>
                </c:pt>
                <c:pt idx="85">
                  <c:v>1422.6785404897548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1A-4D29-8995-53C3A8E68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ただ!$L$2:$L$125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DB-4A0F-9C04-EFFC939EFB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1019.00826446281</c:v>
                </c:pt>
                <c:pt idx="1">
                  <c:v>620.17543859649118</c:v>
                </c:pt>
                <c:pt idx="2">
                  <c:v>-58.490566037735846</c:v>
                </c:pt>
                <c:pt idx="3">
                  <c:v>-810</c:v>
                </c:pt>
                <c:pt idx="4">
                  <c:v>1012.6436781609195</c:v>
                </c:pt>
                <c:pt idx="5">
                  <c:v>-435.13513513513516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1B-4FEF-B0D4-4E2304133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6</c:v>
                </c:pt>
                <c:pt idx="1">
                  <c:v>31</c:v>
                </c:pt>
                <c:pt idx="2">
                  <c:v>41</c:v>
                </c:pt>
                <c:pt idx="3">
                  <c:v>47</c:v>
                </c:pt>
                <c:pt idx="4">
                  <c:v>32</c:v>
                </c:pt>
                <c:pt idx="5">
                  <c:v>29</c:v>
                </c:pt>
                <c:pt idx="6">
                  <c:v>18</c:v>
                </c:pt>
                <c:pt idx="7">
                  <c:v>15</c:v>
                </c:pt>
                <c:pt idx="8">
                  <c:v>7</c:v>
                </c:pt>
                <c:pt idx="9">
                  <c:v>7</c:v>
                </c:pt>
                <c:pt idx="10">
                  <c:v>5</c:v>
                </c:pt>
                <c:pt idx="11">
                  <c:v>1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E2-41A7-9FA3-07726F4FF0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ただ!$M$2:$M$125</c:f>
              <c:numCache>
                <c:formatCode>0</c:formatCode>
                <c:ptCount val="124"/>
                <c:pt idx="0">
                  <c:v>1500</c:v>
                </c:pt>
                <c:pt idx="1">
                  <c:v>1493.4</c:v>
                </c:pt>
                <c:pt idx="2">
                  <c:v>1491.8916000000002</c:v>
                </c:pt>
                <c:pt idx="3">
                  <c:v>1485.3942504000001</c:v>
                </c:pt>
                <c:pt idx="4">
                  <c:v>1479.6198848976001</c:v>
                </c:pt>
                <c:pt idx="5">
                  <c:v>1475.7881655882145</c:v>
                </c:pt>
                <c:pt idx="6">
                  <c:v>1482.3294365946851</c:v>
                </c:pt>
                <c:pt idx="7">
                  <c:v>1481.4694599751169</c:v>
                </c:pt>
                <c:pt idx="8">
                  <c:v>1491.2886432152661</c:v>
                </c:pt>
                <c:pt idx="9">
                  <c:v>1491.1309113559746</c:v>
                </c:pt>
                <c:pt idx="10">
                  <c:v>1487.7641258878386</c:v>
                </c:pt>
                <c:pt idx="11">
                  <c:v>1488.4135411325117</c:v>
                </c:pt>
                <c:pt idx="12">
                  <c:v>1491.3090598857166</c:v>
                </c:pt>
                <c:pt idx="13">
                  <c:v>1493.3952055264024</c:v>
                </c:pt>
                <c:pt idx="14">
                  <c:v>1492.1808342932441</c:v>
                </c:pt>
                <c:pt idx="15">
                  <c:v>1505.6437492874845</c:v>
                </c:pt>
                <c:pt idx="16">
                  <c:v>1511.9338867917595</c:v>
                </c:pt>
                <c:pt idx="17">
                  <c:v>1511.826283471009</c:v>
                </c:pt>
                <c:pt idx="18">
                  <c:v>1523.281325770183</c:v>
                </c:pt>
                <c:pt idx="19">
                  <c:v>1523.7056378155619</c:v>
                </c:pt>
                <c:pt idx="20">
                  <c:v>1523.7854039886686</c:v>
                </c:pt>
                <c:pt idx="21">
                  <c:v>1524.1526915647366</c:v>
                </c:pt>
                <c:pt idx="22">
                  <c:v>1532.1137754153483</c:v>
                </c:pt>
                <c:pt idx="23">
                  <c:v>1531.7290927628562</c:v>
                </c:pt>
                <c:pt idx="24">
                  <c:v>1524.5847182062791</c:v>
                </c:pt>
                <c:pt idx="25">
                  <c:v>1521.6112098970414</c:v>
                </c:pt>
                <c:pt idx="26">
                  <c:v>1523.5515426376592</c:v>
                </c:pt>
                <c:pt idx="27">
                  <c:v>1515.5382333818332</c:v>
                </c:pt>
                <c:pt idx="28">
                  <c:v>1508.1130039815421</c:v>
                </c:pt>
                <c:pt idx="29">
                  <c:v>1506.1683259576528</c:v>
                </c:pt>
                <c:pt idx="30">
                  <c:v>1508.9993160019069</c:v>
                </c:pt>
                <c:pt idx="31">
                  <c:v>1501.0433201058954</c:v>
                </c:pt>
                <c:pt idx="32">
                  <c:v>1501.00106018526</c:v>
                </c:pt>
                <c:pt idx="33">
                  <c:v>1503.0770538241484</c:v>
                </c:pt>
                <c:pt idx="34">
                  <c:v>1496.4585915012035</c:v>
                </c:pt>
                <c:pt idx="35">
                  <c:v>1505.3598399521964</c:v>
                </c:pt>
                <c:pt idx="36">
                  <c:v>1502.9096809124833</c:v>
                </c:pt>
                <c:pt idx="37">
                  <c:v>1510.3382228270084</c:v>
                </c:pt>
                <c:pt idx="38">
                  <c:v>1509.7301934900463</c:v>
                </c:pt>
                <c:pt idx="39">
                  <c:v>1522.6258123291061</c:v>
                </c:pt>
                <c:pt idx="40">
                  <c:v>1528.2260574551315</c:v>
                </c:pt>
                <c:pt idx="41">
                  <c:v>1534.4947011104007</c:v>
                </c:pt>
                <c:pt idx="42">
                  <c:v>1536.4237329037383</c:v>
                </c:pt>
                <c:pt idx="43">
                  <c:v>1537.9091905063158</c:v>
                </c:pt>
                <c:pt idx="44">
                  <c:v>1528.999735363278</c:v>
                </c:pt>
                <c:pt idx="45">
                  <c:v>1536.9377369510983</c:v>
                </c:pt>
                <c:pt idx="46">
                  <c:v>1538.6781105293917</c:v>
                </c:pt>
                <c:pt idx="47">
                  <c:v>1534.8340418662153</c:v>
                </c:pt>
                <c:pt idx="48">
                  <c:v>1533.7310376150181</c:v>
                </c:pt>
                <c:pt idx="49">
                  <c:v>1536.834651389328</c:v>
                </c:pt>
                <c:pt idx="50">
                  <c:v>1532.0176434809921</c:v>
                </c:pt>
                <c:pt idx="51">
                  <c:v>1534.0575376201061</c:v>
                </c:pt>
                <c:pt idx="52">
                  <c:v>1533.9431923943855</c:v>
                </c:pt>
                <c:pt idx="53">
                  <c:v>1537.1595332400193</c:v>
                </c:pt>
                <c:pt idx="54">
                  <c:v>1541.3465760405793</c:v>
                </c:pt>
                <c:pt idx="55">
                  <c:v>1539.1904965843357</c:v>
                </c:pt>
                <c:pt idx="56">
                  <c:v>1545.8313536048297</c:v>
                </c:pt>
                <c:pt idx="57">
                  <c:v>1537.1143654832008</c:v>
                </c:pt>
                <c:pt idx="58">
                  <c:v>1536.6096792903015</c:v>
                </c:pt>
                <c:pt idx="59">
                  <c:v>1538.6100212145598</c:v>
                </c:pt>
                <c:pt idx="60">
                  <c:v>1540.8023610872724</c:v>
                </c:pt>
                <c:pt idx="61">
                  <c:v>1541.0795469207487</c:v>
                </c:pt>
                <c:pt idx="62">
                  <c:v>1540.3230696392243</c:v>
                </c:pt>
                <c:pt idx="63">
                  <c:v>1538.239131221389</c:v>
                </c:pt>
                <c:pt idx="64">
                  <c:v>1535.1596964340606</c:v>
                </c:pt>
                <c:pt idx="65">
                  <c:v>1536.4847382554563</c:v>
                </c:pt>
                <c:pt idx="66">
                  <c:v>1535.6598298259235</c:v>
                </c:pt>
                <c:pt idx="67">
                  <c:v>1538.1758708469679</c:v>
                </c:pt>
                <c:pt idx="68">
                  <c:v>1531.2088156218861</c:v>
                </c:pt>
                <c:pt idx="69">
                  <c:v>1532.8155627281546</c:v>
                </c:pt>
                <c:pt idx="70">
                  <c:v>1538.1566693517857</c:v>
                </c:pt>
                <c:pt idx="71">
                  <c:v>1534.3937293356751</c:v>
                </c:pt>
                <c:pt idx="72">
                  <c:v>1527.5633669596609</c:v>
                </c:pt>
                <c:pt idx="73">
                  <c:v>1534.0939867579029</c:v>
                </c:pt>
                <c:pt idx="74">
                  <c:v>1539.4874228373556</c:v>
                </c:pt>
                <c:pt idx="75">
                  <c:v>1543.5464983003315</c:v>
                </c:pt>
                <c:pt idx="76">
                  <c:v>1542.3072193105295</c:v>
                </c:pt>
                <c:pt idx="77">
                  <c:v>1541.5373759946663</c:v>
                </c:pt>
                <c:pt idx="78">
                  <c:v>1540.3221517386983</c:v>
                </c:pt>
                <c:pt idx="79">
                  <c:v>1536.732218828266</c:v>
                </c:pt>
                <c:pt idx="80">
                  <c:v>1541.7738255152965</c:v>
                </c:pt>
                <c:pt idx="81">
                  <c:v>1542.8611825622047</c:v>
                </c:pt>
                <c:pt idx="82">
                  <c:v>1545.2920154668316</c:v>
                </c:pt>
                <c:pt idx="83">
                  <c:v>1544.0722633740306</c:v>
                </c:pt>
                <c:pt idx="84">
                  <c:v>1547.7738297937865</c:v>
                </c:pt>
                <c:pt idx="85">
                  <c:v>1546.7191868150237</c:v>
                </c:pt>
                <c:pt idx="86">
                  <c:v>1541.5908716941335</c:v>
                </c:pt>
                <c:pt idx="87">
                  <c:v>1547.6773264639687</c:v>
                </c:pt>
                <c:pt idx="88">
                  <c:v>1547.703262505185</c:v>
                </c:pt>
                <c:pt idx="89">
                  <c:v>1544.7650429301539</c:v>
                </c:pt>
                <c:pt idx="90">
                  <c:v>1549.7224526725729</c:v>
                </c:pt>
                <c:pt idx="91">
                  <c:v>1543.6701179565375</c:v>
                </c:pt>
                <c:pt idx="92">
                  <c:v>1548.1000972487982</c:v>
                </c:pt>
                <c:pt idx="93">
                  <c:v>1545.6754966653054</c:v>
                </c:pt>
                <c:pt idx="94">
                  <c:v>1542.6474436853136</c:v>
                </c:pt>
                <c:pt idx="95">
                  <c:v>1538.1075590232017</c:v>
                </c:pt>
                <c:pt idx="96">
                  <c:v>1540.3509136690625</c:v>
                </c:pt>
                <c:pt idx="97">
                  <c:v>1543.4268081870482</c:v>
                </c:pt>
                <c:pt idx="98">
                  <c:v>1537.880247337926</c:v>
                </c:pt>
                <c:pt idx="99">
                  <c:v>1542.2429658538983</c:v>
                </c:pt>
                <c:pt idx="100">
                  <c:v>1543.1595080587749</c:v>
                </c:pt>
                <c:pt idx="101">
                  <c:v>1545.9245510104222</c:v>
                </c:pt>
                <c:pt idx="102">
                  <c:v>1542.1450037043596</c:v>
                </c:pt>
                <c:pt idx="103">
                  <c:v>1542.6901336821334</c:v>
                </c:pt>
                <c:pt idx="104">
                  <c:v>1543.2859928800406</c:v>
                </c:pt>
                <c:pt idx="105">
                  <c:v>1534.0502769227603</c:v>
                </c:pt>
                <c:pt idx="106">
                  <c:v>1531.3679752612238</c:v>
                </c:pt>
                <c:pt idx="107">
                  <c:v>1539.1237674096565</c:v>
                </c:pt>
                <c:pt idx="108">
                  <c:v>1540.8270248051986</c:v>
                </c:pt>
                <c:pt idx="109">
                  <c:v>1530.3100626563673</c:v>
                </c:pt>
                <c:pt idx="110">
                  <c:v>1537.7782022804292</c:v>
                </c:pt>
                <c:pt idx="111">
                  <c:v>1536.3455330667466</c:v>
                </c:pt>
                <c:pt idx="112">
                  <c:v>1538.011459868346</c:v>
                </c:pt>
                <c:pt idx="113">
                  <c:v>1542.385391109136</c:v>
                </c:pt>
                <c:pt idx="114">
                  <c:v>1546.5170787624811</c:v>
                </c:pt>
                <c:pt idx="115">
                  <c:v>1544.4019762899063</c:v>
                </c:pt>
                <c:pt idx="116">
                  <c:v>1541.417564432167</c:v>
                </c:pt>
                <c:pt idx="117">
                  <c:v>1545.417059045574</c:v>
                </c:pt>
                <c:pt idx="118">
                  <c:v>1537.3085566913005</c:v>
                </c:pt>
                <c:pt idx="119">
                  <c:v>1536.4427053511527</c:v>
                </c:pt>
                <c:pt idx="120">
                  <c:v>1532.3480491190458</c:v>
                </c:pt>
                <c:pt idx="121">
                  <c:v>1527.8399608243315</c:v>
                </c:pt>
                <c:pt idx="122">
                  <c:v>1526.6529210593856</c:v>
                </c:pt>
                <c:pt idx="123">
                  <c:v>1534.2150035330292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44-4B48-B160-85540AAB2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やがさき!$L$2:$L$35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97-40F2-AA7F-C0E4EB701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やがさき!$P$2:$P$7</c:f>
              <c:numCache>
                <c:formatCode>\+0;\-0;\±0</c:formatCode>
                <c:ptCount val="6"/>
                <c:pt idx="0">
                  <c:v>327.27272727272725</c:v>
                </c:pt>
                <c:pt idx="1">
                  <c:v>2145.1612903225805</c:v>
                </c:pt>
                <c:pt idx="2">
                  <c:v>-867.85714285714289</c:v>
                </c:pt>
                <c:pt idx="3">
                  <c:v>469.23076923076923</c:v>
                </c:pt>
                <c:pt idx="4">
                  <c:v>-1950</c:v>
                </c:pt>
                <c:pt idx="5">
                  <c:v>-1668.421052631579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E9-4E4A-8CF1-120A7D538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やがさき!$B$37:$B$49</c:f>
              <c:numCache>
                <c:formatCode>0\ "回"</c:formatCode>
                <c:ptCount val="13"/>
                <c:pt idx="0">
                  <c:v>2</c:v>
                </c:pt>
                <c:pt idx="1">
                  <c:v>6</c:v>
                </c:pt>
                <c:pt idx="2">
                  <c:v>6</c:v>
                </c:pt>
                <c:pt idx="3">
                  <c:v>8</c:v>
                </c:pt>
                <c:pt idx="4">
                  <c:v>5</c:v>
                </c:pt>
                <c:pt idx="5">
                  <c:v>6</c:v>
                </c:pt>
                <c:pt idx="6">
                  <c:v>5</c:v>
                </c:pt>
                <c:pt idx="7">
                  <c:v>3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77-4A42-B1ED-9AD752E4F3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やがさき!$M$2:$M$35</c:f>
              <c:numCache>
                <c:formatCode>0</c:formatCode>
                <c:ptCount val="34"/>
                <c:pt idx="0">
                  <c:v>1500</c:v>
                </c:pt>
                <c:pt idx="1">
                  <c:v>1497.4860000000001</c:v>
                </c:pt>
                <c:pt idx="2">
                  <c:v>1506.9390840000001</c:v>
                </c:pt>
                <c:pt idx="3">
                  <c:v>1499.7034494960001</c:v>
                </c:pt>
                <c:pt idx="4">
                  <c:v>1492.313228799024</c:v>
                </c:pt>
                <c:pt idx="5">
                  <c:v>1501.88734942623</c:v>
                </c:pt>
                <c:pt idx="6">
                  <c:v>1504.6540253296725</c:v>
                </c:pt>
                <c:pt idx="7">
                  <c:v>1507.7281011776945</c:v>
                </c:pt>
                <c:pt idx="8">
                  <c:v>1501.3157325706284</c:v>
                </c:pt>
                <c:pt idx="9">
                  <c:v>1501.8538381752046</c:v>
                </c:pt>
                <c:pt idx="10">
                  <c:v>1510.9207151461533</c:v>
                </c:pt>
                <c:pt idx="11">
                  <c:v>1513.1831908552763</c:v>
                </c:pt>
                <c:pt idx="12">
                  <c:v>1515.2520917101447</c:v>
                </c:pt>
                <c:pt idx="13">
                  <c:v>1528.6845791598837</c:v>
                </c:pt>
                <c:pt idx="14">
                  <c:v>1527.4324716849244</c:v>
                </c:pt>
                <c:pt idx="15">
                  <c:v>1527.7538768548147</c:v>
                </c:pt>
                <c:pt idx="16">
                  <c:v>1528.0253535936858</c:v>
                </c:pt>
                <c:pt idx="17">
                  <c:v>1532.6632014721238</c:v>
                </c:pt>
                <c:pt idx="18">
                  <c:v>1528.513222263291</c:v>
                </c:pt>
                <c:pt idx="19">
                  <c:v>1526.4941429297112</c:v>
                </c:pt>
                <c:pt idx="20">
                  <c:v>1527.7691780721329</c:v>
                </c:pt>
                <c:pt idx="21">
                  <c:v>1525.1665630037</c:v>
                </c:pt>
                <c:pt idx="22">
                  <c:v>1518.5835636256779</c:v>
                </c:pt>
                <c:pt idx="23">
                  <c:v>1510.3060622439239</c:v>
                </c:pt>
                <c:pt idx="24">
                  <c:v>1515.6862258704602</c:v>
                </c:pt>
                <c:pt idx="25">
                  <c:v>1515.5141085152375</c:v>
                </c:pt>
                <c:pt idx="26">
                  <c:v>1510.2850238641461</c:v>
                </c:pt>
                <c:pt idx="27">
                  <c:v>1513.0913137209611</c:v>
                </c:pt>
                <c:pt idx="28">
                  <c:v>1510.7147658386355</c:v>
                </c:pt>
                <c:pt idx="29">
                  <c:v>1504.8364772436037</c:v>
                </c:pt>
                <c:pt idx="30">
                  <c:v>1496.8274583801419</c:v>
                </c:pt>
                <c:pt idx="31">
                  <c:v>1497.482493629861</c:v>
                </c:pt>
                <c:pt idx="32">
                  <c:v>1503.7075986680818</c:v>
                </c:pt>
                <c:pt idx="33">
                  <c:v>1500.5113530760734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6A-41DC-8FA4-4C5E6585B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れんたろう!$K$2:$K$133</c:f>
              <c:numCache>
                <c:formatCode>General</c:formatCode>
                <c:ptCount val="1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</c:numCache>
            </c:numRef>
          </c:xVal>
          <c:yVal>
            <c:numRef>
              <c:f>れんたろう!$L$2:$L$133</c:f>
              <c:numCache>
                <c:formatCode>\+0.0;\-0.0;\±0</c:formatCode>
                <c:ptCount val="13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9-463B-BCA4-D95433C13C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-1304.724409448819</c:v>
                </c:pt>
                <c:pt idx="1">
                  <c:v>444</c:v>
                </c:pt>
                <c:pt idx="2">
                  <c:v>-257.14285714285717</c:v>
                </c:pt>
                <c:pt idx="3">
                  <c:v>57.943925233644862</c:v>
                </c:pt>
                <c:pt idx="4">
                  <c:v>-2685.8585858585857</c:v>
                </c:pt>
                <c:pt idx="5">
                  <c:v>635.80246913580243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F2-4689-BC54-E1D6CC563A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11</c:v>
                </c:pt>
                <c:pt idx="1">
                  <c:v>28</c:v>
                </c:pt>
                <c:pt idx="2">
                  <c:v>39</c:v>
                </c:pt>
                <c:pt idx="3">
                  <c:v>54</c:v>
                </c:pt>
                <c:pt idx="4">
                  <c:v>53</c:v>
                </c:pt>
                <c:pt idx="5">
                  <c:v>33</c:v>
                </c:pt>
                <c:pt idx="6">
                  <c:v>21</c:v>
                </c:pt>
                <c:pt idx="7">
                  <c:v>12</c:v>
                </c:pt>
                <c:pt idx="8">
                  <c:v>12</c:v>
                </c:pt>
                <c:pt idx="9">
                  <c:v>6</c:v>
                </c:pt>
                <c:pt idx="10">
                  <c:v>2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40-4EA8-8FDF-98BC0EAB0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れんたろう!$K$2:$K$133</c:f>
              <c:numCache>
                <c:formatCode>General</c:formatCode>
                <c:ptCount val="1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</c:numCache>
            </c:numRef>
          </c:xVal>
          <c:yVal>
            <c:numRef>
              <c:f>れんたろう!$M$2:$M$133</c:f>
              <c:numCache>
                <c:formatCode>0</c:formatCode>
                <c:ptCount val="132"/>
                <c:pt idx="0">
                  <c:v>1500</c:v>
                </c:pt>
                <c:pt idx="1">
                  <c:v>1500.7080000000001</c:v>
                </c:pt>
                <c:pt idx="2">
                  <c:v>1493.881752</c:v>
                </c:pt>
                <c:pt idx="3">
                  <c:v>1487.372461488</c:v>
                </c:pt>
                <c:pt idx="4">
                  <c:v>1493.736226719072</c:v>
                </c:pt>
                <c:pt idx="5">
                  <c:v>1485.6138093587576</c:v>
                </c:pt>
                <c:pt idx="6">
                  <c:v>1479.244126502605</c:v>
                </c:pt>
                <c:pt idx="7">
                  <c:v>1473.7526617435894</c:v>
                </c:pt>
                <c:pt idx="8">
                  <c:v>1474.240145773128</c:v>
                </c:pt>
                <c:pt idx="9">
                  <c:v>1469.5947048984892</c:v>
                </c:pt>
                <c:pt idx="10">
                  <c:v>1463.9031366690983</c:v>
                </c:pt>
                <c:pt idx="11">
                  <c:v>1469.9817178490837</c:v>
                </c:pt>
                <c:pt idx="12">
                  <c:v>1465.8538275419892</c:v>
                </c:pt>
                <c:pt idx="13">
                  <c:v>1459.2007045767373</c:v>
                </c:pt>
                <c:pt idx="14">
                  <c:v>1460.213500349277</c:v>
                </c:pt>
                <c:pt idx="15">
                  <c:v>1463.8302193471814</c:v>
                </c:pt>
                <c:pt idx="16">
                  <c:v>1460.3692380310983</c:v>
                </c:pt>
                <c:pt idx="17">
                  <c:v>1454.1690226029118</c:v>
                </c:pt>
                <c:pt idx="18">
                  <c:v>1449.5180084672943</c:v>
                </c:pt>
                <c:pt idx="19">
                  <c:v>1453.8409004164905</c:v>
                </c:pt>
                <c:pt idx="20">
                  <c:v>1454.6038550139915</c:v>
                </c:pt>
                <c:pt idx="21">
                  <c:v>1459.8682318839076</c:v>
                </c:pt>
                <c:pt idx="22">
                  <c:v>1467.099022492604</c:v>
                </c:pt>
                <c:pt idx="23">
                  <c:v>1467.6024283576485</c:v>
                </c:pt>
                <c:pt idx="24">
                  <c:v>1473.6348137875025</c:v>
                </c:pt>
                <c:pt idx="25">
                  <c:v>1464.8650049047774</c:v>
                </c:pt>
                <c:pt idx="26">
                  <c:v>1457.9058148753488</c:v>
                </c:pt>
                <c:pt idx="27">
                  <c:v>1450.8743799860968</c:v>
                </c:pt>
                <c:pt idx="28">
                  <c:v>1452.1831337061801</c:v>
                </c:pt>
                <c:pt idx="29">
                  <c:v>1461.5660349039431</c:v>
                </c:pt>
                <c:pt idx="30">
                  <c:v>1458.4546386945194</c:v>
                </c:pt>
                <c:pt idx="31">
                  <c:v>1457.0479108623524</c:v>
                </c:pt>
                <c:pt idx="32">
                  <c:v>1453.7656233971784</c:v>
                </c:pt>
                <c:pt idx="33">
                  <c:v>1452.6270296567952</c:v>
                </c:pt>
                <c:pt idx="34">
                  <c:v>1450.9612674788546</c:v>
                </c:pt>
                <c:pt idx="35">
                  <c:v>1444.3374998739814</c:v>
                </c:pt>
                <c:pt idx="36">
                  <c:v>1446.6094748747375</c:v>
                </c:pt>
                <c:pt idx="37">
                  <c:v>1438.9498180254891</c:v>
                </c:pt>
                <c:pt idx="38">
                  <c:v>1437.6901191173361</c:v>
                </c:pt>
                <c:pt idx="39">
                  <c:v>1441.7059784026321</c:v>
                </c:pt>
                <c:pt idx="40">
                  <c:v>1438.7137425322164</c:v>
                </c:pt>
                <c:pt idx="41">
                  <c:v>1441.1574600770232</c:v>
                </c:pt>
                <c:pt idx="42">
                  <c:v>1441.336515316561</c:v>
                </c:pt>
                <c:pt idx="43">
                  <c:v>1449.2784962246617</c:v>
                </c:pt>
                <c:pt idx="44">
                  <c:v>1448.5688252473137</c:v>
                </c:pt>
                <c:pt idx="45">
                  <c:v>1449.2854122958299</c:v>
                </c:pt>
                <c:pt idx="46">
                  <c:v>1443.373699822055</c:v>
                </c:pt>
                <c:pt idx="47">
                  <c:v>1445.5974576231226</c:v>
                </c:pt>
                <c:pt idx="48">
                  <c:v>1444.651872877384</c:v>
                </c:pt>
                <c:pt idx="49">
                  <c:v>1444.1559616401196</c:v>
                </c:pt>
                <c:pt idx="50">
                  <c:v>1437.8790258702788</c:v>
                </c:pt>
                <c:pt idx="51">
                  <c:v>1436.4157517150572</c:v>
                </c:pt>
                <c:pt idx="52">
                  <c:v>1433.5992572047669</c:v>
                </c:pt>
                <c:pt idx="53">
                  <c:v>1438.8696616615382</c:v>
                </c:pt>
                <c:pt idx="54">
                  <c:v>1437.298443691569</c:v>
                </c:pt>
                <c:pt idx="55">
                  <c:v>1436.0966530294195</c:v>
                </c:pt>
                <c:pt idx="56">
                  <c:v>1441.094073111243</c:v>
                </c:pt>
                <c:pt idx="57">
                  <c:v>1435.5135086725757</c:v>
                </c:pt>
                <c:pt idx="58">
                  <c:v>1429.2464276205401</c:v>
                </c:pt>
                <c:pt idx="59">
                  <c:v>1428.0749490548169</c:v>
                </c:pt>
                <c:pt idx="60">
                  <c:v>1428.758499360488</c:v>
                </c:pt>
                <c:pt idx="61">
                  <c:v>1427.1699483643251</c:v>
                </c:pt>
                <c:pt idx="62">
                  <c:v>1426.8329286741391</c:v>
                </c:pt>
                <c:pt idx="63">
                  <c:v>1441.0479311020943</c:v>
                </c:pt>
                <c:pt idx="64">
                  <c:v>1435.1496435154818</c:v>
                </c:pt>
                <c:pt idx="65">
                  <c:v>1435.3347456543888</c:v>
                </c:pt>
                <c:pt idx="66">
                  <c:v>1432.8727371804625</c:v>
                </c:pt>
                <c:pt idx="67">
                  <c:v>1426.7355007573797</c:v>
                </c:pt>
                <c:pt idx="68">
                  <c:v>1443.5130877528354</c:v>
                </c:pt>
                <c:pt idx="69">
                  <c:v>1449.5760092263183</c:v>
                </c:pt>
                <c:pt idx="70">
                  <c:v>1457.2225531709605</c:v>
                </c:pt>
                <c:pt idx="71">
                  <c:v>1453.9152178519348</c:v>
                </c:pt>
                <c:pt idx="72">
                  <c:v>1447.9277265448231</c:v>
                </c:pt>
                <c:pt idx="73">
                  <c:v>1446.7641601855541</c:v>
                </c:pt>
                <c:pt idx="74">
                  <c:v>1449.5255752244409</c:v>
                </c:pt>
                <c:pt idx="75">
                  <c:v>1442.8024217730942</c:v>
                </c:pt>
                <c:pt idx="76">
                  <c:v>1443.4636072424557</c:v>
                </c:pt>
                <c:pt idx="77">
                  <c:v>1443.472825599001</c:v>
                </c:pt>
                <c:pt idx="78">
                  <c:v>1446.0559886454071</c:v>
                </c:pt>
                <c:pt idx="79">
                  <c:v>1443.7816527135346</c:v>
                </c:pt>
                <c:pt idx="80">
                  <c:v>1442.1329627972534</c:v>
                </c:pt>
                <c:pt idx="81">
                  <c:v>1452.7521650204699</c:v>
                </c:pt>
                <c:pt idx="82">
                  <c:v>1461.1596520303472</c:v>
                </c:pt>
                <c:pt idx="83">
                  <c:v>1461.3446941181651</c:v>
                </c:pt>
                <c:pt idx="84">
                  <c:v>1463.700625953456</c:v>
                </c:pt>
                <c:pt idx="85">
                  <c:v>1457.7864221977352</c:v>
                </c:pt>
                <c:pt idx="86">
                  <c:v>1457.6677036645488</c:v>
                </c:pt>
                <c:pt idx="87">
                  <c:v>1455.7676974425615</c:v>
                </c:pt>
                <c:pt idx="88">
                  <c:v>1448.9650912579061</c:v>
                </c:pt>
                <c:pt idx="89">
                  <c:v>1441.8253007103588</c:v>
                </c:pt>
                <c:pt idx="90">
                  <c:v>1442.4863489060965</c:v>
                </c:pt>
                <c:pt idx="91">
                  <c:v>1442.2614308126599</c:v>
                </c:pt>
                <c:pt idx="92">
                  <c:v>1435.9058622277839</c:v>
                </c:pt>
                <c:pt idx="93">
                  <c:v>1429.1324270544171</c:v>
                </c:pt>
                <c:pt idx="94">
                  <c:v>1429.9296324920906</c:v>
                </c:pt>
                <c:pt idx="95">
                  <c:v>1433.626054697138</c:v>
                </c:pt>
                <c:pt idx="96">
                  <c:v>1439.8562983689551</c:v>
                </c:pt>
                <c:pt idx="97">
                  <c:v>1451.8151605787414</c:v>
                </c:pt>
                <c:pt idx="98">
                  <c:v>1447.2262696152688</c:v>
                </c:pt>
                <c:pt idx="99">
                  <c:v>1451.8149119975772</c:v>
                </c:pt>
                <c:pt idx="100">
                  <c:v>1442.8340225255918</c:v>
                </c:pt>
                <c:pt idx="101">
                  <c:v>1443.3210183904382</c:v>
                </c:pt>
                <c:pt idx="102">
                  <c:v>1452.5350922800956</c:v>
                </c:pt>
                <c:pt idx="103">
                  <c:v>1447.941881726415</c:v>
                </c:pt>
                <c:pt idx="104">
                  <c:v>1448.1462304360564</c:v>
                </c:pt>
                <c:pt idx="105">
                  <c:v>1448.3433530534401</c:v>
                </c:pt>
                <c:pt idx="106">
                  <c:v>1459.2612929351194</c:v>
                </c:pt>
                <c:pt idx="107">
                  <c:v>1456.6137251775087</c:v>
                </c:pt>
                <c:pt idx="108">
                  <c:v>1454.0180428264437</c:v>
                </c:pt>
                <c:pt idx="109">
                  <c:v>1455.433934569485</c:v>
                </c:pt>
                <c:pt idx="110">
                  <c:v>1456.1753309620681</c:v>
                </c:pt>
                <c:pt idx="111">
                  <c:v>1452.7242789762956</c:v>
                </c:pt>
                <c:pt idx="112">
                  <c:v>1453.0139333024379</c:v>
                </c:pt>
                <c:pt idx="113">
                  <c:v>1453.8658497026233</c:v>
                </c:pt>
                <c:pt idx="114">
                  <c:v>1453.3626546044077</c:v>
                </c:pt>
                <c:pt idx="115">
                  <c:v>1459.5944786767811</c:v>
                </c:pt>
                <c:pt idx="116">
                  <c:v>1460.6289118047205</c:v>
                </c:pt>
                <c:pt idx="117">
                  <c:v>1458.7711383338922</c:v>
                </c:pt>
                <c:pt idx="118">
                  <c:v>1456.1265115038889</c:v>
                </c:pt>
                <c:pt idx="119">
                  <c:v>1456.7377524348656</c:v>
                </c:pt>
                <c:pt idx="120">
                  <c:v>1451.2073259202564</c:v>
                </c:pt>
                <c:pt idx="121">
                  <c:v>1450.3000819647348</c:v>
                </c:pt>
                <c:pt idx="122">
                  <c:v>1453.9162814729464</c:v>
                </c:pt>
                <c:pt idx="123">
                  <c:v>1452.7467837841086</c:v>
                </c:pt>
                <c:pt idx="124">
                  <c:v>1454.3683030814041</c:v>
                </c:pt>
                <c:pt idx="125">
                  <c:v>1453.5080932629157</c:v>
                </c:pt>
                <c:pt idx="126">
                  <c:v>1462.0490447033383</c:v>
                </c:pt>
                <c:pt idx="127">
                  <c:v>1470.4547504351183</c:v>
                </c:pt>
                <c:pt idx="128">
                  <c:v>1468.6940219325077</c:v>
                </c:pt>
                <c:pt idx="129">
                  <c:v>1464.7178578009127</c:v>
                </c:pt>
                <c:pt idx="130">
                  <c:v>1461.5935506541073</c:v>
                </c:pt>
                <c:pt idx="131">
                  <c:v>1463.4199893501827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17-4833-BA20-A75273A3CD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E2-4A81-8708-3646E33B7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あさひ!$P$2:$P$7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26-4CB4-B2F7-0FB3412A49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97-4799-81C3-1B428DB7F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あさひ!$M$2:$M$8</c:f>
              <c:numCache>
                <c:formatCode>0</c:formatCode>
                <c:ptCount val="7"/>
                <c:pt idx="0">
                  <c:v>1500</c:v>
                </c:pt>
                <c:pt idx="1">
                  <c:v>1504.896</c:v>
                </c:pt>
                <c:pt idx="2">
                  <c:v>1512.684624</c:v>
                </c:pt>
                <c:pt idx="3">
                  <c:v>1510.166516256</c:v>
                </c:pt>
                <c:pt idx="4">
                  <c:v>1511.5695171584641</c:v>
                </c:pt>
                <c:pt idx="5">
                  <c:v>1515.8981000555134</c:v>
                </c:pt>
                <c:pt idx="6">
                  <c:v>1508.2667114551803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E-4BE4-B1BE-A15E56CCB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FD-445D-8C36-5433DE515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-2341.6666666666665</c:v>
                </c:pt>
                <c:pt idx="1">
                  <c:v>644.44444444444446</c:v>
                </c:pt>
                <c:pt idx="2">
                  <c:v>-5609.375</c:v>
                </c:pt>
                <c:pt idx="3">
                  <c:v>-3203.4482758620688</c:v>
                </c:pt>
                <c:pt idx="4">
                  <c:v>-2922.2222222222222</c:v>
                </c:pt>
                <c:pt idx="5">
                  <c:v>-2023.8095238095239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7C-4842-869D-60E4E62C7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8</c:v>
                </c:pt>
                <c:pt idx="4">
                  <c:v>17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D0-437F-A14F-926E030070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まっつん!$M$2:$M$38</c:f>
              <c:numCache>
                <c:formatCode>0</c:formatCode>
                <c:ptCount val="37"/>
                <c:pt idx="0">
                  <c:v>1500</c:v>
                </c:pt>
                <c:pt idx="1">
                  <c:v>1502.73</c:v>
                </c:pt>
                <c:pt idx="2">
                  <c:v>1495.6696200000001</c:v>
                </c:pt>
                <c:pt idx="3">
                  <c:v>1497.1116022800002</c:v>
                </c:pt>
                <c:pt idx="4">
                  <c:v>1500.7049326663202</c:v>
                </c:pt>
                <c:pt idx="5">
                  <c:v>1501.5407030703223</c:v>
                </c:pt>
                <c:pt idx="6">
                  <c:v>1500.2294588519003</c:v>
                </c:pt>
                <c:pt idx="7">
                  <c:v>1504.506082098789</c:v>
                </c:pt>
                <c:pt idx="8">
                  <c:v>1498.8750456061962</c:v>
                </c:pt>
                <c:pt idx="9">
                  <c:v>1498.095795332559</c:v>
                </c:pt>
                <c:pt idx="10">
                  <c:v>1495.5212205605635</c:v>
                </c:pt>
                <c:pt idx="11">
                  <c:v>1487.4180932372001</c:v>
                </c:pt>
                <c:pt idx="12">
                  <c:v>1492.3055846777768</c:v>
                </c:pt>
                <c:pt idx="13">
                  <c:v>1498.33375116971</c:v>
                </c:pt>
                <c:pt idx="14">
                  <c:v>1499.3937486626917</c:v>
                </c:pt>
                <c:pt idx="15">
                  <c:v>1492.7913861707154</c:v>
                </c:pt>
                <c:pt idx="16">
                  <c:v>1496.3026378536911</c:v>
                </c:pt>
                <c:pt idx="17">
                  <c:v>1493.7388220265689</c:v>
                </c:pt>
                <c:pt idx="18">
                  <c:v>1490.3683890944094</c:v>
                </c:pt>
                <c:pt idx="19">
                  <c:v>1490.798178759843</c:v>
                </c:pt>
                <c:pt idx="20">
                  <c:v>1485.885389687284</c:v>
                </c:pt>
                <c:pt idx="21">
                  <c:v>1479.3100773491603</c:v>
                </c:pt>
                <c:pt idx="22">
                  <c:v>1475.3242168850654</c:v>
                </c:pt>
                <c:pt idx="23">
                  <c:v>1475.412271583755</c:v>
                </c:pt>
                <c:pt idx="24">
                  <c:v>1467.4357979542524</c:v>
                </c:pt>
                <c:pt idx="25">
                  <c:v>1459.8491831665269</c:v>
                </c:pt>
                <c:pt idx="26">
                  <c:v>1453.4360880675279</c:v>
                </c:pt>
                <c:pt idx="27">
                  <c:v>1455.5754715391226</c:v>
                </c:pt>
                <c:pt idx="28">
                  <c:v>1452.6260187098878</c:v>
                </c:pt>
                <c:pt idx="29">
                  <c:v>1458.6042625976286</c:v>
                </c:pt>
                <c:pt idx="30">
                  <c:v>1452.5406370220428</c:v>
                </c:pt>
                <c:pt idx="31">
                  <c:v>1444.6593931999105</c:v>
                </c:pt>
                <c:pt idx="32">
                  <c:v>1440.473436840711</c:v>
                </c:pt>
                <c:pt idx="33">
                  <c:v>1436.5345962196668</c:v>
                </c:pt>
                <c:pt idx="34">
                  <c:v>1431.9953886423489</c:v>
                </c:pt>
                <c:pt idx="35">
                  <c:v>1426.2534163104947</c:v>
                </c:pt>
                <c:pt idx="36">
                  <c:v>1425.7478958126317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07-412D-A15D-2DD238BB9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ED-4D0F-BD31-05C71F5E6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-350</c:v>
                </c:pt>
                <c:pt idx="1">
                  <c:v>-3308.3333333333335</c:v>
                </c:pt>
                <c:pt idx="2">
                  <c:v>-7000</c:v>
                </c:pt>
                <c:pt idx="3">
                  <c:v>-244.44444444444446</c:v>
                </c:pt>
                <c:pt idx="4">
                  <c:v>-2737.5</c:v>
                </c:pt>
                <c:pt idx="5">
                  <c:v>-516.66666666666663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1E-4504-B597-2D2F8D81E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5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24-4E7D-AECA-08037609A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ぱぱ!$M$2:$M$14</c:f>
              <c:numCache>
                <c:formatCode>0</c:formatCode>
                <c:ptCount val="13"/>
                <c:pt idx="0">
                  <c:v>1500</c:v>
                </c:pt>
                <c:pt idx="1">
                  <c:v>1500.7260000000001</c:v>
                </c:pt>
                <c:pt idx="2">
                  <c:v>1500.6736440000002</c:v>
                </c:pt>
                <c:pt idx="3">
                  <c:v>1505.3496021360002</c:v>
                </c:pt>
                <c:pt idx="4">
                  <c:v>1510.0635045231841</c:v>
                </c:pt>
                <c:pt idx="5">
                  <c:v>1503.205123496045</c:v>
                </c:pt>
                <c:pt idx="6">
                  <c:v>1496.7058927550686</c:v>
                </c:pt>
                <c:pt idx="7">
                  <c:v>1494.9376573985382</c:v>
                </c:pt>
                <c:pt idx="8">
                  <c:v>1495.340031454147</c:v>
                </c:pt>
                <c:pt idx="9">
                  <c:v>1488.5039912654222</c:v>
                </c:pt>
                <c:pt idx="10">
                  <c:v>1480.6709673178298</c:v>
                </c:pt>
                <c:pt idx="11">
                  <c:v>1476.0469415139228</c:v>
                </c:pt>
                <c:pt idx="12">
                  <c:v>1474.5646598648393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95-4D2F-B67C-D80981373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ぱぱ2!$B$3:$B$15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5.8619775700208265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ぱぱ2!$C$3:$C$15</c:f>
              <c:numCache>
                <c:formatCode>\+0.0;\-0.0;\±0</c:formatCode>
                <c:ptCount val="13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  <c:pt idx="5">
                  <c:v>3</c:v>
                </c:pt>
                <c:pt idx="6">
                  <c:v>-3.4166666666666665</c:v>
                </c:pt>
                <c:pt idx="7">
                  <c:v>-4.5428571428571427</c:v>
                </c:pt>
                <c:pt idx="8">
                  <c:v>-3.8875000000000002</c:v>
                </c:pt>
                <c:pt idx="9">
                  <c:v>-7.8444444444444441</c:v>
                </c:pt>
                <c:pt idx="10">
                  <c:v>-11.59</c:v>
                </c:pt>
                <c:pt idx="11">
                  <c:v>-13.054545454545455</c:v>
                </c:pt>
                <c:pt idx="12">
                  <c:v>-12.924999999999999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6.491669512758391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ぱぱ2!$D$3:$D$15</c:f>
              <c:numCache>
                <c:formatCode>0.00\ "位"</c:formatCode>
                <c:ptCount val="13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2.4166666666666665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ぱぱ2!$E$3:$E$15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ぱぱ2!$F$3:$F$15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0.58333333333333337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ぱぱ2!$G$3:$G$15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  <c:pt idx="5">
                  <c:v>0.27906976744186046</c:v>
                </c:pt>
                <c:pt idx="6">
                  <c:v>0.25531914893617019</c:v>
                </c:pt>
                <c:pt idx="7">
                  <c:v>0.24561403508771928</c:v>
                </c:pt>
                <c:pt idx="8">
                  <c:v>0.23076923076923078</c:v>
                </c:pt>
                <c:pt idx="9">
                  <c:v>0.21739130434782608</c:v>
                </c:pt>
                <c:pt idx="10">
                  <c:v>0.20547945205479451</c:v>
                </c:pt>
                <c:pt idx="11">
                  <c:v>0.1951219512195122</c:v>
                </c:pt>
                <c:pt idx="12">
                  <c:v>0.19318181818181818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1042571676802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ぱぱ2!$H$3:$H$15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9.3023255813953487E-2</c:v>
                </c:pt>
                <c:pt idx="6">
                  <c:v>0.1276595744680851</c:v>
                </c:pt>
                <c:pt idx="7">
                  <c:v>0.17543859649122806</c:v>
                </c:pt>
                <c:pt idx="8">
                  <c:v>0.18461538461538463</c:v>
                </c:pt>
                <c:pt idx="9">
                  <c:v>0.21739130434782608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431508832898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ぱぱ2!$I$3:$I$15</c:f>
              <c:numCache>
                <c:formatCode>0</c:formatCode>
                <c:ptCount val="13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  <c:pt idx="5">
                  <c:v>8800</c:v>
                </c:pt>
                <c:pt idx="6">
                  <c:v>8800</c:v>
                </c:pt>
                <c:pt idx="7">
                  <c:v>8400</c:v>
                </c:pt>
                <c:pt idx="8">
                  <c:v>8906.6666666666661</c:v>
                </c:pt>
                <c:pt idx="9">
                  <c:v>8906.6666666666661</c:v>
                </c:pt>
                <c:pt idx="10">
                  <c:v>8906.6666666666661</c:v>
                </c:pt>
                <c:pt idx="11">
                  <c:v>8712.5</c:v>
                </c:pt>
                <c:pt idx="12">
                  <c:v>8670.5882352941171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0092.5444925444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ぱぱ2!$J$3:$J$15</c:f>
              <c:numCache>
                <c:formatCode>0</c:formatCode>
                <c:ptCount val="13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  <c:pt idx="5">
                  <c:v>-10700</c:v>
                </c:pt>
                <c:pt idx="6">
                  <c:v>-10466.666666666666</c:v>
                </c:pt>
                <c:pt idx="7">
                  <c:v>-8360</c:v>
                </c:pt>
                <c:pt idx="8">
                  <c:v>-7883.333333333333</c:v>
                </c:pt>
                <c:pt idx="9">
                  <c:v>-8613.3333333333339</c:v>
                </c:pt>
                <c:pt idx="10">
                  <c:v>-9500</c:v>
                </c:pt>
                <c:pt idx="11">
                  <c:v>-9550</c:v>
                </c:pt>
                <c:pt idx="12">
                  <c:v>-9190.9090909090901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359.04842820730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ぱぱ2!$K$3:$K$15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71650055370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ぱぱ2!$L$3:$L$15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  <c:pt idx="5">
                  <c:v>0.18604651162790697</c:v>
                </c:pt>
                <c:pt idx="6">
                  <c:v>0.19148936170212766</c:v>
                </c:pt>
                <c:pt idx="7">
                  <c:v>0.17543859649122806</c:v>
                </c:pt>
                <c:pt idx="8">
                  <c:v>0.15384615384615385</c:v>
                </c:pt>
                <c:pt idx="9">
                  <c:v>0.14492753623188406</c:v>
                </c:pt>
                <c:pt idx="10">
                  <c:v>0.13698630136986301</c:v>
                </c:pt>
                <c:pt idx="11">
                  <c:v>0.14634146341463414</c:v>
                </c:pt>
                <c:pt idx="12">
                  <c:v>0.13636363636363635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4699453551912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ぱぱ2!$M$3:$M$15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  <c:pt idx="5">
                  <c:v>0.2558139534883721</c:v>
                </c:pt>
                <c:pt idx="6">
                  <c:v>0.23404255319148937</c:v>
                </c:pt>
                <c:pt idx="7">
                  <c:v>0.22807017543859648</c:v>
                </c:pt>
                <c:pt idx="8">
                  <c:v>0.24615384615384617</c:v>
                </c:pt>
                <c:pt idx="9">
                  <c:v>0.2608695652173913</c:v>
                </c:pt>
                <c:pt idx="10">
                  <c:v>0.26027397260273971</c:v>
                </c:pt>
                <c:pt idx="11">
                  <c:v>0.28048780487804881</c:v>
                </c:pt>
                <c:pt idx="12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7850637522768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ぱぱ2!$N$3:$N$15</c:f>
              <c:numCache>
                <c:formatCode>0.0%</c:formatCode>
                <c:ptCount val="1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0.41666666666666669</c:v>
                </c:pt>
                <c:pt idx="12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4133077415227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ぱぱ2!$O$3:$O$15</c:f>
              <c:numCache>
                <c:formatCode>0.0%</c:formatCode>
                <c:ptCount val="13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0.31578947368421051</c:v>
                </c:pt>
                <c:pt idx="11">
                  <c:v>0.30434782608695654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0501672240802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ぱぱ2!$P$3:$P$15</c:f>
              <c:numCache>
                <c:formatCode>0.0%</c:formatCode>
                <c:ptCount val="13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0.46666666666666667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0.4375</c:v>
                </c:pt>
                <c:pt idx="12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2799422799422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9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14" x14ac:dyDescent="0.4">
      <c r="A1" s="1">
        <v>32874</v>
      </c>
      <c r="B1" s="1">
        <v>2958465</v>
      </c>
    </row>
    <row r="2" spans="1:14" x14ac:dyDescent="0.4">
      <c r="A2" s="2" t="s">
        <v>208</v>
      </c>
      <c r="B2" s="3">
        <v>43560.923958333333</v>
      </c>
      <c r="C2" s="2" t="s">
        <v>127</v>
      </c>
    </row>
    <row r="3" spans="1:14" x14ac:dyDescent="0.4">
      <c r="A3" s="2" t="s">
        <v>210</v>
      </c>
      <c r="B3" s="3">
        <v>43560.923958333333</v>
      </c>
      <c r="C3" s="2" t="s">
        <v>127</v>
      </c>
    </row>
    <row r="4" spans="1:14" x14ac:dyDescent="0.4">
      <c r="A4" s="2" t="s">
        <v>212</v>
      </c>
      <c r="B4" s="3">
        <v>43560.923958333333</v>
      </c>
      <c r="C4" s="2" t="s">
        <v>127</v>
      </c>
    </row>
    <row r="5" spans="1:14" x14ac:dyDescent="0.4">
      <c r="A5" s="2" t="s">
        <v>213</v>
      </c>
      <c r="B5" s="3">
        <v>43560.923958333333</v>
      </c>
      <c r="C5" s="2" t="s">
        <v>127</v>
      </c>
      <c r="D5" s="2" t="s">
        <v>189</v>
      </c>
      <c r="E5" s="2" t="s">
        <v>192</v>
      </c>
      <c r="F5" s="2" t="s">
        <v>194</v>
      </c>
      <c r="G5" s="2" t="s">
        <v>199</v>
      </c>
    </row>
    <row r="6" spans="1:14" x14ac:dyDescent="0.4">
      <c r="A6" s="2" t="s">
        <v>215</v>
      </c>
      <c r="B6" s="3">
        <v>43560.923958333333</v>
      </c>
      <c r="C6" s="2" t="s">
        <v>127</v>
      </c>
    </row>
    <row r="7" spans="1:14" x14ac:dyDescent="0.4">
      <c r="A7" s="2" t="s">
        <v>216</v>
      </c>
      <c r="B7" s="3">
        <v>43560.923958333333</v>
      </c>
      <c r="C7" s="2" t="s">
        <v>127</v>
      </c>
      <c r="D7" s="2" t="s">
        <v>189</v>
      </c>
      <c r="E7" s="2" t="s">
        <v>192</v>
      </c>
    </row>
    <row r="8" spans="1:14" x14ac:dyDescent="0.4">
      <c r="A8" s="2" t="s">
        <v>217</v>
      </c>
      <c r="B8" s="3">
        <v>43560.923958333333</v>
      </c>
      <c r="C8" s="2" t="s">
        <v>127</v>
      </c>
      <c r="D8" s="2" t="s">
        <v>189</v>
      </c>
    </row>
    <row r="9" spans="1:14" x14ac:dyDescent="0.4">
      <c r="A9" s="2" t="s">
        <v>218</v>
      </c>
      <c r="B9" s="3">
        <v>43560.923958333333</v>
      </c>
      <c r="C9" s="2" t="s">
        <v>127</v>
      </c>
      <c r="D9" s="2" t="s">
        <v>189</v>
      </c>
      <c r="E9" s="2" t="s">
        <v>192</v>
      </c>
      <c r="F9" s="2" t="s">
        <v>194</v>
      </c>
    </row>
    <row r="10" spans="1:14" x14ac:dyDescent="0.4">
      <c r="A10" s="2" t="s">
        <v>219</v>
      </c>
      <c r="B10" s="3">
        <v>43560.923958333333</v>
      </c>
      <c r="C10" s="2" t="s">
        <v>127</v>
      </c>
      <c r="D10" s="2" t="s">
        <v>189</v>
      </c>
      <c r="E10" s="2" t="s">
        <v>192</v>
      </c>
    </row>
    <row r="11" spans="1:14" x14ac:dyDescent="0.4">
      <c r="A11" s="2" t="s">
        <v>220</v>
      </c>
      <c r="B11" s="3">
        <v>43560.923958333333</v>
      </c>
      <c r="C11" s="2" t="s">
        <v>127</v>
      </c>
      <c r="D11" s="2" t="s">
        <v>189</v>
      </c>
      <c r="E11" s="2" t="s">
        <v>192</v>
      </c>
      <c r="F11" s="2" t="s">
        <v>194</v>
      </c>
      <c r="G11" s="2" t="s">
        <v>199</v>
      </c>
      <c r="H11" s="2" t="s">
        <v>200</v>
      </c>
      <c r="I11" s="2" t="s">
        <v>201</v>
      </c>
    </row>
    <row r="12" spans="1:14" x14ac:dyDescent="0.4">
      <c r="A12" s="2" t="s">
        <v>221</v>
      </c>
      <c r="B12" s="3">
        <v>43560.923958333333</v>
      </c>
      <c r="C12" s="2" t="s">
        <v>127</v>
      </c>
    </row>
    <row r="13" spans="1:14" x14ac:dyDescent="0.4">
      <c r="A13" s="2" t="s">
        <v>222</v>
      </c>
      <c r="B13" s="3">
        <v>43560.923958333333</v>
      </c>
      <c r="C13" s="2" t="s">
        <v>127</v>
      </c>
      <c r="D13" s="2" t="s">
        <v>189</v>
      </c>
      <c r="E13" s="2" t="s">
        <v>192</v>
      </c>
      <c r="F13" s="2" t="s">
        <v>194</v>
      </c>
      <c r="G13" s="2" t="s">
        <v>199</v>
      </c>
      <c r="H13" s="2" t="s">
        <v>200</v>
      </c>
      <c r="I13" s="2" t="s">
        <v>201</v>
      </c>
      <c r="J13" s="2" t="s">
        <v>202</v>
      </c>
      <c r="K13" s="2" t="s">
        <v>203</v>
      </c>
      <c r="L13" s="2" t="s">
        <v>204</v>
      </c>
      <c r="M13" s="2" t="s">
        <v>224</v>
      </c>
      <c r="N13" s="2" t="s">
        <v>225</v>
      </c>
    </row>
    <row r="14" spans="1:14" x14ac:dyDescent="0.4">
      <c r="A14" s="2" t="s">
        <v>226</v>
      </c>
      <c r="B14" s="3">
        <v>43560.923958333333</v>
      </c>
      <c r="C14" s="2" t="s">
        <v>127</v>
      </c>
      <c r="D14" s="2" t="s">
        <v>189</v>
      </c>
      <c r="E14" s="2" t="s">
        <v>192</v>
      </c>
    </row>
    <row r="15" spans="1:14" x14ac:dyDescent="0.4">
      <c r="A15" s="2" t="s">
        <v>227</v>
      </c>
      <c r="B15" s="3">
        <v>43560.923958333333</v>
      </c>
      <c r="C15" s="2" t="s">
        <v>127</v>
      </c>
      <c r="D15" s="2" t="s">
        <v>189</v>
      </c>
      <c r="E15" s="2" t="s">
        <v>192</v>
      </c>
    </row>
    <row r="16" spans="1:14" x14ac:dyDescent="0.4">
      <c r="A16" s="2" t="s">
        <v>228</v>
      </c>
      <c r="B16" s="3">
        <v>43753.746203703704</v>
      </c>
      <c r="C16" s="2" t="s">
        <v>127</v>
      </c>
      <c r="D16" s="2" t="s">
        <v>189</v>
      </c>
      <c r="E16" s="2" t="s">
        <v>192</v>
      </c>
    </row>
    <row r="17" spans="1:9" x14ac:dyDescent="0.4">
      <c r="A17" s="2" t="s">
        <v>229</v>
      </c>
      <c r="B17" s="3">
        <v>43753.746203703704</v>
      </c>
      <c r="C17" s="2" t="s">
        <v>127</v>
      </c>
      <c r="D17" s="2" t="s">
        <v>189</v>
      </c>
      <c r="E17" s="2" t="s">
        <v>192</v>
      </c>
      <c r="F17" s="2" t="s">
        <v>194</v>
      </c>
      <c r="G17" s="2" t="s">
        <v>199</v>
      </c>
      <c r="H17" s="2" t="s">
        <v>200</v>
      </c>
    </row>
    <row r="18" spans="1:9" x14ac:dyDescent="0.4">
      <c r="A18" s="2" t="s">
        <v>230</v>
      </c>
      <c r="B18" s="3">
        <v>43560.923958333333</v>
      </c>
      <c r="C18" s="2" t="s">
        <v>127</v>
      </c>
      <c r="D18" s="2" t="s">
        <v>189</v>
      </c>
      <c r="E18" s="2" t="s">
        <v>192</v>
      </c>
      <c r="F18" s="2" t="s">
        <v>194</v>
      </c>
      <c r="G18" s="2" t="s">
        <v>199</v>
      </c>
      <c r="H18" s="2" t="s">
        <v>200</v>
      </c>
    </row>
    <row r="19" spans="1:9" x14ac:dyDescent="0.4">
      <c r="A19" s="2" t="s">
        <v>231</v>
      </c>
      <c r="B19" s="3">
        <v>43560.923958333333</v>
      </c>
      <c r="C19" s="2" t="s">
        <v>127</v>
      </c>
      <c r="D19" s="2" t="s">
        <v>189</v>
      </c>
    </row>
    <row r="20" spans="1:9" x14ac:dyDescent="0.4">
      <c r="A20" s="2" t="s">
        <v>232</v>
      </c>
      <c r="B20" s="3">
        <v>43560.923958333333</v>
      </c>
      <c r="C20" s="2" t="s">
        <v>127</v>
      </c>
      <c r="D20" s="2" t="s">
        <v>189</v>
      </c>
      <c r="E20" s="2" t="s">
        <v>192</v>
      </c>
    </row>
    <row r="21" spans="1:9" x14ac:dyDescent="0.4">
      <c r="A21" s="2" t="s">
        <v>233</v>
      </c>
      <c r="B21" s="3">
        <v>43560.923958333333</v>
      </c>
      <c r="C21" s="2" t="s">
        <v>127</v>
      </c>
      <c r="D21" s="2" t="s">
        <v>189</v>
      </c>
      <c r="E21" s="2" t="s">
        <v>192</v>
      </c>
      <c r="F21" s="2" t="s">
        <v>194</v>
      </c>
    </row>
    <row r="22" spans="1:9" x14ac:dyDescent="0.4">
      <c r="A22" s="2" t="s">
        <v>234</v>
      </c>
      <c r="B22" s="3">
        <v>43560.923958333333</v>
      </c>
      <c r="C22" s="2" t="s">
        <v>127</v>
      </c>
      <c r="D22" s="2" t="s">
        <v>189</v>
      </c>
      <c r="E22" s="2" t="s">
        <v>192</v>
      </c>
      <c r="F22" s="2" t="s">
        <v>194</v>
      </c>
    </row>
    <row r="23" spans="1:9" x14ac:dyDescent="0.4">
      <c r="A23" s="2" t="s">
        <v>235</v>
      </c>
      <c r="B23" s="3">
        <v>43560.923958333333</v>
      </c>
      <c r="C23" s="2" t="s">
        <v>127</v>
      </c>
      <c r="D23" s="2" t="s">
        <v>189</v>
      </c>
      <c r="E23" s="2" t="s">
        <v>192</v>
      </c>
      <c r="F23" s="2" t="s">
        <v>194</v>
      </c>
      <c r="G23" s="2" t="s">
        <v>199</v>
      </c>
      <c r="H23" s="2" t="s">
        <v>200</v>
      </c>
      <c r="I23" s="2" t="s">
        <v>201</v>
      </c>
    </row>
    <row r="24" spans="1:9" x14ac:dyDescent="0.4">
      <c r="A24" s="2" t="s">
        <v>236</v>
      </c>
      <c r="B24" s="3">
        <v>43560.923958333333</v>
      </c>
      <c r="C24" s="2" t="s">
        <v>127</v>
      </c>
      <c r="D24" s="2" t="s">
        <v>189</v>
      </c>
      <c r="E24" s="2" t="s">
        <v>192</v>
      </c>
    </row>
    <row r="25" spans="1:9" x14ac:dyDescent="0.4">
      <c r="A25" s="2" t="s">
        <v>237</v>
      </c>
      <c r="B25" s="3">
        <v>43560.923958333333</v>
      </c>
      <c r="C25" s="2" t="s">
        <v>127</v>
      </c>
      <c r="D25" s="2" t="s">
        <v>189</v>
      </c>
      <c r="E25" s="2" t="s">
        <v>192</v>
      </c>
      <c r="F25" s="2" t="s">
        <v>194</v>
      </c>
      <c r="G25" s="2" t="s">
        <v>199</v>
      </c>
      <c r="H25" s="2" t="s">
        <v>200</v>
      </c>
    </row>
    <row r="26" spans="1:9" x14ac:dyDescent="0.4">
      <c r="A26" s="2" t="s">
        <v>238</v>
      </c>
      <c r="B26" s="3">
        <v>43560.923958333333</v>
      </c>
      <c r="C26" s="2" t="s">
        <v>127</v>
      </c>
      <c r="D26" s="2" t="s">
        <v>189</v>
      </c>
    </row>
    <row r="27" spans="1:9" x14ac:dyDescent="0.4">
      <c r="A27" s="2" t="s">
        <v>239</v>
      </c>
      <c r="B27" s="3">
        <v>43560.923958333333</v>
      </c>
      <c r="C27" s="2" t="s">
        <v>127</v>
      </c>
      <c r="D27" s="2" t="s">
        <v>189</v>
      </c>
    </row>
    <row r="28" spans="1:9" x14ac:dyDescent="0.4">
      <c r="A28" s="2" t="s">
        <v>240</v>
      </c>
      <c r="B28" s="3">
        <v>43560.923958333333</v>
      </c>
      <c r="C28" s="2" t="s">
        <v>127</v>
      </c>
      <c r="D28" s="2" t="s">
        <v>189</v>
      </c>
      <c r="E28" s="2" t="s">
        <v>192</v>
      </c>
      <c r="F28" s="2" t="s">
        <v>194</v>
      </c>
    </row>
    <row r="29" spans="1:9" x14ac:dyDescent="0.4">
      <c r="A29" s="2" t="s">
        <v>241</v>
      </c>
      <c r="B29" s="3">
        <v>43560.923958333333</v>
      </c>
      <c r="C29" s="2" t="s">
        <v>127</v>
      </c>
      <c r="D29" s="2" t="s">
        <v>189</v>
      </c>
      <c r="E29" s="2" t="s">
        <v>192</v>
      </c>
      <c r="F29" s="2" t="s">
        <v>194</v>
      </c>
      <c r="G29" s="2" t="s">
        <v>199</v>
      </c>
      <c r="H29" s="2" t="s">
        <v>200</v>
      </c>
    </row>
    <row r="30" spans="1:9" x14ac:dyDescent="0.4">
      <c r="A30" s="2" t="s">
        <v>242</v>
      </c>
      <c r="B30" s="3">
        <v>43560.923958333333</v>
      </c>
      <c r="C30" s="2" t="s">
        <v>127</v>
      </c>
      <c r="D30" s="2" t="s">
        <v>189</v>
      </c>
      <c r="E30" s="2" t="s">
        <v>192</v>
      </c>
      <c r="F30" s="2" t="s">
        <v>194</v>
      </c>
      <c r="G30" s="2" t="s">
        <v>199</v>
      </c>
    </row>
    <row r="31" spans="1:9" x14ac:dyDescent="0.4">
      <c r="A31" s="2" t="s">
        <v>243</v>
      </c>
      <c r="B31" s="3">
        <v>43560.923958333333</v>
      </c>
      <c r="C31" s="2" t="s">
        <v>127</v>
      </c>
      <c r="D31" s="2" t="s">
        <v>189</v>
      </c>
      <c r="E31" s="2" t="s">
        <v>192</v>
      </c>
      <c r="F31" s="2" t="s">
        <v>194</v>
      </c>
    </row>
    <row r="32" spans="1:9" x14ac:dyDescent="0.4">
      <c r="A32" s="2" t="s">
        <v>244</v>
      </c>
      <c r="B32" s="3">
        <v>43560.923958333333</v>
      </c>
      <c r="C32" s="2" t="s">
        <v>127</v>
      </c>
    </row>
    <row r="33" spans="1:10" x14ac:dyDescent="0.4">
      <c r="A33" s="2" t="s">
        <v>245</v>
      </c>
      <c r="B33" s="3">
        <v>43560.923958333333</v>
      </c>
      <c r="C33" s="2" t="s">
        <v>127</v>
      </c>
      <c r="D33" s="2" t="s">
        <v>189</v>
      </c>
      <c r="E33" s="2" t="s">
        <v>192</v>
      </c>
    </row>
    <row r="34" spans="1:10" x14ac:dyDescent="0.4">
      <c r="A34" s="2" t="s">
        <v>247</v>
      </c>
      <c r="B34" s="3">
        <v>43560.923958333333</v>
      </c>
      <c r="C34" s="2" t="s">
        <v>127</v>
      </c>
      <c r="D34" s="2" t="s">
        <v>189</v>
      </c>
      <c r="E34" s="2" t="s">
        <v>192</v>
      </c>
      <c r="F34" s="2" t="s">
        <v>194</v>
      </c>
      <c r="G34" s="2" t="s">
        <v>199</v>
      </c>
      <c r="H34" s="2" t="s">
        <v>200</v>
      </c>
      <c r="I34" s="2" t="s">
        <v>201</v>
      </c>
      <c r="J34" s="2" t="s">
        <v>202</v>
      </c>
    </row>
    <row r="35" spans="1:10" x14ac:dyDescent="0.4">
      <c r="A35" s="2" t="s">
        <v>248</v>
      </c>
      <c r="B35" s="3">
        <v>43753.746203703704</v>
      </c>
      <c r="C35" s="2" t="s">
        <v>127</v>
      </c>
      <c r="D35" s="2" t="s">
        <v>189</v>
      </c>
      <c r="E35" s="2" t="s">
        <v>192</v>
      </c>
      <c r="F35" s="2" t="s">
        <v>194</v>
      </c>
      <c r="G35" s="2" t="s">
        <v>199</v>
      </c>
      <c r="H35" s="2" t="s">
        <v>200</v>
      </c>
      <c r="I35" s="2" t="s">
        <v>201</v>
      </c>
      <c r="J35" s="2" t="s">
        <v>202</v>
      </c>
    </row>
    <row r="36" spans="1:10" x14ac:dyDescent="0.4">
      <c r="A36" s="2" t="s">
        <v>249</v>
      </c>
      <c r="B36" s="3">
        <v>43560.923958333333</v>
      </c>
      <c r="C36" s="2" t="s">
        <v>127</v>
      </c>
      <c r="D36" s="2" t="s">
        <v>189</v>
      </c>
      <c r="E36" s="2" t="s">
        <v>192</v>
      </c>
    </row>
    <row r="37" spans="1:10" x14ac:dyDescent="0.4">
      <c r="A37" s="2" t="s">
        <v>250</v>
      </c>
      <c r="B37" s="3">
        <v>43560.923958333333</v>
      </c>
      <c r="C37" s="2" t="s">
        <v>127</v>
      </c>
      <c r="D37" s="2" t="s">
        <v>189</v>
      </c>
    </row>
    <row r="38" spans="1:10" x14ac:dyDescent="0.4">
      <c r="A38" s="2" t="s">
        <v>251</v>
      </c>
      <c r="B38" s="3">
        <v>43560.923958333333</v>
      </c>
      <c r="C38" s="2" t="s">
        <v>127</v>
      </c>
      <c r="D38" s="2" t="s">
        <v>189</v>
      </c>
      <c r="E38" s="2" t="s">
        <v>192</v>
      </c>
      <c r="F38" s="2" t="s">
        <v>194</v>
      </c>
      <c r="G38" s="2" t="s">
        <v>199</v>
      </c>
    </row>
    <row r="39" spans="1:10" x14ac:dyDescent="0.4">
      <c r="A39" s="2" t="s">
        <v>252</v>
      </c>
      <c r="B39" s="3">
        <v>43560.923958333333</v>
      </c>
      <c r="C39" s="2" t="s">
        <v>127</v>
      </c>
      <c r="D39" s="2" t="s">
        <v>189</v>
      </c>
      <c r="E39" s="2" t="s">
        <v>192</v>
      </c>
      <c r="F39" s="2" t="s">
        <v>194</v>
      </c>
      <c r="G39" s="2" t="s">
        <v>199</v>
      </c>
      <c r="H39" s="2" t="s">
        <v>200</v>
      </c>
    </row>
    <row r="40" spans="1:10" x14ac:dyDescent="0.4">
      <c r="A40" s="2" t="s">
        <v>253</v>
      </c>
      <c r="B40" s="3">
        <v>43560.923958333333</v>
      </c>
      <c r="C40" s="2" t="s">
        <v>127</v>
      </c>
      <c r="D40" s="2" t="s">
        <v>189</v>
      </c>
      <c r="E40" s="2" t="s">
        <v>192</v>
      </c>
      <c r="F40" s="2" t="s">
        <v>194</v>
      </c>
    </row>
    <row r="41" spans="1:10" x14ac:dyDescent="0.4">
      <c r="A41" s="2" t="s">
        <v>254</v>
      </c>
      <c r="B41" s="3">
        <v>43560.923958333333</v>
      </c>
      <c r="C41" s="2" t="s">
        <v>127</v>
      </c>
      <c r="D41" s="2" t="s">
        <v>189</v>
      </c>
      <c r="E41" s="2" t="s">
        <v>192</v>
      </c>
      <c r="F41" s="2" t="s">
        <v>194</v>
      </c>
    </row>
    <row r="42" spans="1:10" x14ac:dyDescent="0.4">
      <c r="A42" s="2" t="s">
        <v>255</v>
      </c>
      <c r="B42" s="3">
        <v>43753.746203703704</v>
      </c>
      <c r="C42" s="2" t="s">
        <v>127</v>
      </c>
      <c r="D42" s="2" t="s">
        <v>189</v>
      </c>
      <c r="E42" s="2" t="s">
        <v>192</v>
      </c>
      <c r="F42" s="2" t="s">
        <v>194</v>
      </c>
      <c r="G42" s="2" t="s">
        <v>199</v>
      </c>
      <c r="H42" s="2" t="s">
        <v>200</v>
      </c>
      <c r="I42" s="2" t="s">
        <v>201</v>
      </c>
    </row>
    <row r="43" spans="1:10" x14ac:dyDescent="0.4">
      <c r="A43" s="2" t="s">
        <v>256</v>
      </c>
      <c r="B43" s="3">
        <v>43560.923958333333</v>
      </c>
      <c r="C43" s="2" t="s">
        <v>127</v>
      </c>
      <c r="D43" s="2" t="s">
        <v>189</v>
      </c>
      <c r="E43" s="2" t="s">
        <v>192</v>
      </c>
      <c r="F43" s="2" t="s">
        <v>194</v>
      </c>
      <c r="G43" s="2" t="s">
        <v>199</v>
      </c>
      <c r="H43" s="2" t="s">
        <v>200</v>
      </c>
      <c r="I43" s="2" t="s">
        <v>201</v>
      </c>
    </row>
    <row r="44" spans="1:10" x14ac:dyDescent="0.4">
      <c r="A44" s="2" t="s">
        <v>257</v>
      </c>
      <c r="B44" s="3">
        <v>43560.923958333333</v>
      </c>
      <c r="C44" s="2" t="s">
        <v>127</v>
      </c>
      <c r="D44" s="2" t="s">
        <v>189</v>
      </c>
      <c r="E44" s="2" t="s">
        <v>192</v>
      </c>
    </row>
    <row r="45" spans="1:10" x14ac:dyDescent="0.4">
      <c r="A45" s="2" t="s">
        <v>258</v>
      </c>
      <c r="B45" s="3">
        <v>43560.923958333333</v>
      </c>
      <c r="C45" s="2" t="s">
        <v>127</v>
      </c>
      <c r="D45" s="2" t="s">
        <v>189</v>
      </c>
      <c r="E45" s="2" t="s">
        <v>192</v>
      </c>
      <c r="F45" s="2" t="s">
        <v>194</v>
      </c>
      <c r="G45" s="2" t="s">
        <v>199</v>
      </c>
      <c r="H45" s="2" t="s">
        <v>200</v>
      </c>
    </row>
    <row r="46" spans="1:10" x14ac:dyDescent="0.4">
      <c r="A46" s="2" t="s">
        <v>259</v>
      </c>
      <c r="B46" s="3">
        <v>43789.665555555555</v>
      </c>
      <c r="C46" s="2" t="s">
        <v>127</v>
      </c>
      <c r="D46" s="2" t="s">
        <v>189</v>
      </c>
      <c r="E46" s="2" t="s">
        <v>192</v>
      </c>
      <c r="F46" s="2" t="s">
        <v>194</v>
      </c>
    </row>
    <row r="47" spans="1:10" x14ac:dyDescent="0.4">
      <c r="A47" s="2" t="s">
        <v>260</v>
      </c>
      <c r="B47" s="3">
        <v>43560.923958333333</v>
      </c>
      <c r="C47" s="2" t="s">
        <v>127</v>
      </c>
      <c r="D47" s="2" t="s">
        <v>189</v>
      </c>
      <c r="E47" s="2" t="s">
        <v>192</v>
      </c>
    </row>
    <row r="48" spans="1:10" x14ac:dyDescent="0.4">
      <c r="A48" s="2" t="s">
        <v>261</v>
      </c>
      <c r="B48" s="3">
        <v>43560.923958333333</v>
      </c>
      <c r="C48" s="2" t="s">
        <v>127</v>
      </c>
      <c r="D48" s="2" t="s">
        <v>189</v>
      </c>
    </row>
    <row r="49" spans="1:14" x14ac:dyDescent="0.4">
      <c r="A49" s="2" t="s">
        <v>262</v>
      </c>
      <c r="B49" s="3">
        <v>43560.923958333333</v>
      </c>
      <c r="C49" s="2" t="s">
        <v>127</v>
      </c>
      <c r="D49" s="2" t="s">
        <v>189</v>
      </c>
      <c r="E49" s="2" t="s">
        <v>192</v>
      </c>
      <c r="F49" s="2" t="s">
        <v>194</v>
      </c>
      <c r="G49" s="2" t="s">
        <v>199</v>
      </c>
    </row>
    <row r="50" spans="1:14" x14ac:dyDescent="0.4">
      <c r="A50" s="2" t="s">
        <v>263</v>
      </c>
      <c r="B50" s="3">
        <v>43560.923958333333</v>
      </c>
      <c r="C50" s="2" t="s">
        <v>127</v>
      </c>
      <c r="D50" s="2" t="s">
        <v>189</v>
      </c>
      <c r="E50" s="2" t="s">
        <v>192</v>
      </c>
    </row>
    <row r="51" spans="1:14" x14ac:dyDescent="0.4">
      <c r="A51" s="2" t="s">
        <v>264</v>
      </c>
      <c r="B51" s="3">
        <v>43560.923958333333</v>
      </c>
      <c r="C51" s="2" t="s">
        <v>127</v>
      </c>
      <c r="D51" s="2" t="s">
        <v>189</v>
      </c>
      <c r="E51" s="2" t="s">
        <v>192</v>
      </c>
      <c r="F51" s="2" t="s">
        <v>194</v>
      </c>
      <c r="G51" s="2" t="s">
        <v>199</v>
      </c>
      <c r="H51" s="2" t="s">
        <v>200</v>
      </c>
    </row>
    <row r="52" spans="1:14" x14ac:dyDescent="0.4">
      <c r="A52" s="2" t="s">
        <v>265</v>
      </c>
      <c r="B52" s="3">
        <v>43560.923958333333</v>
      </c>
      <c r="C52" s="2" t="s">
        <v>127</v>
      </c>
      <c r="D52" s="2" t="s">
        <v>189</v>
      </c>
      <c r="E52" s="2" t="s">
        <v>192</v>
      </c>
      <c r="F52" s="2" t="s">
        <v>194</v>
      </c>
      <c r="G52" s="2" t="s">
        <v>199</v>
      </c>
      <c r="H52" s="2" t="s">
        <v>200</v>
      </c>
      <c r="I52" s="2" t="s">
        <v>201</v>
      </c>
      <c r="J52" s="2" t="s">
        <v>202</v>
      </c>
      <c r="K52" s="2" t="s">
        <v>203</v>
      </c>
      <c r="L52" s="2" t="s">
        <v>204</v>
      </c>
    </row>
    <row r="53" spans="1:14" x14ac:dyDescent="0.4">
      <c r="A53" s="2" t="s">
        <v>266</v>
      </c>
      <c r="B53" s="3">
        <v>43560.923958333333</v>
      </c>
      <c r="C53" s="2" t="s">
        <v>127</v>
      </c>
      <c r="D53" s="2" t="s">
        <v>189</v>
      </c>
      <c r="E53" s="2" t="s">
        <v>192</v>
      </c>
      <c r="F53" s="2" t="s">
        <v>194</v>
      </c>
    </row>
    <row r="54" spans="1:14" x14ac:dyDescent="0.4">
      <c r="A54" s="2" t="s">
        <v>267</v>
      </c>
      <c r="B54" s="3">
        <v>43560.923958333333</v>
      </c>
      <c r="C54" s="2" t="s">
        <v>127</v>
      </c>
      <c r="D54" s="2" t="s">
        <v>189</v>
      </c>
    </row>
    <row r="55" spans="1:14" x14ac:dyDescent="0.4">
      <c r="A55" s="2" t="s">
        <v>268</v>
      </c>
      <c r="B55" s="3">
        <v>43560.923958333333</v>
      </c>
      <c r="C55" s="2" t="s">
        <v>127</v>
      </c>
      <c r="D55" s="2" t="s">
        <v>189</v>
      </c>
      <c r="E55" s="2" t="s">
        <v>192</v>
      </c>
      <c r="F55" s="2" t="s">
        <v>194</v>
      </c>
      <c r="G55" s="2" t="s">
        <v>199</v>
      </c>
    </row>
    <row r="56" spans="1:14" x14ac:dyDescent="0.4">
      <c r="A56" s="2" t="s">
        <v>269</v>
      </c>
      <c r="B56" s="3">
        <v>43560.923958333333</v>
      </c>
      <c r="C56" s="2" t="s">
        <v>127</v>
      </c>
      <c r="D56" s="2" t="s">
        <v>189</v>
      </c>
      <c r="E56" s="2" t="s">
        <v>192</v>
      </c>
      <c r="F56" s="2" t="s">
        <v>194</v>
      </c>
    </row>
    <row r="57" spans="1:14" x14ac:dyDescent="0.4">
      <c r="A57" s="2" t="s">
        <v>270</v>
      </c>
      <c r="B57" s="3">
        <v>43560.923958333333</v>
      </c>
      <c r="C57" s="2" t="s">
        <v>127</v>
      </c>
      <c r="D57" s="2" t="s">
        <v>189</v>
      </c>
      <c r="E57" s="2" t="s">
        <v>192</v>
      </c>
    </row>
    <row r="58" spans="1:14" x14ac:dyDescent="0.4">
      <c r="A58" s="2" t="s">
        <v>271</v>
      </c>
      <c r="B58" s="3">
        <v>43560.923958333333</v>
      </c>
      <c r="C58" s="2" t="s">
        <v>127</v>
      </c>
      <c r="D58" s="2" t="s">
        <v>189</v>
      </c>
      <c r="E58" s="2" t="s">
        <v>192</v>
      </c>
      <c r="F58" s="2" t="s">
        <v>194</v>
      </c>
      <c r="G58" s="2" t="s">
        <v>199</v>
      </c>
      <c r="H58" s="2" t="s">
        <v>200</v>
      </c>
      <c r="I58" s="2" t="s">
        <v>201</v>
      </c>
    </row>
    <row r="59" spans="1:14" x14ac:dyDescent="0.4">
      <c r="A59" s="2" t="s">
        <v>272</v>
      </c>
      <c r="B59" s="3">
        <v>43560.923958333333</v>
      </c>
      <c r="C59" s="2" t="s">
        <v>127</v>
      </c>
      <c r="D59" s="2" t="s">
        <v>189</v>
      </c>
      <c r="E59" s="2" t="s">
        <v>192</v>
      </c>
      <c r="F59" s="2" t="s">
        <v>194</v>
      </c>
      <c r="G59" s="2" t="s">
        <v>199</v>
      </c>
      <c r="H59" s="2" t="s">
        <v>200</v>
      </c>
      <c r="I59" s="2" t="s">
        <v>201</v>
      </c>
      <c r="J59" s="2" t="s">
        <v>202</v>
      </c>
      <c r="K59" s="2" t="s">
        <v>203</v>
      </c>
    </row>
    <row r="60" spans="1:14" x14ac:dyDescent="0.4">
      <c r="A60" s="2" t="s">
        <v>273</v>
      </c>
      <c r="B60" s="3">
        <v>43560.923958333333</v>
      </c>
      <c r="C60" s="2" t="s">
        <v>127</v>
      </c>
      <c r="D60" s="2" t="s">
        <v>189</v>
      </c>
      <c r="E60" s="2" t="s">
        <v>192</v>
      </c>
      <c r="F60" s="2" t="s">
        <v>194</v>
      </c>
      <c r="G60" s="2" t="s">
        <v>199</v>
      </c>
      <c r="H60" s="2" t="s">
        <v>200</v>
      </c>
      <c r="I60" s="2" t="s">
        <v>201</v>
      </c>
      <c r="J60" s="2" t="s">
        <v>202</v>
      </c>
      <c r="K60" s="2" t="s">
        <v>203</v>
      </c>
      <c r="L60" s="2" t="s">
        <v>204</v>
      </c>
      <c r="M60" s="2" t="s">
        <v>224</v>
      </c>
      <c r="N60" s="2" t="s">
        <v>225</v>
      </c>
    </row>
    <row r="61" spans="1:14" x14ac:dyDescent="0.4">
      <c r="A61" s="2" t="s">
        <v>274</v>
      </c>
      <c r="B61" s="3">
        <v>43560.923958333333</v>
      </c>
      <c r="C61" s="2" t="s">
        <v>127</v>
      </c>
      <c r="D61" s="2" t="s">
        <v>189</v>
      </c>
      <c r="E61" s="2" t="s">
        <v>192</v>
      </c>
      <c r="F61" s="2" t="s">
        <v>194</v>
      </c>
      <c r="G61" s="2" t="s">
        <v>199</v>
      </c>
    </row>
    <row r="62" spans="1:14" x14ac:dyDescent="0.4">
      <c r="A62" s="2" t="s">
        <v>275</v>
      </c>
      <c r="B62" s="3">
        <v>43560.923958333333</v>
      </c>
      <c r="C62" s="2" t="s">
        <v>127</v>
      </c>
      <c r="D62" s="2" t="s">
        <v>189</v>
      </c>
      <c r="E62" s="2" t="s">
        <v>192</v>
      </c>
      <c r="F62" s="2" t="s">
        <v>194</v>
      </c>
      <c r="G62" s="2" t="s">
        <v>199</v>
      </c>
    </row>
    <row r="63" spans="1:14" x14ac:dyDescent="0.4">
      <c r="A63" s="2" t="s">
        <v>276</v>
      </c>
      <c r="B63" s="3">
        <v>43560.923958333333</v>
      </c>
      <c r="C63" s="2" t="s">
        <v>127</v>
      </c>
      <c r="D63" s="2" t="s">
        <v>189</v>
      </c>
      <c r="E63" s="2" t="s">
        <v>192</v>
      </c>
      <c r="F63" s="2" t="s">
        <v>194</v>
      </c>
      <c r="G63" s="2" t="s">
        <v>199</v>
      </c>
    </row>
    <row r="64" spans="1:14" x14ac:dyDescent="0.4">
      <c r="A64" s="2" t="s">
        <v>277</v>
      </c>
      <c r="B64" s="3">
        <v>43753.746203703704</v>
      </c>
      <c r="C64" s="2" t="s">
        <v>127</v>
      </c>
      <c r="D64" s="2" t="s">
        <v>189</v>
      </c>
      <c r="E64" s="2" t="s">
        <v>192</v>
      </c>
    </row>
    <row r="65" spans="1:9" x14ac:dyDescent="0.4">
      <c r="A65" s="2" t="s">
        <v>278</v>
      </c>
      <c r="B65" s="3">
        <v>43560.923958333333</v>
      </c>
      <c r="C65" s="2" t="s">
        <v>127</v>
      </c>
      <c r="D65" s="2" t="s">
        <v>189</v>
      </c>
      <c r="E65" s="2" t="s">
        <v>192</v>
      </c>
      <c r="F65" s="2" t="s">
        <v>194</v>
      </c>
      <c r="G65" s="2" t="s">
        <v>199</v>
      </c>
      <c r="H65" s="2" t="s">
        <v>200</v>
      </c>
      <c r="I65" s="2" t="s">
        <v>201</v>
      </c>
    </row>
    <row r="66" spans="1:9" x14ac:dyDescent="0.4">
      <c r="A66" s="2" t="s">
        <v>279</v>
      </c>
      <c r="B66" s="3">
        <v>43560.923958333333</v>
      </c>
      <c r="C66" s="2" t="s">
        <v>127</v>
      </c>
      <c r="D66" s="2" t="s">
        <v>189</v>
      </c>
      <c r="E66" s="2" t="s">
        <v>192</v>
      </c>
      <c r="F66" s="2" t="s">
        <v>194</v>
      </c>
      <c r="G66" s="2" t="s">
        <v>199</v>
      </c>
      <c r="H66" s="2" t="s">
        <v>200</v>
      </c>
    </row>
    <row r="67" spans="1:9" x14ac:dyDescent="0.4">
      <c r="A67" s="2" t="s">
        <v>280</v>
      </c>
      <c r="B67" s="3">
        <v>43753.746203703704</v>
      </c>
      <c r="C67" s="2" t="s">
        <v>127</v>
      </c>
      <c r="D67" s="2" t="s">
        <v>189</v>
      </c>
    </row>
    <row r="68" spans="1:9" x14ac:dyDescent="0.4">
      <c r="A68" s="2" t="s">
        <v>281</v>
      </c>
      <c r="B68" s="3">
        <v>43560.923958333333</v>
      </c>
      <c r="C68" s="2" t="s">
        <v>127</v>
      </c>
      <c r="D68" s="2" t="s">
        <v>189</v>
      </c>
      <c r="E68" s="2" t="s">
        <v>192</v>
      </c>
    </row>
    <row r="69" spans="1:9" x14ac:dyDescent="0.4">
      <c r="A69" s="2" t="s">
        <v>282</v>
      </c>
      <c r="B69" s="3">
        <v>43753.746203703704</v>
      </c>
      <c r="C69" s="2" t="s">
        <v>127</v>
      </c>
      <c r="D69" s="2" t="s">
        <v>189</v>
      </c>
      <c r="E69" s="2" t="s">
        <v>192</v>
      </c>
      <c r="F69" s="2" t="s">
        <v>194</v>
      </c>
      <c r="G69" s="2" t="s">
        <v>199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C14"/>
  <sheetViews>
    <sheetView workbookViewId="0"/>
  </sheetViews>
  <sheetFormatPr defaultRowHeight="18.75" x14ac:dyDescent="0.4"/>
  <cols>
    <col min="1" max="1" width="11" customWidth="1"/>
    <col min="2" max="2" width="9" style="124" customWidth="1"/>
    <col min="3" max="3" width="9" style="124"/>
  </cols>
  <sheetData>
    <row r="1" spans="1:3" x14ac:dyDescent="0.4">
      <c r="A1" t="s">
        <v>139</v>
      </c>
      <c r="B1" s="124">
        <v>903</v>
      </c>
      <c r="C1" s="124">
        <v>1500</v>
      </c>
    </row>
    <row r="2" spans="1:3" x14ac:dyDescent="0.4">
      <c r="A2" t="s">
        <v>126</v>
      </c>
      <c r="B2" s="124">
        <v>257</v>
      </c>
      <c r="C2" s="124">
        <v>1500</v>
      </c>
    </row>
    <row r="3" spans="1:3" x14ac:dyDescent="0.4">
      <c r="A3" t="s">
        <v>209</v>
      </c>
      <c r="B3" s="124">
        <v>4</v>
      </c>
      <c r="C3" s="124">
        <v>1500</v>
      </c>
    </row>
    <row r="4" spans="1:3" x14ac:dyDescent="0.4">
      <c r="A4" t="s">
        <v>198</v>
      </c>
      <c r="B4" s="124">
        <v>4</v>
      </c>
      <c r="C4" s="124">
        <v>1500</v>
      </c>
    </row>
    <row r="5" spans="1:3" x14ac:dyDescent="0.4">
      <c r="A5" t="s">
        <v>195</v>
      </c>
      <c r="B5" s="124">
        <v>142</v>
      </c>
      <c r="C5" s="124">
        <v>1500</v>
      </c>
    </row>
    <row r="6" spans="1:3" x14ac:dyDescent="0.4">
      <c r="A6" t="s">
        <v>211</v>
      </c>
      <c r="B6" s="124">
        <v>65</v>
      </c>
      <c r="C6" s="124">
        <v>1500</v>
      </c>
    </row>
    <row r="7" spans="1:3" x14ac:dyDescent="0.4">
      <c r="A7" t="s">
        <v>214</v>
      </c>
      <c r="B7" s="124">
        <v>5</v>
      </c>
      <c r="C7" s="124">
        <v>1500</v>
      </c>
    </row>
    <row r="8" spans="1:3" x14ac:dyDescent="0.4">
      <c r="A8" t="s">
        <v>190</v>
      </c>
      <c r="B8" s="124">
        <v>85</v>
      </c>
      <c r="C8" s="124">
        <v>1500</v>
      </c>
    </row>
    <row r="9" spans="1:3" x14ac:dyDescent="0.4">
      <c r="A9" t="s">
        <v>193</v>
      </c>
      <c r="B9" s="124">
        <v>123</v>
      </c>
      <c r="C9" s="124">
        <v>1500</v>
      </c>
    </row>
    <row r="10" spans="1:3" x14ac:dyDescent="0.4">
      <c r="A10" t="s">
        <v>223</v>
      </c>
      <c r="B10" s="124">
        <v>33</v>
      </c>
      <c r="C10" s="124">
        <v>1500</v>
      </c>
    </row>
    <row r="11" spans="1:3" x14ac:dyDescent="0.4">
      <c r="A11" t="s">
        <v>164</v>
      </c>
      <c r="B11" s="124">
        <v>131</v>
      </c>
      <c r="C11" s="124">
        <v>1500</v>
      </c>
    </row>
    <row r="12" spans="1:3" x14ac:dyDescent="0.4">
      <c r="A12" t="s">
        <v>246</v>
      </c>
      <c r="B12" s="124">
        <v>6</v>
      </c>
      <c r="C12" s="124">
        <v>1500</v>
      </c>
    </row>
    <row r="13" spans="1:3" x14ac:dyDescent="0.4">
      <c r="A13" t="s">
        <v>191</v>
      </c>
      <c r="B13" s="124">
        <v>36</v>
      </c>
      <c r="C13" s="124">
        <v>1500</v>
      </c>
    </row>
    <row r="14" spans="1:3" x14ac:dyDescent="0.4">
      <c r="A14" t="s">
        <v>205</v>
      </c>
      <c r="B14" s="124">
        <v>12</v>
      </c>
      <c r="C14" s="124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7"/>
      <c r="C1" s="138"/>
      <c r="E1" s="104" t="s">
        <v>155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25">
        <v>0</v>
      </c>
      <c r="C2" s="126"/>
      <c r="E2" s="26" t="s">
        <v>64</v>
      </c>
      <c r="F2" s="23" t="s">
        <v>20</v>
      </c>
      <c r="G2" s="11">
        <v>0</v>
      </c>
      <c r="H2" s="87">
        <f>IF(B$52=0,0,G2/B$52)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9">
        <v>0</v>
      </c>
      <c r="C3" s="140"/>
      <c r="E3" s="27" t="s">
        <v>65</v>
      </c>
      <c r="F3" s="24" t="s">
        <v>21</v>
      </c>
      <c r="G3" s="12">
        <v>0</v>
      </c>
      <c r="H3" s="88">
        <f t="shared" ref="H3:H52" si="1">IF(B$52=0,0,G3/B$52)</f>
        <v>0</v>
      </c>
      <c r="I3" s="58"/>
      <c r="O3" s="74" t="s">
        <v>129</v>
      </c>
      <c r="P3" s="80">
        <f t="shared" si="0"/>
        <v>0</v>
      </c>
      <c r="Q3" s="77">
        <v>0</v>
      </c>
      <c r="R3" s="64">
        <v>0</v>
      </c>
    </row>
    <row r="4" spans="1:18" x14ac:dyDescent="0.4">
      <c r="A4" s="19" t="s">
        <v>6</v>
      </c>
      <c r="B4" s="141">
        <v>0</v>
      </c>
      <c r="C4" s="142"/>
      <c r="E4" s="27" t="s">
        <v>66</v>
      </c>
      <c r="F4" s="24" t="s">
        <v>22</v>
      </c>
      <c r="G4" s="12">
        <v>0</v>
      </c>
      <c r="H4" s="88">
        <f t="shared" si="1"/>
        <v>0</v>
      </c>
      <c r="I4" s="58"/>
      <c r="O4" s="74" t="s">
        <v>130</v>
      </c>
      <c r="P4" s="80">
        <f t="shared" si="0"/>
        <v>0</v>
      </c>
      <c r="Q4" s="77">
        <v>0</v>
      </c>
      <c r="R4" s="64">
        <v>0</v>
      </c>
    </row>
    <row r="5" spans="1:18" x14ac:dyDescent="0.4">
      <c r="A5" s="19" t="s">
        <v>7</v>
      </c>
      <c r="B5" s="129">
        <f>IF(B$2=0,0,B$4/B$2)</f>
        <v>0</v>
      </c>
      <c r="C5" s="130"/>
      <c r="E5" s="27" t="s">
        <v>67</v>
      </c>
      <c r="F5" s="24" t="s">
        <v>23</v>
      </c>
      <c r="G5" s="12">
        <v>0</v>
      </c>
      <c r="H5" s="88">
        <f t="shared" si="1"/>
        <v>0</v>
      </c>
      <c r="I5" s="58"/>
      <c r="O5" s="74" t="s">
        <v>131</v>
      </c>
      <c r="P5" s="80">
        <f t="shared" si="0"/>
        <v>0</v>
      </c>
      <c r="Q5" s="77">
        <v>0</v>
      </c>
      <c r="R5" s="64">
        <v>0</v>
      </c>
    </row>
    <row r="6" spans="1:18" x14ac:dyDescent="0.4">
      <c r="A6" s="19" t="s">
        <v>196</v>
      </c>
      <c r="B6" s="133">
        <v>1500</v>
      </c>
      <c r="C6" s="134"/>
      <c r="E6" s="27" t="s">
        <v>68</v>
      </c>
      <c r="F6" s="24" t="s">
        <v>12</v>
      </c>
      <c r="G6" s="12">
        <v>0</v>
      </c>
      <c r="H6" s="88">
        <f t="shared" si="1"/>
        <v>0</v>
      </c>
      <c r="I6" s="58"/>
      <c r="O6" s="74" t="s">
        <v>132</v>
      </c>
      <c r="P6" s="80">
        <f t="shared" si="0"/>
        <v>0</v>
      </c>
      <c r="Q6" s="77">
        <v>0</v>
      </c>
      <c r="R6" s="64">
        <v>0</v>
      </c>
    </row>
    <row r="7" spans="1:18" x14ac:dyDescent="0.4">
      <c r="A7" s="19" t="s">
        <v>1</v>
      </c>
      <c r="B7" s="135">
        <f>IF(B$2=0,0,(B$8*1+B$9*2+B$10*3)/B$2)</f>
        <v>0</v>
      </c>
      <c r="C7" s="136"/>
      <c r="E7" s="27" t="s">
        <v>69</v>
      </c>
      <c r="F7" s="24" t="s">
        <v>24</v>
      </c>
      <c r="G7" s="12">
        <v>0</v>
      </c>
      <c r="H7" s="88">
        <f t="shared" si="1"/>
        <v>0</v>
      </c>
      <c r="I7" s="58"/>
      <c r="O7" s="75" t="s">
        <v>133</v>
      </c>
      <c r="P7" s="81">
        <f t="shared" si="0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1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1"/>
        <v>0</v>
      </c>
      <c r="I9" s="58"/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1"/>
        <v>0</v>
      </c>
      <c r="I10" s="58"/>
      <c r="O10" s="73" t="s">
        <v>152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185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1"/>
        <v>0</v>
      </c>
      <c r="I11" s="58"/>
      <c r="O11" s="74" t="s">
        <v>153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186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1"/>
        <v>0</v>
      </c>
      <c r="I12" s="58"/>
      <c r="O12" s="75" t="s">
        <v>154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187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1"/>
        <v>0</v>
      </c>
      <c r="I13" s="58"/>
      <c r="O13" s="103"/>
      <c r="P13" s="71"/>
      <c r="Q13" s="111"/>
      <c r="R13" s="71"/>
    </row>
    <row r="14" spans="1:18" x14ac:dyDescent="0.4">
      <c r="A14" s="20" t="s">
        <v>188</v>
      </c>
      <c r="B14" s="129">
        <f>AVERAGE(B11:B13)</f>
        <v>0</v>
      </c>
      <c r="C14" s="130"/>
      <c r="E14" s="27" t="s">
        <v>76</v>
      </c>
      <c r="F14" s="24" t="s">
        <v>31</v>
      </c>
      <c r="G14" s="12">
        <v>0</v>
      </c>
      <c r="H14" s="88">
        <f t="shared" si="1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1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IF(B$51=0,0,B16/B$51)</f>
        <v>0</v>
      </c>
      <c r="E16" s="27" t="s">
        <v>78</v>
      </c>
      <c r="F16" s="24" t="s">
        <v>33</v>
      </c>
      <c r="G16" s="12">
        <v>0</v>
      </c>
      <c r="H16" s="88">
        <f t="shared" si="1"/>
        <v>0</v>
      </c>
      <c r="I16" s="58"/>
    </row>
    <row r="17" spans="1:9" x14ac:dyDescent="0.4">
      <c r="A17" s="19" t="s">
        <v>118</v>
      </c>
      <c r="B17" s="12">
        <v>0</v>
      </c>
      <c r="C17" s="6">
        <f>IF(B$51=0,0,B17/B$51)</f>
        <v>0</v>
      </c>
      <c r="E17" s="27" t="s">
        <v>79</v>
      </c>
      <c r="F17" s="24" t="s">
        <v>34</v>
      </c>
      <c r="G17" s="12">
        <v>0</v>
      </c>
      <c r="H17" s="88">
        <f t="shared" si="1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1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1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1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>IF(B$52=0,0,G21/B$52)</f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1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1"/>
        <v>0</v>
      </c>
      <c r="I23" s="58"/>
    </row>
    <row r="24" spans="1:9" x14ac:dyDescent="0.4">
      <c r="A24" s="19" t="s">
        <v>184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1"/>
        <v>0</v>
      </c>
      <c r="I24" s="58"/>
    </row>
    <row r="25" spans="1:9" x14ac:dyDescent="0.4">
      <c r="A25" s="19" t="s">
        <v>182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1"/>
        <v>0</v>
      </c>
      <c r="I25" s="58"/>
    </row>
    <row r="26" spans="1:9" x14ac:dyDescent="0.4">
      <c r="A26" s="19" t="s">
        <v>183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1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1"/>
        <v>0</v>
      </c>
      <c r="I27" s="58"/>
    </row>
    <row r="28" spans="1:9" x14ac:dyDescent="0.4">
      <c r="A28" s="20" t="s">
        <v>166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1"/>
        <v>0</v>
      </c>
      <c r="I28" s="58"/>
    </row>
    <row r="29" spans="1:9" x14ac:dyDescent="0.4">
      <c r="A29" s="20" t="s">
        <v>167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1"/>
        <v>0</v>
      </c>
      <c r="I29" s="58"/>
    </row>
    <row r="30" spans="1:9" x14ac:dyDescent="0.4">
      <c r="A30" s="20" t="s">
        <v>165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1"/>
        <v>0</v>
      </c>
      <c r="I30" s="58"/>
    </row>
    <row r="31" spans="1:9" x14ac:dyDescent="0.4">
      <c r="A31" s="19" t="s">
        <v>158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1"/>
        <v>0</v>
      </c>
      <c r="I31" s="58"/>
    </row>
    <row r="32" spans="1:9" x14ac:dyDescent="0.4">
      <c r="A32" s="19" t="s">
        <v>159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1"/>
        <v>0</v>
      </c>
      <c r="I32" s="58"/>
    </row>
    <row r="33" spans="1:9" x14ac:dyDescent="0.4">
      <c r="A33" s="54" t="s">
        <v>136</v>
      </c>
      <c r="B33" s="131">
        <v>0</v>
      </c>
      <c r="C33" s="132"/>
      <c r="E33" s="27" t="s">
        <v>95</v>
      </c>
      <c r="F33" s="24" t="s">
        <v>50</v>
      </c>
      <c r="G33" s="12">
        <v>0</v>
      </c>
      <c r="H33" s="88">
        <f t="shared" si="1"/>
        <v>0</v>
      </c>
      <c r="I33" s="58"/>
    </row>
    <row r="34" spans="1:9" x14ac:dyDescent="0.4">
      <c r="A34" s="22" t="s">
        <v>181</v>
      </c>
      <c r="B34" s="133">
        <v>-1000000</v>
      </c>
      <c r="C34" s="134"/>
      <c r="E34" s="27" t="s">
        <v>96</v>
      </c>
      <c r="F34" s="24" t="s">
        <v>51</v>
      </c>
      <c r="G34" s="12">
        <v>0</v>
      </c>
      <c r="H34" s="88">
        <f t="shared" si="1"/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1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1"/>
        <v>0</v>
      </c>
      <c r="I36" s="58"/>
    </row>
    <row r="37" spans="1:9" x14ac:dyDescent="0.4">
      <c r="A37" s="54" t="s">
        <v>172</v>
      </c>
      <c r="B37" s="101">
        <v>0</v>
      </c>
      <c r="C37" s="98">
        <f t="shared" ref="C37:C49" si="3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1"/>
        <v>0</v>
      </c>
      <c r="I37" s="58"/>
    </row>
    <row r="38" spans="1:9" x14ac:dyDescent="0.4">
      <c r="A38" s="19" t="s">
        <v>168</v>
      </c>
      <c r="B38" s="12">
        <v>0</v>
      </c>
      <c r="C38" s="6">
        <f t="shared" si="3"/>
        <v>0</v>
      </c>
      <c r="E38" s="27" t="s">
        <v>100</v>
      </c>
      <c r="F38" s="24" t="s">
        <v>55</v>
      </c>
      <c r="G38" s="12">
        <v>0</v>
      </c>
      <c r="H38" s="88">
        <f t="shared" si="1"/>
        <v>0</v>
      </c>
      <c r="I38" s="58"/>
    </row>
    <row r="39" spans="1:9" x14ac:dyDescent="0.4">
      <c r="A39" s="19" t="s">
        <v>169</v>
      </c>
      <c r="B39" s="102">
        <v>0</v>
      </c>
      <c r="C39" s="6">
        <f t="shared" si="3"/>
        <v>0</v>
      </c>
      <c r="E39" s="27" t="s">
        <v>101</v>
      </c>
      <c r="F39" s="24" t="s">
        <v>56</v>
      </c>
      <c r="G39" s="12">
        <v>0</v>
      </c>
      <c r="H39" s="88">
        <f t="shared" si="1"/>
        <v>0</v>
      </c>
      <c r="I39" s="58"/>
    </row>
    <row r="40" spans="1:9" x14ac:dyDescent="0.4">
      <c r="A40" s="19" t="s">
        <v>170</v>
      </c>
      <c r="B40" s="102">
        <v>0</v>
      </c>
      <c r="C40" s="6">
        <f t="shared" si="3"/>
        <v>0</v>
      </c>
      <c r="E40" s="27" t="s">
        <v>102</v>
      </c>
      <c r="F40" s="24" t="s">
        <v>57</v>
      </c>
      <c r="G40" s="12">
        <v>0</v>
      </c>
      <c r="H40" s="88">
        <f t="shared" si="1"/>
        <v>0</v>
      </c>
      <c r="I40" s="58"/>
    </row>
    <row r="41" spans="1:9" x14ac:dyDescent="0.4">
      <c r="A41" s="19" t="s">
        <v>171</v>
      </c>
      <c r="B41" s="102">
        <v>0</v>
      </c>
      <c r="C41" s="6">
        <f t="shared" si="3"/>
        <v>0</v>
      </c>
      <c r="E41" s="27" t="s">
        <v>103</v>
      </c>
      <c r="F41" s="24" t="s">
        <v>58</v>
      </c>
      <c r="G41" s="12">
        <v>0</v>
      </c>
      <c r="H41" s="88">
        <f t="shared" si="1"/>
        <v>0</v>
      </c>
      <c r="I41" s="58"/>
    </row>
    <row r="42" spans="1:9" x14ac:dyDescent="0.4">
      <c r="A42" s="19" t="s">
        <v>173</v>
      </c>
      <c r="B42" s="102">
        <v>0</v>
      </c>
      <c r="C42" s="6">
        <f t="shared" si="3"/>
        <v>0</v>
      </c>
      <c r="E42" s="27" t="s">
        <v>104</v>
      </c>
      <c r="F42" s="24" t="s">
        <v>59</v>
      </c>
      <c r="G42" s="12">
        <v>0</v>
      </c>
      <c r="H42" s="88">
        <f t="shared" si="1"/>
        <v>0</v>
      </c>
      <c r="I42" s="58"/>
    </row>
    <row r="43" spans="1:9" x14ac:dyDescent="0.4">
      <c r="A43" s="19" t="s">
        <v>174</v>
      </c>
      <c r="B43" s="102">
        <v>0</v>
      </c>
      <c r="C43" s="6">
        <f t="shared" si="3"/>
        <v>0</v>
      </c>
      <c r="E43" s="27" t="s">
        <v>105</v>
      </c>
      <c r="F43" s="24" t="s">
        <v>112</v>
      </c>
      <c r="G43" s="12">
        <v>0</v>
      </c>
      <c r="H43" s="88">
        <f t="shared" si="1"/>
        <v>0</v>
      </c>
      <c r="I43" s="58"/>
    </row>
    <row r="44" spans="1:9" x14ac:dyDescent="0.4">
      <c r="A44" s="19" t="s">
        <v>175</v>
      </c>
      <c r="B44" s="102">
        <v>0</v>
      </c>
      <c r="C44" s="6">
        <f t="shared" si="3"/>
        <v>0</v>
      </c>
      <c r="E44" s="27" t="s">
        <v>106</v>
      </c>
      <c r="F44" s="24" t="s">
        <v>113</v>
      </c>
      <c r="G44" s="12">
        <v>0</v>
      </c>
      <c r="H44" s="88">
        <f t="shared" si="1"/>
        <v>0</v>
      </c>
      <c r="I44" s="58"/>
    </row>
    <row r="45" spans="1:9" x14ac:dyDescent="0.4">
      <c r="A45" s="19" t="s">
        <v>176</v>
      </c>
      <c r="B45" s="102">
        <v>0</v>
      </c>
      <c r="C45" s="6">
        <f t="shared" si="3"/>
        <v>0</v>
      </c>
      <c r="E45" s="27" t="s">
        <v>107</v>
      </c>
      <c r="F45" s="24" t="s">
        <v>114</v>
      </c>
      <c r="G45" s="12">
        <v>0</v>
      </c>
      <c r="H45" s="88">
        <f t="shared" si="1"/>
        <v>0</v>
      </c>
      <c r="I45" s="58"/>
    </row>
    <row r="46" spans="1:9" x14ac:dyDescent="0.4">
      <c r="A46" s="19" t="s">
        <v>177</v>
      </c>
      <c r="B46" s="102">
        <v>0</v>
      </c>
      <c r="C46" s="6">
        <f t="shared" si="3"/>
        <v>0</v>
      </c>
      <c r="E46" s="27" t="s">
        <v>108</v>
      </c>
      <c r="F46" s="24" t="s">
        <v>60</v>
      </c>
      <c r="G46" s="12">
        <v>0</v>
      </c>
      <c r="H46" s="88">
        <f t="shared" si="1"/>
        <v>0</v>
      </c>
      <c r="I46" s="58"/>
    </row>
    <row r="47" spans="1:9" x14ac:dyDescent="0.4">
      <c r="A47" s="19" t="s">
        <v>178</v>
      </c>
      <c r="B47" s="102">
        <v>0</v>
      </c>
      <c r="C47" s="6">
        <f t="shared" si="3"/>
        <v>0</v>
      </c>
      <c r="E47" s="27" t="s">
        <v>109</v>
      </c>
      <c r="F47" s="24" t="s">
        <v>61</v>
      </c>
      <c r="G47" s="12">
        <v>0</v>
      </c>
      <c r="H47" s="88">
        <f t="shared" si="1"/>
        <v>0</v>
      </c>
      <c r="I47" s="58"/>
    </row>
    <row r="48" spans="1:9" x14ac:dyDescent="0.4">
      <c r="A48" s="19" t="s">
        <v>179</v>
      </c>
      <c r="B48" s="102">
        <v>0</v>
      </c>
      <c r="C48" s="6">
        <f t="shared" si="3"/>
        <v>0</v>
      </c>
      <c r="E48" s="27" t="s">
        <v>110</v>
      </c>
      <c r="F48" s="24" t="s">
        <v>62</v>
      </c>
      <c r="G48" s="12">
        <v>0</v>
      </c>
      <c r="H48" s="88">
        <f t="shared" si="1"/>
        <v>0</v>
      </c>
      <c r="I48" s="58"/>
    </row>
    <row r="49" spans="1:9" x14ac:dyDescent="0.4">
      <c r="A49" s="21" t="s">
        <v>180</v>
      </c>
      <c r="B49" s="97">
        <v>0</v>
      </c>
      <c r="C49" s="9">
        <f t="shared" si="3"/>
        <v>0</v>
      </c>
      <c r="E49" s="27" t="s">
        <v>111</v>
      </c>
      <c r="F49" s="24" t="s">
        <v>63</v>
      </c>
      <c r="G49" s="12">
        <v>0</v>
      </c>
      <c r="H49" s="88">
        <f t="shared" si="1"/>
        <v>0</v>
      </c>
      <c r="I49" s="58"/>
    </row>
    <row r="50" spans="1:9" x14ac:dyDescent="0.4">
      <c r="E50" s="27" t="s">
        <v>156</v>
      </c>
      <c r="F50" s="24" t="s">
        <v>157</v>
      </c>
      <c r="G50" s="12">
        <v>0</v>
      </c>
      <c r="H50" s="88">
        <f t="shared" si="1"/>
        <v>0</v>
      </c>
      <c r="I50" s="58"/>
    </row>
    <row r="51" spans="1:9" x14ac:dyDescent="0.4">
      <c r="A51" s="54" t="s">
        <v>206</v>
      </c>
      <c r="B51" s="125">
        <v>0</v>
      </c>
      <c r="C51" s="126"/>
      <c r="E51" s="91" t="s">
        <v>160</v>
      </c>
      <c r="F51" s="92" t="s">
        <v>161</v>
      </c>
      <c r="G51" s="13">
        <v>0</v>
      </c>
      <c r="H51" s="93">
        <f t="shared" si="1"/>
        <v>0</v>
      </c>
      <c r="I51" s="94"/>
    </row>
    <row r="52" spans="1:9" x14ac:dyDescent="0.4">
      <c r="A52" s="21" t="s">
        <v>207</v>
      </c>
      <c r="B52" s="127">
        <v>0</v>
      </c>
      <c r="C52" s="128"/>
      <c r="E52" s="28" t="s">
        <v>162</v>
      </c>
      <c r="F52" s="25" t="s">
        <v>163</v>
      </c>
      <c r="G52" s="14">
        <v>0</v>
      </c>
      <c r="H52" s="89">
        <f t="shared" si="1"/>
        <v>0</v>
      </c>
      <c r="I52" s="59"/>
    </row>
  </sheetData>
  <mergeCells count="12">
    <mergeCell ref="B7:C7"/>
    <mergeCell ref="B6:C6"/>
    <mergeCell ref="B1:C1"/>
    <mergeCell ref="B2:C2"/>
    <mergeCell ref="B3:C3"/>
    <mergeCell ref="B4:C4"/>
    <mergeCell ref="B5:C5"/>
    <mergeCell ref="B51:C51"/>
    <mergeCell ref="B52:C52"/>
    <mergeCell ref="B14:C14"/>
    <mergeCell ref="B33:C33"/>
    <mergeCell ref="B34:C34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47" t="s">
        <v>9</v>
      </c>
      <c r="C1" s="148"/>
      <c r="D1" s="145" t="s">
        <v>6</v>
      </c>
      <c r="E1" s="146"/>
      <c r="F1" s="145" t="s">
        <v>7</v>
      </c>
      <c r="G1" s="146"/>
      <c r="H1" s="147" t="s">
        <v>196</v>
      </c>
      <c r="I1" s="148"/>
      <c r="J1" s="145" t="s">
        <v>15</v>
      </c>
      <c r="K1" s="146"/>
      <c r="L1" s="145" t="s">
        <v>14</v>
      </c>
      <c r="M1" s="146"/>
      <c r="N1" s="145" t="s">
        <v>150</v>
      </c>
      <c r="O1" s="146"/>
      <c r="P1" s="145" t="s">
        <v>143</v>
      </c>
      <c r="Q1" s="146"/>
      <c r="R1" s="145" t="s">
        <v>144</v>
      </c>
      <c r="S1" s="146"/>
      <c r="T1" s="145" t="s">
        <v>5</v>
      </c>
      <c r="U1" s="146"/>
      <c r="V1" s="145" t="s">
        <v>16</v>
      </c>
      <c r="W1" s="146"/>
      <c r="X1" s="145" t="s">
        <v>17</v>
      </c>
      <c r="Y1" s="146"/>
      <c r="Z1" s="145" t="s">
        <v>122</v>
      </c>
      <c r="AA1" s="146"/>
      <c r="AB1" s="145" t="s">
        <v>119</v>
      </c>
      <c r="AC1" s="146"/>
      <c r="AD1" s="145" t="s">
        <v>125</v>
      </c>
      <c r="AE1" s="146"/>
      <c r="AF1" s="145" t="s">
        <v>145</v>
      </c>
      <c r="AG1" s="146"/>
      <c r="AH1" s="145" t="s">
        <v>138</v>
      </c>
      <c r="AI1" s="146"/>
      <c r="AJ1" s="145" t="s">
        <v>181</v>
      </c>
      <c r="AK1" s="146"/>
    </row>
    <row r="2" spans="1:37" x14ac:dyDescent="0.4">
      <c r="A2" s="36" t="s">
        <v>149</v>
      </c>
      <c r="B2" s="143">
        <v>0.68852555856499487</v>
      </c>
      <c r="C2" s="144"/>
      <c r="D2" s="143">
        <v>0.99163008801355201</v>
      </c>
      <c r="E2" s="144"/>
      <c r="F2" s="143">
        <v>0.78324410954477719</v>
      </c>
      <c r="G2" s="144"/>
      <c r="H2" s="149"/>
      <c r="I2" s="150"/>
      <c r="J2" s="143">
        <v>0.81175494556865158</v>
      </c>
      <c r="K2" s="144"/>
      <c r="L2" s="143">
        <v>0.84299858341863798</v>
      </c>
      <c r="M2" s="144"/>
      <c r="N2" s="143">
        <v>0.76715060755458386</v>
      </c>
      <c r="O2" s="144"/>
      <c r="P2" s="143">
        <v>0.72514913310064211</v>
      </c>
      <c r="Q2" s="144"/>
      <c r="R2" s="143">
        <v>0.64528003426633096</v>
      </c>
      <c r="S2" s="144"/>
      <c r="T2" s="143">
        <v>0.1264046409622494</v>
      </c>
      <c r="U2" s="144"/>
      <c r="V2" s="143">
        <v>0.14034097066867912</v>
      </c>
      <c r="W2" s="144"/>
      <c r="X2" s="143">
        <v>0.61850718851826525</v>
      </c>
      <c r="Y2" s="144"/>
      <c r="Z2" s="143">
        <v>0.34272668182718724</v>
      </c>
      <c r="AA2" s="144"/>
      <c r="AB2" s="143">
        <v>-0.27596029870698408</v>
      </c>
      <c r="AC2" s="144"/>
      <c r="AD2" s="143">
        <v>0.68030646646519533</v>
      </c>
      <c r="AE2" s="144"/>
      <c r="AF2" s="143">
        <v>0.62428482193320733</v>
      </c>
      <c r="AG2" s="144"/>
      <c r="AH2" s="143">
        <v>-0.41531220075647107</v>
      </c>
      <c r="AI2" s="144"/>
      <c r="AJ2" s="143">
        <v>0.46799072866840752</v>
      </c>
      <c r="AK2" s="144"/>
    </row>
    <row r="3" spans="1:37" x14ac:dyDescent="0.4">
      <c r="A3" s="38">
        <v>1</v>
      </c>
      <c r="B3" s="41" t="s">
        <v>139</v>
      </c>
      <c r="C3" s="113">
        <v>301</v>
      </c>
      <c r="D3" s="39" t="s">
        <v>126</v>
      </c>
      <c r="E3" s="40">
        <v>1889.9999999999993</v>
      </c>
      <c r="F3" s="41" t="s">
        <v>246</v>
      </c>
      <c r="G3" s="60">
        <v>8</v>
      </c>
      <c r="H3" s="41" t="s">
        <v>126</v>
      </c>
      <c r="I3" s="45">
        <v>1725.615346745682</v>
      </c>
      <c r="J3" s="41" t="s">
        <v>126</v>
      </c>
      <c r="K3" s="42">
        <v>1.7470817120622568</v>
      </c>
      <c r="L3" s="41" t="s">
        <v>246</v>
      </c>
      <c r="M3" s="43">
        <v>0.5</v>
      </c>
      <c r="N3" s="41" t="s">
        <v>126</v>
      </c>
      <c r="O3" s="43">
        <v>0.19844357976653695</v>
      </c>
      <c r="P3" s="41" t="s">
        <v>246</v>
      </c>
      <c r="Q3" s="44">
        <v>0.38</v>
      </c>
      <c r="R3" s="41" t="s">
        <v>246</v>
      </c>
      <c r="S3" s="44">
        <v>0.08</v>
      </c>
      <c r="T3" s="41" t="s">
        <v>198</v>
      </c>
      <c r="U3" s="45">
        <v>12333.333333333334</v>
      </c>
      <c r="V3" s="41" t="s">
        <v>209</v>
      </c>
      <c r="W3" s="45">
        <v>-8240</v>
      </c>
      <c r="X3" s="41" t="s">
        <v>198</v>
      </c>
      <c r="Y3" s="43">
        <v>0</v>
      </c>
      <c r="Z3" s="41" t="s">
        <v>198</v>
      </c>
      <c r="AA3" s="44">
        <v>0.42105263157894735</v>
      </c>
      <c r="AB3" s="41" t="s">
        <v>191</v>
      </c>
      <c r="AC3" s="44">
        <v>0.35483870967741937</v>
      </c>
      <c r="AD3" s="41" t="s">
        <v>214</v>
      </c>
      <c r="AE3" s="44">
        <v>0.75</v>
      </c>
      <c r="AF3" s="41" t="s">
        <v>198</v>
      </c>
      <c r="AG3" s="44">
        <v>1</v>
      </c>
      <c r="AH3" s="41" t="s">
        <v>209</v>
      </c>
      <c r="AI3" s="44">
        <v>1</v>
      </c>
      <c r="AJ3" s="41" t="s">
        <v>164</v>
      </c>
      <c r="AK3" s="55">
        <v>124700</v>
      </c>
    </row>
    <row r="4" spans="1:37" x14ac:dyDescent="0.4">
      <c r="A4" s="46">
        <v>2</v>
      </c>
      <c r="B4" s="49" t="s">
        <v>126</v>
      </c>
      <c r="C4" s="114">
        <v>257</v>
      </c>
      <c r="D4" s="47" t="s">
        <v>211</v>
      </c>
      <c r="E4" s="48">
        <v>270.8</v>
      </c>
      <c r="F4" s="49" t="s">
        <v>126</v>
      </c>
      <c r="G4" s="61">
        <v>7.3540856031128374</v>
      </c>
      <c r="H4" s="49" t="s">
        <v>211</v>
      </c>
      <c r="I4" s="53">
        <v>1545.9176766405806</v>
      </c>
      <c r="J4" s="49" t="s">
        <v>246</v>
      </c>
      <c r="K4" s="50">
        <v>1.8333333333333333</v>
      </c>
      <c r="L4" s="49" t="s">
        <v>126</v>
      </c>
      <c r="M4" s="51">
        <v>0.45136186770428016</v>
      </c>
      <c r="N4" s="49" t="s">
        <v>198</v>
      </c>
      <c r="O4" s="51">
        <v>0.25</v>
      </c>
      <c r="P4" s="49" t="s">
        <v>126</v>
      </c>
      <c r="Q4" s="52">
        <v>0.35714285714285715</v>
      </c>
      <c r="R4" s="49" t="s">
        <v>126</v>
      </c>
      <c r="S4" s="52">
        <v>0.14028776978417265</v>
      </c>
      <c r="T4" s="49" t="s">
        <v>223</v>
      </c>
      <c r="U4" s="53">
        <v>11054.794520547945</v>
      </c>
      <c r="V4" s="49" t="s">
        <v>191</v>
      </c>
      <c r="W4" s="53">
        <v>-8745.2830188679254</v>
      </c>
      <c r="X4" s="49" t="s">
        <v>126</v>
      </c>
      <c r="Y4" s="51">
        <v>9.727626459143969E-2</v>
      </c>
      <c r="Z4" s="49" t="s">
        <v>246</v>
      </c>
      <c r="AA4" s="52">
        <v>0.42</v>
      </c>
      <c r="AB4" s="49" t="s">
        <v>211</v>
      </c>
      <c r="AC4" s="52">
        <v>0.29661016949152541</v>
      </c>
      <c r="AD4" s="49" t="s">
        <v>126</v>
      </c>
      <c r="AE4" s="52">
        <v>0.65486725663716816</v>
      </c>
      <c r="AF4" s="49" t="s">
        <v>246</v>
      </c>
      <c r="AG4" s="52">
        <v>0.5</v>
      </c>
      <c r="AH4" s="49" t="s">
        <v>190</v>
      </c>
      <c r="AI4" s="52">
        <v>0.47826086956521741</v>
      </c>
      <c r="AJ4" s="49" t="s">
        <v>139</v>
      </c>
      <c r="AK4" s="56">
        <v>124700</v>
      </c>
    </row>
    <row r="5" spans="1:37" x14ac:dyDescent="0.4">
      <c r="A5" s="46">
        <v>3</v>
      </c>
      <c r="B5" s="49" t="s">
        <v>195</v>
      </c>
      <c r="C5" s="114">
        <v>142</v>
      </c>
      <c r="D5" s="47" t="s">
        <v>193</v>
      </c>
      <c r="E5" s="48">
        <v>203.39999999999984</v>
      </c>
      <c r="F5" s="49" t="s">
        <v>211</v>
      </c>
      <c r="G5" s="61">
        <v>4.1661538461538461</v>
      </c>
      <c r="H5" s="49" t="s">
        <v>193</v>
      </c>
      <c r="I5" s="53">
        <v>1534.2150035330292</v>
      </c>
      <c r="J5" s="49" t="s">
        <v>211</v>
      </c>
      <c r="K5" s="50">
        <v>1.9230769230769231</v>
      </c>
      <c r="L5" s="49" t="s">
        <v>193</v>
      </c>
      <c r="M5" s="51">
        <v>0.37398373983739835</v>
      </c>
      <c r="N5" s="49" t="s">
        <v>211</v>
      </c>
      <c r="O5" s="51">
        <v>0.26153846153846155</v>
      </c>
      <c r="P5" s="49" t="s">
        <v>211</v>
      </c>
      <c r="Q5" s="52">
        <v>0.34388185654008441</v>
      </c>
      <c r="R5" s="49" t="s">
        <v>211</v>
      </c>
      <c r="S5" s="52">
        <v>0.15400843881856541</v>
      </c>
      <c r="T5" s="49" t="s">
        <v>195</v>
      </c>
      <c r="U5" s="53">
        <v>10792.708333333334</v>
      </c>
      <c r="V5" s="49" t="s">
        <v>211</v>
      </c>
      <c r="W5" s="53">
        <v>-8854.7945205479446</v>
      </c>
      <c r="X5" s="49" t="s">
        <v>211</v>
      </c>
      <c r="Y5" s="51">
        <v>0.1076923076923077</v>
      </c>
      <c r="Z5" s="49" t="s">
        <v>223</v>
      </c>
      <c r="AA5" s="52">
        <v>0.30851063829787234</v>
      </c>
      <c r="AB5" s="49" t="s">
        <v>190</v>
      </c>
      <c r="AC5" s="52">
        <v>0.28333333333333333</v>
      </c>
      <c r="AD5" s="49" t="s">
        <v>246</v>
      </c>
      <c r="AE5" s="52">
        <v>0.61904761904761907</v>
      </c>
      <c r="AF5" s="49" t="s">
        <v>126</v>
      </c>
      <c r="AG5" s="52">
        <v>0.49196141479099681</v>
      </c>
      <c r="AH5" s="49" t="s">
        <v>195</v>
      </c>
      <c r="AI5" s="52">
        <v>0.4548611111111111</v>
      </c>
      <c r="AJ5" s="49" t="s">
        <v>126</v>
      </c>
      <c r="AK5" s="56">
        <v>120200</v>
      </c>
    </row>
    <row r="6" spans="1:37" x14ac:dyDescent="0.4">
      <c r="A6" s="46">
        <v>4</v>
      </c>
      <c r="B6" s="49" t="s">
        <v>164</v>
      </c>
      <c r="C6" s="114">
        <v>131</v>
      </c>
      <c r="D6" s="47" t="s">
        <v>246</v>
      </c>
      <c r="E6" s="48">
        <v>48</v>
      </c>
      <c r="F6" s="49" t="s">
        <v>193</v>
      </c>
      <c r="G6" s="61">
        <v>1.6536585365853644</v>
      </c>
      <c r="H6" s="49" t="s">
        <v>139</v>
      </c>
      <c r="I6" s="53">
        <v>1529.2261153164725</v>
      </c>
      <c r="J6" s="49" t="s">
        <v>193</v>
      </c>
      <c r="K6" s="50">
        <v>1.9268292682926829</v>
      </c>
      <c r="L6" s="49" t="s">
        <v>211</v>
      </c>
      <c r="M6" s="51">
        <v>0.33846153846153848</v>
      </c>
      <c r="N6" s="49" t="s">
        <v>193</v>
      </c>
      <c r="O6" s="51">
        <v>0.30081300813008133</v>
      </c>
      <c r="P6" s="49" t="s">
        <v>139</v>
      </c>
      <c r="Q6" s="52">
        <v>0.30104257167680276</v>
      </c>
      <c r="R6" s="49" t="s">
        <v>193</v>
      </c>
      <c r="S6" s="52">
        <v>0.16059957173447537</v>
      </c>
      <c r="T6" s="49" t="s">
        <v>164</v>
      </c>
      <c r="U6" s="53">
        <v>10578.125</v>
      </c>
      <c r="V6" s="49" t="s">
        <v>223</v>
      </c>
      <c r="W6" s="53">
        <v>-8859.5744680851058</v>
      </c>
      <c r="X6" s="49" t="s">
        <v>193</v>
      </c>
      <c r="Y6" s="51">
        <v>0.11382113821138211</v>
      </c>
      <c r="Z6" s="49" t="s">
        <v>126</v>
      </c>
      <c r="AA6" s="52">
        <v>0.30335570469798656</v>
      </c>
      <c r="AB6" s="49" t="s">
        <v>205</v>
      </c>
      <c r="AC6" s="52">
        <v>0.27272727272727271</v>
      </c>
      <c r="AD6" s="49" t="s">
        <v>164</v>
      </c>
      <c r="AE6" s="52">
        <v>0.58445945945945943</v>
      </c>
      <c r="AF6" s="49" t="s">
        <v>211</v>
      </c>
      <c r="AG6" s="52">
        <v>0.42857142857142855</v>
      </c>
      <c r="AH6" s="49" t="s">
        <v>223</v>
      </c>
      <c r="AI6" s="52">
        <v>0.45205479452054792</v>
      </c>
      <c r="AJ6" s="49" t="s">
        <v>211</v>
      </c>
      <c r="AK6" s="56">
        <v>118000</v>
      </c>
    </row>
    <row r="7" spans="1:37" x14ac:dyDescent="0.4">
      <c r="A7" s="46">
        <v>5</v>
      </c>
      <c r="B7" s="49" t="s">
        <v>193</v>
      </c>
      <c r="C7" s="114">
        <v>123</v>
      </c>
      <c r="D7" s="47" t="s">
        <v>139</v>
      </c>
      <c r="E7" s="48">
        <v>5.8619775700208265E-14</v>
      </c>
      <c r="F7" s="49" t="s">
        <v>139</v>
      </c>
      <c r="G7" s="61">
        <v>6.491669512758391E-17</v>
      </c>
      <c r="H7" s="49" t="s">
        <v>246</v>
      </c>
      <c r="I7" s="53">
        <v>1508.2667114551803</v>
      </c>
      <c r="J7" s="49" t="s">
        <v>139</v>
      </c>
      <c r="K7" s="50">
        <v>2</v>
      </c>
      <c r="L7" s="49" t="s">
        <v>223</v>
      </c>
      <c r="M7" s="51">
        <v>0.33333333333333331</v>
      </c>
      <c r="N7" s="49" t="s">
        <v>139</v>
      </c>
      <c r="O7" s="51">
        <v>0.33333333333333331</v>
      </c>
      <c r="P7" s="49" t="s">
        <v>193</v>
      </c>
      <c r="Q7" s="52">
        <v>0.29871520342612418</v>
      </c>
      <c r="R7" s="49" t="s">
        <v>198</v>
      </c>
      <c r="S7" s="52">
        <v>0.16666666666666666</v>
      </c>
      <c r="T7" s="49" t="s">
        <v>193</v>
      </c>
      <c r="U7" s="53">
        <v>10381.362007168458</v>
      </c>
      <c r="V7" s="49" t="s">
        <v>193</v>
      </c>
      <c r="W7" s="53">
        <v>-9180.6666666666661</v>
      </c>
      <c r="X7" s="49" t="s">
        <v>139</v>
      </c>
      <c r="Y7" s="51">
        <v>0.15171650055370986</v>
      </c>
      <c r="Z7" s="49" t="s">
        <v>164</v>
      </c>
      <c r="AA7" s="52">
        <v>0.30234933605720121</v>
      </c>
      <c r="AB7" s="49" t="s">
        <v>139</v>
      </c>
      <c r="AC7" s="52">
        <v>0.21785063752276868</v>
      </c>
      <c r="AD7" s="49" t="s">
        <v>139</v>
      </c>
      <c r="AE7" s="52">
        <v>0.58413307741522713</v>
      </c>
      <c r="AF7" s="49" t="s">
        <v>139</v>
      </c>
      <c r="AG7" s="52">
        <v>0.40050167224080269</v>
      </c>
      <c r="AH7" s="49" t="s">
        <v>164</v>
      </c>
      <c r="AI7" s="52">
        <v>0.4375</v>
      </c>
      <c r="AJ7" s="49" t="s">
        <v>193</v>
      </c>
      <c r="AK7" s="56">
        <v>109300</v>
      </c>
    </row>
    <row r="8" spans="1:37" x14ac:dyDescent="0.4">
      <c r="A8" s="46">
        <v>6</v>
      </c>
      <c r="B8" s="49" t="s">
        <v>190</v>
      </c>
      <c r="C8" s="114">
        <v>85</v>
      </c>
      <c r="D8" s="47" t="s">
        <v>223</v>
      </c>
      <c r="E8" s="48">
        <v>-9.3999999999999773</v>
      </c>
      <c r="F8" s="49" t="s">
        <v>223</v>
      </c>
      <c r="G8" s="61">
        <v>-0.28484848484848418</v>
      </c>
      <c r="H8" s="49" t="s">
        <v>223</v>
      </c>
      <c r="I8" s="53">
        <v>1500.5113530760734</v>
      </c>
      <c r="J8" s="49" t="s">
        <v>198</v>
      </c>
      <c r="K8" s="50">
        <v>2</v>
      </c>
      <c r="L8" s="49" t="s">
        <v>139</v>
      </c>
      <c r="M8" s="51">
        <v>0.33333333333333331</v>
      </c>
      <c r="N8" s="49" t="s">
        <v>246</v>
      </c>
      <c r="O8" s="51">
        <v>0.33333333333333331</v>
      </c>
      <c r="P8" s="49" t="s">
        <v>164</v>
      </c>
      <c r="Q8" s="52">
        <v>0.28346456692913385</v>
      </c>
      <c r="R8" s="49" t="s">
        <v>139</v>
      </c>
      <c r="S8" s="52">
        <v>0.17043150883289893</v>
      </c>
      <c r="T8" s="49" t="s">
        <v>139</v>
      </c>
      <c r="U8" s="53">
        <v>10092.544492544492</v>
      </c>
      <c r="V8" s="49" t="s">
        <v>205</v>
      </c>
      <c r="W8" s="53">
        <v>-9190.9090909090901</v>
      </c>
      <c r="X8" s="49" t="s">
        <v>246</v>
      </c>
      <c r="Y8" s="51">
        <v>0.16666666666666666</v>
      </c>
      <c r="Z8" s="49" t="s">
        <v>193</v>
      </c>
      <c r="AA8" s="52">
        <v>0.29702970297029702</v>
      </c>
      <c r="AB8" s="49" t="s">
        <v>193</v>
      </c>
      <c r="AC8" s="52">
        <v>0.21534653465346534</v>
      </c>
      <c r="AD8" s="49" t="s">
        <v>211</v>
      </c>
      <c r="AE8" s="52">
        <v>0.58181818181818179</v>
      </c>
      <c r="AF8" s="49" t="s">
        <v>164</v>
      </c>
      <c r="AG8" s="52">
        <v>0.39226519337016574</v>
      </c>
      <c r="AH8" s="49" t="s">
        <v>193</v>
      </c>
      <c r="AI8" s="52">
        <v>0.43727598566308246</v>
      </c>
      <c r="AJ8" s="49" t="s">
        <v>223</v>
      </c>
      <c r="AK8" s="56">
        <v>109300</v>
      </c>
    </row>
    <row r="9" spans="1:37" x14ac:dyDescent="0.4">
      <c r="A9" s="46">
        <v>7</v>
      </c>
      <c r="B9" s="49" t="s">
        <v>211</v>
      </c>
      <c r="C9" s="114">
        <v>65</v>
      </c>
      <c r="D9" s="47" t="s">
        <v>198</v>
      </c>
      <c r="E9" s="48">
        <v>-15.5</v>
      </c>
      <c r="F9" s="49" t="s">
        <v>164</v>
      </c>
      <c r="G9" s="61">
        <v>-3.5213740458015259</v>
      </c>
      <c r="H9" s="49" t="s">
        <v>198</v>
      </c>
      <c r="I9" s="53">
        <v>1496.6074401278402</v>
      </c>
      <c r="J9" s="49" t="s">
        <v>223</v>
      </c>
      <c r="K9" s="50">
        <v>2.0606060606060606</v>
      </c>
      <c r="L9" s="49" t="s">
        <v>195</v>
      </c>
      <c r="M9" s="51">
        <v>0.28873239436619719</v>
      </c>
      <c r="N9" s="49" t="s">
        <v>223</v>
      </c>
      <c r="O9" s="51">
        <v>0.39393939393939392</v>
      </c>
      <c r="P9" s="49" t="s">
        <v>190</v>
      </c>
      <c r="Q9" s="52">
        <v>0.27878787878787881</v>
      </c>
      <c r="R9" s="49" t="s">
        <v>223</v>
      </c>
      <c r="S9" s="52">
        <v>0.17407407407407408</v>
      </c>
      <c r="T9" s="49" t="s">
        <v>126</v>
      </c>
      <c r="U9" s="53">
        <v>9923.1654676258986</v>
      </c>
      <c r="V9" s="49" t="s">
        <v>126</v>
      </c>
      <c r="W9" s="53">
        <v>-9277.6556776556772</v>
      </c>
      <c r="X9" s="49" t="s">
        <v>164</v>
      </c>
      <c r="Y9" s="51">
        <v>0.17557251908396945</v>
      </c>
      <c r="Z9" s="49" t="s">
        <v>195</v>
      </c>
      <c r="AA9" s="52">
        <v>0.28859857482185275</v>
      </c>
      <c r="AB9" s="49" t="s">
        <v>126</v>
      </c>
      <c r="AC9" s="52">
        <v>0.20872483221476509</v>
      </c>
      <c r="AD9" s="49" t="s">
        <v>195</v>
      </c>
      <c r="AE9" s="52">
        <v>0.58024691358024694</v>
      </c>
      <c r="AF9" s="49" t="s">
        <v>195</v>
      </c>
      <c r="AG9" s="52">
        <v>0.38926174496644295</v>
      </c>
      <c r="AH9" s="49" t="s">
        <v>211</v>
      </c>
      <c r="AI9" s="52">
        <v>0.42944785276073622</v>
      </c>
      <c r="AJ9" s="49" t="s">
        <v>190</v>
      </c>
      <c r="AK9" s="56">
        <v>103200</v>
      </c>
    </row>
    <row r="10" spans="1:37" x14ac:dyDescent="0.4">
      <c r="A10" s="46">
        <v>8</v>
      </c>
      <c r="B10" s="49" t="s">
        <v>191</v>
      </c>
      <c r="C10" s="114">
        <v>36</v>
      </c>
      <c r="D10" s="47" t="s">
        <v>214</v>
      </c>
      <c r="E10" s="48">
        <v>-86.4</v>
      </c>
      <c r="F10" s="49" t="s">
        <v>195</v>
      </c>
      <c r="G10" s="61">
        <v>-3.7922535211267596</v>
      </c>
      <c r="H10" s="49" t="s">
        <v>214</v>
      </c>
      <c r="I10" s="53">
        <v>1484.6521503082251</v>
      </c>
      <c r="J10" s="49" t="s">
        <v>195</v>
      </c>
      <c r="K10" s="50">
        <v>2.1056338028169015</v>
      </c>
      <c r="L10" s="49" t="s">
        <v>198</v>
      </c>
      <c r="M10" s="51">
        <v>0.25</v>
      </c>
      <c r="N10" s="49" t="s">
        <v>195</v>
      </c>
      <c r="O10" s="51">
        <v>0.39436619718309857</v>
      </c>
      <c r="P10" s="49" t="s">
        <v>223</v>
      </c>
      <c r="Q10" s="52">
        <v>0.27037037037037037</v>
      </c>
      <c r="R10" s="49" t="s">
        <v>191</v>
      </c>
      <c r="S10" s="52">
        <v>0.18996415770609318</v>
      </c>
      <c r="T10" s="49" t="s">
        <v>211</v>
      </c>
      <c r="U10" s="53">
        <v>9707.3619631901838</v>
      </c>
      <c r="V10" s="49" t="s">
        <v>139</v>
      </c>
      <c r="W10" s="53">
        <v>-9359.0484282073066</v>
      </c>
      <c r="X10" s="49" t="s">
        <v>223</v>
      </c>
      <c r="Y10" s="51">
        <v>0.18181818181818182</v>
      </c>
      <c r="Z10" s="49" t="s">
        <v>139</v>
      </c>
      <c r="AA10" s="52">
        <v>0.28469945355191256</v>
      </c>
      <c r="AB10" s="49" t="s">
        <v>223</v>
      </c>
      <c r="AC10" s="52">
        <v>0.20744680851063829</v>
      </c>
      <c r="AD10" s="49" t="s">
        <v>193</v>
      </c>
      <c r="AE10" s="52">
        <v>0.55833333333333335</v>
      </c>
      <c r="AF10" s="49" t="s">
        <v>193</v>
      </c>
      <c r="AG10" s="52">
        <v>0.37931034482758619</v>
      </c>
      <c r="AH10" s="49" t="s">
        <v>139</v>
      </c>
      <c r="AI10" s="52">
        <v>0.42279942279942279</v>
      </c>
      <c r="AJ10" s="49" t="s">
        <v>195</v>
      </c>
      <c r="AK10" s="56">
        <v>97700</v>
      </c>
    </row>
    <row r="11" spans="1:37" x14ac:dyDescent="0.4">
      <c r="A11" s="46">
        <v>9</v>
      </c>
      <c r="B11" s="49" t="s">
        <v>223</v>
      </c>
      <c r="C11" s="114">
        <v>33</v>
      </c>
      <c r="D11" s="47" t="s">
        <v>209</v>
      </c>
      <c r="E11" s="48">
        <v>-132.1</v>
      </c>
      <c r="F11" s="49" t="s">
        <v>198</v>
      </c>
      <c r="G11" s="61">
        <v>-3.875</v>
      </c>
      <c r="H11" s="49" t="s">
        <v>209</v>
      </c>
      <c r="I11" s="53">
        <v>1476.2954110473599</v>
      </c>
      <c r="J11" s="49" t="s">
        <v>164</v>
      </c>
      <c r="K11" s="50">
        <v>2.1603053435114505</v>
      </c>
      <c r="L11" s="49" t="s">
        <v>164</v>
      </c>
      <c r="M11" s="51">
        <v>0.24427480916030533</v>
      </c>
      <c r="N11" s="49" t="s">
        <v>214</v>
      </c>
      <c r="O11" s="51">
        <v>0.4</v>
      </c>
      <c r="P11" s="49" t="s">
        <v>214</v>
      </c>
      <c r="Q11" s="52">
        <v>0.27027027027027029</v>
      </c>
      <c r="R11" s="49" t="s">
        <v>195</v>
      </c>
      <c r="S11" s="52">
        <v>0.19038984587488667</v>
      </c>
      <c r="T11" s="49" t="s">
        <v>191</v>
      </c>
      <c r="U11" s="53">
        <v>9373.2142857142862</v>
      </c>
      <c r="V11" s="49" t="s">
        <v>164</v>
      </c>
      <c r="W11" s="53">
        <v>-9493.4010152284263</v>
      </c>
      <c r="X11" s="49" t="s">
        <v>190</v>
      </c>
      <c r="Y11" s="51">
        <v>0.18823529411764706</v>
      </c>
      <c r="Z11" s="49" t="s">
        <v>190</v>
      </c>
      <c r="AA11" s="52">
        <v>0.27291666666666664</v>
      </c>
      <c r="AB11" s="49" t="s">
        <v>164</v>
      </c>
      <c r="AC11" s="52">
        <v>0.18488253319713993</v>
      </c>
      <c r="AD11" s="49" t="s">
        <v>223</v>
      </c>
      <c r="AE11" s="52">
        <v>0.51724137931034486</v>
      </c>
      <c r="AF11" s="49" t="s">
        <v>190</v>
      </c>
      <c r="AG11" s="52">
        <v>0.36764705882352944</v>
      </c>
      <c r="AH11" s="49" t="s">
        <v>205</v>
      </c>
      <c r="AI11" s="52">
        <v>0.41176470588235292</v>
      </c>
      <c r="AJ11" s="49" t="s">
        <v>246</v>
      </c>
      <c r="AK11" s="56">
        <v>78000</v>
      </c>
    </row>
    <row r="12" spans="1:37" x14ac:dyDescent="0.4">
      <c r="A12" s="46">
        <v>10</v>
      </c>
      <c r="B12" s="49" t="s">
        <v>205</v>
      </c>
      <c r="C12" s="114">
        <v>12</v>
      </c>
      <c r="D12" s="47" t="s">
        <v>205</v>
      </c>
      <c r="E12" s="48">
        <v>-155.1</v>
      </c>
      <c r="F12" s="49" t="s">
        <v>190</v>
      </c>
      <c r="G12" s="61">
        <v>-6.5764705882352938</v>
      </c>
      <c r="H12" s="49" t="s">
        <v>205</v>
      </c>
      <c r="I12" s="53">
        <v>1474.5646598648393</v>
      </c>
      <c r="J12" s="49" t="s">
        <v>214</v>
      </c>
      <c r="K12" s="50">
        <v>2.2000000000000002</v>
      </c>
      <c r="L12" s="49" t="s">
        <v>190</v>
      </c>
      <c r="M12" s="51">
        <v>0.22352941176470589</v>
      </c>
      <c r="N12" s="49" t="s">
        <v>164</v>
      </c>
      <c r="O12" s="51">
        <v>0.40458015267175573</v>
      </c>
      <c r="P12" s="49" t="s">
        <v>195</v>
      </c>
      <c r="Q12" s="52">
        <v>0.26110607434270172</v>
      </c>
      <c r="R12" s="49" t="s">
        <v>190</v>
      </c>
      <c r="S12" s="52">
        <v>0.19090909090909092</v>
      </c>
      <c r="T12" s="49" t="s">
        <v>246</v>
      </c>
      <c r="U12" s="53">
        <v>9163.1578947368416</v>
      </c>
      <c r="V12" s="49" t="s">
        <v>195</v>
      </c>
      <c r="W12" s="53">
        <v>-9621.4285714285706</v>
      </c>
      <c r="X12" s="49" t="s">
        <v>195</v>
      </c>
      <c r="Y12" s="51">
        <v>0.19014084507042253</v>
      </c>
      <c r="Z12" s="49" t="s">
        <v>214</v>
      </c>
      <c r="AA12" s="52">
        <v>0.25806451612903225</v>
      </c>
      <c r="AB12" s="49" t="s">
        <v>195</v>
      </c>
      <c r="AC12" s="52">
        <v>0.17695961995249407</v>
      </c>
      <c r="AD12" s="49" t="s">
        <v>190</v>
      </c>
      <c r="AE12" s="52">
        <v>0.48091603053435117</v>
      </c>
      <c r="AF12" s="49" t="s">
        <v>205</v>
      </c>
      <c r="AG12" s="52">
        <v>0.33333333333333331</v>
      </c>
      <c r="AH12" s="49" t="s">
        <v>126</v>
      </c>
      <c r="AI12" s="52">
        <v>0.38705035971223023</v>
      </c>
      <c r="AJ12" s="49" t="s">
        <v>191</v>
      </c>
      <c r="AK12" s="56">
        <v>67700</v>
      </c>
    </row>
    <row r="13" spans="1:37" x14ac:dyDescent="0.4">
      <c r="A13" s="46">
        <v>11</v>
      </c>
      <c r="B13" s="49" t="s">
        <v>246</v>
      </c>
      <c r="C13" s="114">
        <v>6</v>
      </c>
      <c r="D13" s="47" t="s">
        <v>191</v>
      </c>
      <c r="E13" s="48">
        <v>-454.89999999999992</v>
      </c>
      <c r="F13" s="49" t="s">
        <v>191</v>
      </c>
      <c r="G13" s="61">
        <v>-12.636111111111109</v>
      </c>
      <c r="H13" s="49" t="s">
        <v>164</v>
      </c>
      <c r="I13" s="53">
        <v>1463.4199893501827</v>
      </c>
      <c r="J13" s="49" t="s">
        <v>190</v>
      </c>
      <c r="K13" s="50">
        <v>2.2117647058823531</v>
      </c>
      <c r="L13" s="49" t="s">
        <v>214</v>
      </c>
      <c r="M13" s="51">
        <v>0.2</v>
      </c>
      <c r="N13" s="49" t="s">
        <v>190</v>
      </c>
      <c r="O13" s="51">
        <v>0.43529411764705883</v>
      </c>
      <c r="P13" s="49" t="s">
        <v>198</v>
      </c>
      <c r="Q13" s="52">
        <v>0.25</v>
      </c>
      <c r="R13" s="49" t="s">
        <v>164</v>
      </c>
      <c r="S13" s="52">
        <v>0.19389763779527558</v>
      </c>
      <c r="T13" s="49" t="s">
        <v>190</v>
      </c>
      <c r="U13" s="53">
        <v>8946.1956521739139</v>
      </c>
      <c r="V13" s="49" t="s">
        <v>190</v>
      </c>
      <c r="W13" s="53">
        <v>-9651.5873015873021</v>
      </c>
      <c r="X13" s="49" t="s">
        <v>191</v>
      </c>
      <c r="Y13" s="51">
        <v>0.27777777777777779</v>
      </c>
      <c r="Z13" s="49" t="s">
        <v>211</v>
      </c>
      <c r="AA13" s="52">
        <v>0.23305084745762711</v>
      </c>
      <c r="AB13" s="49" t="s">
        <v>214</v>
      </c>
      <c r="AC13" s="52">
        <v>0.16129032258064516</v>
      </c>
      <c r="AD13" s="49" t="s">
        <v>191</v>
      </c>
      <c r="AE13" s="52">
        <v>0.46153846153846156</v>
      </c>
      <c r="AF13" s="49" t="s">
        <v>191</v>
      </c>
      <c r="AG13" s="52">
        <v>0.28282828282828282</v>
      </c>
      <c r="AH13" s="49" t="s">
        <v>191</v>
      </c>
      <c r="AI13" s="52">
        <v>0.375</v>
      </c>
      <c r="AJ13" s="49" t="s">
        <v>205</v>
      </c>
      <c r="AK13" s="56">
        <v>59500</v>
      </c>
    </row>
    <row r="14" spans="1:37" x14ac:dyDescent="0.4">
      <c r="A14" s="46">
        <v>12</v>
      </c>
      <c r="B14" s="49" t="s">
        <v>214</v>
      </c>
      <c r="C14" s="114">
        <v>5</v>
      </c>
      <c r="D14" s="47" t="s">
        <v>164</v>
      </c>
      <c r="E14" s="48">
        <v>-461.2999999999999</v>
      </c>
      <c r="F14" s="49" t="s">
        <v>205</v>
      </c>
      <c r="G14" s="61">
        <v>-12.924999999999999</v>
      </c>
      <c r="H14" s="49" t="s">
        <v>195</v>
      </c>
      <c r="I14" s="53">
        <v>1441.4918072966886</v>
      </c>
      <c r="J14" s="49" t="s">
        <v>191</v>
      </c>
      <c r="K14" s="50">
        <v>2.3888888888888888</v>
      </c>
      <c r="L14" s="49" t="s">
        <v>191</v>
      </c>
      <c r="M14" s="51">
        <v>0.19444444444444445</v>
      </c>
      <c r="N14" s="49" t="s">
        <v>191</v>
      </c>
      <c r="O14" s="51">
        <v>0.58333333333333337</v>
      </c>
      <c r="P14" s="49" t="s">
        <v>191</v>
      </c>
      <c r="Q14" s="52">
        <v>0.20071684587813621</v>
      </c>
      <c r="R14" s="49" t="s">
        <v>214</v>
      </c>
      <c r="S14" s="52">
        <v>0.21621621621621623</v>
      </c>
      <c r="T14" s="49" t="s">
        <v>205</v>
      </c>
      <c r="U14" s="53">
        <v>8670.5882352941171</v>
      </c>
      <c r="V14" s="49" t="s">
        <v>246</v>
      </c>
      <c r="W14" s="53">
        <v>-10025</v>
      </c>
      <c r="X14" s="49" t="s">
        <v>205</v>
      </c>
      <c r="Y14" s="51">
        <v>0.33333333333333331</v>
      </c>
      <c r="Z14" s="49" t="s">
        <v>191</v>
      </c>
      <c r="AA14" s="52">
        <v>0.13978494623655913</v>
      </c>
      <c r="AB14" s="49" t="s">
        <v>246</v>
      </c>
      <c r="AC14" s="52">
        <v>0.12</v>
      </c>
      <c r="AD14" s="49" t="s">
        <v>205</v>
      </c>
      <c r="AE14" s="52">
        <v>0.41666666666666669</v>
      </c>
      <c r="AF14" s="49" t="s">
        <v>223</v>
      </c>
      <c r="AG14" s="52">
        <v>0.23076923076923078</v>
      </c>
      <c r="AH14" s="49" t="s">
        <v>198</v>
      </c>
      <c r="AI14" s="52">
        <v>0.33333333333333331</v>
      </c>
      <c r="AJ14" s="49" t="s">
        <v>214</v>
      </c>
      <c r="AK14" s="56">
        <v>57800</v>
      </c>
    </row>
    <row r="15" spans="1:37" x14ac:dyDescent="0.4">
      <c r="A15" s="46">
        <v>13</v>
      </c>
      <c r="B15" s="49" t="s">
        <v>209</v>
      </c>
      <c r="C15" s="114">
        <v>4</v>
      </c>
      <c r="D15" s="47" t="s">
        <v>195</v>
      </c>
      <c r="E15" s="48">
        <v>-538.49999999999989</v>
      </c>
      <c r="F15" s="49" t="s">
        <v>214</v>
      </c>
      <c r="G15" s="61">
        <v>-17.28</v>
      </c>
      <c r="H15" s="49" t="s">
        <v>191</v>
      </c>
      <c r="I15" s="53">
        <v>1425.7478958126317</v>
      </c>
      <c r="J15" s="49" t="s">
        <v>205</v>
      </c>
      <c r="K15" s="50">
        <v>2.4166666666666665</v>
      </c>
      <c r="L15" s="49" t="s">
        <v>205</v>
      </c>
      <c r="M15" s="51">
        <v>0.16666666666666666</v>
      </c>
      <c r="N15" s="49" t="s">
        <v>205</v>
      </c>
      <c r="O15" s="51">
        <v>0.58333333333333337</v>
      </c>
      <c r="P15" s="49" t="s">
        <v>205</v>
      </c>
      <c r="Q15" s="52">
        <v>0.19318181818181818</v>
      </c>
      <c r="R15" s="49" t="s">
        <v>205</v>
      </c>
      <c r="S15" s="52">
        <v>0.25</v>
      </c>
      <c r="T15" s="49" t="s">
        <v>209</v>
      </c>
      <c r="U15" s="53">
        <v>7800</v>
      </c>
      <c r="V15" s="49" t="s">
        <v>198</v>
      </c>
      <c r="W15" s="53">
        <v>-12000</v>
      </c>
      <c r="X15" s="49" t="s">
        <v>214</v>
      </c>
      <c r="Y15" s="51">
        <v>0.4</v>
      </c>
      <c r="Z15" s="49" t="s">
        <v>205</v>
      </c>
      <c r="AA15" s="52">
        <v>0.13636363636363635</v>
      </c>
      <c r="AB15" s="49" t="s">
        <v>198</v>
      </c>
      <c r="AC15" s="52">
        <v>0.10526315789473684</v>
      </c>
      <c r="AD15" s="49" t="s">
        <v>198</v>
      </c>
      <c r="AE15" s="52">
        <v>0.25</v>
      </c>
      <c r="AF15" s="49" t="s">
        <v>214</v>
      </c>
      <c r="AG15" s="52">
        <v>0.2</v>
      </c>
      <c r="AH15" s="49" t="s">
        <v>246</v>
      </c>
      <c r="AI15" s="52">
        <v>0.31578947368421051</v>
      </c>
      <c r="AJ15" s="49" t="s">
        <v>198</v>
      </c>
      <c r="AK15" s="56">
        <v>46000</v>
      </c>
    </row>
    <row r="16" spans="1:37" x14ac:dyDescent="0.4">
      <c r="A16" s="46">
        <v>14</v>
      </c>
      <c r="B16" s="49" t="s">
        <v>198</v>
      </c>
      <c r="C16" s="114">
        <v>4</v>
      </c>
      <c r="D16" s="47" t="s">
        <v>190</v>
      </c>
      <c r="E16" s="48">
        <v>-559</v>
      </c>
      <c r="F16" s="49" t="s">
        <v>209</v>
      </c>
      <c r="G16" s="61">
        <v>-33.024999999999999</v>
      </c>
      <c r="H16" s="49" t="s">
        <v>190</v>
      </c>
      <c r="I16" s="53">
        <v>1422.6785404897548</v>
      </c>
      <c r="J16" s="49" t="s">
        <v>209</v>
      </c>
      <c r="K16" s="50">
        <v>3</v>
      </c>
      <c r="L16" s="49" t="s">
        <v>209</v>
      </c>
      <c r="M16" s="51">
        <v>0</v>
      </c>
      <c r="N16" s="49" t="s">
        <v>209</v>
      </c>
      <c r="O16" s="51">
        <v>1</v>
      </c>
      <c r="P16" s="49" t="s">
        <v>209</v>
      </c>
      <c r="Q16" s="52">
        <v>0.04</v>
      </c>
      <c r="R16" s="49" t="s">
        <v>209</v>
      </c>
      <c r="S16" s="52">
        <v>0.4</v>
      </c>
      <c r="T16" s="49" t="s">
        <v>214</v>
      </c>
      <c r="U16" s="53">
        <v>7100</v>
      </c>
      <c r="V16" s="49" t="s">
        <v>214</v>
      </c>
      <c r="W16" s="53">
        <v>-12487.5</v>
      </c>
      <c r="X16" s="49" t="s">
        <v>209</v>
      </c>
      <c r="Y16" s="51">
        <v>0.5</v>
      </c>
      <c r="Z16" s="49" t="s">
        <v>209</v>
      </c>
      <c r="AA16" s="52">
        <v>0</v>
      </c>
      <c r="AB16" s="49" t="s">
        <v>209</v>
      </c>
      <c r="AC16" s="52">
        <v>0</v>
      </c>
      <c r="AD16" s="49" t="s">
        <v>209</v>
      </c>
      <c r="AE16" s="52">
        <v>0</v>
      </c>
      <c r="AF16" s="49" t="s">
        <v>209</v>
      </c>
      <c r="AG16" s="52">
        <v>0</v>
      </c>
      <c r="AH16" s="49" t="s">
        <v>214</v>
      </c>
      <c r="AI16" s="52">
        <v>0.3</v>
      </c>
      <c r="AJ16" s="49" t="s">
        <v>209</v>
      </c>
      <c r="AK16" s="56">
        <v>13000</v>
      </c>
    </row>
  </sheetData>
  <sortState xmlns:xlrd2="http://schemas.microsoft.com/office/spreadsheetml/2017/richdata2" ref="AJ3:AK46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84DE1-3022-47E5-846B-A8288D3B479F}">
  <sheetPr codeName="Sheet4"/>
  <dimension ref="A1:R905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7" t="s">
        <v>139</v>
      </c>
      <c r="C1" s="138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25">
        <v>903</v>
      </c>
      <c r="C2" s="126"/>
      <c r="E2" s="26" t="s">
        <v>66</v>
      </c>
      <c r="F2" s="23" t="s">
        <v>22</v>
      </c>
      <c r="G2" s="11">
        <v>1187</v>
      </c>
      <c r="H2" s="87">
        <f t="shared" ref="H2:H33" si="0">IF(B$52=0,0,G2/B$52)</f>
        <v>0.721580547112462</v>
      </c>
      <c r="I2" s="57">
        <v>6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-15.712682379349046</v>
      </c>
      <c r="Q2" s="76">
        <v>891</v>
      </c>
      <c r="R2" s="63">
        <v>-14000</v>
      </c>
    </row>
    <row r="3" spans="1:18" x14ac:dyDescent="0.4">
      <c r="A3" s="19" t="s">
        <v>8</v>
      </c>
      <c r="B3" s="139">
        <v>6906</v>
      </c>
      <c r="C3" s="140"/>
      <c r="E3" s="27" t="s">
        <v>72</v>
      </c>
      <c r="F3" s="24" t="s">
        <v>27</v>
      </c>
      <c r="G3" s="12">
        <v>931</v>
      </c>
      <c r="H3" s="88">
        <f t="shared" si="0"/>
        <v>0.56595744680851068</v>
      </c>
      <c r="I3" s="58">
        <v>8</v>
      </c>
      <c r="K3" s="74">
        <v>1</v>
      </c>
      <c r="L3" s="119">
        <v>15</v>
      </c>
      <c r="M3" s="117">
        <v>1502.7</v>
      </c>
      <c r="O3" s="74" t="s">
        <v>129</v>
      </c>
      <c r="P3" s="80">
        <f t="shared" si="1"/>
        <v>-3.4965034965034967</v>
      </c>
      <c r="Q3" s="77">
        <v>858</v>
      </c>
      <c r="R3" s="64">
        <v>-3000</v>
      </c>
    </row>
    <row r="4" spans="1:18" x14ac:dyDescent="0.4">
      <c r="A4" s="19" t="s">
        <v>6</v>
      </c>
      <c r="B4" s="141">
        <v>5.8619775700208265E-14</v>
      </c>
      <c r="C4" s="142"/>
      <c r="E4" s="27" t="s">
        <v>64</v>
      </c>
      <c r="F4" s="24" t="s">
        <v>20</v>
      </c>
      <c r="G4" s="12">
        <v>898</v>
      </c>
      <c r="H4" s="88">
        <f t="shared" si="0"/>
        <v>0.54589665653495445</v>
      </c>
      <c r="I4" s="58">
        <v>6</v>
      </c>
      <c r="K4" s="74">
        <v>2</v>
      </c>
      <c r="L4" s="119">
        <v>-7</v>
      </c>
      <c r="M4" s="117">
        <v>1498.7238</v>
      </c>
      <c r="O4" s="74" t="s">
        <v>130</v>
      </c>
      <c r="P4" s="80">
        <f t="shared" si="1"/>
        <v>6.2189054726368163</v>
      </c>
      <c r="Q4" s="77">
        <v>804</v>
      </c>
      <c r="R4" s="64">
        <v>5000</v>
      </c>
    </row>
    <row r="5" spans="1:18" x14ac:dyDescent="0.4">
      <c r="A5" s="19" t="s">
        <v>7</v>
      </c>
      <c r="B5" s="129">
        <f>IF(B$2=0,0,B$4/B$2)</f>
        <v>6.491669512758391E-17</v>
      </c>
      <c r="C5" s="130"/>
      <c r="E5" s="27" t="s">
        <v>68</v>
      </c>
      <c r="F5" s="24" t="s">
        <v>12</v>
      </c>
      <c r="G5" s="12">
        <v>514</v>
      </c>
      <c r="H5" s="88">
        <f t="shared" si="0"/>
        <v>0.31246200607902735</v>
      </c>
      <c r="I5" s="58">
        <v>7</v>
      </c>
      <c r="K5" s="74">
        <v>3</v>
      </c>
      <c r="L5" s="119">
        <v>0</v>
      </c>
      <c r="M5" s="117">
        <v>1499.9914572</v>
      </c>
      <c r="O5" s="74" t="s">
        <v>131</v>
      </c>
      <c r="P5" s="80">
        <f t="shared" si="1"/>
        <v>2.7662517289073305</v>
      </c>
      <c r="Q5" s="77">
        <v>723</v>
      </c>
      <c r="R5" s="64">
        <v>2000</v>
      </c>
    </row>
    <row r="6" spans="1:18" x14ac:dyDescent="0.4">
      <c r="A6" s="19" t="s">
        <v>196</v>
      </c>
      <c r="B6" s="133">
        <v>1529.2261153164725</v>
      </c>
      <c r="C6" s="134"/>
      <c r="E6" s="27" t="s">
        <v>67</v>
      </c>
      <c r="F6" s="24" t="s">
        <v>23</v>
      </c>
      <c r="G6" s="12">
        <v>499</v>
      </c>
      <c r="H6" s="88">
        <f t="shared" si="0"/>
        <v>0.30334346504559273</v>
      </c>
      <c r="I6" s="58">
        <v>6</v>
      </c>
      <c r="K6" s="74">
        <v>4</v>
      </c>
      <c r="L6" s="119">
        <v>-1</v>
      </c>
      <c r="M6" s="117">
        <v>1499.8175084567999</v>
      </c>
      <c r="O6" s="74" t="s">
        <v>132</v>
      </c>
      <c r="P6" s="80">
        <f t="shared" si="1"/>
        <v>11.0062893081761</v>
      </c>
      <c r="Q6" s="77">
        <v>636</v>
      </c>
      <c r="R6" s="64">
        <v>7000</v>
      </c>
    </row>
    <row r="7" spans="1:18" x14ac:dyDescent="0.4">
      <c r="A7" s="19" t="s">
        <v>1</v>
      </c>
      <c r="B7" s="135">
        <f>IF(B$2=0,0,(B$8*1+B$9*2+B$10*3)/B$2)</f>
        <v>2</v>
      </c>
      <c r="C7" s="136"/>
      <c r="E7" s="27" t="s">
        <v>89</v>
      </c>
      <c r="F7" s="24" t="s">
        <v>44</v>
      </c>
      <c r="G7" s="12">
        <v>249</v>
      </c>
      <c r="H7" s="88">
        <f t="shared" si="0"/>
        <v>0.1513677811550152</v>
      </c>
      <c r="I7" s="58">
        <v>8</v>
      </c>
      <c r="K7" s="74">
        <v>5</v>
      </c>
      <c r="L7" s="119">
        <v>39.9</v>
      </c>
      <c r="M7" s="117">
        <v>1507.1866034060592</v>
      </c>
      <c r="O7" s="75" t="s">
        <v>133</v>
      </c>
      <c r="P7" s="81">
        <f t="shared" si="1"/>
        <v>5.8139534883720927</v>
      </c>
      <c r="Q7" s="78">
        <v>516</v>
      </c>
      <c r="R7" s="65">
        <v>3000</v>
      </c>
    </row>
    <row r="8" spans="1:18" x14ac:dyDescent="0.4">
      <c r="A8" s="19" t="s">
        <v>2</v>
      </c>
      <c r="B8" s="12">
        <v>301</v>
      </c>
      <c r="C8" s="6">
        <f t="shared" ref="C8:C15" si="2">IF(B$2=0,0,B8/B$2)</f>
        <v>0.33333333333333331</v>
      </c>
      <c r="E8" s="27" t="s">
        <v>69</v>
      </c>
      <c r="F8" s="24" t="s">
        <v>24</v>
      </c>
      <c r="G8" s="12">
        <v>242</v>
      </c>
      <c r="H8" s="88">
        <f t="shared" si="0"/>
        <v>0.14711246200607903</v>
      </c>
      <c r="I8" s="58">
        <v>7</v>
      </c>
      <c r="K8" s="74">
        <v>6</v>
      </c>
      <c r="L8" s="119">
        <v>0</v>
      </c>
      <c r="M8" s="117">
        <v>1499.9674837856228</v>
      </c>
      <c r="O8" s="107"/>
      <c r="P8" s="85"/>
      <c r="Q8" s="108"/>
      <c r="R8" s="70"/>
    </row>
    <row r="9" spans="1:18" x14ac:dyDescent="0.4">
      <c r="A9" s="19" t="s">
        <v>3</v>
      </c>
      <c r="B9" s="12">
        <v>301</v>
      </c>
      <c r="C9" s="6">
        <f t="shared" si="2"/>
        <v>0.33333333333333331</v>
      </c>
      <c r="E9" s="27" t="s">
        <v>65</v>
      </c>
      <c r="F9" s="24" t="s">
        <v>21</v>
      </c>
      <c r="G9" s="12">
        <v>204</v>
      </c>
      <c r="H9" s="88">
        <f t="shared" si="0"/>
        <v>0.12401215805471125</v>
      </c>
      <c r="I9" s="58">
        <v>6</v>
      </c>
      <c r="K9" s="74">
        <v>7</v>
      </c>
      <c r="L9" s="119">
        <v>15.1</v>
      </c>
      <c r="M9" s="117">
        <v>1502.6916788829089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301</v>
      </c>
      <c r="C10" s="7">
        <f t="shared" si="2"/>
        <v>0.33333333333333331</v>
      </c>
      <c r="E10" s="27" t="s">
        <v>70</v>
      </c>
      <c r="F10" s="24" t="s">
        <v>25</v>
      </c>
      <c r="G10" s="12">
        <v>161</v>
      </c>
      <c r="H10" s="88">
        <f t="shared" si="0"/>
        <v>9.7872340425531917E-2</v>
      </c>
      <c r="I10" s="58">
        <v>6</v>
      </c>
      <c r="K10" s="74">
        <v>8</v>
      </c>
      <c r="L10" s="119">
        <v>-26.699999999999996</v>
      </c>
      <c r="M10" s="117">
        <v>1495.1575288096114</v>
      </c>
      <c r="O10" s="73" t="s">
        <v>152</v>
      </c>
      <c r="P10" s="82">
        <f>IF(Q10=0,0,R10/Q10)</f>
        <v>-2.3214765100671131</v>
      </c>
      <c r="Q10" s="76">
        <v>298</v>
      </c>
      <c r="R10" s="67">
        <v>-691.79999999999973</v>
      </c>
    </row>
    <row r="11" spans="1:18" x14ac:dyDescent="0.4">
      <c r="A11" s="20" t="s">
        <v>185</v>
      </c>
      <c r="B11" s="109">
        <f>IF(B8=0,0,C11/B8)</f>
        <v>30.094684385382077</v>
      </c>
      <c r="C11" s="110">
        <v>9058.5000000000055</v>
      </c>
      <c r="E11" s="27" t="s">
        <v>86</v>
      </c>
      <c r="F11" s="24" t="s">
        <v>41</v>
      </c>
      <c r="G11" s="12">
        <v>112</v>
      </c>
      <c r="H11" s="88">
        <f t="shared" si="0"/>
        <v>6.8085106382978725E-2</v>
      </c>
      <c r="I11" s="58">
        <v>8</v>
      </c>
      <c r="K11" s="74">
        <v>9</v>
      </c>
      <c r="L11" s="119">
        <v>3.5527136788005009E-15</v>
      </c>
      <c r="M11" s="117">
        <v>1499.9985836367539</v>
      </c>
      <c r="O11" s="74" t="s">
        <v>153</v>
      </c>
      <c r="P11" s="83">
        <f>IF(Q11=0,0,R11/Q11)</f>
        <v>0.35570469798657767</v>
      </c>
      <c r="Q11" s="77">
        <v>298</v>
      </c>
      <c r="R11" s="68">
        <v>106.00000000000014</v>
      </c>
    </row>
    <row r="12" spans="1:18" x14ac:dyDescent="0.4">
      <c r="A12" s="20" t="s">
        <v>186</v>
      </c>
      <c r="B12" s="109">
        <f>IF(B9=0,0,C12/B9)</f>
        <v>-1.3431893687707626</v>
      </c>
      <c r="C12" s="110">
        <v>-404.2999999999995</v>
      </c>
      <c r="E12" s="27" t="s">
        <v>71</v>
      </c>
      <c r="F12" s="24" t="s">
        <v>26</v>
      </c>
      <c r="G12" s="12">
        <v>79</v>
      </c>
      <c r="H12" s="88">
        <f t="shared" si="0"/>
        <v>4.8024316109422489E-2</v>
      </c>
      <c r="I12" s="58">
        <v>6</v>
      </c>
      <c r="K12" s="74">
        <v>10</v>
      </c>
      <c r="L12" s="119">
        <v>85.2</v>
      </c>
      <c r="M12" s="117">
        <v>1515.3405921349333</v>
      </c>
      <c r="O12" s="75" t="s">
        <v>154</v>
      </c>
      <c r="P12" s="84">
        <f>IF(Q12=0,0,R12/Q12)</f>
        <v>1.9657718120805379</v>
      </c>
      <c r="Q12" s="78">
        <v>298</v>
      </c>
      <c r="R12" s="69">
        <v>585.8000000000003</v>
      </c>
    </row>
    <row r="13" spans="1:18" x14ac:dyDescent="0.4">
      <c r="A13" s="20" t="s">
        <v>187</v>
      </c>
      <c r="B13" s="109">
        <f>IF(B10=0,0,C13/B10)</f>
        <v>-28.751495016611287</v>
      </c>
      <c r="C13" s="110">
        <v>-8654.1999999999971</v>
      </c>
      <c r="E13" s="27" t="s">
        <v>83</v>
      </c>
      <c r="F13" s="24" t="s">
        <v>38</v>
      </c>
      <c r="G13" s="12">
        <v>74</v>
      </c>
      <c r="H13" s="88">
        <f t="shared" si="0"/>
        <v>4.4984802431610946E-2</v>
      </c>
      <c r="I13" s="58">
        <v>6</v>
      </c>
      <c r="K13" s="74">
        <v>11</v>
      </c>
      <c r="L13" s="119">
        <v>44.5</v>
      </c>
      <c r="M13" s="117">
        <v>1507.9285485821238</v>
      </c>
      <c r="O13" s="103"/>
      <c r="P13" s="71"/>
      <c r="Q13" s="111"/>
      <c r="R13" s="71"/>
    </row>
    <row r="14" spans="1:18" x14ac:dyDescent="0.4">
      <c r="A14" s="20" t="s">
        <v>188</v>
      </c>
      <c r="B14" s="129">
        <f>AVERAGE(B11:B13)</f>
        <v>9.473903143468002E-15</v>
      </c>
      <c r="C14" s="130"/>
      <c r="E14" s="27" t="s">
        <v>81</v>
      </c>
      <c r="F14" s="24" t="s">
        <v>36</v>
      </c>
      <c r="G14" s="12">
        <v>49</v>
      </c>
      <c r="H14" s="88">
        <f t="shared" si="0"/>
        <v>2.9787234042553193E-2</v>
      </c>
      <c r="I14" s="58">
        <v>7</v>
      </c>
      <c r="K14" s="74">
        <v>12</v>
      </c>
      <c r="L14" s="119">
        <v>0</v>
      </c>
      <c r="M14" s="117">
        <v>1499.876977290631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137</v>
      </c>
      <c r="C15" s="9">
        <f t="shared" si="2"/>
        <v>0.15171650055370986</v>
      </c>
      <c r="E15" s="27" t="s">
        <v>78</v>
      </c>
      <c r="F15" s="24" t="s">
        <v>33</v>
      </c>
      <c r="G15" s="12">
        <v>47</v>
      </c>
      <c r="H15" s="88">
        <f t="shared" si="0"/>
        <v>2.8571428571428571E-2</v>
      </c>
      <c r="I15" s="58">
        <v>6</v>
      </c>
      <c r="K15" s="74">
        <v>13</v>
      </c>
      <c r="L15" s="119">
        <v>31.5</v>
      </c>
      <c r="M15" s="117">
        <v>1505.5717154268873</v>
      </c>
      <c r="O15" s="73" t="s">
        <v>209</v>
      </c>
      <c r="P15" s="82">
        <f t="shared" ref="P15:P27" si="3">IF(Q15=0,0,R15/Q15)</f>
        <v>49.537499999999994</v>
      </c>
      <c r="Q15" s="76">
        <v>8</v>
      </c>
      <c r="R15" s="67">
        <v>396.29999999999995</v>
      </c>
    </row>
    <row r="16" spans="1:18" x14ac:dyDescent="0.4">
      <c r="A16" s="22" t="s">
        <v>121</v>
      </c>
      <c r="B16" s="15">
        <v>1563</v>
      </c>
      <c r="C16" s="10">
        <f>IF(B$51=0,0,B16/B$51)</f>
        <v>0.28469945355191256</v>
      </c>
      <c r="E16" s="27" t="s">
        <v>91</v>
      </c>
      <c r="F16" s="24" t="s">
        <v>46</v>
      </c>
      <c r="G16" s="12">
        <v>32</v>
      </c>
      <c r="H16" s="88">
        <f t="shared" si="0"/>
        <v>1.9452887537993922E-2</v>
      </c>
      <c r="I16" s="58">
        <v>7</v>
      </c>
      <c r="K16" s="74">
        <v>14</v>
      </c>
      <c r="L16" s="119">
        <v>-4</v>
      </c>
      <c r="M16" s="117">
        <v>1499.1722851343259</v>
      </c>
      <c r="O16" s="74" t="s">
        <v>214</v>
      </c>
      <c r="P16" s="83">
        <f t="shared" si="3"/>
        <v>25.919999999999998</v>
      </c>
      <c r="Q16" s="77">
        <v>10</v>
      </c>
      <c r="R16" s="68">
        <v>259.2</v>
      </c>
    </row>
    <row r="17" spans="1:18" x14ac:dyDescent="0.4">
      <c r="A17" s="19" t="s">
        <v>118</v>
      </c>
      <c r="B17" s="12">
        <v>1196</v>
      </c>
      <c r="C17" s="6">
        <f>IF(B$51=0,0,B17/B$51)</f>
        <v>0.21785063752276868</v>
      </c>
      <c r="E17" s="27" t="s">
        <v>79</v>
      </c>
      <c r="F17" s="24" t="s">
        <v>34</v>
      </c>
      <c r="G17" s="12">
        <v>23</v>
      </c>
      <c r="H17" s="88">
        <f t="shared" si="0"/>
        <v>1.3981762917933131E-2</v>
      </c>
      <c r="I17" s="58">
        <v>7</v>
      </c>
      <c r="K17" s="74">
        <v>15</v>
      </c>
      <c r="L17" s="119">
        <v>0</v>
      </c>
      <c r="M17" s="117">
        <v>1499.9212514235198</v>
      </c>
      <c r="O17" s="74" t="s">
        <v>205</v>
      </c>
      <c r="P17" s="83">
        <f t="shared" si="3"/>
        <v>19.387499999999999</v>
      </c>
      <c r="Q17" s="77">
        <v>24</v>
      </c>
      <c r="R17" s="68">
        <v>465.29999999999995</v>
      </c>
    </row>
    <row r="18" spans="1:18" x14ac:dyDescent="0.4">
      <c r="A18" s="18" t="s">
        <v>123</v>
      </c>
      <c r="B18" s="11">
        <f>B24</f>
        <v>913</v>
      </c>
      <c r="C18" s="5">
        <f>IF(B$16=0,0,B18/B$16)</f>
        <v>0.58413307741522713</v>
      </c>
      <c r="E18" s="27" t="s">
        <v>73</v>
      </c>
      <c r="F18" s="24" t="s">
        <v>28</v>
      </c>
      <c r="G18" s="12">
        <v>13</v>
      </c>
      <c r="H18" s="88">
        <f t="shared" si="0"/>
        <v>7.9027355623100311E-3</v>
      </c>
      <c r="I18" s="58">
        <v>4</v>
      </c>
      <c r="K18" s="74">
        <v>16</v>
      </c>
      <c r="L18" s="119">
        <v>-48</v>
      </c>
      <c r="M18" s="117">
        <v>1491.2997239149788</v>
      </c>
      <c r="O18" s="74" t="s">
        <v>191</v>
      </c>
      <c r="P18" s="83">
        <f t="shared" si="3"/>
        <v>18.954166666666676</v>
      </c>
      <c r="Q18" s="77">
        <v>72</v>
      </c>
      <c r="R18" s="68">
        <v>1364.7000000000007</v>
      </c>
    </row>
    <row r="19" spans="1:18" x14ac:dyDescent="0.4">
      <c r="A19" s="18" t="s">
        <v>124</v>
      </c>
      <c r="B19" s="11">
        <f>B25</f>
        <v>479</v>
      </c>
      <c r="C19" s="5">
        <f>IF(B$17=0,0,B19/B$17)</f>
        <v>0.40050167224080269</v>
      </c>
      <c r="E19" s="27" t="s">
        <v>75</v>
      </c>
      <c r="F19" s="24" t="s">
        <v>30</v>
      </c>
      <c r="G19" s="12">
        <v>10</v>
      </c>
      <c r="H19" s="88">
        <f t="shared" si="0"/>
        <v>6.0790273556231003E-3</v>
      </c>
      <c r="I19" s="58">
        <v>4</v>
      </c>
      <c r="K19" s="74">
        <v>17</v>
      </c>
      <c r="L19" s="119">
        <v>-8</v>
      </c>
      <c r="M19" s="117">
        <v>1498.569925571489</v>
      </c>
      <c r="O19" s="74" t="s">
        <v>190</v>
      </c>
      <c r="P19" s="83">
        <f t="shared" si="3"/>
        <v>9.8647058823529399</v>
      </c>
      <c r="Q19" s="77">
        <v>170</v>
      </c>
      <c r="R19" s="68">
        <v>1676.9999999999998</v>
      </c>
    </row>
    <row r="20" spans="1:18" x14ac:dyDescent="0.4">
      <c r="A20" s="18" t="s">
        <v>10</v>
      </c>
      <c r="B20" s="11">
        <f>B23+B22</f>
        <v>2079</v>
      </c>
      <c r="C20" s="5">
        <f>IF(B$3=0,0,B20/B$3)</f>
        <v>0.30104257167680276</v>
      </c>
      <c r="E20" s="27" t="s">
        <v>77</v>
      </c>
      <c r="F20" s="24" t="s">
        <v>32</v>
      </c>
      <c r="G20" s="12">
        <v>9</v>
      </c>
      <c r="H20" s="88">
        <f t="shared" si="0"/>
        <v>5.47112462006079E-3</v>
      </c>
      <c r="I20" s="58">
        <v>5</v>
      </c>
      <c r="K20" s="74">
        <v>18</v>
      </c>
      <c r="L20" s="119">
        <v>0</v>
      </c>
      <c r="M20" s="117">
        <v>1500.03650601806</v>
      </c>
      <c r="O20" s="74" t="s">
        <v>198</v>
      </c>
      <c r="P20" s="83">
        <f t="shared" si="3"/>
        <v>5.8125</v>
      </c>
      <c r="Q20" s="77">
        <v>8</v>
      </c>
      <c r="R20" s="68">
        <v>46.5</v>
      </c>
    </row>
    <row r="21" spans="1:18" x14ac:dyDescent="0.4">
      <c r="A21" s="19" t="s">
        <v>13</v>
      </c>
      <c r="B21" s="12">
        <v>1177</v>
      </c>
      <c r="C21" s="6">
        <f>IF(B$3=0,0,B21/B$3)</f>
        <v>0.17043150883289893</v>
      </c>
      <c r="E21" s="27" t="s">
        <v>92</v>
      </c>
      <c r="F21" s="24" t="s">
        <v>47</v>
      </c>
      <c r="G21" s="12">
        <v>8</v>
      </c>
      <c r="H21" s="88">
        <f t="shared" si="0"/>
        <v>4.8632218844984806E-3</v>
      </c>
      <c r="I21" s="58">
        <v>5</v>
      </c>
      <c r="K21" s="74">
        <v>19</v>
      </c>
      <c r="L21" s="119">
        <v>-6.1</v>
      </c>
      <c r="M21" s="117">
        <v>1498.9562869819517</v>
      </c>
      <c r="O21" s="74" t="s">
        <v>195</v>
      </c>
      <c r="P21" s="83">
        <f t="shared" si="3"/>
        <v>5.6883802816901392</v>
      </c>
      <c r="Q21" s="77">
        <v>284</v>
      </c>
      <c r="R21" s="68">
        <v>1615.4999999999995</v>
      </c>
    </row>
    <row r="22" spans="1:18" x14ac:dyDescent="0.4">
      <c r="A22" s="19" t="s">
        <v>12</v>
      </c>
      <c r="B22" s="12">
        <v>879</v>
      </c>
      <c r="C22" s="6">
        <f>IF(B$20=0,0,B22/B$20)</f>
        <v>0.42279942279942279</v>
      </c>
      <c r="E22" s="27" t="s">
        <v>85</v>
      </c>
      <c r="F22" s="24" t="s">
        <v>40</v>
      </c>
      <c r="G22" s="12">
        <v>7</v>
      </c>
      <c r="H22" s="88">
        <f t="shared" si="0"/>
        <v>4.2553191489361703E-3</v>
      </c>
      <c r="I22" s="58">
        <v>4</v>
      </c>
      <c r="K22" s="74">
        <v>20</v>
      </c>
      <c r="L22" s="119">
        <v>4.9000000000000004</v>
      </c>
      <c r="M22" s="117">
        <v>1500.9605492600601</v>
      </c>
      <c r="O22" s="74" t="s">
        <v>164</v>
      </c>
      <c r="P22" s="83">
        <f t="shared" si="3"/>
        <v>5.282061068702288</v>
      </c>
      <c r="Q22" s="77">
        <v>262</v>
      </c>
      <c r="R22" s="68">
        <v>1383.8999999999994</v>
      </c>
    </row>
    <row r="23" spans="1:18" x14ac:dyDescent="0.4">
      <c r="A23" s="19" t="s">
        <v>11</v>
      </c>
      <c r="B23" s="12">
        <v>1200</v>
      </c>
      <c r="C23" s="6">
        <f>IF(B$20=0,0,B23/B$20)</f>
        <v>0.57720057720057716</v>
      </c>
      <c r="E23" s="27" t="s">
        <v>93</v>
      </c>
      <c r="F23" s="24" t="s">
        <v>48</v>
      </c>
      <c r="G23" s="12">
        <v>6</v>
      </c>
      <c r="H23" s="88">
        <f t="shared" si="0"/>
        <v>3.64741641337386E-3</v>
      </c>
      <c r="I23" s="58">
        <v>4</v>
      </c>
      <c r="K23" s="74">
        <v>21</v>
      </c>
      <c r="L23" s="119">
        <v>0</v>
      </c>
      <c r="M23" s="117">
        <v>1500.0907859644997</v>
      </c>
      <c r="O23" s="74" t="s">
        <v>223</v>
      </c>
      <c r="P23" s="83">
        <f t="shared" si="3"/>
        <v>0.42727272727272869</v>
      </c>
      <c r="Q23" s="77">
        <v>66</v>
      </c>
      <c r="R23" s="68">
        <v>28.200000000000095</v>
      </c>
    </row>
    <row r="24" spans="1:18" x14ac:dyDescent="0.4">
      <c r="A24" s="19" t="s">
        <v>184</v>
      </c>
      <c r="B24" s="12">
        <v>913</v>
      </c>
      <c r="C24" s="6">
        <f>IF(B$20=0,0,B24/B$20)</f>
        <v>0.43915343915343913</v>
      </c>
      <c r="E24" s="27" t="s">
        <v>74</v>
      </c>
      <c r="F24" s="24" t="s">
        <v>29</v>
      </c>
      <c r="G24" s="12">
        <v>5</v>
      </c>
      <c r="H24" s="88">
        <f t="shared" si="0"/>
        <v>3.0395136778115501E-3</v>
      </c>
      <c r="I24" s="58">
        <v>5</v>
      </c>
      <c r="K24" s="74">
        <v>22</v>
      </c>
      <c r="L24" s="119">
        <v>-36</v>
      </c>
      <c r="M24" s="117">
        <v>1493.6282412487126</v>
      </c>
      <c r="O24" s="74" t="s">
        <v>193</v>
      </c>
      <c r="P24" s="83">
        <f t="shared" si="3"/>
        <v>-2.4804878048780479</v>
      </c>
      <c r="Q24" s="77">
        <v>246</v>
      </c>
      <c r="R24" s="68">
        <v>-610.19999999999982</v>
      </c>
    </row>
    <row r="25" spans="1:18" x14ac:dyDescent="0.4">
      <c r="A25" s="19" t="s">
        <v>182</v>
      </c>
      <c r="B25" s="12">
        <v>479</v>
      </c>
      <c r="C25" s="6">
        <f>IF(B$20=0,0,B25/B$20)</f>
        <v>0.23039923039923041</v>
      </c>
      <c r="E25" s="27" t="s">
        <v>84</v>
      </c>
      <c r="F25" s="24" t="s">
        <v>39</v>
      </c>
      <c r="G25" s="12">
        <v>4</v>
      </c>
      <c r="H25" s="88">
        <f t="shared" si="0"/>
        <v>2.4316109422492403E-3</v>
      </c>
      <c r="I25" s="58">
        <v>4</v>
      </c>
      <c r="K25" s="74">
        <v>23</v>
      </c>
      <c r="L25" s="119">
        <v>-3</v>
      </c>
      <c r="M25" s="117">
        <v>1499.6244718012204</v>
      </c>
      <c r="O25" s="74" t="s">
        <v>211</v>
      </c>
      <c r="P25" s="83">
        <f t="shared" si="3"/>
        <v>-6.2492307692307634</v>
      </c>
      <c r="Q25" s="77">
        <v>130</v>
      </c>
      <c r="R25" s="68">
        <v>-812.39999999999918</v>
      </c>
    </row>
    <row r="26" spans="1:18" x14ac:dyDescent="0.4">
      <c r="A26" s="19" t="s">
        <v>183</v>
      </c>
      <c r="B26" s="12">
        <v>687</v>
      </c>
      <c r="C26" s="6">
        <f>IF(B$20=0,0,B26/B$20)</f>
        <v>0.33044733044733043</v>
      </c>
      <c r="E26" s="27" t="s">
        <v>87</v>
      </c>
      <c r="F26" s="24" t="s">
        <v>42</v>
      </c>
      <c r="G26" s="12">
        <v>4</v>
      </c>
      <c r="H26" s="88">
        <f t="shared" si="0"/>
        <v>2.4316109422492403E-3</v>
      </c>
      <c r="I26" s="58">
        <v>4</v>
      </c>
      <c r="K26" s="74">
        <v>24</v>
      </c>
      <c r="L26" s="119">
        <v>0</v>
      </c>
      <c r="M26" s="117">
        <v>1500.1847249704131</v>
      </c>
      <c r="O26" s="74" t="s">
        <v>126</v>
      </c>
      <c r="P26" s="83">
        <f t="shared" si="3"/>
        <v>-11.031128404669261</v>
      </c>
      <c r="Q26" s="77">
        <v>514</v>
      </c>
      <c r="R26" s="68">
        <v>-5670</v>
      </c>
    </row>
    <row r="27" spans="1:18" x14ac:dyDescent="0.4">
      <c r="A27" s="19" t="s">
        <v>5</v>
      </c>
      <c r="B27" s="16">
        <f>IF(B$20=0,0,C27/B$20)</f>
        <v>10092.544492544492</v>
      </c>
      <c r="C27" s="8">
        <v>20982400</v>
      </c>
      <c r="E27" s="27" t="s">
        <v>90</v>
      </c>
      <c r="F27" s="24" t="s">
        <v>45</v>
      </c>
      <c r="G27" s="12">
        <v>2</v>
      </c>
      <c r="H27" s="88">
        <f t="shared" si="0"/>
        <v>1.2158054711246201E-3</v>
      </c>
      <c r="I27" s="58">
        <v>3</v>
      </c>
      <c r="K27" s="74">
        <v>25</v>
      </c>
      <c r="L27" s="119">
        <v>-41</v>
      </c>
      <c r="M27" s="117">
        <v>1492.8276166205906</v>
      </c>
      <c r="O27" s="74" t="s">
        <v>246</v>
      </c>
      <c r="P27" s="83">
        <f t="shared" si="3"/>
        <v>-12</v>
      </c>
      <c r="Q27" s="77">
        <v>12</v>
      </c>
      <c r="R27" s="68">
        <v>-144</v>
      </c>
    </row>
    <row r="28" spans="1:18" x14ac:dyDescent="0.4">
      <c r="A28" s="20" t="s">
        <v>166</v>
      </c>
      <c r="B28" s="95">
        <f>IF($B$20-B$19=0,0,C28/($B$20-B$19))</f>
        <v>10617.625</v>
      </c>
      <c r="C28" s="96">
        <v>16988200</v>
      </c>
      <c r="E28" s="27" t="s">
        <v>80</v>
      </c>
      <c r="F28" s="24" t="s">
        <v>35</v>
      </c>
      <c r="G28" s="12">
        <v>1</v>
      </c>
      <c r="H28" s="88">
        <f t="shared" si="0"/>
        <v>6.0790273556231007E-4</v>
      </c>
      <c r="I28" s="58">
        <v>2</v>
      </c>
      <c r="K28" s="74">
        <v>26</v>
      </c>
      <c r="L28" s="119">
        <v>11.5</v>
      </c>
      <c r="M28" s="117">
        <v>1502.344650920867</v>
      </c>
    </row>
    <row r="29" spans="1:18" x14ac:dyDescent="0.4">
      <c r="A29" s="20" t="s">
        <v>167</v>
      </c>
      <c r="B29" s="95">
        <f>IF(B$19=0,0,C29/B$19)</f>
        <v>8338.6221294363258</v>
      </c>
      <c r="C29" s="96">
        <v>3994200</v>
      </c>
      <c r="E29" s="27" t="s">
        <v>88</v>
      </c>
      <c r="F29" s="24" t="s">
        <v>43</v>
      </c>
      <c r="G29" s="12">
        <v>1</v>
      </c>
      <c r="H29" s="88">
        <f t="shared" si="0"/>
        <v>6.0790273556231007E-4</v>
      </c>
      <c r="I29" s="58">
        <v>2</v>
      </c>
      <c r="K29" s="74">
        <v>27</v>
      </c>
      <c r="L29" s="119">
        <v>0</v>
      </c>
      <c r="M29" s="117">
        <v>1500.2845830153419</v>
      </c>
    </row>
    <row r="30" spans="1:18" x14ac:dyDescent="0.4">
      <c r="A30" s="20" t="s">
        <v>165</v>
      </c>
      <c r="B30" s="95">
        <f>IF(B$21=0,0,C30/B$21)</f>
        <v>-9359.0484282073066</v>
      </c>
      <c r="C30" s="96">
        <v>-11015600</v>
      </c>
      <c r="E30" s="27" t="s">
        <v>95</v>
      </c>
      <c r="F30" s="24" t="s">
        <v>50</v>
      </c>
      <c r="G30" s="12">
        <v>1</v>
      </c>
      <c r="H30" s="88">
        <f t="shared" si="0"/>
        <v>6.0790273556231007E-4</v>
      </c>
      <c r="I30" s="58">
        <v>2</v>
      </c>
      <c r="K30" s="74">
        <v>28</v>
      </c>
      <c r="L30" s="119">
        <v>-31.5</v>
      </c>
      <c r="M30" s="117">
        <v>1494.6188755172498</v>
      </c>
    </row>
    <row r="31" spans="1:18" x14ac:dyDescent="0.4">
      <c r="A31" s="19" t="s">
        <v>158</v>
      </c>
      <c r="B31" s="12">
        <v>6</v>
      </c>
      <c r="C31" s="90">
        <v>0</v>
      </c>
      <c r="E31" s="27" t="s">
        <v>106</v>
      </c>
      <c r="F31" s="24" t="s">
        <v>113</v>
      </c>
      <c r="G31" s="12">
        <v>1</v>
      </c>
      <c r="H31" s="88">
        <f t="shared" si="0"/>
        <v>6.0790273556231007E-4</v>
      </c>
      <c r="I31" s="58">
        <v>2</v>
      </c>
      <c r="K31" s="74">
        <v>29</v>
      </c>
      <c r="L31" s="119">
        <v>36.700000000000003</v>
      </c>
      <c r="M31" s="117">
        <v>1506.9331622641462</v>
      </c>
    </row>
    <row r="32" spans="1:18" x14ac:dyDescent="0.4">
      <c r="A32" s="19" t="s">
        <v>159</v>
      </c>
      <c r="B32" s="12">
        <v>35</v>
      </c>
      <c r="C32" s="90">
        <v>13</v>
      </c>
      <c r="E32" s="27" t="s">
        <v>76</v>
      </c>
      <c r="F32" s="24" t="s">
        <v>31</v>
      </c>
      <c r="G32" s="12">
        <v>0</v>
      </c>
      <c r="H32" s="88">
        <f t="shared" si="0"/>
        <v>0</v>
      </c>
      <c r="I32" s="58">
        <v>1</v>
      </c>
      <c r="K32" s="74">
        <v>30</v>
      </c>
      <c r="L32" s="119">
        <v>0</v>
      </c>
      <c r="M32" s="117">
        <v>1500.2915632905613</v>
      </c>
    </row>
    <row r="33" spans="1:13" x14ac:dyDescent="0.4">
      <c r="A33" s="54" t="s">
        <v>136</v>
      </c>
      <c r="B33" s="131">
        <v>10</v>
      </c>
      <c r="C33" s="132"/>
      <c r="E33" s="27" t="s">
        <v>82</v>
      </c>
      <c r="F33" s="24" t="s">
        <v>37</v>
      </c>
      <c r="G33" s="12">
        <v>0</v>
      </c>
      <c r="H33" s="88">
        <f t="shared" si="0"/>
        <v>0</v>
      </c>
      <c r="I33" s="58">
        <v>1</v>
      </c>
      <c r="K33" s="74">
        <v>31</v>
      </c>
      <c r="L33" s="119">
        <v>18.3</v>
      </c>
      <c r="M33" s="117">
        <v>1503.583813910818</v>
      </c>
    </row>
    <row r="34" spans="1:13" x14ac:dyDescent="0.4">
      <c r="A34" s="22" t="s">
        <v>181</v>
      </c>
      <c r="B34" s="133">
        <v>124700</v>
      </c>
      <c r="C34" s="134"/>
      <c r="E34" s="27" t="s">
        <v>94</v>
      </c>
      <c r="F34" s="24" t="s">
        <v>49</v>
      </c>
      <c r="G34" s="12">
        <v>0</v>
      </c>
      <c r="H34" s="88">
        <f t="shared" ref="H34:H52" si="4">IF(B$52=0,0,G34/B$52)</f>
        <v>0</v>
      </c>
      <c r="I34" s="58">
        <v>1</v>
      </c>
      <c r="K34" s="74">
        <v>32</v>
      </c>
      <c r="L34" s="119">
        <v>8.6000000000000014</v>
      </c>
      <c r="M34" s="117">
        <v>1501.8163110273531</v>
      </c>
    </row>
    <row r="35" spans="1:13" x14ac:dyDescent="0.4">
      <c r="A35" s="21" t="s">
        <v>137</v>
      </c>
      <c r="B35" s="29">
        <v>20</v>
      </c>
      <c r="C35" s="9">
        <f>IF(B$3=0,0,B35/B$3)</f>
        <v>2.8960324355632784E-3</v>
      </c>
      <c r="E35" s="27" t="s">
        <v>96</v>
      </c>
      <c r="F35" s="24" t="s">
        <v>51</v>
      </c>
      <c r="G35" s="12">
        <v>0</v>
      </c>
      <c r="H35" s="88">
        <f t="shared" si="4"/>
        <v>0</v>
      </c>
      <c r="I35" s="58">
        <v>1</v>
      </c>
      <c r="K35" s="74">
        <v>33</v>
      </c>
      <c r="L35" s="119">
        <v>1.7763568394002505E-15</v>
      </c>
      <c r="M35" s="117">
        <v>1500.2574131611889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 t="shared" si="4"/>
        <v>0</v>
      </c>
      <c r="I36" s="58">
        <v>1</v>
      </c>
      <c r="K36" s="74">
        <v>34</v>
      </c>
      <c r="L36" s="119">
        <v>12.800000000000002</v>
      </c>
      <c r="M36" s="117">
        <v>1502.5658686822217</v>
      </c>
    </row>
    <row r="37" spans="1:13" x14ac:dyDescent="0.4">
      <c r="A37" s="54" t="s">
        <v>172</v>
      </c>
      <c r="B37" s="122">
        <v>68</v>
      </c>
      <c r="C37" s="98">
        <f t="shared" ref="C37:C49" si="5">IF(B$20=0,0,B37/B$20)</f>
        <v>3.2708032708032707E-2</v>
      </c>
      <c r="E37" s="27" t="s">
        <v>98</v>
      </c>
      <c r="F37" s="24" t="s">
        <v>53</v>
      </c>
      <c r="G37" s="12">
        <v>0</v>
      </c>
      <c r="H37" s="88">
        <f t="shared" si="4"/>
        <v>0</v>
      </c>
      <c r="I37" s="58">
        <v>1</v>
      </c>
      <c r="K37" s="74">
        <v>35</v>
      </c>
      <c r="L37" s="119">
        <v>36.400000000000006</v>
      </c>
      <c r="M37" s="117">
        <v>1506.8044734701284</v>
      </c>
    </row>
    <row r="38" spans="1:13" x14ac:dyDescent="0.4">
      <c r="A38" s="19" t="s">
        <v>168</v>
      </c>
      <c r="B38" s="12">
        <v>186</v>
      </c>
      <c r="C38" s="6">
        <f t="shared" si="5"/>
        <v>8.9466089466089471E-2</v>
      </c>
      <c r="E38" s="27" t="s">
        <v>99</v>
      </c>
      <c r="F38" s="24" t="s">
        <v>54</v>
      </c>
      <c r="G38" s="12">
        <v>0</v>
      </c>
      <c r="H38" s="88">
        <f t="shared" si="4"/>
        <v>0</v>
      </c>
      <c r="I38" s="58">
        <v>1</v>
      </c>
      <c r="K38" s="74">
        <v>36</v>
      </c>
      <c r="L38" s="119">
        <v>7.1054273576010019E-15</v>
      </c>
      <c r="M38" s="117">
        <v>1500.2176466293076</v>
      </c>
    </row>
    <row r="39" spans="1:13" x14ac:dyDescent="0.4">
      <c r="A39" s="19" t="s">
        <v>169</v>
      </c>
      <c r="B39" s="123">
        <v>294</v>
      </c>
      <c r="C39" s="6">
        <f t="shared" si="5"/>
        <v>0.14141414141414141</v>
      </c>
      <c r="E39" s="27" t="s">
        <v>100</v>
      </c>
      <c r="F39" s="24" t="s">
        <v>55</v>
      </c>
      <c r="G39" s="12">
        <v>0</v>
      </c>
      <c r="H39" s="88">
        <f t="shared" si="4"/>
        <v>0</v>
      </c>
      <c r="I39" s="58">
        <v>1</v>
      </c>
      <c r="K39" s="74">
        <v>37</v>
      </c>
      <c r="L39" s="119">
        <v>57.000000000000007</v>
      </c>
      <c r="M39" s="117">
        <v>1510.4823407495319</v>
      </c>
    </row>
    <row r="40" spans="1:13" x14ac:dyDescent="0.4">
      <c r="A40" s="19" t="s">
        <v>170</v>
      </c>
      <c r="B40" s="123">
        <v>321</v>
      </c>
      <c r="C40" s="6">
        <f t="shared" si="5"/>
        <v>0.1544011544011544</v>
      </c>
      <c r="E40" s="27" t="s">
        <v>101</v>
      </c>
      <c r="F40" s="24" t="s">
        <v>56</v>
      </c>
      <c r="G40" s="12">
        <v>0</v>
      </c>
      <c r="H40" s="88">
        <f t="shared" si="4"/>
        <v>0</v>
      </c>
      <c r="I40" s="58">
        <v>1</v>
      </c>
      <c r="K40" s="74">
        <v>38</v>
      </c>
      <c r="L40" s="119">
        <v>32.600000000000009</v>
      </c>
      <c r="M40" s="117">
        <v>1506.0334467050347</v>
      </c>
    </row>
    <row r="41" spans="1:13" x14ac:dyDescent="0.4">
      <c r="A41" s="19" t="s">
        <v>171</v>
      </c>
      <c r="B41" s="123">
        <v>271</v>
      </c>
      <c r="C41" s="6">
        <f t="shared" si="5"/>
        <v>0.13035113035113036</v>
      </c>
      <c r="E41" s="27" t="s">
        <v>102</v>
      </c>
      <c r="F41" s="24" t="s">
        <v>57</v>
      </c>
      <c r="G41" s="12">
        <v>0</v>
      </c>
      <c r="H41" s="88">
        <f t="shared" si="4"/>
        <v>0</v>
      </c>
      <c r="I41" s="58">
        <v>1</v>
      </c>
      <c r="K41" s="74">
        <v>39</v>
      </c>
      <c r="L41" s="119">
        <v>7.1054273576010019E-15</v>
      </c>
      <c r="M41" s="117">
        <v>1500.1352460248045</v>
      </c>
    </row>
    <row r="42" spans="1:13" x14ac:dyDescent="0.4">
      <c r="A42" s="19" t="s">
        <v>173</v>
      </c>
      <c r="B42" s="123">
        <v>183</v>
      </c>
      <c r="C42" s="6">
        <f t="shared" si="5"/>
        <v>8.8023088023088017E-2</v>
      </c>
      <c r="E42" s="27" t="s">
        <v>103</v>
      </c>
      <c r="F42" s="24" t="s">
        <v>58</v>
      </c>
      <c r="G42" s="12">
        <v>0</v>
      </c>
      <c r="H42" s="88">
        <f t="shared" si="4"/>
        <v>0</v>
      </c>
      <c r="I42" s="58">
        <v>1</v>
      </c>
      <c r="K42" s="74">
        <v>40</v>
      </c>
      <c r="L42" s="119">
        <v>-43.999999999999993</v>
      </c>
      <c r="M42" s="117">
        <v>1492.2204345486557</v>
      </c>
    </row>
    <row r="43" spans="1:13" x14ac:dyDescent="0.4">
      <c r="A43" s="19" t="s">
        <v>174</v>
      </c>
      <c r="B43" s="123">
        <v>121</v>
      </c>
      <c r="C43" s="6">
        <f t="shared" si="5"/>
        <v>5.8201058201058198E-2</v>
      </c>
      <c r="E43" s="27" t="s">
        <v>104</v>
      </c>
      <c r="F43" s="24" t="s">
        <v>59</v>
      </c>
      <c r="G43" s="12">
        <v>0</v>
      </c>
      <c r="H43" s="88">
        <f t="shared" si="4"/>
        <v>0</v>
      </c>
      <c r="I43" s="58">
        <v>1</v>
      </c>
      <c r="K43" s="74">
        <v>41</v>
      </c>
      <c r="L43" s="119">
        <v>22.000000000000007</v>
      </c>
      <c r="M43" s="117">
        <v>1504.1531119413637</v>
      </c>
    </row>
    <row r="44" spans="1:13" x14ac:dyDescent="0.4">
      <c r="A44" s="19" t="s">
        <v>175</v>
      </c>
      <c r="B44" s="123">
        <v>74</v>
      </c>
      <c r="C44" s="6">
        <f t="shared" si="5"/>
        <v>3.5594035594035595E-2</v>
      </c>
      <c r="E44" s="27" t="s">
        <v>105</v>
      </c>
      <c r="F44" s="24" t="s">
        <v>112</v>
      </c>
      <c r="G44" s="12">
        <v>0</v>
      </c>
      <c r="H44" s="88">
        <f t="shared" si="4"/>
        <v>0</v>
      </c>
      <c r="I44" s="58">
        <v>1</v>
      </c>
      <c r="K44" s="74">
        <v>42</v>
      </c>
      <c r="L44" s="119">
        <v>7.1054273576010019E-15</v>
      </c>
      <c r="M44" s="117">
        <v>1500.1741932697155</v>
      </c>
    </row>
    <row r="45" spans="1:13" x14ac:dyDescent="0.4">
      <c r="A45" s="19" t="s">
        <v>176</v>
      </c>
      <c r="B45" s="123">
        <v>56</v>
      </c>
      <c r="C45" s="6">
        <f t="shared" si="5"/>
        <v>2.6936026936026935E-2</v>
      </c>
      <c r="E45" s="27" t="s">
        <v>107</v>
      </c>
      <c r="F45" s="24" t="s">
        <v>114</v>
      </c>
      <c r="G45" s="12">
        <v>0</v>
      </c>
      <c r="H45" s="88">
        <f t="shared" si="4"/>
        <v>0</v>
      </c>
      <c r="I45" s="58">
        <v>1</v>
      </c>
      <c r="K45" s="74">
        <v>43</v>
      </c>
      <c r="L45" s="119">
        <v>-36.999999999999993</v>
      </c>
      <c r="M45" s="117">
        <v>1493.5191481100971</v>
      </c>
    </row>
    <row r="46" spans="1:13" x14ac:dyDescent="0.4">
      <c r="A46" s="19" t="s">
        <v>177</v>
      </c>
      <c r="B46" s="123">
        <v>24</v>
      </c>
      <c r="C46" s="6">
        <f t="shared" si="5"/>
        <v>1.1544011544011544E-2</v>
      </c>
      <c r="E46" s="27" t="s">
        <v>108</v>
      </c>
      <c r="F46" s="24" t="s">
        <v>60</v>
      </c>
      <c r="G46" s="12">
        <v>0</v>
      </c>
      <c r="H46" s="88">
        <f t="shared" si="4"/>
        <v>0</v>
      </c>
      <c r="I46" s="58">
        <v>1</v>
      </c>
      <c r="K46" s="74">
        <v>44</v>
      </c>
      <c r="L46" s="119">
        <v>-35.499999999999993</v>
      </c>
      <c r="M46" s="117">
        <v>1493.8340332214366</v>
      </c>
    </row>
    <row r="47" spans="1:13" x14ac:dyDescent="0.4">
      <c r="A47" s="19" t="s">
        <v>178</v>
      </c>
      <c r="B47" s="123">
        <v>14</v>
      </c>
      <c r="C47" s="6">
        <f t="shared" si="5"/>
        <v>6.7340067340067337E-3</v>
      </c>
      <c r="E47" s="27" t="s">
        <v>109</v>
      </c>
      <c r="F47" s="24" t="s">
        <v>61</v>
      </c>
      <c r="G47" s="12">
        <v>0</v>
      </c>
      <c r="H47" s="88">
        <f t="shared" si="4"/>
        <v>0</v>
      </c>
      <c r="I47" s="58">
        <v>1</v>
      </c>
      <c r="K47" s="74">
        <v>45</v>
      </c>
      <c r="L47" s="119">
        <v>7.1054273576010019E-15</v>
      </c>
      <c r="M47" s="117">
        <v>1500.2670290221079</v>
      </c>
    </row>
    <row r="48" spans="1:13" x14ac:dyDescent="0.4">
      <c r="A48" s="19" t="s">
        <v>179</v>
      </c>
      <c r="B48" s="123">
        <v>6</v>
      </c>
      <c r="C48" s="6">
        <f t="shared" si="5"/>
        <v>2.886002886002886E-3</v>
      </c>
      <c r="E48" s="27" t="s">
        <v>110</v>
      </c>
      <c r="F48" s="24" t="s">
        <v>62</v>
      </c>
      <c r="G48" s="12">
        <v>0</v>
      </c>
      <c r="H48" s="88">
        <f t="shared" si="4"/>
        <v>0</v>
      </c>
      <c r="I48" s="58">
        <v>1</v>
      </c>
      <c r="K48" s="74">
        <v>46</v>
      </c>
      <c r="L48" s="119">
        <v>1.6000000000000072</v>
      </c>
      <c r="M48" s="117">
        <v>1500.5594268479751</v>
      </c>
    </row>
    <row r="49" spans="1:13" x14ac:dyDescent="0.4">
      <c r="A49" s="21" t="s">
        <v>180</v>
      </c>
      <c r="B49" s="97">
        <v>27</v>
      </c>
      <c r="C49" s="9">
        <f t="shared" si="5"/>
        <v>1.2987012987012988E-2</v>
      </c>
      <c r="E49" s="27" t="s">
        <v>111</v>
      </c>
      <c r="F49" s="24" t="s">
        <v>63</v>
      </c>
      <c r="G49" s="12">
        <v>0</v>
      </c>
      <c r="H49" s="88">
        <f t="shared" si="4"/>
        <v>0</v>
      </c>
      <c r="I49" s="58">
        <v>1</v>
      </c>
      <c r="K49" s="74">
        <v>47</v>
      </c>
      <c r="L49" s="119">
        <v>5.4000000000000075</v>
      </c>
      <c r="M49" s="117">
        <v>1501.2460702868873</v>
      </c>
    </row>
    <row r="50" spans="1:13" x14ac:dyDescent="0.4">
      <c r="E50" s="27" t="s">
        <v>156</v>
      </c>
      <c r="F50" s="24" t="s">
        <v>157</v>
      </c>
      <c r="G50" s="12">
        <v>0</v>
      </c>
      <c r="H50" s="88">
        <f t="shared" si="4"/>
        <v>0</v>
      </c>
      <c r="I50" s="58">
        <v>1</v>
      </c>
      <c r="K50" s="74">
        <v>48</v>
      </c>
      <c r="L50" s="119">
        <v>7.1054273576010019E-15</v>
      </c>
      <c r="M50" s="117">
        <v>1500.2725938651661</v>
      </c>
    </row>
    <row r="51" spans="1:13" x14ac:dyDescent="0.4">
      <c r="A51" s="54" t="s">
        <v>206</v>
      </c>
      <c r="B51" s="125">
        <v>5490</v>
      </c>
      <c r="C51" s="126"/>
      <c r="E51" s="91" t="s">
        <v>160</v>
      </c>
      <c r="F51" s="92" t="s">
        <v>161</v>
      </c>
      <c r="G51" s="13">
        <v>0</v>
      </c>
      <c r="H51" s="93">
        <f t="shared" si="4"/>
        <v>0</v>
      </c>
      <c r="I51" s="94">
        <v>1</v>
      </c>
      <c r="K51" s="74">
        <v>49</v>
      </c>
      <c r="L51" s="119">
        <v>-21.399999999999991</v>
      </c>
      <c r="M51" s="117">
        <v>1496.424958301975</v>
      </c>
    </row>
    <row r="52" spans="1:13" x14ac:dyDescent="0.4">
      <c r="A52" s="21" t="s">
        <v>207</v>
      </c>
      <c r="B52" s="127">
        <v>1645</v>
      </c>
      <c r="C52" s="128"/>
      <c r="E52" s="28" t="s">
        <v>162</v>
      </c>
      <c r="F52" s="25" t="s">
        <v>163</v>
      </c>
      <c r="G52" s="14">
        <v>0</v>
      </c>
      <c r="H52" s="89">
        <f t="shared" si="4"/>
        <v>0</v>
      </c>
      <c r="I52" s="59">
        <v>1</v>
      </c>
      <c r="K52" s="74">
        <v>50</v>
      </c>
      <c r="L52" s="119">
        <v>-53.899999999999991</v>
      </c>
      <c r="M52" s="117">
        <v>1490.6024085521633</v>
      </c>
    </row>
    <row r="53" spans="1:13" x14ac:dyDescent="0.4">
      <c r="K53" s="74">
        <v>51</v>
      </c>
      <c r="L53" s="119">
        <v>7.1054273576010019E-15</v>
      </c>
      <c r="M53" s="117">
        <v>1500.3667941008503</v>
      </c>
    </row>
    <row r="54" spans="1:13" x14ac:dyDescent="0.4">
      <c r="K54" s="74">
        <v>52</v>
      </c>
      <c r="L54" s="119">
        <v>14.900000000000007</v>
      </c>
      <c r="M54" s="117">
        <v>1503.0525933362451</v>
      </c>
    </row>
    <row r="55" spans="1:13" x14ac:dyDescent="0.4">
      <c r="K55" s="74">
        <v>53</v>
      </c>
      <c r="L55" s="119">
        <v>1.2000000000000082</v>
      </c>
      <c r="M55" s="117">
        <v>1500.5742777762275</v>
      </c>
    </row>
    <row r="56" spans="1:13" x14ac:dyDescent="0.4">
      <c r="K56" s="74">
        <v>54</v>
      </c>
      <c r="L56" s="119">
        <v>8.2156503822261584E-15</v>
      </c>
      <c r="M56" s="117">
        <v>1500.3608321095701</v>
      </c>
    </row>
    <row r="57" spans="1:13" x14ac:dyDescent="0.4">
      <c r="K57" s="74">
        <v>55</v>
      </c>
      <c r="L57" s="119">
        <v>57.20000000000001</v>
      </c>
      <c r="M57" s="117">
        <v>1510.6186671169128</v>
      </c>
    </row>
    <row r="58" spans="1:13" x14ac:dyDescent="0.4">
      <c r="K58" s="74">
        <v>56</v>
      </c>
      <c r="L58" s="119">
        <v>18.800000000000011</v>
      </c>
      <c r="M58" s="117">
        <v>1503.6069551142114</v>
      </c>
    </row>
    <row r="59" spans="1:13" x14ac:dyDescent="0.4">
      <c r="K59" s="74">
        <v>57</v>
      </c>
      <c r="L59" s="119">
        <v>1.0658141036401503E-14</v>
      </c>
      <c r="M59" s="117">
        <v>1500.1653133835262</v>
      </c>
    </row>
    <row r="60" spans="1:13" x14ac:dyDescent="0.4">
      <c r="K60" s="74">
        <v>58</v>
      </c>
      <c r="L60" s="119">
        <v>26.20000000000001</v>
      </c>
      <c r="M60" s="117">
        <v>1504.844321503225</v>
      </c>
    </row>
    <row r="61" spans="1:13" x14ac:dyDescent="0.4">
      <c r="K61" s="74">
        <v>59</v>
      </c>
      <c r="L61" s="119">
        <v>1.0000000000000107</v>
      </c>
      <c r="M61" s="117">
        <v>1500.2432555742057</v>
      </c>
    </row>
    <row r="62" spans="1:13" x14ac:dyDescent="0.4">
      <c r="K62" s="74">
        <v>60</v>
      </c>
      <c r="L62" s="119">
        <v>1.0658141036401503E-14</v>
      </c>
      <c r="M62" s="117">
        <v>1500.0257960407605</v>
      </c>
    </row>
    <row r="63" spans="1:13" x14ac:dyDescent="0.4">
      <c r="K63" s="74">
        <v>61</v>
      </c>
      <c r="L63" s="119">
        <v>56.500000000000014</v>
      </c>
      <c r="M63" s="117">
        <v>1510.159641264516</v>
      </c>
    </row>
    <row r="64" spans="1:13" x14ac:dyDescent="0.4">
      <c r="K64" s="74">
        <v>62</v>
      </c>
      <c r="L64" s="119">
        <v>10.000000000000014</v>
      </c>
      <c r="M64" s="117">
        <v>1501.692683416929</v>
      </c>
    </row>
    <row r="65" spans="11:13" x14ac:dyDescent="0.4">
      <c r="K65" s="74">
        <v>63</v>
      </c>
      <c r="L65" s="119">
        <v>1.4210854715202004E-14</v>
      </c>
      <c r="M65" s="117">
        <v>1499.8465273164275</v>
      </c>
    </row>
    <row r="66" spans="11:13" x14ac:dyDescent="0.4">
      <c r="K66" s="74">
        <v>64</v>
      </c>
      <c r="L66" s="119">
        <v>-25.499999999999986</v>
      </c>
      <c r="M66" s="117">
        <v>1495.3054481525289</v>
      </c>
    </row>
    <row r="67" spans="11:13" x14ac:dyDescent="0.4">
      <c r="K67" s="74">
        <v>65</v>
      </c>
      <c r="L67" s="119">
        <v>-65.399999999999977</v>
      </c>
      <c r="M67" s="117">
        <v>1488.1996154636138</v>
      </c>
    </row>
    <row r="68" spans="11:13" x14ac:dyDescent="0.4">
      <c r="K68" s="74">
        <v>66</v>
      </c>
      <c r="L68" s="119">
        <v>2.8421709430404007E-14</v>
      </c>
      <c r="M68" s="117">
        <v>1500.0904177708321</v>
      </c>
    </row>
    <row r="69" spans="11:13" x14ac:dyDescent="0.4">
      <c r="K69" s="74">
        <v>67</v>
      </c>
      <c r="L69" s="119">
        <v>24.700000000000028</v>
      </c>
      <c r="M69" s="117">
        <v>1504.5838752642071</v>
      </c>
    </row>
    <row r="70" spans="11:13" x14ac:dyDescent="0.4">
      <c r="K70" s="74">
        <v>68</v>
      </c>
      <c r="L70" s="119">
        <v>-11.099999999999969</v>
      </c>
      <c r="M70" s="117">
        <v>1498.1603720126218</v>
      </c>
    </row>
    <row r="71" spans="11:13" x14ac:dyDescent="0.4">
      <c r="K71" s="74">
        <v>69</v>
      </c>
      <c r="L71" s="119">
        <v>3.0198066269804258E-14</v>
      </c>
      <c r="M71" s="117">
        <v>1500.2174097805459</v>
      </c>
    </row>
    <row r="72" spans="11:13" x14ac:dyDescent="0.4">
      <c r="K72" s="74">
        <v>70</v>
      </c>
      <c r="L72" s="119">
        <v>-6.4999999999999698</v>
      </c>
      <c r="M72" s="117">
        <v>1499.0941053218626</v>
      </c>
    </row>
    <row r="73" spans="11:13" x14ac:dyDescent="0.4">
      <c r="K73" s="74">
        <v>71</v>
      </c>
      <c r="L73" s="119">
        <v>-50.999999999999972</v>
      </c>
      <c r="M73" s="117">
        <v>1491.1375406899315</v>
      </c>
    </row>
    <row r="74" spans="11:13" x14ac:dyDescent="0.4">
      <c r="K74" s="74">
        <v>72</v>
      </c>
      <c r="L74" s="119">
        <v>2.8421709430404007E-14</v>
      </c>
      <c r="M74" s="117">
        <v>1500.4187154457918</v>
      </c>
    </row>
    <row r="75" spans="11:13" x14ac:dyDescent="0.4">
      <c r="K75" s="74">
        <v>73</v>
      </c>
      <c r="L75" s="119">
        <v>-33.699999999999974</v>
      </c>
      <c r="M75" s="117">
        <v>1494.398203153117</v>
      </c>
    </row>
    <row r="76" spans="11:13" x14ac:dyDescent="0.4">
      <c r="K76" s="74">
        <v>74</v>
      </c>
      <c r="L76" s="119">
        <v>-17.199999999999974</v>
      </c>
      <c r="M76" s="117">
        <v>1497.4498139341983</v>
      </c>
    </row>
    <row r="77" spans="11:13" x14ac:dyDescent="0.4">
      <c r="K77" s="74">
        <v>75</v>
      </c>
      <c r="L77" s="119">
        <v>2.4868995751603507E-14</v>
      </c>
      <c r="M77" s="117">
        <v>1500.6091150505931</v>
      </c>
    </row>
    <row r="78" spans="11:13" x14ac:dyDescent="0.4">
      <c r="K78" s="74">
        <v>76</v>
      </c>
      <c r="L78" s="119">
        <v>23.900000000000023</v>
      </c>
      <c r="M78" s="117">
        <v>1504.9554603602896</v>
      </c>
    </row>
    <row r="79" spans="11:13" x14ac:dyDescent="0.4">
      <c r="K79" s="74">
        <v>77</v>
      </c>
      <c r="L79" s="119">
        <v>15.500000000000023</v>
      </c>
      <c r="M79" s="117">
        <v>1503.4617275981279</v>
      </c>
    </row>
    <row r="80" spans="11:13" x14ac:dyDescent="0.4">
      <c r="K80" s="74">
        <v>78</v>
      </c>
      <c r="L80" s="119">
        <v>2.3092638912203256E-14</v>
      </c>
      <c r="M80" s="117">
        <v>1500.6989572325392</v>
      </c>
    </row>
    <row r="81" spans="11:13" x14ac:dyDescent="0.4">
      <c r="K81" s="74">
        <v>79</v>
      </c>
      <c r="L81" s="119">
        <v>-36.999999999999979</v>
      </c>
      <c r="M81" s="117">
        <v>1494.0827634891439</v>
      </c>
    </row>
    <row r="82" spans="11:13" x14ac:dyDescent="0.4">
      <c r="K82" s="74">
        <v>80</v>
      </c>
      <c r="L82" s="119">
        <v>24.500000000000021</v>
      </c>
      <c r="M82" s="117">
        <v>1505.236266908209</v>
      </c>
    </row>
    <row r="83" spans="11:13" x14ac:dyDescent="0.4">
      <c r="K83" s="74">
        <v>81</v>
      </c>
      <c r="L83" s="119">
        <v>2.1316282072803006E-14</v>
      </c>
      <c r="M83" s="117">
        <v>1500.8428493067597</v>
      </c>
    </row>
    <row r="84" spans="11:13" x14ac:dyDescent="0.4">
      <c r="K84" s="74">
        <v>82</v>
      </c>
      <c r="L84" s="119">
        <v>58.000000000000021</v>
      </c>
      <c r="M84" s="117">
        <v>1511.3257922109192</v>
      </c>
    </row>
    <row r="85" spans="11:13" x14ac:dyDescent="0.4">
      <c r="K85" s="74">
        <v>83</v>
      </c>
      <c r="L85" s="119">
        <v>41.500000000000021</v>
      </c>
      <c r="M85" s="117">
        <v>1508.3358374576537</v>
      </c>
    </row>
    <row r="86" spans="11:13" x14ac:dyDescent="0.4">
      <c r="K86" s="74">
        <v>84</v>
      </c>
      <c r="L86" s="119">
        <v>2.1316282072803006E-14</v>
      </c>
      <c r="M86" s="117">
        <v>1500.8638224329079</v>
      </c>
    </row>
    <row r="87" spans="11:13" x14ac:dyDescent="0.4">
      <c r="K87" s="74">
        <v>85</v>
      </c>
      <c r="L87" s="119">
        <v>-8.399999999999979</v>
      </c>
      <c r="M87" s="117">
        <v>1499.4006394983105</v>
      </c>
    </row>
    <row r="88" spans="11:13" x14ac:dyDescent="0.4">
      <c r="K88" s="74">
        <v>86</v>
      </c>
      <c r="L88" s="119">
        <v>19.300000000000018</v>
      </c>
      <c r="M88" s="117">
        <v>1504.4442356613206</v>
      </c>
    </row>
    <row r="89" spans="11:13" x14ac:dyDescent="0.4">
      <c r="K89" s="74">
        <v>87</v>
      </c>
      <c r="L89" s="119">
        <v>1.7763568394002505E-14</v>
      </c>
      <c r="M89" s="117">
        <v>1500.9975702473528</v>
      </c>
    </row>
    <row r="90" spans="11:13" x14ac:dyDescent="0.4">
      <c r="K90" s="74">
        <v>88</v>
      </c>
      <c r="L90" s="119">
        <v>53.300000000000011</v>
      </c>
      <c r="M90" s="117">
        <v>1510.6635848258686</v>
      </c>
    </row>
    <row r="91" spans="11:13" x14ac:dyDescent="0.4">
      <c r="K91" s="74">
        <v>89</v>
      </c>
      <c r="L91" s="119">
        <v>14.400000000000013</v>
      </c>
      <c r="M91" s="117">
        <v>1503.6756033169133</v>
      </c>
    </row>
    <row r="92" spans="11:13" x14ac:dyDescent="0.4">
      <c r="K92" s="74">
        <v>90</v>
      </c>
      <c r="L92" s="119">
        <v>1.2434497875801753E-14</v>
      </c>
      <c r="M92" s="117">
        <v>1501.1395496970119</v>
      </c>
    </row>
    <row r="93" spans="11:13" x14ac:dyDescent="0.4">
      <c r="K93" s="74">
        <v>91</v>
      </c>
      <c r="L93" s="119">
        <v>-13.999999999999988</v>
      </c>
      <c r="M93" s="117">
        <v>1498.6907123988299</v>
      </c>
    </row>
    <row r="94" spans="11:13" x14ac:dyDescent="0.4">
      <c r="K94" s="74">
        <v>92</v>
      </c>
      <c r="L94" s="119">
        <v>-51.999999999999986</v>
      </c>
      <c r="M94" s="117">
        <v>1491.9365681244369</v>
      </c>
    </row>
    <row r="95" spans="11:13" x14ac:dyDescent="0.4">
      <c r="K95" s="74">
        <v>93</v>
      </c>
      <c r="L95" s="119">
        <v>1.4210854715202004E-14</v>
      </c>
      <c r="M95" s="117">
        <v>1501.4229487156904</v>
      </c>
    </row>
    <row r="96" spans="11:13" x14ac:dyDescent="0.4">
      <c r="K96" s="74">
        <v>94</v>
      </c>
      <c r="L96" s="119">
        <v>60.700000000000017</v>
      </c>
      <c r="M96" s="117">
        <v>1512.4184110233962</v>
      </c>
    </row>
    <row r="97" spans="11:13" x14ac:dyDescent="0.4">
      <c r="K97" s="74">
        <v>95</v>
      </c>
      <c r="L97" s="119">
        <v>40.40000000000002</v>
      </c>
      <c r="M97" s="117">
        <v>1508.7679005572559</v>
      </c>
    </row>
    <row r="98" spans="11:13" x14ac:dyDescent="0.4">
      <c r="K98" s="74">
        <v>96</v>
      </c>
      <c r="L98" s="119">
        <v>2.1316282072803006E-14</v>
      </c>
      <c r="M98" s="117">
        <v>1501.5212931539124</v>
      </c>
    </row>
    <row r="99" spans="11:13" x14ac:dyDescent="0.4">
      <c r="K99" s="74">
        <v>97</v>
      </c>
      <c r="L99" s="119">
        <v>50.000000000000021</v>
      </c>
      <c r="M99" s="117">
        <v>1510.5901653949891</v>
      </c>
    </row>
    <row r="100" spans="11:13" x14ac:dyDescent="0.4">
      <c r="K100" s="74">
        <v>98</v>
      </c>
      <c r="L100" s="119">
        <v>41.500000000000021</v>
      </c>
      <c r="M100" s="117">
        <v>1509.0746244026191</v>
      </c>
    </row>
    <row r="101" spans="11:13" x14ac:dyDescent="0.4">
      <c r="K101" s="74">
        <v>99</v>
      </c>
      <c r="L101" s="119">
        <v>2.1316282072803006E-14</v>
      </c>
      <c r="M101" s="117">
        <v>1501.6281766562033</v>
      </c>
    </row>
    <row r="102" spans="11:13" x14ac:dyDescent="0.4">
      <c r="K102" s="74">
        <v>100</v>
      </c>
      <c r="L102" s="119">
        <v>-13.999999999999979</v>
      </c>
      <c r="M102" s="117">
        <v>1499.176407596266</v>
      </c>
    </row>
    <row r="103" spans="11:13" x14ac:dyDescent="0.4">
      <c r="K103" s="74">
        <v>101</v>
      </c>
      <c r="L103" s="119">
        <v>-52.499999999999979</v>
      </c>
      <c r="M103" s="117">
        <v>1492.3293491506884</v>
      </c>
    </row>
    <row r="104" spans="11:13" x14ac:dyDescent="0.4">
      <c r="K104" s="74">
        <v>102</v>
      </c>
      <c r="L104" s="119">
        <v>2.1316282072803006E-14</v>
      </c>
      <c r="M104" s="117">
        <v>1501.9033730557842</v>
      </c>
    </row>
    <row r="105" spans="11:13" x14ac:dyDescent="0.4">
      <c r="K105" s="74">
        <v>103</v>
      </c>
      <c r="L105" s="119">
        <v>-3.3999999999999786</v>
      </c>
      <c r="M105" s="117">
        <v>1501.3579528174496</v>
      </c>
    </row>
    <row r="106" spans="11:13" x14ac:dyDescent="0.4">
      <c r="K106" s="74">
        <v>104</v>
      </c>
      <c r="L106" s="119">
        <v>-14.999999999999979</v>
      </c>
      <c r="M106" s="117">
        <v>1499.3398051005449</v>
      </c>
    </row>
    <row r="107" spans="11:13" x14ac:dyDescent="0.4">
      <c r="K107" s="74">
        <v>105</v>
      </c>
      <c r="L107" s="119">
        <v>2.1316282072803006E-14</v>
      </c>
      <c r="M107" s="117">
        <v>1502.1217662699416</v>
      </c>
    </row>
    <row r="108" spans="11:13" x14ac:dyDescent="0.4">
      <c r="K108" s="74">
        <v>106</v>
      </c>
      <c r="L108" s="119">
        <v>-17.09999999999998</v>
      </c>
      <c r="M108" s="117">
        <v>1499.1090356723221</v>
      </c>
    </row>
    <row r="109" spans="11:13" x14ac:dyDescent="0.4">
      <c r="K109" s="74">
        <v>107</v>
      </c>
      <c r="L109" s="119">
        <v>-16.799999999999979</v>
      </c>
      <c r="M109" s="117">
        <v>1499.2463814582882</v>
      </c>
    </row>
    <row r="110" spans="11:13" x14ac:dyDescent="0.4">
      <c r="K110" s="74">
        <v>108</v>
      </c>
      <c r="L110" s="119">
        <v>2.1316282072803006E-14</v>
      </c>
      <c r="M110" s="117">
        <v>1502.3529031695384</v>
      </c>
    </row>
    <row r="111" spans="11:13" x14ac:dyDescent="0.4">
      <c r="K111" s="74">
        <v>109</v>
      </c>
      <c r="L111" s="119">
        <v>21.100000000000023</v>
      </c>
      <c r="M111" s="117">
        <v>1506.2147857505213</v>
      </c>
    </row>
    <row r="112" spans="11:13" x14ac:dyDescent="0.4">
      <c r="K112" s="74">
        <v>110</v>
      </c>
      <c r="L112" s="119">
        <v>35.800000000000026</v>
      </c>
      <c r="M112" s="117">
        <v>1508.9014970360181</v>
      </c>
    </row>
    <row r="113" spans="11:13" x14ac:dyDescent="0.4">
      <c r="K113" s="74">
        <v>111</v>
      </c>
      <c r="L113" s="119">
        <v>2.8421709430404007E-14</v>
      </c>
      <c r="M113" s="117">
        <v>1502.482088053802</v>
      </c>
    </row>
    <row r="114" spans="11:13" x14ac:dyDescent="0.4">
      <c r="K114" s="74">
        <v>112</v>
      </c>
      <c r="L114" s="119">
        <v>-50.599999999999973</v>
      </c>
      <c r="M114" s="117">
        <v>1493.4371955254792</v>
      </c>
    </row>
    <row r="115" spans="11:13" x14ac:dyDescent="0.4">
      <c r="K115" s="74">
        <v>113</v>
      </c>
      <c r="L115" s="119">
        <v>-2.599999999999973</v>
      </c>
      <c r="M115" s="117">
        <v>1502.1945723523263</v>
      </c>
    </row>
    <row r="116" spans="11:13" x14ac:dyDescent="0.4">
      <c r="K116" s="74">
        <v>114</v>
      </c>
      <c r="L116" s="119">
        <v>2.708944180085382E-14</v>
      </c>
      <c r="M116" s="117">
        <v>1502.7274049182124</v>
      </c>
    </row>
    <row r="117" spans="11:13" x14ac:dyDescent="0.4">
      <c r="K117" s="74">
        <v>115</v>
      </c>
      <c r="L117" s="119">
        <v>-8.1999999999999726</v>
      </c>
      <c r="M117" s="117">
        <v>1501.3130404887031</v>
      </c>
    </row>
    <row r="118" spans="11:13" x14ac:dyDescent="0.4">
      <c r="K118" s="74">
        <v>116</v>
      </c>
      <c r="L118" s="119">
        <v>-49.999999999999972</v>
      </c>
      <c r="M118" s="117">
        <v>1493.8591622457709</v>
      </c>
    </row>
    <row r="119" spans="11:13" x14ac:dyDescent="0.4">
      <c r="K119" s="74">
        <v>117</v>
      </c>
      <c r="L119" s="119">
        <v>2.8421709430404007E-14</v>
      </c>
      <c r="M119" s="117">
        <v>1502.9740072722964</v>
      </c>
    </row>
    <row r="120" spans="11:13" x14ac:dyDescent="0.4">
      <c r="K120" s="74">
        <v>118</v>
      </c>
      <c r="L120" s="119">
        <v>-6.9999999999999716</v>
      </c>
      <c r="M120" s="117">
        <v>1501.7741632286627</v>
      </c>
    </row>
    <row r="121" spans="11:13" x14ac:dyDescent="0.4">
      <c r="K121" s="74">
        <v>119</v>
      </c>
      <c r="L121" s="119">
        <v>-12.499999999999972</v>
      </c>
      <c r="M121" s="117">
        <v>1500.8515182492906</v>
      </c>
    </row>
    <row r="122" spans="11:13" x14ac:dyDescent="0.4">
      <c r="K122" s="74">
        <v>120</v>
      </c>
      <c r="L122" s="119">
        <v>2.8421709430404007E-14</v>
      </c>
      <c r="M122" s="117">
        <v>1503.174409139795</v>
      </c>
    </row>
    <row r="123" spans="11:13" x14ac:dyDescent="0.4">
      <c r="K123" s="74">
        <v>121</v>
      </c>
      <c r="L123" s="119">
        <v>-36.39999999999997</v>
      </c>
      <c r="M123" s="117">
        <v>1496.6813626849562</v>
      </c>
    </row>
    <row r="124" spans="11:13" x14ac:dyDescent="0.4">
      <c r="K124" s="74">
        <v>122</v>
      </c>
      <c r="L124" s="119">
        <v>-11.499999999999972</v>
      </c>
      <c r="M124" s="117">
        <v>1501.2612745088466</v>
      </c>
    </row>
    <row r="125" spans="11:13" x14ac:dyDescent="0.4">
      <c r="K125" s="74">
        <v>123</v>
      </c>
      <c r="L125" s="119">
        <v>2.8421709430404007E-14</v>
      </c>
      <c r="M125" s="117">
        <v>1503.4017068617934</v>
      </c>
    </row>
    <row r="126" spans="11:13" x14ac:dyDescent="0.4">
      <c r="K126" s="74">
        <v>124</v>
      </c>
      <c r="L126" s="119">
        <v>-8.4999999999999716</v>
      </c>
      <c r="M126" s="117">
        <v>1501.8872966206227</v>
      </c>
    </row>
    <row r="127" spans="11:13" x14ac:dyDescent="0.4">
      <c r="K127" s="74">
        <v>125</v>
      </c>
      <c r="L127" s="119">
        <v>-5.4999999999999716</v>
      </c>
      <c r="M127" s="117">
        <v>1502.4519728408989</v>
      </c>
    </row>
    <row r="128" spans="11:13" x14ac:dyDescent="0.4">
      <c r="K128" s="74">
        <v>126</v>
      </c>
      <c r="L128" s="119">
        <v>2.8421709430404007E-14</v>
      </c>
      <c r="M128" s="117">
        <v>1503.4632610038534</v>
      </c>
    </row>
    <row r="129" spans="11:13" x14ac:dyDescent="0.4">
      <c r="K129" s="74">
        <v>127</v>
      </c>
      <c r="L129" s="119">
        <v>8.4000000000000288</v>
      </c>
      <c r="M129" s="117">
        <v>1504.9904814378303</v>
      </c>
    </row>
    <row r="130" spans="11:13" x14ac:dyDescent="0.4">
      <c r="K130" s="74">
        <v>128</v>
      </c>
      <c r="L130" s="119">
        <v>23.900000000000027</v>
      </c>
      <c r="M130" s="117">
        <v>1507.7865385492034</v>
      </c>
    </row>
    <row r="131" spans="11:13" x14ac:dyDescent="0.4">
      <c r="K131" s="74">
        <v>129</v>
      </c>
      <c r="L131" s="119">
        <v>2.8421709430404007E-14</v>
      </c>
      <c r="M131" s="117">
        <v>1503.4738193179082</v>
      </c>
    </row>
    <row r="132" spans="11:13" x14ac:dyDescent="0.4">
      <c r="K132" s="74">
        <v>130</v>
      </c>
      <c r="L132" s="119">
        <v>-10.399999999999972</v>
      </c>
      <c r="M132" s="117">
        <v>1501.6169764020008</v>
      </c>
    </row>
    <row r="133" spans="11:13" x14ac:dyDescent="0.4">
      <c r="K133" s="74">
        <v>131</v>
      </c>
      <c r="L133" s="119">
        <v>0.70000000000002771</v>
      </c>
      <c r="M133" s="117">
        <v>1503.6412745435887</v>
      </c>
    </row>
    <row r="134" spans="11:13" x14ac:dyDescent="0.4">
      <c r="K134" s="74">
        <v>132</v>
      </c>
      <c r="L134" s="119">
        <v>2.7755575615628914E-14</v>
      </c>
      <c r="M134" s="117">
        <v>1503.5294268963271</v>
      </c>
    </row>
    <row r="135" spans="11:13" x14ac:dyDescent="0.4">
      <c r="K135" s="74">
        <v>133</v>
      </c>
      <c r="L135" s="119">
        <v>27.900000000000027</v>
      </c>
      <c r="M135" s="117">
        <v>1508.5722503349491</v>
      </c>
    </row>
    <row r="136" spans="11:13" x14ac:dyDescent="0.4">
      <c r="K136" s="74">
        <v>134</v>
      </c>
      <c r="L136" s="119">
        <v>-7.9999999999999716</v>
      </c>
      <c r="M136" s="117">
        <v>1502.1008168329395</v>
      </c>
    </row>
    <row r="137" spans="11:13" x14ac:dyDescent="0.4">
      <c r="K137" s="74">
        <v>135</v>
      </c>
      <c r="L137" s="119">
        <v>2.8421709430404007E-14</v>
      </c>
      <c r="M137" s="117">
        <v>1503.5702119319419</v>
      </c>
    </row>
    <row r="138" spans="11:13" x14ac:dyDescent="0.4">
      <c r="K138" s="74">
        <v>136</v>
      </c>
      <c r="L138" s="119">
        <v>-20.499999999999972</v>
      </c>
      <c r="M138" s="117">
        <v>1499.9007906603504</v>
      </c>
    </row>
    <row r="139" spans="11:13" x14ac:dyDescent="0.4">
      <c r="K139" s="74">
        <v>137</v>
      </c>
      <c r="L139" s="119">
        <v>-25.199999999999971</v>
      </c>
      <c r="M139" s="117">
        <v>1499.0973859163882</v>
      </c>
    </row>
    <row r="140" spans="11:13" x14ac:dyDescent="0.4">
      <c r="K140" s="74">
        <v>138</v>
      </c>
      <c r="L140" s="119">
        <v>2.8421709430404007E-14</v>
      </c>
      <c r="M140" s="117">
        <v>1503.6808016008899</v>
      </c>
    </row>
    <row r="141" spans="11:13" x14ac:dyDescent="0.4">
      <c r="K141" s="74">
        <v>139</v>
      </c>
      <c r="L141" s="119">
        <v>-31.099999999999973</v>
      </c>
      <c r="M141" s="117">
        <v>1498.1027167912846</v>
      </c>
    </row>
    <row r="142" spans="11:13" x14ac:dyDescent="0.4">
      <c r="K142" s="74">
        <v>140</v>
      </c>
      <c r="L142" s="119">
        <v>-62.299999999999969</v>
      </c>
      <c r="M142" s="117">
        <v>1492.5401004905368</v>
      </c>
    </row>
    <row r="143" spans="11:13" x14ac:dyDescent="0.4">
      <c r="K143" s="74">
        <v>141</v>
      </c>
      <c r="L143" s="119">
        <v>2.8421709430404007E-14</v>
      </c>
      <c r="M143" s="117">
        <v>1503.8408598875935</v>
      </c>
    </row>
    <row r="144" spans="11:13" x14ac:dyDescent="0.4">
      <c r="K144" s="74">
        <v>142</v>
      </c>
      <c r="L144" s="119">
        <v>16.200000000000028</v>
      </c>
      <c r="M144" s="117">
        <v>1506.775814728268</v>
      </c>
    </row>
    <row r="145" spans="11:13" x14ac:dyDescent="0.4">
      <c r="K145" s="74">
        <v>143</v>
      </c>
      <c r="L145" s="119">
        <v>-8.599999999999973</v>
      </c>
      <c r="M145" s="117">
        <v>1502.3131598398984</v>
      </c>
    </row>
    <row r="146" spans="11:13" x14ac:dyDescent="0.4">
      <c r="K146" s="74">
        <v>144</v>
      </c>
      <c r="L146" s="119">
        <v>2.6645352591003757E-14</v>
      </c>
      <c r="M146" s="117">
        <v>1503.8892808808589</v>
      </c>
    </row>
    <row r="147" spans="11:13" x14ac:dyDescent="0.4">
      <c r="K147" s="74">
        <v>145</v>
      </c>
      <c r="L147" s="119">
        <v>-4.8999999999999737</v>
      </c>
      <c r="M147" s="117">
        <v>1503.0259451955737</v>
      </c>
    </row>
    <row r="148" spans="11:13" x14ac:dyDescent="0.4">
      <c r="K148" s="74">
        <v>146</v>
      </c>
      <c r="L148" s="119">
        <v>-16.799999999999976</v>
      </c>
      <c r="M148" s="117">
        <v>1500.9077895244002</v>
      </c>
    </row>
    <row r="149" spans="11:13" x14ac:dyDescent="0.4">
      <c r="K149" s="74">
        <v>147</v>
      </c>
      <c r="L149" s="119">
        <v>2.4868995751603507E-14</v>
      </c>
      <c r="M149" s="117">
        <v>1503.9683427872537</v>
      </c>
    </row>
    <row r="150" spans="11:13" x14ac:dyDescent="0.4">
      <c r="K150" s="74">
        <v>148</v>
      </c>
      <c r="L150" s="119">
        <v>12.800000000000026</v>
      </c>
      <c r="M150" s="117">
        <v>1506.2545327305302</v>
      </c>
    </row>
    <row r="151" spans="11:13" x14ac:dyDescent="0.4">
      <c r="K151" s="74">
        <v>149</v>
      </c>
      <c r="L151" s="119">
        <v>16.700000000000024</v>
      </c>
      <c r="M151" s="117">
        <v>1506.925005534147</v>
      </c>
    </row>
    <row r="152" spans="11:13" x14ac:dyDescent="0.4">
      <c r="K152" s="74">
        <v>150</v>
      </c>
      <c r="L152" s="119">
        <v>2.4868995751603507E-14</v>
      </c>
      <c r="M152" s="117">
        <v>1503.8834555009421</v>
      </c>
    </row>
    <row r="153" spans="11:13" x14ac:dyDescent="0.4">
      <c r="K153" s="74">
        <v>151</v>
      </c>
      <c r="L153" s="119">
        <v>0.70000000000002482</v>
      </c>
      <c r="M153" s="117">
        <v>1504.0281547679365</v>
      </c>
    </row>
    <row r="154" spans="11:13" x14ac:dyDescent="0.4">
      <c r="K154" s="74">
        <v>152</v>
      </c>
      <c r="L154" s="119">
        <v>43.900000000000027</v>
      </c>
      <c r="M154" s="117">
        <v>1511.8219858393288</v>
      </c>
    </row>
    <row r="155" spans="11:13" x14ac:dyDescent="0.4">
      <c r="K155" s="74">
        <v>153</v>
      </c>
      <c r="L155" s="119">
        <v>2.8421709430404007E-14</v>
      </c>
      <c r="M155" s="117">
        <v>1503.8910539242929</v>
      </c>
    </row>
    <row r="156" spans="11:13" x14ac:dyDescent="0.4">
      <c r="K156" s="74">
        <v>154</v>
      </c>
      <c r="L156" s="119">
        <v>-6.6999999999999718</v>
      </c>
      <c r="M156" s="117">
        <v>1502.7037076007471</v>
      </c>
    </row>
    <row r="157" spans="11:13" x14ac:dyDescent="0.4">
      <c r="K157" s="74">
        <v>155</v>
      </c>
      <c r="L157" s="119">
        <v>-9.4999999999999716</v>
      </c>
      <c r="M157" s="117">
        <v>1502.2254853551426</v>
      </c>
    </row>
    <row r="158" spans="11:13" x14ac:dyDescent="0.4">
      <c r="K158" s="74">
        <v>156</v>
      </c>
      <c r="L158" s="119">
        <v>2.8421709430404007E-14</v>
      </c>
      <c r="M158" s="117">
        <v>1503.9641324430117</v>
      </c>
    </row>
    <row r="159" spans="11:13" x14ac:dyDescent="0.4">
      <c r="K159" s="74">
        <v>157</v>
      </c>
      <c r="L159" s="119">
        <v>-27.999999999999972</v>
      </c>
      <c r="M159" s="117">
        <v>1498.9423476483537</v>
      </c>
    </row>
    <row r="160" spans="11:13" x14ac:dyDescent="0.4">
      <c r="K160" s="74">
        <v>158</v>
      </c>
      <c r="L160" s="119">
        <v>-82.999999999999972</v>
      </c>
      <c r="M160" s="117">
        <v>1489.0906935624635</v>
      </c>
    </row>
    <row r="161" spans="11:13" x14ac:dyDescent="0.4">
      <c r="K161" s="74">
        <v>159</v>
      </c>
      <c r="L161" s="119">
        <v>2.8421709430404007E-14</v>
      </c>
      <c r="M161" s="117">
        <v>1504.1381494010886</v>
      </c>
    </row>
    <row r="162" spans="11:13" x14ac:dyDescent="0.4">
      <c r="K162" s="74">
        <v>160</v>
      </c>
      <c r="L162" s="119">
        <v>16.700000000000028</v>
      </c>
      <c r="M162" s="117">
        <v>1507.1613205046822</v>
      </c>
    </row>
    <row r="163" spans="11:13" x14ac:dyDescent="0.4">
      <c r="K163" s="74">
        <v>161</v>
      </c>
      <c r="L163" s="119">
        <v>-20.999999999999975</v>
      </c>
      <c r="M163" s="117">
        <v>1500.3743525816542</v>
      </c>
    </row>
    <row r="164" spans="11:13" x14ac:dyDescent="0.4">
      <c r="K164" s="74">
        <v>162</v>
      </c>
      <c r="L164" s="119">
        <v>2.4868995751603507E-14</v>
      </c>
      <c r="M164" s="117">
        <v>1504.1941064661642</v>
      </c>
    </row>
    <row r="165" spans="11:13" x14ac:dyDescent="0.4">
      <c r="K165" s="74">
        <v>163</v>
      </c>
      <c r="L165" s="119">
        <v>-6.9999999999999751</v>
      </c>
      <c r="M165" s="117">
        <v>1502.9509418273672</v>
      </c>
    </row>
    <row r="166" spans="11:13" x14ac:dyDescent="0.4">
      <c r="K166" s="74">
        <v>164</v>
      </c>
      <c r="L166" s="119">
        <v>-12.899999999999975</v>
      </c>
      <c r="M166" s="117">
        <v>1501.913236176403</v>
      </c>
    </row>
    <row r="167" spans="11:13" x14ac:dyDescent="0.4">
      <c r="K167" s="74">
        <v>165</v>
      </c>
      <c r="L167" s="119">
        <v>2.4868995751603507E-14</v>
      </c>
      <c r="M167" s="117">
        <v>1504.2657567593446</v>
      </c>
    </row>
    <row r="168" spans="11:13" x14ac:dyDescent="0.4">
      <c r="K168" s="74">
        <v>166</v>
      </c>
      <c r="L168" s="119">
        <v>31.600000000000026</v>
      </c>
      <c r="M168" s="117">
        <v>1509.9101622187886</v>
      </c>
    </row>
    <row r="169" spans="11:13" x14ac:dyDescent="0.4">
      <c r="K169" s="74">
        <v>167</v>
      </c>
      <c r="L169" s="119">
        <v>37.800000000000026</v>
      </c>
      <c r="M169" s="117">
        <v>1510.9487012454758</v>
      </c>
    </row>
    <row r="170" spans="11:13" x14ac:dyDescent="0.4">
      <c r="K170" s="74">
        <v>168</v>
      </c>
      <c r="L170" s="119">
        <v>2.8421709430404007E-14</v>
      </c>
      <c r="M170" s="117">
        <v>1504.061009038003</v>
      </c>
    </row>
    <row r="171" spans="11:13" x14ac:dyDescent="0.4">
      <c r="K171" s="74">
        <v>169</v>
      </c>
      <c r="L171" s="119">
        <v>15.800000000000029</v>
      </c>
      <c r="M171" s="117">
        <v>1506.9346429837749</v>
      </c>
    </row>
    <row r="172" spans="11:13" x14ac:dyDescent="0.4">
      <c r="K172" s="74">
        <v>170</v>
      </c>
      <c r="L172" s="119">
        <v>-30.299999999999972</v>
      </c>
      <c r="M172" s="117">
        <v>1498.6490351258722</v>
      </c>
    </row>
    <row r="173" spans="11:13" x14ac:dyDescent="0.4">
      <c r="K173" s="74">
        <v>171</v>
      </c>
      <c r="L173" s="119">
        <v>2.8421709430404007E-14</v>
      </c>
      <c r="M173" s="117">
        <v>1504.165140915117</v>
      </c>
    </row>
    <row r="174" spans="11:13" x14ac:dyDescent="0.4">
      <c r="K174" s="74">
        <v>172</v>
      </c>
      <c r="L174" s="119">
        <v>57.000000000000028</v>
      </c>
      <c r="M174" s="117">
        <v>1514.4541500696264</v>
      </c>
    </row>
    <row r="175" spans="11:13" x14ac:dyDescent="0.4">
      <c r="K175" s="74">
        <v>173</v>
      </c>
      <c r="L175" s="119">
        <v>6.5000000000000284</v>
      </c>
      <c r="M175" s="117">
        <v>1505.3314251692086</v>
      </c>
    </row>
    <row r="176" spans="11:13" x14ac:dyDescent="0.4">
      <c r="K176" s="74">
        <v>174</v>
      </c>
      <c r="L176" s="119">
        <v>2.8421709430404007E-14</v>
      </c>
      <c r="M176" s="117">
        <v>1504.1834366181934</v>
      </c>
    </row>
    <row r="177" spans="11:13" x14ac:dyDescent="0.4">
      <c r="K177" s="74">
        <v>175</v>
      </c>
      <c r="L177" s="119">
        <v>5.3000000000000282</v>
      </c>
      <c r="M177" s="117">
        <v>1505.1663359984841</v>
      </c>
    </row>
    <row r="178" spans="11:13" x14ac:dyDescent="0.4">
      <c r="K178" s="74">
        <v>176</v>
      </c>
      <c r="L178" s="119">
        <v>11.600000000000028</v>
      </c>
      <c r="M178" s="117">
        <v>1506.3233379824933</v>
      </c>
    </row>
    <row r="179" spans="11:13" x14ac:dyDescent="0.4">
      <c r="K179" s="74">
        <v>177</v>
      </c>
      <c r="L179" s="119">
        <v>2.8421709430404007E-14</v>
      </c>
      <c r="M179" s="117">
        <v>1504.2513979545984</v>
      </c>
    </row>
    <row r="180" spans="11:13" x14ac:dyDescent="0.4">
      <c r="K180" s="74">
        <v>178</v>
      </c>
      <c r="L180" s="119">
        <v>-36.199999999999974</v>
      </c>
      <c r="M180" s="117">
        <v>1497.6798895668708</v>
      </c>
    </row>
    <row r="181" spans="11:13" x14ac:dyDescent="0.4">
      <c r="K181" s="74">
        <v>179</v>
      </c>
      <c r="L181" s="119">
        <v>-17.499999999999975</v>
      </c>
      <c r="M181" s="117">
        <v>1501.0298102294696</v>
      </c>
    </row>
    <row r="182" spans="11:13" x14ac:dyDescent="0.4">
      <c r="K182" s="74">
        <v>180</v>
      </c>
      <c r="L182" s="119">
        <v>2.4868995751603507E-14</v>
      </c>
      <c r="M182" s="117">
        <v>1504.1436313680929</v>
      </c>
    </row>
    <row r="183" spans="11:13" x14ac:dyDescent="0.4">
      <c r="K183" s="74">
        <v>181</v>
      </c>
      <c r="L183" s="119">
        <v>-46.09999999999998</v>
      </c>
      <c r="M183" s="117">
        <v>1495.8867695798842</v>
      </c>
    </row>
    <row r="184" spans="11:13" x14ac:dyDescent="0.4">
      <c r="K184" s="74">
        <v>182</v>
      </c>
      <c r="L184" s="119">
        <v>-40.999999999999979</v>
      </c>
      <c r="M184" s="117">
        <v>1496.895448962405</v>
      </c>
    </row>
    <row r="185" spans="11:13" x14ac:dyDescent="0.4">
      <c r="K185" s="74">
        <v>183</v>
      </c>
      <c r="L185" s="119">
        <v>2.1316282072803006E-14</v>
      </c>
      <c r="M185" s="117">
        <v>1504.3600762686306</v>
      </c>
    </row>
    <row r="186" spans="11:13" x14ac:dyDescent="0.4">
      <c r="K186" s="74">
        <v>184</v>
      </c>
      <c r="L186" s="119">
        <v>35.000000000000021</v>
      </c>
      <c r="M186" s="117">
        <v>1510.6219158110189</v>
      </c>
    </row>
    <row r="187" spans="11:13" x14ac:dyDescent="0.4">
      <c r="K187" s="74">
        <v>185</v>
      </c>
      <c r="L187" s="119">
        <v>10.500000000000021</v>
      </c>
      <c r="M187" s="117">
        <v>1506.1361843161528</v>
      </c>
    </row>
    <row r="188" spans="11:13" x14ac:dyDescent="0.4">
      <c r="K188" s="74">
        <v>186</v>
      </c>
      <c r="L188" s="119">
        <v>2.1316282072803006E-14</v>
      </c>
      <c r="M188" s="117">
        <v>1504.1973672102558</v>
      </c>
    </row>
    <row r="189" spans="11:13" x14ac:dyDescent="0.4">
      <c r="K189" s="74">
        <v>187</v>
      </c>
      <c r="L189" s="119">
        <v>21.100000000000023</v>
      </c>
      <c r="M189" s="117">
        <v>1508.0121830069943</v>
      </c>
    </row>
    <row r="190" spans="11:13" x14ac:dyDescent="0.4">
      <c r="K190" s="74">
        <v>188</v>
      </c>
      <c r="L190" s="119">
        <v>7.2000000000000224</v>
      </c>
      <c r="M190" s="117">
        <v>1505.5041099089524</v>
      </c>
    </row>
    <row r="191" spans="11:13" x14ac:dyDescent="0.4">
      <c r="K191" s="74">
        <v>189</v>
      </c>
      <c r="L191" s="119">
        <v>2.2204460492503131E-14</v>
      </c>
      <c r="M191" s="117">
        <v>1504.2170852494987</v>
      </c>
    </row>
    <row r="192" spans="11:13" x14ac:dyDescent="0.4">
      <c r="K192" s="74">
        <v>190</v>
      </c>
      <c r="L192" s="119">
        <v>-65.999999999999972</v>
      </c>
      <c r="M192" s="117">
        <v>1492.3537827380017</v>
      </c>
    </row>
    <row r="193" spans="11:13" x14ac:dyDescent="0.4">
      <c r="K193" s="74">
        <v>191</v>
      </c>
      <c r="L193" s="119">
        <v>-74.299999999999969</v>
      </c>
      <c r="M193" s="117">
        <v>1490.9476600415737</v>
      </c>
    </row>
    <row r="194" spans="11:13" x14ac:dyDescent="0.4">
      <c r="K194" s="74">
        <v>192</v>
      </c>
      <c r="L194" s="119">
        <v>2.8421709430404007E-14</v>
      </c>
      <c r="M194" s="117">
        <v>1504.4179740813242</v>
      </c>
    </row>
    <row r="195" spans="11:13" x14ac:dyDescent="0.4">
      <c r="K195" s="74">
        <v>193</v>
      </c>
      <c r="L195" s="119">
        <v>-4.9999999999999716</v>
      </c>
      <c r="M195" s="117">
        <v>1503.4314662368363</v>
      </c>
    </row>
    <row r="196" spans="11:13" x14ac:dyDescent="0.4">
      <c r="K196" s="74">
        <v>194</v>
      </c>
      <c r="L196" s="119">
        <v>-49.999999999999972</v>
      </c>
      <c r="M196" s="117">
        <v>1495.2508774394153</v>
      </c>
    </row>
    <row r="197" spans="11:13" x14ac:dyDescent="0.4">
      <c r="K197" s="74">
        <v>195</v>
      </c>
      <c r="L197" s="119">
        <v>2.8421709430404007E-14</v>
      </c>
      <c r="M197" s="117">
        <v>1504.2193721747788</v>
      </c>
    </row>
    <row r="198" spans="11:13" x14ac:dyDescent="0.4">
      <c r="K198" s="74">
        <v>196</v>
      </c>
      <c r="L198" s="119">
        <v>1.0000000000000284</v>
      </c>
      <c r="M198" s="117">
        <v>1504.39805594173</v>
      </c>
    </row>
    <row r="199" spans="11:13" x14ac:dyDescent="0.4">
      <c r="K199" s="74">
        <v>197</v>
      </c>
      <c r="L199" s="119">
        <v>-34.999999999999972</v>
      </c>
      <c r="M199" s="117">
        <v>1497.9156676060798</v>
      </c>
    </row>
    <row r="200" spans="11:13" x14ac:dyDescent="0.4">
      <c r="K200" s="74">
        <v>198</v>
      </c>
      <c r="L200" s="119">
        <v>2.8421709430404007E-14</v>
      </c>
      <c r="M200" s="117">
        <v>1504.2521736004433</v>
      </c>
    </row>
    <row r="201" spans="11:13" x14ac:dyDescent="0.4">
      <c r="K201" s="74">
        <v>199</v>
      </c>
      <c r="L201" s="119">
        <v>31.60000000000003</v>
      </c>
      <c r="M201" s="117">
        <v>1509.9326605588406</v>
      </c>
    </row>
    <row r="202" spans="11:13" x14ac:dyDescent="0.4">
      <c r="K202" s="74">
        <v>200</v>
      </c>
      <c r="L202" s="119">
        <v>0.30000000000002913</v>
      </c>
      <c r="M202" s="117">
        <v>1504.2570645954875</v>
      </c>
    </row>
    <row r="203" spans="11:13" x14ac:dyDescent="0.4">
      <c r="K203" s="74">
        <v>201</v>
      </c>
      <c r="L203" s="119">
        <v>2.9143354396410359E-14</v>
      </c>
      <c r="M203" s="117">
        <v>1504.1955222079146</v>
      </c>
    </row>
    <row r="204" spans="11:13" x14ac:dyDescent="0.4">
      <c r="K204" s="74">
        <v>202</v>
      </c>
      <c r="L204" s="119">
        <v>-18.999999999999972</v>
      </c>
      <c r="M204" s="117">
        <v>1500.756349074667</v>
      </c>
    </row>
    <row r="205" spans="11:13" x14ac:dyDescent="0.4">
      <c r="K205" s="74">
        <v>203</v>
      </c>
      <c r="L205" s="119">
        <v>45.000000000000028</v>
      </c>
      <c r="M205" s="117">
        <v>1512.2778109802191</v>
      </c>
    </row>
    <row r="206" spans="11:13" x14ac:dyDescent="0.4">
      <c r="K206" s="74">
        <v>204</v>
      </c>
      <c r="L206" s="119">
        <v>2.8421709430404007E-14</v>
      </c>
      <c r="M206" s="117">
        <v>1504.1101441143378</v>
      </c>
    </row>
    <row r="207" spans="11:13" x14ac:dyDescent="0.4">
      <c r="K207" s="74">
        <v>205</v>
      </c>
      <c r="L207" s="119">
        <v>-9.8999999999999719</v>
      </c>
      <c r="M207" s="117">
        <v>1502.3094832496517</v>
      </c>
    </row>
    <row r="208" spans="11:13" x14ac:dyDescent="0.4">
      <c r="K208" s="74">
        <v>206</v>
      </c>
      <c r="L208" s="119">
        <v>-6.7999999999999723</v>
      </c>
      <c r="M208" s="117">
        <v>1502.8596263501538</v>
      </c>
    </row>
    <row r="209" spans="11:13" x14ac:dyDescent="0.4">
      <c r="K209" s="74">
        <v>207</v>
      </c>
      <c r="L209" s="119">
        <v>2.7533531010703882E-14</v>
      </c>
      <c r="M209" s="117">
        <v>1504.0724685920529</v>
      </c>
    </row>
    <row r="210" spans="11:13" x14ac:dyDescent="0.4">
      <c r="K210" s="74">
        <v>208</v>
      </c>
      <c r="L210" s="119">
        <v>0.90000000000002756</v>
      </c>
      <c r="M210" s="117">
        <v>1504.2160337805005</v>
      </c>
    </row>
    <row r="211" spans="11:13" x14ac:dyDescent="0.4">
      <c r="K211" s="74">
        <v>209</v>
      </c>
      <c r="L211" s="119">
        <v>2.1000000000000276</v>
      </c>
      <c r="M211" s="117">
        <v>1504.4127375778176</v>
      </c>
    </row>
    <row r="212" spans="11:13" x14ac:dyDescent="0.4">
      <c r="K212" s="74">
        <v>210</v>
      </c>
      <c r="L212" s="119">
        <v>2.7533531010703882E-14</v>
      </c>
      <c r="M212" s="117">
        <v>1504.0142611523506</v>
      </c>
    </row>
    <row r="213" spans="11:13" x14ac:dyDescent="0.4">
      <c r="K213" s="74">
        <v>211</v>
      </c>
      <c r="L213" s="119">
        <v>32.300000000000026</v>
      </c>
      <c r="M213" s="117">
        <v>1509.8101755854366</v>
      </c>
    </row>
    <row r="214" spans="11:13" x14ac:dyDescent="0.4">
      <c r="K214" s="74">
        <v>212</v>
      </c>
      <c r="L214" s="119">
        <v>35.100000000000023</v>
      </c>
      <c r="M214" s="117">
        <v>1510.261314531924</v>
      </c>
    </row>
    <row r="215" spans="11:13" x14ac:dyDescent="0.4">
      <c r="K215" s="74">
        <v>213</v>
      </c>
      <c r="L215" s="119">
        <v>2.1316282072803006E-14</v>
      </c>
      <c r="M215" s="117">
        <v>1503.8877466447325</v>
      </c>
    </row>
    <row r="216" spans="11:13" x14ac:dyDescent="0.4">
      <c r="K216" s="74">
        <v>214</v>
      </c>
      <c r="L216" s="119">
        <v>-45.999999999999979</v>
      </c>
      <c r="M216" s="117">
        <v>1495.662420164864</v>
      </c>
    </row>
    <row r="217" spans="11:13" x14ac:dyDescent="0.4">
      <c r="K217" s="74">
        <v>215</v>
      </c>
      <c r="L217" s="119">
        <v>-1.3999999999999773</v>
      </c>
      <c r="M217" s="117">
        <v>1503.7944456438747</v>
      </c>
    </row>
    <row r="218" spans="11:13" x14ac:dyDescent="0.4">
      <c r="K218" s="74">
        <v>216</v>
      </c>
      <c r="L218" s="119">
        <v>2.2648549702353193E-14</v>
      </c>
      <c r="M218" s="117">
        <v>1504.1016789700116</v>
      </c>
    </row>
    <row r="219" spans="11:13" x14ac:dyDescent="0.4">
      <c r="K219" s="74">
        <v>217</v>
      </c>
      <c r="L219" s="119">
        <v>28.40000000000002</v>
      </c>
      <c r="M219" s="117">
        <v>1509.2490688961916</v>
      </c>
    </row>
    <row r="220" spans="11:13" x14ac:dyDescent="0.4">
      <c r="K220" s="74">
        <v>218</v>
      </c>
      <c r="L220" s="119">
        <v>27.000000000000021</v>
      </c>
      <c r="M220" s="117">
        <v>1509.0015744828145</v>
      </c>
    </row>
    <row r="221" spans="11:13" x14ac:dyDescent="0.4">
      <c r="K221" s="74">
        <v>219</v>
      </c>
      <c r="L221" s="119">
        <v>2.1316282072803006E-14</v>
      </c>
      <c r="M221" s="117">
        <v>1504.1475650359175</v>
      </c>
    </row>
    <row r="222" spans="11:13" x14ac:dyDescent="0.4">
      <c r="K222" s="74">
        <v>220</v>
      </c>
      <c r="L222" s="119">
        <v>-7.399999999999979</v>
      </c>
      <c r="M222" s="117">
        <v>1502.9826796457021</v>
      </c>
    </row>
    <row r="223" spans="11:13" x14ac:dyDescent="0.4">
      <c r="K223" s="74">
        <v>221</v>
      </c>
      <c r="L223" s="119">
        <v>-47.09999999999998</v>
      </c>
      <c r="M223" s="117">
        <v>1496.010783567828</v>
      </c>
    </row>
    <row r="224" spans="11:13" x14ac:dyDescent="0.4">
      <c r="K224" s="74">
        <v>222</v>
      </c>
      <c r="L224" s="119">
        <v>2.1316282072803006E-14</v>
      </c>
      <c r="M224" s="117">
        <v>1504.704718866421</v>
      </c>
    </row>
    <row r="225" spans="11:13" x14ac:dyDescent="0.4">
      <c r="K225" s="74">
        <v>223</v>
      </c>
      <c r="L225" s="119">
        <v>18.300000000000022</v>
      </c>
      <c r="M225" s="117">
        <v>1508.0544905532224</v>
      </c>
    </row>
    <row r="226" spans="11:13" x14ac:dyDescent="0.4">
      <c r="K226" s="74">
        <v>224</v>
      </c>
      <c r="L226" s="119">
        <v>-14.799999999999979</v>
      </c>
      <c r="M226" s="117">
        <v>1502.132163609903</v>
      </c>
    </row>
    <row r="227" spans="11:13" x14ac:dyDescent="0.4">
      <c r="K227" s="74">
        <v>225</v>
      </c>
      <c r="L227" s="119">
        <v>2.1316282072803006E-14</v>
      </c>
      <c r="M227" s="117">
        <v>1504.8673706282436</v>
      </c>
    </row>
    <row r="228" spans="11:13" x14ac:dyDescent="0.4">
      <c r="K228" s="74">
        <v>226</v>
      </c>
      <c r="L228" s="119">
        <v>-13.899999999999979</v>
      </c>
      <c r="M228" s="117">
        <v>1502.4201664044742</v>
      </c>
    </row>
    <row r="229" spans="11:13" x14ac:dyDescent="0.4">
      <c r="K229" s="74">
        <v>227</v>
      </c>
      <c r="L229" s="119">
        <v>-32.09999999999998</v>
      </c>
      <c r="M229" s="117">
        <v>1499.2136454060474</v>
      </c>
    </row>
    <row r="230" spans="11:13" x14ac:dyDescent="0.4">
      <c r="K230" s="74">
        <v>228</v>
      </c>
      <c r="L230" s="119">
        <v>2.1316282072803006E-14</v>
      </c>
      <c r="M230" s="117">
        <v>1505.080363533611</v>
      </c>
    </row>
    <row r="231" spans="11:13" x14ac:dyDescent="0.4">
      <c r="K231" s="74">
        <v>229</v>
      </c>
      <c r="L231" s="119">
        <v>40.000000000000021</v>
      </c>
      <c r="M231" s="117">
        <v>1512.2978813524094</v>
      </c>
    </row>
    <row r="232" spans="11:13" x14ac:dyDescent="0.4">
      <c r="K232" s="74">
        <v>230</v>
      </c>
      <c r="L232" s="119">
        <v>-0.39999999999997726</v>
      </c>
      <c r="M232" s="117">
        <v>1505.0000940642949</v>
      </c>
    </row>
    <row r="233" spans="11:13" x14ac:dyDescent="0.4">
      <c r="K233" s="74">
        <v>231</v>
      </c>
      <c r="L233" s="119">
        <v>2.2759572004815709E-14</v>
      </c>
      <c r="M233" s="117">
        <v>1505.090093499909</v>
      </c>
    </row>
    <row r="234" spans="11:13" x14ac:dyDescent="0.4">
      <c r="K234" s="74">
        <v>232</v>
      </c>
      <c r="L234" s="119">
        <v>5.2000000000000233</v>
      </c>
      <c r="M234" s="117">
        <v>1505.9535529389095</v>
      </c>
    </row>
    <row r="235" spans="11:13" x14ac:dyDescent="0.4">
      <c r="K235" s="74">
        <v>233</v>
      </c>
      <c r="L235" s="119">
        <v>-5.7999999999999767</v>
      </c>
      <c r="M235" s="117">
        <v>1503.8958316212761</v>
      </c>
    </row>
    <row r="236" spans="11:13" x14ac:dyDescent="0.4">
      <c r="K236" s="74">
        <v>234</v>
      </c>
      <c r="L236" s="119">
        <v>2.3092638912203256E-14</v>
      </c>
      <c r="M236" s="117">
        <v>1504.8744566315484</v>
      </c>
    </row>
    <row r="237" spans="11:13" x14ac:dyDescent="0.4">
      <c r="K237" s="74">
        <v>235</v>
      </c>
      <c r="L237" s="119">
        <v>-13.699999999999976</v>
      </c>
      <c r="M237" s="117">
        <v>1502.3972098917591</v>
      </c>
    </row>
    <row r="238" spans="11:13" x14ac:dyDescent="0.4">
      <c r="K238" s="74">
        <v>236</v>
      </c>
      <c r="L238" s="119">
        <v>-29.499999999999979</v>
      </c>
      <c r="M238" s="117">
        <v>1499.5568266324085</v>
      </c>
    </row>
    <row r="239" spans="11:13" x14ac:dyDescent="0.4">
      <c r="K239" s="74">
        <v>237</v>
      </c>
      <c r="L239" s="119">
        <v>2.1316282072803006E-14</v>
      </c>
      <c r="M239" s="117">
        <v>1504.887485672614</v>
      </c>
    </row>
    <row r="240" spans="11:13" x14ac:dyDescent="0.4">
      <c r="K240" s="74">
        <v>238</v>
      </c>
      <c r="L240" s="119">
        <v>-22.999999999999979</v>
      </c>
      <c r="M240" s="117">
        <v>1500.5501607585784</v>
      </c>
    </row>
    <row r="241" spans="11:13" x14ac:dyDescent="0.4">
      <c r="K241" s="74">
        <v>239</v>
      </c>
      <c r="L241" s="119">
        <v>-44.899999999999977</v>
      </c>
      <c r="M241" s="117">
        <v>1496.436859794027</v>
      </c>
    </row>
    <row r="242" spans="11:13" x14ac:dyDescent="0.4">
      <c r="K242" s="74">
        <v>240</v>
      </c>
      <c r="L242" s="119">
        <v>2.1316282072803006E-14</v>
      </c>
      <c r="M242" s="117">
        <v>1504.3722386352629</v>
      </c>
    </row>
    <row r="243" spans="11:13" x14ac:dyDescent="0.4">
      <c r="K243" s="74">
        <v>241</v>
      </c>
      <c r="L243" s="119">
        <v>5.100000000000021</v>
      </c>
      <c r="M243" s="117">
        <v>1505.3000052034513</v>
      </c>
    </row>
    <row r="244" spans="11:13" x14ac:dyDescent="0.4">
      <c r="K244" s="74">
        <v>242</v>
      </c>
      <c r="L244" s="119">
        <v>16.40000000000002</v>
      </c>
      <c r="M244" s="117">
        <v>1507.3382051722306</v>
      </c>
    </row>
    <row r="245" spans="11:13" x14ac:dyDescent="0.4">
      <c r="K245" s="74">
        <v>243</v>
      </c>
      <c r="L245" s="119">
        <v>2.1316282072803006E-14</v>
      </c>
      <c r="M245" s="117">
        <v>1504.3781759411972</v>
      </c>
    </row>
    <row r="246" spans="11:13" x14ac:dyDescent="0.4">
      <c r="K246" s="74">
        <v>244</v>
      </c>
      <c r="L246" s="119">
        <v>31.90000000000002</v>
      </c>
      <c r="M246" s="117">
        <v>1510.07590688555</v>
      </c>
    </row>
    <row r="247" spans="11:13" x14ac:dyDescent="0.4">
      <c r="K247" s="74">
        <v>245</v>
      </c>
      <c r="L247" s="119">
        <v>38.000000000000021</v>
      </c>
      <c r="M247" s="117">
        <v>1511.0954514442367</v>
      </c>
    </row>
    <row r="248" spans="11:13" x14ac:dyDescent="0.4">
      <c r="K248" s="74">
        <v>246</v>
      </c>
      <c r="L248" s="119">
        <v>2.1316282072803006E-14</v>
      </c>
      <c r="M248" s="117">
        <v>1504.1708787355713</v>
      </c>
    </row>
    <row r="249" spans="11:13" x14ac:dyDescent="0.4">
      <c r="K249" s="74">
        <v>247</v>
      </c>
      <c r="L249" s="119">
        <v>40.000000000000021</v>
      </c>
      <c r="M249" s="117">
        <v>1511.3938534631577</v>
      </c>
    </row>
    <row r="250" spans="11:13" x14ac:dyDescent="0.4">
      <c r="K250" s="74">
        <v>248</v>
      </c>
      <c r="L250" s="119">
        <v>-3.9999999999999787</v>
      </c>
      <c r="M250" s="117">
        <v>1503.4534903423787</v>
      </c>
    </row>
    <row r="251" spans="11:13" x14ac:dyDescent="0.4">
      <c r="K251" s="74">
        <v>249</v>
      </c>
      <c r="L251" s="119">
        <v>2.1316282072803006E-14</v>
      </c>
      <c r="M251" s="117">
        <v>1504.2007694003244</v>
      </c>
    </row>
    <row r="252" spans="11:13" x14ac:dyDescent="0.4">
      <c r="K252" s="74">
        <v>250</v>
      </c>
      <c r="L252" s="119">
        <v>22.500000000000021</v>
      </c>
      <c r="M252" s="117">
        <v>1508.2735647839224</v>
      </c>
    </row>
    <row r="253" spans="11:13" x14ac:dyDescent="0.4">
      <c r="K253" s="74">
        <v>251</v>
      </c>
      <c r="L253" s="119">
        <v>-18.499999999999979</v>
      </c>
      <c r="M253" s="117">
        <v>1500.891923395219</v>
      </c>
    </row>
    <row r="254" spans="11:13" x14ac:dyDescent="0.4">
      <c r="K254" s="74">
        <v>252</v>
      </c>
      <c r="L254" s="119">
        <v>2.1316282072803006E-14</v>
      </c>
      <c r="M254" s="117">
        <v>1504.2645718548476</v>
      </c>
    </row>
    <row r="255" spans="11:13" x14ac:dyDescent="0.4">
      <c r="K255" s="74">
        <v>253</v>
      </c>
      <c r="L255" s="119">
        <v>31.500000000000021</v>
      </c>
      <c r="M255" s="117">
        <v>1509.9569844237185</v>
      </c>
    </row>
    <row r="256" spans="11:13" x14ac:dyDescent="0.4">
      <c r="K256" s="74">
        <v>254</v>
      </c>
      <c r="L256" s="119">
        <v>20.700000000000021</v>
      </c>
      <c r="M256" s="117">
        <v>1508.0012425171763</v>
      </c>
    </row>
    <row r="257" spans="11:13" x14ac:dyDescent="0.4">
      <c r="K257" s="74">
        <v>255</v>
      </c>
      <c r="L257" s="119">
        <v>2.1316282072803006E-14</v>
      </c>
      <c r="M257" s="117">
        <v>1504.2752350620733</v>
      </c>
    </row>
    <row r="258" spans="11:13" x14ac:dyDescent="0.4">
      <c r="K258" s="74">
        <v>256</v>
      </c>
      <c r="L258" s="119">
        <v>59.800000000000018</v>
      </c>
      <c r="M258" s="117">
        <v>1514.9655836517009</v>
      </c>
    </row>
    <row r="259" spans="11:13" x14ac:dyDescent="0.4">
      <c r="K259" s="74">
        <v>257</v>
      </c>
      <c r="L259" s="119">
        <v>24.300000000000018</v>
      </c>
      <c r="M259" s="117">
        <v>1508.4377901497905</v>
      </c>
    </row>
    <row r="260" spans="11:13" x14ac:dyDescent="0.4">
      <c r="K260" s="74">
        <v>258</v>
      </c>
      <c r="L260" s="119">
        <v>1.7763568394002505E-14</v>
      </c>
      <c r="M260" s="117">
        <v>1503.9651634088918</v>
      </c>
    </row>
    <row r="261" spans="11:13" x14ac:dyDescent="0.4">
      <c r="K261" s="74">
        <v>259</v>
      </c>
      <c r="L261" s="119">
        <v>11.100000000000017</v>
      </c>
      <c r="M261" s="117">
        <v>1505.8913724284384</v>
      </c>
    </row>
    <row r="262" spans="11:13" x14ac:dyDescent="0.4">
      <c r="K262" s="74">
        <v>260</v>
      </c>
      <c r="L262" s="119">
        <v>-15.999999999999984</v>
      </c>
      <c r="M262" s="117">
        <v>1500.9300241938679</v>
      </c>
    </row>
    <row r="263" spans="11:13" x14ac:dyDescent="0.4">
      <c r="K263" s="74">
        <v>261</v>
      </c>
      <c r="L263" s="119">
        <v>1.5987211554602254E-14</v>
      </c>
      <c r="M263" s="117">
        <v>1503.7564440487047</v>
      </c>
    </row>
    <row r="264" spans="11:13" x14ac:dyDescent="0.4">
      <c r="K264" s="74">
        <v>262</v>
      </c>
      <c r="L264" s="119">
        <v>1.6000000000000161</v>
      </c>
      <c r="M264" s="117">
        <v>1503.9739053844125</v>
      </c>
    </row>
    <row r="265" spans="11:13" x14ac:dyDescent="0.4">
      <c r="K265" s="74">
        <v>263</v>
      </c>
      <c r="L265" s="119">
        <v>24.200000000000017</v>
      </c>
      <c r="M265" s="117">
        <v>1507.9700619521061</v>
      </c>
    </row>
    <row r="266" spans="11:13" x14ac:dyDescent="0.4">
      <c r="K266" s="74">
        <v>264</v>
      </c>
      <c r="L266" s="119">
        <v>1.7763568394002505E-14</v>
      </c>
      <c r="M266" s="117">
        <v>1503.5182415803936</v>
      </c>
    </row>
    <row r="267" spans="11:13" x14ac:dyDescent="0.4">
      <c r="K267" s="74">
        <v>265</v>
      </c>
      <c r="L267" s="119">
        <v>-21.399999999999981</v>
      </c>
      <c r="M267" s="117">
        <v>1499.7051321309111</v>
      </c>
    </row>
    <row r="268" spans="11:13" x14ac:dyDescent="0.4">
      <c r="K268" s="74">
        <v>266</v>
      </c>
      <c r="L268" s="119">
        <v>-5.7999999999999812</v>
      </c>
      <c r="M268" s="117">
        <v>1502.5749013381258</v>
      </c>
    </row>
    <row r="269" spans="11:13" x14ac:dyDescent="0.4">
      <c r="K269" s="74">
        <v>267</v>
      </c>
      <c r="L269" s="119">
        <v>1.865174681370263E-14</v>
      </c>
      <c r="M269" s="117">
        <v>1503.6634519300969</v>
      </c>
    </row>
    <row r="270" spans="11:13" x14ac:dyDescent="0.4">
      <c r="K270" s="74">
        <v>268</v>
      </c>
      <c r="L270" s="119">
        <v>3.5000000000000187</v>
      </c>
      <c r="M270" s="117">
        <v>1504.2894712185164</v>
      </c>
    </row>
    <row r="271" spans="11:13" x14ac:dyDescent="0.4">
      <c r="K271" s="74">
        <v>269</v>
      </c>
      <c r="L271" s="119">
        <v>4.1000000000000183</v>
      </c>
      <c r="M271" s="117">
        <v>1504.3897343912054</v>
      </c>
    </row>
    <row r="272" spans="11:13" x14ac:dyDescent="0.4">
      <c r="K272" s="74">
        <v>270</v>
      </c>
      <c r="L272" s="119">
        <v>1.865174681370263E-14</v>
      </c>
      <c r="M272" s="117">
        <v>1503.6433959848582</v>
      </c>
    </row>
    <row r="273" spans="11:13" x14ac:dyDescent="0.4">
      <c r="K273" s="74">
        <v>271</v>
      </c>
      <c r="L273" s="119">
        <v>-43.399999999999977</v>
      </c>
      <c r="M273" s="117">
        <v>1495.7195356089492</v>
      </c>
    </row>
    <row r="274" spans="11:13" x14ac:dyDescent="0.4">
      <c r="K274" s="74">
        <v>272</v>
      </c>
      <c r="L274" s="119">
        <v>-3.1999999999999744</v>
      </c>
      <c r="M274" s="117">
        <v>1502.8912183952955</v>
      </c>
    </row>
    <row r="275" spans="11:13" x14ac:dyDescent="0.4">
      <c r="K275" s="74">
        <v>273</v>
      </c>
      <c r="L275" s="119">
        <v>2.5757174171303632E-14</v>
      </c>
      <c r="M275" s="117">
        <v>1503.3598710849237</v>
      </c>
    </row>
    <row r="276" spans="11:13" x14ac:dyDescent="0.4">
      <c r="K276" s="74">
        <v>274</v>
      </c>
      <c r="L276" s="119">
        <v>-45.499999999999972</v>
      </c>
      <c r="M276" s="117">
        <v>1495.1017118584141</v>
      </c>
    </row>
    <row r="277" spans="11:13" x14ac:dyDescent="0.4">
      <c r="K277" s="74">
        <v>275</v>
      </c>
      <c r="L277" s="119">
        <v>-27.999999999999972</v>
      </c>
      <c r="M277" s="117">
        <v>1498.2331015872637</v>
      </c>
    </row>
    <row r="278" spans="11:13" x14ac:dyDescent="0.4">
      <c r="K278" s="74">
        <v>276</v>
      </c>
      <c r="L278" s="119">
        <v>2.8421709430404007E-14</v>
      </c>
      <c r="M278" s="117">
        <v>1503.2357029777402</v>
      </c>
    </row>
    <row r="279" spans="11:13" x14ac:dyDescent="0.4">
      <c r="K279" s="74">
        <v>277</v>
      </c>
      <c r="L279" s="119">
        <v>-0.59999999999997156</v>
      </c>
      <c r="M279" s="117">
        <v>1503.0602887598736</v>
      </c>
    </row>
    <row r="280" spans="11:13" x14ac:dyDescent="0.4">
      <c r="K280" s="74">
        <v>278</v>
      </c>
      <c r="L280" s="119">
        <v>-39.099999999999973</v>
      </c>
      <c r="M280" s="117">
        <v>1496.0639270273143</v>
      </c>
    </row>
    <row r="281" spans="11:13" x14ac:dyDescent="0.4">
      <c r="K281" s="74">
        <v>279</v>
      </c>
      <c r="L281" s="119">
        <v>2.8421709430404007E-14</v>
      </c>
      <c r="M281" s="117">
        <v>1503.0775434651505</v>
      </c>
    </row>
    <row r="282" spans="11:13" x14ac:dyDescent="0.4">
      <c r="K282" s="74">
        <v>280</v>
      </c>
      <c r="L282" s="119">
        <v>26.400000000000027</v>
      </c>
      <c r="M282" s="117">
        <v>1507.7570782043597</v>
      </c>
    </row>
    <row r="283" spans="11:13" x14ac:dyDescent="0.4">
      <c r="K283" s="74">
        <v>281</v>
      </c>
      <c r="L283" s="119">
        <v>-1.9999999999999716</v>
      </c>
      <c r="M283" s="117">
        <v>1502.5445357351334</v>
      </c>
    </row>
    <row r="284" spans="11:13" x14ac:dyDescent="0.4">
      <c r="K284" s="74">
        <v>282</v>
      </c>
      <c r="L284" s="119">
        <v>2.8421709430404007E-14</v>
      </c>
      <c r="M284" s="117">
        <v>1502.8352685207226</v>
      </c>
    </row>
    <row r="285" spans="11:13" x14ac:dyDescent="0.4">
      <c r="K285" s="74">
        <v>283</v>
      </c>
      <c r="L285" s="119">
        <v>9.7000000000000277</v>
      </c>
      <c r="M285" s="117">
        <v>1504.5162569095983</v>
      </c>
    </row>
    <row r="286" spans="11:13" x14ac:dyDescent="0.4">
      <c r="K286" s="74">
        <v>284</v>
      </c>
      <c r="L286" s="119">
        <v>-32.699999999999974</v>
      </c>
      <c r="M286" s="117">
        <v>1496.8091593681406</v>
      </c>
    </row>
    <row r="287" spans="11:13" x14ac:dyDescent="0.4">
      <c r="K287" s="74">
        <v>285</v>
      </c>
      <c r="L287" s="119">
        <v>2.8421709430404007E-14</v>
      </c>
      <c r="M287" s="117">
        <v>1502.6663044119318</v>
      </c>
    </row>
    <row r="288" spans="11:13" x14ac:dyDescent="0.4">
      <c r="K288" s="74">
        <v>286</v>
      </c>
      <c r="L288" s="119">
        <v>21.10000000000003</v>
      </c>
      <c r="M288" s="117">
        <v>1506.4483065854602</v>
      </c>
    </row>
    <row r="289" spans="11:13" x14ac:dyDescent="0.4">
      <c r="K289" s="74">
        <v>287</v>
      </c>
      <c r="L289" s="119">
        <v>-14.599999999999973</v>
      </c>
      <c r="M289" s="117">
        <v>1499.9836167459473</v>
      </c>
    </row>
    <row r="290" spans="11:13" x14ac:dyDescent="0.4">
      <c r="K290" s="74">
        <v>288</v>
      </c>
      <c r="L290" s="119">
        <v>2.6645352591003757E-14</v>
      </c>
      <c r="M290" s="117">
        <v>1502.6117150454716</v>
      </c>
    </row>
    <row r="291" spans="11:13" x14ac:dyDescent="0.4">
      <c r="K291" s="74">
        <v>289</v>
      </c>
      <c r="L291" s="119">
        <v>-48.699999999999974</v>
      </c>
      <c r="M291" s="117">
        <v>1493.6680447551987</v>
      </c>
    </row>
    <row r="292" spans="11:13" x14ac:dyDescent="0.4">
      <c r="K292" s="74">
        <v>290</v>
      </c>
      <c r="L292" s="119">
        <v>-47.999999999999972</v>
      </c>
      <c r="M292" s="117">
        <v>1493.6700364866674</v>
      </c>
    </row>
    <row r="293" spans="11:13" x14ac:dyDescent="0.4">
      <c r="K293" s="74">
        <v>291</v>
      </c>
      <c r="L293" s="119">
        <v>2.8421709430404007E-14</v>
      </c>
      <c r="M293" s="117">
        <v>1502.1860162677474</v>
      </c>
    </row>
    <row r="294" spans="11:13" x14ac:dyDescent="0.4">
      <c r="K294" s="74">
        <v>292</v>
      </c>
      <c r="L294" s="119">
        <v>-15.999999999999972</v>
      </c>
      <c r="M294" s="117">
        <v>1499.1789001701409</v>
      </c>
    </row>
    <row r="295" spans="11:13" x14ac:dyDescent="0.4">
      <c r="K295" s="74">
        <v>293</v>
      </c>
      <c r="L295" s="119">
        <v>-3.7999999999999723</v>
      </c>
      <c r="M295" s="117">
        <v>1501.2658267691199</v>
      </c>
    </row>
    <row r="296" spans="11:13" x14ac:dyDescent="0.4">
      <c r="K296" s="74">
        <v>294</v>
      </c>
      <c r="L296" s="119">
        <v>2.7533531010703882E-14</v>
      </c>
      <c r="M296" s="117">
        <v>1501.8282318085053</v>
      </c>
    </row>
    <row r="297" spans="11:13" x14ac:dyDescent="0.4">
      <c r="K297" s="74">
        <v>295</v>
      </c>
      <c r="L297" s="119">
        <v>43.10000000000003</v>
      </c>
      <c r="M297" s="117">
        <v>1509.6892624176542</v>
      </c>
    </row>
    <row r="298" spans="11:13" x14ac:dyDescent="0.4">
      <c r="K298" s="74">
        <v>296</v>
      </c>
      <c r="L298" s="119">
        <v>5.8000000000000327</v>
      </c>
      <c r="M298" s="117">
        <v>1503.0311268431483</v>
      </c>
    </row>
    <row r="299" spans="11:13" x14ac:dyDescent="0.4">
      <c r="K299" s="74">
        <v>297</v>
      </c>
      <c r="L299" s="119">
        <v>3.2862601528904634E-14</v>
      </c>
      <c r="M299" s="117">
        <v>1502.0829400820894</v>
      </c>
    </row>
    <row r="300" spans="11:13" x14ac:dyDescent="0.4">
      <c r="K300" s="74">
        <v>298</v>
      </c>
      <c r="L300" s="119">
        <v>-5.9999999999999671</v>
      </c>
      <c r="M300" s="117">
        <v>1501.0144424415969</v>
      </c>
    </row>
    <row r="301" spans="11:13" x14ac:dyDescent="0.4">
      <c r="K301" s="74">
        <v>299</v>
      </c>
      <c r="L301" s="119">
        <v>-57.899999999999963</v>
      </c>
      <c r="M301" s="117">
        <v>1491.6903557869473</v>
      </c>
    </row>
    <row r="302" spans="11:13" x14ac:dyDescent="0.4">
      <c r="K302" s="74">
        <v>300</v>
      </c>
      <c r="L302" s="119">
        <v>3.5527136788005009E-14</v>
      </c>
      <c r="M302" s="117">
        <v>1502.1862136522257</v>
      </c>
    </row>
    <row r="303" spans="11:13" x14ac:dyDescent="0.4">
      <c r="K303" s="74">
        <v>301</v>
      </c>
      <c r="L303" s="119">
        <v>-37.499999999999964</v>
      </c>
      <c r="M303" s="117">
        <v>1495.4470963703122</v>
      </c>
    </row>
    <row r="304" spans="11:13" x14ac:dyDescent="0.4">
      <c r="K304" s="74">
        <v>302</v>
      </c>
      <c r="L304" s="119">
        <v>-49.499999999999964</v>
      </c>
      <c r="M304" s="117">
        <v>1493.3384137920905</v>
      </c>
    </row>
    <row r="305" spans="11:13" x14ac:dyDescent="0.4">
      <c r="K305" s="74">
        <v>303</v>
      </c>
      <c r="L305" s="119">
        <v>3.5527136788005009E-14</v>
      </c>
      <c r="M305" s="117">
        <v>1502.312383309338</v>
      </c>
    </row>
    <row r="306" spans="11:13" x14ac:dyDescent="0.4">
      <c r="K306" s="74">
        <v>304</v>
      </c>
      <c r="L306" s="119">
        <v>-39.499999999999964</v>
      </c>
      <c r="M306" s="117">
        <v>1495.2485090094819</v>
      </c>
    </row>
    <row r="307" spans="11:13" x14ac:dyDescent="0.4">
      <c r="K307" s="74">
        <v>305</v>
      </c>
      <c r="L307" s="119">
        <v>9.5000000000000355</v>
      </c>
      <c r="M307" s="117">
        <v>1504.1570179554251</v>
      </c>
    </row>
    <row r="308" spans="11:13" x14ac:dyDescent="0.4">
      <c r="K308" s="74">
        <v>306</v>
      </c>
      <c r="L308" s="119">
        <v>3.5527136788005009E-14</v>
      </c>
      <c r="M308" s="117">
        <v>1502.4820758476926</v>
      </c>
    </row>
    <row r="309" spans="11:13" x14ac:dyDescent="0.4">
      <c r="K309" s="74">
        <v>307</v>
      </c>
      <c r="L309" s="119">
        <v>11.100000000000035</v>
      </c>
      <c r="M309" s="117">
        <v>1504.5311833926064</v>
      </c>
    </row>
    <row r="310" spans="11:13" x14ac:dyDescent="0.4">
      <c r="K310" s="74">
        <v>308</v>
      </c>
      <c r="L310" s="119">
        <v>-2.6999999999999655</v>
      </c>
      <c r="M310" s="117">
        <v>1502.0859962922507</v>
      </c>
    </row>
    <row r="311" spans="11:13" x14ac:dyDescent="0.4">
      <c r="K311" s="74">
        <v>309</v>
      </c>
      <c r="L311" s="119">
        <v>3.4638958368304884E-14</v>
      </c>
      <c r="M311" s="117">
        <v>1502.6254803144973</v>
      </c>
    </row>
    <row r="312" spans="11:13" x14ac:dyDescent="0.4">
      <c r="K312" s="74">
        <v>310</v>
      </c>
      <c r="L312" s="119">
        <v>-1.9999999999999654</v>
      </c>
      <c r="M312" s="117">
        <v>1502.3157274326104</v>
      </c>
    </row>
    <row r="313" spans="11:13" x14ac:dyDescent="0.4">
      <c r="K313" s="74">
        <v>311</v>
      </c>
      <c r="L313" s="119">
        <v>39.000000000000036</v>
      </c>
      <c r="M313" s="117">
        <v>1509.7478330680146</v>
      </c>
    </row>
    <row r="314" spans="11:13" x14ac:dyDescent="0.4">
      <c r="K314" s="74">
        <v>312</v>
      </c>
      <c r="L314" s="119">
        <v>3.5527136788005009E-14</v>
      </c>
      <c r="M314" s="117">
        <v>1502.7353460696065</v>
      </c>
    </row>
    <row r="315" spans="11:13" x14ac:dyDescent="0.4">
      <c r="K315" s="74">
        <v>313</v>
      </c>
      <c r="L315" s="119">
        <v>43.500000000000036</v>
      </c>
      <c r="M315" s="117">
        <v>1510.614933993189</v>
      </c>
    </row>
    <row r="316" spans="11:13" x14ac:dyDescent="0.4">
      <c r="K316" s="74">
        <v>314</v>
      </c>
      <c r="L316" s="119">
        <v>40.100000000000037</v>
      </c>
      <c r="M316" s="117">
        <v>1510.0052443892298</v>
      </c>
    </row>
    <row r="317" spans="11:13" x14ac:dyDescent="0.4">
      <c r="K317" s="74">
        <v>315</v>
      </c>
      <c r="L317" s="119">
        <v>3.5527136788005009E-14</v>
      </c>
      <c r="M317" s="117">
        <v>1502.7932129228943</v>
      </c>
    </row>
    <row r="318" spans="11:13" x14ac:dyDescent="0.4">
      <c r="K318" s="74">
        <v>316</v>
      </c>
      <c r="L318" s="119">
        <v>-5.5999999999999641</v>
      </c>
      <c r="M318" s="117">
        <v>1501.8344536453569</v>
      </c>
    </row>
    <row r="319" spans="11:13" x14ac:dyDescent="0.4">
      <c r="K319" s="74">
        <v>317</v>
      </c>
      <c r="L319" s="119">
        <v>66.000000000000028</v>
      </c>
      <c r="M319" s="117">
        <v>1514.7774469234848</v>
      </c>
    </row>
    <row r="320" spans="11:13" x14ac:dyDescent="0.4">
      <c r="K320" s="74">
        <v>318</v>
      </c>
      <c r="L320" s="119">
        <v>2.8421709430404007E-14</v>
      </c>
      <c r="M320" s="117">
        <v>1502.8747822419439</v>
      </c>
    </row>
    <row r="321" spans="11:13" x14ac:dyDescent="0.4">
      <c r="K321" s="74">
        <v>319</v>
      </c>
      <c r="L321" s="119">
        <v>-7.3999999999999719</v>
      </c>
      <c r="M321" s="117">
        <v>1501.5915335484922</v>
      </c>
    </row>
    <row r="322" spans="11:13" x14ac:dyDescent="0.4">
      <c r="K322" s="74">
        <v>320</v>
      </c>
      <c r="L322" s="119">
        <v>24.10000000000003</v>
      </c>
      <c r="M322" s="117">
        <v>1507.3179843472012</v>
      </c>
    </row>
    <row r="323" spans="11:13" x14ac:dyDescent="0.4">
      <c r="K323" s="74">
        <v>321</v>
      </c>
      <c r="L323" s="119">
        <v>2.8421709430404007E-14</v>
      </c>
      <c r="M323" s="117">
        <v>1503.0020764411181</v>
      </c>
    </row>
    <row r="324" spans="11:13" x14ac:dyDescent="0.4">
      <c r="K324" s="74">
        <v>322</v>
      </c>
      <c r="L324" s="119">
        <v>-37.999999999999972</v>
      </c>
      <c r="M324" s="117">
        <v>1496.2100639824714</v>
      </c>
    </row>
    <row r="325" spans="11:13" x14ac:dyDescent="0.4">
      <c r="K325" s="74">
        <v>323</v>
      </c>
      <c r="L325" s="119">
        <v>-2.599999999999973</v>
      </c>
      <c r="M325" s="117">
        <v>1502.6708035985766</v>
      </c>
    </row>
    <row r="326" spans="11:13" x14ac:dyDescent="0.4">
      <c r="K326" s="74">
        <v>324</v>
      </c>
      <c r="L326" s="119">
        <v>2.708944180085382E-14</v>
      </c>
      <c r="M326" s="117">
        <v>1503.1887787769851</v>
      </c>
    </row>
    <row r="327" spans="11:13" x14ac:dyDescent="0.4">
      <c r="K327" s="74">
        <v>325</v>
      </c>
      <c r="L327" s="119">
        <v>-18.799999999999972</v>
      </c>
      <c r="M327" s="117">
        <v>1499.8516461043232</v>
      </c>
    </row>
    <row r="328" spans="11:13" x14ac:dyDescent="0.4">
      <c r="K328" s="74">
        <v>326</v>
      </c>
      <c r="L328" s="119">
        <v>-7.2999999999999723</v>
      </c>
      <c r="M328" s="117">
        <v>1501.9885362276973</v>
      </c>
    </row>
    <row r="329" spans="11:13" x14ac:dyDescent="0.4">
      <c r="K329" s="74">
        <v>327</v>
      </c>
      <c r="L329" s="119">
        <v>2.7533531010703882E-14</v>
      </c>
      <c r="M329" s="117">
        <v>1503.3566050103311</v>
      </c>
    </row>
    <row r="330" spans="11:13" x14ac:dyDescent="0.4">
      <c r="K330" s="74">
        <v>328</v>
      </c>
      <c r="L330" s="119">
        <v>27.000000000000028</v>
      </c>
      <c r="M330" s="117">
        <v>1508.2624653802691</v>
      </c>
    </row>
    <row r="331" spans="11:13" x14ac:dyDescent="0.4">
      <c r="K331" s="74">
        <v>329</v>
      </c>
      <c r="L331" s="119">
        <v>36.10000000000003</v>
      </c>
      <c r="M331" s="117">
        <v>1509.9168905879874</v>
      </c>
    </row>
    <row r="332" spans="11:13" x14ac:dyDescent="0.4">
      <c r="K332" s="74">
        <v>330</v>
      </c>
      <c r="L332" s="119">
        <v>2.8421709430404007E-14</v>
      </c>
      <c r="M332" s="117">
        <v>1503.4253892444594</v>
      </c>
    </row>
    <row r="333" spans="11:13" x14ac:dyDescent="0.4">
      <c r="K333" s="74">
        <v>331</v>
      </c>
      <c r="L333" s="119">
        <v>44.60000000000003</v>
      </c>
      <c r="M333" s="117">
        <v>1511.3548369089926</v>
      </c>
    </row>
    <row r="334" spans="11:13" x14ac:dyDescent="0.4">
      <c r="K334" s="74">
        <v>332</v>
      </c>
      <c r="L334" s="119">
        <v>39.400000000000027</v>
      </c>
      <c r="M334" s="117">
        <v>1510.2727078875387</v>
      </c>
    </row>
    <row r="335" spans="11:13" x14ac:dyDescent="0.4">
      <c r="K335" s="74">
        <v>333</v>
      </c>
      <c r="L335" s="119">
        <v>2.8421709430404007E-14</v>
      </c>
      <c r="M335" s="117">
        <v>1503.0410716402134</v>
      </c>
    </row>
    <row r="336" spans="11:13" x14ac:dyDescent="0.4">
      <c r="K336" s="74">
        <v>334</v>
      </c>
      <c r="L336" s="119">
        <v>7.0000000000000284</v>
      </c>
      <c r="M336" s="117">
        <v>1504.1988252103722</v>
      </c>
    </row>
    <row r="337" spans="11:13" x14ac:dyDescent="0.4">
      <c r="K337" s="74">
        <v>335</v>
      </c>
      <c r="L337" s="119">
        <v>40.000000000000028</v>
      </c>
      <c r="M337" s="117">
        <v>1510.02963225911</v>
      </c>
    </row>
    <row r="338" spans="11:13" x14ac:dyDescent="0.4">
      <c r="K338" s="74">
        <v>336</v>
      </c>
      <c r="L338" s="119">
        <v>2.8421709430404007E-14</v>
      </c>
      <c r="M338" s="117">
        <v>1502.6854544655553</v>
      </c>
    </row>
    <row r="339" spans="11:13" x14ac:dyDescent="0.4">
      <c r="K339" s="74">
        <v>337</v>
      </c>
      <c r="L339" s="119">
        <v>-11.299999999999972</v>
      </c>
      <c r="M339" s="117">
        <v>1500.5513417387619</v>
      </c>
    </row>
    <row r="340" spans="11:13" x14ac:dyDescent="0.4">
      <c r="K340" s="74">
        <v>338</v>
      </c>
      <c r="L340" s="119">
        <v>-6.0999999999999721</v>
      </c>
      <c r="M340" s="117">
        <v>1501.4000336883294</v>
      </c>
    </row>
    <row r="341" spans="11:13" x14ac:dyDescent="0.4">
      <c r="K341" s="74">
        <v>339</v>
      </c>
      <c r="L341" s="119">
        <v>2.7533531010703882E-14</v>
      </c>
      <c r="M341" s="117">
        <v>1502.4056334861993</v>
      </c>
    </row>
    <row r="342" spans="11:13" x14ac:dyDescent="0.4">
      <c r="K342" s="74">
        <v>340</v>
      </c>
      <c r="L342" s="119">
        <v>-15.499999999999972</v>
      </c>
      <c r="M342" s="117">
        <v>1499.5171996852821</v>
      </c>
    </row>
    <row r="343" spans="11:13" x14ac:dyDescent="0.4">
      <c r="K343" s="74">
        <v>341</v>
      </c>
      <c r="L343" s="119">
        <v>-50.999999999999972</v>
      </c>
      <c r="M343" s="117">
        <v>1493.0460964871704</v>
      </c>
    </row>
    <row r="344" spans="11:13" x14ac:dyDescent="0.4">
      <c r="K344" s="74">
        <v>342</v>
      </c>
      <c r="L344" s="119">
        <v>2.8421709430404007E-14</v>
      </c>
      <c r="M344" s="117">
        <v>1502.1838199082474</v>
      </c>
    </row>
    <row r="345" spans="11:13" x14ac:dyDescent="0.4">
      <c r="K345" s="74">
        <v>343</v>
      </c>
      <c r="L345" s="119">
        <v>-19.299999999999972</v>
      </c>
      <c r="M345" s="117">
        <v>1498.774716988798</v>
      </c>
    </row>
    <row r="346" spans="11:13" x14ac:dyDescent="0.4">
      <c r="K346" s="74">
        <v>344</v>
      </c>
      <c r="L346" s="119">
        <v>-3.099999999999973</v>
      </c>
      <c r="M346" s="117">
        <v>1501.7760686868653</v>
      </c>
    </row>
    <row r="347" spans="11:13" x14ac:dyDescent="0.4">
      <c r="K347" s="74">
        <v>345</v>
      </c>
      <c r="L347" s="119">
        <v>2.708944180085382E-14</v>
      </c>
      <c r="M347" s="117">
        <v>1502.4014122747442</v>
      </c>
    </row>
    <row r="348" spans="11:13" x14ac:dyDescent="0.4">
      <c r="K348" s="74">
        <v>346</v>
      </c>
      <c r="L348" s="119">
        <v>24.000000000000028</v>
      </c>
      <c r="M348" s="117">
        <v>1506.6230038010958</v>
      </c>
    </row>
    <row r="349" spans="11:13" x14ac:dyDescent="0.4">
      <c r="K349" s="74">
        <v>347</v>
      </c>
      <c r="L349" s="119">
        <v>18.10000000000003</v>
      </c>
      <c r="M349" s="117">
        <v>1505.4372657782892</v>
      </c>
    </row>
    <row r="350" spans="11:13" x14ac:dyDescent="0.4">
      <c r="K350" s="74">
        <v>348</v>
      </c>
      <c r="L350" s="119">
        <v>2.8421709430404007E-14</v>
      </c>
      <c r="M350" s="117">
        <v>1502.0626421836196</v>
      </c>
    </row>
    <row r="351" spans="11:13" x14ac:dyDescent="0.4">
      <c r="K351" s="74">
        <v>349</v>
      </c>
      <c r="L351" s="119">
        <v>28.300000000000029</v>
      </c>
      <c r="M351" s="117">
        <v>1506.9462663305178</v>
      </c>
    </row>
    <row r="352" spans="11:13" x14ac:dyDescent="0.4">
      <c r="K352" s="74">
        <v>350</v>
      </c>
      <c r="L352" s="119">
        <v>8.1000000000000298</v>
      </c>
      <c r="M352" s="117">
        <v>1503.0705887325346</v>
      </c>
    </row>
    <row r="353" spans="11:13" x14ac:dyDescent="0.4">
      <c r="K353" s="74">
        <v>351</v>
      </c>
      <c r="L353" s="119">
        <v>3.0198066269804258E-14</v>
      </c>
      <c r="M353" s="117">
        <v>1501.3961652001394</v>
      </c>
    </row>
    <row r="354" spans="11:13" x14ac:dyDescent="0.4">
      <c r="K354" s="74">
        <v>352</v>
      </c>
      <c r="L354" s="119">
        <v>-31.499999999999972</v>
      </c>
      <c r="M354" s="117">
        <v>1495.5077882089386</v>
      </c>
    </row>
    <row r="355" spans="11:13" x14ac:dyDescent="0.4">
      <c r="K355" s="74">
        <v>353</v>
      </c>
      <c r="L355" s="119">
        <v>18.500000000000028</v>
      </c>
      <c r="M355" s="117">
        <v>1504.3247414796849</v>
      </c>
    </row>
    <row r="356" spans="11:13" x14ac:dyDescent="0.4">
      <c r="K356" s="74">
        <v>354</v>
      </c>
      <c r="L356" s="119">
        <v>2.8421709430404007E-14</v>
      </c>
      <c r="M356" s="117">
        <v>1500.7587930308068</v>
      </c>
    </row>
    <row r="357" spans="11:13" x14ac:dyDescent="0.4">
      <c r="K357" s="74">
        <v>355</v>
      </c>
      <c r="L357" s="119">
        <v>19.500000000000028</v>
      </c>
      <c r="M357" s="117">
        <v>1504.1802402726221</v>
      </c>
    </row>
    <row r="358" spans="11:13" x14ac:dyDescent="0.4">
      <c r="K358" s="74">
        <v>356</v>
      </c>
      <c r="L358" s="119">
        <v>7.4000000000000288</v>
      </c>
      <c r="M358" s="117">
        <v>1501.8931588309863</v>
      </c>
    </row>
    <row r="359" spans="11:13" x14ac:dyDescent="0.4">
      <c r="K359" s="74">
        <v>357</v>
      </c>
      <c r="L359" s="119">
        <v>2.8421709430404007E-14</v>
      </c>
      <c r="M359" s="117">
        <v>1500.4657998780003</v>
      </c>
    </row>
    <row r="360" spans="11:13" x14ac:dyDescent="0.4">
      <c r="K360" s="74">
        <v>358</v>
      </c>
      <c r="L360" s="119">
        <v>-5.3999999999999719</v>
      </c>
      <c r="M360" s="117">
        <v>1499.4130050787323</v>
      </c>
    </row>
    <row r="361" spans="11:13" x14ac:dyDescent="0.4">
      <c r="K361" s="74">
        <v>359</v>
      </c>
      <c r="L361" s="119">
        <v>10.400000000000029</v>
      </c>
      <c r="M361" s="117">
        <v>1502.18252704826</v>
      </c>
    </row>
    <row r="362" spans="11:13" x14ac:dyDescent="0.4">
      <c r="K362" s="74">
        <v>360</v>
      </c>
      <c r="L362" s="119">
        <v>2.8421709430404007E-14</v>
      </c>
      <c r="M362" s="117">
        <v>1500.2194318859704</v>
      </c>
    </row>
    <row r="363" spans="11:13" x14ac:dyDescent="0.4">
      <c r="K363" s="74">
        <v>361</v>
      </c>
      <c r="L363" s="119">
        <v>56.000000000000028</v>
      </c>
      <c r="M363" s="117">
        <v>1510.2201152946545</v>
      </c>
    </row>
    <row r="364" spans="11:13" x14ac:dyDescent="0.4">
      <c r="K364" s="74">
        <v>362</v>
      </c>
      <c r="L364" s="119">
        <v>38.000000000000028</v>
      </c>
      <c r="M364" s="117">
        <v>1506.8407946028867</v>
      </c>
    </row>
    <row r="365" spans="11:13" x14ac:dyDescent="0.4">
      <c r="K365" s="74">
        <v>363</v>
      </c>
      <c r="L365" s="119">
        <v>2.8421709430404007E-14</v>
      </c>
      <c r="M365" s="117">
        <v>1499.8817498352694</v>
      </c>
    </row>
    <row r="366" spans="11:13" x14ac:dyDescent="0.4">
      <c r="K366" s="74">
        <v>364</v>
      </c>
      <c r="L366" s="119">
        <v>43.000000000000028</v>
      </c>
      <c r="M366" s="117">
        <v>1507.7004593362578</v>
      </c>
    </row>
    <row r="367" spans="11:13" x14ac:dyDescent="0.4">
      <c r="K367" s="74">
        <v>365</v>
      </c>
      <c r="L367" s="119">
        <v>2.0000000000000284</v>
      </c>
      <c r="M367" s="117">
        <v>1500.3522565802402</v>
      </c>
    </row>
    <row r="368" spans="11:13" x14ac:dyDescent="0.4">
      <c r="K368" s="74">
        <v>366</v>
      </c>
      <c r="L368" s="119">
        <v>2.8421709430404007E-14</v>
      </c>
      <c r="M368" s="117">
        <v>1500.0681430407587</v>
      </c>
    </row>
    <row r="369" spans="11:13" x14ac:dyDescent="0.4">
      <c r="K369" s="74">
        <v>367</v>
      </c>
      <c r="L369" s="119">
        <v>-13.999999999999972</v>
      </c>
      <c r="M369" s="117">
        <v>1497.6257341825142</v>
      </c>
    </row>
    <row r="370" spans="11:13" x14ac:dyDescent="0.4">
      <c r="K370" s="74">
        <v>368</v>
      </c>
      <c r="L370" s="119">
        <v>-21.199999999999971</v>
      </c>
      <c r="M370" s="117">
        <v>1496.421979777419</v>
      </c>
    </row>
    <row r="371" spans="11:13" x14ac:dyDescent="0.4">
      <c r="K371" s="74">
        <v>369</v>
      </c>
      <c r="L371" s="119">
        <v>2.8421709430404007E-14</v>
      </c>
      <c r="M371" s="117">
        <v>1500.3374478987544</v>
      </c>
    </row>
    <row r="372" spans="11:13" x14ac:dyDescent="0.4">
      <c r="K372" s="74">
        <v>370</v>
      </c>
      <c r="L372" s="119">
        <v>-48.39999999999997</v>
      </c>
      <c r="M372" s="117">
        <v>1491.6534232113618</v>
      </c>
    </row>
    <row r="373" spans="11:13" x14ac:dyDescent="0.4">
      <c r="K373" s="74">
        <v>371</v>
      </c>
      <c r="L373" s="119">
        <v>-14.999999999999972</v>
      </c>
      <c r="M373" s="117">
        <v>1497.7455026720936</v>
      </c>
    </row>
    <row r="374" spans="11:13" x14ac:dyDescent="0.4">
      <c r="K374" s="74">
        <v>372</v>
      </c>
      <c r="L374" s="119">
        <v>2.8421709430404007E-14</v>
      </c>
      <c r="M374" s="117">
        <v>1500.4890296560611</v>
      </c>
    </row>
    <row r="375" spans="11:13" x14ac:dyDescent="0.4">
      <c r="K375" s="74">
        <v>373</v>
      </c>
      <c r="L375" s="119">
        <v>44.900000000000027</v>
      </c>
      <c r="M375" s="117">
        <v>1508.5980954781248</v>
      </c>
    </row>
    <row r="376" spans="11:13" x14ac:dyDescent="0.4">
      <c r="K376" s="74">
        <v>374</v>
      </c>
      <c r="L376" s="119">
        <v>39.300000000000026</v>
      </c>
      <c r="M376" s="117">
        <v>1507.5685069052561</v>
      </c>
    </row>
    <row r="377" spans="11:13" x14ac:dyDescent="0.4">
      <c r="K377" s="74">
        <v>375</v>
      </c>
      <c r="L377" s="119">
        <v>2.8421709430404007E-14</v>
      </c>
      <c r="M377" s="117">
        <v>1500.4790958638246</v>
      </c>
    </row>
    <row r="378" spans="11:13" x14ac:dyDescent="0.4">
      <c r="K378" s="74">
        <v>376</v>
      </c>
      <c r="L378" s="119">
        <v>17.10000000000003</v>
      </c>
      <c r="M378" s="117">
        <v>1503.7342212886417</v>
      </c>
    </row>
    <row r="379" spans="11:13" x14ac:dyDescent="0.4">
      <c r="K379" s="74">
        <v>377</v>
      </c>
      <c r="L379" s="119">
        <v>-9.8999999999999702</v>
      </c>
      <c r="M379" s="117">
        <v>1499.0318159609099</v>
      </c>
    </row>
    <row r="380" spans="11:13" x14ac:dyDescent="0.4">
      <c r="K380" s="74">
        <v>378</v>
      </c>
      <c r="L380" s="119">
        <v>3.0198066269804258E-14</v>
      </c>
      <c r="M380" s="117">
        <v>1500.9996250651443</v>
      </c>
    </row>
    <row r="381" spans="11:13" x14ac:dyDescent="0.4">
      <c r="K381" s="74">
        <v>379</v>
      </c>
      <c r="L381" s="119">
        <v>-37.999999999999972</v>
      </c>
      <c r="M381" s="117">
        <v>1494.3456273147535</v>
      </c>
    </row>
    <row r="382" spans="11:13" x14ac:dyDescent="0.4">
      <c r="K382" s="74">
        <v>380</v>
      </c>
      <c r="L382" s="119">
        <v>-32.799999999999969</v>
      </c>
      <c r="M382" s="117">
        <v>1495.5075535508649</v>
      </c>
    </row>
    <row r="383" spans="11:13" x14ac:dyDescent="0.4">
      <c r="K383" s="74">
        <v>381</v>
      </c>
      <c r="L383" s="119">
        <v>2.8421709430404007E-14</v>
      </c>
      <c r="M383" s="117">
        <v>1501.6305082295598</v>
      </c>
    </row>
    <row r="384" spans="11:13" x14ac:dyDescent="0.4">
      <c r="K384" s="74">
        <v>382</v>
      </c>
      <c r="L384" s="119">
        <v>16.500000000000028</v>
      </c>
      <c r="M384" s="117">
        <v>1504.7767251801824</v>
      </c>
    </row>
    <row r="385" spans="11:13" x14ac:dyDescent="0.4">
      <c r="K385" s="74">
        <v>383</v>
      </c>
      <c r="L385" s="119">
        <v>8.8000000000000291</v>
      </c>
      <c r="M385" s="117">
        <v>1503.5480648291013</v>
      </c>
    </row>
    <row r="386" spans="11:13" x14ac:dyDescent="0.4">
      <c r="K386" s="74">
        <v>384</v>
      </c>
      <c r="L386" s="119">
        <v>2.8421709430404007E-14</v>
      </c>
      <c r="M386" s="117">
        <v>1502.1287764401268</v>
      </c>
    </row>
    <row r="387" spans="11:13" x14ac:dyDescent="0.4">
      <c r="K387" s="74">
        <v>385</v>
      </c>
      <c r="L387" s="119">
        <v>8.7000000000000277</v>
      </c>
      <c r="M387" s="117">
        <v>1503.5320037814861</v>
      </c>
    </row>
    <row r="388" spans="11:13" x14ac:dyDescent="0.4">
      <c r="K388" s="74">
        <v>386</v>
      </c>
      <c r="L388" s="119">
        <v>20.300000000000026</v>
      </c>
      <c r="M388" s="117">
        <v>1505.4488117587971</v>
      </c>
    </row>
    <row r="389" spans="11:13" x14ac:dyDescent="0.4">
      <c r="K389" s="74">
        <v>387</v>
      </c>
      <c r="L389" s="119">
        <v>2.4868995751603507E-14</v>
      </c>
      <c r="M389" s="117">
        <v>1501.6121188882444</v>
      </c>
    </row>
    <row r="390" spans="11:13" x14ac:dyDescent="0.4">
      <c r="K390" s="74">
        <v>388</v>
      </c>
      <c r="L390" s="119">
        <v>20.700000000000024</v>
      </c>
      <c r="M390" s="117">
        <v>1505.1784461749148</v>
      </c>
    </row>
    <row r="391" spans="11:13" x14ac:dyDescent="0.4">
      <c r="K391" s="74">
        <v>389</v>
      </c>
      <c r="L391" s="119">
        <v>-22.799999999999976</v>
      </c>
      <c r="M391" s="117">
        <v>1497.1673754978654</v>
      </c>
    </row>
    <row r="392" spans="11:13" x14ac:dyDescent="0.4">
      <c r="K392" s="74">
        <v>390</v>
      </c>
      <c r="L392" s="119">
        <v>2.4868995751603507E-14</v>
      </c>
      <c r="M392" s="117">
        <v>1501.1383712448783</v>
      </c>
    </row>
    <row r="393" spans="11:13" x14ac:dyDescent="0.4">
      <c r="K393" s="74">
        <v>391</v>
      </c>
      <c r="L393" s="119">
        <v>15.300000000000026</v>
      </c>
      <c r="M393" s="117">
        <v>1503.789541017409</v>
      </c>
    </row>
    <row r="394" spans="11:13" x14ac:dyDescent="0.4">
      <c r="K394" s="74">
        <v>392</v>
      </c>
      <c r="L394" s="119">
        <v>8.5000000000000249</v>
      </c>
      <c r="M394" s="117">
        <v>1502.4468037713045</v>
      </c>
    </row>
    <row r="395" spans="11:13" x14ac:dyDescent="0.4">
      <c r="K395" s="74">
        <v>393</v>
      </c>
      <c r="L395" s="119">
        <v>2.4868995751603507E-14</v>
      </c>
      <c r="M395" s="117">
        <v>1500.8061229486766</v>
      </c>
    </row>
    <row r="396" spans="11:13" x14ac:dyDescent="0.4">
      <c r="K396" s="74">
        <v>394</v>
      </c>
      <c r="L396" s="119">
        <v>11.600000000000025</v>
      </c>
      <c r="M396" s="117">
        <v>1503.0032862109845</v>
      </c>
    </row>
    <row r="397" spans="11:13" x14ac:dyDescent="0.4">
      <c r="K397" s="74">
        <v>395</v>
      </c>
      <c r="L397" s="119">
        <v>31.200000000000024</v>
      </c>
      <c r="M397" s="117">
        <v>1506.6272664937185</v>
      </c>
    </row>
    <row r="398" spans="11:13" x14ac:dyDescent="0.4">
      <c r="K398" s="74">
        <v>396</v>
      </c>
      <c r="L398" s="119">
        <v>2.4868995751603507E-14</v>
      </c>
      <c r="M398" s="117">
        <v>1501.0855028947562</v>
      </c>
    </row>
    <row r="399" spans="11:13" x14ac:dyDescent="0.4">
      <c r="K399" s="74">
        <v>397</v>
      </c>
      <c r="L399" s="119">
        <v>8.2000000000000242</v>
      </c>
      <c r="M399" s="117">
        <v>1502.5429898773878</v>
      </c>
    </row>
    <row r="400" spans="11:13" x14ac:dyDescent="0.4">
      <c r="K400" s="74">
        <v>398</v>
      </c>
      <c r="L400" s="119">
        <v>-11.799999999999976</v>
      </c>
      <c r="M400" s="117">
        <v>1498.9157319381234</v>
      </c>
    </row>
    <row r="401" spans="11:13" x14ac:dyDescent="0.4">
      <c r="K401" s="74">
        <v>399</v>
      </c>
      <c r="L401" s="119">
        <v>2.4868995751603507E-14</v>
      </c>
      <c r="M401" s="117">
        <v>1501.0342375464945</v>
      </c>
    </row>
    <row r="402" spans="11:13" x14ac:dyDescent="0.4">
      <c r="K402" s="74">
        <v>400</v>
      </c>
      <c r="L402" s="119">
        <v>24.500000000000025</v>
      </c>
      <c r="M402" s="117">
        <v>1505.4260321212155</v>
      </c>
    </row>
    <row r="403" spans="11:13" x14ac:dyDescent="0.4">
      <c r="K403" s="74">
        <v>401</v>
      </c>
      <c r="L403" s="119">
        <v>19.600000000000023</v>
      </c>
      <c r="M403" s="117">
        <v>1504.4994759284882</v>
      </c>
    </row>
    <row r="404" spans="11:13" x14ac:dyDescent="0.4">
      <c r="K404" s="74">
        <v>402</v>
      </c>
      <c r="L404" s="119">
        <v>2.1316282072803006E-14</v>
      </c>
      <c r="M404" s="117">
        <v>1500.9324790729172</v>
      </c>
    </row>
    <row r="405" spans="11:13" x14ac:dyDescent="0.4">
      <c r="K405" s="74">
        <v>403</v>
      </c>
      <c r="L405" s="119">
        <v>16.90000000000002</v>
      </c>
      <c r="M405" s="117">
        <v>1503.8848841984798</v>
      </c>
    </row>
    <row r="406" spans="11:13" x14ac:dyDescent="0.4">
      <c r="K406" s="74">
        <v>404</v>
      </c>
      <c r="L406" s="119">
        <v>18.100000000000019</v>
      </c>
      <c r="M406" s="117">
        <v>1503.993574893289</v>
      </c>
    </row>
    <row r="407" spans="11:13" x14ac:dyDescent="0.4">
      <c r="K407" s="74">
        <v>405</v>
      </c>
      <c r="L407" s="119">
        <v>1.7763568394002505E-14</v>
      </c>
      <c r="M407" s="117">
        <v>1500.6276134439292</v>
      </c>
    </row>
    <row r="408" spans="11:13" x14ac:dyDescent="0.4">
      <c r="K408" s="74">
        <v>406</v>
      </c>
      <c r="L408" s="119">
        <v>-37.499999999999986</v>
      </c>
      <c r="M408" s="117">
        <v>1493.7898477632657</v>
      </c>
    </row>
    <row r="409" spans="11:13" x14ac:dyDescent="0.4">
      <c r="K409" s="74">
        <v>407</v>
      </c>
      <c r="L409" s="119">
        <v>-11.999999999999986</v>
      </c>
      <c r="M409" s="117">
        <v>1498.3331086766862</v>
      </c>
    </row>
    <row r="410" spans="11:13" x14ac:dyDescent="0.4">
      <c r="K410" s="74">
        <v>408</v>
      </c>
      <c r="L410" s="119">
        <v>1.4210854715202004E-14</v>
      </c>
      <c r="M410" s="117">
        <v>1500.419110024626</v>
      </c>
    </row>
    <row r="411" spans="11:13" x14ac:dyDescent="0.4">
      <c r="K411" s="74">
        <v>409</v>
      </c>
      <c r="L411" s="119">
        <v>38.500000000000014</v>
      </c>
      <c r="M411" s="117">
        <v>1507.2625953644783</v>
      </c>
    </row>
    <row r="412" spans="11:13" x14ac:dyDescent="0.4">
      <c r="K412" s="74">
        <v>410</v>
      </c>
      <c r="L412" s="119">
        <v>0.50000000000001421</v>
      </c>
      <c r="M412" s="117">
        <v>1500.2950197922914</v>
      </c>
    </row>
    <row r="413" spans="11:13" x14ac:dyDescent="0.4">
      <c r="K413" s="74">
        <v>411</v>
      </c>
      <c r="L413" s="119">
        <v>1.4210854715202004E-14</v>
      </c>
      <c r="M413" s="117">
        <v>1500.1192496735378</v>
      </c>
    </row>
    <row r="414" spans="11:13" x14ac:dyDescent="0.4">
      <c r="K414" s="74">
        <v>412</v>
      </c>
      <c r="L414" s="119">
        <v>-46.499999999999986</v>
      </c>
      <c r="M414" s="117">
        <v>1491.7785341754966</v>
      </c>
    </row>
    <row r="415" spans="11:13" x14ac:dyDescent="0.4">
      <c r="K415" s="74">
        <v>413</v>
      </c>
      <c r="L415" s="119">
        <v>-41.999999999999986</v>
      </c>
      <c r="M415" s="117">
        <v>1492.6678629704436</v>
      </c>
    </row>
    <row r="416" spans="11:13" x14ac:dyDescent="0.4">
      <c r="K416" s="74">
        <v>414</v>
      </c>
      <c r="L416" s="119">
        <v>1.4210854715202004E-14</v>
      </c>
      <c r="M416" s="117">
        <v>1500.3018557926209</v>
      </c>
    </row>
    <row r="417" spans="11:13" x14ac:dyDescent="0.4">
      <c r="K417" s="74">
        <v>415</v>
      </c>
      <c r="L417" s="119">
        <v>13.200000000000014</v>
      </c>
      <c r="M417" s="117">
        <v>1502.7060446578653</v>
      </c>
    </row>
    <row r="418" spans="11:13" x14ac:dyDescent="0.4">
      <c r="K418" s="74">
        <v>416</v>
      </c>
      <c r="L418" s="119">
        <v>5.8000000000000131</v>
      </c>
      <c r="M418" s="117">
        <v>1501.3878083899181</v>
      </c>
    </row>
    <row r="419" spans="11:13" x14ac:dyDescent="0.4">
      <c r="K419" s="74">
        <v>417</v>
      </c>
      <c r="L419" s="119">
        <v>1.3322676295501878E-14</v>
      </c>
      <c r="M419" s="117">
        <v>1500.3654815395785</v>
      </c>
    </row>
    <row r="420" spans="11:13" x14ac:dyDescent="0.4">
      <c r="K420" s="74">
        <v>418</v>
      </c>
      <c r="L420" s="119">
        <v>-19.499999999999986</v>
      </c>
      <c r="M420" s="117">
        <v>1496.9552886503409</v>
      </c>
    </row>
    <row r="421" spans="11:13" x14ac:dyDescent="0.4">
      <c r="K421" s="74">
        <v>419</v>
      </c>
      <c r="L421" s="119">
        <v>-1.6999999999999851</v>
      </c>
      <c r="M421" s="117">
        <v>1500.2795569184389</v>
      </c>
    </row>
    <row r="422" spans="11:13" x14ac:dyDescent="0.4">
      <c r="K422" s="74">
        <v>420</v>
      </c>
      <c r="L422" s="119">
        <v>1.4876988529977098E-14</v>
      </c>
      <c r="M422" s="117">
        <v>1500.6858795769283</v>
      </c>
    </row>
    <row r="423" spans="11:13" x14ac:dyDescent="0.4">
      <c r="K423" s="74">
        <v>421</v>
      </c>
      <c r="L423" s="119">
        <v>41.400000000000013</v>
      </c>
      <c r="M423" s="117">
        <v>1508.2897642994667</v>
      </c>
    </row>
    <row r="424" spans="11:13" x14ac:dyDescent="0.4">
      <c r="K424" s="74">
        <v>422</v>
      </c>
      <c r="L424" s="119">
        <v>15.000000000000014</v>
      </c>
      <c r="M424" s="117">
        <v>1503.6440257136699</v>
      </c>
    </row>
    <row r="425" spans="11:13" x14ac:dyDescent="0.4">
      <c r="K425" s="74">
        <v>423</v>
      </c>
      <c r="L425" s="119">
        <v>1.4210854715202004E-14</v>
      </c>
      <c r="M425" s="117">
        <v>1501.0781615593878</v>
      </c>
    </row>
    <row r="426" spans="11:13" x14ac:dyDescent="0.4">
      <c r="K426" s="74">
        <v>424</v>
      </c>
      <c r="L426" s="119">
        <v>27.100000000000016</v>
      </c>
      <c r="M426" s="117">
        <v>1505.9256925900315</v>
      </c>
    </row>
    <row r="427" spans="11:13" x14ac:dyDescent="0.4">
      <c r="K427" s="74">
        <v>425</v>
      </c>
      <c r="L427" s="119">
        <v>-23.499999999999986</v>
      </c>
      <c r="M427" s="117">
        <v>1496.7581384344912</v>
      </c>
    </row>
    <row r="428" spans="11:13" x14ac:dyDescent="0.4">
      <c r="K428" s="74">
        <v>426</v>
      </c>
      <c r="L428" s="119">
        <v>1.4210854715202004E-14</v>
      </c>
      <c r="M428" s="117">
        <v>1500.9835896038842</v>
      </c>
    </row>
    <row r="429" spans="11:13" x14ac:dyDescent="0.4">
      <c r="K429" s="74">
        <v>427</v>
      </c>
      <c r="L429" s="119">
        <v>8.5000000000000142</v>
      </c>
      <c r="M429" s="117">
        <v>1502.447688066261</v>
      </c>
    </row>
    <row r="430" spans="11:13" x14ac:dyDescent="0.4">
      <c r="K430" s="74">
        <v>428</v>
      </c>
      <c r="L430" s="119">
        <v>34.200000000000017</v>
      </c>
      <c r="M430" s="117">
        <v>1506.9990019378633</v>
      </c>
    </row>
    <row r="431" spans="11:13" x14ac:dyDescent="0.4">
      <c r="K431" s="74">
        <v>429</v>
      </c>
      <c r="L431" s="119">
        <v>1.4210854715202004E-14</v>
      </c>
      <c r="M431" s="117">
        <v>1500.7410079262361</v>
      </c>
    </row>
    <row r="432" spans="11:13" x14ac:dyDescent="0.4">
      <c r="K432" s="74">
        <v>430</v>
      </c>
      <c r="L432" s="119">
        <v>4.800000000000014</v>
      </c>
      <c r="M432" s="117">
        <v>1501.3245618786787</v>
      </c>
    </row>
    <row r="433" spans="11:13" x14ac:dyDescent="0.4">
      <c r="K433" s="74">
        <v>431</v>
      </c>
      <c r="L433" s="119">
        <v>-11.999999999999986</v>
      </c>
      <c r="M433" s="117">
        <v>1498.0166145074065</v>
      </c>
    </row>
    <row r="434" spans="11:13" x14ac:dyDescent="0.4">
      <c r="K434" s="74">
        <v>432</v>
      </c>
      <c r="L434" s="119">
        <v>1.4210854715202004E-14</v>
      </c>
      <c r="M434" s="117">
        <v>1499.912514820362</v>
      </c>
    </row>
    <row r="435" spans="11:13" x14ac:dyDescent="0.4">
      <c r="K435" s="74">
        <v>433</v>
      </c>
      <c r="L435" s="119">
        <v>43.300000000000011</v>
      </c>
      <c r="M435" s="117">
        <v>1507.8390397314399</v>
      </c>
    </row>
    <row r="436" spans="11:13" x14ac:dyDescent="0.4">
      <c r="K436" s="74">
        <v>434</v>
      </c>
      <c r="L436" s="119">
        <v>35.500000000000014</v>
      </c>
      <c r="M436" s="117">
        <v>1506.5200054930513</v>
      </c>
    </row>
    <row r="437" spans="11:13" x14ac:dyDescent="0.4">
      <c r="K437" s="74">
        <v>435</v>
      </c>
      <c r="L437" s="119">
        <v>1.4210854715202004E-14</v>
      </c>
      <c r="M437" s="117">
        <v>1500.222885460093</v>
      </c>
    </row>
    <row r="438" spans="11:13" x14ac:dyDescent="0.4">
      <c r="K438" s="74">
        <v>436</v>
      </c>
      <c r="L438" s="119">
        <v>26.000000000000014</v>
      </c>
      <c r="M438" s="117">
        <v>1505.0275481473325</v>
      </c>
    </row>
    <row r="439" spans="11:13" x14ac:dyDescent="0.4">
      <c r="K439" s="74">
        <v>437</v>
      </c>
      <c r="L439" s="119">
        <v>20.700000000000014</v>
      </c>
      <c r="M439" s="117">
        <v>1504.1693828584484</v>
      </c>
    </row>
    <row r="440" spans="11:13" x14ac:dyDescent="0.4">
      <c r="K440" s="74">
        <v>438</v>
      </c>
      <c r="L440" s="119">
        <v>1.4210854715202004E-14</v>
      </c>
      <c r="M440" s="117">
        <v>1500.5443665612977</v>
      </c>
    </row>
    <row r="441" spans="11:13" x14ac:dyDescent="0.4">
      <c r="K441" s="74">
        <v>439</v>
      </c>
      <c r="L441" s="119">
        <v>11.000000000000014</v>
      </c>
      <c r="M441" s="117">
        <v>1502.6591003619299</v>
      </c>
    </row>
    <row r="442" spans="11:13" x14ac:dyDescent="0.4">
      <c r="K442" s="74">
        <v>440</v>
      </c>
      <c r="L442" s="119">
        <v>-21.799999999999983</v>
      </c>
      <c r="M442" s="117">
        <v>1496.8771457597584</v>
      </c>
    </row>
    <row r="443" spans="11:13" x14ac:dyDescent="0.4">
      <c r="K443" s="74">
        <v>441</v>
      </c>
      <c r="L443" s="119">
        <v>1.7763568394002505E-14</v>
      </c>
      <c r="M443" s="117">
        <v>1500.9578828851998</v>
      </c>
    </row>
    <row r="444" spans="11:13" x14ac:dyDescent="0.4">
      <c r="K444" s="74">
        <v>442</v>
      </c>
      <c r="L444" s="119">
        <v>41.000000000000014</v>
      </c>
      <c r="M444" s="117">
        <v>1508.3321355878886</v>
      </c>
    </row>
    <row r="445" spans="11:13" x14ac:dyDescent="0.4">
      <c r="K445" s="74">
        <v>443</v>
      </c>
      <c r="L445" s="119">
        <v>-4.4999999999999858</v>
      </c>
      <c r="M445" s="117">
        <v>1500.0921427743613</v>
      </c>
    </row>
    <row r="446" spans="11:13" x14ac:dyDescent="0.4">
      <c r="K446" s="74">
        <v>444</v>
      </c>
      <c r="L446" s="119">
        <v>1.4210854715202004E-14</v>
      </c>
      <c r="M446" s="117">
        <v>1500.901589917715</v>
      </c>
    </row>
    <row r="447" spans="11:13" x14ac:dyDescent="0.4">
      <c r="K447" s="74">
        <v>445</v>
      </c>
      <c r="L447" s="119">
        <v>25.000000000000014</v>
      </c>
      <c r="M447" s="117">
        <v>1505.1741803782088</v>
      </c>
    </row>
    <row r="448" spans="11:13" x14ac:dyDescent="0.4">
      <c r="K448" s="74">
        <v>446</v>
      </c>
      <c r="L448" s="119">
        <v>-10.499999999999986</v>
      </c>
      <c r="M448" s="117">
        <v>1498.5311352959395</v>
      </c>
    </row>
    <row r="449" spans="11:13" x14ac:dyDescent="0.4">
      <c r="K449" s="74">
        <v>447</v>
      </c>
      <c r="L449" s="119">
        <v>1.4210854715202004E-14</v>
      </c>
      <c r="M449" s="117">
        <v>1500.2079484841638</v>
      </c>
    </row>
    <row r="450" spans="11:13" x14ac:dyDescent="0.4">
      <c r="K450" s="74">
        <v>448</v>
      </c>
      <c r="L450" s="119">
        <v>-19.799999999999986</v>
      </c>
      <c r="M450" s="117">
        <v>1496.6067007932588</v>
      </c>
    </row>
    <row r="451" spans="11:13" x14ac:dyDescent="0.4">
      <c r="K451" s="74">
        <v>449</v>
      </c>
      <c r="L451" s="119">
        <v>-29.799999999999986</v>
      </c>
      <c r="M451" s="117">
        <v>1494.7910605884992</v>
      </c>
    </row>
    <row r="452" spans="11:13" x14ac:dyDescent="0.4">
      <c r="K452" s="74">
        <v>450</v>
      </c>
      <c r="L452" s="119">
        <v>1.4210854715202004E-14</v>
      </c>
      <c r="M452" s="117">
        <v>1500.1503142249683</v>
      </c>
    </row>
    <row r="453" spans="11:13" x14ac:dyDescent="0.4">
      <c r="K453" s="74">
        <v>451</v>
      </c>
      <c r="L453" s="119">
        <v>37.600000000000016</v>
      </c>
      <c r="M453" s="117">
        <v>1506.9234123396184</v>
      </c>
    </row>
    <row r="454" spans="11:13" x14ac:dyDescent="0.4">
      <c r="K454" s="74">
        <v>452</v>
      </c>
      <c r="L454" s="119">
        <v>36.500000000000014</v>
      </c>
      <c r="M454" s="117">
        <v>1506.6898718655807</v>
      </c>
    </row>
    <row r="455" spans="11:13" x14ac:dyDescent="0.4">
      <c r="K455" s="74">
        <v>453</v>
      </c>
      <c r="L455" s="119">
        <v>1.4210854715202004E-14</v>
      </c>
      <c r="M455" s="117">
        <v>1500.0857326343871</v>
      </c>
    </row>
    <row r="456" spans="11:13" x14ac:dyDescent="0.4">
      <c r="K456" s="74">
        <v>454</v>
      </c>
      <c r="L456" s="119">
        <v>7.800000000000014</v>
      </c>
      <c r="M456" s="117">
        <v>1501.4952182385807</v>
      </c>
    </row>
    <row r="457" spans="11:13" x14ac:dyDescent="0.4">
      <c r="K457" s="74">
        <v>455</v>
      </c>
      <c r="L457" s="119">
        <v>-29.399999999999988</v>
      </c>
      <c r="M457" s="117">
        <v>1494.7962469291492</v>
      </c>
    </row>
    <row r="458" spans="11:13" x14ac:dyDescent="0.4">
      <c r="K458" s="74">
        <v>456</v>
      </c>
      <c r="L458" s="119">
        <v>1.0658141036401503E-14</v>
      </c>
      <c r="M458" s="117">
        <v>1500.1254694475742</v>
      </c>
    </row>
    <row r="459" spans="11:13" x14ac:dyDescent="0.4">
      <c r="K459" s="74">
        <v>457</v>
      </c>
      <c r="L459" s="119">
        <v>68.100000000000009</v>
      </c>
      <c r="M459" s="117">
        <v>1512.3887166308889</v>
      </c>
    </row>
    <row r="460" spans="11:13" x14ac:dyDescent="0.4">
      <c r="K460" s="74">
        <v>458</v>
      </c>
      <c r="L460" s="119">
        <v>26.800000000000011</v>
      </c>
      <c r="M460" s="117">
        <v>1504.8863843311035</v>
      </c>
    </row>
    <row r="461" spans="11:13" x14ac:dyDescent="0.4">
      <c r="K461" s="74">
        <v>459</v>
      </c>
      <c r="L461" s="119">
        <v>1.0658141036401503E-14</v>
      </c>
      <c r="M461" s="117">
        <v>1500.0390660251169</v>
      </c>
    </row>
    <row r="462" spans="11:13" x14ac:dyDescent="0.4">
      <c r="K462" s="74">
        <v>460</v>
      </c>
      <c r="L462" s="119">
        <v>-1.9999999999999893</v>
      </c>
      <c r="M462" s="117">
        <v>1499.4328316289661</v>
      </c>
    </row>
    <row r="463" spans="11:13" x14ac:dyDescent="0.4">
      <c r="K463" s="74">
        <v>461</v>
      </c>
      <c r="L463" s="119">
        <v>-18.399999999999988</v>
      </c>
      <c r="M463" s="117">
        <v>1496.2382346391923</v>
      </c>
    </row>
    <row r="464" spans="11:13" x14ac:dyDescent="0.4">
      <c r="K464" s="74">
        <v>462</v>
      </c>
      <c r="L464" s="119">
        <v>1.0658141036401503E-14</v>
      </c>
      <c r="M464" s="117">
        <v>1499.3268052313572</v>
      </c>
    </row>
    <row r="465" spans="11:13" x14ac:dyDescent="0.4">
      <c r="K465" s="74">
        <v>463</v>
      </c>
      <c r="L465" s="119">
        <v>5.2000000000000108</v>
      </c>
      <c r="M465" s="117">
        <v>1500.368844399969</v>
      </c>
    </row>
    <row r="466" spans="11:13" x14ac:dyDescent="0.4">
      <c r="K466" s="74">
        <v>464</v>
      </c>
      <c r="L466" s="119">
        <v>-26.499999999999989</v>
      </c>
      <c r="M466" s="117">
        <v>1494.7626313335693</v>
      </c>
    </row>
    <row r="467" spans="11:13" x14ac:dyDescent="0.4">
      <c r="K467" s="74">
        <v>465</v>
      </c>
      <c r="L467" s="119">
        <v>1.0658141036401503E-14</v>
      </c>
      <c r="M467" s="117">
        <v>1499.6660555455678</v>
      </c>
    </row>
    <row r="468" spans="11:13" x14ac:dyDescent="0.4">
      <c r="K468" s="74">
        <v>466</v>
      </c>
      <c r="L468" s="119">
        <v>16.20000000000001</v>
      </c>
      <c r="M468" s="117">
        <v>1502.6800592122945</v>
      </c>
    </row>
    <row r="469" spans="11:13" x14ac:dyDescent="0.4">
      <c r="K469" s="74">
        <v>467</v>
      </c>
      <c r="L469" s="119">
        <v>11.30000000000001</v>
      </c>
      <c r="M469" s="117">
        <v>1501.8779788570207</v>
      </c>
    </row>
    <row r="470" spans="11:13" x14ac:dyDescent="0.4">
      <c r="K470" s="74">
        <v>468</v>
      </c>
      <c r="L470" s="119">
        <v>8.8817841970012523E-15</v>
      </c>
      <c r="M470" s="117">
        <v>1499.9287109838785</v>
      </c>
    </row>
    <row r="471" spans="11:13" x14ac:dyDescent="0.4">
      <c r="K471" s="74">
        <v>469</v>
      </c>
      <c r="L471" s="119">
        <v>24.20000000000001</v>
      </c>
      <c r="M471" s="117">
        <v>1504.3811387179753</v>
      </c>
    </row>
    <row r="472" spans="11:13" x14ac:dyDescent="0.4">
      <c r="K472" s="74">
        <v>470</v>
      </c>
      <c r="L472" s="119">
        <v>9.3000000000000096</v>
      </c>
      <c r="M472" s="117">
        <v>1501.7688518856676</v>
      </c>
    </row>
    <row r="473" spans="11:13" x14ac:dyDescent="0.4">
      <c r="K473" s="74">
        <v>471</v>
      </c>
      <c r="L473" s="119">
        <v>8.8817841970012523E-15</v>
      </c>
      <c r="M473" s="117">
        <v>1500.1802387743535</v>
      </c>
    </row>
    <row r="474" spans="11:13" x14ac:dyDescent="0.4">
      <c r="K474" s="74">
        <v>472</v>
      </c>
      <c r="L474" s="119">
        <v>20.600000000000009</v>
      </c>
      <c r="M474" s="117">
        <v>1503.9831573417073</v>
      </c>
    </row>
    <row r="475" spans="11:13" x14ac:dyDescent="0.4">
      <c r="K475" s="74">
        <v>473</v>
      </c>
      <c r="L475" s="119">
        <v>-25.099999999999994</v>
      </c>
      <c r="M475" s="117">
        <v>1495.829258397657</v>
      </c>
    </row>
    <row r="476" spans="11:13" x14ac:dyDescent="0.4">
      <c r="K476" s="74">
        <v>474</v>
      </c>
      <c r="L476" s="119">
        <v>7.1054273576010019E-15</v>
      </c>
      <c r="M476" s="117">
        <v>1500.468282847271</v>
      </c>
    </row>
    <row r="477" spans="11:13" x14ac:dyDescent="0.4">
      <c r="K477" s="74">
        <v>475</v>
      </c>
      <c r="L477" s="119">
        <v>7.3000000000000069</v>
      </c>
      <c r="M477" s="117">
        <v>1501.8754731501874</v>
      </c>
    </row>
    <row r="478" spans="11:13" x14ac:dyDescent="0.4">
      <c r="K478" s="74">
        <v>476</v>
      </c>
      <c r="L478" s="119">
        <v>33.500000000000007</v>
      </c>
      <c r="M478" s="117">
        <v>1506.6762203112862</v>
      </c>
    </row>
    <row r="479" spans="11:13" x14ac:dyDescent="0.4">
      <c r="K479" s="74">
        <v>477</v>
      </c>
      <c r="L479" s="119">
        <v>7.1054273576010019E-15</v>
      </c>
      <c r="M479" s="117">
        <v>1500.7021629894184</v>
      </c>
    </row>
    <row r="480" spans="11:13" x14ac:dyDescent="0.4">
      <c r="K480" s="74">
        <v>478</v>
      </c>
      <c r="L480" s="119">
        <v>4.8000000000000069</v>
      </c>
      <c r="M480" s="117">
        <v>1501.6579500114819</v>
      </c>
    </row>
    <row r="481" spans="11:13" x14ac:dyDescent="0.4">
      <c r="K481" s="74">
        <v>479</v>
      </c>
      <c r="L481" s="119">
        <v>37.500000000000007</v>
      </c>
      <c r="M481" s="117">
        <v>1507.6300023114131</v>
      </c>
    </row>
    <row r="482" spans="11:13" x14ac:dyDescent="0.4">
      <c r="K482" s="74">
        <v>480</v>
      </c>
      <c r="L482" s="119">
        <v>7.1054273576010019E-15</v>
      </c>
      <c r="M482" s="117">
        <v>1500.9302222975446</v>
      </c>
    </row>
    <row r="483" spans="11:13" x14ac:dyDescent="0.4">
      <c r="K483" s="74">
        <v>481</v>
      </c>
      <c r="L483" s="119">
        <v>4.1000000000000068</v>
      </c>
      <c r="M483" s="117">
        <v>1501.7586409637593</v>
      </c>
    </row>
    <row r="484" spans="11:13" x14ac:dyDescent="0.4">
      <c r="K484" s="74">
        <v>482</v>
      </c>
      <c r="L484" s="119">
        <v>9.4000000000000057</v>
      </c>
      <c r="M484" s="117">
        <v>1502.7980891179768</v>
      </c>
    </row>
    <row r="485" spans="11:13" x14ac:dyDescent="0.4">
      <c r="K485" s="74">
        <v>483</v>
      </c>
      <c r="L485" s="119">
        <v>5.3290705182007514E-15</v>
      </c>
      <c r="M485" s="117">
        <v>1501.1853005832691</v>
      </c>
    </row>
    <row r="486" spans="11:13" x14ac:dyDescent="0.4">
      <c r="K486" s="74">
        <v>484</v>
      </c>
      <c r="L486" s="119">
        <v>-11.999999999999995</v>
      </c>
      <c r="M486" s="117">
        <v>1499.1801887797694</v>
      </c>
    </row>
    <row r="487" spans="11:13" x14ac:dyDescent="0.4">
      <c r="K487" s="74">
        <v>485</v>
      </c>
      <c r="L487" s="119">
        <v>-0.49999999999999467</v>
      </c>
      <c r="M487" s="117">
        <v>1501.4171076470909</v>
      </c>
    </row>
    <row r="488" spans="11:13" x14ac:dyDescent="0.4">
      <c r="K488" s="74">
        <v>486</v>
      </c>
      <c r="L488" s="119">
        <v>5.3290705182007514E-15</v>
      </c>
      <c r="M488" s="117">
        <v>1501.6606050012083</v>
      </c>
    </row>
    <row r="489" spans="11:13" x14ac:dyDescent="0.4">
      <c r="K489" s="74">
        <v>487</v>
      </c>
      <c r="L489" s="119">
        <v>12.500000000000005</v>
      </c>
      <c r="M489" s="117">
        <v>1504.0626413712012</v>
      </c>
    </row>
    <row r="490" spans="11:13" x14ac:dyDescent="0.4">
      <c r="K490" s="74">
        <v>488</v>
      </c>
      <c r="L490" s="119">
        <v>0.40000000000000568</v>
      </c>
      <c r="M490" s="117">
        <v>1502.0222655229738</v>
      </c>
    </row>
    <row r="491" spans="11:13" x14ac:dyDescent="0.4">
      <c r="K491" s="74">
        <v>489</v>
      </c>
      <c r="L491" s="119">
        <v>5.6621374255882984E-15</v>
      </c>
      <c r="M491" s="117">
        <v>1502.1001319298359</v>
      </c>
    </row>
    <row r="492" spans="11:13" x14ac:dyDescent="0.4">
      <c r="K492" s="74">
        <v>490</v>
      </c>
      <c r="L492" s="119">
        <v>-12.899999999999995</v>
      </c>
      <c r="M492" s="117">
        <v>1499.9275311382569</v>
      </c>
    </row>
    <row r="493" spans="11:13" x14ac:dyDescent="0.4">
      <c r="K493" s="74">
        <v>491</v>
      </c>
      <c r="L493" s="119">
        <v>-18.099999999999994</v>
      </c>
      <c r="M493" s="117">
        <v>1499.1539659514274</v>
      </c>
    </row>
    <row r="494" spans="11:13" x14ac:dyDescent="0.4">
      <c r="K494" s="74">
        <v>492</v>
      </c>
      <c r="L494" s="119">
        <v>7.1054273576010019E-15</v>
      </c>
      <c r="M494" s="117">
        <v>1502.5790421557188</v>
      </c>
    </row>
    <row r="495" spans="11:13" x14ac:dyDescent="0.4">
      <c r="K495" s="74">
        <v>493</v>
      </c>
      <c r="L495" s="119">
        <v>15.600000000000007</v>
      </c>
      <c r="M495" s="117">
        <v>1505.6775679027844</v>
      </c>
    </row>
    <row r="496" spans="11:13" x14ac:dyDescent="0.4">
      <c r="K496" s="74">
        <v>494</v>
      </c>
      <c r="L496" s="119">
        <v>-22.79999999999999</v>
      </c>
      <c r="M496" s="117">
        <v>1499.0375024953678</v>
      </c>
    </row>
    <row r="497" spans="11:13" x14ac:dyDescent="0.4">
      <c r="K497" s="74">
        <v>495</v>
      </c>
      <c r="L497" s="119">
        <v>1.0658141036401503E-14</v>
      </c>
      <c r="M497" s="117">
        <v>1503.4532774803956</v>
      </c>
    </row>
    <row r="498" spans="11:13" x14ac:dyDescent="0.4">
      <c r="K498" s="74">
        <v>496</v>
      </c>
      <c r="L498" s="119">
        <v>15.60000000000001</v>
      </c>
      <c r="M498" s="117">
        <v>1506.6365578155132</v>
      </c>
    </row>
    <row r="499" spans="11:13" x14ac:dyDescent="0.4">
      <c r="K499" s="74">
        <v>497</v>
      </c>
      <c r="L499" s="119">
        <v>2.8000000000000096</v>
      </c>
      <c r="M499" s="117">
        <v>1504.6887384686202</v>
      </c>
    </row>
    <row r="500" spans="11:13" x14ac:dyDescent="0.4">
      <c r="K500" s="74">
        <v>498</v>
      </c>
      <c r="L500" s="119">
        <v>9.7699626167013776E-15</v>
      </c>
      <c r="M500" s="117">
        <v>1504.5526060378083</v>
      </c>
    </row>
    <row r="501" spans="11:13" x14ac:dyDescent="0.4">
      <c r="K501" s="74">
        <v>499</v>
      </c>
      <c r="L501" s="119">
        <v>-35.999999999999993</v>
      </c>
      <c r="M501" s="117">
        <v>1498.4412904015815</v>
      </c>
    </row>
    <row r="502" spans="11:13" x14ac:dyDescent="0.4">
      <c r="K502" s="74">
        <v>500</v>
      </c>
      <c r="L502" s="119">
        <v>7.1054273576010019E-15</v>
      </c>
      <c r="M502" s="117">
        <v>1505.326642659172</v>
      </c>
    </row>
    <row r="503" spans="11:13" x14ac:dyDescent="0.4">
      <c r="K503" s="74">
        <v>501</v>
      </c>
      <c r="L503" s="119">
        <v>7.1054273576010019E-15</v>
      </c>
      <c r="M503" s="117">
        <v>1505.690682803217</v>
      </c>
    </row>
    <row r="504" spans="11:13" x14ac:dyDescent="0.4">
      <c r="K504" s="74">
        <v>502</v>
      </c>
      <c r="L504" s="119">
        <v>-29.599999999999994</v>
      </c>
      <c r="M504" s="117">
        <v>1500.7245387063977</v>
      </c>
    </row>
    <row r="505" spans="11:13" x14ac:dyDescent="0.4">
      <c r="K505" s="74">
        <v>503</v>
      </c>
      <c r="L505" s="119">
        <v>-78.699999999999989</v>
      </c>
      <c r="M505" s="117">
        <v>1492.2781914741593</v>
      </c>
    </row>
    <row r="506" spans="11:13" x14ac:dyDescent="0.4">
      <c r="K506" s="74">
        <v>504</v>
      </c>
      <c r="L506" s="119">
        <v>1.4210854715202004E-14</v>
      </c>
      <c r="M506" s="117">
        <v>1506.8865223253142</v>
      </c>
    </row>
    <row r="507" spans="11:13" x14ac:dyDescent="0.4">
      <c r="K507" s="74">
        <v>505</v>
      </c>
      <c r="L507" s="119">
        <v>6.800000000000014</v>
      </c>
      <c r="M507" s="117">
        <v>1508.2552031913624</v>
      </c>
    </row>
    <row r="508" spans="11:13" x14ac:dyDescent="0.4">
      <c r="K508" s="74">
        <v>506</v>
      </c>
      <c r="L508" s="119">
        <v>4.2000000000000135</v>
      </c>
      <c r="M508" s="117">
        <v>1507.9236719722142</v>
      </c>
    </row>
    <row r="509" spans="11:13" x14ac:dyDescent="0.4">
      <c r="K509" s="74">
        <v>507</v>
      </c>
      <c r="L509" s="119">
        <v>1.3322676295501878E-14</v>
      </c>
      <c r="M509" s="117">
        <v>1507.306129940381</v>
      </c>
    </row>
    <row r="510" spans="11:13" x14ac:dyDescent="0.4">
      <c r="K510" s="74">
        <v>508</v>
      </c>
      <c r="L510" s="119">
        <v>-13.999999999999986</v>
      </c>
      <c r="M510" s="117">
        <v>1504.9702931607387</v>
      </c>
    </row>
    <row r="511" spans="11:13" x14ac:dyDescent="0.4">
      <c r="K511" s="74">
        <v>509</v>
      </c>
      <c r="L511" s="119">
        <v>-26.499999999999986</v>
      </c>
      <c r="M511" s="117">
        <v>1502.9184714017742</v>
      </c>
    </row>
    <row r="512" spans="11:13" x14ac:dyDescent="0.4">
      <c r="K512" s="74">
        <v>510</v>
      </c>
      <c r="L512" s="119">
        <v>1.4210854715202004E-14</v>
      </c>
      <c r="M512" s="117">
        <v>1507.8989605733636</v>
      </c>
    </row>
    <row r="513" spans="11:13" x14ac:dyDescent="0.4">
      <c r="K513" s="74">
        <v>511</v>
      </c>
      <c r="L513" s="119">
        <v>-9.9999999999999858</v>
      </c>
      <c r="M513" s="117">
        <v>1506.2735668099235</v>
      </c>
    </row>
    <row r="514" spans="11:13" x14ac:dyDescent="0.4">
      <c r="K514" s="74">
        <v>512</v>
      </c>
      <c r="L514" s="119">
        <v>50.500000000000014</v>
      </c>
      <c r="M514" s="117">
        <v>1517.3479254090639</v>
      </c>
    </row>
    <row r="515" spans="11:13" x14ac:dyDescent="0.4">
      <c r="K515" s="74">
        <v>513</v>
      </c>
      <c r="L515" s="119">
        <v>1.4210854715202004E-14</v>
      </c>
      <c r="M515" s="117">
        <v>1508.3758378566095</v>
      </c>
    </row>
    <row r="516" spans="11:13" x14ac:dyDescent="0.4">
      <c r="K516" s="74">
        <v>514</v>
      </c>
      <c r="L516" s="119">
        <v>44.600000000000016</v>
      </c>
      <c r="M516" s="117">
        <v>1516.5755828294698</v>
      </c>
    </row>
    <row r="517" spans="11:13" x14ac:dyDescent="0.4">
      <c r="K517" s="74">
        <v>515</v>
      </c>
      <c r="L517" s="119">
        <v>15.100000000000016</v>
      </c>
      <c r="M517" s="117">
        <v>1511.388129332493</v>
      </c>
    </row>
    <row r="518" spans="11:13" x14ac:dyDescent="0.4">
      <c r="K518" s="74">
        <v>516</v>
      </c>
      <c r="L518" s="119">
        <v>1.5987211554602254E-14</v>
      </c>
      <c r="M518" s="117">
        <v>1508.8238005564981</v>
      </c>
    </row>
    <row r="519" spans="11:13" x14ac:dyDescent="0.4">
      <c r="K519" s="74">
        <v>517</v>
      </c>
      <c r="L519" s="119">
        <v>-4.6999999999999842</v>
      </c>
      <c r="M519" s="117">
        <v>1508.044857753159</v>
      </c>
    </row>
    <row r="520" spans="11:13" x14ac:dyDescent="0.4">
      <c r="K520" s="74">
        <v>518</v>
      </c>
      <c r="L520" s="119">
        <v>13.900000000000016</v>
      </c>
      <c r="M520" s="117">
        <v>1511.4645886066401</v>
      </c>
    </row>
    <row r="521" spans="11:13" x14ac:dyDescent="0.4">
      <c r="K521" s="74">
        <v>519</v>
      </c>
      <c r="L521" s="119">
        <v>1.5987211554602254E-14</v>
      </c>
      <c r="M521" s="117">
        <v>1509.0138010750002</v>
      </c>
    </row>
    <row r="522" spans="11:13" x14ac:dyDescent="0.4">
      <c r="K522" s="74">
        <v>520</v>
      </c>
      <c r="L522" s="119">
        <v>12.500000000000016</v>
      </c>
      <c r="M522" s="117">
        <v>1511.1797182685502</v>
      </c>
    </row>
    <row r="523" spans="11:13" x14ac:dyDescent="0.4">
      <c r="K523" s="74">
        <v>521</v>
      </c>
      <c r="L523" s="119">
        <v>-1.6999999999999833</v>
      </c>
      <c r="M523" s="117">
        <v>1508.5266399589389</v>
      </c>
    </row>
    <row r="524" spans="11:13" x14ac:dyDescent="0.4">
      <c r="K524" s="74">
        <v>522</v>
      </c>
      <c r="L524" s="119">
        <v>1.6653345369377348E-14</v>
      </c>
      <c r="M524" s="117">
        <v>1508.7514801191853</v>
      </c>
    </row>
    <row r="525" spans="11:13" x14ac:dyDescent="0.4">
      <c r="K525" s="74">
        <v>523</v>
      </c>
      <c r="L525" s="119">
        <v>14.400000000000016</v>
      </c>
      <c r="M525" s="117">
        <v>1511.5009712384701</v>
      </c>
    </row>
    <row r="526" spans="11:13" x14ac:dyDescent="0.4">
      <c r="K526" s="74">
        <v>524</v>
      </c>
      <c r="L526" s="119">
        <v>26.700000000000017</v>
      </c>
      <c r="M526" s="117">
        <v>1513.8559654110393</v>
      </c>
    </row>
    <row r="527" spans="11:13" x14ac:dyDescent="0.4">
      <c r="K527" s="74">
        <v>525</v>
      </c>
      <c r="L527" s="119">
        <v>1.7763568394002505E-14</v>
      </c>
      <c r="M527" s="117">
        <v>1509.176829618573</v>
      </c>
    </row>
    <row r="528" spans="11:13" x14ac:dyDescent="0.4">
      <c r="K528" s="74">
        <v>526</v>
      </c>
      <c r="L528" s="119">
        <v>-13.999999999999982</v>
      </c>
      <c r="M528" s="117">
        <v>1506.7517686408617</v>
      </c>
    </row>
    <row r="529" spans="11:13" x14ac:dyDescent="0.4">
      <c r="K529" s="74">
        <v>527</v>
      </c>
      <c r="L529" s="119">
        <v>-74.299999999999983</v>
      </c>
      <c r="M529" s="117">
        <v>1496.0072580290164</v>
      </c>
    </row>
    <row r="530" spans="11:13" x14ac:dyDescent="0.4">
      <c r="K530" s="74">
        <v>528</v>
      </c>
      <c r="L530" s="119">
        <v>1.4210854715202004E-14</v>
      </c>
      <c r="M530" s="117">
        <v>1509.5552144808423</v>
      </c>
    </row>
    <row r="531" spans="11:13" x14ac:dyDescent="0.4">
      <c r="K531" s="74">
        <v>529</v>
      </c>
      <c r="L531" s="119">
        <v>7.1000000000000139</v>
      </c>
      <c r="M531" s="117">
        <v>1511.1358831939572</v>
      </c>
    </row>
    <row r="532" spans="11:13" x14ac:dyDescent="0.4">
      <c r="K532" s="74">
        <v>530</v>
      </c>
      <c r="L532" s="119">
        <v>-0.89999999999998614</v>
      </c>
      <c r="M532" s="117">
        <v>1509.9890678947934</v>
      </c>
    </row>
    <row r="533" spans="11:13" x14ac:dyDescent="0.4">
      <c r="K533" s="74">
        <v>531</v>
      </c>
      <c r="L533" s="119">
        <v>1.3877787807814457E-14</v>
      </c>
      <c r="M533" s="117">
        <v>1510.4511334874246</v>
      </c>
    </row>
    <row r="534" spans="11:13" x14ac:dyDescent="0.4">
      <c r="K534" s="74">
        <v>532</v>
      </c>
      <c r="L534" s="119">
        <v>19.700000000000014</v>
      </c>
      <c r="M534" s="117">
        <v>1514.1084266865</v>
      </c>
    </row>
    <row r="535" spans="11:13" x14ac:dyDescent="0.4">
      <c r="K535" s="74">
        <v>533</v>
      </c>
      <c r="L535" s="119">
        <v>3.8000000000000131</v>
      </c>
      <c r="M535" s="117">
        <v>1511.335776126381</v>
      </c>
    </row>
    <row r="536" spans="11:13" x14ac:dyDescent="0.4">
      <c r="K536" s="74">
        <v>534</v>
      </c>
      <c r="L536" s="119">
        <v>1.3322676295501878E-14</v>
      </c>
      <c r="M536" s="117">
        <v>1510.7577614696227</v>
      </c>
    </row>
    <row r="537" spans="11:13" x14ac:dyDescent="0.4">
      <c r="K537" s="74">
        <v>535</v>
      </c>
      <c r="L537" s="119">
        <v>23.800000000000015</v>
      </c>
      <c r="M537" s="117">
        <v>1515.157214900805</v>
      </c>
    </row>
    <row r="538" spans="11:13" x14ac:dyDescent="0.4">
      <c r="K538" s="74">
        <v>536</v>
      </c>
      <c r="L538" s="119">
        <v>25.500000000000014</v>
      </c>
      <c r="M538" s="117">
        <v>1515.5522716114001</v>
      </c>
    </row>
    <row r="539" spans="11:13" x14ac:dyDescent="0.4">
      <c r="K539" s="74">
        <v>537</v>
      </c>
      <c r="L539" s="119">
        <v>1.4210854715202004E-14</v>
      </c>
      <c r="M539" s="117">
        <v>1511.0489579817317</v>
      </c>
    </row>
    <row r="540" spans="11:13" x14ac:dyDescent="0.4">
      <c r="K540" s="74">
        <v>538</v>
      </c>
      <c r="L540" s="119">
        <v>3.5000000000000142</v>
      </c>
      <c r="M540" s="117">
        <v>1511.4206642338413</v>
      </c>
    </row>
    <row r="541" spans="11:13" x14ac:dyDescent="0.4">
      <c r="K541" s="74">
        <v>539</v>
      </c>
      <c r="L541" s="119">
        <v>-5.9999999999999858</v>
      </c>
      <c r="M541" s="117">
        <v>1509.4501402484382</v>
      </c>
    </row>
    <row r="542" spans="11:13" x14ac:dyDescent="0.4">
      <c r="K542" s="74">
        <v>540</v>
      </c>
      <c r="L542" s="119">
        <v>1.4210854715202004E-14</v>
      </c>
      <c r="M542" s="117">
        <v>1510.2814394069476</v>
      </c>
    </row>
    <row r="543" spans="11:13" x14ac:dyDescent="0.4">
      <c r="K543" s="74">
        <v>541</v>
      </c>
      <c r="L543" s="119">
        <v>-4.7999999999999856</v>
      </c>
      <c r="M543" s="117">
        <v>1509.5177507705059</v>
      </c>
    </row>
    <row r="544" spans="11:13" x14ac:dyDescent="0.4">
      <c r="K544" s="74">
        <v>542</v>
      </c>
      <c r="L544" s="119">
        <v>21.000000000000014</v>
      </c>
      <c r="M544" s="117">
        <v>1514.2666442658829</v>
      </c>
    </row>
    <row r="545" spans="11:13" x14ac:dyDescent="0.4">
      <c r="K545" s="74">
        <v>543</v>
      </c>
      <c r="L545" s="119">
        <v>1.4210854715202004E-14</v>
      </c>
      <c r="M545" s="117">
        <v>1510.5630444002875</v>
      </c>
    </row>
    <row r="546" spans="11:13" x14ac:dyDescent="0.4">
      <c r="K546" s="74">
        <v>544</v>
      </c>
      <c r="L546" s="119">
        <v>32.500000000000014</v>
      </c>
      <c r="M546" s="117">
        <v>1516.6496661338858</v>
      </c>
    </row>
    <row r="547" spans="11:13" x14ac:dyDescent="0.4">
      <c r="K547" s="74">
        <v>545</v>
      </c>
      <c r="L547" s="119">
        <v>11.900000000000013</v>
      </c>
      <c r="M547" s="117">
        <v>1513.1417681370824</v>
      </c>
    </row>
    <row r="548" spans="11:13" x14ac:dyDescent="0.4">
      <c r="K548" s="74">
        <v>546</v>
      </c>
      <c r="L548" s="119">
        <v>1.2434497875801753E-14</v>
      </c>
      <c r="M548" s="117">
        <v>1511.2209175282599</v>
      </c>
    </row>
    <row r="549" spans="11:13" x14ac:dyDescent="0.4">
      <c r="K549" s="74">
        <v>547</v>
      </c>
      <c r="L549" s="119">
        <v>17.100000000000016</v>
      </c>
      <c r="M549" s="117">
        <v>1514.5315920230903</v>
      </c>
    </row>
    <row r="550" spans="11:13" x14ac:dyDescent="0.4">
      <c r="K550" s="74">
        <v>548</v>
      </c>
      <c r="L550" s="119">
        <v>17.500000000000014</v>
      </c>
      <c r="M550" s="117">
        <v>1514.8164024709517</v>
      </c>
    </row>
    <row r="551" spans="11:13" x14ac:dyDescent="0.4">
      <c r="K551" s="74">
        <v>549</v>
      </c>
      <c r="L551" s="119">
        <v>1.4210854715202004E-14</v>
      </c>
      <c r="M551" s="117">
        <v>1511.8775040561261</v>
      </c>
    </row>
    <row r="552" spans="11:13" x14ac:dyDescent="0.4">
      <c r="K552" s="74">
        <v>550</v>
      </c>
      <c r="L552" s="119">
        <v>12.300000000000015</v>
      </c>
      <c r="M552" s="117">
        <v>1514.2242390317892</v>
      </c>
    </row>
    <row r="553" spans="11:13" x14ac:dyDescent="0.4">
      <c r="K553" s="74">
        <v>551</v>
      </c>
      <c r="L553" s="119">
        <v>23.100000000000016</v>
      </c>
      <c r="M553" s="117">
        <v>1516.2868935975985</v>
      </c>
    </row>
    <row r="554" spans="11:13" x14ac:dyDescent="0.4">
      <c r="K554" s="74">
        <v>552</v>
      </c>
      <c r="L554" s="119">
        <v>1.4210854715202004E-14</v>
      </c>
      <c r="M554" s="117">
        <v>1512.2351722360129</v>
      </c>
    </row>
    <row r="555" spans="11:13" x14ac:dyDescent="0.4">
      <c r="K555" s="74">
        <v>553</v>
      </c>
      <c r="L555" s="119">
        <v>24.300000000000015</v>
      </c>
      <c r="M555" s="117">
        <v>1516.7397612025968</v>
      </c>
    </row>
    <row r="556" spans="11:13" x14ac:dyDescent="0.4">
      <c r="K556" s="74">
        <v>554</v>
      </c>
      <c r="L556" s="119">
        <v>11.400000000000015</v>
      </c>
      <c r="M556" s="117">
        <v>1514.5213226353812</v>
      </c>
    </row>
    <row r="557" spans="11:13" x14ac:dyDescent="0.4">
      <c r="K557" s="74">
        <v>555</v>
      </c>
      <c r="L557" s="119">
        <v>1.4210854715202004E-14</v>
      </c>
      <c r="M557" s="117">
        <v>1512.586194699569</v>
      </c>
    </row>
    <row r="558" spans="11:13" x14ac:dyDescent="0.4">
      <c r="K558" s="74">
        <v>556</v>
      </c>
      <c r="L558" s="119">
        <v>-12.199999999999985</v>
      </c>
      <c r="M558" s="117">
        <v>1510.5366775313717</v>
      </c>
    </row>
    <row r="559" spans="11:13" x14ac:dyDescent="0.4">
      <c r="K559" s="74">
        <v>557</v>
      </c>
      <c r="L559" s="119">
        <v>-7.2999999999999847</v>
      </c>
      <c r="M559" s="117">
        <v>1511.5774574661834</v>
      </c>
    </row>
    <row r="560" spans="11:13" x14ac:dyDescent="0.4">
      <c r="K560" s="74">
        <v>558</v>
      </c>
      <c r="L560" s="119">
        <v>1.5099033134902129E-14</v>
      </c>
      <c r="M560" s="117">
        <v>1513.0439927213863</v>
      </c>
    </row>
    <row r="561" spans="11:13" x14ac:dyDescent="0.4">
      <c r="K561" s="74">
        <v>559</v>
      </c>
      <c r="L561" s="119">
        <v>-1.9999999999999849</v>
      </c>
      <c r="M561" s="117">
        <v>1512.8277287650581</v>
      </c>
    </row>
    <row r="562" spans="11:13" x14ac:dyDescent="0.4">
      <c r="K562" s="74">
        <v>560</v>
      </c>
      <c r="L562" s="119">
        <v>4.6000000000000147</v>
      </c>
      <c r="M562" s="117">
        <v>1514.1607623924676</v>
      </c>
    </row>
    <row r="563" spans="11:13" x14ac:dyDescent="0.4">
      <c r="K563" s="74">
        <v>561</v>
      </c>
      <c r="L563" s="119">
        <v>1.5099033134902129E-14</v>
      </c>
      <c r="M563" s="117">
        <v>1513.4697978181127</v>
      </c>
    </row>
    <row r="564" spans="11:13" x14ac:dyDescent="0.4">
      <c r="K564" s="74">
        <v>562</v>
      </c>
      <c r="L564" s="119">
        <v>-40.599999999999987</v>
      </c>
      <c r="M564" s="117">
        <v>1506.086979031204</v>
      </c>
    </row>
    <row r="565" spans="11:13" x14ac:dyDescent="0.4">
      <c r="K565" s="74">
        <v>563</v>
      </c>
      <c r="L565" s="119">
        <v>-76.499999999999986</v>
      </c>
      <c r="M565" s="117">
        <v>1499.5944571570167</v>
      </c>
    </row>
    <row r="566" spans="11:13" x14ac:dyDescent="0.4">
      <c r="K566" s="74">
        <v>564</v>
      </c>
      <c r="L566" s="119">
        <v>1.4210854715202004E-14</v>
      </c>
      <c r="M566" s="117">
        <v>1513.3728904140746</v>
      </c>
    </row>
    <row r="567" spans="11:13" x14ac:dyDescent="0.4">
      <c r="K567" s="74">
        <v>565</v>
      </c>
      <c r="L567" s="119">
        <v>21.700000000000014</v>
      </c>
      <c r="M567" s="117">
        <v>1517.3906530715901</v>
      </c>
    </row>
    <row r="568" spans="11:13" x14ac:dyDescent="0.4">
      <c r="K568" s="74">
        <v>566</v>
      </c>
      <c r="L568" s="119">
        <v>35.800000000000011</v>
      </c>
      <c r="M568" s="117">
        <v>1520.0163091531606</v>
      </c>
    </row>
    <row r="569" spans="11:13" x14ac:dyDescent="0.4">
      <c r="K569" s="74">
        <v>567</v>
      </c>
      <c r="L569" s="119">
        <v>1.4210854715202004E-14</v>
      </c>
      <c r="M569" s="117">
        <v>1513.6442112982415</v>
      </c>
    </row>
    <row r="570" spans="11:13" x14ac:dyDescent="0.4">
      <c r="K570" s="74">
        <v>568</v>
      </c>
      <c r="L570" s="119">
        <v>40.700000000000017</v>
      </c>
      <c r="M570" s="117">
        <v>1521.0803460304521</v>
      </c>
    </row>
    <row r="571" spans="11:13" x14ac:dyDescent="0.4">
      <c r="K571" s="74">
        <v>569</v>
      </c>
      <c r="L571" s="119">
        <v>2.2000000000000171</v>
      </c>
      <c r="M571" s="117">
        <v>1514.2158639542695</v>
      </c>
    </row>
    <row r="572" spans="11:13" x14ac:dyDescent="0.4">
      <c r="K572" s="74">
        <v>570</v>
      </c>
      <c r="L572" s="119">
        <v>1.6875389974302379E-14</v>
      </c>
      <c r="M572" s="117">
        <v>1513.9265687705438</v>
      </c>
    </row>
    <row r="573" spans="11:13" x14ac:dyDescent="0.4">
      <c r="K573" s="74">
        <v>571</v>
      </c>
      <c r="L573" s="119">
        <v>8.0000000000000178</v>
      </c>
      <c r="M573" s="117">
        <v>1515.4750093579205</v>
      </c>
    </row>
    <row r="574" spans="11:13" x14ac:dyDescent="0.4">
      <c r="K574" s="74">
        <v>572</v>
      </c>
      <c r="L574" s="119">
        <v>16.90000000000002</v>
      </c>
      <c r="M574" s="117">
        <v>1517.1761593017729</v>
      </c>
    </row>
    <row r="575" spans="11:13" x14ac:dyDescent="0.4">
      <c r="K575" s="74">
        <v>573</v>
      </c>
      <c r="L575" s="119">
        <v>2.1316282072803006E-14</v>
      </c>
      <c r="M575" s="117">
        <v>1514.2231023459624</v>
      </c>
    </row>
    <row r="576" spans="11:13" x14ac:dyDescent="0.4">
      <c r="K576" s="74">
        <v>574</v>
      </c>
      <c r="L576" s="119">
        <v>7.7000000000000215</v>
      </c>
      <c r="M576" s="117">
        <v>1515.7157637318867</v>
      </c>
    </row>
    <row r="577" spans="11:13" x14ac:dyDescent="0.4">
      <c r="K577" s="74">
        <v>575</v>
      </c>
      <c r="L577" s="119">
        <v>37.40000000000002</v>
      </c>
      <c r="M577" s="117">
        <v>1521.1594691494954</v>
      </c>
    </row>
    <row r="578" spans="11:13" x14ac:dyDescent="0.4">
      <c r="K578" s="74">
        <v>576</v>
      </c>
      <c r="L578" s="119">
        <v>2.1316282072803006E-14</v>
      </c>
      <c r="M578" s="117">
        <v>1514.4925123345984</v>
      </c>
    </row>
    <row r="579" spans="11:13" x14ac:dyDescent="0.4">
      <c r="K579" s="74">
        <v>577</v>
      </c>
      <c r="L579" s="119">
        <v>-68.999999999999972</v>
      </c>
      <c r="M579" s="117">
        <v>1502.1775572605907</v>
      </c>
    </row>
    <row r="580" spans="11:13" x14ac:dyDescent="0.4">
      <c r="K580" s="74">
        <v>578</v>
      </c>
      <c r="L580" s="119">
        <v>-89.699999999999974</v>
      </c>
      <c r="M580" s="117">
        <v>1498.630491917027</v>
      </c>
    </row>
    <row r="581" spans="11:13" x14ac:dyDescent="0.4">
      <c r="K581" s="74">
        <v>579</v>
      </c>
      <c r="L581" s="119">
        <v>2.8421709430404007E-14</v>
      </c>
      <c r="M581" s="117">
        <v>1514.9767089655249</v>
      </c>
    </row>
    <row r="582" spans="11:13" x14ac:dyDescent="0.4">
      <c r="K582" s="74">
        <v>580</v>
      </c>
      <c r="L582" s="119">
        <v>-2.9999999999999716</v>
      </c>
      <c r="M582" s="117">
        <v>1514.4548487117318</v>
      </c>
    </row>
    <row r="583" spans="11:13" x14ac:dyDescent="0.4">
      <c r="K583" s="74">
        <v>581</v>
      </c>
      <c r="L583" s="119">
        <v>-31.199999999999971</v>
      </c>
      <c r="M583" s="117">
        <v>1509.4001196194613</v>
      </c>
    </row>
    <row r="584" spans="11:13" x14ac:dyDescent="0.4">
      <c r="K584" s="74">
        <v>582</v>
      </c>
      <c r="L584" s="119">
        <v>2.8421709430404007E-14</v>
      </c>
      <c r="M584" s="117">
        <v>1515.0677189017445</v>
      </c>
    </row>
    <row r="585" spans="11:13" x14ac:dyDescent="0.4">
      <c r="K585" s="74">
        <v>583</v>
      </c>
      <c r="L585" s="119">
        <v>-2.5999999999999717</v>
      </c>
      <c r="M585" s="117">
        <v>1514.617312588334</v>
      </c>
    </row>
    <row r="586" spans="11:13" x14ac:dyDescent="0.4">
      <c r="K586" s="74">
        <v>584</v>
      </c>
      <c r="L586" s="119">
        <v>-40.199999999999974</v>
      </c>
      <c r="M586" s="117">
        <v>1507.8696087128039</v>
      </c>
    </row>
    <row r="587" spans="11:13" x14ac:dyDescent="0.4">
      <c r="K587" s="74">
        <v>585</v>
      </c>
      <c r="L587" s="119">
        <v>2.8421709430404007E-14</v>
      </c>
      <c r="M587" s="117">
        <v>1515.1663910605271</v>
      </c>
    </row>
    <row r="588" spans="11:13" x14ac:dyDescent="0.4">
      <c r="K588" s="74">
        <v>586</v>
      </c>
      <c r="L588" s="119">
        <v>59.000000000000028</v>
      </c>
      <c r="M588" s="117">
        <v>1525.9113927141639</v>
      </c>
    </row>
    <row r="589" spans="11:13" x14ac:dyDescent="0.4">
      <c r="K589" s="74">
        <v>587</v>
      </c>
      <c r="L589" s="119">
        <v>21.000000000000028</v>
      </c>
      <c r="M589" s="117">
        <v>1519.1319243578789</v>
      </c>
    </row>
    <row r="590" spans="11:13" x14ac:dyDescent="0.4">
      <c r="K590" s="74">
        <v>588</v>
      </c>
      <c r="L590" s="119">
        <v>2.8421709430404007E-14</v>
      </c>
      <c r="M590" s="117">
        <v>1515.4531328117316</v>
      </c>
    </row>
    <row r="591" spans="11:13" x14ac:dyDescent="0.4">
      <c r="K591" s="74">
        <v>589</v>
      </c>
      <c r="L591" s="119">
        <v>2.8421709430404007E-14</v>
      </c>
      <c r="M591" s="117">
        <v>1515.5764140148613</v>
      </c>
    </row>
    <row r="592" spans="11:13" x14ac:dyDescent="0.4">
      <c r="K592" s="74">
        <v>590</v>
      </c>
      <c r="L592" s="119">
        <v>36.000000000000028</v>
      </c>
      <c r="M592" s="117">
        <v>1522.1789555307721</v>
      </c>
    </row>
    <row r="593" spans="11:13" x14ac:dyDescent="0.4">
      <c r="K593" s="74">
        <v>591</v>
      </c>
      <c r="L593" s="119">
        <v>2.8421709430404007E-14</v>
      </c>
      <c r="M593" s="117">
        <v>1515.7818817975874</v>
      </c>
    </row>
    <row r="594" spans="11:13" x14ac:dyDescent="0.4">
      <c r="K594" s="74">
        <v>592</v>
      </c>
      <c r="L594" s="119">
        <v>-20.499999999999972</v>
      </c>
      <c r="M594" s="117">
        <v>1512.2131905068018</v>
      </c>
    </row>
    <row r="595" spans="11:13" x14ac:dyDescent="0.4">
      <c r="K595" s="74">
        <v>593</v>
      </c>
      <c r="L595" s="119">
        <v>9.400000000000027</v>
      </c>
      <c r="M595" s="117">
        <v>1517.737911363761</v>
      </c>
    </row>
    <row r="596" spans="11:13" x14ac:dyDescent="0.4">
      <c r="K596" s="74">
        <v>594</v>
      </c>
      <c r="L596" s="119">
        <v>2.6645352591003757E-14</v>
      </c>
      <c r="M596" s="117">
        <v>1516.1554838955785</v>
      </c>
    </row>
    <row r="597" spans="11:13" x14ac:dyDescent="0.4">
      <c r="K597" s="74">
        <v>595</v>
      </c>
      <c r="L597" s="119">
        <v>14.500000000000027</v>
      </c>
      <c r="M597" s="117">
        <v>1518.500550992205</v>
      </c>
    </row>
    <row r="598" spans="11:13" x14ac:dyDescent="0.4">
      <c r="K598" s="74">
        <v>596</v>
      </c>
      <c r="L598" s="119">
        <v>23.400000000000027</v>
      </c>
      <c r="M598" s="117">
        <v>1519.8235476862519</v>
      </c>
    </row>
    <row r="599" spans="11:13" x14ac:dyDescent="0.4">
      <c r="K599" s="74">
        <v>597</v>
      </c>
      <c r="L599" s="119">
        <v>2.8421709430404007E-14</v>
      </c>
      <c r="M599" s="117">
        <v>1515.3246064001344</v>
      </c>
    </row>
    <row r="600" spans="11:13" x14ac:dyDescent="0.4">
      <c r="K600" s="74">
        <v>598</v>
      </c>
      <c r="L600" s="119">
        <v>15.900000000000029</v>
      </c>
      <c r="M600" s="117">
        <v>1518.1606587617337</v>
      </c>
    </row>
    <row r="601" spans="11:13" x14ac:dyDescent="0.4">
      <c r="K601" s="74">
        <v>599</v>
      </c>
      <c r="L601" s="119">
        <v>39.400000000000027</v>
      </c>
      <c r="M601" s="117">
        <v>1522.3476948091632</v>
      </c>
    </row>
    <row r="602" spans="11:13" x14ac:dyDescent="0.4">
      <c r="K602" s="74">
        <v>600</v>
      </c>
      <c r="L602" s="119">
        <v>2.8421709430404007E-14</v>
      </c>
      <c r="M602" s="117">
        <v>1515.1876086403081</v>
      </c>
    </row>
    <row r="603" spans="11:13" x14ac:dyDescent="0.4">
      <c r="K603" s="74">
        <v>601</v>
      </c>
      <c r="L603" s="119">
        <v>-3.3999999999999715</v>
      </c>
      <c r="M603" s="117">
        <v>1514.6584829884662</v>
      </c>
    </row>
    <row r="604" spans="11:13" x14ac:dyDescent="0.4">
      <c r="K604" s="74">
        <v>602</v>
      </c>
      <c r="L604" s="119">
        <v>-17.89999999999997</v>
      </c>
      <c r="M604" s="117">
        <v>1512.1345320905355</v>
      </c>
    </row>
    <row r="605" spans="11:13" x14ac:dyDescent="0.4">
      <c r="K605" s="74">
        <v>603</v>
      </c>
      <c r="L605" s="119">
        <v>2.8421709430404007E-14</v>
      </c>
      <c r="M605" s="117">
        <v>1515.4577248979922</v>
      </c>
    </row>
    <row r="606" spans="11:13" x14ac:dyDescent="0.4">
      <c r="K606" s="74">
        <v>604</v>
      </c>
      <c r="L606" s="119">
        <v>4.4000000000000288</v>
      </c>
      <c r="M606" s="117">
        <v>1516.2229785486043</v>
      </c>
    </row>
    <row r="607" spans="11:13" x14ac:dyDescent="0.4">
      <c r="K607" s="74">
        <v>605</v>
      </c>
      <c r="L607" s="119">
        <v>-1.399999999999971</v>
      </c>
      <c r="M607" s="117">
        <v>1515.1476406773127</v>
      </c>
    </row>
    <row r="608" spans="11:13" x14ac:dyDescent="0.4">
      <c r="K608" s="74">
        <v>606</v>
      </c>
      <c r="L608" s="119">
        <v>2.886579864025407E-14</v>
      </c>
      <c r="M608" s="117">
        <v>1515.3747548332487</v>
      </c>
    </row>
    <row r="609" spans="11:13" x14ac:dyDescent="0.4">
      <c r="K609" s="74">
        <v>607</v>
      </c>
      <c r="L609" s="119">
        <v>39.500000000000028</v>
      </c>
      <c r="M609" s="117">
        <v>1522.5665063042493</v>
      </c>
    </row>
    <row r="610" spans="11:13" x14ac:dyDescent="0.4">
      <c r="K610" s="74">
        <v>608</v>
      </c>
      <c r="L610" s="119">
        <v>2.8000000000000256</v>
      </c>
      <c r="M610" s="117">
        <v>1515.9991072664238</v>
      </c>
    </row>
    <row r="611" spans="11:13" x14ac:dyDescent="0.4">
      <c r="K611" s="74">
        <v>609</v>
      </c>
      <c r="L611" s="119">
        <v>2.5757174171303632E-14</v>
      </c>
      <c r="M611" s="117">
        <v>1515.5731126228252</v>
      </c>
    </row>
    <row r="612" spans="11:13" x14ac:dyDescent="0.4">
      <c r="K612" s="74">
        <v>610</v>
      </c>
      <c r="L612" s="119">
        <v>61.000000000000028</v>
      </c>
      <c r="M612" s="117">
        <v>1526.8436739470883</v>
      </c>
    </row>
    <row r="613" spans="11:13" x14ac:dyDescent="0.4">
      <c r="K613" s="74">
        <v>611</v>
      </c>
      <c r="L613" s="119">
        <v>13.500000000000028</v>
      </c>
      <c r="M613" s="117">
        <v>1518.5166119034059</v>
      </c>
    </row>
    <row r="614" spans="11:13" x14ac:dyDescent="0.4">
      <c r="K614" s="74">
        <v>612</v>
      </c>
      <c r="L614" s="119">
        <v>2.8421709430404007E-14</v>
      </c>
      <c r="M614" s="117">
        <v>1516.3595122319855</v>
      </c>
    </row>
    <row r="615" spans="11:13" x14ac:dyDescent="0.4">
      <c r="K615" s="74">
        <v>613</v>
      </c>
      <c r="L615" s="119">
        <v>11.700000000000028</v>
      </c>
      <c r="M615" s="117">
        <v>1518.4873551585936</v>
      </c>
    </row>
    <row r="616" spans="11:13" x14ac:dyDescent="0.4">
      <c r="K616" s="74">
        <v>614</v>
      </c>
      <c r="L616" s="119">
        <v>-11.799999999999972</v>
      </c>
      <c r="M616" s="117">
        <v>1514.2664310276421</v>
      </c>
    </row>
    <row r="617" spans="11:13" x14ac:dyDescent="0.4">
      <c r="K617" s="74">
        <v>615</v>
      </c>
      <c r="L617" s="119">
        <v>2.8421709430404007E-14</v>
      </c>
      <c r="M617" s="117">
        <v>1516.4248324414762</v>
      </c>
    </row>
    <row r="618" spans="11:13" x14ac:dyDescent="0.4">
      <c r="K618" s="74">
        <v>616</v>
      </c>
      <c r="L618" s="119">
        <v>16.10000000000003</v>
      </c>
      <c r="M618" s="117">
        <v>1519.3442834468274</v>
      </c>
    </row>
    <row r="619" spans="11:13" x14ac:dyDescent="0.4">
      <c r="K619" s="74">
        <v>617</v>
      </c>
      <c r="L619" s="119">
        <v>15.10000000000003</v>
      </c>
      <c r="M619" s="117">
        <v>1519.1682177461464</v>
      </c>
    </row>
    <row r="620" spans="11:13" x14ac:dyDescent="0.4">
      <c r="K620" s="74">
        <v>618</v>
      </c>
      <c r="L620" s="119">
        <v>3.0198066269804258E-14</v>
      </c>
      <c r="M620" s="117">
        <v>1516.4552084396696</v>
      </c>
    </row>
    <row r="621" spans="11:13" x14ac:dyDescent="0.4">
      <c r="K621" s="74">
        <v>619</v>
      </c>
      <c r="L621" s="119">
        <v>57.500000000000028</v>
      </c>
      <c r="M621" s="117">
        <v>1526.8264771890315</v>
      </c>
    </row>
    <row r="622" spans="11:13" x14ac:dyDescent="0.4">
      <c r="K622" s="74">
        <v>620</v>
      </c>
      <c r="L622" s="119">
        <v>11.700000000000031</v>
      </c>
      <c r="M622" s="117">
        <v>1518.5415183258974</v>
      </c>
    </row>
    <row r="623" spans="11:13" x14ac:dyDescent="0.4">
      <c r="K623" s="74">
        <v>621</v>
      </c>
      <c r="L623" s="119">
        <v>3.1974423109204508E-14</v>
      </c>
      <c r="M623" s="117">
        <v>1516.4442692159421</v>
      </c>
    </row>
    <row r="624" spans="11:13" x14ac:dyDescent="0.4">
      <c r="K624" s="74">
        <v>622</v>
      </c>
      <c r="L624" s="119">
        <v>-12.499999999999968</v>
      </c>
      <c r="M624" s="117">
        <v>1514.2156036006465</v>
      </c>
    </row>
    <row r="625" spans="11:13" x14ac:dyDescent="0.4">
      <c r="K625" s="74">
        <v>623</v>
      </c>
      <c r="L625" s="119">
        <v>-56.399999999999963</v>
      </c>
      <c r="M625" s="117">
        <v>1506.3483099790426</v>
      </c>
    </row>
    <row r="626" spans="11:13" x14ac:dyDescent="0.4">
      <c r="K626" s="74">
        <v>624</v>
      </c>
      <c r="L626" s="119">
        <v>3.5527136788005009E-14</v>
      </c>
      <c r="M626" s="117">
        <v>1516.5822201191684</v>
      </c>
    </row>
    <row r="627" spans="11:13" x14ac:dyDescent="0.4">
      <c r="K627" s="74">
        <v>625</v>
      </c>
      <c r="L627" s="119">
        <v>-41.999999999999964</v>
      </c>
      <c r="M627" s="117">
        <v>1508.9467267984533</v>
      </c>
    </row>
    <row r="628" spans="11:13" x14ac:dyDescent="0.4">
      <c r="K628" s="74">
        <v>626</v>
      </c>
      <c r="L628" s="119">
        <v>-44.999999999999964</v>
      </c>
      <c r="M628" s="117">
        <v>1508.3770464376626</v>
      </c>
    </row>
    <row r="629" spans="11:13" x14ac:dyDescent="0.4">
      <c r="K629" s="74">
        <v>627</v>
      </c>
      <c r="L629" s="119">
        <v>3.5527136788005009E-14</v>
      </c>
      <c r="M629" s="117">
        <v>1516.4507841590366</v>
      </c>
    </row>
    <row r="630" spans="11:13" x14ac:dyDescent="0.4">
      <c r="K630" s="74">
        <v>628</v>
      </c>
      <c r="L630" s="119">
        <v>10.700000000000035</v>
      </c>
      <c r="M630" s="117">
        <v>1518.5180794540825</v>
      </c>
    </row>
    <row r="631" spans="11:13" x14ac:dyDescent="0.4">
      <c r="K631" s="74">
        <v>629</v>
      </c>
      <c r="L631" s="119">
        <v>6.7000000000000348</v>
      </c>
      <c r="M631" s="117">
        <v>1517.926970977358</v>
      </c>
    </row>
    <row r="632" spans="11:13" x14ac:dyDescent="0.4">
      <c r="K632" s="74">
        <v>630</v>
      </c>
      <c r="L632" s="119">
        <v>3.4638958368304884E-14</v>
      </c>
      <c r="M632" s="117">
        <v>1516.8534091514939</v>
      </c>
    </row>
    <row r="633" spans="11:13" x14ac:dyDescent="0.4">
      <c r="K633" s="74">
        <v>631</v>
      </c>
      <c r="L633" s="119">
        <v>31.100000000000037</v>
      </c>
      <c r="M633" s="117">
        <v>1522.428288696585</v>
      </c>
    </row>
    <row r="634" spans="11:13" x14ac:dyDescent="0.4">
      <c r="K634" s="74">
        <v>632</v>
      </c>
      <c r="L634" s="119">
        <v>0.70000000000003837</v>
      </c>
      <c r="M634" s="117">
        <v>1516.8997189644056</v>
      </c>
    </row>
    <row r="635" spans="11:13" x14ac:dyDescent="0.4">
      <c r="K635" s="74">
        <v>633</v>
      </c>
      <c r="L635" s="119">
        <v>3.8413716652030416E-14</v>
      </c>
      <c r="M635" s="117">
        <v>1516.7503206506192</v>
      </c>
    </row>
    <row r="636" spans="11:13" x14ac:dyDescent="0.4">
      <c r="K636" s="74">
        <v>634</v>
      </c>
      <c r="L636" s="119">
        <v>10.200000000000038</v>
      </c>
      <c r="M636" s="117">
        <v>1518.7918187267155</v>
      </c>
    </row>
    <row r="637" spans="11:13" x14ac:dyDescent="0.4">
      <c r="K637" s="74">
        <v>635</v>
      </c>
      <c r="L637" s="119">
        <v>-10.099999999999962</v>
      </c>
      <c r="M637" s="117">
        <v>1515.3310678143553</v>
      </c>
    </row>
    <row r="638" spans="11:13" x14ac:dyDescent="0.4">
      <c r="K638" s="74">
        <v>636</v>
      </c>
      <c r="L638" s="119">
        <v>3.730349362740526E-14</v>
      </c>
      <c r="M638" s="117">
        <v>1517.3630814074691</v>
      </c>
    </row>
    <row r="639" spans="11:13" x14ac:dyDescent="0.4">
      <c r="K639" s="74">
        <v>637</v>
      </c>
      <c r="L639" s="119">
        <v>8.300000000000038</v>
      </c>
      <c r="M639" s="117">
        <v>1519.0649029190242</v>
      </c>
    </row>
    <row r="640" spans="11:13" x14ac:dyDescent="0.4">
      <c r="K640" s="74">
        <v>638</v>
      </c>
      <c r="L640" s="119">
        <v>35.80000000000004</v>
      </c>
      <c r="M640" s="117">
        <v>1524.2125135015101</v>
      </c>
    </row>
    <row r="641" spans="11:13" x14ac:dyDescent="0.4">
      <c r="K641" s="74">
        <v>639</v>
      </c>
      <c r="L641" s="119">
        <v>4.2632564145606011E-14</v>
      </c>
      <c r="M641" s="117">
        <v>1517.935238420501</v>
      </c>
    </row>
    <row r="642" spans="11:13" x14ac:dyDescent="0.4">
      <c r="K642" s="74">
        <v>640</v>
      </c>
      <c r="L642" s="119">
        <v>-1.8999999999999573</v>
      </c>
      <c r="M642" s="117">
        <v>1517.797626989978</v>
      </c>
    </row>
    <row r="643" spans="11:13" x14ac:dyDescent="0.4">
      <c r="K643" s="74">
        <v>641</v>
      </c>
      <c r="L643" s="119">
        <v>3.8000000000000429</v>
      </c>
      <c r="M643" s="117">
        <v>1519.0288412280381</v>
      </c>
    </row>
    <row r="644" spans="11:13" x14ac:dyDescent="0.4">
      <c r="K644" s="74">
        <v>642</v>
      </c>
      <c r="L644" s="119">
        <v>4.3076653355456074E-14</v>
      </c>
      <c r="M644" s="117">
        <v>1518.5426681806698</v>
      </c>
    </row>
    <row r="645" spans="11:13" x14ac:dyDescent="0.4">
      <c r="K645" s="74">
        <v>643</v>
      </c>
      <c r="L645" s="119">
        <v>0.50000000000004308</v>
      </c>
      <c r="M645" s="117">
        <v>1518.8334121715857</v>
      </c>
    </row>
    <row r="646" spans="11:13" x14ac:dyDescent="0.4">
      <c r="K646" s="74">
        <v>644</v>
      </c>
      <c r="L646" s="119">
        <v>13.700000000000042</v>
      </c>
      <c r="M646" s="117">
        <v>1521.4084116985562</v>
      </c>
    </row>
    <row r="647" spans="11:13" x14ac:dyDescent="0.4">
      <c r="K647" s="74">
        <v>645</v>
      </c>
      <c r="L647" s="119">
        <v>4.2632564145606011E-14</v>
      </c>
      <c r="M647" s="117">
        <v>1519.1259612283648</v>
      </c>
    </row>
    <row r="648" spans="11:13" x14ac:dyDescent="0.4">
      <c r="K648" s="74">
        <v>646</v>
      </c>
      <c r="L648" s="119">
        <v>48.000000000000043</v>
      </c>
      <c r="M648" s="117">
        <v>1527.9632054609945</v>
      </c>
    </row>
    <row r="649" spans="11:13" x14ac:dyDescent="0.4">
      <c r="K649" s="74">
        <v>647</v>
      </c>
      <c r="L649" s="119">
        <v>41.000000000000043</v>
      </c>
      <c r="M649" s="117">
        <v>1526.8474262282284</v>
      </c>
    </row>
    <row r="650" spans="11:13" x14ac:dyDescent="0.4">
      <c r="K650" s="74">
        <v>648</v>
      </c>
      <c r="L650" s="119">
        <v>4.2632564145606011E-14</v>
      </c>
      <c r="M650" s="117">
        <v>1519.6183416708591</v>
      </c>
    </row>
    <row r="651" spans="11:13" x14ac:dyDescent="0.4">
      <c r="K651" s="74">
        <v>649</v>
      </c>
      <c r="L651" s="119">
        <v>22.800000000000043</v>
      </c>
      <c r="M651" s="117">
        <v>1523.9166316208339</v>
      </c>
    </row>
    <row r="652" spans="11:13" x14ac:dyDescent="0.4">
      <c r="K652" s="74">
        <v>650</v>
      </c>
      <c r="L652" s="119">
        <v>43.100000000000044</v>
      </c>
      <c r="M652" s="117">
        <v>1527.7391318311088</v>
      </c>
    </row>
    <row r="653" spans="11:13" x14ac:dyDescent="0.4">
      <c r="K653" s="74">
        <v>651</v>
      </c>
      <c r="L653" s="119">
        <v>4.2632564145606011E-14</v>
      </c>
      <c r="M653" s="117">
        <v>1520.1266970401221</v>
      </c>
    </row>
    <row r="654" spans="11:13" x14ac:dyDescent="0.4">
      <c r="K654" s="74">
        <v>652</v>
      </c>
      <c r="L654" s="119">
        <v>6.0000000000000426</v>
      </c>
      <c r="M654" s="117">
        <v>1521.3979368578814</v>
      </c>
    </row>
    <row r="655" spans="11:13" x14ac:dyDescent="0.4">
      <c r="K655" s="74">
        <v>653</v>
      </c>
      <c r="L655" s="119">
        <v>4.2632564145606011E-14</v>
      </c>
      <c r="M655" s="117">
        <v>1520.501549236734</v>
      </c>
    </row>
    <row r="656" spans="11:13" x14ac:dyDescent="0.4">
      <c r="K656" s="74">
        <v>654</v>
      </c>
      <c r="L656" s="119">
        <v>4.2632564145606011E-14</v>
      </c>
      <c r="M656" s="117">
        <v>1520.6905399413135</v>
      </c>
    </row>
    <row r="657" spans="11:13" x14ac:dyDescent="0.4">
      <c r="K657" s="74">
        <v>655</v>
      </c>
      <c r="L657" s="119">
        <v>-16.999999999999957</v>
      </c>
      <c r="M657" s="117">
        <v>1517.6023967016656</v>
      </c>
    </row>
    <row r="658" spans="11:13" x14ac:dyDescent="0.4">
      <c r="K658" s="74">
        <v>656</v>
      </c>
      <c r="L658" s="119">
        <v>3.7000000000000419</v>
      </c>
      <c r="M658" s="117">
        <v>1521.3187823214557</v>
      </c>
    </row>
    <row r="659" spans="11:13" x14ac:dyDescent="0.4">
      <c r="K659" s="74">
        <v>657</v>
      </c>
      <c r="L659" s="119">
        <v>4.1744385725905886E-14</v>
      </c>
      <c r="M659" s="117">
        <v>1520.6208696275271</v>
      </c>
    </row>
    <row r="660" spans="11:13" x14ac:dyDescent="0.4">
      <c r="K660" s="74">
        <v>658</v>
      </c>
      <c r="L660" s="119">
        <v>-26.199999999999957</v>
      </c>
      <c r="M660" s="117">
        <v>1515.6491444097619</v>
      </c>
    </row>
    <row r="661" spans="11:13" x14ac:dyDescent="0.4">
      <c r="K661" s="74">
        <v>659</v>
      </c>
      <c r="L661" s="119">
        <v>36.500000000000043</v>
      </c>
      <c r="M661" s="117">
        <v>1526.7092495433033</v>
      </c>
    </row>
    <row r="662" spans="11:13" x14ac:dyDescent="0.4">
      <c r="K662" s="74">
        <v>660</v>
      </c>
      <c r="L662" s="119">
        <v>4.2632564145606011E-14</v>
      </c>
      <c r="M662" s="117">
        <v>1519.8469940460434</v>
      </c>
    </row>
    <row r="663" spans="11:13" x14ac:dyDescent="0.4">
      <c r="K663" s="74">
        <v>661</v>
      </c>
      <c r="L663" s="119">
        <v>-18.899999999999956</v>
      </c>
      <c r="M663" s="117">
        <v>1516.4159120817671</v>
      </c>
    </row>
    <row r="664" spans="11:13" x14ac:dyDescent="0.4">
      <c r="K664" s="74">
        <v>662</v>
      </c>
      <c r="L664" s="119">
        <v>-12.299999999999956</v>
      </c>
      <c r="M664" s="117">
        <v>1517.5954166092765</v>
      </c>
    </row>
    <row r="665" spans="11:13" x14ac:dyDescent="0.4">
      <c r="K665" s="74">
        <v>663</v>
      </c>
      <c r="L665" s="119">
        <v>4.4408920985006262E-14</v>
      </c>
      <c r="M665" s="117">
        <v>1519.793844109621</v>
      </c>
    </row>
    <row r="666" spans="11:13" x14ac:dyDescent="0.4">
      <c r="K666" s="74">
        <v>664</v>
      </c>
      <c r="L666" s="119">
        <v>36.000000000000043</v>
      </c>
      <c r="M666" s="117">
        <v>1526.0110810449632</v>
      </c>
    </row>
    <row r="667" spans="11:13" x14ac:dyDescent="0.4">
      <c r="K667" s="74">
        <v>665</v>
      </c>
      <c r="L667" s="119">
        <v>15.500000000000043</v>
      </c>
      <c r="M667" s="117">
        <v>1522.0210145586934</v>
      </c>
    </row>
    <row r="668" spans="11:13" x14ac:dyDescent="0.4">
      <c r="K668" s="74">
        <v>666</v>
      </c>
      <c r="L668" s="119">
        <v>4.2632564145606011E-14</v>
      </c>
      <c r="M668" s="117">
        <v>1518.9548884713413</v>
      </c>
    </row>
    <row r="669" spans="11:13" x14ac:dyDescent="0.4">
      <c r="K669" s="74">
        <v>667</v>
      </c>
      <c r="L669" s="119">
        <v>36.700000000000045</v>
      </c>
      <c r="M669" s="117">
        <v>1525.7051591405132</v>
      </c>
    </row>
    <row r="670" spans="11:13" x14ac:dyDescent="0.4">
      <c r="K670" s="74">
        <v>668</v>
      </c>
      <c r="L670" s="119">
        <v>-0.29999999999995453</v>
      </c>
      <c r="M670" s="117">
        <v>1519.14892818567</v>
      </c>
    </row>
    <row r="671" spans="11:13" x14ac:dyDescent="0.4">
      <c r="K671" s="74">
        <v>669</v>
      </c>
      <c r="L671" s="119">
        <v>4.546363285840016E-14</v>
      </c>
      <c r="M671" s="117">
        <v>1519.3460346165559</v>
      </c>
    </row>
    <row r="672" spans="11:13" x14ac:dyDescent="0.4">
      <c r="K672" s="74">
        <v>670</v>
      </c>
      <c r="L672" s="119">
        <v>12.400000000000047</v>
      </c>
      <c r="M672" s="117">
        <v>1521.7979584088566</v>
      </c>
    </row>
    <row r="673" spans="11:13" x14ac:dyDescent="0.4">
      <c r="K673" s="74">
        <v>671</v>
      </c>
      <c r="L673" s="119">
        <v>-4.1999999999999549</v>
      </c>
      <c r="M673" s="117">
        <v>1519.0151706584036</v>
      </c>
    </row>
    <row r="674" spans="11:13" x14ac:dyDescent="0.4">
      <c r="K674" s="74">
        <v>672</v>
      </c>
      <c r="L674" s="119">
        <v>4.5297099404706387E-14</v>
      </c>
      <c r="M674" s="117">
        <v>1519.9930796344531</v>
      </c>
    </row>
    <row r="675" spans="11:13" x14ac:dyDescent="0.4">
      <c r="K675" s="74">
        <v>673</v>
      </c>
      <c r="L675" s="119">
        <v>14.000000000000046</v>
      </c>
      <c r="M675" s="117">
        <v>1522.6871211566463</v>
      </c>
    </row>
    <row r="676" spans="11:13" x14ac:dyDescent="0.4">
      <c r="K676" s="74">
        <v>674</v>
      </c>
      <c r="L676" s="119">
        <v>41.400000000000048</v>
      </c>
      <c r="M676" s="117">
        <v>1527.7769984297065</v>
      </c>
    </row>
    <row r="677" spans="11:13" x14ac:dyDescent="0.4">
      <c r="K677" s="74">
        <v>675</v>
      </c>
      <c r="L677" s="119">
        <v>4.9737991503207013E-14</v>
      </c>
      <c r="M677" s="117">
        <v>1520.4523364391282</v>
      </c>
    </row>
    <row r="678" spans="11:13" x14ac:dyDescent="0.4">
      <c r="K678" s="74">
        <v>676</v>
      </c>
      <c r="L678" s="119">
        <v>6.8000000000000496</v>
      </c>
      <c r="M678" s="117">
        <v>1522.0096224204935</v>
      </c>
    </row>
    <row r="679" spans="11:13" x14ac:dyDescent="0.4">
      <c r="K679" s="74">
        <v>677</v>
      </c>
      <c r="L679" s="119">
        <v>34.50000000000005</v>
      </c>
      <c r="M679" s="117">
        <v>1527.3195646859706</v>
      </c>
    </row>
    <row r="680" spans="11:13" x14ac:dyDescent="0.4">
      <c r="K680" s="74">
        <v>678</v>
      </c>
      <c r="L680" s="119">
        <v>4.9737991503207013E-14</v>
      </c>
      <c r="M680" s="117">
        <v>1521.4016472978549</v>
      </c>
    </row>
    <row r="681" spans="11:13" x14ac:dyDescent="0.4">
      <c r="K681" s="74">
        <v>679</v>
      </c>
      <c r="L681" s="119">
        <v>-7.5999999999999499</v>
      </c>
      <c r="M681" s="117">
        <v>1520.1872374140678</v>
      </c>
    </row>
    <row r="682" spans="11:13" x14ac:dyDescent="0.4">
      <c r="K682" s="74">
        <v>680</v>
      </c>
      <c r="L682" s="119">
        <v>-9.5999999999999499</v>
      </c>
      <c r="M682" s="117">
        <v>1519.9881139895833</v>
      </c>
    </row>
    <row r="683" spans="11:13" x14ac:dyDescent="0.4">
      <c r="K683" s="74">
        <v>681</v>
      </c>
      <c r="L683" s="119">
        <v>4.9737991503207013E-14</v>
      </c>
      <c r="M683" s="117">
        <v>1521.8781853056457</v>
      </c>
    </row>
    <row r="684" spans="11:13" x14ac:dyDescent="0.4">
      <c r="K684" s="74">
        <v>682</v>
      </c>
      <c r="L684" s="119">
        <v>26.200000000000049</v>
      </c>
      <c r="M684" s="117">
        <v>1526.4389161938118</v>
      </c>
    </row>
    <row r="685" spans="11:13" x14ac:dyDescent="0.4">
      <c r="K685" s="74">
        <v>683</v>
      </c>
      <c r="L685" s="119">
        <v>-2.1999999999999496</v>
      </c>
      <c r="M685" s="117">
        <v>1521.1442826966488</v>
      </c>
    </row>
    <row r="686" spans="11:13" x14ac:dyDescent="0.4">
      <c r="K686" s="74">
        <v>684</v>
      </c>
      <c r="L686" s="119">
        <v>5.0626169922907138E-14</v>
      </c>
      <c r="M686" s="117">
        <v>1521.3894170004689</v>
      </c>
    </row>
    <row r="687" spans="11:13" x14ac:dyDescent="0.4">
      <c r="K687" s="74">
        <v>685</v>
      </c>
      <c r="L687" s="119">
        <v>13.700000000000049</v>
      </c>
      <c r="M687" s="117">
        <v>1524.0750804984661</v>
      </c>
    </row>
    <row r="688" spans="11:13" x14ac:dyDescent="0.4">
      <c r="K688" s="74">
        <v>686</v>
      </c>
      <c r="L688" s="119">
        <v>-9.9999999999951683E-2</v>
      </c>
      <c r="M688" s="117">
        <v>1521.7946300154754</v>
      </c>
    </row>
    <row r="689" spans="11:13" x14ac:dyDescent="0.4">
      <c r="K689" s="74">
        <v>687</v>
      </c>
      <c r="L689" s="119">
        <v>4.8322457146809938E-14</v>
      </c>
      <c r="M689" s="117">
        <v>1522.0298622353826</v>
      </c>
    </row>
    <row r="690" spans="11:13" x14ac:dyDescent="0.4">
      <c r="K690" s="74">
        <v>688</v>
      </c>
      <c r="L690" s="119">
        <v>0.30000000000004834</v>
      </c>
      <c r="M690" s="117">
        <v>1522.2396830619703</v>
      </c>
    </row>
    <row r="691" spans="11:13" x14ac:dyDescent="0.4">
      <c r="K691" s="74">
        <v>689</v>
      </c>
      <c r="L691" s="119">
        <v>-16.599999999999952</v>
      </c>
      <c r="M691" s="117">
        <v>1519.3522449635984</v>
      </c>
    </row>
    <row r="692" spans="11:13" x14ac:dyDescent="0.4">
      <c r="K692" s="74">
        <v>690</v>
      </c>
      <c r="L692" s="119">
        <v>4.9737991503207013E-14</v>
      </c>
      <c r="M692" s="117">
        <v>1522.5121314938169</v>
      </c>
    </row>
    <row r="693" spans="11:13" x14ac:dyDescent="0.4">
      <c r="K693" s="74">
        <v>691</v>
      </c>
      <c r="L693" s="119">
        <v>-5.3999999999999506</v>
      </c>
      <c r="M693" s="117">
        <v>1521.6930587048539</v>
      </c>
    </row>
    <row r="694" spans="11:13" x14ac:dyDescent="0.4">
      <c r="K694" s="74">
        <v>692</v>
      </c>
      <c r="L694" s="119">
        <v>-30.799999999999947</v>
      </c>
      <c r="M694" s="117">
        <v>1517.2789003526248</v>
      </c>
    </row>
    <row r="695" spans="11:13" x14ac:dyDescent="0.4">
      <c r="K695" s="74">
        <v>693</v>
      </c>
      <c r="L695" s="119">
        <v>5.3290705182007514E-14</v>
      </c>
      <c r="M695" s="117">
        <v>1523.007226950509</v>
      </c>
    </row>
    <row r="696" spans="11:13" x14ac:dyDescent="0.4">
      <c r="K696" s="74">
        <v>694</v>
      </c>
      <c r="L696" s="119">
        <v>-43.199999999999946</v>
      </c>
      <c r="M696" s="117">
        <v>1515.225183588806</v>
      </c>
    </row>
    <row r="697" spans="11:13" x14ac:dyDescent="0.4">
      <c r="K697" s="74">
        <v>695</v>
      </c>
      <c r="L697" s="119">
        <v>-63.699999999999946</v>
      </c>
      <c r="M697" s="117">
        <v>1511.5758324872731</v>
      </c>
    </row>
    <row r="698" spans="11:13" x14ac:dyDescent="0.4">
      <c r="K698" s="74">
        <v>696</v>
      </c>
      <c r="L698" s="119">
        <v>5.6843418860808015E-14</v>
      </c>
      <c r="M698" s="117">
        <v>1523.1043774923496</v>
      </c>
    </row>
    <row r="699" spans="11:13" x14ac:dyDescent="0.4">
      <c r="K699" s="74">
        <v>697</v>
      </c>
      <c r="L699" s="119">
        <v>18.200000000000056</v>
      </c>
      <c r="M699" s="117">
        <v>1526.4637512273955</v>
      </c>
    </row>
    <row r="700" spans="11:13" x14ac:dyDescent="0.4">
      <c r="K700" s="74">
        <v>698</v>
      </c>
      <c r="L700" s="119">
        <v>-12.499999999999943</v>
      </c>
      <c r="M700" s="117">
        <v>1521.0009687200311</v>
      </c>
    </row>
    <row r="701" spans="11:13" x14ac:dyDescent="0.4">
      <c r="K701" s="74">
        <v>699</v>
      </c>
      <c r="L701" s="119">
        <v>5.6843418860808015E-14</v>
      </c>
      <c r="M701" s="117">
        <v>1523.3469629077108</v>
      </c>
    </row>
    <row r="702" spans="11:13" x14ac:dyDescent="0.4">
      <c r="K702" s="74">
        <v>700</v>
      </c>
      <c r="L702" s="119">
        <v>22.800000000000058</v>
      </c>
      <c r="M702" s="117">
        <v>1527.5328811302645</v>
      </c>
    </row>
    <row r="703" spans="11:13" x14ac:dyDescent="0.4">
      <c r="K703" s="74">
        <v>701</v>
      </c>
      <c r="L703" s="119">
        <v>-17.199999999999942</v>
      </c>
      <c r="M703" s="117">
        <v>1520.389683843483</v>
      </c>
    </row>
    <row r="704" spans="11:13" x14ac:dyDescent="0.4">
      <c r="K704" s="74">
        <v>702</v>
      </c>
      <c r="L704" s="119">
        <v>5.6843418860808015E-14</v>
      </c>
      <c r="M704" s="117">
        <v>1523.5853457404221</v>
      </c>
    </row>
    <row r="705" spans="11:13" x14ac:dyDescent="0.4">
      <c r="K705" s="74">
        <v>703</v>
      </c>
      <c r="L705" s="119">
        <v>8.1000000000000565</v>
      </c>
      <c r="M705" s="117">
        <v>1525.1238336659796</v>
      </c>
    </row>
    <row r="706" spans="11:13" x14ac:dyDescent="0.4">
      <c r="K706" s="74">
        <v>704</v>
      </c>
      <c r="L706" s="119">
        <v>30.600000000000058</v>
      </c>
      <c r="M706" s="117">
        <v>1529.2450906639838</v>
      </c>
    </row>
    <row r="707" spans="11:13" x14ac:dyDescent="0.4">
      <c r="K707" s="74">
        <v>705</v>
      </c>
      <c r="L707" s="119">
        <v>5.6843418860808015E-14</v>
      </c>
      <c r="M707" s="117">
        <v>1523.7836201199998</v>
      </c>
    </row>
    <row r="708" spans="11:13" x14ac:dyDescent="0.4">
      <c r="K708" s="74">
        <v>706</v>
      </c>
      <c r="L708" s="119">
        <v>5.0000000000000568</v>
      </c>
      <c r="M708" s="117">
        <v>1524.8469183992797</v>
      </c>
    </row>
    <row r="709" spans="11:13" x14ac:dyDescent="0.4">
      <c r="K709" s="74">
        <v>707</v>
      </c>
      <c r="L709" s="119">
        <v>-23.799999999999944</v>
      </c>
      <c r="M709" s="117">
        <v>1519.8198368888841</v>
      </c>
    </row>
    <row r="710" spans="11:13" x14ac:dyDescent="0.4">
      <c r="K710" s="74">
        <v>708</v>
      </c>
      <c r="L710" s="119">
        <v>5.6843418860808015E-14</v>
      </c>
      <c r="M710" s="117">
        <v>1524.2909178675509</v>
      </c>
    </row>
    <row r="711" spans="11:13" x14ac:dyDescent="0.4">
      <c r="K711" s="74">
        <v>709</v>
      </c>
      <c r="L711" s="119">
        <v>-38.999999999999943</v>
      </c>
      <c r="M711" s="117">
        <v>1517.1671723603456</v>
      </c>
    </row>
    <row r="712" spans="11:13" x14ac:dyDescent="0.4">
      <c r="K712" s="74">
        <v>710</v>
      </c>
      <c r="L712" s="119">
        <v>-23.499999999999943</v>
      </c>
      <c r="M712" s="117">
        <v>1519.8961693261836</v>
      </c>
    </row>
    <row r="713" spans="11:13" x14ac:dyDescent="0.4">
      <c r="K713" s="74">
        <v>711</v>
      </c>
      <c r="L713" s="119">
        <v>5.6843418860808015E-14</v>
      </c>
      <c r="M713" s="117">
        <v>1524.0487923102264</v>
      </c>
    </row>
    <row r="714" spans="11:13" x14ac:dyDescent="0.4">
      <c r="K714" s="74">
        <v>712</v>
      </c>
      <c r="L714" s="119">
        <v>7.5000000000000568</v>
      </c>
      <c r="M714" s="117">
        <v>1525.074499556365</v>
      </c>
    </row>
    <row r="715" spans="11:13" x14ac:dyDescent="0.4">
      <c r="K715" s="74">
        <v>713</v>
      </c>
      <c r="L715" s="119">
        <v>50.500000000000057</v>
      </c>
      <c r="M715" s="117">
        <v>1532.4840525590268</v>
      </c>
    </row>
    <row r="716" spans="11:13" x14ac:dyDescent="0.4">
      <c r="K716" s="74">
        <v>714</v>
      </c>
      <c r="L716" s="119">
        <v>5.6843418860808015E-14</v>
      </c>
      <c r="M716" s="117">
        <v>1523.0191482436726</v>
      </c>
    </row>
    <row r="717" spans="11:13" x14ac:dyDescent="0.4">
      <c r="K717" s="74">
        <v>715</v>
      </c>
      <c r="L717" s="119">
        <v>17.800000000000058</v>
      </c>
      <c r="M717" s="117">
        <v>1525.9050333542104</v>
      </c>
    </row>
    <row r="718" spans="11:13" x14ac:dyDescent="0.4">
      <c r="K718" s="74">
        <v>716</v>
      </c>
      <c r="L718" s="119">
        <v>-1.7999999999999439</v>
      </c>
      <c r="M718" s="117">
        <v>1522.0416031540851</v>
      </c>
    </row>
    <row r="719" spans="11:13" x14ac:dyDescent="0.4">
      <c r="K719" s="74">
        <v>717</v>
      </c>
      <c r="L719" s="119">
        <v>5.6177285046032921E-14</v>
      </c>
      <c r="M719" s="117">
        <v>1522.0533535351606</v>
      </c>
    </row>
    <row r="720" spans="11:13" x14ac:dyDescent="0.4">
      <c r="K720" s="74">
        <v>718</v>
      </c>
      <c r="L720" s="119">
        <v>8.2000000000000561</v>
      </c>
      <c r="M720" s="117">
        <v>1523.8170334139495</v>
      </c>
    </row>
    <row r="721" spans="11:13" x14ac:dyDescent="0.4">
      <c r="K721" s="74">
        <v>719</v>
      </c>
      <c r="L721" s="119">
        <v>-13.599999999999945</v>
      </c>
      <c r="M721" s="117">
        <v>1520.1701312134658</v>
      </c>
    </row>
    <row r="722" spans="11:13" x14ac:dyDescent="0.4">
      <c r="K722" s="74">
        <v>720</v>
      </c>
      <c r="L722" s="119">
        <v>5.5067062021407764E-14</v>
      </c>
      <c r="M722" s="117">
        <v>1522.917110426185</v>
      </c>
    </row>
    <row r="723" spans="11:13" x14ac:dyDescent="0.4">
      <c r="K723" s="74">
        <v>721</v>
      </c>
      <c r="L723" s="119">
        <v>13.000000000000055</v>
      </c>
      <c r="M723" s="117">
        <v>1525.5396077636278</v>
      </c>
    </row>
    <row r="724" spans="11:13" x14ac:dyDescent="0.4">
      <c r="K724" s="74">
        <v>722</v>
      </c>
      <c r="L724" s="119">
        <v>15.100000000000055</v>
      </c>
      <c r="M724" s="117">
        <v>1526.184370117046</v>
      </c>
    </row>
    <row r="725" spans="11:13" x14ac:dyDescent="0.4">
      <c r="K725" s="74">
        <v>723</v>
      </c>
      <c r="L725" s="119">
        <v>5.5067062021407764E-14</v>
      </c>
      <c r="M725" s="117">
        <v>1523.7292638963438</v>
      </c>
    </row>
    <row r="726" spans="11:13" x14ac:dyDescent="0.4">
      <c r="K726" s="74">
        <v>724</v>
      </c>
      <c r="L726" s="119">
        <v>-39.099999999999945</v>
      </c>
      <c r="M726" s="117">
        <v>1516.1888883129657</v>
      </c>
    </row>
    <row r="727" spans="11:13" x14ac:dyDescent="0.4">
      <c r="K727" s="74">
        <v>725</v>
      </c>
      <c r="L727" s="119">
        <v>-51.29999999999994</v>
      </c>
      <c r="M727" s="117">
        <v>1513.5357549830878</v>
      </c>
    </row>
    <row r="728" spans="11:13" x14ac:dyDescent="0.4">
      <c r="K728" s="74">
        <v>726</v>
      </c>
      <c r="L728" s="119">
        <v>5.6843418860808015E-14</v>
      </c>
      <c r="M728" s="117">
        <v>1522.3285404531894</v>
      </c>
    </row>
    <row r="729" spans="11:13" x14ac:dyDescent="0.4">
      <c r="K729" s="74">
        <v>727</v>
      </c>
      <c r="L729" s="119">
        <v>36.900000000000055</v>
      </c>
      <c r="M729" s="117">
        <v>1528.4765692104702</v>
      </c>
    </row>
    <row r="730" spans="11:13" x14ac:dyDescent="0.4">
      <c r="K730" s="74">
        <v>728</v>
      </c>
      <c r="L730" s="119">
        <v>25.100000000000055</v>
      </c>
      <c r="M730" s="117">
        <v>1525.8217097952074</v>
      </c>
    </row>
    <row r="731" spans="11:13" x14ac:dyDescent="0.4">
      <c r="K731" s="74">
        <v>729</v>
      </c>
      <c r="L731" s="119">
        <v>5.3290705182007514E-14</v>
      </c>
      <c r="M731" s="117">
        <v>1520.7887795364361</v>
      </c>
    </row>
    <row r="732" spans="11:13" x14ac:dyDescent="0.4">
      <c r="K732" s="74">
        <v>730</v>
      </c>
      <c r="L732" s="119">
        <v>11.000000000000053</v>
      </c>
      <c r="M732" s="117">
        <v>1522.4460468592174</v>
      </c>
    </row>
    <row r="733" spans="11:13" x14ac:dyDescent="0.4">
      <c r="K733" s="74">
        <v>731</v>
      </c>
      <c r="L733" s="119">
        <v>-0.49999999999994671</v>
      </c>
      <c r="M733" s="117">
        <v>1520.0433705780622</v>
      </c>
    </row>
    <row r="734" spans="11:13" x14ac:dyDescent="0.4">
      <c r="K734" s="74">
        <v>732</v>
      </c>
      <c r="L734" s="119">
        <v>5.3290705182007514E-14</v>
      </c>
      <c r="M734" s="117">
        <v>1519.8151103545938</v>
      </c>
    </row>
    <row r="735" spans="11:13" x14ac:dyDescent="0.4">
      <c r="K735" s="74">
        <v>733</v>
      </c>
      <c r="L735" s="119">
        <v>-36.999999999999943</v>
      </c>
      <c r="M735" s="117">
        <v>1513.0422196924662</v>
      </c>
    </row>
    <row r="736" spans="11:13" x14ac:dyDescent="0.4">
      <c r="K736" s="74">
        <v>734</v>
      </c>
      <c r="L736" s="119">
        <v>-32.999999999999943</v>
      </c>
      <c r="M736" s="117">
        <v>1513.6899663743113</v>
      </c>
    </row>
    <row r="737" spans="11:13" x14ac:dyDescent="0.4">
      <c r="K737" s="74">
        <v>735</v>
      </c>
      <c r="L737" s="119">
        <v>5.6843418860808015E-14</v>
      </c>
      <c r="M737" s="117">
        <v>1519.5538265760654</v>
      </c>
    </row>
    <row r="738" spans="11:13" x14ac:dyDescent="0.4">
      <c r="K738" s="74">
        <v>736</v>
      </c>
      <c r="L738" s="119">
        <v>10.300000000000058</v>
      </c>
      <c r="M738" s="117">
        <v>1521.296503616609</v>
      </c>
    </row>
    <row r="739" spans="11:13" x14ac:dyDescent="0.4">
      <c r="K739" s="74">
        <v>737</v>
      </c>
      <c r="L739" s="119">
        <v>10.000000000000057</v>
      </c>
      <c r="M739" s="117">
        <v>1521.1207245949095</v>
      </c>
    </row>
    <row r="740" spans="11:13" x14ac:dyDescent="0.4">
      <c r="K740" s="74">
        <v>738</v>
      </c>
      <c r="L740" s="119">
        <v>5.6843418860808015E-14</v>
      </c>
      <c r="M740" s="117">
        <v>1519.2000002473401</v>
      </c>
    </row>
    <row r="741" spans="11:13" x14ac:dyDescent="0.4">
      <c r="K741" s="74">
        <v>739</v>
      </c>
      <c r="L741" s="119">
        <v>10.100000000000056</v>
      </c>
      <c r="M741" s="117">
        <v>1521.2448002458561</v>
      </c>
    </row>
    <row r="742" spans="11:13" x14ac:dyDescent="0.4">
      <c r="K742" s="74">
        <v>740</v>
      </c>
      <c r="L742" s="119">
        <v>34.20000000000006</v>
      </c>
      <c r="M742" s="117">
        <v>1525.7973314443809</v>
      </c>
    </row>
    <row r="743" spans="11:13" x14ac:dyDescent="0.4">
      <c r="K743" s="74">
        <v>741</v>
      </c>
      <c r="L743" s="119">
        <v>5.6843418860808015E-14</v>
      </c>
      <c r="M743" s="117">
        <v>1519.8285474557147</v>
      </c>
    </row>
    <row r="744" spans="11:13" x14ac:dyDescent="0.4">
      <c r="K744" s="74">
        <v>742</v>
      </c>
      <c r="L744" s="119">
        <v>21.700000000000056</v>
      </c>
      <c r="M744" s="117">
        <v>1523.9515761709804</v>
      </c>
    </row>
    <row r="745" spans="11:13" x14ac:dyDescent="0.4">
      <c r="K745" s="74">
        <v>743</v>
      </c>
      <c r="L745" s="119">
        <v>46.20000000000006</v>
      </c>
      <c r="M745" s="117">
        <v>1528.5538667139544</v>
      </c>
    </row>
    <row r="746" spans="11:13" x14ac:dyDescent="0.4">
      <c r="K746" s="74">
        <v>744</v>
      </c>
      <c r="L746" s="119">
        <v>5.6843418860808015E-14</v>
      </c>
      <c r="M746" s="117">
        <v>1520.4025435136707</v>
      </c>
    </row>
    <row r="747" spans="11:13" x14ac:dyDescent="0.4">
      <c r="K747" s="74">
        <v>745</v>
      </c>
      <c r="L747" s="119">
        <v>-40.399999999999942</v>
      </c>
      <c r="M747" s="117">
        <v>1513.0561282525887</v>
      </c>
    </row>
    <row r="748" spans="11:13" x14ac:dyDescent="0.4">
      <c r="K748" s="74">
        <v>746</v>
      </c>
      <c r="L748" s="119">
        <v>0.90000000000005542</v>
      </c>
      <c r="M748" s="117">
        <v>1520.4597914830731</v>
      </c>
    </row>
    <row r="749" spans="11:13" x14ac:dyDescent="0.4">
      <c r="K749" s="74">
        <v>747</v>
      </c>
      <c r="L749" s="119">
        <v>5.5400128928795311E-14</v>
      </c>
      <c r="M749" s="117">
        <v>1520.2230327341747</v>
      </c>
    </row>
    <row r="750" spans="11:13" x14ac:dyDescent="0.4">
      <c r="K750" s="74">
        <v>748</v>
      </c>
      <c r="L750" s="119">
        <v>5.6000000000000547</v>
      </c>
      <c r="M750" s="117">
        <v>1520.9536945377697</v>
      </c>
    </row>
    <row r="751" spans="11:13" x14ac:dyDescent="0.4">
      <c r="K751" s="74">
        <v>749</v>
      </c>
      <c r="L751" s="119">
        <v>17.000000000000057</v>
      </c>
      <c r="M751" s="117">
        <v>1522.7239723705432</v>
      </c>
    </row>
    <row r="752" spans="11:13" x14ac:dyDescent="0.4">
      <c r="K752" s="74">
        <v>750</v>
      </c>
      <c r="L752" s="119">
        <v>5.6843418860808015E-14</v>
      </c>
      <c r="M752" s="117">
        <v>1519.3716285363198</v>
      </c>
    </row>
    <row r="753" spans="11:13" x14ac:dyDescent="0.4">
      <c r="K753" s="74">
        <v>751</v>
      </c>
      <c r="L753" s="119">
        <v>-48.999999999999943</v>
      </c>
      <c r="M753" s="117">
        <v>1510.2793987651019</v>
      </c>
    </row>
    <row r="754" spans="11:13" x14ac:dyDescent="0.4">
      <c r="K754" s="74">
        <v>752</v>
      </c>
      <c r="L754" s="119">
        <v>-32.499999999999943</v>
      </c>
      <c r="M754" s="117">
        <v>1513.0317223725112</v>
      </c>
    </row>
    <row r="755" spans="11:13" x14ac:dyDescent="0.4">
      <c r="K755" s="74">
        <v>753</v>
      </c>
      <c r="L755" s="119">
        <v>5.6843418860808015E-14</v>
      </c>
      <c r="M755" s="117">
        <v>1518.6475320382763</v>
      </c>
    </row>
    <row r="756" spans="11:13" x14ac:dyDescent="0.4">
      <c r="K756" s="74">
        <v>754</v>
      </c>
      <c r="L756" s="119">
        <v>52.100000000000058</v>
      </c>
      <c r="M756" s="117">
        <v>1528.2076468460466</v>
      </c>
    </row>
    <row r="757" spans="11:13" x14ac:dyDescent="0.4">
      <c r="K757" s="74">
        <v>755</v>
      </c>
      <c r="L757" s="119">
        <v>36.70000000000006</v>
      </c>
      <c r="M757" s="117">
        <v>1525.5604009649703</v>
      </c>
    </row>
    <row r="758" spans="11:13" x14ac:dyDescent="0.4">
      <c r="K758" s="74">
        <v>756</v>
      </c>
      <c r="L758" s="119">
        <v>5.6843418860808015E-14</v>
      </c>
      <c r="M758" s="117">
        <v>1519.0950385591805</v>
      </c>
    </row>
    <row r="759" spans="11:13" x14ac:dyDescent="0.4">
      <c r="K759" s="74">
        <v>757</v>
      </c>
      <c r="L759" s="119">
        <v>4.5000000000000568</v>
      </c>
      <c r="M759" s="117">
        <v>1520.0844683278253</v>
      </c>
    </row>
    <row r="760" spans="11:13" x14ac:dyDescent="0.4">
      <c r="K760" s="74">
        <v>758</v>
      </c>
      <c r="L760" s="119">
        <v>47.000000000000057</v>
      </c>
      <c r="M760" s="117">
        <v>1527.9079615178584</v>
      </c>
    </row>
    <row r="761" spans="11:13" x14ac:dyDescent="0.4">
      <c r="K761" s="74">
        <v>759</v>
      </c>
      <c r="L761" s="119">
        <v>5.6843418860808015E-14</v>
      </c>
      <c r="M761" s="117">
        <v>1519.5745137487513</v>
      </c>
    </row>
    <row r="762" spans="11:13" x14ac:dyDescent="0.4">
      <c r="K762" s="74">
        <v>760</v>
      </c>
      <c r="L762" s="119">
        <v>-14.999999999999943</v>
      </c>
      <c r="M762" s="117">
        <v>1516.8890666662587</v>
      </c>
    </row>
    <row r="763" spans="11:13" x14ac:dyDescent="0.4">
      <c r="K763" s="74">
        <v>761</v>
      </c>
      <c r="L763" s="119">
        <v>-58.199999999999946</v>
      </c>
      <c r="M763" s="117">
        <v>1509.1437322662612</v>
      </c>
    </row>
    <row r="764" spans="11:13" x14ac:dyDescent="0.4">
      <c r="K764" s="74">
        <v>762</v>
      </c>
      <c r="L764" s="119">
        <v>5.6843418860808015E-14</v>
      </c>
      <c r="M764" s="117">
        <v>1519.6968698726637</v>
      </c>
    </row>
    <row r="765" spans="11:13" x14ac:dyDescent="0.4">
      <c r="K765" s="74">
        <v>763</v>
      </c>
      <c r="L765" s="119">
        <v>7.8000000000000567</v>
      </c>
      <c r="M765" s="117">
        <v>1521.1146886534277</v>
      </c>
    </row>
    <row r="766" spans="11:13" x14ac:dyDescent="0.4">
      <c r="K766" s="74">
        <v>764</v>
      </c>
      <c r="L766" s="119">
        <v>16.800000000000058</v>
      </c>
      <c r="M766" s="117">
        <v>1522.7400005215072</v>
      </c>
    </row>
    <row r="767" spans="11:13" x14ac:dyDescent="0.4">
      <c r="K767" s="74">
        <v>765</v>
      </c>
      <c r="L767" s="119">
        <v>5.6843418860808015E-14</v>
      </c>
      <c r="M767" s="117">
        <v>1519.7115605183783</v>
      </c>
    </row>
    <row r="768" spans="11:13" x14ac:dyDescent="0.4">
      <c r="K768" s="74">
        <v>766</v>
      </c>
      <c r="L768" s="119">
        <v>18.600000000000058</v>
      </c>
      <c r="M768" s="117">
        <v>1523.073291155268</v>
      </c>
    </row>
    <row r="769" spans="11:13" x14ac:dyDescent="0.4">
      <c r="K769" s="74">
        <v>767</v>
      </c>
      <c r="L769" s="119">
        <v>16.600000000000058</v>
      </c>
      <c r="M769" s="117">
        <v>1522.7068514083364</v>
      </c>
    </row>
    <row r="770" spans="11:13" x14ac:dyDescent="0.4">
      <c r="K770" s="74">
        <v>768</v>
      </c>
      <c r="L770" s="119">
        <v>5.6843418860808015E-14</v>
      </c>
      <c r="M770" s="117">
        <v>1519.7146102998863</v>
      </c>
    </row>
    <row r="771" spans="11:13" x14ac:dyDescent="0.4">
      <c r="K771" s="74">
        <v>769</v>
      </c>
      <c r="L771" s="119">
        <v>6.200000000000057</v>
      </c>
      <c r="M771" s="117">
        <v>1521.0423226380869</v>
      </c>
    </row>
    <row r="772" spans="11:13" x14ac:dyDescent="0.4">
      <c r="K772" s="74">
        <v>770</v>
      </c>
      <c r="L772" s="119">
        <v>10.700000000000056</v>
      </c>
      <c r="M772" s="117">
        <v>1522.0560687022585</v>
      </c>
    </row>
    <row r="773" spans="11:13" x14ac:dyDescent="0.4">
      <c r="K773" s="74">
        <v>771</v>
      </c>
      <c r="L773" s="119">
        <v>5.6843418860808015E-14</v>
      </c>
      <c r="M773" s="117">
        <v>1520.3277322900449</v>
      </c>
    </row>
    <row r="774" spans="11:13" x14ac:dyDescent="0.4">
      <c r="K774" s="74">
        <v>772</v>
      </c>
      <c r="L774" s="119">
        <v>12.600000000000056</v>
      </c>
      <c r="M774" s="117">
        <v>1522.8037658963046</v>
      </c>
    </row>
    <row r="775" spans="11:13" x14ac:dyDescent="0.4">
      <c r="K775" s="74">
        <v>773</v>
      </c>
      <c r="L775" s="119">
        <v>13.400000000000057</v>
      </c>
      <c r="M775" s="117">
        <v>1523.1409433009269</v>
      </c>
    </row>
    <row r="776" spans="11:13" x14ac:dyDescent="0.4">
      <c r="K776" s="74">
        <v>774</v>
      </c>
      <c r="L776" s="119">
        <v>5.6843418860808015E-14</v>
      </c>
      <c r="M776" s="117">
        <v>1520.9200976411214</v>
      </c>
    </row>
    <row r="777" spans="11:13" x14ac:dyDescent="0.4">
      <c r="K777" s="74">
        <v>775</v>
      </c>
      <c r="L777" s="119">
        <v>4.0000000000000568</v>
      </c>
      <c r="M777" s="117">
        <v>1521.4305770552746</v>
      </c>
    </row>
    <row r="778" spans="11:13" x14ac:dyDescent="0.4">
      <c r="K778" s="74">
        <v>776</v>
      </c>
      <c r="L778" s="119">
        <v>-33.29999999999994</v>
      </c>
      <c r="M778" s="117">
        <v>1514.5039935929431</v>
      </c>
    </row>
    <row r="779" spans="11:13" x14ac:dyDescent="0.4">
      <c r="K779" s="74">
        <v>777</v>
      </c>
      <c r="L779" s="119">
        <v>5.6843418860808015E-14</v>
      </c>
      <c r="M779" s="117">
        <v>1520.3269696313855</v>
      </c>
    </row>
    <row r="780" spans="11:13" x14ac:dyDescent="0.4">
      <c r="K780" s="74">
        <v>778</v>
      </c>
      <c r="L780" s="119">
        <v>35.000000000000057</v>
      </c>
      <c r="M780" s="117">
        <v>1526.4150078135972</v>
      </c>
    </row>
    <row r="781" spans="11:13" x14ac:dyDescent="0.4">
      <c r="K781" s="74">
        <v>779</v>
      </c>
      <c r="L781" s="119">
        <v>-0.49999999999994316</v>
      </c>
      <c r="M781" s="117">
        <v>1519.7765177667156</v>
      </c>
    </row>
    <row r="782" spans="11:13" x14ac:dyDescent="0.4">
      <c r="K782" s="74">
        <v>780</v>
      </c>
      <c r="L782" s="119">
        <v>5.6843418860808015E-14</v>
      </c>
      <c r="M782" s="117">
        <v>1519.6578586601154</v>
      </c>
    </row>
    <row r="783" spans="11:13" x14ac:dyDescent="0.4">
      <c r="K783" s="74">
        <v>781</v>
      </c>
      <c r="L783" s="119">
        <v>13.400000000000057</v>
      </c>
      <c r="M783" s="117">
        <v>1522.2699115081548</v>
      </c>
    </row>
    <row r="784" spans="11:13" x14ac:dyDescent="0.4">
      <c r="K784" s="74">
        <v>782</v>
      </c>
      <c r="L784" s="119">
        <v>22.400000000000055</v>
      </c>
      <c r="M784" s="117">
        <v>1524.0742920391058</v>
      </c>
    </row>
    <row r="785" spans="11:13" x14ac:dyDescent="0.4">
      <c r="K785" s="74">
        <v>783</v>
      </c>
      <c r="L785" s="119">
        <v>5.6843418860808015E-14</v>
      </c>
      <c r="M785" s="117">
        <v>1520.2158462868711</v>
      </c>
    </row>
    <row r="786" spans="11:13" x14ac:dyDescent="0.4">
      <c r="K786" s="74">
        <v>784</v>
      </c>
      <c r="L786" s="119">
        <v>6.1000000000000565</v>
      </c>
      <c r="M786" s="117">
        <v>1521.3425512091499</v>
      </c>
    </row>
    <row r="787" spans="11:13" x14ac:dyDescent="0.4">
      <c r="K787" s="74">
        <v>785</v>
      </c>
      <c r="L787" s="119">
        <v>0.80000000000005667</v>
      </c>
      <c r="M787" s="117">
        <v>1520.410495901895</v>
      </c>
    </row>
    <row r="788" spans="11:13" x14ac:dyDescent="0.4">
      <c r="K788" s="74">
        <v>786</v>
      </c>
      <c r="L788" s="119">
        <v>5.6621374255882984E-14</v>
      </c>
      <c r="M788" s="117">
        <v>1520.2940329264836</v>
      </c>
    </row>
    <row r="789" spans="11:13" x14ac:dyDescent="0.4">
      <c r="K789" s="74">
        <v>787</v>
      </c>
      <c r="L789" s="119">
        <v>66.70000000000006</v>
      </c>
      <c r="M789" s="117">
        <v>1532.5082687289248</v>
      </c>
    </row>
    <row r="790" spans="11:13" x14ac:dyDescent="0.4">
      <c r="K790" s="74">
        <v>788</v>
      </c>
      <c r="L790" s="119">
        <v>7.8000000000000611</v>
      </c>
      <c r="M790" s="117">
        <v>1522.0412191165512</v>
      </c>
    </row>
    <row r="791" spans="11:13" x14ac:dyDescent="0.4">
      <c r="K791" s="74">
        <v>789</v>
      </c>
      <c r="L791" s="119">
        <v>6.1284310959308641E-14</v>
      </c>
      <c r="M791" s="117">
        <v>1520.8349718018519</v>
      </c>
    </row>
    <row r="792" spans="11:13" x14ac:dyDescent="0.4">
      <c r="K792" s="74">
        <v>790</v>
      </c>
      <c r="L792" s="119">
        <v>-38.099999999999937</v>
      </c>
      <c r="M792" s="117">
        <v>1514.1759619710408</v>
      </c>
    </row>
    <row r="793" spans="11:13" x14ac:dyDescent="0.4">
      <c r="K793" s="74">
        <v>791</v>
      </c>
      <c r="L793" s="119">
        <v>2.6000000000000654</v>
      </c>
      <c r="M793" s="117">
        <v>1521.7409061992146</v>
      </c>
    </row>
    <row r="794" spans="11:13" x14ac:dyDescent="0.4">
      <c r="K794" s="74">
        <v>792</v>
      </c>
      <c r="L794" s="119">
        <v>6.5281113847959205E-14</v>
      </c>
      <c r="M794" s="117">
        <v>1521.4664607620193</v>
      </c>
    </row>
    <row r="795" spans="11:13" x14ac:dyDescent="0.4">
      <c r="K795" s="74">
        <v>793</v>
      </c>
      <c r="L795" s="119">
        <v>23.000000000000064</v>
      </c>
      <c r="M795" s="117">
        <v>1525.8016619974471</v>
      </c>
    </row>
    <row r="796" spans="11:13" x14ac:dyDescent="0.4">
      <c r="K796" s="74">
        <v>794</v>
      </c>
      <c r="L796" s="119">
        <v>14.500000000000064</v>
      </c>
      <c r="M796" s="117">
        <v>1524.4408520254624</v>
      </c>
    </row>
    <row r="797" spans="11:13" x14ac:dyDescent="0.4">
      <c r="K797" s="74">
        <v>795</v>
      </c>
      <c r="L797" s="119">
        <v>6.3948846218409017E-14</v>
      </c>
      <c r="M797" s="117">
        <v>1522.0082069133096</v>
      </c>
    </row>
    <row r="798" spans="11:13" x14ac:dyDescent="0.4">
      <c r="K798" s="74">
        <v>796</v>
      </c>
      <c r="L798" s="119">
        <v>9.5000000000000639</v>
      </c>
      <c r="M798" s="117">
        <v>1523.8321576718297</v>
      </c>
    </row>
    <row r="799" spans="11:13" x14ac:dyDescent="0.4">
      <c r="K799" s="74">
        <v>797</v>
      </c>
      <c r="L799" s="119">
        <v>-1.7999999999999368</v>
      </c>
      <c r="M799" s="117">
        <v>1521.9011647257987</v>
      </c>
    </row>
    <row r="800" spans="11:13" x14ac:dyDescent="0.4">
      <c r="K800" s="74">
        <v>798</v>
      </c>
      <c r="L800" s="119">
        <v>6.3282712403633923E-14</v>
      </c>
      <c r="M800" s="117">
        <v>1522.339757737444</v>
      </c>
    </row>
    <row r="801" spans="11:13" x14ac:dyDescent="0.4">
      <c r="K801" s="74">
        <v>799</v>
      </c>
      <c r="L801" s="119">
        <v>5.0000000000000631</v>
      </c>
      <c r="M801" s="117">
        <v>1523.3517191910194</v>
      </c>
    </row>
    <row r="802" spans="11:13" x14ac:dyDescent="0.4">
      <c r="K802" s="74">
        <v>800</v>
      </c>
      <c r="L802" s="119">
        <v>5.7000000000000632</v>
      </c>
      <c r="M802" s="117">
        <v>1523.5836088758733</v>
      </c>
    </row>
    <row r="803" spans="11:13" x14ac:dyDescent="0.4">
      <c r="K803" s="74">
        <v>801</v>
      </c>
      <c r="L803" s="119">
        <v>6.3060667798708891E-14</v>
      </c>
      <c r="M803" s="117">
        <v>1522.662107222618</v>
      </c>
    </row>
    <row r="804" spans="11:13" x14ac:dyDescent="0.4">
      <c r="K804" s="74">
        <v>802</v>
      </c>
      <c r="L804" s="119">
        <v>7.8000000000000629</v>
      </c>
      <c r="M804" s="117">
        <v>1524.1761345792822</v>
      </c>
    </row>
    <row r="805" spans="11:13" x14ac:dyDescent="0.4">
      <c r="K805" s="74">
        <v>803</v>
      </c>
      <c r="L805" s="119">
        <v>-31.699999999999939</v>
      </c>
      <c r="M805" s="117">
        <v>1517.1670777718066</v>
      </c>
    </row>
    <row r="806" spans="11:13" x14ac:dyDescent="0.4">
      <c r="K806" s="74">
        <v>804</v>
      </c>
      <c r="L806" s="119">
        <v>6.0396132539608516E-14</v>
      </c>
      <c r="M806" s="117">
        <v>1523.0160753051757</v>
      </c>
    </row>
    <row r="807" spans="11:13" x14ac:dyDescent="0.4">
      <c r="K807" s="74">
        <v>805</v>
      </c>
      <c r="L807" s="119">
        <v>42.300000000000054</v>
      </c>
      <c r="M807" s="117">
        <v>1530.7439788533447</v>
      </c>
    </row>
    <row r="808" spans="11:13" x14ac:dyDescent="0.4">
      <c r="K808" s="74">
        <v>806</v>
      </c>
      <c r="L808" s="119">
        <v>-2.9999999999999432</v>
      </c>
      <c r="M808" s="117">
        <v>1522.6575149802247</v>
      </c>
    </row>
    <row r="809" spans="11:13" x14ac:dyDescent="0.4">
      <c r="K809" s="74">
        <v>807</v>
      </c>
      <c r="L809" s="119">
        <v>5.6843418860808015E-14</v>
      </c>
      <c r="M809" s="117">
        <v>1523.3135698903434</v>
      </c>
    </row>
    <row r="810" spans="11:13" x14ac:dyDescent="0.4">
      <c r="K810" s="74">
        <v>808</v>
      </c>
      <c r="L810" s="119">
        <v>40.70000000000006</v>
      </c>
      <c r="M810" s="117">
        <v>1530.7456884710014</v>
      </c>
    </row>
    <row r="811" spans="11:13" x14ac:dyDescent="0.4">
      <c r="K811" s="74">
        <v>809</v>
      </c>
      <c r="L811" s="119">
        <v>13.00000000000006</v>
      </c>
      <c r="M811" s="117">
        <v>1525.8212143401754</v>
      </c>
    </row>
    <row r="812" spans="11:13" x14ac:dyDescent="0.4">
      <c r="K812" s="74">
        <v>810</v>
      </c>
      <c r="L812" s="119">
        <v>6.0396132539608516E-14</v>
      </c>
      <c r="M812" s="117">
        <v>1523.5722870541344</v>
      </c>
    </row>
    <row r="813" spans="11:13" x14ac:dyDescent="0.4">
      <c r="K813" s="74">
        <v>811</v>
      </c>
      <c r="L813" s="119">
        <v>0.1000000000000604</v>
      </c>
      <c r="M813" s="117">
        <v>1523.8028533318097</v>
      </c>
    </row>
    <row r="814" spans="11:13" x14ac:dyDescent="0.4">
      <c r="K814" s="74">
        <v>812</v>
      </c>
      <c r="L814" s="119">
        <v>8.60000000000006</v>
      </c>
      <c r="M814" s="117">
        <v>1525.5440362118188</v>
      </c>
    </row>
    <row r="815" spans="11:13" x14ac:dyDescent="0.4">
      <c r="K815" s="74">
        <v>813</v>
      </c>
      <c r="L815" s="119">
        <v>6.0396132539608516E-14</v>
      </c>
      <c r="M815" s="117">
        <v>1524.1967719945478</v>
      </c>
    </row>
    <row r="816" spans="11:13" x14ac:dyDescent="0.4">
      <c r="K816" s="74">
        <v>814</v>
      </c>
      <c r="L816" s="119">
        <v>12.20000000000006</v>
      </c>
      <c r="M816" s="117">
        <v>1526.3975913625804</v>
      </c>
    </row>
    <row r="817" spans="11:13" x14ac:dyDescent="0.4">
      <c r="K817" s="74">
        <v>815</v>
      </c>
      <c r="L817" s="119">
        <v>16.900000000000059</v>
      </c>
      <c r="M817" s="117">
        <v>1527.2352058144049</v>
      </c>
    </row>
    <row r="818" spans="11:13" x14ac:dyDescent="0.4">
      <c r="K818" s="74">
        <v>816</v>
      </c>
      <c r="L818" s="119">
        <v>6.0396132539608516E-14</v>
      </c>
      <c r="M818" s="117">
        <v>1524.1797945795186</v>
      </c>
    </row>
    <row r="819" spans="11:13" x14ac:dyDescent="0.4">
      <c r="K819" s="74">
        <v>817</v>
      </c>
      <c r="L819" s="119">
        <v>9.5000000000000604</v>
      </c>
      <c r="M819" s="117">
        <v>1525.8947158120413</v>
      </c>
    </row>
    <row r="820" spans="11:13" x14ac:dyDescent="0.4">
      <c r="K820" s="74">
        <v>818</v>
      </c>
      <c r="L820" s="119">
        <v>-1.0999999999999392</v>
      </c>
      <c r="M820" s="117">
        <v>1523.9813475171691</v>
      </c>
    </row>
    <row r="821" spans="11:13" x14ac:dyDescent="0.4">
      <c r="K821" s="74">
        <v>819</v>
      </c>
      <c r="L821" s="119">
        <v>6.0840221749458578E-14</v>
      </c>
      <c r="M821" s="117">
        <v>1524.185459432066</v>
      </c>
    </row>
    <row r="822" spans="11:13" x14ac:dyDescent="0.4">
      <c r="K822" s="74">
        <v>820</v>
      </c>
      <c r="L822" s="119">
        <v>27.20000000000006</v>
      </c>
      <c r="M822" s="117">
        <v>1529.0863466754736</v>
      </c>
    </row>
    <row r="823" spans="11:13" x14ac:dyDescent="0.4">
      <c r="K823" s="74">
        <v>821</v>
      </c>
      <c r="L823" s="119">
        <v>33.000000000000057</v>
      </c>
      <c r="M823" s="117">
        <v>1530.1058285954207</v>
      </c>
    </row>
    <row r="824" spans="11:13" x14ac:dyDescent="0.4">
      <c r="K824" s="74">
        <v>822</v>
      </c>
      <c r="L824" s="119">
        <v>5.6843418860808015E-14</v>
      </c>
      <c r="M824" s="117">
        <v>1524.1351936238482</v>
      </c>
    </row>
    <row r="825" spans="11:13" x14ac:dyDescent="0.4">
      <c r="K825" s="74">
        <v>823</v>
      </c>
      <c r="L825" s="119">
        <v>-12.599999999999943</v>
      </c>
      <c r="M825" s="117">
        <v>1521.8723824621052</v>
      </c>
    </row>
    <row r="826" spans="11:13" x14ac:dyDescent="0.4">
      <c r="K826" s="74">
        <v>824</v>
      </c>
      <c r="L826" s="119">
        <v>7.5000000000000586</v>
      </c>
      <c r="M826" s="117">
        <v>1525.5091481673326</v>
      </c>
    </row>
    <row r="827" spans="11:13" x14ac:dyDescent="0.4">
      <c r="K827" s="74">
        <v>825</v>
      </c>
      <c r="L827" s="119">
        <v>5.8619775700208265E-14</v>
      </c>
      <c r="M827" s="117">
        <v>1524.1560932783286</v>
      </c>
    </row>
    <row r="828" spans="11:13" x14ac:dyDescent="0.4">
      <c r="K828" s="74">
        <v>826</v>
      </c>
      <c r="L828" s="119">
        <v>7.5000000000000586</v>
      </c>
      <c r="M828" s="117">
        <v>1525.5111567186586</v>
      </c>
    </row>
    <row r="829" spans="11:13" x14ac:dyDescent="0.4">
      <c r="K829" s="74">
        <v>827</v>
      </c>
      <c r="L829" s="119">
        <v>-17.599999999999945</v>
      </c>
      <c r="M829" s="117">
        <v>1520.9900897783466</v>
      </c>
    </row>
    <row r="830" spans="11:13" x14ac:dyDescent="0.4">
      <c r="K830" s="74">
        <v>828</v>
      </c>
      <c r="L830" s="119">
        <v>5.6843418860808015E-14</v>
      </c>
      <c r="M830" s="117">
        <v>1524.1821492396766</v>
      </c>
    </row>
    <row r="831" spans="11:13" x14ac:dyDescent="0.4">
      <c r="K831" s="74">
        <v>829</v>
      </c>
      <c r="L831" s="119">
        <v>-17.599999999999945</v>
      </c>
      <c r="M831" s="117">
        <v>1520.8630563442387</v>
      </c>
    </row>
    <row r="832" spans="11:13" x14ac:dyDescent="0.4">
      <c r="K832" s="74">
        <v>830</v>
      </c>
      <c r="L832" s="119">
        <v>8.0000000000000568</v>
      </c>
      <c r="M832" s="117">
        <v>1525.3398780061732</v>
      </c>
    </row>
    <row r="833" spans="11:13" x14ac:dyDescent="0.4">
      <c r="K833" s="74">
        <v>831</v>
      </c>
      <c r="L833" s="119">
        <v>5.6843418860808015E-14</v>
      </c>
      <c r="M833" s="117">
        <v>1523.7418387381363</v>
      </c>
    </row>
    <row r="834" spans="11:13" x14ac:dyDescent="0.4">
      <c r="K834" s="74">
        <v>832</v>
      </c>
      <c r="L834" s="119">
        <v>7.8000000000000567</v>
      </c>
      <c r="M834" s="117">
        <v>1525.1533877057075</v>
      </c>
    </row>
    <row r="835" spans="11:13" x14ac:dyDescent="0.4">
      <c r="K835" s="74">
        <v>833</v>
      </c>
      <c r="L835" s="119">
        <v>-6.5999999999999437</v>
      </c>
      <c r="M835" s="117">
        <v>1522.5604673794733</v>
      </c>
    </row>
    <row r="836" spans="11:13" x14ac:dyDescent="0.4">
      <c r="K836" s="74">
        <v>834</v>
      </c>
      <c r="L836" s="119">
        <v>5.595524044110789E-14</v>
      </c>
      <c r="M836" s="117">
        <v>1523.7631045751964</v>
      </c>
    </row>
    <row r="837" spans="11:13" x14ac:dyDescent="0.4">
      <c r="K837" s="74">
        <v>835</v>
      </c>
      <c r="L837" s="119">
        <v>46.900000000000055</v>
      </c>
      <c r="M837" s="117">
        <v>1532.4345259477452</v>
      </c>
    </row>
    <row r="838" spans="11:13" x14ac:dyDescent="0.4">
      <c r="K838" s="74">
        <v>836</v>
      </c>
      <c r="L838" s="119">
        <v>7.0000000000000568</v>
      </c>
      <c r="M838" s="117">
        <v>1525.4299187920587</v>
      </c>
    </row>
    <row r="839" spans="11:13" x14ac:dyDescent="0.4">
      <c r="K839" s="74">
        <v>837</v>
      </c>
      <c r="L839" s="119">
        <v>5.6843418860808015E-14</v>
      </c>
      <c r="M839" s="117">
        <v>1524.3893392793063</v>
      </c>
    </row>
    <row r="840" spans="11:13" x14ac:dyDescent="0.4">
      <c r="K840" s="74">
        <v>838</v>
      </c>
      <c r="L840" s="119">
        <v>6.3000000000000567</v>
      </c>
      <c r="M840" s="117">
        <v>1525.7550032436304</v>
      </c>
    </row>
    <row r="841" spans="11:13" x14ac:dyDescent="0.4">
      <c r="K841" s="74">
        <v>839</v>
      </c>
      <c r="L841" s="119">
        <v>6.0000000000000568</v>
      </c>
      <c r="M841" s="117">
        <v>1525.9244732241687</v>
      </c>
    </row>
    <row r="842" spans="11:13" x14ac:dyDescent="0.4">
      <c r="K842" s="74">
        <v>840</v>
      </c>
      <c r="L842" s="119">
        <v>5.6843418860808015E-14</v>
      </c>
      <c r="M842" s="117">
        <v>1525.0669263848235</v>
      </c>
    </row>
    <row r="843" spans="11:13" x14ac:dyDescent="0.4">
      <c r="K843" s="74">
        <v>841</v>
      </c>
      <c r="L843" s="119">
        <v>24.300000000000058</v>
      </c>
      <c r="M843" s="117">
        <v>1529.4405248265145</v>
      </c>
    </row>
    <row r="844" spans="11:13" x14ac:dyDescent="0.4">
      <c r="K844" s="74">
        <v>842</v>
      </c>
      <c r="L844" s="119">
        <v>-9.6999999999999424</v>
      </c>
      <c r="M844" s="117">
        <v>1523.2938816775554</v>
      </c>
    </row>
    <row r="845" spans="11:13" x14ac:dyDescent="0.4">
      <c r="K845" s="74">
        <v>843</v>
      </c>
      <c r="L845" s="119">
        <v>5.6843418860808015E-14</v>
      </c>
      <c r="M845" s="117">
        <v>1525.0501183874901</v>
      </c>
    </row>
    <row r="846" spans="11:13" x14ac:dyDescent="0.4">
      <c r="K846" s="74">
        <v>844</v>
      </c>
      <c r="L846" s="119">
        <v>-10.399999999999944</v>
      </c>
      <c r="M846" s="117">
        <v>1523.4718176771651</v>
      </c>
    </row>
    <row r="847" spans="11:13" x14ac:dyDescent="0.4">
      <c r="K847" s="74">
        <v>845</v>
      </c>
      <c r="L847" s="119">
        <v>-21.899999999999942</v>
      </c>
      <c r="M847" s="117">
        <v>1521.7049867711021</v>
      </c>
    </row>
    <row r="848" spans="11:13" x14ac:dyDescent="0.4">
      <c r="K848" s="74">
        <v>846</v>
      </c>
      <c r="L848" s="119">
        <v>5.6843418860808015E-14</v>
      </c>
      <c r="M848" s="117">
        <v>1525.9607568504755</v>
      </c>
    </row>
    <row r="849" spans="11:13" x14ac:dyDescent="0.4">
      <c r="K849" s="74">
        <v>847</v>
      </c>
      <c r="L849" s="119">
        <v>-17.199999999999942</v>
      </c>
      <c r="M849" s="117">
        <v>1522.5469923093726</v>
      </c>
    </row>
    <row r="850" spans="11:13" x14ac:dyDescent="0.4">
      <c r="K850" s="74">
        <v>848</v>
      </c>
      <c r="L850" s="119">
        <v>-26.499999999999943</v>
      </c>
      <c r="M850" s="117">
        <v>1520.5757103555163</v>
      </c>
    </row>
    <row r="851" spans="11:13" x14ac:dyDescent="0.4">
      <c r="K851" s="74">
        <v>849</v>
      </c>
      <c r="L851" s="119">
        <v>5.6843418860808015E-14</v>
      </c>
      <c r="M851" s="117">
        <v>1525.0602560933833</v>
      </c>
    </row>
    <row r="852" spans="11:13" x14ac:dyDescent="0.4">
      <c r="K852" s="74">
        <v>850</v>
      </c>
      <c r="L852" s="119">
        <v>-0.99999999999994316</v>
      </c>
      <c r="M852" s="117">
        <v>1525.0718945568231</v>
      </c>
    </row>
    <row r="853" spans="11:13" x14ac:dyDescent="0.4">
      <c r="K853" s="74">
        <v>851</v>
      </c>
      <c r="L853" s="119">
        <v>-17.999999999999943</v>
      </c>
      <c r="M853" s="117">
        <v>1522.2034631894821</v>
      </c>
    </row>
    <row r="854" spans="11:13" x14ac:dyDescent="0.4">
      <c r="K854" s="74">
        <v>852</v>
      </c>
      <c r="L854" s="119">
        <v>5.6843418860808015E-14</v>
      </c>
      <c r="M854" s="117">
        <v>1525.6522424103453</v>
      </c>
    </row>
    <row r="855" spans="11:13" x14ac:dyDescent="0.4">
      <c r="K855" s="74">
        <v>853</v>
      </c>
      <c r="L855" s="119">
        <v>19.800000000000058</v>
      </c>
      <c r="M855" s="117">
        <v>1529.4043289558831</v>
      </c>
    </row>
    <row r="856" spans="11:13" x14ac:dyDescent="0.4">
      <c r="K856" s="74">
        <v>854</v>
      </c>
      <c r="L856" s="119">
        <v>41.500000000000057</v>
      </c>
      <c r="M856" s="117">
        <v>1533.4759029821478</v>
      </c>
    </row>
    <row r="857" spans="11:13" x14ac:dyDescent="0.4">
      <c r="K857" s="74">
        <v>855</v>
      </c>
      <c r="L857" s="119">
        <v>5.6843418860808015E-14</v>
      </c>
      <c r="M857" s="117">
        <v>1526.147047564255</v>
      </c>
    </row>
    <row r="858" spans="11:13" x14ac:dyDescent="0.4">
      <c r="K858" s="74">
        <v>856</v>
      </c>
      <c r="L858" s="119">
        <v>27.700000000000056</v>
      </c>
      <c r="M858" s="117">
        <v>1531.1201652788695</v>
      </c>
    </row>
    <row r="859" spans="11:13" x14ac:dyDescent="0.4">
      <c r="K859" s="74">
        <v>857</v>
      </c>
      <c r="L859" s="119">
        <v>25.900000000000055</v>
      </c>
      <c r="M859" s="117">
        <v>1530.7534442871963</v>
      </c>
    </row>
    <row r="860" spans="11:13" x14ac:dyDescent="0.4">
      <c r="K860" s="74">
        <v>858</v>
      </c>
      <c r="L860" s="119">
        <v>5.6843418860808015E-14</v>
      </c>
      <c r="M860" s="117">
        <v>1526.0509236214732</v>
      </c>
    </row>
    <row r="861" spans="11:13" x14ac:dyDescent="0.4">
      <c r="K861" s="74">
        <v>859</v>
      </c>
      <c r="L861" s="119">
        <v>7.5000000000000568</v>
      </c>
      <c r="M861" s="117">
        <v>1527.5986180797443</v>
      </c>
    </row>
    <row r="862" spans="11:13" x14ac:dyDescent="0.4">
      <c r="K862" s="74">
        <v>860</v>
      </c>
      <c r="L862" s="119">
        <v>45.500000000000057</v>
      </c>
      <c r="M862" s="117">
        <v>1534.6270263712659</v>
      </c>
    </row>
    <row r="863" spans="11:13" x14ac:dyDescent="0.4">
      <c r="K863" s="74">
        <v>861</v>
      </c>
      <c r="L863" s="119">
        <v>5.6843418860808015E-14</v>
      </c>
      <c r="M863" s="117">
        <v>1526.5832642130383</v>
      </c>
    </row>
    <row r="864" spans="11:13" x14ac:dyDescent="0.4">
      <c r="K864" s="74">
        <v>862</v>
      </c>
      <c r="L864" s="119">
        <v>31.500000000000057</v>
      </c>
      <c r="M864" s="117">
        <v>1532.45976462776</v>
      </c>
    </row>
    <row r="865" spans="11:13" x14ac:dyDescent="0.4">
      <c r="K865" s="74">
        <v>863</v>
      </c>
      <c r="L865" s="119">
        <v>25.900000000000055</v>
      </c>
      <c r="M865" s="117">
        <v>1531.6230060399935</v>
      </c>
    </row>
    <row r="866" spans="11:13" x14ac:dyDescent="0.4">
      <c r="K866" s="74">
        <v>864</v>
      </c>
      <c r="L866" s="119">
        <v>5.6843418860808015E-14</v>
      </c>
      <c r="M866" s="117">
        <v>1527.1372680037534</v>
      </c>
    </row>
    <row r="867" spans="11:13" x14ac:dyDescent="0.4">
      <c r="K867" s="74">
        <v>865</v>
      </c>
      <c r="L867" s="119">
        <v>46.800000000000054</v>
      </c>
      <c r="M867" s="117">
        <v>1535.2124443957309</v>
      </c>
    </row>
    <row r="868" spans="11:13" x14ac:dyDescent="0.4">
      <c r="K868" s="74">
        <v>866</v>
      </c>
      <c r="L868" s="119">
        <v>26.300000000000054</v>
      </c>
      <c r="M868" s="117">
        <v>1531.1251697293565</v>
      </c>
    </row>
    <row r="869" spans="11:13" x14ac:dyDescent="0.4">
      <c r="K869" s="74">
        <v>867</v>
      </c>
      <c r="L869" s="119">
        <v>5.3290705182007514E-14</v>
      </c>
      <c r="M869" s="117">
        <v>1526.0184187109803</v>
      </c>
    </row>
    <row r="870" spans="11:13" x14ac:dyDescent="0.4">
      <c r="K870" s="74">
        <v>868</v>
      </c>
      <c r="L870" s="119">
        <v>52.500000000000057</v>
      </c>
      <c r="M870" s="117">
        <v>1535.5283081987145</v>
      </c>
    </row>
    <row r="871" spans="11:13" x14ac:dyDescent="0.4">
      <c r="K871" s="74">
        <v>869</v>
      </c>
      <c r="L871" s="119">
        <v>7.5000000000000568</v>
      </c>
      <c r="M871" s="117">
        <v>1527.4311383495221</v>
      </c>
    </row>
    <row r="872" spans="11:13" x14ac:dyDescent="0.4">
      <c r="K872" s="74">
        <v>870</v>
      </c>
      <c r="L872" s="119">
        <v>5.6843418860808015E-14</v>
      </c>
      <c r="M872" s="117">
        <v>1526.1325515194251</v>
      </c>
    </row>
    <row r="873" spans="11:13" x14ac:dyDescent="0.4">
      <c r="K873" s="74">
        <v>871</v>
      </c>
      <c r="L873" s="119">
        <v>-6.1999999999999433</v>
      </c>
      <c r="M873" s="117">
        <v>1525.0757562103086</v>
      </c>
    </row>
    <row r="874" spans="11:13" x14ac:dyDescent="0.4">
      <c r="K874" s="74">
        <v>872</v>
      </c>
      <c r="L874" s="119">
        <v>-44.699999999999946</v>
      </c>
      <c r="M874" s="117">
        <v>1518.2113016730466</v>
      </c>
    </row>
    <row r="875" spans="11:13" x14ac:dyDescent="0.4">
      <c r="K875" s="74">
        <v>873</v>
      </c>
      <c r="L875" s="119">
        <v>5.6843418860808015E-14</v>
      </c>
      <c r="M875" s="117">
        <v>1526.3640338630082</v>
      </c>
    </row>
    <row r="876" spans="11:13" x14ac:dyDescent="0.4">
      <c r="K876" s="74">
        <v>874</v>
      </c>
      <c r="L876" s="119">
        <v>-8.7999999999999439</v>
      </c>
      <c r="M876" s="117">
        <v>1524.8438496598301</v>
      </c>
    </row>
    <row r="877" spans="11:13" x14ac:dyDescent="0.4">
      <c r="K877" s="74">
        <v>875</v>
      </c>
      <c r="L877" s="119">
        <v>-44.199999999999946</v>
      </c>
      <c r="M877" s="117">
        <v>1518.5447865618712</v>
      </c>
    </row>
    <row r="878" spans="11:13" x14ac:dyDescent="0.4">
      <c r="K878" s="74">
        <v>876</v>
      </c>
      <c r="L878" s="119">
        <v>5.6843418860808015E-14</v>
      </c>
      <c r="M878" s="117">
        <v>1526.6115178425</v>
      </c>
    </row>
    <row r="879" spans="11:13" x14ac:dyDescent="0.4">
      <c r="K879" s="74">
        <v>877</v>
      </c>
      <c r="L879" s="119">
        <v>18.500000000000057</v>
      </c>
      <c r="M879" s="117">
        <v>1530.003848735445</v>
      </c>
    </row>
    <row r="880" spans="11:13" x14ac:dyDescent="0.4">
      <c r="K880" s="74">
        <v>878</v>
      </c>
      <c r="L880" s="119">
        <v>12.000000000000057</v>
      </c>
      <c r="M880" s="117">
        <v>1528.8758256430324</v>
      </c>
    </row>
    <row r="881" spans="11:13" x14ac:dyDescent="0.4">
      <c r="K881" s="74">
        <v>879</v>
      </c>
      <c r="L881" s="119">
        <v>5.6843418860808015E-14</v>
      </c>
      <c r="M881" s="117">
        <v>1526.7645706891742</v>
      </c>
    </row>
    <row r="882" spans="11:13" x14ac:dyDescent="0.4">
      <c r="K882" s="74">
        <v>880</v>
      </c>
      <c r="L882" s="119">
        <v>33.100000000000058</v>
      </c>
      <c r="M882" s="117">
        <v>1532.8259832650392</v>
      </c>
    </row>
    <row r="883" spans="11:13" x14ac:dyDescent="0.4">
      <c r="K883" s="74">
        <v>881</v>
      </c>
      <c r="L883" s="119">
        <v>24.600000000000058</v>
      </c>
      <c r="M883" s="117">
        <v>1531.3630273654489</v>
      </c>
    </row>
    <row r="884" spans="11:13" x14ac:dyDescent="0.4">
      <c r="K884" s="74">
        <v>882</v>
      </c>
      <c r="L884" s="119">
        <v>5.6843418860808015E-14</v>
      </c>
      <c r="M884" s="117">
        <v>1527.0108492012562</v>
      </c>
    </row>
    <row r="885" spans="11:13" x14ac:dyDescent="0.4">
      <c r="K885" s="74">
        <v>883</v>
      </c>
      <c r="L885" s="119">
        <v>68.000000000000057</v>
      </c>
      <c r="M885" s="117">
        <v>1539.3527841060486</v>
      </c>
    </row>
    <row r="886" spans="11:13" x14ac:dyDescent="0.4">
      <c r="K886" s="74">
        <v>884</v>
      </c>
      <c r="L886" s="119">
        <v>20.000000000000057</v>
      </c>
      <c r="M886" s="117">
        <v>1530.7406674014123</v>
      </c>
    </row>
    <row r="887" spans="11:13" x14ac:dyDescent="0.4">
      <c r="K887" s="74">
        <v>885</v>
      </c>
      <c r="L887" s="119">
        <v>5.6843418860808015E-14</v>
      </c>
      <c r="M887" s="117">
        <v>1527.2202233970038</v>
      </c>
    </row>
    <row r="888" spans="11:13" x14ac:dyDescent="0.4">
      <c r="K888" s="74">
        <v>886</v>
      </c>
      <c r="L888" s="119">
        <v>-21.899999999999942</v>
      </c>
      <c r="M888" s="117">
        <v>1523.3789020566219</v>
      </c>
    </row>
    <row r="889" spans="11:13" x14ac:dyDescent="0.4">
      <c r="K889" s="74">
        <v>887</v>
      </c>
      <c r="L889" s="119">
        <v>-7.3999999999999417</v>
      </c>
      <c r="M889" s="117">
        <v>1526.112628644282</v>
      </c>
    </row>
    <row r="890" spans="11:13" x14ac:dyDescent="0.4">
      <c r="K890" s="74">
        <v>888</v>
      </c>
      <c r="L890" s="119">
        <v>5.8619775700208265E-14</v>
      </c>
      <c r="M890" s="117">
        <v>1527.5519528724165</v>
      </c>
    </row>
    <row r="891" spans="11:13" x14ac:dyDescent="0.4">
      <c r="K891" s="74">
        <v>889</v>
      </c>
      <c r="L891" s="119">
        <v>9.0000000000000586</v>
      </c>
      <c r="M891" s="117">
        <v>1529.4086411551818</v>
      </c>
    </row>
    <row r="892" spans="11:13" x14ac:dyDescent="0.4">
      <c r="K892" s="74">
        <v>890</v>
      </c>
      <c r="L892" s="119">
        <v>-17.199999999999939</v>
      </c>
      <c r="M892" s="117">
        <v>1524.9181893082507</v>
      </c>
    </row>
    <row r="893" spans="11:13" x14ac:dyDescent="0.4">
      <c r="K893" s="74">
        <v>891</v>
      </c>
      <c r="L893" s="119">
        <v>6.0396132539608516E-14</v>
      </c>
      <c r="M893" s="117">
        <v>1528.2666801724013</v>
      </c>
    </row>
    <row r="894" spans="11:13" x14ac:dyDescent="0.4">
      <c r="K894" s="74">
        <v>892</v>
      </c>
      <c r="L894" s="119">
        <v>18.70000000000006</v>
      </c>
      <c r="M894" s="117">
        <v>1531.2890800913669</v>
      </c>
    </row>
    <row r="895" spans="11:13" x14ac:dyDescent="0.4">
      <c r="K895" s="74">
        <v>893</v>
      </c>
      <c r="L895" s="119">
        <v>14.900000000000059</v>
      </c>
      <c r="M895" s="117">
        <v>1530.2433456108188</v>
      </c>
    </row>
    <row r="896" spans="11:13" x14ac:dyDescent="0.4">
      <c r="K896" s="74">
        <v>894</v>
      </c>
      <c r="L896" s="119">
        <v>5.8619775700208265E-14</v>
      </c>
      <c r="M896" s="117">
        <v>1527.2058855371538</v>
      </c>
    </row>
    <row r="897" spans="11:13" x14ac:dyDescent="0.4">
      <c r="K897" s="74">
        <v>895</v>
      </c>
      <c r="L897" s="119">
        <v>26.600000000000058</v>
      </c>
      <c r="M897" s="117">
        <v>1532.1966502239309</v>
      </c>
    </row>
    <row r="898" spans="11:13" x14ac:dyDescent="0.4">
      <c r="K898" s="74">
        <v>896</v>
      </c>
      <c r="L898" s="119">
        <v>7.7000000000000597</v>
      </c>
      <c r="M898" s="117">
        <v>1528.9674703225874</v>
      </c>
    </row>
    <row r="899" spans="11:13" x14ac:dyDescent="0.4">
      <c r="K899" s="74">
        <v>897</v>
      </c>
      <c r="L899" s="119">
        <v>5.9507954119908391E-14</v>
      </c>
      <c r="M899" s="117">
        <v>1527.7736655006518</v>
      </c>
    </row>
    <row r="900" spans="11:13" x14ac:dyDescent="0.4">
      <c r="K900" s="74">
        <v>898</v>
      </c>
      <c r="L900" s="119">
        <v>20.00000000000006</v>
      </c>
      <c r="M900" s="117">
        <v>1531.4050235076479</v>
      </c>
    </row>
    <row r="901" spans="11:13" x14ac:dyDescent="0.4">
      <c r="K901" s="74">
        <v>899</v>
      </c>
      <c r="L901" s="119">
        <v>1.400000000000059</v>
      </c>
      <c r="M901" s="117">
        <v>1528.0665933666021</v>
      </c>
    </row>
    <row r="902" spans="11:13" x14ac:dyDescent="0.4">
      <c r="K902" s="74">
        <v>900</v>
      </c>
      <c r="L902" s="119">
        <v>5.9063864910058328E-14</v>
      </c>
      <c r="M902" s="117">
        <v>1527.8441938064025</v>
      </c>
    </row>
    <row r="903" spans="11:13" x14ac:dyDescent="0.4">
      <c r="K903" s="74">
        <v>901</v>
      </c>
      <c r="L903" s="119">
        <v>-45.399999999999942</v>
      </c>
      <c r="M903" s="117">
        <v>1520.117128643564</v>
      </c>
    </row>
    <row r="904" spans="11:13" x14ac:dyDescent="0.4">
      <c r="K904" s="74">
        <v>902</v>
      </c>
      <c r="L904" s="119">
        <v>-5.8999999999999417</v>
      </c>
      <c r="M904" s="117">
        <v>1527.7184258717027</v>
      </c>
    </row>
    <row r="905" spans="11:13" x14ac:dyDescent="0.4">
      <c r="K905" s="74">
        <v>903</v>
      </c>
      <c r="L905" s="119">
        <v>5.8619775700208265E-14</v>
      </c>
      <c r="M905" s="117">
        <v>1529.2261153164725</v>
      </c>
    </row>
  </sheetData>
  <sortState xmlns:xlrd2="http://schemas.microsoft.com/office/spreadsheetml/2017/richdata2" ref="E2:I906">
    <sortCondition descending="1" ref="H1"/>
  </sortState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35631-94F1-4918-9C1C-497FBADEBF68}">
  <sheetPr codeName="Sheet7"/>
  <dimension ref="A1:R25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7" t="s">
        <v>126</v>
      </c>
      <c r="C1" s="138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25">
        <v>257</v>
      </c>
      <c r="C2" s="126"/>
      <c r="E2" s="26" t="s">
        <v>66</v>
      </c>
      <c r="F2" s="23" t="s">
        <v>22</v>
      </c>
      <c r="G2" s="11">
        <v>390</v>
      </c>
      <c r="H2" s="87">
        <f t="shared" ref="H2:H33" si="0">IF(B$52=0,0,G2/B$52)</f>
        <v>0.72356215213358066</v>
      </c>
      <c r="I2" s="57">
        <v>5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1510.6719367588933</v>
      </c>
      <c r="Q2" s="76">
        <v>253</v>
      </c>
      <c r="R2" s="63">
        <v>382200</v>
      </c>
    </row>
    <row r="3" spans="1:18" x14ac:dyDescent="0.4">
      <c r="A3" s="19" t="s">
        <v>8</v>
      </c>
      <c r="B3" s="139">
        <v>1946</v>
      </c>
      <c r="C3" s="140"/>
      <c r="E3" s="27" t="s">
        <v>64</v>
      </c>
      <c r="F3" s="24" t="s">
        <v>20</v>
      </c>
      <c r="G3" s="12">
        <v>294</v>
      </c>
      <c r="H3" s="88">
        <f t="shared" si="0"/>
        <v>0.54545454545454541</v>
      </c>
      <c r="I3" s="58">
        <v>7</v>
      </c>
      <c r="K3" s="74">
        <v>1</v>
      </c>
      <c r="L3" s="119">
        <v>15</v>
      </c>
      <c r="M3" s="117">
        <v>1502.7</v>
      </c>
      <c r="O3" s="74" t="s">
        <v>129</v>
      </c>
      <c r="P3" s="80">
        <f t="shared" si="1"/>
        <v>627.86885245901635</v>
      </c>
      <c r="Q3" s="77">
        <v>244</v>
      </c>
      <c r="R3" s="64">
        <v>153200</v>
      </c>
    </row>
    <row r="4" spans="1:18" x14ac:dyDescent="0.4">
      <c r="A4" s="19" t="s">
        <v>6</v>
      </c>
      <c r="B4" s="141">
        <v>1889.9999999999993</v>
      </c>
      <c r="C4" s="142"/>
      <c r="E4" s="27" t="s">
        <v>72</v>
      </c>
      <c r="F4" s="24" t="s">
        <v>27</v>
      </c>
      <c r="G4" s="12">
        <v>294</v>
      </c>
      <c r="H4" s="88">
        <f t="shared" si="0"/>
        <v>0.54545454545454541</v>
      </c>
      <c r="I4" s="58">
        <v>9</v>
      </c>
      <c r="K4" s="74">
        <v>2</v>
      </c>
      <c r="L4" s="119">
        <v>14</v>
      </c>
      <c r="M4" s="117">
        <v>1502.5098</v>
      </c>
      <c r="O4" s="74" t="s">
        <v>130</v>
      </c>
      <c r="P4" s="80">
        <f t="shared" si="1"/>
        <v>2042.9824561403509</v>
      </c>
      <c r="Q4" s="77">
        <v>228</v>
      </c>
      <c r="R4" s="64">
        <v>465800</v>
      </c>
    </row>
    <row r="5" spans="1:18" x14ac:dyDescent="0.4">
      <c r="A5" s="19" t="s">
        <v>7</v>
      </c>
      <c r="B5" s="129">
        <f>IF(B$2=0,0,B$4/B$2)</f>
        <v>7.3540856031128374</v>
      </c>
      <c r="C5" s="130"/>
      <c r="E5" s="27" t="s">
        <v>67</v>
      </c>
      <c r="F5" s="24" t="s">
        <v>23</v>
      </c>
      <c r="G5" s="12">
        <v>161</v>
      </c>
      <c r="H5" s="88">
        <f t="shared" si="0"/>
        <v>0.29870129870129869</v>
      </c>
      <c r="I5" s="58">
        <v>8</v>
      </c>
      <c r="K5" s="74">
        <v>3</v>
      </c>
      <c r="L5" s="119">
        <v>29.1</v>
      </c>
      <c r="M5" s="117">
        <v>1505.2187412000001</v>
      </c>
      <c r="O5" s="74" t="s">
        <v>131</v>
      </c>
      <c r="P5" s="80">
        <f t="shared" si="1"/>
        <v>1670.7317073170732</v>
      </c>
      <c r="Q5" s="77">
        <v>205</v>
      </c>
      <c r="R5" s="64">
        <v>342500</v>
      </c>
    </row>
    <row r="6" spans="1:18" x14ac:dyDescent="0.4">
      <c r="A6" s="19" t="s">
        <v>196</v>
      </c>
      <c r="B6" s="133">
        <v>1725.615346745682</v>
      </c>
      <c r="C6" s="134"/>
      <c r="E6" s="27" t="s">
        <v>68</v>
      </c>
      <c r="F6" s="24" t="s">
        <v>12</v>
      </c>
      <c r="G6" s="12">
        <v>161</v>
      </c>
      <c r="H6" s="88">
        <f t="shared" si="0"/>
        <v>0.29870129870129869</v>
      </c>
      <c r="I6" s="58">
        <v>8</v>
      </c>
      <c r="K6" s="74">
        <v>4</v>
      </c>
      <c r="L6" s="119">
        <v>114.30000000000001</v>
      </c>
      <c r="M6" s="117">
        <v>1520.5294287528</v>
      </c>
      <c r="O6" s="74" t="s">
        <v>132</v>
      </c>
      <c r="P6" s="80">
        <f t="shared" si="1"/>
        <v>1381.6666666666667</v>
      </c>
      <c r="Q6" s="77">
        <v>180</v>
      </c>
      <c r="R6" s="64">
        <v>248700</v>
      </c>
    </row>
    <row r="7" spans="1:18" x14ac:dyDescent="0.4">
      <c r="A7" s="19" t="s">
        <v>1</v>
      </c>
      <c r="B7" s="135">
        <f>IF(B$2=0,0,(B$8*1+B$9*2+B$10*3)/B$2)</f>
        <v>1.7470817120622568</v>
      </c>
      <c r="C7" s="136"/>
      <c r="E7" s="27" t="s">
        <v>89</v>
      </c>
      <c r="F7" s="24" t="s">
        <v>44</v>
      </c>
      <c r="G7" s="12">
        <v>97</v>
      </c>
      <c r="H7" s="88">
        <f t="shared" si="0"/>
        <v>0.17996289424860853</v>
      </c>
      <c r="I7" s="58">
        <v>2</v>
      </c>
      <c r="K7" s="74">
        <v>5</v>
      </c>
      <c r="L7" s="119">
        <v>145.80000000000001</v>
      </c>
      <c r="M7" s="117">
        <v>1526.1002521802832</v>
      </c>
      <c r="O7" s="75" t="s">
        <v>133</v>
      </c>
      <c r="P7" s="81">
        <f t="shared" si="1"/>
        <v>1779.591836734694</v>
      </c>
      <c r="Q7" s="78">
        <v>147</v>
      </c>
      <c r="R7" s="65">
        <v>261600</v>
      </c>
    </row>
    <row r="8" spans="1:18" x14ac:dyDescent="0.4">
      <c r="A8" s="19" t="s">
        <v>2</v>
      </c>
      <c r="B8" s="12">
        <v>116</v>
      </c>
      <c r="C8" s="6">
        <f t="shared" ref="C8:C15" si="2">IF(B$2=0,0,B8/B$2)</f>
        <v>0.45136186770428016</v>
      </c>
      <c r="E8" s="27" t="s">
        <v>69</v>
      </c>
      <c r="F8" s="24" t="s">
        <v>24</v>
      </c>
      <c r="G8" s="12">
        <v>83</v>
      </c>
      <c r="H8" s="88">
        <f t="shared" si="0"/>
        <v>0.15398886827458255</v>
      </c>
      <c r="I8" s="58">
        <v>6</v>
      </c>
      <c r="K8" s="74">
        <v>6</v>
      </c>
      <c r="L8" s="119">
        <v>97.800000000000011</v>
      </c>
      <c r="M8" s="117">
        <v>1517.3216506672015</v>
      </c>
      <c r="O8" s="107"/>
      <c r="P8" s="85"/>
      <c r="Q8" s="108"/>
      <c r="R8" s="70"/>
    </row>
    <row r="9" spans="1:18" x14ac:dyDescent="0.4">
      <c r="A9" s="19" t="s">
        <v>3</v>
      </c>
      <c r="B9" s="12">
        <v>90</v>
      </c>
      <c r="C9" s="6">
        <f t="shared" si="2"/>
        <v>0.35019455252918286</v>
      </c>
      <c r="E9" s="27" t="s">
        <v>65</v>
      </c>
      <c r="F9" s="24" t="s">
        <v>21</v>
      </c>
      <c r="G9" s="12">
        <v>66</v>
      </c>
      <c r="H9" s="88">
        <f t="shared" si="0"/>
        <v>0.12244897959183673</v>
      </c>
      <c r="I9" s="58">
        <v>7</v>
      </c>
      <c r="K9" s="74">
        <v>7</v>
      </c>
      <c r="L9" s="119">
        <v>91.700000000000017</v>
      </c>
      <c r="M9" s="117">
        <v>1516.1377207631983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51</v>
      </c>
      <c r="C10" s="7">
        <f t="shared" si="2"/>
        <v>0.19844357976653695</v>
      </c>
      <c r="E10" s="27" t="s">
        <v>70</v>
      </c>
      <c r="F10" s="24" t="s">
        <v>25</v>
      </c>
      <c r="G10" s="12">
        <v>44</v>
      </c>
      <c r="H10" s="88">
        <f t="shared" si="0"/>
        <v>8.1632653061224483E-2</v>
      </c>
      <c r="I10" s="58">
        <v>9</v>
      </c>
      <c r="K10" s="74">
        <v>8</v>
      </c>
      <c r="L10" s="119">
        <v>55.700000000000017</v>
      </c>
      <c r="M10" s="117">
        <v>1509.578894438619</v>
      </c>
      <c r="O10" s="73" t="s">
        <v>152</v>
      </c>
      <c r="P10" s="82">
        <f>IF(Q10=0,0,R10/Q10)</f>
        <v>9.4370370370370402</v>
      </c>
      <c r="Q10" s="76">
        <v>54</v>
      </c>
      <c r="R10" s="67">
        <v>509.60000000000019</v>
      </c>
    </row>
    <row r="11" spans="1:18" x14ac:dyDescent="0.4">
      <c r="A11" s="20" t="s">
        <v>185</v>
      </c>
      <c r="B11" s="109">
        <f>IF(B8=0,0,C11/B8)</f>
        <v>29.299137931034466</v>
      </c>
      <c r="C11" s="110">
        <v>3398.699999999998</v>
      </c>
      <c r="E11" s="27" t="s">
        <v>86</v>
      </c>
      <c r="F11" s="24" t="s">
        <v>41</v>
      </c>
      <c r="G11" s="12">
        <v>37</v>
      </c>
      <c r="H11" s="88">
        <f t="shared" si="0"/>
        <v>6.8645640074211506E-2</v>
      </c>
      <c r="I11" s="58">
        <v>7</v>
      </c>
      <c r="K11" s="74">
        <v>9</v>
      </c>
      <c r="L11" s="119">
        <v>14.700000000000017</v>
      </c>
      <c r="M11" s="117">
        <v>1502.1654210719873</v>
      </c>
      <c r="O11" s="74" t="s">
        <v>153</v>
      </c>
      <c r="P11" s="83">
        <f>IF(Q11=0,0,R11/Q11)</f>
        <v>6.5573333333333332</v>
      </c>
      <c r="Q11" s="77">
        <v>75</v>
      </c>
      <c r="R11" s="68">
        <v>491.8</v>
      </c>
    </row>
    <row r="12" spans="1:18" x14ac:dyDescent="0.4">
      <c r="A12" s="20" t="s">
        <v>186</v>
      </c>
      <c r="B12" s="109">
        <f>IF(B9=0,0,C12/B9)</f>
        <v>-0.50888888888889028</v>
      </c>
      <c r="C12" s="110">
        <v>-45.800000000000125</v>
      </c>
      <c r="E12" s="27" t="s">
        <v>71</v>
      </c>
      <c r="F12" s="24" t="s">
        <v>26</v>
      </c>
      <c r="G12" s="12">
        <v>32</v>
      </c>
      <c r="H12" s="88">
        <f t="shared" si="0"/>
        <v>5.9369202226345084E-2</v>
      </c>
      <c r="I12" s="58">
        <v>3</v>
      </c>
      <c r="K12" s="74">
        <v>10</v>
      </c>
      <c r="L12" s="119">
        <v>-16.799999999999983</v>
      </c>
      <c r="M12" s="117">
        <v>1496.4884285455555</v>
      </c>
      <c r="O12" s="75" t="s">
        <v>154</v>
      </c>
      <c r="P12" s="84">
        <f>IF(Q12=0,0,R12/Q12)</f>
        <v>6.8880000000000008</v>
      </c>
      <c r="Q12" s="78">
        <v>125</v>
      </c>
      <c r="R12" s="69">
        <v>861.00000000000011</v>
      </c>
    </row>
    <row r="13" spans="1:18" x14ac:dyDescent="0.4">
      <c r="A13" s="20" t="s">
        <v>187</v>
      </c>
      <c r="B13" s="109">
        <f>IF(B10=0,0,C13/B10)</f>
        <v>-28.684313725490192</v>
      </c>
      <c r="C13" s="110">
        <v>-1462.8999999999999</v>
      </c>
      <c r="E13" s="27" t="s">
        <v>83</v>
      </c>
      <c r="F13" s="24" t="s">
        <v>38</v>
      </c>
      <c r="G13" s="12">
        <v>19</v>
      </c>
      <c r="H13" s="88">
        <f t="shared" si="0"/>
        <v>3.525046382189239E-2</v>
      </c>
      <c r="I13" s="58">
        <v>7</v>
      </c>
      <c r="K13" s="74">
        <v>11</v>
      </c>
      <c r="L13" s="119">
        <v>1.5000000000000178</v>
      </c>
      <c r="M13" s="117">
        <v>1499.8034979742822</v>
      </c>
      <c r="O13" s="103"/>
      <c r="P13" s="71"/>
      <c r="Q13" s="111"/>
      <c r="R13" s="71"/>
    </row>
    <row r="14" spans="1:18" x14ac:dyDescent="0.4">
      <c r="A14" s="20" t="s">
        <v>188</v>
      </c>
      <c r="B14" s="129">
        <f>AVERAGE(B11:B13)</f>
        <v>3.5311772218461122E-2</v>
      </c>
      <c r="C14" s="130"/>
      <c r="E14" s="27" t="s">
        <v>81</v>
      </c>
      <c r="F14" s="24" t="s">
        <v>36</v>
      </c>
      <c r="G14" s="12">
        <v>11</v>
      </c>
      <c r="H14" s="88">
        <f t="shared" si="0"/>
        <v>2.0408163265306121E-2</v>
      </c>
      <c r="I14" s="58">
        <v>9</v>
      </c>
      <c r="K14" s="74">
        <v>12</v>
      </c>
      <c r="L14" s="119">
        <v>14.300000000000018</v>
      </c>
      <c r="M14" s="117">
        <v>1502.1146769864365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25</v>
      </c>
      <c r="C15" s="9">
        <f t="shared" si="2"/>
        <v>9.727626459143969E-2</v>
      </c>
      <c r="E15" s="27" t="s">
        <v>91</v>
      </c>
      <c r="F15" s="24" t="s">
        <v>46</v>
      </c>
      <c r="G15" s="12">
        <v>8</v>
      </c>
      <c r="H15" s="88">
        <f t="shared" si="0"/>
        <v>1.4842300556586271E-2</v>
      </c>
      <c r="I15" s="58">
        <v>9</v>
      </c>
      <c r="K15" s="74">
        <v>13</v>
      </c>
      <c r="L15" s="119">
        <v>71.300000000000011</v>
      </c>
      <c r="M15" s="117">
        <v>1512.3679889245179</v>
      </c>
      <c r="O15" s="73" t="s">
        <v>214</v>
      </c>
      <c r="P15" s="82">
        <f t="shared" ref="P15:P25" si="3">IF(Q15=0,0,R15/Q15)</f>
        <v>125.9</v>
      </c>
      <c r="Q15" s="76">
        <v>1</v>
      </c>
      <c r="R15" s="67">
        <v>125.9</v>
      </c>
    </row>
    <row r="16" spans="1:18" x14ac:dyDescent="0.4">
      <c r="A16" s="22" t="s">
        <v>121</v>
      </c>
      <c r="B16" s="15">
        <v>452</v>
      </c>
      <c r="C16" s="10">
        <f>IF(B$51=0,0,B16/B$51)</f>
        <v>0.30335570469798656</v>
      </c>
      <c r="E16" s="27" t="s">
        <v>78</v>
      </c>
      <c r="F16" s="24" t="s">
        <v>33</v>
      </c>
      <c r="G16" s="12">
        <v>7</v>
      </c>
      <c r="H16" s="88">
        <f t="shared" si="0"/>
        <v>1.2987012987012988E-2</v>
      </c>
      <c r="I16" s="58">
        <v>9</v>
      </c>
      <c r="K16" s="74">
        <v>14</v>
      </c>
      <c r="L16" s="119">
        <v>27.300000000000011</v>
      </c>
      <c r="M16" s="117">
        <v>1504.3797809909709</v>
      </c>
      <c r="O16" s="74" t="s">
        <v>209</v>
      </c>
      <c r="P16" s="83">
        <f t="shared" si="3"/>
        <v>71.75</v>
      </c>
      <c r="Q16" s="77">
        <v>4</v>
      </c>
      <c r="R16" s="68">
        <v>287</v>
      </c>
    </row>
    <row r="17" spans="1:18" x14ac:dyDescent="0.4">
      <c r="A17" s="19" t="s">
        <v>118</v>
      </c>
      <c r="B17" s="12">
        <v>311</v>
      </c>
      <c r="C17" s="6">
        <f>IF(B$51=0,0,B17/B$51)</f>
        <v>0.20872483221476509</v>
      </c>
      <c r="E17" s="27" t="s">
        <v>79</v>
      </c>
      <c r="F17" s="24" t="s">
        <v>34</v>
      </c>
      <c r="G17" s="12">
        <v>5</v>
      </c>
      <c r="H17" s="88">
        <f t="shared" si="0"/>
        <v>9.2764378478664197E-3</v>
      </c>
      <c r="I17" s="58">
        <v>9</v>
      </c>
      <c r="K17" s="74">
        <v>15</v>
      </c>
      <c r="L17" s="119">
        <v>-9.6999999999999886</v>
      </c>
      <c r="M17" s="117">
        <v>1497.6995023050251</v>
      </c>
      <c r="O17" s="74" t="s">
        <v>191</v>
      </c>
      <c r="P17" s="83">
        <f t="shared" si="3"/>
        <v>29.423999999999999</v>
      </c>
      <c r="Q17" s="77">
        <v>25</v>
      </c>
      <c r="R17" s="68">
        <v>735.6</v>
      </c>
    </row>
    <row r="18" spans="1:18" x14ac:dyDescent="0.4">
      <c r="A18" s="18" t="s">
        <v>123</v>
      </c>
      <c r="B18" s="11">
        <f>B24</f>
        <v>296</v>
      </c>
      <c r="C18" s="5">
        <f>IF(B$16=0,0,B18/B$16)</f>
        <v>0.65486725663716816</v>
      </c>
      <c r="E18" s="27" t="s">
        <v>75</v>
      </c>
      <c r="F18" s="24" t="s">
        <v>30</v>
      </c>
      <c r="G18" s="12">
        <v>4</v>
      </c>
      <c r="H18" s="88">
        <f t="shared" si="0"/>
        <v>7.4211502782931356E-3</v>
      </c>
      <c r="I18" s="58">
        <v>3</v>
      </c>
      <c r="K18" s="74">
        <v>16</v>
      </c>
      <c r="L18" s="119">
        <v>-8.099999999999989</v>
      </c>
      <c r="M18" s="117">
        <v>1498.0073052911951</v>
      </c>
      <c r="O18" s="74" t="s">
        <v>205</v>
      </c>
      <c r="P18" s="83">
        <f t="shared" si="3"/>
        <v>26.587499999999995</v>
      </c>
      <c r="Q18" s="77">
        <v>8</v>
      </c>
      <c r="R18" s="68">
        <v>212.69999999999996</v>
      </c>
    </row>
    <row r="19" spans="1:18" x14ac:dyDescent="0.4">
      <c r="A19" s="18" t="s">
        <v>124</v>
      </c>
      <c r="B19" s="11">
        <f>B25</f>
        <v>153</v>
      </c>
      <c r="C19" s="5">
        <f>IF(B$17=0,0,B19/B$17)</f>
        <v>0.49196141479099681</v>
      </c>
      <c r="E19" s="27" t="s">
        <v>77</v>
      </c>
      <c r="F19" s="24" t="s">
        <v>32</v>
      </c>
      <c r="G19" s="12">
        <v>4</v>
      </c>
      <c r="H19" s="88">
        <f t="shared" si="0"/>
        <v>7.4211502782931356E-3</v>
      </c>
      <c r="I19" s="58">
        <v>4</v>
      </c>
      <c r="K19" s="74">
        <v>17</v>
      </c>
      <c r="L19" s="119">
        <v>-29.499999999999986</v>
      </c>
      <c r="M19" s="117">
        <v>1494.173261459448</v>
      </c>
      <c r="O19" s="74" t="s">
        <v>190</v>
      </c>
      <c r="P19" s="83">
        <f t="shared" si="3"/>
        <v>17.172058823529412</v>
      </c>
      <c r="Q19" s="77">
        <v>68</v>
      </c>
      <c r="R19" s="68">
        <v>1167.7</v>
      </c>
    </row>
    <row r="20" spans="1:18" x14ac:dyDescent="0.4">
      <c r="A20" s="18" t="s">
        <v>10</v>
      </c>
      <c r="B20" s="11">
        <f>B23+B22</f>
        <v>695</v>
      </c>
      <c r="C20" s="5">
        <f>IF(B$3=0,0,B20/B$3)</f>
        <v>0.35714285714285715</v>
      </c>
      <c r="E20" s="27" t="s">
        <v>73</v>
      </c>
      <c r="F20" s="24" t="s">
        <v>28</v>
      </c>
      <c r="G20" s="12">
        <v>3</v>
      </c>
      <c r="H20" s="88">
        <f t="shared" si="0"/>
        <v>5.5658627087198514E-3</v>
      </c>
      <c r="I20" s="58">
        <v>5</v>
      </c>
      <c r="K20" s="74">
        <v>18</v>
      </c>
      <c r="L20" s="119">
        <v>-14.599999999999985</v>
      </c>
      <c r="M20" s="117">
        <v>1496.8962218906913</v>
      </c>
      <c r="O20" s="74" t="s">
        <v>164</v>
      </c>
      <c r="P20" s="83">
        <f t="shared" si="3"/>
        <v>11.685849056603773</v>
      </c>
      <c r="Q20" s="77">
        <v>106</v>
      </c>
      <c r="R20" s="68">
        <v>1238.7</v>
      </c>
    </row>
    <row r="21" spans="1:18" x14ac:dyDescent="0.4">
      <c r="A21" s="19" t="s">
        <v>13</v>
      </c>
      <c r="B21" s="12">
        <v>273</v>
      </c>
      <c r="C21" s="6">
        <f>IF(B$3=0,0,B21/B$3)</f>
        <v>0.14028776978417265</v>
      </c>
      <c r="E21" s="27" t="s">
        <v>85</v>
      </c>
      <c r="F21" s="24" t="s">
        <v>40</v>
      </c>
      <c r="G21" s="12">
        <v>3</v>
      </c>
      <c r="H21" s="88">
        <f t="shared" si="0"/>
        <v>5.5658627087198514E-3</v>
      </c>
      <c r="I21" s="58">
        <v>3</v>
      </c>
      <c r="K21" s="74">
        <v>19</v>
      </c>
      <c r="L21" s="119">
        <v>42.600000000000016</v>
      </c>
      <c r="M21" s="117">
        <v>1507.1748445593471</v>
      </c>
      <c r="O21" s="74" t="s">
        <v>195</v>
      </c>
      <c r="P21" s="83">
        <f t="shared" si="3"/>
        <v>10.037288135593213</v>
      </c>
      <c r="Q21" s="77">
        <v>118</v>
      </c>
      <c r="R21" s="68">
        <v>1184.3999999999992</v>
      </c>
    </row>
    <row r="22" spans="1:18" x14ac:dyDescent="0.4">
      <c r="A22" s="19" t="s">
        <v>12</v>
      </c>
      <c r="B22" s="12">
        <v>269</v>
      </c>
      <c r="C22" s="6">
        <f>IF(B$20=0,0,B22/B$20)</f>
        <v>0.38705035971223023</v>
      </c>
      <c r="E22" s="27" t="s">
        <v>92</v>
      </c>
      <c r="F22" s="24" t="s">
        <v>47</v>
      </c>
      <c r="G22" s="12">
        <v>3</v>
      </c>
      <c r="H22" s="88">
        <f t="shared" si="0"/>
        <v>5.5658627087198514E-3</v>
      </c>
      <c r="I22" s="58">
        <v>4</v>
      </c>
      <c r="K22" s="74">
        <v>20</v>
      </c>
      <c r="L22" s="119">
        <v>68.800000000000011</v>
      </c>
      <c r="M22" s="117">
        <v>1511.811795491991</v>
      </c>
      <c r="O22" s="74" t="s">
        <v>223</v>
      </c>
      <c r="P22" s="83">
        <f t="shared" si="3"/>
        <v>9.1555555555555568</v>
      </c>
      <c r="Q22" s="77">
        <v>27</v>
      </c>
      <c r="R22" s="68">
        <v>247.20000000000005</v>
      </c>
    </row>
    <row r="23" spans="1:18" x14ac:dyDescent="0.4">
      <c r="A23" s="19" t="s">
        <v>11</v>
      </c>
      <c r="B23" s="12">
        <v>426</v>
      </c>
      <c r="C23" s="6">
        <f>IF(B$20=0,0,B23/B$20)</f>
        <v>0.61294964028776977</v>
      </c>
      <c r="E23" s="27" t="s">
        <v>74</v>
      </c>
      <c r="F23" s="24" t="s">
        <v>29</v>
      </c>
      <c r="G23" s="12">
        <v>2</v>
      </c>
      <c r="H23" s="88">
        <f t="shared" si="0"/>
        <v>3.7105751391465678E-3</v>
      </c>
      <c r="I23" s="58">
        <v>3</v>
      </c>
      <c r="K23" s="74">
        <v>21</v>
      </c>
      <c r="L23" s="119">
        <v>125.30000000000001</v>
      </c>
      <c r="M23" s="117">
        <v>1521.874924719039</v>
      </c>
      <c r="O23" s="74" t="s">
        <v>198</v>
      </c>
      <c r="P23" s="83">
        <f t="shared" si="3"/>
        <v>8</v>
      </c>
      <c r="Q23" s="77">
        <v>1</v>
      </c>
      <c r="R23" s="68">
        <v>8</v>
      </c>
    </row>
    <row r="24" spans="1:18" x14ac:dyDescent="0.4">
      <c r="A24" s="19" t="s">
        <v>184</v>
      </c>
      <c r="B24" s="12">
        <v>296</v>
      </c>
      <c r="C24" s="6">
        <f>IF(B$20=0,0,B24/B$20)</f>
        <v>0.42589928057553955</v>
      </c>
      <c r="E24" s="27" t="s">
        <v>87</v>
      </c>
      <c r="F24" s="24" t="s">
        <v>42</v>
      </c>
      <c r="G24" s="12">
        <v>2</v>
      </c>
      <c r="H24" s="88">
        <f t="shared" si="0"/>
        <v>3.7105751391465678E-3</v>
      </c>
      <c r="I24" s="58">
        <v>2</v>
      </c>
      <c r="K24" s="74">
        <v>22</v>
      </c>
      <c r="L24" s="119">
        <v>99.800000000000011</v>
      </c>
      <c r="M24" s="117">
        <v>1517.2016751707247</v>
      </c>
      <c r="O24" s="74" t="s">
        <v>193</v>
      </c>
      <c r="P24" s="83">
        <f t="shared" si="3"/>
        <v>4.0227722772277232</v>
      </c>
      <c r="Q24" s="77">
        <v>101</v>
      </c>
      <c r="R24" s="68">
        <v>406.3</v>
      </c>
    </row>
    <row r="25" spans="1:18" x14ac:dyDescent="0.4">
      <c r="A25" s="19" t="s">
        <v>182</v>
      </c>
      <c r="B25" s="12">
        <v>153</v>
      </c>
      <c r="C25" s="6">
        <f>IF(B$20=0,0,B25/B$20)</f>
        <v>0.22014388489208633</v>
      </c>
      <c r="E25" s="27" t="s">
        <v>90</v>
      </c>
      <c r="F25" s="24" t="s">
        <v>45</v>
      </c>
      <c r="G25" s="12">
        <v>1</v>
      </c>
      <c r="H25" s="88">
        <f t="shared" si="0"/>
        <v>1.8552875695732839E-3</v>
      </c>
      <c r="I25" s="58">
        <v>2</v>
      </c>
      <c r="K25" s="74">
        <v>23</v>
      </c>
      <c r="L25" s="119">
        <v>124.50000000000001</v>
      </c>
      <c r="M25" s="117">
        <v>1521.5924651197004</v>
      </c>
      <c r="O25" s="74" t="s">
        <v>211</v>
      </c>
      <c r="P25" s="83">
        <f t="shared" si="3"/>
        <v>1.0272727272727264</v>
      </c>
      <c r="Q25" s="77">
        <v>55</v>
      </c>
      <c r="R25" s="68">
        <v>56.499999999999957</v>
      </c>
    </row>
    <row r="26" spans="1:18" x14ac:dyDescent="0.4">
      <c r="A26" s="19" t="s">
        <v>183</v>
      </c>
      <c r="B26" s="12">
        <v>246</v>
      </c>
      <c r="C26" s="6">
        <f>IF(B$20=0,0,B26/B$20)</f>
        <v>0.35395683453237409</v>
      </c>
      <c r="E26" s="27" t="s">
        <v>93</v>
      </c>
      <c r="F26" s="24" t="s">
        <v>48</v>
      </c>
      <c r="G26" s="12">
        <v>1</v>
      </c>
      <c r="H26" s="88">
        <f t="shared" si="0"/>
        <v>1.8552875695732839E-3</v>
      </c>
      <c r="I26" s="58">
        <v>5</v>
      </c>
      <c r="K26" s="74">
        <v>24</v>
      </c>
      <c r="L26" s="119">
        <v>118.00000000000001</v>
      </c>
      <c r="M26" s="117">
        <v>1520.3409103289821</v>
      </c>
    </row>
    <row r="27" spans="1:18" x14ac:dyDescent="0.4">
      <c r="A27" s="19" t="s">
        <v>5</v>
      </c>
      <c r="B27" s="16">
        <f>IF(B$20=0,0,C27/B$20)</f>
        <v>9923.1654676258986</v>
      </c>
      <c r="C27" s="8">
        <v>6896600</v>
      </c>
      <c r="E27" s="27" t="s">
        <v>95</v>
      </c>
      <c r="F27" s="24" t="s">
        <v>50</v>
      </c>
      <c r="G27" s="12">
        <v>1</v>
      </c>
      <c r="H27" s="88">
        <f t="shared" si="0"/>
        <v>1.8552875695732839E-3</v>
      </c>
      <c r="I27" s="58">
        <v>1</v>
      </c>
      <c r="K27" s="74">
        <v>25</v>
      </c>
      <c r="L27" s="119">
        <v>84.300000000000011</v>
      </c>
      <c r="M27" s="117">
        <v>1514.2008648670082</v>
      </c>
    </row>
    <row r="28" spans="1:18" x14ac:dyDescent="0.4">
      <c r="A28" s="20" t="s">
        <v>166</v>
      </c>
      <c r="B28" s="95">
        <f>IF($B$20-B$19=0,0,C28/($B$20-B$19))</f>
        <v>10081.918819188191</v>
      </c>
      <c r="C28" s="96">
        <v>5464400</v>
      </c>
      <c r="E28" s="27" t="s">
        <v>106</v>
      </c>
      <c r="F28" s="24" t="s">
        <v>113</v>
      </c>
      <c r="G28" s="12">
        <v>1</v>
      </c>
      <c r="H28" s="88">
        <f t="shared" si="0"/>
        <v>1.8552875695732839E-3</v>
      </c>
      <c r="I28" s="58">
        <v>1</v>
      </c>
      <c r="K28" s="74">
        <v>26</v>
      </c>
      <c r="L28" s="119">
        <v>108.20000000000002</v>
      </c>
      <c r="M28" s="117">
        <v>1518.4656596778061</v>
      </c>
    </row>
    <row r="29" spans="1:18" x14ac:dyDescent="0.4">
      <c r="A29" s="20" t="s">
        <v>167</v>
      </c>
      <c r="B29" s="95">
        <f>IF(B$19=0,0,C29/B$19)</f>
        <v>9360.7843137254895</v>
      </c>
      <c r="C29" s="96">
        <v>1432200</v>
      </c>
      <c r="E29" s="27" t="s">
        <v>76</v>
      </c>
      <c r="F29" s="24" t="s">
        <v>31</v>
      </c>
      <c r="G29" s="12">
        <v>0</v>
      </c>
      <c r="H29" s="88">
        <f t="shared" si="0"/>
        <v>0</v>
      </c>
      <c r="I29" s="58">
        <v>1</v>
      </c>
      <c r="K29" s="74">
        <v>27</v>
      </c>
      <c r="L29" s="119">
        <v>71.200000000000017</v>
      </c>
      <c r="M29" s="117">
        <v>1511.7428657197393</v>
      </c>
    </row>
    <row r="30" spans="1:18" x14ac:dyDescent="0.4">
      <c r="A30" s="20" t="s">
        <v>165</v>
      </c>
      <c r="B30" s="95">
        <f>IF(B$21=0,0,C30/B$21)</f>
        <v>-9277.6556776556772</v>
      </c>
      <c r="C30" s="96">
        <v>-2532800</v>
      </c>
      <c r="E30" s="27" t="s">
        <v>80</v>
      </c>
      <c r="F30" s="24" t="s">
        <v>35</v>
      </c>
      <c r="G30" s="12">
        <v>0</v>
      </c>
      <c r="H30" s="88">
        <f t="shared" si="0"/>
        <v>0</v>
      </c>
      <c r="I30" s="58">
        <v>3</v>
      </c>
      <c r="K30" s="74">
        <v>28</v>
      </c>
      <c r="L30" s="119">
        <v>129.20000000000002</v>
      </c>
      <c r="M30" s="117">
        <v>1522.1604085254207</v>
      </c>
    </row>
    <row r="31" spans="1:18" x14ac:dyDescent="0.4">
      <c r="A31" s="19" t="s">
        <v>158</v>
      </c>
      <c r="B31" s="12">
        <v>7</v>
      </c>
      <c r="C31" s="90">
        <v>0</v>
      </c>
      <c r="E31" s="27" t="s">
        <v>82</v>
      </c>
      <c r="F31" s="24" t="s">
        <v>37</v>
      </c>
      <c r="G31" s="12">
        <v>0</v>
      </c>
      <c r="H31" s="88">
        <f t="shared" si="0"/>
        <v>0</v>
      </c>
      <c r="I31" s="58">
        <v>1</v>
      </c>
      <c r="K31" s="74">
        <v>29</v>
      </c>
      <c r="L31" s="119">
        <v>120.80000000000001</v>
      </c>
      <c r="M31" s="117">
        <v>1520.5694460742682</v>
      </c>
    </row>
    <row r="32" spans="1:18" x14ac:dyDescent="0.4">
      <c r="A32" s="19" t="s">
        <v>159</v>
      </c>
      <c r="B32" s="12">
        <v>32</v>
      </c>
      <c r="C32" s="90">
        <v>0</v>
      </c>
      <c r="E32" s="27" t="s">
        <v>84</v>
      </c>
      <c r="F32" s="24" t="s">
        <v>39</v>
      </c>
      <c r="G32" s="12">
        <v>0</v>
      </c>
      <c r="H32" s="88">
        <f t="shared" si="0"/>
        <v>0</v>
      </c>
      <c r="I32" s="58">
        <v>5</v>
      </c>
      <c r="K32" s="74">
        <v>30</v>
      </c>
      <c r="L32" s="119">
        <v>174.10000000000002</v>
      </c>
      <c r="M32" s="117">
        <v>1530.1180293978225</v>
      </c>
    </row>
    <row r="33" spans="1:13" x14ac:dyDescent="0.4">
      <c r="A33" s="54" t="s">
        <v>136</v>
      </c>
      <c r="B33" s="131">
        <v>10</v>
      </c>
      <c r="C33" s="132"/>
      <c r="E33" s="27" t="s">
        <v>88</v>
      </c>
      <c r="F33" s="24" t="s">
        <v>43</v>
      </c>
      <c r="G33" s="12">
        <v>0</v>
      </c>
      <c r="H33" s="88">
        <f t="shared" si="0"/>
        <v>0</v>
      </c>
      <c r="I33" s="58">
        <v>3</v>
      </c>
      <c r="K33" s="74">
        <v>31</v>
      </c>
      <c r="L33" s="119">
        <v>160.10000000000002</v>
      </c>
      <c r="M33" s="117">
        <v>1527.4953212214357</v>
      </c>
    </row>
    <row r="34" spans="1:13" x14ac:dyDescent="0.4">
      <c r="A34" s="22" t="s">
        <v>181</v>
      </c>
      <c r="B34" s="133">
        <v>120200</v>
      </c>
      <c r="C34" s="134"/>
      <c r="E34" s="27" t="s">
        <v>94</v>
      </c>
      <c r="F34" s="24" t="s">
        <v>49</v>
      </c>
      <c r="G34" s="12">
        <v>0</v>
      </c>
      <c r="H34" s="88">
        <f t="shared" ref="H34:H52" si="4">IF(B$52=0,0,G34/B$52)</f>
        <v>0</v>
      </c>
      <c r="I34" s="58">
        <v>1</v>
      </c>
      <c r="K34" s="74">
        <v>32</v>
      </c>
      <c r="L34" s="119">
        <v>220.8</v>
      </c>
      <c r="M34" s="117">
        <v>1538.3343492941071</v>
      </c>
    </row>
    <row r="35" spans="1:13" x14ac:dyDescent="0.4">
      <c r="A35" s="21" t="s">
        <v>137</v>
      </c>
      <c r="B35" s="29">
        <v>2</v>
      </c>
      <c r="C35" s="9">
        <f>IF(B$3=0,0,B35/B$3)</f>
        <v>1.0277492291880781E-3</v>
      </c>
      <c r="E35" s="27" t="s">
        <v>96</v>
      </c>
      <c r="F35" s="24" t="s">
        <v>51</v>
      </c>
      <c r="G35" s="12">
        <v>0</v>
      </c>
      <c r="H35" s="88">
        <f t="shared" si="4"/>
        <v>0</v>
      </c>
      <c r="I35" s="58">
        <v>1</v>
      </c>
      <c r="K35" s="74">
        <v>33</v>
      </c>
      <c r="L35" s="119">
        <v>270.8</v>
      </c>
      <c r="M35" s="117">
        <v>1547.1823431983426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 t="shared" si="4"/>
        <v>0</v>
      </c>
      <c r="I36" s="58">
        <v>1</v>
      </c>
      <c r="K36" s="74">
        <v>34</v>
      </c>
      <c r="L36" s="119">
        <v>256.8</v>
      </c>
      <c r="M36" s="117">
        <v>1544.4572491391525</v>
      </c>
    </row>
    <row r="37" spans="1:13" x14ac:dyDescent="0.4">
      <c r="A37" s="54" t="s">
        <v>172</v>
      </c>
      <c r="B37" s="122">
        <v>27</v>
      </c>
      <c r="C37" s="98">
        <f t="shared" ref="C37:C49" si="5">IF(B$20=0,0,B37/B$20)</f>
        <v>3.884892086330935E-2</v>
      </c>
      <c r="E37" s="27" t="s">
        <v>98</v>
      </c>
      <c r="F37" s="24" t="s">
        <v>53</v>
      </c>
      <c r="G37" s="12">
        <v>0</v>
      </c>
      <c r="H37" s="88">
        <f t="shared" si="4"/>
        <v>0</v>
      </c>
      <c r="I37" s="58">
        <v>1</v>
      </c>
      <c r="K37" s="74">
        <v>35</v>
      </c>
      <c r="L37" s="119">
        <v>253.4</v>
      </c>
      <c r="M37" s="117">
        <v>1543.6565056443176</v>
      </c>
    </row>
    <row r="38" spans="1:13" x14ac:dyDescent="0.4">
      <c r="A38" s="19" t="s">
        <v>168</v>
      </c>
      <c r="B38" s="12">
        <v>53</v>
      </c>
      <c r="C38" s="6">
        <f t="shared" si="5"/>
        <v>7.6258992805755391E-2</v>
      </c>
      <c r="E38" s="27" t="s">
        <v>99</v>
      </c>
      <c r="F38" s="24" t="s">
        <v>54</v>
      </c>
      <c r="G38" s="12">
        <v>0</v>
      </c>
      <c r="H38" s="88">
        <f t="shared" si="4"/>
        <v>0</v>
      </c>
      <c r="I38" s="58">
        <v>1</v>
      </c>
      <c r="K38" s="74">
        <v>36</v>
      </c>
      <c r="L38" s="119">
        <v>236.3</v>
      </c>
      <c r="M38" s="117">
        <v>1540.3945666104516</v>
      </c>
    </row>
    <row r="39" spans="1:13" x14ac:dyDescent="0.4">
      <c r="A39" s="19" t="s">
        <v>169</v>
      </c>
      <c r="B39" s="123">
        <v>107</v>
      </c>
      <c r="C39" s="6">
        <f t="shared" si="5"/>
        <v>0.1539568345323741</v>
      </c>
      <c r="E39" s="27" t="s">
        <v>100</v>
      </c>
      <c r="F39" s="24" t="s">
        <v>55</v>
      </c>
      <c r="G39" s="12">
        <v>0</v>
      </c>
      <c r="H39" s="88">
        <f t="shared" si="4"/>
        <v>0</v>
      </c>
      <c r="I39" s="58">
        <v>1</v>
      </c>
      <c r="K39" s="74">
        <v>37</v>
      </c>
      <c r="L39" s="119">
        <v>257.40000000000003</v>
      </c>
      <c r="M39" s="117">
        <v>1544.0281992107889</v>
      </c>
    </row>
    <row r="40" spans="1:13" x14ac:dyDescent="0.4">
      <c r="A40" s="19" t="s">
        <v>170</v>
      </c>
      <c r="B40" s="123">
        <v>111</v>
      </c>
      <c r="C40" s="6">
        <f t="shared" si="5"/>
        <v>0.15971223021582734</v>
      </c>
      <c r="E40" s="27" t="s">
        <v>101</v>
      </c>
      <c r="F40" s="24" t="s">
        <v>56</v>
      </c>
      <c r="G40" s="12">
        <v>0</v>
      </c>
      <c r="H40" s="88">
        <f t="shared" si="4"/>
        <v>0</v>
      </c>
      <c r="I40" s="58">
        <v>1</v>
      </c>
      <c r="K40" s="74">
        <v>38</v>
      </c>
      <c r="L40" s="119">
        <v>206.80000000000004</v>
      </c>
      <c r="M40" s="117">
        <v>1534.7340300155242</v>
      </c>
    </row>
    <row r="41" spans="1:13" x14ac:dyDescent="0.4">
      <c r="A41" s="19" t="s">
        <v>171</v>
      </c>
      <c r="B41" s="123">
        <v>80</v>
      </c>
      <c r="C41" s="6">
        <f t="shared" si="5"/>
        <v>0.11510791366906475</v>
      </c>
      <c r="E41" s="27" t="s">
        <v>102</v>
      </c>
      <c r="F41" s="24" t="s">
        <v>57</v>
      </c>
      <c r="G41" s="12">
        <v>0</v>
      </c>
      <c r="H41" s="88">
        <f t="shared" si="4"/>
        <v>0</v>
      </c>
      <c r="I41" s="58">
        <v>1</v>
      </c>
      <c r="K41" s="74">
        <v>39</v>
      </c>
      <c r="L41" s="119">
        <v>198.60000000000005</v>
      </c>
      <c r="M41" s="117">
        <v>1533.127625835431</v>
      </c>
    </row>
    <row r="42" spans="1:13" x14ac:dyDescent="0.4">
      <c r="A42" s="19" t="s">
        <v>173</v>
      </c>
      <c r="B42" s="123">
        <v>58</v>
      </c>
      <c r="C42" s="6">
        <f t="shared" si="5"/>
        <v>8.3453237410071948E-2</v>
      </c>
      <c r="E42" s="27" t="s">
        <v>103</v>
      </c>
      <c r="F42" s="24" t="s">
        <v>58</v>
      </c>
      <c r="G42" s="12">
        <v>0</v>
      </c>
      <c r="H42" s="88">
        <f t="shared" si="4"/>
        <v>0</v>
      </c>
      <c r="I42" s="58">
        <v>1</v>
      </c>
      <c r="K42" s="74">
        <v>40</v>
      </c>
      <c r="L42" s="119">
        <v>191.60000000000005</v>
      </c>
      <c r="M42" s="117">
        <v>1531.7468600804184</v>
      </c>
    </row>
    <row r="43" spans="1:13" x14ac:dyDescent="0.4">
      <c r="A43" s="19" t="s">
        <v>174</v>
      </c>
      <c r="B43" s="123">
        <v>39</v>
      </c>
      <c r="C43" s="6">
        <f t="shared" si="5"/>
        <v>5.6115107913669061E-2</v>
      </c>
      <c r="E43" s="27" t="s">
        <v>104</v>
      </c>
      <c r="F43" s="24" t="s">
        <v>59</v>
      </c>
      <c r="G43" s="12">
        <v>0</v>
      </c>
      <c r="H43" s="88">
        <f t="shared" si="4"/>
        <v>0</v>
      </c>
      <c r="I43" s="58">
        <v>1</v>
      </c>
      <c r="K43" s="74">
        <v>41</v>
      </c>
      <c r="L43" s="119">
        <v>155.20000000000005</v>
      </c>
      <c r="M43" s="117">
        <v>1525.082378919936</v>
      </c>
    </row>
    <row r="44" spans="1:13" x14ac:dyDescent="0.4">
      <c r="A44" s="19" t="s">
        <v>175</v>
      </c>
      <c r="B44" s="123">
        <v>27</v>
      </c>
      <c r="C44" s="6">
        <f t="shared" si="5"/>
        <v>3.884892086330935E-2</v>
      </c>
      <c r="E44" s="27" t="s">
        <v>105</v>
      </c>
      <c r="F44" s="24" t="s">
        <v>112</v>
      </c>
      <c r="G44" s="12">
        <v>0</v>
      </c>
      <c r="H44" s="88">
        <f t="shared" si="4"/>
        <v>0</v>
      </c>
      <c r="I44" s="58">
        <v>1</v>
      </c>
      <c r="K44" s="74">
        <v>42</v>
      </c>
      <c r="L44" s="119">
        <v>146.70000000000005</v>
      </c>
      <c r="M44" s="117">
        <v>1523.4378846464165</v>
      </c>
    </row>
    <row r="45" spans="1:13" x14ac:dyDescent="0.4">
      <c r="A45" s="19" t="s">
        <v>176</v>
      </c>
      <c r="B45" s="123">
        <v>17</v>
      </c>
      <c r="C45" s="6">
        <f t="shared" si="5"/>
        <v>2.4460431654676259E-2</v>
      </c>
      <c r="E45" s="27" t="s">
        <v>107</v>
      </c>
      <c r="F45" s="24" t="s">
        <v>114</v>
      </c>
      <c r="G45" s="12">
        <v>0</v>
      </c>
      <c r="H45" s="88">
        <f t="shared" si="4"/>
        <v>0</v>
      </c>
      <c r="I45" s="58">
        <v>1</v>
      </c>
      <c r="K45" s="74">
        <v>43</v>
      </c>
      <c r="L45" s="119">
        <v>155.10000000000005</v>
      </c>
      <c r="M45" s="117">
        <v>1524.845257338538</v>
      </c>
    </row>
    <row r="46" spans="1:13" x14ac:dyDescent="0.4">
      <c r="A46" s="19" t="s">
        <v>177</v>
      </c>
      <c r="B46" s="123">
        <v>5</v>
      </c>
      <c r="C46" s="6">
        <f t="shared" si="5"/>
        <v>7.1942446043165471E-3</v>
      </c>
      <c r="E46" s="27" t="s">
        <v>108</v>
      </c>
      <c r="F46" s="24" t="s">
        <v>60</v>
      </c>
      <c r="G46" s="12">
        <v>0</v>
      </c>
      <c r="H46" s="88">
        <f t="shared" si="4"/>
        <v>0</v>
      </c>
      <c r="I46" s="58">
        <v>1</v>
      </c>
      <c r="K46" s="74">
        <v>44</v>
      </c>
      <c r="L46" s="119">
        <v>144.70000000000005</v>
      </c>
      <c r="M46" s="117">
        <v>1522.8601857945068</v>
      </c>
    </row>
    <row r="47" spans="1:13" x14ac:dyDescent="0.4">
      <c r="A47" s="19" t="s">
        <v>178</v>
      </c>
      <c r="B47" s="123">
        <v>4</v>
      </c>
      <c r="C47" s="6">
        <f t="shared" si="5"/>
        <v>5.7553956834532375E-3</v>
      </c>
      <c r="E47" s="27" t="s">
        <v>109</v>
      </c>
      <c r="F47" s="24" t="s">
        <v>61</v>
      </c>
      <c r="G47" s="12">
        <v>0</v>
      </c>
      <c r="H47" s="88">
        <f t="shared" si="4"/>
        <v>0</v>
      </c>
      <c r="I47" s="58">
        <v>1</v>
      </c>
      <c r="K47" s="74">
        <v>45</v>
      </c>
      <c r="L47" s="119">
        <v>172.60000000000005</v>
      </c>
      <c r="M47" s="117">
        <v>1527.7870246797397</v>
      </c>
    </row>
    <row r="48" spans="1:13" x14ac:dyDescent="0.4">
      <c r="A48" s="19" t="s">
        <v>179</v>
      </c>
      <c r="B48" s="123">
        <v>1</v>
      </c>
      <c r="C48" s="6">
        <f t="shared" si="5"/>
        <v>1.4388489208633094E-3</v>
      </c>
      <c r="E48" s="27" t="s">
        <v>110</v>
      </c>
      <c r="F48" s="24" t="s">
        <v>62</v>
      </c>
      <c r="G48" s="12">
        <v>0</v>
      </c>
      <c r="H48" s="88">
        <f t="shared" si="4"/>
        <v>0</v>
      </c>
      <c r="I48" s="58">
        <v>1</v>
      </c>
      <c r="K48" s="74">
        <v>46</v>
      </c>
      <c r="L48" s="119">
        <v>152.10000000000005</v>
      </c>
      <c r="M48" s="117">
        <v>1523.9723025316612</v>
      </c>
    </row>
    <row r="49" spans="1:13" x14ac:dyDescent="0.4">
      <c r="A49" s="21" t="s">
        <v>180</v>
      </c>
      <c r="B49" s="97">
        <v>10</v>
      </c>
      <c r="C49" s="9">
        <f t="shared" si="5"/>
        <v>1.4388489208633094E-2</v>
      </c>
      <c r="E49" s="27" t="s">
        <v>111</v>
      </c>
      <c r="F49" s="24" t="s">
        <v>63</v>
      </c>
      <c r="G49" s="12">
        <v>0</v>
      </c>
      <c r="H49" s="88">
        <f t="shared" si="4"/>
        <v>0</v>
      </c>
      <c r="I49" s="58">
        <v>1</v>
      </c>
      <c r="K49" s="74">
        <v>47</v>
      </c>
      <c r="L49" s="119">
        <v>121.00000000000006</v>
      </c>
      <c r="M49" s="117">
        <v>1518.2724687164712</v>
      </c>
    </row>
    <row r="50" spans="1:13" x14ac:dyDescent="0.4">
      <c r="E50" s="27" t="s">
        <v>156</v>
      </c>
      <c r="F50" s="24" t="s">
        <v>157</v>
      </c>
      <c r="G50" s="12">
        <v>0</v>
      </c>
      <c r="H50" s="88">
        <f t="shared" si="4"/>
        <v>0</v>
      </c>
      <c r="I50" s="58">
        <v>1</v>
      </c>
      <c r="K50" s="74">
        <v>48</v>
      </c>
      <c r="L50" s="119">
        <v>137.20000000000005</v>
      </c>
      <c r="M50" s="117">
        <v>1521.1208339041723</v>
      </c>
    </row>
    <row r="51" spans="1:13" x14ac:dyDescent="0.4">
      <c r="A51" s="54" t="s">
        <v>206</v>
      </c>
      <c r="B51" s="125">
        <v>1490</v>
      </c>
      <c r="C51" s="126"/>
      <c r="E51" s="91" t="s">
        <v>160</v>
      </c>
      <c r="F51" s="92" t="s">
        <v>161</v>
      </c>
      <c r="G51" s="13">
        <v>0</v>
      </c>
      <c r="H51" s="93">
        <f t="shared" si="4"/>
        <v>0</v>
      </c>
      <c r="I51" s="94">
        <v>1</v>
      </c>
      <c r="K51" s="74">
        <v>49</v>
      </c>
      <c r="L51" s="119">
        <v>132.30000000000004</v>
      </c>
      <c r="M51" s="117">
        <v>1520.1541089007474</v>
      </c>
    </row>
    <row r="52" spans="1:13" x14ac:dyDescent="0.4">
      <c r="A52" s="21" t="s">
        <v>207</v>
      </c>
      <c r="B52" s="127">
        <v>539</v>
      </c>
      <c r="C52" s="128"/>
      <c r="E52" s="28" t="s">
        <v>162</v>
      </c>
      <c r="F52" s="25" t="s">
        <v>163</v>
      </c>
      <c r="G52" s="14">
        <v>0</v>
      </c>
      <c r="H52" s="89">
        <f t="shared" si="4"/>
        <v>0</v>
      </c>
      <c r="I52" s="59">
        <v>1</v>
      </c>
      <c r="K52" s="74">
        <v>50</v>
      </c>
      <c r="L52" s="119">
        <v>145.10000000000005</v>
      </c>
      <c r="M52" s="117">
        <v>1522.3431842473428</v>
      </c>
    </row>
    <row r="53" spans="1:13" x14ac:dyDescent="0.4">
      <c r="K53" s="74">
        <v>51</v>
      </c>
      <c r="L53" s="119">
        <v>145.80000000000004</v>
      </c>
      <c r="M53" s="117">
        <v>1522.3771251418589</v>
      </c>
    </row>
    <row r="54" spans="1:13" x14ac:dyDescent="0.4">
      <c r="K54" s="74">
        <v>52</v>
      </c>
      <c r="L54" s="119">
        <v>139.10000000000005</v>
      </c>
      <c r="M54" s="117">
        <v>1521.0788623910078</v>
      </c>
    </row>
    <row r="55" spans="1:13" x14ac:dyDescent="0.4">
      <c r="K55" s="74">
        <v>53</v>
      </c>
      <c r="L55" s="119">
        <v>111.10000000000005</v>
      </c>
      <c r="M55" s="117">
        <v>1515.9543892166616</v>
      </c>
    </row>
    <row r="56" spans="1:13" x14ac:dyDescent="0.4">
      <c r="K56" s="74">
        <v>54</v>
      </c>
      <c r="L56" s="119">
        <v>127.80000000000005</v>
      </c>
      <c r="M56" s="117">
        <v>1518.9066628813616</v>
      </c>
    </row>
    <row r="57" spans="1:13" x14ac:dyDescent="0.4">
      <c r="K57" s="74">
        <v>55</v>
      </c>
      <c r="L57" s="119">
        <v>120.80000000000005</v>
      </c>
      <c r="M57" s="117">
        <v>1517.5752229040734</v>
      </c>
    </row>
    <row r="58" spans="1:13" x14ac:dyDescent="0.4">
      <c r="K58" s="74">
        <v>56</v>
      </c>
      <c r="L58" s="119">
        <v>152.40000000000006</v>
      </c>
      <c r="M58" s="117">
        <v>1523.139771566649</v>
      </c>
    </row>
    <row r="59" spans="1:13" x14ac:dyDescent="0.4">
      <c r="K59" s="74">
        <v>57</v>
      </c>
      <c r="L59" s="119">
        <v>168.20000000000007</v>
      </c>
      <c r="M59" s="117">
        <v>1525.8989329372491</v>
      </c>
    </row>
    <row r="60" spans="1:13" x14ac:dyDescent="0.4">
      <c r="K60" s="74">
        <v>58</v>
      </c>
      <c r="L60" s="119">
        <v>225.20000000000007</v>
      </c>
      <c r="M60" s="117">
        <v>1536.0575393396257</v>
      </c>
    </row>
    <row r="61" spans="1:13" x14ac:dyDescent="0.4">
      <c r="K61" s="74">
        <v>59</v>
      </c>
      <c r="L61" s="119">
        <v>230.50000000000009</v>
      </c>
      <c r="M61" s="117">
        <v>1536.8491941035879</v>
      </c>
    </row>
    <row r="62" spans="1:13" x14ac:dyDescent="0.4">
      <c r="K62" s="74">
        <v>60</v>
      </c>
      <c r="L62" s="119">
        <v>184.40000000000009</v>
      </c>
      <c r="M62" s="117">
        <v>1528.3960989389664</v>
      </c>
    </row>
    <row r="63" spans="1:13" x14ac:dyDescent="0.4">
      <c r="K63" s="74">
        <v>61</v>
      </c>
      <c r="L63" s="119">
        <v>205.50000000000009</v>
      </c>
      <c r="M63" s="117">
        <v>1532.0657223453325</v>
      </c>
    </row>
    <row r="64" spans="1:13" x14ac:dyDescent="0.4">
      <c r="K64" s="74">
        <v>62</v>
      </c>
      <c r="L64" s="119">
        <v>139.50000000000009</v>
      </c>
      <c r="M64" s="117">
        <v>1520.0353280112604</v>
      </c>
    </row>
    <row r="65" spans="11:13" x14ac:dyDescent="0.4">
      <c r="K65" s="74">
        <v>63</v>
      </c>
      <c r="L65" s="119">
        <v>134.50000000000009</v>
      </c>
      <c r="M65" s="117">
        <v>1518.9551160431929</v>
      </c>
    </row>
    <row r="66" spans="11:13" x14ac:dyDescent="0.4">
      <c r="K66" s="74">
        <v>64</v>
      </c>
      <c r="L66" s="119">
        <v>135.50000000000009</v>
      </c>
      <c r="M66" s="117">
        <v>1519.0453853469337</v>
      </c>
    </row>
    <row r="67" spans="11:13" x14ac:dyDescent="0.4">
      <c r="K67" s="74">
        <v>65</v>
      </c>
      <c r="L67" s="119">
        <v>167.10000000000008</v>
      </c>
      <c r="M67" s="117">
        <v>1524.6371130348521</v>
      </c>
    </row>
    <row r="68" spans="11:13" x14ac:dyDescent="0.4">
      <c r="K68" s="74">
        <v>66</v>
      </c>
      <c r="L68" s="119">
        <v>148.10000000000008</v>
      </c>
      <c r="M68" s="117">
        <v>1521.0752903566429</v>
      </c>
    </row>
    <row r="69" spans="11:13" x14ac:dyDescent="0.4">
      <c r="K69" s="74">
        <v>67</v>
      </c>
      <c r="L69" s="119">
        <v>138.20000000000007</v>
      </c>
      <c r="M69" s="117">
        <v>1519.172838614503</v>
      </c>
    </row>
    <row r="70" spans="11:13" x14ac:dyDescent="0.4">
      <c r="K70" s="74">
        <v>68</v>
      </c>
      <c r="L70" s="119">
        <v>139.10000000000008</v>
      </c>
      <c r="M70" s="117">
        <v>1519.2258015828161</v>
      </c>
    </row>
    <row r="71" spans="11:13" x14ac:dyDescent="0.4">
      <c r="K71" s="74">
        <v>69</v>
      </c>
      <c r="L71" s="119">
        <v>171.40000000000009</v>
      </c>
      <c r="M71" s="117">
        <v>1524.9304467733191</v>
      </c>
    </row>
    <row r="72" spans="11:13" x14ac:dyDescent="0.4">
      <c r="K72" s="74">
        <v>70</v>
      </c>
      <c r="L72" s="119">
        <v>199.8000000000001</v>
      </c>
      <c r="M72" s="117">
        <v>1529.9528640926792</v>
      </c>
    </row>
    <row r="73" spans="11:13" x14ac:dyDescent="0.4">
      <c r="K73" s="74">
        <v>71</v>
      </c>
      <c r="L73" s="119">
        <v>192.40000000000009</v>
      </c>
      <c r="M73" s="117">
        <v>1528.6331469081231</v>
      </c>
    </row>
    <row r="74" spans="11:13" x14ac:dyDescent="0.4">
      <c r="K74" s="74">
        <v>72</v>
      </c>
      <c r="L74" s="119">
        <v>210.7000000000001</v>
      </c>
      <c r="M74" s="117">
        <v>1531.8393480266743</v>
      </c>
    </row>
    <row r="75" spans="11:13" x14ac:dyDescent="0.4">
      <c r="K75" s="74">
        <v>73</v>
      </c>
      <c r="L75" s="119">
        <v>196.8000000000001</v>
      </c>
      <c r="M75" s="117">
        <v>1529.2303119385142</v>
      </c>
    </row>
    <row r="76" spans="11:13" x14ac:dyDescent="0.4">
      <c r="K76" s="74">
        <v>74</v>
      </c>
      <c r="L76" s="119">
        <v>236.8000000000001</v>
      </c>
      <c r="M76" s="117">
        <v>1536.3029300668832</v>
      </c>
    </row>
    <row r="77" spans="11:13" x14ac:dyDescent="0.4">
      <c r="K77" s="74">
        <v>75</v>
      </c>
      <c r="L77" s="119">
        <v>242.00000000000009</v>
      </c>
      <c r="M77" s="117">
        <v>1536.9791124864819</v>
      </c>
    </row>
    <row r="78" spans="11:13" x14ac:dyDescent="0.4">
      <c r="K78" s="74">
        <v>76</v>
      </c>
      <c r="L78" s="119">
        <v>228.3000000000001</v>
      </c>
      <c r="M78" s="117">
        <v>1534.309237811563</v>
      </c>
    </row>
    <row r="79" spans="11:13" x14ac:dyDescent="0.4">
      <c r="K79" s="74">
        <v>77</v>
      </c>
      <c r="L79" s="119">
        <v>233.40000000000009</v>
      </c>
      <c r="M79" s="117">
        <v>1535.0573823846937</v>
      </c>
    </row>
    <row r="80" spans="11:13" x14ac:dyDescent="0.4">
      <c r="K80" s="74">
        <v>78</v>
      </c>
      <c r="L80" s="119">
        <v>265.30000000000007</v>
      </c>
      <c r="M80" s="117">
        <v>1540.5710380903856</v>
      </c>
    </row>
    <row r="81" spans="11:13" x14ac:dyDescent="0.4">
      <c r="K81" s="74">
        <v>79</v>
      </c>
      <c r="L81" s="119">
        <v>305.30000000000007</v>
      </c>
      <c r="M81" s="117">
        <v>1547.5756118618433</v>
      </c>
    </row>
    <row r="82" spans="11:13" x14ac:dyDescent="0.4">
      <c r="K82" s="74">
        <v>80</v>
      </c>
      <c r="L82" s="119">
        <v>327.80000000000007</v>
      </c>
      <c r="M82" s="117">
        <v>1551.3881581906721</v>
      </c>
    </row>
    <row r="83" spans="11:13" x14ac:dyDescent="0.4">
      <c r="K83" s="74">
        <v>81</v>
      </c>
      <c r="L83" s="119">
        <v>359.30000000000007</v>
      </c>
      <c r="M83" s="117">
        <v>1556.797829241528</v>
      </c>
    </row>
    <row r="84" spans="11:13" x14ac:dyDescent="0.4">
      <c r="K84" s="74">
        <v>82</v>
      </c>
      <c r="L84" s="119">
        <v>419.10000000000008</v>
      </c>
      <c r="M84" s="117">
        <v>1567.1730422660789</v>
      </c>
    </row>
    <row r="85" spans="11:13" x14ac:dyDescent="0.4">
      <c r="K85" s="74">
        <v>83</v>
      </c>
      <c r="L85" s="119">
        <v>430.2000000000001</v>
      </c>
      <c r="M85" s="117">
        <v>1568.7200040124824</v>
      </c>
    </row>
    <row r="86" spans="11:13" x14ac:dyDescent="0.4">
      <c r="K86" s="74">
        <v>84</v>
      </c>
      <c r="L86" s="119">
        <v>431.80000000000013</v>
      </c>
      <c r="M86" s="117">
        <v>1568.5476839884075</v>
      </c>
    </row>
    <row r="87" spans="11:13" x14ac:dyDescent="0.4">
      <c r="K87" s="74">
        <v>85</v>
      </c>
      <c r="L87" s="119">
        <v>410.40000000000015</v>
      </c>
      <c r="M87" s="117">
        <v>1564.3443978844771</v>
      </c>
    </row>
    <row r="88" spans="11:13" x14ac:dyDescent="0.4">
      <c r="K88" s="74">
        <v>86</v>
      </c>
      <c r="L88" s="119">
        <v>413.90000000000015</v>
      </c>
      <c r="M88" s="117">
        <v>1564.6063314971702</v>
      </c>
    </row>
    <row r="89" spans="11:13" x14ac:dyDescent="0.4">
      <c r="K89" s="74">
        <v>87</v>
      </c>
      <c r="L89" s="119">
        <v>368.40000000000015</v>
      </c>
      <c r="M89" s="117">
        <v>1555.9806935081872</v>
      </c>
    </row>
    <row r="90" spans="11:13" x14ac:dyDescent="0.4">
      <c r="K90" s="74">
        <v>88</v>
      </c>
      <c r="L90" s="119">
        <v>367.80000000000013</v>
      </c>
      <c r="M90" s="117">
        <v>1555.4888093471382</v>
      </c>
    </row>
    <row r="91" spans="11:13" x14ac:dyDescent="0.4">
      <c r="K91" s="74">
        <v>89</v>
      </c>
      <c r="L91" s="119">
        <v>394.2000000000001</v>
      </c>
      <c r="M91" s="117">
        <v>1559.8538764910554</v>
      </c>
    </row>
    <row r="92" spans="11:13" x14ac:dyDescent="0.4">
      <c r="K92" s="74">
        <v>90</v>
      </c>
      <c r="L92" s="119">
        <v>403.90000000000009</v>
      </c>
      <c r="M92" s="117">
        <v>1561.192753232109</v>
      </c>
    </row>
    <row r="93" spans="11:13" x14ac:dyDescent="0.4">
      <c r="K93" s="74">
        <v>91</v>
      </c>
      <c r="L93" s="119">
        <v>425.00000000000011</v>
      </c>
      <c r="M93" s="117">
        <v>1564.6235967127163</v>
      </c>
    </row>
    <row r="94" spans="11:13" x14ac:dyDescent="0.4">
      <c r="K94" s="74">
        <v>92</v>
      </c>
      <c r="L94" s="119">
        <v>468.10000000000014</v>
      </c>
      <c r="M94" s="117">
        <v>1572.1078551324401</v>
      </c>
    </row>
    <row r="95" spans="11:13" x14ac:dyDescent="0.4">
      <c r="K95" s="74">
        <v>93</v>
      </c>
      <c r="L95" s="119">
        <v>462.10000000000014</v>
      </c>
      <c r="M95" s="117">
        <v>1570.6192080016456</v>
      </c>
    </row>
    <row r="96" spans="11:13" x14ac:dyDescent="0.4">
      <c r="K96" s="74">
        <v>94</v>
      </c>
      <c r="L96" s="119">
        <v>424.60000000000014</v>
      </c>
      <c r="M96" s="117">
        <v>1563.4694927536357</v>
      </c>
    </row>
    <row r="97" spans="11:13" x14ac:dyDescent="0.4">
      <c r="K97" s="74">
        <v>95</v>
      </c>
      <c r="L97" s="119">
        <v>385.10000000000014</v>
      </c>
      <c r="M97" s="117">
        <v>1556.0386757971139</v>
      </c>
    </row>
    <row r="98" spans="11:13" x14ac:dyDescent="0.4">
      <c r="K98" s="74">
        <v>96</v>
      </c>
      <c r="L98" s="119">
        <v>396.20000000000016</v>
      </c>
      <c r="M98" s="117">
        <v>1557.7664437423311</v>
      </c>
    </row>
    <row r="99" spans="11:13" x14ac:dyDescent="0.4">
      <c r="K99" s="74">
        <v>97</v>
      </c>
      <c r="L99" s="119">
        <v>394.20000000000016</v>
      </c>
      <c r="M99" s="117">
        <v>1557.1258450798771</v>
      </c>
    </row>
    <row r="100" spans="11:13" x14ac:dyDescent="0.4">
      <c r="K100" s="74">
        <v>98</v>
      </c>
      <c r="L100" s="119">
        <v>437.70000000000016</v>
      </c>
      <c r="M100" s="117">
        <v>1564.6790900093979</v>
      </c>
    </row>
    <row r="101" spans="11:13" x14ac:dyDescent="0.4">
      <c r="K101" s="74">
        <v>99</v>
      </c>
      <c r="L101" s="119">
        <v>432.10000000000014</v>
      </c>
      <c r="M101" s="117">
        <v>1563.3490154693416</v>
      </c>
    </row>
    <row r="102" spans="11:13" x14ac:dyDescent="0.4">
      <c r="K102" s="74">
        <v>100</v>
      </c>
      <c r="L102" s="119">
        <v>424.70000000000016</v>
      </c>
      <c r="M102" s="117">
        <v>1561.7029213765254</v>
      </c>
    </row>
    <row r="103" spans="11:13" x14ac:dyDescent="0.4">
      <c r="K103" s="74">
        <v>101</v>
      </c>
      <c r="L103" s="119">
        <v>386.70000000000016</v>
      </c>
      <c r="M103" s="117">
        <v>1554.5587038482663</v>
      </c>
    </row>
    <row r="104" spans="11:13" x14ac:dyDescent="0.4">
      <c r="K104" s="74">
        <v>102</v>
      </c>
      <c r="L104" s="119">
        <v>367.90000000000015</v>
      </c>
      <c r="M104" s="117">
        <v>1550.9133516251768</v>
      </c>
    </row>
    <row r="105" spans="11:13" x14ac:dyDescent="0.4">
      <c r="K105" s="74">
        <v>103</v>
      </c>
      <c r="L105" s="119">
        <v>394.90000000000015</v>
      </c>
      <c r="M105" s="117">
        <v>1555.5338715154257</v>
      </c>
    </row>
    <row r="106" spans="11:13" x14ac:dyDescent="0.4">
      <c r="K106" s="74">
        <v>104</v>
      </c>
      <c r="L106" s="119">
        <v>439.50000000000017</v>
      </c>
      <c r="M106" s="117">
        <v>1563.1506682863333</v>
      </c>
    </row>
    <row r="107" spans="11:13" x14ac:dyDescent="0.4">
      <c r="K107" s="74">
        <v>105</v>
      </c>
      <c r="L107" s="119">
        <v>446.50000000000017</v>
      </c>
      <c r="M107" s="117">
        <v>1563.9477642766153</v>
      </c>
    </row>
    <row r="108" spans="11:13" x14ac:dyDescent="0.4">
      <c r="K108" s="74">
        <v>106</v>
      </c>
      <c r="L108" s="119">
        <v>435.20000000000016</v>
      </c>
      <c r="M108" s="117">
        <v>1561.4460776909557</v>
      </c>
    </row>
    <row r="109" spans="11:13" x14ac:dyDescent="0.4">
      <c r="K109" s="74">
        <v>107</v>
      </c>
      <c r="L109" s="119">
        <v>419.70000000000016</v>
      </c>
      <c r="M109" s="117">
        <v>1558.20340122481</v>
      </c>
    </row>
    <row r="110" spans="11:13" x14ac:dyDescent="0.4">
      <c r="K110" s="74">
        <v>108</v>
      </c>
      <c r="L110" s="119">
        <v>400.40000000000015</v>
      </c>
      <c r="M110" s="117">
        <v>1554.4581808174612</v>
      </c>
    </row>
    <row r="111" spans="11:13" x14ac:dyDescent="0.4">
      <c r="K111" s="74">
        <v>109</v>
      </c>
      <c r="L111" s="119">
        <v>424.40000000000015</v>
      </c>
      <c r="M111" s="117">
        <v>1558.3674317325565</v>
      </c>
    </row>
    <row r="112" spans="11:13" x14ac:dyDescent="0.4">
      <c r="K112" s="74">
        <v>110</v>
      </c>
      <c r="L112" s="119">
        <v>443.90000000000015</v>
      </c>
      <c r="M112" s="117">
        <v>1561.443227142161</v>
      </c>
    </row>
    <row r="113" spans="11:13" x14ac:dyDescent="0.4">
      <c r="K113" s="74">
        <v>111</v>
      </c>
      <c r="L113" s="119">
        <v>438.50000000000017</v>
      </c>
      <c r="M113" s="117">
        <v>1560.024567779308</v>
      </c>
    </row>
    <row r="114" spans="11:13" x14ac:dyDescent="0.4">
      <c r="K114" s="74">
        <v>112</v>
      </c>
      <c r="L114" s="119">
        <v>494.50000000000017</v>
      </c>
      <c r="M114" s="117">
        <v>1569.666420372632</v>
      </c>
    </row>
    <row r="115" spans="11:13" x14ac:dyDescent="0.4">
      <c r="K115" s="74">
        <v>113</v>
      </c>
      <c r="L115" s="119">
        <v>511.60000000000019</v>
      </c>
      <c r="M115" s="117">
        <v>1572.5064218503962</v>
      </c>
    </row>
    <row r="116" spans="11:13" x14ac:dyDescent="0.4">
      <c r="K116" s="74">
        <v>114</v>
      </c>
      <c r="L116" s="119">
        <v>473.60000000000019</v>
      </c>
      <c r="M116" s="117">
        <v>1565.4233833192939</v>
      </c>
    </row>
    <row r="117" spans="11:13" x14ac:dyDescent="0.4">
      <c r="K117" s="74">
        <v>115</v>
      </c>
      <c r="L117" s="119">
        <v>490.10000000000019</v>
      </c>
      <c r="M117" s="117">
        <v>1568.1868430193781</v>
      </c>
    </row>
    <row r="118" spans="11:13" x14ac:dyDescent="0.4">
      <c r="K118" s="74">
        <v>116</v>
      </c>
      <c r="L118" s="119">
        <v>505.4000000000002</v>
      </c>
      <c r="M118" s="117">
        <v>1570.4357219612618</v>
      </c>
    </row>
    <row r="119" spans="11:13" x14ac:dyDescent="0.4">
      <c r="K119" s="74">
        <v>117</v>
      </c>
      <c r="L119" s="119">
        <v>517.00000000000023</v>
      </c>
      <c r="M119" s="117">
        <v>1572.2151076294942</v>
      </c>
    </row>
    <row r="120" spans="11:13" x14ac:dyDescent="0.4">
      <c r="K120" s="74">
        <v>118</v>
      </c>
      <c r="L120" s="119">
        <v>533.9000000000002</v>
      </c>
      <c r="M120" s="117">
        <v>1574.7398169837172</v>
      </c>
    </row>
    <row r="121" spans="11:13" x14ac:dyDescent="0.4">
      <c r="K121" s="74">
        <v>119</v>
      </c>
      <c r="L121" s="119">
        <v>496.4000000000002</v>
      </c>
      <c r="M121" s="117">
        <v>1567.457378081815</v>
      </c>
    </row>
    <row r="122" spans="11:13" x14ac:dyDescent="0.4">
      <c r="K122" s="74">
        <v>120</v>
      </c>
      <c r="L122" s="119">
        <v>534.9000000000002</v>
      </c>
      <c r="M122" s="117">
        <v>1573.8986338133241</v>
      </c>
    </row>
    <row r="123" spans="11:13" x14ac:dyDescent="0.4">
      <c r="K123" s="74">
        <v>121</v>
      </c>
      <c r="L123" s="119">
        <v>488.4000000000002</v>
      </c>
      <c r="M123" s="117">
        <v>1565.115242010444</v>
      </c>
    </row>
    <row r="124" spans="11:13" x14ac:dyDescent="0.4">
      <c r="K124" s="74">
        <v>122</v>
      </c>
      <c r="L124" s="119">
        <v>501.60000000000019</v>
      </c>
      <c r="M124" s="117">
        <v>1567.1305505583814</v>
      </c>
    </row>
    <row r="125" spans="11:13" x14ac:dyDescent="0.4">
      <c r="K125" s="74">
        <v>123</v>
      </c>
      <c r="L125" s="119">
        <v>482.10000000000019</v>
      </c>
      <c r="M125" s="117">
        <v>1563.3197672550311</v>
      </c>
    </row>
    <row r="126" spans="11:13" x14ac:dyDescent="0.4">
      <c r="K126" s="74">
        <v>124</v>
      </c>
      <c r="L126" s="119">
        <v>523.50000000000023</v>
      </c>
      <c r="M126" s="117">
        <v>1570.547848651501</v>
      </c>
    </row>
    <row r="127" spans="11:13" x14ac:dyDescent="0.4">
      <c r="K127" s="74">
        <v>125</v>
      </c>
      <c r="L127" s="119">
        <v>550.60000000000025</v>
      </c>
      <c r="M127" s="117">
        <v>1574.978561559592</v>
      </c>
    </row>
    <row r="128" spans="11:13" x14ac:dyDescent="0.4">
      <c r="K128" s="74">
        <v>126</v>
      </c>
      <c r="L128" s="119">
        <v>559.10000000000025</v>
      </c>
      <c r="M128" s="117">
        <v>1575.9986901902344</v>
      </c>
    </row>
    <row r="129" spans="11:13" x14ac:dyDescent="0.4">
      <c r="K129" s="74">
        <v>127</v>
      </c>
      <c r="L129" s="119">
        <v>602.4000000000002</v>
      </c>
      <c r="M129" s="117">
        <v>1583.4686980490928</v>
      </c>
    </row>
    <row r="130" spans="11:13" x14ac:dyDescent="0.4">
      <c r="K130" s="74">
        <v>128</v>
      </c>
      <c r="L130" s="119">
        <v>628.4000000000002</v>
      </c>
      <c r="M130" s="117">
        <v>1587.7738858607984</v>
      </c>
    </row>
    <row r="131" spans="11:13" x14ac:dyDescent="0.4">
      <c r="K131" s="74">
        <v>129</v>
      </c>
      <c r="L131" s="119">
        <v>639.4000000000002</v>
      </c>
      <c r="M131" s="117">
        <v>1589.3652425456337</v>
      </c>
    </row>
    <row r="132" spans="11:13" x14ac:dyDescent="0.4">
      <c r="K132" s="74">
        <v>130</v>
      </c>
      <c r="L132" s="119">
        <v>680.4000000000002</v>
      </c>
      <c r="M132" s="117">
        <v>1596.2090510903599</v>
      </c>
    </row>
    <row r="133" spans="11:13" x14ac:dyDescent="0.4">
      <c r="K133" s="74">
        <v>131</v>
      </c>
      <c r="L133" s="119">
        <v>660.60000000000025</v>
      </c>
      <c r="M133" s="117">
        <v>1592.0317967838178</v>
      </c>
    </row>
    <row r="134" spans="11:13" x14ac:dyDescent="0.4">
      <c r="K134" s="74">
        <v>132</v>
      </c>
      <c r="L134" s="119">
        <v>698.20000000000027</v>
      </c>
      <c r="M134" s="117">
        <v>1598.2536060031148</v>
      </c>
    </row>
    <row r="135" spans="11:13" x14ac:dyDescent="0.4">
      <c r="K135" s="74">
        <v>133</v>
      </c>
      <c r="L135" s="119">
        <v>706.00000000000023</v>
      </c>
      <c r="M135" s="117">
        <v>1599.074084367096</v>
      </c>
    </row>
    <row r="136" spans="11:13" x14ac:dyDescent="0.4">
      <c r="K136" s="74">
        <v>134</v>
      </c>
      <c r="L136" s="119">
        <v>774.10000000000025</v>
      </c>
      <c r="M136" s="117">
        <v>1610.7436398608934</v>
      </c>
    </row>
    <row r="137" spans="11:13" x14ac:dyDescent="0.4">
      <c r="K137" s="74">
        <v>135</v>
      </c>
      <c r="L137" s="119">
        <v>779.3000000000003</v>
      </c>
      <c r="M137" s="117">
        <v>1611.117178021728</v>
      </c>
    </row>
    <row r="138" spans="11:13" x14ac:dyDescent="0.4">
      <c r="K138" s="74">
        <v>136</v>
      </c>
      <c r="L138" s="119">
        <v>795.50000000000034</v>
      </c>
      <c r="M138" s="117">
        <v>1613.4624749535976</v>
      </c>
    </row>
    <row r="139" spans="11:13" x14ac:dyDescent="0.4">
      <c r="K139" s="74">
        <v>137</v>
      </c>
      <c r="L139" s="119">
        <v>819.70000000000039</v>
      </c>
      <c r="M139" s="117">
        <v>1617.2337001038761</v>
      </c>
    </row>
    <row r="140" spans="11:13" x14ac:dyDescent="0.4">
      <c r="K140" s="74">
        <v>138</v>
      </c>
      <c r="L140" s="119">
        <v>840.30000000000041</v>
      </c>
      <c r="M140" s="117">
        <v>1620.3342979032529</v>
      </c>
    </row>
    <row r="141" spans="11:13" x14ac:dyDescent="0.4">
      <c r="K141" s="74">
        <v>139</v>
      </c>
      <c r="L141" s="119">
        <v>847.60000000000036</v>
      </c>
      <c r="M141" s="117">
        <v>1621.0222921158334</v>
      </c>
    </row>
    <row r="142" spans="11:13" x14ac:dyDescent="0.4">
      <c r="K142" s="74">
        <v>140</v>
      </c>
      <c r="L142" s="119">
        <v>852.40000000000032</v>
      </c>
      <c r="M142" s="117">
        <v>1621.2561583631384</v>
      </c>
    </row>
    <row r="143" spans="11:13" x14ac:dyDescent="0.4">
      <c r="K143" s="74">
        <v>141</v>
      </c>
      <c r="L143" s="119">
        <v>856.50000000000034</v>
      </c>
      <c r="M143" s="117">
        <v>1621.3626214129595</v>
      </c>
    </row>
    <row r="144" spans="11:13" x14ac:dyDescent="0.4">
      <c r="K144" s="74">
        <v>142</v>
      </c>
      <c r="L144" s="119">
        <v>844.50000000000034</v>
      </c>
      <c r="M144" s="117">
        <v>1618.6364456844817</v>
      </c>
    </row>
    <row r="145" spans="11:13" x14ac:dyDescent="0.4">
      <c r="K145" s="74">
        <v>143</v>
      </c>
      <c r="L145" s="119">
        <v>857.00000000000034</v>
      </c>
      <c r="M145" s="117">
        <v>1620.3366270103747</v>
      </c>
    </row>
    <row r="146" spans="11:13" x14ac:dyDescent="0.4">
      <c r="K146" s="74">
        <v>144</v>
      </c>
      <c r="L146" s="119">
        <v>844.10000000000036</v>
      </c>
      <c r="M146" s="117">
        <v>1617.4546072483124</v>
      </c>
    </row>
    <row r="147" spans="11:13" x14ac:dyDescent="0.4">
      <c r="K147" s="74">
        <v>145</v>
      </c>
      <c r="L147" s="119">
        <v>859.70000000000039</v>
      </c>
      <c r="M147" s="117">
        <v>1619.8638796048226</v>
      </c>
    </row>
    <row r="148" spans="11:13" x14ac:dyDescent="0.4">
      <c r="K148" s="74">
        <v>146</v>
      </c>
      <c r="L148" s="119">
        <v>875.30000000000041</v>
      </c>
      <c r="M148" s="117">
        <v>1622.3486963271937</v>
      </c>
    </row>
    <row r="149" spans="11:13" x14ac:dyDescent="0.4">
      <c r="K149" s="74">
        <v>147</v>
      </c>
      <c r="L149" s="119">
        <v>839.30000000000041</v>
      </c>
      <c r="M149" s="117">
        <v>1615.5306041492306</v>
      </c>
    </row>
    <row r="150" spans="11:13" x14ac:dyDescent="0.4">
      <c r="K150" s="74">
        <v>148</v>
      </c>
      <c r="L150" s="119">
        <v>809.70000000000039</v>
      </c>
      <c r="M150" s="117">
        <v>1609.9054205243353</v>
      </c>
    </row>
    <row r="151" spans="11:13" x14ac:dyDescent="0.4">
      <c r="K151" s="74">
        <v>149</v>
      </c>
      <c r="L151" s="119">
        <v>816.50000000000034</v>
      </c>
      <c r="M151" s="117">
        <v>1610.6559880011894</v>
      </c>
    </row>
    <row r="152" spans="11:13" x14ac:dyDescent="0.4">
      <c r="K152" s="74">
        <v>150</v>
      </c>
      <c r="L152" s="119">
        <v>802.50000000000034</v>
      </c>
      <c r="M152" s="117">
        <v>1607.7000520731822</v>
      </c>
    </row>
    <row r="153" spans="11:13" x14ac:dyDescent="0.4">
      <c r="K153" s="74">
        <v>151</v>
      </c>
      <c r="L153" s="119">
        <v>792.50000000000034</v>
      </c>
      <c r="M153" s="117">
        <v>1605.4758517607431</v>
      </c>
    </row>
    <row r="154" spans="11:13" x14ac:dyDescent="0.4">
      <c r="K154" s="74">
        <v>152</v>
      </c>
      <c r="L154" s="119">
        <v>837.10000000000036</v>
      </c>
      <c r="M154" s="117">
        <v>1613.0929966501787</v>
      </c>
    </row>
    <row r="155" spans="11:13" x14ac:dyDescent="0.4">
      <c r="K155" s="74">
        <v>153</v>
      </c>
      <c r="L155" s="119">
        <v>832.40000000000032</v>
      </c>
      <c r="M155" s="117">
        <v>1611.6884386702777</v>
      </c>
    </row>
    <row r="156" spans="11:13" x14ac:dyDescent="0.4">
      <c r="K156" s="74">
        <v>154</v>
      </c>
      <c r="L156" s="119">
        <v>846.8000000000003</v>
      </c>
      <c r="M156" s="117">
        <v>1613.8203080382561</v>
      </c>
    </row>
    <row r="157" spans="11:13" x14ac:dyDescent="0.4">
      <c r="K157" s="74">
        <v>155</v>
      </c>
      <c r="L157" s="119">
        <v>832.8000000000003</v>
      </c>
      <c r="M157" s="117">
        <v>1610.7673861900266</v>
      </c>
    </row>
    <row r="158" spans="11:13" x14ac:dyDescent="0.4">
      <c r="K158" s="74">
        <v>156</v>
      </c>
      <c r="L158" s="119">
        <v>839.90000000000032</v>
      </c>
      <c r="M158" s="117">
        <v>1611.7407818728864</v>
      </c>
    </row>
    <row r="159" spans="11:13" x14ac:dyDescent="0.4">
      <c r="K159" s="74">
        <v>157</v>
      </c>
      <c r="L159" s="119">
        <v>859.60000000000036</v>
      </c>
      <c r="M159" s="117">
        <v>1614.790337181649</v>
      </c>
    </row>
    <row r="160" spans="11:13" x14ac:dyDescent="0.4">
      <c r="K160" s="74">
        <v>158</v>
      </c>
      <c r="L160" s="119">
        <v>883.40000000000032</v>
      </c>
      <c r="M160" s="117">
        <v>1618.5655951585591</v>
      </c>
    </row>
    <row r="161" spans="11:13" x14ac:dyDescent="0.4">
      <c r="K161" s="74">
        <v>159</v>
      </c>
      <c r="L161" s="119">
        <v>878.60000000000036</v>
      </c>
      <c r="M161" s="117">
        <v>1617.1522015876078</v>
      </c>
    </row>
    <row r="162" spans="11:13" x14ac:dyDescent="0.4">
      <c r="K162" s="74">
        <v>160</v>
      </c>
      <c r="L162" s="119">
        <v>911.10000000000036</v>
      </c>
      <c r="M162" s="117">
        <v>1622.5992883780821</v>
      </c>
    </row>
    <row r="163" spans="11:13" x14ac:dyDescent="0.4">
      <c r="K163" s="74">
        <v>161</v>
      </c>
      <c r="L163" s="119">
        <v>928.20000000000039</v>
      </c>
      <c r="M163" s="117">
        <v>1625.2416926478136</v>
      </c>
    </row>
    <row r="164" spans="11:13" x14ac:dyDescent="0.4">
      <c r="K164" s="74">
        <v>162</v>
      </c>
      <c r="L164" s="119">
        <v>940.50000000000034</v>
      </c>
      <c r="M164" s="117">
        <v>1626.9082424919268</v>
      </c>
    </row>
    <row r="165" spans="11:13" x14ac:dyDescent="0.4">
      <c r="K165" s="74">
        <v>163</v>
      </c>
      <c r="L165" s="119">
        <v>964.8000000000003</v>
      </c>
      <c r="M165" s="117">
        <v>1630.7247930369751</v>
      </c>
    </row>
    <row r="166" spans="11:13" x14ac:dyDescent="0.4">
      <c r="K166" s="74">
        <v>164</v>
      </c>
      <c r="L166" s="119">
        <v>952.60000000000025</v>
      </c>
      <c r="M166" s="117">
        <v>1627.9664442787532</v>
      </c>
    </row>
    <row r="167" spans="11:13" x14ac:dyDescent="0.4">
      <c r="K167" s="74">
        <v>165</v>
      </c>
      <c r="L167" s="119">
        <v>950.60000000000025</v>
      </c>
      <c r="M167" s="117">
        <v>1627.0606456130806</v>
      </c>
    </row>
    <row r="168" spans="11:13" x14ac:dyDescent="0.4">
      <c r="K168" s="74">
        <v>166</v>
      </c>
      <c r="L168" s="119">
        <v>910.00000000000023</v>
      </c>
      <c r="M168" s="117">
        <v>1618.9962817394021</v>
      </c>
    </row>
    <row r="169" spans="11:13" x14ac:dyDescent="0.4">
      <c r="K169" s="74">
        <v>167</v>
      </c>
      <c r="L169" s="119">
        <v>931.70000000000027</v>
      </c>
      <c r="M169" s="117">
        <v>1622.3803040489656</v>
      </c>
    </row>
    <row r="170" spans="11:13" x14ac:dyDescent="0.4">
      <c r="K170" s="74">
        <v>168</v>
      </c>
      <c r="L170" s="119">
        <v>972.40000000000032</v>
      </c>
      <c r="M170" s="117">
        <v>1629.1640222246717</v>
      </c>
    </row>
    <row r="171" spans="11:13" x14ac:dyDescent="0.4">
      <c r="K171" s="74">
        <v>169</v>
      </c>
      <c r="L171" s="119">
        <v>980.40000000000032</v>
      </c>
      <c r="M171" s="117">
        <v>1630.0210380913236</v>
      </c>
    </row>
    <row r="172" spans="11:13" x14ac:dyDescent="0.4">
      <c r="K172" s="74">
        <v>170</v>
      </c>
      <c r="L172" s="119">
        <v>988.10000000000036</v>
      </c>
      <c r="M172" s="117">
        <v>1630.8189118627756</v>
      </c>
    </row>
    <row r="173" spans="11:13" x14ac:dyDescent="0.4">
      <c r="K173" s="74">
        <v>171</v>
      </c>
      <c r="L173" s="119">
        <v>919.10000000000036</v>
      </c>
      <c r="M173" s="117">
        <v>1617.8059983915989</v>
      </c>
    </row>
    <row r="174" spans="11:13" x14ac:dyDescent="0.4">
      <c r="K174" s="74">
        <v>172</v>
      </c>
      <c r="L174" s="119">
        <v>916.10000000000036</v>
      </c>
      <c r="M174" s="117">
        <v>1616.6671624012492</v>
      </c>
    </row>
    <row r="175" spans="11:13" x14ac:dyDescent="0.4">
      <c r="K175" s="74">
        <v>173</v>
      </c>
      <c r="L175" s="119">
        <v>913.50000000000034</v>
      </c>
      <c r="M175" s="117">
        <v>1615.6071594268417</v>
      </c>
    </row>
    <row r="176" spans="11:13" x14ac:dyDescent="0.4">
      <c r="K176" s="74">
        <v>174</v>
      </c>
      <c r="L176" s="119">
        <v>972.50000000000034</v>
      </c>
      <c r="M176" s="117">
        <v>1625.7495164702807</v>
      </c>
    </row>
    <row r="177" spans="11:13" x14ac:dyDescent="0.4">
      <c r="K177" s="74">
        <v>175</v>
      </c>
      <c r="L177" s="119">
        <v>972.50000000000034</v>
      </c>
      <c r="M177" s="117">
        <v>1625.2110193714591</v>
      </c>
    </row>
    <row r="178" spans="11:13" x14ac:dyDescent="0.4">
      <c r="K178" s="74">
        <v>176</v>
      </c>
      <c r="L178" s="119">
        <v>952.00000000000034</v>
      </c>
      <c r="M178" s="117">
        <v>1620.9857532552303</v>
      </c>
    </row>
    <row r="179" spans="11:13" x14ac:dyDescent="0.4">
      <c r="K179" s="74">
        <v>177</v>
      </c>
      <c r="L179" s="119">
        <v>948.60000000000036</v>
      </c>
      <c r="M179" s="117">
        <v>1619.821838735699</v>
      </c>
    </row>
    <row r="180" spans="11:13" x14ac:dyDescent="0.4">
      <c r="K180" s="74">
        <v>178</v>
      </c>
      <c r="L180" s="119">
        <v>988.10000000000036</v>
      </c>
      <c r="M180" s="117">
        <v>1626.3869077032848</v>
      </c>
    </row>
    <row r="181" spans="11:13" x14ac:dyDescent="0.4">
      <c r="K181" s="74">
        <v>179</v>
      </c>
      <c r="L181" s="119">
        <v>1049.1000000000004</v>
      </c>
      <c r="M181" s="117">
        <v>1636.9925862570651</v>
      </c>
    </row>
    <row r="182" spans="11:13" x14ac:dyDescent="0.4">
      <c r="K182" s="74">
        <v>180</v>
      </c>
      <c r="L182" s="119">
        <v>1060.8000000000004</v>
      </c>
      <c r="M182" s="117">
        <v>1638.3966307395228</v>
      </c>
    </row>
    <row r="183" spans="11:13" x14ac:dyDescent="0.4">
      <c r="K183" s="74">
        <v>181</v>
      </c>
      <c r="L183" s="119">
        <v>1076.9000000000003</v>
      </c>
      <c r="M183" s="117">
        <v>1640.5842509550857</v>
      </c>
    </row>
    <row r="184" spans="11:13" x14ac:dyDescent="0.4">
      <c r="K184" s="74">
        <v>182</v>
      </c>
      <c r="L184" s="119">
        <v>1134.4000000000003</v>
      </c>
      <c r="M184" s="117">
        <v>1650.2107454493553</v>
      </c>
    </row>
    <row r="185" spans="11:13" x14ac:dyDescent="0.4">
      <c r="K185" s="74">
        <v>183</v>
      </c>
      <c r="L185" s="119">
        <v>1121.9000000000003</v>
      </c>
      <c r="M185" s="117">
        <v>1647.1794809766591</v>
      </c>
    </row>
    <row r="186" spans="11:13" x14ac:dyDescent="0.4">
      <c r="K186" s="74">
        <v>184</v>
      </c>
      <c r="L186" s="119">
        <v>1132.6000000000004</v>
      </c>
      <c r="M186" s="117">
        <v>1648.4624040907991</v>
      </c>
    </row>
    <row r="187" spans="11:13" x14ac:dyDescent="0.4">
      <c r="K187" s="74">
        <v>185</v>
      </c>
      <c r="L187" s="119">
        <v>1163.7000000000003</v>
      </c>
      <c r="M187" s="117">
        <v>1653.2476296662542</v>
      </c>
    </row>
    <row r="188" spans="11:13" x14ac:dyDescent="0.4">
      <c r="K188" s="74">
        <v>186</v>
      </c>
      <c r="L188" s="119">
        <v>1173.9000000000003</v>
      </c>
      <c r="M188" s="117">
        <v>1654.4701438882566</v>
      </c>
    </row>
    <row r="189" spans="11:13" x14ac:dyDescent="0.4">
      <c r="K189" s="74">
        <v>187</v>
      </c>
      <c r="L189" s="119">
        <v>1182.2000000000003</v>
      </c>
      <c r="M189" s="117">
        <v>1655.3493230249271</v>
      </c>
    </row>
    <row r="190" spans="11:13" x14ac:dyDescent="0.4">
      <c r="K190" s="74">
        <v>188</v>
      </c>
      <c r="L190" s="119">
        <v>1180.3000000000002</v>
      </c>
      <c r="M190" s="117">
        <v>1654.3872270867776</v>
      </c>
    </row>
    <row r="191" spans="11:13" x14ac:dyDescent="0.4">
      <c r="K191" s="74">
        <v>189</v>
      </c>
      <c r="L191" s="119">
        <v>1180.8000000000002</v>
      </c>
      <c r="M191" s="117">
        <v>1653.862903724257</v>
      </c>
    </row>
    <row r="192" spans="11:13" x14ac:dyDescent="0.4">
      <c r="K192" s="74">
        <v>190</v>
      </c>
      <c r="L192" s="119">
        <v>1228.8000000000002</v>
      </c>
      <c r="M192" s="117">
        <v>1661.8917263019114</v>
      </c>
    </row>
    <row r="193" spans="11:13" x14ac:dyDescent="0.4">
      <c r="K193" s="74">
        <v>191</v>
      </c>
      <c r="L193" s="119">
        <v>1251.6000000000001</v>
      </c>
      <c r="M193" s="117">
        <v>1665.3363759440999</v>
      </c>
    </row>
    <row r="194" spans="11:13" x14ac:dyDescent="0.4">
      <c r="K194" s="74">
        <v>192</v>
      </c>
      <c r="L194" s="119">
        <v>1257.6000000000001</v>
      </c>
      <c r="M194" s="117">
        <v>1665.7363576884354</v>
      </c>
    </row>
    <row r="195" spans="11:13" x14ac:dyDescent="0.4">
      <c r="K195" s="74">
        <v>193</v>
      </c>
      <c r="L195" s="119">
        <v>1240.6000000000001</v>
      </c>
      <c r="M195" s="117">
        <v>1661.7779395423047</v>
      </c>
    </row>
    <row r="196" spans="11:13" x14ac:dyDescent="0.4">
      <c r="K196" s="74">
        <v>194</v>
      </c>
      <c r="L196" s="119">
        <v>1221.7</v>
      </c>
      <c r="M196" s="117">
        <v>1657.4952719050509</v>
      </c>
    </row>
    <row r="197" spans="11:13" x14ac:dyDescent="0.4">
      <c r="K197" s="74">
        <v>195</v>
      </c>
      <c r="L197" s="119">
        <v>1258.4000000000001</v>
      </c>
      <c r="M197" s="117">
        <v>1663.4143002736207</v>
      </c>
    </row>
    <row r="198" spans="11:13" x14ac:dyDescent="0.4">
      <c r="K198" s="74">
        <v>196</v>
      </c>
      <c r="L198" s="119">
        <v>1270.8000000000002</v>
      </c>
      <c r="M198" s="117">
        <v>1665.0018144719791</v>
      </c>
    </row>
    <row r="199" spans="11:13" x14ac:dyDescent="0.4">
      <c r="K199" s="74">
        <v>197</v>
      </c>
      <c r="L199" s="119">
        <v>1284.8000000000002</v>
      </c>
      <c r="M199" s="117">
        <v>1666.8258035851472</v>
      </c>
    </row>
    <row r="200" spans="11:13" x14ac:dyDescent="0.4">
      <c r="K200" s="74">
        <v>198</v>
      </c>
      <c r="L200" s="119">
        <v>1291.6000000000001</v>
      </c>
      <c r="M200" s="117">
        <v>1667.5048487636363</v>
      </c>
    </row>
    <row r="201" spans="11:13" x14ac:dyDescent="0.4">
      <c r="K201" s="74">
        <v>199</v>
      </c>
      <c r="L201" s="119">
        <v>1284.0000000000002</v>
      </c>
      <c r="M201" s="117">
        <v>1665.4138196710546</v>
      </c>
    </row>
    <row r="202" spans="11:13" x14ac:dyDescent="0.4">
      <c r="K202" s="74">
        <v>200</v>
      </c>
      <c r="L202" s="119">
        <v>1297.7000000000003</v>
      </c>
      <c r="M202" s="117">
        <v>1667.2353367530284</v>
      </c>
    </row>
    <row r="203" spans="11:13" x14ac:dyDescent="0.4">
      <c r="K203" s="74">
        <v>201</v>
      </c>
      <c r="L203" s="119">
        <v>1298.0000000000002</v>
      </c>
      <c r="M203" s="117">
        <v>1666.5739247325102</v>
      </c>
    </row>
    <row r="204" spans="11:13" x14ac:dyDescent="0.4">
      <c r="K204" s="74">
        <v>202</v>
      </c>
      <c r="L204" s="119">
        <v>1292.6000000000001</v>
      </c>
      <c r="M204" s="117">
        <v>1664.8904811841153</v>
      </c>
    </row>
    <row r="205" spans="11:13" x14ac:dyDescent="0.4">
      <c r="K205" s="74">
        <v>203</v>
      </c>
      <c r="L205" s="119">
        <v>1249.4000000000001</v>
      </c>
      <c r="M205" s="117">
        <v>1656.2571382970107</v>
      </c>
    </row>
    <row r="206" spans="11:13" x14ac:dyDescent="0.4">
      <c r="K206" s="74">
        <v>204</v>
      </c>
      <c r="L206" s="119">
        <v>1267.6000000000001</v>
      </c>
      <c r="M206" s="117">
        <v>1658.8175954672286</v>
      </c>
    </row>
    <row r="207" spans="11:13" x14ac:dyDescent="0.4">
      <c r="K207" s="74">
        <v>205</v>
      </c>
      <c r="L207" s="119">
        <v>1290.4000000000001</v>
      </c>
      <c r="M207" s="117">
        <v>1662.1906898944251</v>
      </c>
    </row>
    <row r="208" spans="11:13" x14ac:dyDescent="0.4">
      <c r="K208" s="74">
        <v>206</v>
      </c>
      <c r="L208" s="119">
        <v>1298.5</v>
      </c>
      <c r="M208" s="117">
        <v>1662.8975457550584</v>
      </c>
    </row>
    <row r="209" spans="11:13" x14ac:dyDescent="0.4">
      <c r="K209" s="74">
        <v>207</v>
      </c>
      <c r="L209" s="119">
        <v>1303.5</v>
      </c>
      <c r="M209" s="117">
        <v>1663.1261604805281</v>
      </c>
    </row>
    <row r="210" spans="11:13" x14ac:dyDescent="0.4">
      <c r="K210" s="74">
        <v>208</v>
      </c>
      <c r="L210" s="119">
        <v>1264.5</v>
      </c>
      <c r="M210" s="117">
        <v>1655.1694035176449</v>
      </c>
    </row>
    <row r="211" spans="11:13" x14ac:dyDescent="0.4">
      <c r="K211" s="74">
        <v>209</v>
      </c>
      <c r="L211" s="119">
        <v>1272.7</v>
      </c>
      <c r="M211" s="117">
        <v>1656.1343870965391</v>
      </c>
    </row>
    <row r="212" spans="11:13" x14ac:dyDescent="0.4">
      <c r="K212" s="74">
        <v>210</v>
      </c>
      <c r="L212" s="119">
        <v>1285.7</v>
      </c>
      <c r="M212" s="117">
        <v>1657.9575807739598</v>
      </c>
    </row>
    <row r="213" spans="11:13" x14ac:dyDescent="0.4">
      <c r="K213" s="74">
        <v>211</v>
      </c>
      <c r="L213" s="119">
        <v>1295.8</v>
      </c>
      <c r="M213" s="117">
        <v>1659.1698352893161</v>
      </c>
    </row>
    <row r="214" spans="11:13" x14ac:dyDescent="0.4">
      <c r="K214" s="74">
        <v>212</v>
      </c>
      <c r="L214" s="119">
        <v>1317.5</v>
      </c>
      <c r="M214" s="117">
        <v>1662.4568162775802</v>
      </c>
    </row>
    <row r="215" spans="11:13" x14ac:dyDescent="0.4">
      <c r="K215" s="74">
        <v>213</v>
      </c>
      <c r="L215" s="119">
        <v>1277.0999999999999</v>
      </c>
      <c r="M215" s="117">
        <v>1654.2580753799148</v>
      </c>
    </row>
    <row r="216" spans="11:13" x14ac:dyDescent="0.4">
      <c r="K216" s="74">
        <v>214</v>
      </c>
      <c r="L216" s="119">
        <v>1329.1999999999998</v>
      </c>
      <c r="M216" s="117">
        <v>1663.0045269276352</v>
      </c>
    </row>
    <row r="217" spans="11:13" x14ac:dyDescent="0.4">
      <c r="K217" s="74">
        <v>215</v>
      </c>
      <c r="L217" s="119">
        <v>1333.6999999999998</v>
      </c>
      <c r="M217" s="117">
        <v>1663.1304997660693</v>
      </c>
    </row>
    <row r="218" spans="11:13" x14ac:dyDescent="0.4">
      <c r="K218" s="74">
        <v>216</v>
      </c>
      <c r="L218" s="119">
        <v>1318.6999999999998</v>
      </c>
      <c r="M218" s="117">
        <v>1659.5837167674729</v>
      </c>
    </row>
    <row r="219" spans="11:13" x14ac:dyDescent="0.4">
      <c r="K219" s="74">
        <v>217</v>
      </c>
      <c r="L219" s="119">
        <v>1326.4999999999998</v>
      </c>
      <c r="M219" s="117">
        <v>1660.1622144668681</v>
      </c>
    </row>
    <row r="220" spans="11:13" x14ac:dyDescent="0.4">
      <c r="K220" s="74">
        <v>218</v>
      </c>
      <c r="L220" s="119">
        <v>1345.0999999999997</v>
      </c>
      <c r="M220" s="117">
        <v>1662.681241180067</v>
      </c>
    </row>
    <row r="221" spans="11:13" x14ac:dyDescent="0.4">
      <c r="K221" s="74">
        <v>219</v>
      </c>
      <c r="L221" s="119">
        <v>1351.2999999999997</v>
      </c>
      <c r="M221" s="117">
        <v>1663.1511537329866</v>
      </c>
    </row>
    <row r="222" spans="11:13" x14ac:dyDescent="0.4">
      <c r="K222" s="74">
        <v>220</v>
      </c>
      <c r="L222" s="119">
        <v>1363.8999999999996</v>
      </c>
      <c r="M222" s="117">
        <v>1664.7702468105886</v>
      </c>
    </row>
    <row r="223" spans="11:13" x14ac:dyDescent="0.4">
      <c r="K223" s="74">
        <v>221</v>
      </c>
      <c r="L223" s="119">
        <v>1377.2999999999997</v>
      </c>
      <c r="M223" s="117">
        <v>1666.5116253297251</v>
      </c>
    </row>
    <row r="224" spans="11:13" x14ac:dyDescent="0.4">
      <c r="K224" s="74">
        <v>222</v>
      </c>
      <c r="L224" s="119">
        <v>1383.3999999999996</v>
      </c>
      <c r="M224" s="117">
        <v>1666.7605555777468</v>
      </c>
    </row>
    <row r="225" spans="11:13" x14ac:dyDescent="0.4">
      <c r="K225" s="74">
        <v>223</v>
      </c>
      <c r="L225" s="119">
        <v>1450.0999999999997</v>
      </c>
      <c r="M225" s="117">
        <v>1678.0959922442803</v>
      </c>
    </row>
    <row r="226" spans="11:13" x14ac:dyDescent="0.4">
      <c r="K226" s="74">
        <v>224</v>
      </c>
      <c r="L226" s="119">
        <v>1411.9999999999998</v>
      </c>
      <c r="M226" s="117">
        <v>1670.4934162908146</v>
      </c>
    </row>
    <row r="227" spans="11:13" x14ac:dyDescent="0.4">
      <c r="K227" s="74">
        <v>225</v>
      </c>
      <c r="L227" s="119">
        <v>1434.9999999999998</v>
      </c>
      <c r="M227" s="117">
        <v>1673.9344557930697</v>
      </c>
    </row>
    <row r="228" spans="11:13" x14ac:dyDescent="0.4">
      <c r="K228" s="74">
        <v>226</v>
      </c>
      <c r="L228" s="119">
        <v>1444.4999999999998</v>
      </c>
      <c r="M228" s="117">
        <v>1674.8468490583114</v>
      </c>
    </row>
    <row r="229" spans="11:13" x14ac:dyDescent="0.4">
      <c r="K229" s="74">
        <v>227</v>
      </c>
      <c r="L229" s="119">
        <v>1449.4999999999998</v>
      </c>
      <c r="M229" s="117">
        <v>1674.9437679639616</v>
      </c>
    </row>
    <row r="230" spans="11:13" x14ac:dyDescent="0.4">
      <c r="K230" s="74">
        <v>228</v>
      </c>
      <c r="L230" s="119">
        <v>1457.2999999999997</v>
      </c>
      <c r="M230" s="117">
        <v>1675.5441053561779</v>
      </c>
    </row>
    <row r="231" spans="11:13" x14ac:dyDescent="0.4">
      <c r="K231" s="74">
        <v>229</v>
      </c>
      <c r="L231" s="119">
        <v>1499.5999999999997</v>
      </c>
      <c r="M231" s="117">
        <v>1682.3568407240407</v>
      </c>
    </row>
    <row r="232" spans="11:13" x14ac:dyDescent="0.4">
      <c r="K232" s="74">
        <v>230</v>
      </c>
      <c r="L232" s="119">
        <v>1540.2999999999997</v>
      </c>
      <c r="M232" s="117">
        <v>1688.8346996796965</v>
      </c>
    </row>
    <row r="233" spans="11:13" x14ac:dyDescent="0.4">
      <c r="K233" s="74">
        <v>231</v>
      </c>
      <c r="L233" s="119">
        <v>1540.3999999999996</v>
      </c>
      <c r="M233" s="117">
        <v>1688.0736914816184</v>
      </c>
    </row>
    <row r="234" spans="11:13" x14ac:dyDescent="0.4">
      <c r="K234" s="74">
        <v>232</v>
      </c>
      <c r="L234" s="119">
        <v>1552.5999999999997</v>
      </c>
      <c r="M234" s="117">
        <v>1689.2912493327287</v>
      </c>
    </row>
    <row r="235" spans="11:13" x14ac:dyDescent="0.4">
      <c r="K235" s="74">
        <v>233</v>
      </c>
      <c r="L235" s="119">
        <v>1562.0999999999997</v>
      </c>
      <c r="M235" s="117">
        <v>1690.0155018367323</v>
      </c>
    </row>
    <row r="236" spans="11:13" x14ac:dyDescent="0.4">
      <c r="K236" s="74">
        <v>234</v>
      </c>
      <c r="L236" s="119">
        <v>1589.2999999999997</v>
      </c>
      <c r="M236" s="117">
        <v>1693.9214088257118</v>
      </c>
    </row>
    <row r="237" spans="11:13" x14ac:dyDescent="0.4">
      <c r="K237" s="74">
        <v>235</v>
      </c>
      <c r="L237" s="119">
        <v>1576.6999999999998</v>
      </c>
      <c r="M237" s="117">
        <v>1690.6398803727575</v>
      </c>
    </row>
    <row r="238" spans="11:13" x14ac:dyDescent="0.4">
      <c r="K238" s="74">
        <v>236</v>
      </c>
      <c r="L238" s="119">
        <v>1584.1999999999998</v>
      </c>
      <c r="M238" s="117">
        <v>1690.996041090521</v>
      </c>
    </row>
    <row r="239" spans="11:13" x14ac:dyDescent="0.4">
      <c r="K239" s="74">
        <v>237</v>
      </c>
      <c r="L239" s="119">
        <v>1591.9999999999998</v>
      </c>
      <c r="M239" s="117">
        <v>1691.4040648439779</v>
      </c>
    </row>
    <row r="240" spans="11:13" x14ac:dyDescent="0.4">
      <c r="K240" s="74">
        <v>238</v>
      </c>
      <c r="L240" s="119">
        <v>1638.8999999999999</v>
      </c>
      <c r="M240" s="117">
        <v>1699.0696404549142</v>
      </c>
    </row>
    <row r="241" spans="11:13" x14ac:dyDescent="0.4">
      <c r="K241" s="74">
        <v>239</v>
      </c>
      <c r="L241" s="119">
        <v>1645.1999999999998</v>
      </c>
      <c r="M241" s="117">
        <v>1699.3872226121846</v>
      </c>
    </row>
    <row r="242" spans="11:13" x14ac:dyDescent="0.4">
      <c r="K242" s="74">
        <v>240</v>
      </c>
      <c r="L242" s="119">
        <v>1669.4999999999998</v>
      </c>
      <c r="M242" s="117">
        <v>1702.7148992765115</v>
      </c>
    </row>
    <row r="243" spans="11:13" x14ac:dyDescent="0.4">
      <c r="K243" s="74">
        <v>241</v>
      </c>
      <c r="L243" s="119">
        <v>1659.0999999999997</v>
      </c>
      <c r="M243" s="117">
        <v>1700.0706098808523</v>
      </c>
    </row>
    <row r="244" spans="11:13" x14ac:dyDescent="0.4">
      <c r="K244" s="74">
        <v>242</v>
      </c>
      <c r="L244" s="119">
        <v>1658.0999999999997</v>
      </c>
      <c r="M244" s="117">
        <v>1699.0321862215671</v>
      </c>
    </row>
    <row r="245" spans="11:13" x14ac:dyDescent="0.4">
      <c r="K245" s="74">
        <v>243</v>
      </c>
      <c r="L245" s="119">
        <v>1677.8999999999996</v>
      </c>
      <c r="M245" s="117">
        <v>1701.7439931042377</v>
      </c>
    </row>
    <row r="246" spans="11:13" x14ac:dyDescent="0.4">
      <c r="K246" s="74">
        <v>244</v>
      </c>
      <c r="L246" s="119">
        <v>1705.5999999999997</v>
      </c>
      <c r="M246" s="117">
        <v>1705.6635291456123</v>
      </c>
    </row>
    <row r="247" spans="11:13" x14ac:dyDescent="0.4">
      <c r="K247" s="74">
        <v>245</v>
      </c>
      <c r="L247" s="119">
        <v>1713.0999999999997</v>
      </c>
      <c r="M247" s="117">
        <v>1706.1335479707386</v>
      </c>
    </row>
    <row r="248" spans="11:13" x14ac:dyDescent="0.4">
      <c r="K248" s="74">
        <v>246</v>
      </c>
      <c r="L248" s="119">
        <v>1744.5999999999997</v>
      </c>
      <c r="M248" s="117">
        <v>1710.9327466829143</v>
      </c>
    </row>
    <row r="249" spans="11:13" x14ac:dyDescent="0.4">
      <c r="K249" s="74">
        <v>247</v>
      </c>
      <c r="L249" s="119">
        <v>1797.0999999999997</v>
      </c>
      <c r="M249" s="117">
        <v>1719.3331502028168</v>
      </c>
    </row>
    <row r="250" spans="11:13" x14ac:dyDescent="0.4">
      <c r="K250" s="74">
        <v>248</v>
      </c>
      <c r="L250" s="119">
        <v>1790.8999999999996</v>
      </c>
      <c r="M250" s="117">
        <v>1717.1171513016</v>
      </c>
    </row>
    <row r="251" spans="11:13" x14ac:dyDescent="0.4">
      <c r="K251" s="74">
        <v>249</v>
      </c>
      <c r="L251" s="119">
        <v>1782.0999999999997</v>
      </c>
      <c r="M251" s="117">
        <v>1714.4524483937903</v>
      </c>
    </row>
    <row r="252" spans="11:13" x14ac:dyDescent="0.4">
      <c r="K252" s="74">
        <v>250</v>
      </c>
      <c r="L252" s="119">
        <v>1800.5999999999997</v>
      </c>
      <c r="M252" s="117">
        <v>1716.7177337034275</v>
      </c>
    </row>
    <row r="253" spans="11:13" x14ac:dyDescent="0.4">
      <c r="K253" s="74">
        <v>251</v>
      </c>
      <c r="L253" s="119">
        <v>1833.6999999999996</v>
      </c>
      <c r="M253" s="117">
        <v>1721.639427301207</v>
      </c>
    </row>
    <row r="254" spans="11:13" x14ac:dyDescent="0.4">
      <c r="K254" s="74">
        <v>252</v>
      </c>
      <c r="L254" s="119">
        <v>1901.6999999999996</v>
      </c>
      <c r="M254" s="117">
        <v>1732.8135907373996</v>
      </c>
    </row>
    <row r="255" spans="11:13" x14ac:dyDescent="0.4">
      <c r="K255" s="74">
        <v>253</v>
      </c>
      <c r="L255" s="119">
        <v>1879.7999999999995</v>
      </c>
      <c r="M255" s="117">
        <v>1727.7387091929752</v>
      </c>
    </row>
    <row r="256" spans="11:13" x14ac:dyDescent="0.4">
      <c r="K256" s="74">
        <v>254</v>
      </c>
      <c r="L256" s="119">
        <v>1888.7999999999995</v>
      </c>
      <c r="M256" s="117">
        <v>1728.3942769378173</v>
      </c>
    </row>
    <row r="257" spans="11:13" x14ac:dyDescent="0.4">
      <c r="K257" s="74">
        <v>255</v>
      </c>
      <c r="L257" s="119">
        <v>1915.3999999999994</v>
      </c>
      <c r="M257" s="117">
        <v>1732.1779112761903</v>
      </c>
    </row>
    <row r="258" spans="11:13" x14ac:dyDescent="0.4">
      <c r="K258" s="74">
        <v>256</v>
      </c>
      <c r="L258" s="119">
        <v>1935.3999999999994</v>
      </c>
      <c r="M258" s="117">
        <v>1734.5828438085332</v>
      </c>
    </row>
    <row r="259" spans="11:13" x14ac:dyDescent="0.4">
      <c r="K259" s="74">
        <v>257</v>
      </c>
      <c r="L259" s="119">
        <v>1889.9999999999993</v>
      </c>
      <c r="M259" s="117">
        <v>1725.615346745682</v>
      </c>
    </row>
  </sheetData>
  <sortState xmlns:xlrd2="http://schemas.microsoft.com/office/spreadsheetml/2017/richdata2" ref="E2:I260">
    <sortCondition descending="1" ref="H1"/>
  </sortState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A2D76-F4C6-410C-AC87-863CC82993FF}">
  <sheetPr codeName="Sheet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7" t="s">
        <v>209</v>
      </c>
      <c r="C1" s="138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25">
        <v>4</v>
      </c>
      <c r="C2" s="126"/>
      <c r="E2" s="26" t="s">
        <v>64</v>
      </c>
      <c r="F2" s="23" t="s">
        <v>20</v>
      </c>
      <c r="G2" s="11">
        <v>0</v>
      </c>
      <c r="H2" s="87">
        <f t="shared" ref="H2:H33" si="0">IF(B$52=0,0,G2/B$52)</f>
        <v>0</v>
      </c>
      <c r="I2" s="57">
        <v>14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-9250</v>
      </c>
      <c r="Q2" s="76">
        <v>4</v>
      </c>
      <c r="R2" s="63">
        <v>-37000</v>
      </c>
    </row>
    <row r="3" spans="1:18" x14ac:dyDescent="0.4">
      <c r="A3" s="19" t="s">
        <v>8</v>
      </c>
      <c r="B3" s="139">
        <v>25</v>
      </c>
      <c r="C3" s="140"/>
      <c r="E3" s="27" t="s">
        <v>65</v>
      </c>
      <c r="F3" s="24" t="s">
        <v>21</v>
      </c>
      <c r="G3" s="12">
        <v>0</v>
      </c>
      <c r="H3" s="88">
        <f t="shared" si="0"/>
        <v>0</v>
      </c>
      <c r="I3" s="58">
        <v>12</v>
      </c>
      <c r="K3" s="74">
        <v>1</v>
      </c>
      <c r="L3" s="119">
        <v>-22</v>
      </c>
      <c r="M3" s="117">
        <v>1496.04</v>
      </c>
      <c r="O3" s="74" t="s">
        <v>129</v>
      </c>
      <c r="P3" s="80">
        <f t="shared" si="1"/>
        <v>-7225</v>
      </c>
      <c r="Q3" s="77">
        <v>4</v>
      </c>
      <c r="R3" s="64">
        <v>-28900</v>
      </c>
    </row>
    <row r="4" spans="1:18" x14ac:dyDescent="0.4">
      <c r="A4" s="19" t="s">
        <v>6</v>
      </c>
      <c r="B4" s="141">
        <v>-132.1</v>
      </c>
      <c r="C4" s="142"/>
      <c r="E4" s="27" t="s">
        <v>66</v>
      </c>
      <c r="F4" s="24" t="s">
        <v>22</v>
      </c>
      <c r="G4" s="12">
        <v>0</v>
      </c>
      <c r="H4" s="88">
        <f t="shared" si="0"/>
        <v>0</v>
      </c>
      <c r="I4" s="58">
        <v>14</v>
      </c>
      <c r="K4" s="74">
        <v>2</v>
      </c>
      <c r="L4" s="119">
        <v>-60.4</v>
      </c>
      <c r="M4" s="117">
        <v>1489.1157599999999</v>
      </c>
      <c r="O4" s="74" t="s">
        <v>130</v>
      </c>
      <c r="P4" s="80">
        <f t="shared" si="1"/>
        <v>-10875</v>
      </c>
      <c r="Q4" s="77">
        <v>4</v>
      </c>
      <c r="R4" s="64">
        <v>-43500</v>
      </c>
    </row>
    <row r="5" spans="1:18" x14ac:dyDescent="0.4">
      <c r="A5" s="19" t="s">
        <v>7</v>
      </c>
      <c r="B5" s="129">
        <f>IF(B$2=0,0,B$4/B$2)</f>
        <v>-33.024999999999999</v>
      </c>
      <c r="C5" s="130"/>
      <c r="E5" s="27" t="s">
        <v>67</v>
      </c>
      <c r="F5" s="24" t="s">
        <v>23</v>
      </c>
      <c r="G5" s="12">
        <v>0</v>
      </c>
      <c r="H5" s="88">
        <f t="shared" si="0"/>
        <v>0</v>
      </c>
      <c r="I5" s="58">
        <v>14</v>
      </c>
      <c r="K5" s="74">
        <v>3</v>
      </c>
      <c r="L5" s="119">
        <v>-85.6</v>
      </c>
      <c r="M5" s="117">
        <v>1484.60906544</v>
      </c>
      <c r="O5" s="74" t="s">
        <v>131</v>
      </c>
      <c r="P5" s="80">
        <f t="shared" si="1"/>
        <v>-2850</v>
      </c>
      <c r="Q5" s="77">
        <v>2</v>
      </c>
      <c r="R5" s="64">
        <v>-5700</v>
      </c>
    </row>
    <row r="6" spans="1:18" x14ac:dyDescent="0.4">
      <c r="A6" s="19" t="s">
        <v>196</v>
      </c>
      <c r="B6" s="133">
        <v>1476.2954110473599</v>
      </c>
      <c r="C6" s="134"/>
      <c r="E6" s="27" t="s">
        <v>68</v>
      </c>
      <c r="F6" s="24" t="s">
        <v>12</v>
      </c>
      <c r="G6" s="12">
        <v>0</v>
      </c>
      <c r="H6" s="88">
        <f t="shared" si="0"/>
        <v>0</v>
      </c>
      <c r="I6" s="58">
        <v>14</v>
      </c>
      <c r="K6" s="74">
        <v>4</v>
      </c>
      <c r="L6" s="119">
        <v>-132.1</v>
      </c>
      <c r="M6" s="117">
        <v>1476.2954110473599</v>
      </c>
      <c r="O6" s="74" t="s">
        <v>132</v>
      </c>
      <c r="P6" s="80">
        <f t="shared" si="1"/>
        <v>-6000</v>
      </c>
      <c r="Q6" s="77">
        <v>2</v>
      </c>
      <c r="R6" s="64">
        <v>-12000</v>
      </c>
    </row>
    <row r="7" spans="1:18" x14ac:dyDescent="0.4">
      <c r="A7" s="19" t="s">
        <v>1</v>
      </c>
      <c r="B7" s="135">
        <f>IF(B$2=0,0,(B$8*1+B$9*2+B$10*3)/B$2)</f>
        <v>3</v>
      </c>
      <c r="C7" s="136"/>
      <c r="E7" s="27" t="s">
        <v>69</v>
      </c>
      <c r="F7" s="24" t="s">
        <v>24</v>
      </c>
      <c r="G7" s="12">
        <v>0</v>
      </c>
      <c r="H7" s="88">
        <f t="shared" si="0"/>
        <v>0</v>
      </c>
      <c r="I7" s="58">
        <v>13</v>
      </c>
      <c r="O7" s="75" t="s">
        <v>133</v>
      </c>
      <c r="P7" s="81">
        <f t="shared" si="1"/>
        <v>-5000</v>
      </c>
      <c r="Q7" s="78">
        <v>1</v>
      </c>
      <c r="R7" s="65">
        <v>-5000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>
        <v>12</v>
      </c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>
        <v>12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4</v>
      </c>
      <c r="C10" s="7">
        <f t="shared" si="2"/>
        <v>1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>
        <v>14</v>
      </c>
      <c r="O10" s="73" t="s">
        <v>152</v>
      </c>
      <c r="P10" s="82">
        <f>IF(Q10=0,0,R10/Q10)</f>
        <v>-30.2</v>
      </c>
      <c r="Q10" s="76">
        <v>2</v>
      </c>
      <c r="R10" s="67">
        <v>-60.4</v>
      </c>
    </row>
    <row r="11" spans="1:18" x14ac:dyDescent="0.4">
      <c r="A11" s="20" t="s">
        <v>185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>
        <v>7</v>
      </c>
      <c r="O11" s="74" t="s">
        <v>153</v>
      </c>
      <c r="P11" s="83">
        <f>IF(Q11=0,0,R11/Q11)</f>
        <v>-25.2</v>
      </c>
      <c r="Q11" s="77">
        <v>1</v>
      </c>
      <c r="R11" s="68">
        <v>-25.2</v>
      </c>
    </row>
    <row r="12" spans="1:18" x14ac:dyDescent="0.4">
      <c r="A12" s="20" t="s">
        <v>186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>
        <v>6</v>
      </c>
      <c r="O12" s="75" t="s">
        <v>154</v>
      </c>
      <c r="P12" s="84">
        <f>IF(Q12=0,0,R12/Q12)</f>
        <v>-46.5</v>
      </c>
      <c r="Q12" s="78">
        <v>1</v>
      </c>
      <c r="R12" s="69">
        <v>-46.5</v>
      </c>
    </row>
    <row r="13" spans="1:18" x14ac:dyDescent="0.4">
      <c r="A13" s="20" t="s">
        <v>187</v>
      </c>
      <c r="B13" s="109">
        <f>IF(B10=0,0,C13/B10)</f>
        <v>-33.024999999999999</v>
      </c>
      <c r="C13" s="110">
        <v>-132.1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>
        <v>7</v>
      </c>
      <c r="O13" s="103"/>
      <c r="P13" s="71"/>
      <c r="Q13" s="111"/>
      <c r="R13" s="71"/>
    </row>
    <row r="14" spans="1:18" x14ac:dyDescent="0.4">
      <c r="A14" s="20" t="s">
        <v>188</v>
      </c>
      <c r="B14" s="129">
        <f>AVERAGE(B11:B13)</f>
        <v>-11.008333333333333</v>
      </c>
      <c r="C14" s="130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2"/>
        <v>0.5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>
        <v>7</v>
      </c>
      <c r="O15" s="73" t="s">
        <v>211</v>
      </c>
      <c r="P15" s="82">
        <f>IF(Q15=0,0,R15/Q15)</f>
        <v>-26.766666666666666</v>
      </c>
      <c r="Q15" s="76">
        <v>3</v>
      </c>
      <c r="R15" s="67">
        <v>-80.3</v>
      </c>
    </row>
    <row r="16" spans="1:18" x14ac:dyDescent="0.4">
      <c r="A16" s="22" t="s">
        <v>121</v>
      </c>
      <c r="B16" s="15">
        <v>0</v>
      </c>
      <c r="C16" s="10">
        <f>IF(B$51=0,0,B16/B$51)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>
        <v>10</v>
      </c>
      <c r="O16" s="74" t="s">
        <v>198</v>
      </c>
      <c r="P16" s="83">
        <f>IF(Q16=0,0,R16/Q16)</f>
        <v>-29</v>
      </c>
      <c r="Q16" s="77">
        <v>1</v>
      </c>
      <c r="R16" s="68">
        <v>-29</v>
      </c>
    </row>
    <row r="17" spans="1:18" x14ac:dyDescent="0.4">
      <c r="A17" s="19" t="s">
        <v>118</v>
      </c>
      <c r="B17" s="12">
        <v>0</v>
      </c>
      <c r="C17" s="6">
        <f>IF(B$51=0,0,B17/B$51)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>
        <v>11</v>
      </c>
      <c r="O17" s="74" t="s">
        <v>126</v>
      </c>
      <c r="P17" s="83">
        <f>IF(Q17=0,0,R17/Q17)</f>
        <v>-71.75</v>
      </c>
      <c r="Q17" s="77">
        <v>4</v>
      </c>
      <c r="R17" s="68">
        <v>-287</v>
      </c>
    </row>
    <row r="18" spans="1:18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>
        <v>3</v>
      </c>
    </row>
    <row r="19" spans="1:18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>
        <v>10</v>
      </c>
    </row>
    <row r="20" spans="1:18" x14ac:dyDescent="0.4">
      <c r="A20" s="18" t="s">
        <v>10</v>
      </c>
      <c r="B20" s="11">
        <f>B23+B22</f>
        <v>1</v>
      </c>
      <c r="C20" s="5">
        <f>IF(B$3=0,0,B20/B$3)</f>
        <v>0.04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>
        <v>1</v>
      </c>
    </row>
    <row r="21" spans="1:18" x14ac:dyDescent="0.4">
      <c r="A21" s="19" t="s">
        <v>13</v>
      </c>
      <c r="B21" s="12">
        <v>10</v>
      </c>
      <c r="C21" s="6">
        <f>IF(B$3=0,0,B21/B$3)</f>
        <v>0.4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>
        <v>12</v>
      </c>
    </row>
    <row r="22" spans="1:18" x14ac:dyDescent="0.4">
      <c r="A22" s="19" t="s">
        <v>12</v>
      </c>
      <c r="B22" s="12">
        <v>1</v>
      </c>
      <c r="C22" s="6">
        <f>IF(B$20=0,0,B22/B$20)</f>
        <v>1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>
        <v>5</v>
      </c>
    </row>
    <row r="23" spans="1:18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>
        <v>6</v>
      </c>
    </row>
    <row r="24" spans="1:18" x14ac:dyDescent="0.4">
      <c r="A24" s="19" t="s">
        <v>184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>
        <v>14</v>
      </c>
    </row>
    <row r="25" spans="1:18" x14ac:dyDescent="0.4">
      <c r="A25" s="19" t="s">
        <v>182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>
        <v>5</v>
      </c>
    </row>
    <row r="26" spans="1:18" x14ac:dyDescent="0.4">
      <c r="A26" s="19" t="s">
        <v>183</v>
      </c>
      <c r="B26" s="12">
        <v>1</v>
      </c>
      <c r="C26" s="6">
        <f>IF(B$20=0,0,B26/B$20)</f>
        <v>1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>
        <v>3</v>
      </c>
    </row>
    <row r="27" spans="1:18" x14ac:dyDescent="0.4">
      <c r="A27" s="19" t="s">
        <v>5</v>
      </c>
      <c r="B27" s="16">
        <f>IF(B$20=0,0,C27/B$20)</f>
        <v>7800</v>
      </c>
      <c r="C27" s="8">
        <v>7800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>
        <v>13</v>
      </c>
    </row>
    <row r="28" spans="1:18" x14ac:dyDescent="0.4">
      <c r="A28" s="20" t="s">
        <v>166</v>
      </c>
      <c r="B28" s="95">
        <f>IF($B$20-B$19=0,0,C28/($B$20-B$19))</f>
        <v>7800</v>
      </c>
      <c r="C28" s="96">
        <v>7800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>
        <v>4</v>
      </c>
    </row>
    <row r="29" spans="1:18" x14ac:dyDescent="0.4">
      <c r="A29" s="20" t="s">
        <v>167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>
        <v>10</v>
      </c>
    </row>
    <row r="30" spans="1:18" x14ac:dyDescent="0.4">
      <c r="A30" s="20" t="s">
        <v>165</v>
      </c>
      <c r="B30" s="95">
        <f>IF(B$21=0,0,C30/B$21)</f>
        <v>-8240</v>
      </c>
      <c r="C30" s="96">
        <v>-82400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>
        <v>7</v>
      </c>
    </row>
    <row r="31" spans="1:18" x14ac:dyDescent="0.4">
      <c r="A31" s="19" t="s">
        <v>158</v>
      </c>
      <c r="B31" s="12">
        <v>1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>
        <v>6</v>
      </c>
    </row>
    <row r="32" spans="1:18" x14ac:dyDescent="0.4">
      <c r="A32" s="19" t="s">
        <v>159</v>
      </c>
      <c r="B32" s="12">
        <v>4</v>
      </c>
      <c r="C32" s="90">
        <v>2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>
        <v>1</v>
      </c>
    </row>
    <row r="33" spans="1:9" x14ac:dyDescent="0.4">
      <c r="A33" s="54" t="s">
        <v>136</v>
      </c>
      <c r="B33" s="131">
        <v>0</v>
      </c>
      <c r="C33" s="132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>
        <v>3</v>
      </c>
    </row>
    <row r="34" spans="1:9" x14ac:dyDescent="0.4">
      <c r="A34" s="22" t="s">
        <v>181</v>
      </c>
      <c r="B34" s="133">
        <v>13000</v>
      </c>
      <c r="C34" s="134"/>
      <c r="E34" s="27" t="s">
        <v>96</v>
      </c>
      <c r="F34" s="24" t="s">
        <v>51</v>
      </c>
      <c r="G34" s="12">
        <v>0</v>
      </c>
      <c r="H34" s="88">
        <f t="shared" ref="H34:H52" si="3">IF(B$52=0,0,G34/B$52)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>
        <v>1</v>
      </c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>
        <v>1</v>
      </c>
    </row>
    <row r="37" spans="1:9" x14ac:dyDescent="0.4">
      <c r="A37" s="54" t="s">
        <v>172</v>
      </c>
      <c r="B37" s="122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>
        <v>1</v>
      </c>
    </row>
    <row r="38" spans="1:9" x14ac:dyDescent="0.4">
      <c r="A38" s="19" t="s">
        <v>168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>
        <v>1</v>
      </c>
    </row>
    <row r="39" spans="1:9" x14ac:dyDescent="0.4">
      <c r="A39" s="19" t="s">
        <v>169</v>
      </c>
      <c r="B39" s="123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>
        <v>1</v>
      </c>
    </row>
    <row r="40" spans="1:9" x14ac:dyDescent="0.4">
      <c r="A40" s="19" t="s">
        <v>170</v>
      </c>
      <c r="B40" s="123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>
        <v>1</v>
      </c>
    </row>
    <row r="41" spans="1:9" x14ac:dyDescent="0.4">
      <c r="A41" s="19" t="s">
        <v>171</v>
      </c>
      <c r="B41" s="123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>
        <v>1</v>
      </c>
    </row>
    <row r="42" spans="1:9" x14ac:dyDescent="0.4">
      <c r="A42" s="19" t="s">
        <v>173</v>
      </c>
      <c r="B42" s="123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>
        <v>1</v>
      </c>
    </row>
    <row r="43" spans="1:9" x14ac:dyDescent="0.4">
      <c r="A43" s="19" t="s">
        <v>174</v>
      </c>
      <c r="B43" s="123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>
        <v>1</v>
      </c>
    </row>
    <row r="44" spans="1:9" x14ac:dyDescent="0.4">
      <c r="A44" s="19" t="s">
        <v>175</v>
      </c>
      <c r="B44" s="123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>
        <v>3</v>
      </c>
    </row>
    <row r="45" spans="1:9" x14ac:dyDescent="0.4">
      <c r="A45" s="19" t="s">
        <v>176</v>
      </c>
      <c r="B45" s="123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>
        <v>1</v>
      </c>
    </row>
    <row r="46" spans="1:9" x14ac:dyDescent="0.4">
      <c r="A46" s="19" t="s">
        <v>177</v>
      </c>
      <c r="B46" s="123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>
        <v>1</v>
      </c>
    </row>
    <row r="47" spans="1:9" x14ac:dyDescent="0.4">
      <c r="A47" s="19" t="s">
        <v>178</v>
      </c>
      <c r="B47" s="123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>
        <v>1</v>
      </c>
    </row>
    <row r="48" spans="1:9" x14ac:dyDescent="0.4">
      <c r="A48" s="19" t="s">
        <v>179</v>
      </c>
      <c r="B48" s="123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>
        <v>1</v>
      </c>
    </row>
    <row r="49" spans="1:9" x14ac:dyDescent="0.4">
      <c r="A49" s="21" t="s">
        <v>180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>
        <v>1</v>
      </c>
    </row>
    <row r="50" spans="1:9" x14ac:dyDescent="0.4">
      <c r="E50" s="27" t="s">
        <v>156</v>
      </c>
      <c r="F50" s="24" t="s">
        <v>157</v>
      </c>
      <c r="G50" s="12">
        <v>0</v>
      </c>
      <c r="H50" s="88">
        <f t="shared" si="3"/>
        <v>0</v>
      </c>
      <c r="I50" s="58">
        <v>1</v>
      </c>
    </row>
    <row r="51" spans="1:9" x14ac:dyDescent="0.4">
      <c r="A51" s="54" t="s">
        <v>206</v>
      </c>
      <c r="B51" s="125">
        <v>0</v>
      </c>
      <c r="C51" s="126"/>
      <c r="E51" s="91" t="s">
        <v>160</v>
      </c>
      <c r="F51" s="92" t="s">
        <v>161</v>
      </c>
      <c r="G51" s="13">
        <v>0</v>
      </c>
      <c r="H51" s="93">
        <f t="shared" si="3"/>
        <v>0</v>
      </c>
      <c r="I51" s="94">
        <v>1</v>
      </c>
    </row>
    <row r="52" spans="1:9" x14ac:dyDescent="0.4">
      <c r="A52" s="21" t="s">
        <v>207</v>
      </c>
      <c r="B52" s="127">
        <v>0</v>
      </c>
      <c r="C52" s="128"/>
      <c r="E52" s="28" t="s">
        <v>162</v>
      </c>
      <c r="F52" s="25" t="s">
        <v>163</v>
      </c>
      <c r="G52" s="14">
        <v>0</v>
      </c>
      <c r="H52" s="89">
        <f t="shared" si="3"/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DFEDB-2A8E-4F45-9DDB-D07CE64DF19F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7" t="s">
        <v>198</v>
      </c>
      <c r="C1" s="138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25">
        <v>4</v>
      </c>
      <c r="C2" s="126"/>
      <c r="E2" s="26" t="s">
        <v>66</v>
      </c>
      <c r="F2" s="23" t="s">
        <v>22</v>
      </c>
      <c r="G2" s="11">
        <v>5</v>
      </c>
      <c r="H2" s="87">
        <f t="shared" ref="H2:H33" si="0">IF(B$52=0,0,G2/B$52)</f>
        <v>1.25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-7250</v>
      </c>
      <c r="Q2" s="76">
        <v>4</v>
      </c>
      <c r="R2" s="63">
        <v>-29000</v>
      </c>
    </row>
    <row r="3" spans="1:18" x14ac:dyDescent="0.4">
      <c r="A3" s="19" t="s">
        <v>8</v>
      </c>
      <c r="B3" s="139">
        <v>24</v>
      </c>
      <c r="C3" s="140"/>
      <c r="E3" s="27" t="s">
        <v>72</v>
      </c>
      <c r="F3" s="24" t="s">
        <v>27</v>
      </c>
      <c r="G3" s="12">
        <v>3</v>
      </c>
      <c r="H3" s="88">
        <f t="shared" si="0"/>
        <v>0.75</v>
      </c>
      <c r="I3" s="58">
        <v>2</v>
      </c>
      <c r="K3" s="74">
        <v>1</v>
      </c>
      <c r="L3" s="119">
        <v>7</v>
      </c>
      <c r="M3" s="117">
        <v>1501.26</v>
      </c>
      <c r="O3" s="74" t="s">
        <v>129</v>
      </c>
      <c r="P3" s="80">
        <f t="shared" si="1"/>
        <v>-3166.6666666666665</v>
      </c>
      <c r="Q3" s="77">
        <v>3</v>
      </c>
      <c r="R3" s="64">
        <v>-9500</v>
      </c>
    </row>
    <row r="4" spans="1:18" x14ac:dyDescent="0.4">
      <c r="A4" s="19" t="s">
        <v>6</v>
      </c>
      <c r="B4" s="141">
        <v>-15.5</v>
      </c>
      <c r="C4" s="142"/>
      <c r="E4" s="27" t="s">
        <v>64</v>
      </c>
      <c r="F4" s="24" t="s">
        <v>20</v>
      </c>
      <c r="G4" s="12">
        <v>2</v>
      </c>
      <c r="H4" s="88">
        <f t="shared" si="0"/>
        <v>0.5</v>
      </c>
      <c r="I4" s="58">
        <v>9</v>
      </c>
      <c r="K4" s="74">
        <v>2</v>
      </c>
      <c r="L4" s="119">
        <v>-24.5</v>
      </c>
      <c r="M4" s="117">
        <v>1495.3724400000001</v>
      </c>
      <c r="O4" s="74" t="s">
        <v>130</v>
      </c>
      <c r="P4" s="80">
        <f t="shared" si="1"/>
        <v>-3666.6666666666665</v>
      </c>
      <c r="Q4" s="77">
        <v>3</v>
      </c>
      <c r="R4" s="64">
        <v>-11000</v>
      </c>
    </row>
    <row r="5" spans="1:18" x14ac:dyDescent="0.4">
      <c r="A5" s="19" t="s">
        <v>7</v>
      </c>
      <c r="B5" s="129">
        <f>IF(B$2=0,0,B$4/B$2)</f>
        <v>-3.875</v>
      </c>
      <c r="C5" s="130"/>
      <c r="E5" s="27" t="s">
        <v>67</v>
      </c>
      <c r="F5" s="24" t="s">
        <v>23</v>
      </c>
      <c r="G5" s="12">
        <v>2</v>
      </c>
      <c r="H5" s="88">
        <f t="shared" si="0"/>
        <v>0.5</v>
      </c>
      <c r="I5" s="58">
        <v>2</v>
      </c>
      <c r="K5" s="74">
        <v>3</v>
      </c>
      <c r="L5" s="119">
        <v>-26.5</v>
      </c>
      <c r="M5" s="117">
        <v>1494.7942053600002</v>
      </c>
      <c r="O5" s="74" t="s">
        <v>131</v>
      </c>
      <c r="P5" s="80">
        <f t="shared" si="1"/>
        <v>4000</v>
      </c>
      <c r="Q5" s="77">
        <v>2</v>
      </c>
      <c r="R5" s="64">
        <v>8000</v>
      </c>
    </row>
    <row r="6" spans="1:18" x14ac:dyDescent="0.4">
      <c r="A6" s="19" t="s">
        <v>196</v>
      </c>
      <c r="B6" s="133">
        <v>1496.6074401278402</v>
      </c>
      <c r="C6" s="134"/>
      <c r="E6" s="27" t="s">
        <v>89</v>
      </c>
      <c r="F6" s="24" t="s">
        <v>44</v>
      </c>
      <c r="G6" s="12">
        <v>2</v>
      </c>
      <c r="H6" s="88">
        <f t="shared" si="0"/>
        <v>0.5</v>
      </c>
      <c r="I6" s="58">
        <v>1</v>
      </c>
      <c r="K6" s="74">
        <v>4</v>
      </c>
      <c r="L6" s="119">
        <v>-15.5</v>
      </c>
      <c r="M6" s="117">
        <v>1496.6074401278402</v>
      </c>
      <c r="O6" s="74" t="s">
        <v>132</v>
      </c>
      <c r="P6" s="80">
        <f t="shared" si="1"/>
        <v>21500</v>
      </c>
      <c r="Q6" s="77">
        <v>2</v>
      </c>
      <c r="R6" s="64">
        <v>43000</v>
      </c>
    </row>
    <row r="7" spans="1:18" x14ac:dyDescent="0.4">
      <c r="A7" s="19" t="s">
        <v>1</v>
      </c>
      <c r="B7" s="135">
        <f>IF(B$2=0,0,(B$8*1+B$9*2+B$10*3)/B$2)</f>
        <v>2</v>
      </c>
      <c r="C7" s="136"/>
      <c r="E7" s="27" t="s">
        <v>68</v>
      </c>
      <c r="F7" s="24" t="s">
        <v>12</v>
      </c>
      <c r="G7" s="12">
        <v>1</v>
      </c>
      <c r="H7" s="88">
        <f t="shared" si="0"/>
        <v>0.25</v>
      </c>
      <c r="I7" s="58">
        <v>10</v>
      </c>
      <c r="O7" s="75" t="s">
        <v>133</v>
      </c>
      <c r="P7" s="81">
        <f t="shared" si="1"/>
        <v>-8500</v>
      </c>
      <c r="Q7" s="78">
        <v>2</v>
      </c>
      <c r="R7" s="65">
        <v>-17000</v>
      </c>
    </row>
    <row r="8" spans="1:18" x14ac:dyDescent="0.4">
      <c r="A8" s="19" t="s">
        <v>2</v>
      </c>
      <c r="B8" s="12">
        <v>1</v>
      </c>
      <c r="C8" s="6">
        <f t="shared" ref="C8:C15" si="2">IF(B$2=0,0,B8/B$2)</f>
        <v>0.25</v>
      </c>
      <c r="E8" s="27" t="s">
        <v>69</v>
      </c>
      <c r="F8" s="24" t="s">
        <v>24</v>
      </c>
      <c r="G8" s="12">
        <v>1</v>
      </c>
      <c r="H8" s="88">
        <f t="shared" si="0"/>
        <v>0.25</v>
      </c>
      <c r="I8" s="58">
        <v>1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2"/>
        <v>0.5</v>
      </c>
      <c r="E9" s="27" t="s">
        <v>71</v>
      </c>
      <c r="F9" s="24" t="s">
        <v>26</v>
      </c>
      <c r="G9" s="12">
        <v>1</v>
      </c>
      <c r="H9" s="88">
        <f t="shared" si="0"/>
        <v>0.25</v>
      </c>
      <c r="I9" s="58">
        <v>1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2"/>
        <v>0.25</v>
      </c>
      <c r="E10" s="27" t="s">
        <v>83</v>
      </c>
      <c r="F10" s="24" t="s">
        <v>38</v>
      </c>
      <c r="G10" s="12">
        <v>1</v>
      </c>
      <c r="H10" s="88">
        <f t="shared" si="0"/>
        <v>0.25</v>
      </c>
      <c r="I10" s="58">
        <v>1</v>
      </c>
      <c r="O10" s="73" t="s">
        <v>152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185</v>
      </c>
      <c r="B11" s="109">
        <f>IF(B8=0,0,C11/B8)</f>
        <v>11</v>
      </c>
      <c r="C11" s="110">
        <v>11</v>
      </c>
      <c r="E11" s="27" t="s">
        <v>86</v>
      </c>
      <c r="F11" s="24" t="s">
        <v>41</v>
      </c>
      <c r="G11" s="12">
        <v>1</v>
      </c>
      <c r="H11" s="88">
        <f t="shared" si="0"/>
        <v>0.25</v>
      </c>
      <c r="I11" s="58">
        <v>1</v>
      </c>
      <c r="O11" s="74" t="s">
        <v>153</v>
      </c>
      <c r="P11" s="83">
        <f>IF(Q11=0,0,R11/Q11)</f>
        <v>9</v>
      </c>
      <c r="Q11" s="77">
        <v>2</v>
      </c>
      <c r="R11" s="68">
        <v>18</v>
      </c>
    </row>
    <row r="12" spans="1:18" x14ac:dyDescent="0.4">
      <c r="A12" s="20" t="s">
        <v>186</v>
      </c>
      <c r="B12" s="109">
        <f>IF(B9=0,0,C12/B9)</f>
        <v>2.5</v>
      </c>
      <c r="C12" s="110">
        <v>5</v>
      </c>
      <c r="E12" s="27" t="s">
        <v>65</v>
      </c>
      <c r="F12" s="24" t="s">
        <v>21</v>
      </c>
      <c r="G12" s="12">
        <v>0</v>
      </c>
      <c r="H12" s="88">
        <f t="shared" si="0"/>
        <v>0</v>
      </c>
      <c r="I12" s="58">
        <v>12</v>
      </c>
      <c r="O12" s="75" t="s">
        <v>154</v>
      </c>
      <c r="P12" s="84">
        <f>IF(Q12=0,0,R12/Q12)</f>
        <v>-16.75</v>
      </c>
      <c r="Q12" s="78">
        <v>2</v>
      </c>
      <c r="R12" s="69">
        <v>-33.5</v>
      </c>
    </row>
    <row r="13" spans="1:18" x14ac:dyDescent="0.4">
      <c r="A13" s="20" t="s">
        <v>187</v>
      </c>
      <c r="B13" s="109">
        <f>IF(B10=0,0,C13/B10)</f>
        <v>-31.5</v>
      </c>
      <c r="C13" s="110">
        <v>-31.5</v>
      </c>
      <c r="E13" s="27" t="s">
        <v>70</v>
      </c>
      <c r="F13" s="24" t="s">
        <v>25</v>
      </c>
      <c r="G13" s="12">
        <v>0</v>
      </c>
      <c r="H13" s="88">
        <f t="shared" si="0"/>
        <v>0</v>
      </c>
      <c r="I13" s="58">
        <v>12</v>
      </c>
      <c r="O13" s="103"/>
      <c r="P13" s="71"/>
      <c r="Q13" s="111"/>
      <c r="R13" s="71"/>
    </row>
    <row r="14" spans="1:18" x14ac:dyDescent="0.4">
      <c r="A14" s="20" t="s">
        <v>188</v>
      </c>
      <c r="B14" s="129">
        <f>AVERAGE(B11:B13)</f>
        <v>-6</v>
      </c>
      <c r="C14" s="130"/>
      <c r="E14" s="27" t="s">
        <v>73</v>
      </c>
      <c r="F14" s="24" t="s">
        <v>28</v>
      </c>
      <c r="G14" s="12">
        <v>0</v>
      </c>
      <c r="H14" s="88">
        <f t="shared" si="0"/>
        <v>0</v>
      </c>
      <c r="I14" s="58">
        <v>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74</v>
      </c>
      <c r="F15" s="24" t="s">
        <v>29</v>
      </c>
      <c r="G15" s="12">
        <v>0</v>
      </c>
      <c r="H15" s="88">
        <f t="shared" si="0"/>
        <v>0</v>
      </c>
      <c r="I15" s="58">
        <v>6</v>
      </c>
      <c r="O15" s="73" t="s">
        <v>209</v>
      </c>
      <c r="P15" s="82">
        <f>IF(Q15=0,0,R15/Q15)</f>
        <v>29</v>
      </c>
      <c r="Q15" s="76">
        <v>1</v>
      </c>
      <c r="R15" s="67">
        <v>29</v>
      </c>
    </row>
    <row r="16" spans="1:18" x14ac:dyDescent="0.4">
      <c r="A16" s="22" t="s">
        <v>121</v>
      </c>
      <c r="B16" s="15">
        <v>8</v>
      </c>
      <c r="C16" s="10">
        <f>IF(B$51=0,0,B16/B$51)</f>
        <v>0.42105263157894735</v>
      </c>
      <c r="E16" s="27" t="s">
        <v>75</v>
      </c>
      <c r="F16" s="24" t="s">
        <v>30</v>
      </c>
      <c r="G16" s="12">
        <v>0</v>
      </c>
      <c r="H16" s="88">
        <f t="shared" si="0"/>
        <v>0</v>
      </c>
      <c r="I16" s="58">
        <v>7</v>
      </c>
      <c r="O16" s="74" t="s">
        <v>164</v>
      </c>
      <c r="P16" s="83">
        <f>IF(Q16=0,0,R16/Q16)</f>
        <v>3.9666666666666663</v>
      </c>
      <c r="Q16" s="77">
        <v>3</v>
      </c>
      <c r="R16" s="68">
        <v>11.899999999999999</v>
      </c>
    </row>
    <row r="17" spans="1:18" x14ac:dyDescent="0.4">
      <c r="A17" s="19" t="s">
        <v>118</v>
      </c>
      <c r="B17" s="12">
        <v>2</v>
      </c>
      <c r="C17" s="6">
        <f>IF(B$51=0,0,B17/B$51)</f>
        <v>0.10526315789473684</v>
      </c>
      <c r="E17" s="27" t="s">
        <v>76</v>
      </c>
      <c r="F17" s="24" t="s">
        <v>31</v>
      </c>
      <c r="G17" s="12">
        <v>0</v>
      </c>
      <c r="H17" s="88">
        <f t="shared" si="0"/>
        <v>0</v>
      </c>
      <c r="I17" s="58">
        <v>1</v>
      </c>
      <c r="O17" s="74" t="s">
        <v>126</v>
      </c>
      <c r="P17" s="83">
        <f>IF(Q17=0,0,R17/Q17)</f>
        <v>-8</v>
      </c>
      <c r="Q17" s="77">
        <v>1</v>
      </c>
      <c r="R17" s="68">
        <v>-8</v>
      </c>
    </row>
    <row r="18" spans="1:18" x14ac:dyDescent="0.4">
      <c r="A18" s="18" t="s">
        <v>123</v>
      </c>
      <c r="B18" s="11">
        <f>B24</f>
        <v>2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 t="shared" si="0"/>
        <v>0</v>
      </c>
      <c r="I18" s="58">
        <v>7</v>
      </c>
      <c r="O18" s="74" t="s">
        <v>195</v>
      </c>
      <c r="P18" s="83">
        <f>IF(Q18=0,0,R18/Q18)</f>
        <v>-26.466666666666669</v>
      </c>
      <c r="Q18" s="77">
        <v>3</v>
      </c>
      <c r="R18" s="68">
        <v>-79.400000000000006</v>
      </c>
    </row>
    <row r="19" spans="1:18" x14ac:dyDescent="0.4">
      <c r="A19" s="18" t="s">
        <v>124</v>
      </c>
      <c r="B19" s="11">
        <f>B25</f>
        <v>2</v>
      </c>
      <c r="C19" s="5">
        <f>IF(B$17=0,0,B19/B$17)</f>
        <v>1</v>
      </c>
      <c r="E19" s="27" t="s">
        <v>78</v>
      </c>
      <c r="F19" s="24" t="s">
        <v>33</v>
      </c>
      <c r="G19" s="12">
        <v>0</v>
      </c>
      <c r="H19" s="88">
        <f t="shared" si="0"/>
        <v>0</v>
      </c>
      <c r="I19" s="58">
        <v>10</v>
      </c>
    </row>
    <row r="20" spans="1:18" x14ac:dyDescent="0.4">
      <c r="A20" s="18" t="s">
        <v>10</v>
      </c>
      <c r="B20" s="11">
        <f>B23+B22</f>
        <v>6</v>
      </c>
      <c r="C20" s="5">
        <f>IF(B$3=0,0,B20/B$3)</f>
        <v>0.25</v>
      </c>
      <c r="E20" s="27" t="s">
        <v>79</v>
      </c>
      <c r="F20" s="24" t="s">
        <v>34</v>
      </c>
      <c r="G20" s="12">
        <v>0</v>
      </c>
      <c r="H20" s="88">
        <f t="shared" si="0"/>
        <v>0</v>
      </c>
      <c r="I20" s="58">
        <v>11</v>
      </c>
    </row>
    <row r="21" spans="1:18" x14ac:dyDescent="0.4">
      <c r="A21" s="19" t="s">
        <v>13</v>
      </c>
      <c r="B21" s="12">
        <v>4</v>
      </c>
      <c r="C21" s="6">
        <f>IF(B$3=0,0,B21/B$3)</f>
        <v>0.16666666666666666</v>
      </c>
      <c r="E21" s="27" t="s">
        <v>80</v>
      </c>
      <c r="F21" s="24" t="s">
        <v>35</v>
      </c>
      <c r="G21" s="12">
        <v>0</v>
      </c>
      <c r="H21" s="88">
        <f t="shared" si="0"/>
        <v>0</v>
      </c>
      <c r="I21" s="58">
        <v>3</v>
      </c>
    </row>
    <row r="22" spans="1:18" x14ac:dyDescent="0.4">
      <c r="A22" s="19" t="s">
        <v>12</v>
      </c>
      <c r="B22" s="12">
        <v>2</v>
      </c>
      <c r="C22" s="6">
        <f>IF(B$20=0,0,B22/B$20)</f>
        <v>0.33333333333333331</v>
      </c>
      <c r="E22" s="27" t="s">
        <v>81</v>
      </c>
      <c r="F22" s="24" t="s">
        <v>36</v>
      </c>
      <c r="G22" s="12">
        <v>0</v>
      </c>
      <c r="H22" s="88">
        <f t="shared" si="0"/>
        <v>0</v>
      </c>
      <c r="I22" s="58">
        <v>10</v>
      </c>
    </row>
    <row r="23" spans="1:18" x14ac:dyDescent="0.4">
      <c r="A23" s="19" t="s">
        <v>11</v>
      </c>
      <c r="B23" s="12">
        <v>4</v>
      </c>
      <c r="C23" s="6">
        <f>IF(B$20=0,0,B23/B$20)</f>
        <v>0.66666666666666663</v>
      </c>
      <c r="E23" s="27" t="s">
        <v>82</v>
      </c>
      <c r="F23" s="24" t="s">
        <v>37</v>
      </c>
      <c r="G23" s="12">
        <v>0</v>
      </c>
      <c r="H23" s="88">
        <f t="shared" si="0"/>
        <v>0</v>
      </c>
      <c r="I23" s="58">
        <v>1</v>
      </c>
    </row>
    <row r="24" spans="1:18" x14ac:dyDescent="0.4">
      <c r="A24" s="19" t="s">
        <v>184</v>
      </c>
      <c r="B24" s="12">
        <v>2</v>
      </c>
      <c r="C24" s="6">
        <f>IF(B$20=0,0,B24/B$20)</f>
        <v>0.33333333333333331</v>
      </c>
      <c r="E24" s="27" t="s">
        <v>84</v>
      </c>
      <c r="F24" s="24" t="s">
        <v>39</v>
      </c>
      <c r="G24" s="12">
        <v>0</v>
      </c>
      <c r="H24" s="88">
        <f t="shared" si="0"/>
        <v>0</v>
      </c>
      <c r="I24" s="58">
        <v>5</v>
      </c>
    </row>
    <row r="25" spans="1:18" x14ac:dyDescent="0.4">
      <c r="A25" s="19" t="s">
        <v>182</v>
      </c>
      <c r="B25" s="12">
        <v>2</v>
      </c>
      <c r="C25" s="6">
        <f>IF(B$20=0,0,B25/B$20)</f>
        <v>0.33333333333333331</v>
      </c>
      <c r="E25" s="27" t="s">
        <v>85</v>
      </c>
      <c r="F25" s="24" t="s">
        <v>40</v>
      </c>
      <c r="G25" s="12">
        <v>0</v>
      </c>
      <c r="H25" s="88">
        <f t="shared" si="0"/>
        <v>0</v>
      </c>
      <c r="I25" s="58">
        <v>6</v>
      </c>
    </row>
    <row r="26" spans="1:18" x14ac:dyDescent="0.4">
      <c r="A26" s="19" t="s">
        <v>183</v>
      </c>
      <c r="B26" s="12">
        <v>2</v>
      </c>
      <c r="C26" s="6">
        <f>IF(B$20=0,0,B26/B$20)</f>
        <v>0.33333333333333331</v>
      </c>
      <c r="E26" s="27" t="s">
        <v>87</v>
      </c>
      <c r="F26" s="24" t="s">
        <v>42</v>
      </c>
      <c r="G26" s="12">
        <v>0</v>
      </c>
      <c r="H26" s="88">
        <f t="shared" si="0"/>
        <v>0</v>
      </c>
      <c r="I26" s="58">
        <v>5</v>
      </c>
    </row>
    <row r="27" spans="1:18" x14ac:dyDescent="0.4">
      <c r="A27" s="19" t="s">
        <v>5</v>
      </c>
      <c r="B27" s="16">
        <f>IF(B$20=0,0,C27/B$20)</f>
        <v>12333.333333333334</v>
      </c>
      <c r="C27" s="8">
        <v>74000</v>
      </c>
      <c r="E27" s="27" t="s">
        <v>88</v>
      </c>
      <c r="F27" s="24" t="s">
        <v>43</v>
      </c>
      <c r="G27" s="12">
        <v>0</v>
      </c>
      <c r="H27" s="88">
        <f t="shared" si="0"/>
        <v>0</v>
      </c>
      <c r="I27" s="58">
        <v>3</v>
      </c>
    </row>
    <row r="28" spans="1:18" x14ac:dyDescent="0.4">
      <c r="A28" s="20" t="s">
        <v>166</v>
      </c>
      <c r="B28" s="95">
        <f>IF($B$20-B$19=0,0,C28/($B$20-B$19))</f>
        <v>12000</v>
      </c>
      <c r="C28" s="96">
        <v>48000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>
        <v>4</v>
      </c>
    </row>
    <row r="29" spans="1:18" x14ac:dyDescent="0.4">
      <c r="A29" s="20" t="s">
        <v>167</v>
      </c>
      <c r="B29" s="95">
        <f>IF(B$19=0,0,C29/B$19)</f>
        <v>13000</v>
      </c>
      <c r="C29" s="96">
        <v>26000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>
        <v>10</v>
      </c>
    </row>
    <row r="30" spans="1:18" x14ac:dyDescent="0.4">
      <c r="A30" s="20" t="s">
        <v>165</v>
      </c>
      <c r="B30" s="95">
        <f>IF(B$21=0,0,C30/B$21)</f>
        <v>-12000</v>
      </c>
      <c r="C30" s="96">
        <v>-48000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>
        <v>7</v>
      </c>
    </row>
    <row r="31" spans="1:18" x14ac:dyDescent="0.4">
      <c r="A31" s="19" t="s">
        <v>158</v>
      </c>
      <c r="B31" s="12">
        <v>3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>
        <v>6</v>
      </c>
    </row>
    <row r="32" spans="1:18" x14ac:dyDescent="0.4">
      <c r="A32" s="19" t="s">
        <v>159</v>
      </c>
      <c r="B32" s="12">
        <v>11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>
        <v>1</v>
      </c>
    </row>
    <row r="33" spans="1:9" x14ac:dyDescent="0.4">
      <c r="A33" s="54" t="s">
        <v>136</v>
      </c>
      <c r="B33" s="131">
        <v>3</v>
      </c>
      <c r="C33" s="132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>
        <v>3</v>
      </c>
    </row>
    <row r="34" spans="1:9" x14ac:dyDescent="0.4">
      <c r="A34" s="22" t="s">
        <v>181</v>
      </c>
      <c r="B34" s="133">
        <v>46000</v>
      </c>
      <c r="C34" s="134"/>
      <c r="E34" s="27" t="s">
        <v>96</v>
      </c>
      <c r="F34" s="24" t="s">
        <v>51</v>
      </c>
      <c r="G34" s="12">
        <v>0</v>
      </c>
      <c r="H34" s="88">
        <f t="shared" ref="H34:H52" si="3">IF(B$52=0,0,G34/B$52)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>
        <v>1</v>
      </c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>
        <v>1</v>
      </c>
    </row>
    <row r="37" spans="1:9" x14ac:dyDescent="0.4">
      <c r="A37" s="54" t="s">
        <v>172</v>
      </c>
      <c r="B37" s="122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>
        <v>1</v>
      </c>
    </row>
    <row r="38" spans="1:9" x14ac:dyDescent="0.4">
      <c r="A38" s="19" t="s">
        <v>168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>
        <v>1</v>
      </c>
    </row>
    <row r="39" spans="1:9" x14ac:dyDescent="0.4">
      <c r="A39" s="19" t="s">
        <v>169</v>
      </c>
      <c r="B39" s="123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>
        <v>1</v>
      </c>
    </row>
    <row r="40" spans="1:9" x14ac:dyDescent="0.4">
      <c r="A40" s="19" t="s">
        <v>170</v>
      </c>
      <c r="B40" s="123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>
        <v>1</v>
      </c>
    </row>
    <row r="41" spans="1:9" x14ac:dyDescent="0.4">
      <c r="A41" s="19" t="s">
        <v>171</v>
      </c>
      <c r="B41" s="123">
        <v>2</v>
      </c>
      <c r="C41" s="6">
        <f t="shared" si="4"/>
        <v>0.33333333333333331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>
        <v>1</v>
      </c>
    </row>
    <row r="42" spans="1:9" x14ac:dyDescent="0.4">
      <c r="A42" s="19" t="s">
        <v>173</v>
      </c>
      <c r="B42" s="123">
        <v>1</v>
      </c>
      <c r="C42" s="6">
        <f t="shared" si="4"/>
        <v>0.16666666666666666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>
        <v>1</v>
      </c>
    </row>
    <row r="43" spans="1:9" x14ac:dyDescent="0.4">
      <c r="A43" s="19" t="s">
        <v>174</v>
      </c>
      <c r="B43" s="123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>
        <v>1</v>
      </c>
    </row>
    <row r="44" spans="1:9" x14ac:dyDescent="0.4">
      <c r="A44" s="19" t="s">
        <v>175</v>
      </c>
      <c r="B44" s="123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>
        <v>3</v>
      </c>
    </row>
    <row r="45" spans="1:9" x14ac:dyDescent="0.4">
      <c r="A45" s="19" t="s">
        <v>176</v>
      </c>
      <c r="B45" s="123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>
        <v>1</v>
      </c>
    </row>
    <row r="46" spans="1:9" x14ac:dyDescent="0.4">
      <c r="A46" s="19" t="s">
        <v>177</v>
      </c>
      <c r="B46" s="123">
        <v>1</v>
      </c>
      <c r="C46" s="6">
        <f t="shared" si="4"/>
        <v>0.16666666666666666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>
        <v>1</v>
      </c>
    </row>
    <row r="47" spans="1:9" x14ac:dyDescent="0.4">
      <c r="A47" s="19" t="s">
        <v>178</v>
      </c>
      <c r="B47" s="123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>
        <v>1</v>
      </c>
    </row>
    <row r="48" spans="1:9" x14ac:dyDescent="0.4">
      <c r="A48" s="19" t="s">
        <v>179</v>
      </c>
      <c r="B48" s="123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>
        <v>1</v>
      </c>
    </row>
    <row r="49" spans="1:9" x14ac:dyDescent="0.4">
      <c r="A49" s="21" t="s">
        <v>180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>
        <v>1</v>
      </c>
    </row>
    <row r="50" spans="1:9" x14ac:dyDescent="0.4">
      <c r="E50" s="27" t="s">
        <v>156</v>
      </c>
      <c r="F50" s="24" t="s">
        <v>157</v>
      </c>
      <c r="G50" s="12">
        <v>0</v>
      </c>
      <c r="H50" s="88">
        <f t="shared" si="3"/>
        <v>0</v>
      </c>
      <c r="I50" s="58">
        <v>1</v>
      </c>
    </row>
    <row r="51" spans="1:9" x14ac:dyDescent="0.4">
      <c r="A51" s="54" t="s">
        <v>206</v>
      </c>
      <c r="B51" s="125">
        <v>19</v>
      </c>
      <c r="C51" s="126"/>
      <c r="E51" s="91" t="s">
        <v>160</v>
      </c>
      <c r="F51" s="92" t="s">
        <v>161</v>
      </c>
      <c r="G51" s="13">
        <v>0</v>
      </c>
      <c r="H51" s="93">
        <f t="shared" si="3"/>
        <v>0</v>
      </c>
      <c r="I51" s="94">
        <v>1</v>
      </c>
    </row>
    <row r="52" spans="1:9" x14ac:dyDescent="0.4">
      <c r="A52" s="21" t="s">
        <v>207</v>
      </c>
      <c r="B52" s="127">
        <v>4</v>
      </c>
      <c r="C52" s="128"/>
      <c r="E52" s="28" t="s">
        <v>162</v>
      </c>
      <c r="F52" s="25" t="s">
        <v>163</v>
      </c>
      <c r="G52" s="14">
        <v>0</v>
      </c>
      <c r="H52" s="89">
        <f t="shared" si="3"/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783E5-41CB-4627-BB7B-E9B45A00CAD2}">
  <sheetPr codeName="Sheet13"/>
  <dimension ref="A1:R144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7" t="s">
        <v>195</v>
      </c>
      <c r="C1" s="138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25">
        <v>142</v>
      </c>
      <c r="C2" s="126"/>
      <c r="E2" s="26" t="s">
        <v>66</v>
      </c>
      <c r="F2" s="23" t="s">
        <v>22</v>
      </c>
      <c r="G2" s="11">
        <v>154</v>
      </c>
      <c r="H2" s="87">
        <f t="shared" ref="H2:H33" si="0">IF(B$52=0,0,G2/B$52)</f>
        <v>0.67841409691629961</v>
      </c>
      <c r="I2" s="57">
        <v>9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-1066.4285714285713</v>
      </c>
      <c r="Q2" s="76">
        <v>140</v>
      </c>
      <c r="R2" s="63">
        <v>-149300</v>
      </c>
    </row>
    <row r="3" spans="1:18" x14ac:dyDescent="0.4">
      <c r="A3" s="19" t="s">
        <v>8</v>
      </c>
      <c r="B3" s="139">
        <v>1103</v>
      </c>
      <c r="C3" s="140"/>
      <c r="E3" s="27" t="s">
        <v>64</v>
      </c>
      <c r="F3" s="24" t="s">
        <v>20</v>
      </c>
      <c r="G3" s="12">
        <v>139</v>
      </c>
      <c r="H3" s="88">
        <f t="shared" si="0"/>
        <v>0.61233480176211452</v>
      </c>
      <c r="I3" s="58">
        <v>4</v>
      </c>
      <c r="K3" s="74">
        <v>1</v>
      </c>
      <c r="L3" s="119">
        <v>40.9</v>
      </c>
      <c r="M3" s="117">
        <v>1507.3679999999999</v>
      </c>
      <c r="O3" s="74" t="s">
        <v>129</v>
      </c>
      <c r="P3" s="80">
        <f t="shared" si="1"/>
        <v>-1137.5</v>
      </c>
      <c r="Q3" s="77">
        <v>136</v>
      </c>
      <c r="R3" s="64">
        <v>-154700</v>
      </c>
    </row>
    <row r="4" spans="1:18" x14ac:dyDescent="0.4">
      <c r="A4" s="19" t="s">
        <v>6</v>
      </c>
      <c r="B4" s="141">
        <v>-538.49999999999989</v>
      </c>
      <c r="C4" s="142"/>
      <c r="E4" s="27" t="s">
        <v>72</v>
      </c>
      <c r="F4" s="24" t="s">
        <v>27</v>
      </c>
      <c r="G4" s="12">
        <v>115</v>
      </c>
      <c r="H4" s="88">
        <f t="shared" si="0"/>
        <v>0.50660792951541855</v>
      </c>
      <c r="I4" s="58">
        <v>11</v>
      </c>
      <c r="K4" s="74">
        <v>2</v>
      </c>
      <c r="L4" s="119">
        <v>-0.89999999999999858</v>
      </c>
      <c r="M4" s="117">
        <v>1499.8057919999999</v>
      </c>
      <c r="O4" s="74" t="s">
        <v>130</v>
      </c>
      <c r="P4" s="80">
        <f t="shared" si="1"/>
        <v>1198.4732824427481</v>
      </c>
      <c r="Q4" s="77">
        <v>131</v>
      </c>
      <c r="R4" s="64">
        <v>157000</v>
      </c>
    </row>
    <row r="5" spans="1:18" x14ac:dyDescent="0.4">
      <c r="A5" s="19" t="s">
        <v>7</v>
      </c>
      <c r="B5" s="129">
        <f>IF(B$2=0,0,B$4/B$2)</f>
        <v>-3.7922535211267596</v>
      </c>
      <c r="C5" s="130"/>
      <c r="E5" s="27" t="s">
        <v>68</v>
      </c>
      <c r="F5" s="24" t="s">
        <v>12</v>
      </c>
      <c r="G5" s="12">
        <v>84</v>
      </c>
      <c r="H5" s="88">
        <f t="shared" si="0"/>
        <v>0.37004405286343611</v>
      </c>
      <c r="I5" s="58">
        <v>2</v>
      </c>
      <c r="K5" s="74">
        <v>3</v>
      </c>
      <c r="L5" s="119">
        <v>-36.4</v>
      </c>
      <c r="M5" s="117">
        <v>1493.4409572479999</v>
      </c>
      <c r="O5" s="74" t="s">
        <v>131</v>
      </c>
      <c r="P5" s="80">
        <f t="shared" si="1"/>
        <v>-956.41025641025647</v>
      </c>
      <c r="Q5" s="77">
        <v>117</v>
      </c>
      <c r="R5" s="64">
        <v>-111900</v>
      </c>
    </row>
    <row r="6" spans="1:18" x14ac:dyDescent="0.4">
      <c r="A6" s="19" t="s">
        <v>196</v>
      </c>
      <c r="B6" s="133">
        <v>1441.4918072966886</v>
      </c>
      <c r="C6" s="134"/>
      <c r="E6" s="27" t="s">
        <v>67</v>
      </c>
      <c r="F6" s="24" t="s">
        <v>23</v>
      </c>
      <c r="G6" s="12">
        <v>68</v>
      </c>
      <c r="H6" s="88">
        <f t="shared" si="0"/>
        <v>0.29955947136563876</v>
      </c>
      <c r="I6" s="58">
        <v>7</v>
      </c>
      <c r="K6" s="74">
        <v>4</v>
      </c>
      <c r="L6" s="119">
        <v>3.6000000000000014</v>
      </c>
      <c r="M6" s="117">
        <v>1500.6983115045118</v>
      </c>
      <c r="O6" s="74" t="s">
        <v>132</v>
      </c>
      <c r="P6" s="80">
        <f t="shared" si="1"/>
        <v>-1676.2376237623762</v>
      </c>
      <c r="Q6" s="77">
        <v>101</v>
      </c>
      <c r="R6" s="64">
        <v>-169300</v>
      </c>
    </row>
    <row r="7" spans="1:18" x14ac:dyDescent="0.4">
      <c r="A7" s="19" t="s">
        <v>1</v>
      </c>
      <c r="B7" s="135">
        <f>IF(B$2=0,0,(B$8*1+B$9*2+B$10*3)/B$2)</f>
        <v>2.1056338028169015</v>
      </c>
      <c r="C7" s="136"/>
      <c r="E7" s="27" t="s">
        <v>89</v>
      </c>
      <c r="F7" s="24" t="s">
        <v>44</v>
      </c>
      <c r="G7" s="12">
        <v>40</v>
      </c>
      <c r="H7" s="88">
        <f t="shared" si="0"/>
        <v>0.1762114537444934</v>
      </c>
      <c r="I7" s="58">
        <v>4</v>
      </c>
      <c r="K7" s="74">
        <v>5</v>
      </c>
      <c r="L7" s="119">
        <v>14.600000000000001</v>
      </c>
      <c r="M7" s="117">
        <v>1502.6921216354847</v>
      </c>
      <c r="O7" s="75" t="s">
        <v>133</v>
      </c>
      <c r="P7" s="81">
        <f t="shared" si="1"/>
        <v>-1628.75</v>
      </c>
      <c r="Q7" s="78">
        <v>80</v>
      </c>
      <c r="R7" s="65">
        <v>-130300</v>
      </c>
    </row>
    <row r="8" spans="1:18" x14ac:dyDescent="0.4">
      <c r="A8" s="19" t="s">
        <v>2</v>
      </c>
      <c r="B8" s="12">
        <v>41</v>
      </c>
      <c r="C8" s="6">
        <f t="shared" ref="C8:C15" si="2">IF(B$2=0,0,B8/B$2)</f>
        <v>0.28873239436619719</v>
      </c>
      <c r="E8" s="27" t="s">
        <v>69</v>
      </c>
      <c r="F8" s="24" t="s">
        <v>24</v>
      </c>
      <c r="G8" s="12">
        <v>35</v>
      </c>
      <c r="H8" s="88">
        <f t="shared" si="0"/>
        <v>0.15418502202643172</v>
      </c>
      <c r="I8" s="58">
        <v>5</v>
      </c>
      <c r="K8" s="74">
        <v>6</v>
      </c>
      <c r="L8" s="119">
        <v>47.6</v>
      </c>
      <c r="M8" s="117">
        <v>1508.6339689056717</v>
      </c>
      <c r="O8" s="107"/>
      <c r="P8" s="85"/>
      <c r="Q8" s="108"/>
      <c r="R8" s="70"/>
    </row>
    <row r="9" spans="1:18" x14ac:dyDescent="0.4">
      <c r="A9" s="19" t="s">
        <v>3</v>
      </c>
      <c r="B9" s="12">
        <v>45</v>
      </c>
      <c r="C9" s="6">
        <f t="shared" si="2"/>
        <v>0.31690140845070425</v>
      </c>
      <c r="E9" s="27" t="s">
        <v>65</v>
      </c>
      <c r="F9" s="24" t="s">
        <v>21</v>
      </c>
      <c r="G9" s="12">
        <v>34</v>
      </c>
      <c r="H9" s="88">
        <f t="shared" si="0"/>
        <v>0.14977973568281938</v>
      </c>
      <c r="I9" s="58">
        <v>5</v>
      </c>
      <c r="K9" s="74">
        <v>7</v>
      </c>
      <c r="L9" s="119">
        <v>100.1</v>
      </c>
      <c r="M9" s="117">
        <v>1518.0561650922377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56</v>
      </c>
      <c r="C10" s="7">
        <f t="shared" si="2"/>
        <v>0.39436619718309857</v>
      </c>
      <c r="E10" s="27" t="s">
        <v>70</v>
      </c>
      <c r="F10" s="24" t="s">
        <v>25</v>
      </c>
      <c r="G10" s="12">
        <v>30</v>
      </c>
      <c r="H10" s="88">
        <f t="shared" si="0"/>
        <v>0.13215859030837004</v>
      </c>
      <c r="I10" s="58">
        <v>3</v>
      </c>
      <c r="K10" s="74">
        <v>8</v>
      </c>
      <c r="L10" s="119">
        <v>60.199999999999996</v>
      </c>
      <c r="M10" s="117">
        <v>1510.8138281016843</v>
      </c>
      <c r="O10" s="73" t="s">
        <v>152</v>
      </c>
      <c r="P10" s="82">
        <f>IF(Q10=0,0,R10/Q10)</f>
        <v>-7.8065217391304342</v>
      </c>
      <c r="Q10" s="76">
        <v>46</v>
      </c>
      <c r="R10" s="67">
        <v>-359.09999999999997</v>
      </c>
    </row>
    <row r="11" spans="1:18" x14ac:dyDescent="0.4">
      <c r="A11" s="20" t="s">
        <v>185</v>
      </c>
      <c r="B11" s="109">
        <f>IF(B8=0,0,C11/B8)</f>
        <v>28.726829268292683</v>
      </c>
      <c r="C11" s="110">
        <v>1177.8</v>
      </c>
      <c r="E11" s="27" t="s">
        <v>86</v>
      </c>
      <c r="F11" s="24" t="s">
        <v>41</v>
      </c>
      <c r="G11" s="12">
        <v>20</v>
      </c>
      <c r="H11" s="88">
        <f t="shared" si="0"/>
        <v>8.8105726872246701E-2</v>
      </c>
      <c r="I11" s="58">
        <v>5</v>
      </c>
      <c r="K11" s="74">
        <v>9</v>
      </c>
      <c r="L11" s="119">
        <v>24.4</v>
      </c>
      <c r="M11" s="117">
        <v>1504.3529451330742</v>
      </c>
      <c r="O11" s="74" t="s">
        <v>153</v>
      </c>
      <c r="P11" s="83">
        <f>IF(Q11=0,0,R11/Q11)</f>
        <v>-3.9735849056603771</v>
      </c>
      <c r="Q11" s="77">
        <v>53</v>
      </c>
      <c r="R11" s="68">
        <v>-210.6</v>
      </c>
    </row>
    <row r="12" spans="1:18" x14ac:dyDescent="0.4">
      <c r="A12" s="20" t="s">
        <v>186</v>
      </c>
      <c r="B12" s="109">
        <f>IF(B9=0,0,C12/B9)</f>
        <v>-1.8577777777777773</v>
      </c>
      <c r="C12" s="110">
        <v>-83.59999999999998</v>
      </c>
      <c r="E12" s="27" t="s">
        <v>83</v>
      </c>
      <c r="F12" s="24" t="s">
        <v>38</v>
      </c>
      <c r="G12" s="12">
        <v>16</v>
      </c>
      <c r="H12" s="88">
        <f t="shared" si="0"/>
        <v>7.0484581497797363E-2</v>
      </c>
      <c r="I12" s="58">
        <v>5</v>
      </c>
      <c r="K12" s="74">
        <v>10</v>
      </c>
      <c r="L12" s="119">
        <v>-20.100000000000001</v>
      </c>
      <c r="M12" s="117">
        <v>1496.3648274622758</v>
      </c>
      <c r="O12" s="75" t="s">
        <v>154</v>
      </c>
      <c r="P12" s="84">
        <f>IF(Q12=0,0,R12/Q12)</f>
        <v>-0.44761904761904753</v>
      </c>
      <c r="Q12" s="78">
        <v>42</v>
      </c>
      <c r="R12" s="69">
        <v>-18.799999999999997</v>
      </c>
    </row>
    <row r="13" spans="1:18" x14ac:dyDescent="0.4">
      <c r="A13" s="20" t="s">
        <v>187</v>
      </c>
      <c r="B13" s="109">
        <f>IF(B10=0,0,C13/B10)</f>
        <v>-29.155357142857149</v>
      </c>
      <c r="C13" s="110">
        <v>-1632.7000000000003</v>
      </c>
      <c r="E13" s="27" t="s">
        <v>81</v>
      </c>
      <c r="F13" s="24" t="s">
        <v>36</v>
      </c>
      <c r="G13" s="12">
        <v>10</v>
      </c>
      <c r="H13" s="88">
        <f t="shared" si="0"/>
        <v>4.405286343612335E-2</v>
      </c>
      <c r="I13" s="58">
        <v>4</v>
      </c>
      <c r="K13" s="74">
        <v>11</v>
      </c>
      <c r="L13" s="119">
        <v>-3.6000000000000014</v>
      </c>
      <c r="M13" s="117">
        <v>1499.4046384975022</v>
      </c>
      <c r="O13" s="103"/>
      <c r="P13" s="71"/>
      <c r="Q13" s="111"/>
      <c r="R13" s="71"/>
    </row>
    <row r="14" spans="1:18" x14ac:dyDescent="0.4">
      <c r="A14" s="20" t="s">
        <v>188</v>
      </c>
      <c r="B14" s="129">
        <f>AVERAGE(B11:B13)</f>
        <v>-0.76210188411408097</v>
      </c>
      <c r="C14" s="130"/>
      <c r="E14" s="27" t="s">
        <v>71</v>
      </c>
      <c r="F14" s="24" t="s">
        <v>26</v>
      </c>
      <c r="G14" s="12">
        <v>7</v>
      </c>
      <c r="H14" s="88">
        <f t="shared" si="0"/>
        <v>3.0837004405286344E-2</v>
      </c>
      <c r="I14" s="58">
        <v>9</v>
      </c>
      <c r="K14" s="74">
        <v>12</v>
      </c>
      <c r="L14" s="119">
        <v>-12.000000000000002</v>
      </c>
      <c r="M14" s="117">
        <v>1497.9442106665172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27</v>
      </c>
      <c r="C15" s="9">
        <f t="shared" si="2"/>
        <v>0.19014084507042253</v>
      </c>
      <c r="E15" s="27" t="s">
        <v>91</v>
      </c>
      <c r="F15" s="24" t="s">
        <v>46</v>
      </c>
      <c r="G15" s="12">
        <v>7</v>
      </c>
      <c r="H15" s="88">
        <f t="shared" si="0"/>
        <v>3.0837004405286344E-2</v>
      </c>
      <c r="I15" s="58">
        <v>2</v>
      </c>
      <c r="K15" s="74">
        <v>13</v>
      </c>
      <c r="L15" s="119">
        <v>49.5</v>
      </c>
      <c r="M15" s="117">
        <v>1509.074545402518</v>
      </c>
      <c r="O15" s="73" t="s">
        <v>205</v>
      </c>
      <c r="P15" s="82">
        <f t="shared" ref="P15:P24" si="3">IF(Q15=0,0,R15/Q15)</f>
        <v>53.3</v>
      </c>
      <c r="Q15" s="76">
        <v>2</v>
      </c>
      <c r="R15" s="67">
        <v>106.6</v>
      </c>
    </row>
    <row r="16" spans="1:18" x14ac:dyDescent="0.4">
      <c r="A16" s="22" t="s">
        <v>121</v>
      </c>
      <c r="B16" s="15">
        <v>243</v>
      </c>
      <c r="C16" s="10">
        <f>IF(B$51=0,0,B16/B$51)</f>
        <v>0.28859857482185275</v>
      </c>
      <c r="E16" s="27" t="s">
        <v>78</v>
      </c>
      <c r="F16" s="24" t="s">
        <v>33</v>
      </c>
      <c r="G16" s="12">
        <v>5</v>
      </c>
      <c r="H16" s="88">
        <f t="shared" si="0"/>
        <v>2.2026431718061675E-2</v>
      </c>
      <c r="I16" s="58">
        <v>7</v>
      </c>
      <c r="K16" s="74">
        <v>14</v>
      </c>
      <c r="L16" s="119">
        <v>33</v>
      </c>
      <c r="M16" s="117">
        <v>1506.0980981301029</v>
      </c>
      <c r="O16" s="74" t="s">
        <v>198</v>
      </c>
      <c r="P16" s="83">
        <f t="shared" si="3"/>
        <v>26.466666666666669</v>
      </c>
      <c r="Q16" s="77">
        <v>3</v>
      </c>
      <c r="R16" s="68">
        <v>79.400000000000006</v>
      </c>
    </row>
    <row r="17" spans="1:18" x14ac:dyDescent="0.4">
      <c r="A17" s="19" t="s">
        <v>118</v>
      </c>
      <c r="B17" s="12">
        <v>149</v>
      </c>
      <c r="C17" s="6">
        <f>IF(B$51=0,0,B17/B$51)</f>
        <v>0.17695961995249407</v>
      </c>
      <c r="E17" s="27" t="s">
        <v>79</v>
      </c>
      <c r="F17" s="24" t="s">
        <v>34</v>
      </c>
      <c r="G17" s="12">
        <v>3</v>
      </c>
      <c r="H17" s="88">
        <f t="shared" si="0"/>
        <v>1.3215859030837005E-2</v>
      </c>
      <c r="I17" s="58">
        <v>8</v>
      </c>
      <c r="K17" s="74">
        <v>15</v>
      </c>
      <c r="L17" s="119">
        <v>38.5</v>
      </c>
      <c r="M17" s="117">
        <v>1507.0875095413223</v>
      </c>
      <c r="O17" s="74" t="s">
        <v>190</v>
      </c>
      <c r="P17" s="83">
        <f t="shared" si="3"/>
        <v>22.345454545454547</v>
      </c>
      <c r="Q17" s="77">
        <v>22</v>
      </c>
      <c r="R17" s="68">
        <v>491.6</v>
      </c>
    </row>
    <row r="18" spans="1:18" x14ac:dyDescent="0.4">
      <c r="A18" s="18" t="s">
        <v>123</v>
      </c>
      <c r="B18" s="11">
        <f>B24</f>
        <v>141</v>
      </c>
      <c r="C18" s="5">
        <f>IF(B$16=0,0,B18/B$16)</f>
        <v>0.58024691358024694</v>
      </c>
      <c r="E18" s="27" t="s">
        <v>84</v>
      </c>
      <c r="F18" s="24" t="s">
        <v>39</v>
      </c>
      <c r="G18" s="12">
        <v>2</v>
      </c>
      <c r="H18" s="88">
        <f t="shared" si="0"/>
        <v>8.8105726872246704E-3</v>
      </c>
      <c r="I18" s="58">
        <v>1</v>
      </c>
      <c r="K18" s="74">
        <v>16</v>
      </c>
      <c r="L18" s="119">
        <v>14.600000000000001</v>
      </c>
      <c r="M18" s="117">
        <v>1502.7789844840745</v>
      </c>
      <c r="O18" s="74" t="s">
        <v>164</v>
      </c>
      <c r="P18" s="83">
        <f t="shared" si="3"/>
        <v>3.1104166666666644</v>
      </c>
      <c r="Q18" s="77">
        <v>48</v>
      </c>
      <c r="R18" s="68">
        <v>149.2999999999999</v>
      </c>
    </row>
    <row r="19" spans="1:18" x14ac:dyDescent="0.4">
      <c r="A19" s="18" t="s">
        <v>124</v>
      </c>
      <c r="B19" s="11">
        <f>B25</f>
        <v>58</v>
      </c>
      <c r="C19" s="5">
        <f>IF(B$17=0,0,B19/B$17)</f>
        <v>0.38926174496644295</v>
      </c>
      <c r="E19" s="27" t="s">
        <v>85</v>
      </c>
      <c r="F19" s="24" t="s">
        <v>40</v>
      </c>
      <c r="G19" s="12">
        <v>2</v>
      </c>
      <c r="H19" s="88">
        <f t="shared" si="0"/>
        <v>8.8105726872246704E-3</v>
      </c>
      <c r="I19" s="58">
        <v>2</v>
      </c>
      <c r="K19" s="74">
        <v>17</v>
      </c>
      <c r="L19" s="119">
        <v>13.900000000000002</v>
      </c>
      <c r="M19" s="117">
        <v>1502.67231057717</v>
      </c>
      <c r="O19" s="74" t="s">
        <v>223</v>
      </c>
      <c r="P19" s="83">
        <f t="shared" si="3"/>
        <v>-0.14444444444444493</v>
      </c>
      <c r="Q19" s="77">
        <v>9</v>
      </c>
      <c r="R19" s="68">
        <v>-1.3000000000000043</v>
      </c>
    </row>
    <row r="20" spans="1:18" x14ac:dyDescent="0.4">
      <c r="A20" s="18" t="s">
        <v>10</v>
      </c>
      <c r="B20" s="11">
        <f>B23+B22</f>
        <v>288</v>
      </c>
      <c r="C20" s="5">
        <f>IF(B$3=0,0,B20/B$3)</f>
        <v>0.26110607434270172</v>
      </c>
      <c r="E20" s="27" t="s">
        <v>92</v>
      </c>
      <c r="F20" s="24" t="s">
        <v>47</v>
      </c>
      <c r="G20" s="12">
        <v>2</v>
      </c>
      <c r="H20" s="88">
        <f t="shared" si="0"/>
        <v>8.8105726872246704E-3</v>
      </c>
      <c r="I20" s="58">
        <v>3</v>
      </c>
      <c r="K20" s="74">
        <v>18</v>
      </c>
      <c r="L20" s="119">
        <v>-21.999999999999996</v>
      </c>
      <c r="M20" s="117">
        <v>1496.236276713707</v>
      </c>
      <c r="O20" s="74" t="s">
        <v>126</v>
      </c>
      <c r="P20" s="83">
        <f t="shared" si="3"/>
        <v>-10.037288135593213</v>
      </c>
      <c r="Q20" s="77">
        <v>118</v>
      </c>
      <c r="R20" s="68">
        <v>-1184.3999999999992</v>
      </c>
    </row>
    <row r="21" spans="1:18" x14ac:dyDescent="0.4">
      <c r="A21" s="19" t="s">
        <v>13</v>
      </c>
      <c r="B21" s="12">
        <v>210</v>
      </c>
      <c r="C21" s="6">
        <f>IF(B$3=0,0,B21/B$3)</f>
        <v>0.19038984587488667</v>
      </c>
      <c r="E21" s="27" t="s">
        <v>73</v>
      </c>
      <c r="F21" s="24" t="s">
        <v>28</v>
      </c>
      <c r="G21" s="12">
        <v>1</v>
      </c>
      <c r="H21" s="88">
        <f t="shared" si="0"/>
        <v>4.4052863436123352E-3</v>
      </c>
      <c r="I21" s="58">
        <v>6</v>
      </c>
      <c r="K21" s="74">
        <v>19</v>
      </c>
      <c r="L21" s="119">
        <v>-26.699999999999996</v>
      </c>
      <c r="M21" s="117">
        <v>1495.4548590534248</v>
      </c>
      <c r="O21" s="74" t="s">
        <v>191</v>
      </c>
      <c r="P21" s="83">
        <f t="shared" si="3"/>
        <v>-10.366666666666665</v>
      </c>
      <c r="Q21" s="77">
        <v>3</v>
      </c>
      <c r="R21" s="68">
        <v>-31.099999999999998</v>
      </c>
    </row>
    <row r="22" spans="1:18" x14ac:dyDescent="0.4">
      <c r="A22" s="19" t="s">
        <v>12</v>
      </c>
      <c r="B22" s="12">
        <v>131</v>
      </c>
      <c r="C22" s="6">
        <f>IF(B$20=0,0,B22/B$20)</f>
        <v>0.4548611111111111</v>
      </c>
      <c r="E22" s="27" t="s">
        <v>74</v>
      </c>
      <c r="F22" s="24" t="s">
        <v>29</v>
      </c>
      <c r="G22" s="12">
        <v>1</v>
      </c>
      <c r="H22" s="88">
        <f t="shared" si="0"/>
        <v>4.4052863436123352E-3</v>
      </c>
      <c r="I22" s="58">
        <v>1</v>
      </c>
      <c r="K22" s="74">
        <v>20</v>
      </c>
      <c r="L22" s="119">
        <v>-57.899999999999991</v>
      </c>
      <c r="M22" s="117">
        <v>1489.9081298991043</v>
      </c>
      <c r="O22" s="74" t="s">
        <v>193</v>
      </c>
      <c r="P22" s="83">
        <f t="shared" si="3"/>
        <v>-13.897297297297296</v>
      </c>
      <c r="Q22" s="77">
        <v>37</v>
      </c>
      <c r="R22" s="68">
        <v>-514.19999999999993</v>
      </c>
    </row>
    <row r="23" spans="1:18" x14ac:dyDescent="0.4">
      <c r="A23" s="19" t="s">
        <v>11</v>
      </c>
      <c r="B23" s="12">
        <v>157</v>
      </c>
      <c r="C23" s="6">
        <f>IF(B$20=0,0,B23/B$20)</f>
        <v>0.54513888888888884</v>
      </c>
      <c r="E23" s="27" t="s">
        <v>75</v>
      </c>
      <c r="F23" s="24" t="s">
        <v>30</v>
      </c>
      <c r="G23" s="12">
        <v>1</v>
      </c>
      <c r="H23" s="88">
        <f t="shared" si="0"/>
        <v>4.4052863436123352E-3</v>
      </c>
      <c r="I23" s="58">
        <v>5</v>
      </c>
      <c r="K23" s="74">
        <v>21</v>
      </c>
      <c r="L23" s="119">
        <v>-82.699999999999989</v>
      </c>
      <c r="M23" s="117">
        <v>1485.5466811197098</v>
      </c>
      <c r="O23" s="74" t="s">
        <v>211</v>
      </c>
      <c r="P23" s="83">
        <f t="shared" si="3"/>
        <v>-15.958974358974352</v>
      </c>
      <c r="Q23" s="77">
        <v>39</v>
      </c>
      <c r="R23" s="68">
        <v>-622.39999999999975</v>
      </c>
    </row>
    <row r="24" spans="1:18" x14ac:dyDescent="0.4">
      <c r="A24" s="19" t="s">
        <v>184</v>
      </c>
      <c r="B24" s="12">
        <v>141</v>
      </c>
      <c r="C24" s="6">
        <f>IF(B$20=0,0,B24/B$20)</f>
        <v>0.48958333333333331</v>
      </c>
      <c r="E24" s="27" t="s">
        <v>80</v>
      </c>
      <c r="F24" s="24" t="s">
        <v>35</v>
      </c>
      <c r="G24" s="12">
        <v>1</v>
      </c>
      <c r="H24" s="88">
        <f t="shared" si="0"/>
        <v>4.4052863436123352E-3</v>
      </c>
      <c r="I24" s="58">
        <v>1</v>
      </c>
      <c r="K24" s="74">
        <v>22</v>
      </c>
      <c r="L24" s="119">
        <v>-94.6</v>
      </c>
      <c r="M24" s="117">
        <v>1483.5334010329916</v>
      </c>
      <c r="O24" s="74" t="s">
        <v>246</v>
      </c>
      <c r="P24" s="83">
        <f t="shared" si="3"/>
        <v>-29.666666666666668</v>
      </c>
      <c r="Q24" s="77">
        <v>3</v>
      </c>
      <c r="R24" s="68">
        <v>-89</v>
      </c>
    </row>
    <row r="25" spans="1:18" x14ac:dyDescent="0.4">
      <c r="A25" s="19" t="s">
        <v>182</v>
      </c>
      <c r="B25" s="12">
        <v>58</v>
      </c>
      <c r="C25" s="6">
        <f>IF(B$20=0,0,B25/B$20)</f>
        <v>0.2013888888888889</v>
      </c>
      <c r="E25" s="27" t="s">
        <v>87</v>
      </c>
      <c r="F25" s="24" t="s">
        <v>42</v>
      </c>
      <c r="G25" s="12">
        <v>1</v>
      </c>
      <c r="H25" s="88">
        <f t="shared" si="0"/>
        <v>4.4052863436123352E-3</v>
      </c>
      <c r="I25" s="58">
        <v>1</v>
      </c>
      <c r="K25" s="74">
        <v>23</v>
      </c>
      <c r="L25" s="119">
        <v>-111.3</v>
      </c>
      <c r="M25" s="117">
        <v>1480.6322006267937</v>
      </c>
    </row>
    <row r="26" spans="1:18" x14ac:dyDescent="0.4">
      <c r="A26" s="19" t="s">
        <v>183</v>
      </c>
      <c r="B26" s="12">
        <v>89</v>
      </c>
      <c r="C26" s="6">
        <f>IF(B$20=0,0,B26/B$20)</f>
        <v>0.30902777777777779</v>
      </c>
      <c r="E26" s="27" t="s">
        <v>88</v>
      </c>
      <c r="F26" s="24" t="s">
        <v>43</v>
      </c>
      <c r="G26" s="12">
        <v>1</v>
      </c>
      <c r="H26" s="88">
        <f t="shared" si="0"/>
        <v>4.4052863436123352E-3</v>
      </c>
      <c r="I26" s="58">
        <v>1</v>
      </c>
      <c r="K26" s="74">
        <v>24</v>
      </c>
      <c r="L26" s="119">
        <v>-68.099999999999994</v>
      </c>
      <c r="M26" s="117">
        <v>1488.5664074230331</v>
      </c>
    </row>
    <row r="27" spans="1:18" x14ac:dyDescent="0.4">
      <c r="A27" s="19" t="s">
        <v>5</v>
      </c>
      <c r="B27" s="16">
        <f>IF(B$20=0,0,C27/B$20)</f>
        <v>10792.708333333334</v>
      </c>
      <c r="C27" s="8">
        <v>3108300</v>
      </c>
      <c r="E27" s="27" t="s">
        <v>76</v>
      </c>
      <c r="F27" s="24" t="s">
        <v>31</v>
      </c>
      <c r="G27" s="12">
        <v>0</v>
      </c>
      <c r="H27" s="88">
        <f t="shared" si="0"/>
        <v>0</v>
      </c>
      <c r="I27" s="58">
        <v>1</v>
      </c>
      <c r="K27" s="74">
        <v>25</v>
      </c>
      <c r="L27" s="119">
        <v>-70.899999999999991</v>
      </c>
      <c r="M27" s="117">
        <v>1488.1730089784949</v>
      </c>
    </row>
    <row r="28" spans="1:18" x14ac:dyDescent="0.4">
      <c r="A28" s="20" t="s">
        <v>166</v>
      </c>
      <c r="B28" s="95">
        <f>IF($B$20-B$19=0,0,C28/($B$20-B$19))</f>
        <v>11046.08695652174</v>
      </c>
      <c r="C28" s="96">
        <v>2540600</v>
      </c>
      <c r="E28" s="27" t="s">
        <v>77</v>
      </c>
      <c r="F28" s="24" t="s">
        <v>32</v>
      </c>
      <c r="G28" s="12">
        <v>0</v>
      </c>
      <c r="H28" s="88">
        <f t="shared" si="0"/>
        <v>0</v>
      </c>
      <c r="I28" s="58">
        <v>7</v>
      </c>
      <c r="K28" s="74">
        <v>26</v>
      </c>
      <c r="L28" s="119">
        <v>-125.89999999999999</v>
      </c>
      <c r="M28" s="117">
        <v>1478.385970924624</v>
      </c>
    </row>
    <row r="29" spans="1:18" x14ac:dyDescent="0.4">
      <c r="A29" s="20" t="s">
        <v>167</v>
      </c>
      <c r="B29" s="95">
        <f>IF(B$19=0,0,C29/B$19)</f>
        <v>9787.9310344827591</v>
      </c>
      <c r="C29" s="96">
        <v>567700</v>
      </c>
      <c r="E29" s="27" t="s">
        <v>82</v>
      </c>
      <c r="F29" s="24" t="s">
        <v>37</v>
      </c>
      <c r="G29" s="12">
        <v>0</v>
      </c>
      <c r="H29" s="88">
        <f t="shared" si="0"/>
        <v>0</v>
      </c>
      <c r="I29" s="58">
        <v>1</v>
      </c>
      <c r="K29" s="74">
        <v>27</v>
      </c>
      <c r="L29" s="119">
        <v>-163.6</v>
      </c>
      <c r="M29" s="117">
        <v>1471.7716550990763</v>
      </c>
    </row>
    <row r="30" spans="1:18" x14ac:dyDescent="0.4">
      <c r="A30" s="20" t="s">
        <v>165</v>
      </c>
      <c r="B30" s="95">
        <f>IF(B$21=0,0,C30/B$21)</f>
        <v>-9621.4285714285706</v>
      </c>
      <c r="C30" s="96">
        <v>-2020500</v>
      </c>
      <c r="E30" s="27" t="s">
        <v>90</v>
      </c>
      <c r="F30" s="24" t="s">
        <v>45</v>
      </c>
      <c r="G30" s="12">
        <v>0</v>
      </c>
      <c r="H30" s="88">
        <f t="shared" si="0"/>
        <v>0</v>
      </c>
      <c r="I30" s="58">
        <v>4</v>
      </c>
      <c r="K30" s="74">
        <v>28</v>
      </c>
      <c r="L30" s="119">
        <v>-169.5</v>
      </c>
      <c r="M30" s="117">
        <v>1470.9210251684817</v>
      </c>
    </row>
    <row r="31" spans="1:18" x14ac:dyDescent="0.4">
      <c r="A31" s="19" t="s">
        <v>158</v>
      </c>
      <c r="B31" s="12">
        <v>7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>
        <v>6</v>
      </c>
      <c r="K31" s="74">
        <v>29</v>
      </c>
      <c r="L31" s="119">
        <v>-163.30000000000001</v>
      </c>
      <c r="M31" s="117">
        <v>1472.1934990174709</v>
      </c>
    </row>
    <row r="32" spans="1:18" x14ac:dyDescent="0.4">
      <c r="A32" s="19" t="s">
        <v>159</v>
      </c>
      <c r="B32" s="12">
        <v>31</v>
      </c>
      <c r="C32" s="90">
        <v>8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>
        <v>1</v>
      </c>
      <c r="K32" s="74">
        <v>30</v>
      </c>
      <c r="L32" s="119">
        <v>-209.4</v>
      </c>
      <c r="M32" s="117">
        <v>1464.1163380233661</v>
      </c>
    </row>
    <row r="33" spans="1:13" x14ac:dyDescent="0.4">
      <c r="A33" s="54" t="s">
        <v>136</v>
      </c>
      <c r="B33" s="131">
        <v>10</v>
      </c>
      <c r="C33" s="132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>
        <v>3</v>
      </c>
      <c r="K33" s="74">
        <v>31</v>
      </c>
      <c r="L33" s="119">
        <v>-259.89999999999998</v>
      </c>
      <c r="M33" s="117">
        <v>1455.2956399952259</v>
      </c>
    </row>
    <row r="34" spans="1:13" x14ac:dyDescent="0.4">
      <c r="A34" s="22" t="s">
        <v>181</v>
      </c>
      <c r="B34" s="133">
        <v>97700</v>
      </c>
      <c r="C34" s="134"/>
      <c r="E34" s="27" t="s">
        <v>96</v>
      </c>
      <c r="F34" s="24" t="s">
        <v>51</v>
      </c>
      <c r="G34" s="12">
        <v>0</v>
      </c>
      <c r="H34" s="88">
        <f t="shared" ref="H34:H52" si="4">IF(B$52=0,0,G34/B$52)</f>
        <v>0</v>
      </c>
      <c r="I34" s="58">
        <v>1</v>
      </c>
      <c r="K34" s="74">
        <v>32</v>
      </c>
      <c r="L34" s="119">
        <v>-253.59999999999997</v>
      </c>
      <c r="M34" s="117">
        <v>1456.7518661552544</v>
      </c>
    </row>
    <row r="35" spans="1:13" x14ac:dyDescent="0.4">
      <c r="A35" s="21" t="s">
        <v>137</v>
      </c>
      <c r="B35" s="29">
        <v>4</v>
      </c>
      <c r="C35" s="9">
        <f>IF(B$3=0,0,B35/B$3)</f>
        <v>3.6264732547597461E-3</v>
      </c>
      <c r="E35" s="27" t="s">
        <v>97</v>
      </c>
      <c r="F35" s="24" t="s">
        <v>52</v>
      </c>
      <c r="G35" s="12">
        <v>0</v>
      </c>
      <c r="H35" s="88">
        <f t="shared" si="4"/>
        <v>0</v>
      </c>
      <c r="I35" s="58">
        <v>1</v>
      </c>
      <c r="K35" s="74">
        <v>33</v>
      </c>
      <c r="L35" s="119">
        <v>-234.89999999999998</v>
      </c>
      <c r="M35" s="117">
        <v>1460.347354958323</v>
      </c>
    </row>
    <row r="36" spans="1:13" x14ac:dyDescent="0.4">
      <c r="E36" s="27" t="s">
        <v>98</v>
      </c>
      <c r="F36" s="24" t="s">
        <v>53</v>
      </c>
      <c r="G36" s="12">
        <v>0</v>
      </c>
      <c r="H36" s="88">
        <f t="shared" si="4"/>
        <v>0</v>
      </c>
      <c r="I36" s="58">
        <v>1</v>
      </c>
      <c r="K36" s="74">
        <v>34</v>
      </c>
      <c r="L36" s="119">
        <v>-229.79999999999998</v>
      </c>
      <c r="M36" s="117">
        <v>1461.5692708285731</v>
      </c>
    </row>
    <row r="37" spans="1:13" x14ac:dyDescent="0.4">
      <c r="A37" s="54" t="s">
        <v>172</v>
      </c>
      <c r="B37" s="122">
        <v>4</v>
      </c>
      <c r="C37" s="98">
        <f t="shared" ref="C37:C49" si="5">IF(B$20=0,0,B37/B$20)</f>
        <v>1.3888888888888888E-2</v>
      </c>
      <c r="E37" s="27" t="s">
        <v>99</v>
      </c>
      <c r="F37" s="24" t="s">
        <v>54</v>
      </c>
      <c r="G37" s="12">
        <v>0</v>
      </c>
      <c r="H37" s="88">
        <f t="shared" si="4"/>
        <v>0</v>
      </c>
      <c r="I37" s="58">
        <v>1</v>
      </c>
      <c r="K37" s="74">
        <v>35</v>
      </c>
      <c r="L37" s="119">
        <v>-254.29999999999998</v>
      </c>
      <c r="M37" s="117">
        <v>1457.3778552036017</v>
      </c>
    </row>
    <row r="38" spans="1:13" x14ac:dyDescent="0.4">
      <c r="A38" s="19" t="s">
        <v>168</v>
      </c>
      <c r="B38" s="12">
        <v>22</v>
      </c>
      <c r="C38" s="6">
        <f t="shared" si="5"/>
        <v>7.6388888888888895E-2</v>
      </c>
      <c r="E38" s="27" t="s">
        <v>100</v>
      </c>
      <c r="F38" s="24" t="s">
        <v>55</v>
      </c>
      <c r="G38" s="12">
        <v>0</v>
      </c>
      <c r="H38" s="88">
        <f t="shared" si="4"/>
        <v>0</v>
      </c>
      <c r="I38" s="58">
        <v>1</v>
      </c>
      <c r="K38" s="74">
        <v>36</v>
      </c>
      <c r="L38" s="119">
        <v>-204.29999999999998</v>
      </c>
      <c r="M38" s="117">
        <v>1466.5735880723801</v>
      </c>
    </row>
    <row r="39" spans="1:13" x14ac:dyDescent="0.4">
      <c r="A39" s="19" t="s">
        <v>169</v>
      </c>
      <c r="B39" s="123">
        <v>46</v>
      </c>
      <c r="C39" s="6">
        <f t="shared" si="5"/>
        <v>0.15972222222222221</v>
      </c>
      <c r="E39" s="27" t="s">
        <v>101</v>
      </c>
      <c r="F39" s="24" t="s">
        <v>56</v>
      </c>
      <c r="G39" s="12">
        <v>0</v>
      </c>
      <c r="H39" s="88">
        <f t="shared" si="4"/>
        <v>0</v>
      </c>
      <c r="I39" s="58">
        <v>1</v>
      </c>
      <c r="K39" s="74">
        <v>37</v>
      </c>
      <c r="L39" s="119">
        <v>-249.29999999999998</v>
      </c>
      <c r="M39" s="117">
        <v>1458.6801465439457</v>
      </c>
    </row>
    <row r="40" spans="1:13" x14ac:dyDescent="0.4">
      <c r="A40" s="19" t="s">
        <v>170</v>
      </c>
      <c r="B40" s="123">
        <v>38</v>
      </c>
      <c r="C40" s="6">
        <f t="shared" si="5"/>
        <v>0.13194444444444445</v>
      </c>
      <c r="E40" s="27" t="s">
        <v>102</v>
      </c>
      <c r="F40" s="24" t="s">
        <v>57</v>
      </c>
      <c r="G40" s="12">
        <v>0</v>
      </c>
      <c r="H40" s="88">
        <f t="shared" si="4"/>
        <v>0</v>
      </c>
      <c r="I40" s="58">
        <v>1</v>
      </c>
      <c r="K40" s="74">
        <v>38</v>
      </c>
      <c r="L40" s="119">
        <v>-242.49999999999997</v>
      </c>
      <c r="M40" s="117">
        <v>1460.158065664682</v>
      </c>
    </row>
    <row r="41" spans="1:13" x14ac:dyDescent="0.4">
      <c r="A41" s="19" t="s">
        <v>171</v>
      </c>
      <c r="B41" s="123">
        <v>37</v>
      </c>
      <c r="C41" s="6">
        <f t="shared" si="5"/>
        <v>0.12847222222222221</v>
      </c>
      <c r="E41" s="27" t="s">
        <v>103</v>
      </c>
      <c r="F41" s="24" t="s">
        <v>58</v>
      </c>
      <c r="G41" s="12">
        <v>0</v>
      </c>
      <c r="H41" s="88">
        <f t="shared" si="4"/>
        <v>0</v>
      </c>
      <c r="I41" s="58">
        <v>1</v>
      </c>
      <c r="K41" s="74">
        <v>39</v>
      </c>
      <c r="L41" s="119">
        <v>-244.59999999999997</v>
      </c>
      <c r="M41" s="117">
        <v>1460.025117270694</v>
      </c>
    </row>
    <row r="42" spans="1:13" x14ac:dyDescent="0.4">
      <c r="A42" s="19" t="s">
        <v>173</v>
      </c>
      <c r="B42" s="123">
        <v>32</v>
      </c>
      <c r="C42" s="6">
        <f t="shared" si="5"/>
        <v>0.1111111111111111</v>
      </c>
      <c r="E42" s="27" t="s">
        <v>104</v>
      </c>
      <c r="F42" s="24" t="s">
        <v>59</v>
      </c>
      <c r="G42" s="12">
        <v>0</v>
      </c>
      <c r="H42" s="88">
        <f t="shared" si="4"/>
        <v>0</v>
      </c>
      <c r="I42" s="58">
        <v>1</v>
      </c>
      <c r="K42" s="74">
        <v>40</v>
      </c>
      <c r="L42" s="119">
        <v>-279.7</v>
      </c>
      <c r="M42" s="117">
        <v>1453.9529665670698</v>
      </c>
    </row>
    <row r="43" spans="1:13" x14ac:dyDescent="0.4">
      <c r="A43" s="19" t="s">
        <v>174</v>
      </c>
      <c r="B43" s="123">
        <v>21</v>
      </c>
      <c r="C43" s="6">
        <f t="shared" si="5"/>
        <v>7.2916666666666671E-2</v>
      </c>
      <c r="E43" s="27" t="s">
        <v>105</v>
      </c>
      <c r="F43" s="24" t="s">
        <v>112</v>
      </c>
      <c r="G43" s="12">
        <v>0</v>
      </c>
      <c r="H43" s="88">
        <f t="shared" si="4"/>
        <v>0</v>
      </c>
      <c r="I43" s="58">
        <v>1</v>
      </c>
      <c r="K43" s="74">
        <v>41</v>
      </c>
      <c r="L43" s="119">
        <v>-320.09999999999997</v>
      </c>
      <c r="M43" s="117">
        <v>1447.0052487676674</v>
      </c>
    </row>
    <row r="44" spans="1:13" x14ac:dyDescent="0.4">
      <c r="A44" s="19" t="s">
        <v>175</v>
      </c>
      <c r="B44" s="123">
        <v>8</v>
      </c>
      <c r="C44" s="6">
        <f t="shared" si="5"/>
        <v>2.7777777777777776E-2</v>
      </c>
      <c r="E44" s="27" t="s">
        <v>106</v>
      </c>
      <c r="F44" s="24" t="s">
        <v>113</v>
      </c>
      <c r="G44" s="12">
        <v>0</v>
      </c>
      <c r="H44" s="88">
        <f t="shared" si="4"/>
        <v>0</v>
      </c>
      <c r="I44" s="58">
        <v>3</v>
      </c>
      <c r="K44" s="74">
        <v>42</v>
      </c>
      <c r="L44" s="119">
        <v>-314.29999999999995</v>
      </c>
      <c r="M44" s="117">
        <v>1448.3252172750613</v>
      </c>
    </row>
    <row r="45" spans="1:13" x14ac:dyDescent="0.4">
      <c r="A45" s="19" t="s">
        <v>176</v>
      </c>
      <c r="B45" s="123">
        <v>9</v>
      </c>
      <c r="C45" s="6">
        <f t="shared" si="5"/>
        <v>3.125E-2</v>
      </c>
      <c r="E45" s="27" t="s">
        <v>107</v>
      </c>
      <c r="F45" s="24" t="s">
        <v>114</v>
      </c>
      <c r="G45" s="12">
        <v>0</v>
      </c>
      <c r="H45" s="88">
        <f t="shared" si="4"/>
        <v>0</v>
      </c>
      <c r="I45" s="58">
        <v>1</v>
      </c>
      <c r="K45" s="74">
        <v>43</v>
      </c>
      <c r="L45" s="119">
        <v>-284.79999999999995</v>
      </c>
      <c r="M45" s="117">
        <v>1453.9632659714109</v>
      </c>
    </row>
    <row r="46" spans="1:13" x14ac:dyDescent="0.4">
      <c r="A46" s="19" t="s">
        <v>177</v>
      </c>
      <c r="B46" s="123">
        <v>1</v>
      </c>
      <c r="C46" s="6">
        <f t="shared" si="5"/>
        <v>3.472222222222222E-3</v>
      </c>
      <c r="E46" s="27" t="s">
        <v>108</v>
      </c>
      <c r="F46" s="24" t="s">
        <v>60</v>
      </c>
      <c r="G46" s="12">
        <v>0</v>
      </c>
      <c r="H46" s="88">
        <f t="shared" si="4"/>
        <v>0</v>
      </c>
      <c r="I46" s="58">
        <v>1</v>
      </c>
      <c r="K46" s="74">
        <v>44</v>
      </c>
      <c r="L46" s="119">
        <v>-239.89999999999995</v>
      </c>
      <c r="M46" s="117">
        <v>1462.1534863755824</v>
      </c>
    </row>
    <row r="47" spans="1:13" x14ac:dyDescent="0.4">
      <c r="A47" s="19" t="s">
        <v>178</v>
      </c>
      <c r="B47" s="123">
        <v>2</v>
      </c>
      <c r="C47" s="6">
        <f t="shared" si="5"/>
        <v>6.9444444444444441E-3</v>
      </c>
      <c r="E47" s="27" t="s">
        <v>109</v>
      </c>
      <c r="F47" s="24" t="s">
        <v>61</v>
      </c>
      <c r="G47" s="12">
        <v>0</v>
      </c>
      <c r="H47" s="88">
        <f t="shared" si="4"/>
        <v>0</v>
      </c>
      <c r="I47" s="58">
        <v>1</v>
      </c>
      <c r="K47" s="74">
        <v>45</v>
      </c>
      <c r="L47" s="119">
        <v>-256.29999999999995</v>
      </c>
      <c r="M47" s="117">
        <v>1459.4645654573289</v>
      </c>
    </row>
    <row r="48" spans="1:13" x14ac:dyDescent="0.4">
      <c r="A48" s="19" t="s">
        <v>179</v>
      </c>
      <c r="B48" s="123">
        <v>2</v>
      </c>
      <c r="C48" s="6">
        <f t="shared" si="5"/>
        <v>6.9444444444444441E-3</v>
      </c>
      <c r="E48" s="27" t="s">
        <v>110</v>
      </c>
      <c r="F48" s="24" t="s">
        <v>62</v>
      </c>
      <c r="G48" s="12">
        <v>0</v>
      </c>
      <c r="H48" s="88">
        <f t="shared" si="4"/>
        <v>0</v>
      </c>
      <c r="I48" s="58">
        <v>1</v>
      </c>
      <c r="K48" s="74">
        <v>46</v>
      </c>
      <c r="L48" s="119">
        <v>-280.59999999999997</v>
      </c>
      <c r="M48" s="117">
        <v>1455.285778064585</v>
      </c>
    </row>
    <row r="49" spans="1:13" x14ac:dyDescent="0.4">
      <c r="A49" s="21" t="s">
        <v>180</v>
      </c>
      <c r="B49" s="97">
        <v>5</v>
      </c>
      <c r="C49" s="9">
        <f t="shared" si="5"/>
        <v>1.7361111111111112E-2</v>
      </c>
      <c r="E49" s="27" t="s">
        <v>111</v>
      </c>
      <c r="F49" s="24" t="s">
        <v>63</v>
      </c>
      <c r="G49" s="12">
        <v>0</v>
      </c>
      <c r="H49" s="88">
        <f t="shared" si="4"/>
        <v>0</v>
      </c>
      <c r="I49" s="58">
        <v>1</v>
      </c>
      <c r="K49" s="74">
        <v>47</v>
      </c>
      <c r="L49" s="119">
        <v>-264.59999999999997</v>
      </c>
      <c r="M49" s="117">
        <v>1458.3860633961974</v>
      </c>
    </row>
    <row r="50" spans="1:13" x14ac:dyDescent="0.4">
      <c r="E50" s="27" t="s">
        <v>156</v>
      </c>
      <c r="F50" s="24" t="s">
        <v>157</v>
      </c>
      <c r="G50" s="12">
        <v>0</v>
      </c>
      <c r="H50" s="88">
        <f t="shared" si="4"/>
        <v>0</v>
      </c>
      <c r="I50" s="58">
        <v>1</v>
      </c>
      <c r="K50" s="74">
        <v>48</v>
      </c>
      <c r="L50" s="119">
        <v>-288.79999999999995</v>
      </c>
      <c r="M50" s="117">
        <v>1454.2317470158202</v>
      </c>
    </row>
    <row r="51" spans="1:13" x14ac:dyDescent="0.4">
      <c r="A51" s="54" t="s">
        <v>206</v>
      </c>
      <c r="B51" s="125">
        <v>842</v>
      </c>
      <c r="C51" s="126"/>
      <c r="E51" s="91" t="s">
        <v>160</v>
      </c>
      <c r="F51" s="92" t="s">
        <v>161</v>
      </c>
      <c r="G51" s="13">
        <v>0</v>
      </c>
      <c r="H51" s="93">
        <f t="shared" si="4"/>
        <v>0</v>
      </c>
      <c r="I51" s="94">
        <v>1</v>
      </c>
      <c r="K51" s="74">
        <v>49</v>
      </c>
      <c r="L51" s="119">
        <v>-282.99999999999994</v>
      </c>
      <c r="M51" s="117">
        <v>1455.6103565337253</v>
      </c>
    </row>
    <row r="52" spans="1:13" x14ac:dyDescent="0.4">
      <c r="A52" s="21" t="s">
        <v>207</v>
      </c>
      <c r="B52" s="127">
        <v>227</v>
      </c>
      <c r="C52" s="128"/>
      <c r="E52" s="28" t="s">
        <v>162</v>
      </c>
      <c r="F52" s="25" t="s">
        <v>163</v>
      </c>
      <c r="G52" s="14">
        <v>0</v>
      </c>
      <c r="H52" s="89">
        <f t="shared" si="4"/>
        <v>0</v>
      </c>
      <c r="I52" s="59">
        <v>1</v>
      </c>
      <c r="K52" s="74">
        <v>50</v>
      </c>
      <c r="L52" s="119">
        <v>-287.09999999999997</v>
      </c>
      <c r="M52" s="117">
        <v>1455.1566943945229</v>
      </c>
    </row>
    <row r="53" spans="1:13" x14ac:dyDescent="0.4">
      <c r="K53" s="74">
        <v>51</v>
      </c>
      <c r="L53" s="119">
        <v>-269.59999999999997</v>
      </c>
      <c r="M53" s="117">
        <v>1458.5277542281558</v>
      </c>
    </row>
    <row r="54" spans="1:13" x14ac:dyDescent="0.4">
      <c r="K54" s="74">
        <v>52</v>
      </c>
      <c r="L54" s="119">
        <v>-308.09999999999997</v>
      </c>
      <c r="M54" s="117">
        <v>1451.7985877027868</v>
      </c>
    </row>
    <row r="55" spans="1:13" x14ac:dyDescent="0.4">
      <c r="K55" s="74">
        <v>53</v>
      </c>
      <c r="L55" s="119">
        <v>-336.49999999999994</v>
      </c>
      <c r="M55" s="117">
        <v>1446.9217961765701</v>
      </c>
    </row>
    <row r="56" spans="1:13" x14ac:dyDescent="0.4">
      <c r="K56" s="74">
        <v>54</v>
      </c>
      <c r="L56" s="119">
        <v>-378.89999999999992</v>
      </c>
      <c r="M56" s="117">
        <v>1439.5602653995106</v>
      </c>
    </row>
    <row r="57" spans="1:13" x14ac:dyDescent="0.4">
      <c r="K57" s="74">
        <v>55</v>
      </c>
      <c r="L57" s="119">
        <v>-364.2999999999999</v>
      </c>
      <c r="M57" s="117">
        <v>1442.5509038071136</v>
      </c>
    </row>
    <row r="58" spans="1:13" x14ac:dyDescent="0.4">
      <c r="K58" s="74">
        <v>56</v>
      </c>
      <c r="L58" s="119">
        <v>-316.2999999999999</v>
      </c>
      <c r="M58" s="117">
        <v>1451.373598384271</v>
      </c>
    </row>
    <row r="59" spans="1:13" x14ac:dyDescent="0.4">
      <c r="K59" s="74">
        <v>57</v>
      </c>
      <c r="L59" s="119">
        <v>-312.49999999999989</v>
      </c>
      <c r="M59" s="117">
        <v>1452.2353567939654</v>
      </c>
    </row>
    <row r="60" spans="1:13" x14ac:dyDescent="0.4">
      <c r="K60" s="74">
        <v>58</v>
      </c>
      <c r="L60" s="119">
        <v>-254.59999999999988</v>
      </c>
      <c r="M60" s="117">
        <v>1462.9679446532016</v>
      </c>
    </row>
    <row r="61" spans="1:13" x14ac:dyDescent="0.4">
      <c r="K61" s="74">
        <v>59</v>
      </c>
      <c r="L61" s="119">
        <v>-205.09999999999988</v>
      </c>
      <c r="M61" s="117">
        <v>1472.1241369852823</v>
      </c>
    </row>
    <row r="62" spans="1:13" x14ac:dyDescent="0.4">
      <c r="K62" s="74">
        <v>60</v>
      </c>
      <c r="L62" s="119">
        <v>-214.59999999999988</v>
      </c>
      <c r="M62" s="117">
        <v>1470.6413921633707</v>
      </c>
    </row>
    <row r="63" spans="1:13" x14ac:dyDescent="0.4">
      <c r="K63" s="74">
        <v>61</v>
      </c>
      <c r="L63" s="119">
        <v>-211.89999999999989</v>
      </c>
      <c r="M63" s="117">
        <v>1471.3695438103905</v>
      </c>
    </row>
    <row r="64" spans="1:13" x14ac:dyDescent="0.4">
      <c r="K64" s="74">
        <v>62</v>
      </c>
      <c r="L64" s="119">
        <v>-250.89999999999989</v>
      </c>
      <c r="M64" s="117">
        <v>1464.5873265475282</v>
      </c>
    </row>
    <row r="65" spans="11:13" x14ac:dyDescent="0.4">
      <c r="K65" s="74">
        <v>63</v>
      </c>
      <c r="L65" s="119">
        <v>-290.99999999999989</v>
      </c>
      <c r="M65" s="117">
        <v>1457.6478025882429</v>
      </c>
    </row>
    <row r="66" spans="11:13" x14ac:dyDescent="0.4">
      <c r="K66" s="74">
        <v>64</v>
      </c>
      <c r="L66" s="119">
        <v>-356.99999999999989</v>
      </c>
      <c r="M66" s="117">
        <v>1446.0879157727136</v>
      </c>
    </row>
    <row r="67" spans="11:13" x14ac:dyDescent="0.4">
      <c r="K67" s="74">
        <v>65</v>
      </c>
      <c r="L67" s="119">
        <v>-381.09999999999991</v>
      </c>
      <c r="M67" s="117">
        <v>1442.1393882780774</v>
      </c>
    </row>
    <row r="68" spans="11:13" x14ac:dyDescent="0.4">
      <c r="K68" s="74">
        <v>66</v>
      </c>
      <c r="L68" s="119">
        <v>-378.49999999999989</v>
      </c>
      <c r="M68" s="117">
        <v>1443.0205519484089</v>
      </c>
    </row>
    <row r="69" spans="11:13" x14ac:dyDescent="0.4">
      <c r="K69" s="74">
        <v>67</v>
      </c>
      <c r="L69" s="119">
        <v>-371.19999999999987</v>
      </c>
      <c r="M69" s="117">
        <v>1444.7424286367184</v>
      </c>
    </row>
    <row r="70" spans="11:13" x14ac:dyDescent="0.4">
      <c r="K70" s="74">
        <v>68</v>
      </c>
      <c r="L70" s="119">
        <v>-407.2999999999999</v>
      </c>
      <c r="M70" s="117">
        <v>1438.641974064898</v>
      </c>
    </row>
    <row r="71" spans="11:13" x14ac:dyDescent="0.4">
      <c r="K71" s="74">
        <v>69</v>
      </c>
      <c r="L71" s="119">
        <v>-412.49999999999989</v>
      </c>
      <c r="M71" s="117">
        <v>1437.9961222205086</v>
      </c>
    </row>
    <row r="72" spans="11:13" x14ac:dyDescent="0.4">
      <c r="K72" s="74">
        <v>70</v>
      </c>
      <c r="L72" s="119">
        <v>-379.49999999999989</v>
      </c>
      <c r="M72" s="117">
        <v>1444.2241454871855</v>
      </c>
    </row>
    <row r="73" spans="11:13" x14ac:dyDescent="0.4">
      <c r="K73" s="74">
        <v>71</v>
      </c>
      <c r="L73" s="119">
        <v>-374.2999999999999</v>
      </c>
      <c r="M73" s="117">
        <v>1445.4108006142624</v>
      </c>
    </row>
    <row r="74" spans="11:13" x14ac:dyDescent="0.4">
      <c r="K74" s="74">
        <v>72</v>
      </c>
      <c r="L74" s="119">
        <v>-409.7999999999999</v>
      </c>
      <c r="M74" s="117">
        <v>1439.2643358105768</v>
      </c>
    </row>
    <row r="75" spans="11:13" x14ac:dyDescent="0.4">
      <c r="K75" s="74">
        <v>73</v>
      </c>
      <c r="L75" s="119">
        <v>-393.59999999999991</v>
      </c>
      <c r="M75" s="117">
        <v>1442.6227497957134</v>
      </c>
    </row>
    <row r="76" spans="11:13" x14ac:dyDescent="0.4">
      <c r="K76" s="74">
        <v>74</v>
      </c>
      <c r="L76" s="119">
        <v>-399.49999999999989</v>
      </c>
      <c r="M76" s="117">
        <v>1441.8210132969391</v>
      </c>
    </row>
    <row r="77" spans="11:13" x14ac:dyDescent="0.4">
      <c r="K77" s="74">
        <v>75</v>
      </c>
      <c r="L77" s="119">
        <v>-419.69999999999987</v>
      </c>
      <c r="M77" s="117">
        <v>1438.3360872171575</v>
      </c>
    </row>
    <row r="78" spans="11:13" x14ac:dyDescent="0.4">
      <c r="K78" s="74">
        <v>76</v>
      </c>
      <c r="L78" s="119">
        <v>-369.69999999999987</v>
      </c>
      <c r="M78" s="117">
        <v>1447.4960706938546</v>
      </c>
    </row>
    <row r="79" spans="11:13" x14ac:dyDescent="0.4">
      <c r="K79" s="74">
        <v>77</v>
      </c>
      <c r="L79" s="119">
        <v>-381.7999999999999</v>
      </c>
      <c r="M79" s="117">
        <v>1445.5490942696915</v>
      </c>
    </row>
    <row r="80" spans="11:13" x14ac:dyDescent="0.4">
      <c r="K80" s="74">
        <v>78</v>
      </c>
      <c r="L80" s="119">
        <v>-365.99999999999989</v>
      </c>
      <c r="M80" s="117">
        <v>1448.6417997040733</v>
      </c>
    </row>
    <row r="81" spans="11:13" x14ac:dyDescent="0.4">
      <c r="K81" s="74">
        <v>79</v>
      </c>
      <c r="L81" s="119">
        <v>-383.99999999999989</v>
      </c>
      <c r="M81" s="117">
        <v>1445.6319489058487</v>
      </c>
    </row>
    <row r="82" spans="11:13" x14ac:dyDescent="0.4">
      <c r="K82" s="74">
        <v>80</v>
      </c>
      <c r="L82" s="119">
        <v>-390.7999999999999</v>
      </c>
      <c r="M82" s="117">
        <v>1444.6381572124137</v>
      </c>
    </row>
    <row r="83" spans="11:13" x14ac:dyDescent="0.4">
      <c r="K83" s="74">
        <v>81</v>
      </c>
      <c r="L83" s="119">
        <v>-378.99999999999989</v>
      </c>
      <c r="M83" s="117">
        <v>1447.0823282691392</v>
      </c>
    </row>
    <row r="84" spans="11:13" x14ac:dyDescent="0.4">
      <c r="K84" s="74">
        <v>82</v>
      </c>
      <c r="L84" s="119">
        <v>-398.59999999999991</v>
      </c>
      <c r="M84" s="117">
        <v>1443.8598342995244</v>
      </c>
    </row>
    <row r="85" spans="11:13" x14ac:dyDescent="0.4">
      <c r="K85" s="74">
        <v>83</v>
      </c>
      <c r="L85" s="119">
        <v>-397.39999999999992</v>
      </c>
      <c r="M85" s="117">
        <v>1444.3286752937272</v>
      </c>
    </row>
    <row r="86" spans="11:13" x14ac:dyDescent="0.4">
      <c r="K86" s="74">
        <v>84</v>
      </c>
      <c r="L86" s="119">
        <v>-371.89999999999992</v>
      </c>
      <c r="M86" s="117">
        <v>1449.1687032419647</v>
      </c>
    </row>
    <row r="87" spans="11:13" x14ac:dyDescent="0.4">
      <c r="K87" s="74">
        <v>85</v>
      </c>
      <c r="L87" s="119">
        <v>-409.89999999999992</v>
      </c>
      <c r="M87" s="117">
        <v>1442.5496910225129</v>
      </c>
    </row>
    <row r="88" spans="11:13" x14ac:dyDescent="0.4">
      <c r="K88" s="74">
        <v>86</v>
      </c>
      <c r="L88" s="119">
        <v>-386.39999999999992</v>
      </c>
      <c r="M88" s="117">
        <v>1447.1003928763778</v>
      </c>
    </row>
    <row r="89" spans="11:13" x14ac:dyDescent="0.4">
      <c r="K89" s="74">
        <v>87</v>
      </c>
      <c r="L89" s="119">
        <v>-360.69999999999993</v>
      </c>
      <c r="M89" s="117">
        <v>1451.9837905191196</v>
      </c>
    </row>
    <row r="90" spans="11:13" x14ac:dyDescent="0.4">
      <c r="K90" s="74">
        <v>88</v>
      </c>
      <c r="L90" s="119">
        <v>-377.49999999999994</v>
      </c>
      <c r="M90" s="117">
        <v>1448.9718877760049</v>
      </c>
    </row>
    <row r="91" spans="11:13" x14ac:dyDescent="0.4">
      <c r="K91" s="74">
        <v>89</v>
      </c>
      <c r="L91" s="119">
        <v>-410.29999999999995</v>
      </c>
      <c r="M91" s="117">
        <v>1443.5120564493488</v>
      </c>
    </row>
    <row r="92" spans="11:13" x14ac:dyDescent="0.4">
      <c r="K92" s="74">
        <v>90</v>
      </c>
      <c r="L92" s="119">
        <v>-405.79999999999995</v>
      </c>
      <c r="M92" s="117">
        <v>1444.6609841106529</v>
      </c>
    </row>
    <row r="93" spans="11:13" x14ac:dyDescent="0.4">
      <c r="K93" s="74">
        <v>91</v>
      </c>
      <c r="L93" s="119">
        <v>-395.29999999999995</v>
      </c>
      <c r="M93" s="117">
        <v>1446.661018205989</v>
      </c>
    </row>
    <row r="94" spans="11:13" x14ac:dyDescent="0.4">
      <c r="K94" s="74">
        <v>92</v>
      </c>
      <c r="L94" s="119">
        <v>-365.49999999999994</v>
      </c>
      <c r="M94" s="117">
        <v>1452.309052096753</v>
      </c>
    </row>
    <row r="95" spans="11:13" x14ac:dyDescent="0.4">
      <c r="K95" s="74">
        <v>93</v>
      </c>
      <c r="L95" s="119">
        <v>-401.99999999999994</v>
      </c>
      <c r="M95" s="117">
        <v>1446.0311977841725</v>
      </c>
    </row>
    <row r="96" spans="11:13" x14ac:dyDescent="0.4">
      <c r="K96" s="74">
        <v>94</v>
      </c>
      <c r="L96" s="119">
        <v>-372.59999999999997</v>
      </c>
      <c r="M96" s="117">
        <v>1451.6530105974675</v>
      </c>
    </row>
    <row r="97" spans="11:13" x14ac:dyDescent="0.4">
      <c r="K97" s="74">
        <v>95</v>
      </c>
      <c r="L97" s="119">
        <v>-399.4</v>
      </c>
      <c r="M97" s="117">
        <v>1447.1250925338827</v>
      </c>
    </row>
    <row r="98" spans="11:13" x14ac:dyDescent="0.4">
      <c r="K98" s="74">
        <v>96</v>
      </c>
      <c r="L98" s="119">
        <v>-381</v>
      </c>
      <c r="M98" s="117">
        <v>1450.5083419786795</v>
      </c>
    </row>
    <row r="99" spans="11:13" x14ac:dyDescent="0.4">
      <c r="K99" s="74">
        <v>97</v>
      </c>
      <c r="L99" s="119">
        <v>-393.5</v>
      </c>
      <c r="M99" s="117">
        <v>1448.7832919268074</v>
      </c>
    </row>
    <row r="100" spans="11:13" x14ac:dyDescent="0.4">
      <c r="K100" s="74">
        <v>98</v>
      </c>
      <c r="L100" s="119">
        <v>-333</v>
      </c>
      <c r="M100" s="117">
        <v>1460.2025921752465</v>
      </c>
    </row>
    <row r="101" spans="11:13" x14ac:dyDescent="0.4">
      <c r="K101" s="74">
        <v>99</v>
      </c>
      <c r="L101" s="119">
        <v>-362.5</v>
      </c>
      <c r="M101" s="117">
        <v>1455.3533766221951</v>
      </c>
    </row>
    <row r="102" spans="11:13" x14ac:dyDescent="0.4">
      <c r="K102" s="74">
        <v>100</v>
      </c>
      <c r="L102" s="119">
        <v>-376.4</v>
      </c>
      <c r="M102" s="117">
        <v>1453.2392563624619</v>
      </c>
    </row>
    <row r="103" spans="11:13" x14ac:dyDescent="0.4">
      <c r="K103" s="74">
        <v>101</v>
      </c>
      <c r="L103" s="119">
        <v>-374.7</v>
      </c>
      <c r="M103" s="117">
        <v>1453.7958208242871</v>
      </c>
    </row>
    <row r="104" spans="11:13" x14ac:dyDescent="0.4">
      <c r="K104" s="74">
        <v>102</v>
      </c>
      <c r="L104" s="119">
        <v>-401.4</v>
      </c>
      <c r="M104" s="117">
        <v>1449.4770458993414</v>
      </c>
    </row>
    <row r="105" spans="11:13" x14ac:dyDescent="0.4">
      <c r="K105" s="74">
        <v>103</v>
      </c>
      <c r="L105" s="119">
        <v>-426.9</v>
      </c>
      <c r="M105" s="117">
        <v>1445.3701836239454</v>
      </c>
    </row>
    <row r="106" spans="11:13" x14ac:dyDescent="0.4">
      <c r="K106" s="74">
        <v>104</v>
      </c>
      <c r="L106" s="119">
        <v>-436.4</v>
      </c>
      <c r="M106" s="117">
        <v>1443.7959625222018</v>
      </c>
    </row>
    <row r="107" spans="11:13" x14ac:dyDescent="0.4">
      <c r="K107" s="74">
        <v>105</v>
      </c>
      <c r="L107" s="119">
        <v>-425.59999999999997</v>
      </c>
      <c r="M107" s="117">
        <v>1446.2811867470687</v>
      </c>
    </row>
    <row r="108" spans="11:13" x14ac:dyDescent="0.4">
      <c r="K108" s="74">
        <v>106</v>
      </c>
      <c r="L108" s="119">
        <v>-438.49999999999994</v>
      </c>
      <c r="M108" s="117">
        <v>1444.4854996265863</v>
      </c>
    </row>
    <row r="109" spans="11:13" x14ac:dyDescent="0.4">
      <c r="K109" s="74">
        <v>107</v>
      </c>
      <c r="L109" s="119">
        <v>-433.59999999999997</v>
      </c>
      <c r="M109" s="117">
        <v>1445.9225866288268</v>
      </c>
    </row>
    <row r="110" spans="11:13" x14ac:dyDescent="0.4">
      <c r="K110" s="74">
        <v>108</v>
      </c>
      <c r="L110" s="119">
        <v>-426.99999999999994</v>
      </c>
      <c r="M110" s="117">
        <v>1447.6570511090538</v>
      </c>
    </row>
    <row r="111" spans="11:13" x14ac:dyDescent="0.4">
      <c r="K111" s="74">
        <v>109</v>
      </c>
      <c r="L111" s="119">
        <v>-462.89999999999992</v>
      </c>
      <c r="M111" s="117">
        <v>1441.5151088023995</v>
      </c>
    </row>
    <row r="112" spans="11:13" x14ac:dyDescent="0.4">
      <c r="K112" s="74">
        <v>110</v>
      </c>
      <c r="L112" s="119">
        <v>-486.2999999999999</v>
      </c>
      <c r="M112" s="117">
        <v>1437.4860181495851</v>
      </c>
    </row>
    <row r="113" spans="11:13" x14ac:dyDescent="0.4">
      <c r="K113" s="74">
        <v>111</v>
      </c>
      <c r="L113" s="119">
        <v>-468.39999999999992</v>
      </c>
      <c r="M113" s="117">
        <v>1441.2571020406876</v>
      </c>
    </row>
    <row r="114" spans="11:13" x14ac:dyDescent="0.4">
      <c r="K114" s="74">
        <v>112</v>
      </c>
      <c r="L114" s="119">
        <v>-447.69999999999993</v>
      </c>
      <c r="M114" s="117">
        <v>1445.4315594284435</v>
      </c>
    </row>
    <row r="115" spans="11:13" x14ac:dyDescent="0.4">
      <c r="K115" s="74">
        <v>113</v>
      </c>
      <c r="L115" s="119">
        <v>-384.99999999999994</v>
      </c>
      <c r="M115" s="117">
        <v>1456.9129700718729</v>
      </c>
    </row>
    <row r="116" spans="11:13" x14ac:dyDescent="0.4">
      <c r="K116" s="74">
        <v>114</v>
      </c>
      <c r="L116" s="119">
        <v>-372.69999999999993</v>
      </c>
      <c r="M116" s="117">
        <v>1459.4754922514417</v>
      </c>
    </row>
    <row r="117" spans="11:13" x14ac:dyDescent="0.4">
      <c r="K117" s="74">
        <v>115</v>
      </c>
      <c r="L117" s="119">
        <v>-388.19999999999993</v>
      </c>
      <c r="M117" s="117">
        <v>1456.7846392979329</v>
      </c>
    </row>
    <row r="118" spans="11:13" x14ac:dyDescent="0.4">
      <c r="K118" s="74">
        <v>116</v>
      </c>
      <c r="L118" s="119">
        <v>-383.99999999999994</v>
      </c>
      <c r="M118" s="117">
        <v>1458.1359314621454</v>
      </c>
    </row>
    <row r="119" spans="11:13" x14ac:dyDescent="0.4">
      <c r="K119" s="74">
        <v>117</v>
      </c>
      <c r="L119" s="119">
        <v>-374.39999999999992</v>
      </c>
      <c r="M119" s="117">
        <v>1460.3971158733725</v>
      </c>
    </row>
    <row r="120" spans="11:13" x14ac:dyDescent="0.4">
      <c r="K120" s="74">
        <v>118</v>
      </c>
      <c r="L120" s="119">
        <v>-374.2999999999999</v>
      </c>
      <c r="M120" s="117">
        <v>1461.0007331781324</v>
      </c>
    </row>
    <row r="121" spans="11:13" x14ac:dyDescent="0.4">
      <c r="K121" s="74">
        <v>119</v>
      </c>
      <c r="L121" s="119">
        <v>-394.7999999999999</v>
      </c>
      <c r="M121" s="117">
        <v>1457.6767287790635</v>
      </c>
    </row>
    <row r="122" spans="11:13" x14ac:dyDescent="0.4">
      <c r="K122" s="74">
        <v>120</v>
      </c>
      <c r="L122" s="119">
        <v>-433.89999999999992</v>
      </c>
      <c r="M122" s="117">
        <v>1450.5326684063891</v>
      </c>
    </row>
    <row r="123" spans="11:13" x14ac:dyDescent="0.4">
      <c r="K123" s="74">
        <v>121</v>
      </c>
      <c r="L123" s="119">
        <v>-396.99999999999994</v>
      </c>
      <c r="M123" s="117">
        <v>1457.1114723959508</v>
      </c>
    </row>
    <row r="124" spans="11:13" x14ac:dyDescent="0.4">
      <c r="K124" s="74">
        <v>122</v>
      </c>
      <c r="L124" s="119">
        <v>-408.49999999999994</v>
      </c>
      <c r="M124" s="117">
        <v>1455.100803561575</v>
      </c>
    </row>
    <row r="125" spans="11:13" x14ac:dyDescent="0.4">
      <c r="K125" s="74">
        <v>123</v>
      </c>
      <c r="L125" s="119">
        <v>-451.69999999999993</v>
      </c>
      <c r="M125" s="117">
        <v>1447.7261987402055</v>
      </c>
    </row>
    <row r="126" spans="11:13" x14ac:dyDescent="0.4">
      <c r="K126" s="74">
        <v>124</v>
      </c>
      <c r="L126" s="119">
        <v>-442.69999999999993</v>
      </c>
      <c r="M126" s="117">
        <v>1449.7918415477643</v>
      </c>
    </row>
    <row r="127" spans="11:13" x14ac:dyDescent="0.4">
      <c r="K127" s="74">
        <v>125</v>
      </c>
      <c r="L127" s="119">
        <v>-444.69999999999993</v>
      </c>
      <c r="M127" s="117">
        <v>1449.8650904984777</v>
      </c>
    </row>
    <row r="128" spans="11:13" x14ac:dyDescent="0.4">
      <c r="K128" s="74">
        <v>126</v>
      </c>
      <c r="L128" s="119">
        <v>-411.39999999999992</v>
      </c>
      <c r="M128" s="117">
        <v>1456.0758999554869</v>
      </c>
    </row>
    <row r="129" spans="11:13" x14ac:dyDescent="0.4">
      <c r="K129" s="74">
        <v>127</v>
      </c>
      <c r="L129" s="119">
        <v>-410.89999999999992</v>
      </c>
      <c r="M129" s="117">
        <v>1456.339444555754</v>
      </c>
    </row>
    <row r="130" spans="11:13" x14ac:dyDescent="0.4">
      <c r="K130" s="74">
        <v>128</v>
      </c>
      <c r="L130" s="119">
        <v>-416.19999999999993</v>
      </c>
      <c r="M130" s="117">
        <v>1455.7974078884195</v>
      </c>
    </row>
    <row r="131" spans="11:13" x14ac:dyDescent="0.4">
      <c r="K131" s="74">
        <v>129</v>
      </c>
      <c r="L131" s="119">
        <v>-423.99999999999994</v>
      </c>
      <c r="M131" s="117">
        <v>1454.988623441089</v>
      </c>
    </row>
    <row r="132" spans="11:13" x14ac:dyDescent="0.4">
      <c r="K132" s="74">
        <v>130</v>
      </c>
      <c r="L132" s="119">
        <v>-426.59999999999997</v>
      </c>
      <c r="M132" s="117">
        <v>1455.1146917004423</v>
      </c>
    </row>
    <row r="133" spans="11:13" x14ac:dyDescent="0.4">
      <c r="K133" s="74">
        <v>131</v>
      </c>
      <c r="L133" s="119">
        <v>-441.09999999999997</v>
      </c>
      <c r="M133" s="117">
        <v>1453.0980035502396</v>
      </c>
    </row>
    <row r="134" spans="11:13" x14ac:dyDescent="0.4">
      <c r="K134" s="74">
        <v>132</v>
      </c>
      <c r="L134" s="119">
        <v>-449.7</v>
      </c>
      <c r="M134" s="117">
        <v>1452.1854155289382</v>
      </c>
    </row>
    <row r="135" spans="11:13" x14ac:dyDescent="0.4">
      <c r="K135" s="74">
        <v>133</v>
      </c>
      <c r="L135" s="119">
        <v>-489.59999999999997</v>
      </c>
      <c r="M135" s="117">
        <v>1445.6623030357646</v>
      </c>
    </row>
    <row r="136" spans="11:13" x14ac:dyDescent="0.4">
      <c r="K136" s="74">
        <v>134</v>
      </c>
      <c r="L136" s="119">
        <v>-489.9</v>
      </c>
      <c r="M136" s="117">
        <v>1446.3123292175501</v>
      </c>
    </row>
    <row r="137" spans="11:13" x14ac:dyDescent="0.4">
      <c r="K137" s="74">
        <v>135</v>
      </c>
      <c r="L137" s="119">
        <v>-480.2</v>
      </c>
      <c r="M137" s="117">
        <v>1448.5304552422449</v>
      </c>
    </row>
    <row r="138" spans="11:13" x14ac:dyDescent="0.4">
      <c r="K138" s="74">
        <v>136</v>
      </c>
      <c r="L138" s="119">
        <v>-497.4</v>
      </c>
      <c r="M138" s="117">
        <v>1445.5812725107915</v>
      </c>
    </row>
    <row r="139" spans="11:13" x14ac:dyDescent="0.4">
      <c r="K139" s="74">
        <v>137</v>
      </c>
      <c r="L139" s="119">
        <v>-505.9</v>
      </c>
      <c r="M139" s="117">
        <v>1444.6417848757267</v>
      </c>
    </row>
    <row r="140" spans="11:13" x14ac:dyDescent="0.4">
      <c r="K140" s="74">
        <v>138</v>
      </c>
      <c r="L140" s="119">
        <v>-553.9</v>
      </c>
      <c r="M140" s="117">
        <v>1436.5979341664722</v>
      </c>
    </row>
    <row r="141" spans="11:13" x14ac:dyDescent="0.4">
      <c r="K141" s="74">
        <v>139</v>
      </c>
      <c r="L141" s="119">
        <v>-539.4</v>
      </c>
      <c r="M141" s="117">
        <v>1439.8523465614733</v>
      </c>
    </row>
    <row r="142" spans="11:13" x14ac:dyDescent="0.4">
      <c r="K142" s="74">
        <v>140</v>
      </c>
      <c r="L142" s="119">
        <v>-522.19999999999993</v>
      </c>
      <c r="M142" s="117">
        <v>1443.7112324821044</v>
      </c>
    </row>
    <row r="143" spans="11:13" x14ac:dyDescent="0.4">
      <c r="K143" s="74">
        <v>141</v>
      </c>
      <c r="L143" s="119">
        <v>-537.09999999999991</v>
      </c>
      <c r="M143" s="117">
        <v>1441.1929650872119</v>
      </c>
    </row>
    <row r="144" spans="11:13" x14ac:dyDescent="0.4">
      <c r="K144" s="74">
        <v>142</v>
      </c>
      <c r="L144" s="119">
        <v>-538.49999999999989</v>
      </c>
      <c r="M144" s="117">
        <v>1441.4918072966886</v>
      </c>
    </row>
  </sheetData>
  <sortState xmlns:xlrd2="http://schemas.microsoft.com/office/spreadsheetml/2017/richdata2" ref="E2:I145">
    <sortCondition descending="1" ref="H1"/>
  </sortState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7C1FF-48B9-4FCC-8163-A2B0E05098EA}">
  <sheetPr codeName="Sheet15"/>
  <dimension ref="A1:R67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7" t="s">
        <v>211</v>
      </c>
      <c r="C1" s="138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25">
        <v>65</v>
      </c>
      <c r="C2" s="126"/>
      <c r="E2" s="26" t="s">
        <v>66</v>
      </c>
      <c r="F2" s="23" t="s">
        <v>22</v>
      </c>
      <c r="G2" s="11">
        <v>65</v>
      </c>
      <c r="H2" s="87">
        <f t="shared" ref="H2:H33" si="0">IF(B$52=0,0,G2/B$52)</f>
        <v>0.85526315789473684</v>
      </c>
      <c r="I2" s="57">
        <v>2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-164.61538461538461</v>
      </c>
      <c r="Q2" s="76">
        <v>65</v>
      </c>
      <c r="R2" s="63">
        <v>-10700</v>
      </c>
    </row>
    <row r="3" spans="1:18" x14ac:dyDescent="0.4">
      <c r="A3" s="19" t="s">
        <v>8</v>
      </c>
      <c r="B3" s="139">
        <v>474</v>
      </c>
      <c r="C3" s="140"/>
      <c r="E3" s="27" t="s">
        <v>72</v>
      </c>
      <c r="F3" s="24" t="s">
        <v>27</v>
      </c>
      <c r="G3" s="12">
        <v>49</v>
      </c>
      <c r="H3" s="88">
        <f t="shared" si="0"/>
        <v>0.64473684210526316</v>
      </c>
      <c r="I3" s="58">
        <v>4</v>
      </c>
      <c r="K3" s="74">
        <v>1</v>
      </c>
      <c r="L3" s="119">
        <v>-39.9</v>
      </c>
      <c r="M3" s="117">
        <v>1492.8240000000001</v>
      </c>
      <c r="O3" s="74" t="s">
        <v>129</v>
      </c>
      <c r="P3" s="80">
        <f t="shared" si="1"/>
        <v>2222.5806451612902</v>
      </c>
      <c r="Q3" s="77">
        <v>62</v>
      </c>
      <c r="R3" s="64">
        <v>137800</v>
      </c>
    </row>
    <row r="4" spans="1:18" x14ac:dyDescent="0.4">
      <c r="A4" s="19" t="s">
        <v>6</v>
      </c>
      <c r="B4" s="141">
        <v>270.8</v>
      </c>
      <c r="C4" s="142"/>
      <c r="E4" s="27" t="s">
        <v>64</v>
      </c>
      <c r="F4" s="24" t="s">
        <v>20</v>
      </c>
      <c r="G4" s="12">
        <v>31</v>
      </c>
      <c r="H4" s="88">
        <f t="shared" si="0"/>
        <v>0.40789473684210525</v>
      </c>
      <c r="I4" s="58">
        <v>11</v>
      </c>
      <c r="K4" s="74">
        <v>2</v>
      </c>
      <c r="L4" s="119">
        <v>-13.2</v>
      </c>
      <c r="M4" s="117">
        <v>1497.6790560000002</v>
      </c>
      <c r="O4" s="74" t="s">
        <v>130</v>
      </c>
      <c r="P4" s="80">
        <f t="shared" si="1"/>
        <v>-1800</v>
      </c>
      <c r="Q4" s="77">
        <v>59</v>
      </c>
      <c r="R4" s="64">
        <v>-106200</v>
      </c>
    </row>
    <row r="5" spans="1:18" x14ac:dyDescent="0.4">
      <c r="A5" s="19" t="s">
        <v>7</v>
      </c>
      <c r="B5" s="129">
        <f>IF(B$2=0,0,B$4/B$2)</f>
        <v>4.1661538461538461</v>
      </c>
      <c r="C5" s="130"/>
      <c r="E5" s="27" t="s">
        <v>68</v>
      </c>
      <c r="F5" s="24" t="s">
        <v>12</v>
      </c>
      <c r="G5" s="12">
        <v>20</v>
      </c>
      <c r="H5" s="88">
        <f t="shared" si="0"/>
        <v>0.26315789473684209</v>
      </c>
      <c r="I5" s="58">
        <v>9</v>
      </c>
      <c r="K5" s="74">
        <v>3</v>
      </c>
      <c r="L5" s="119">
        <v>-57.7</v>
      </c>
      <c r="M5" s="117">
        <v>1489.6889816640003</v>
      </c>
      <c r="O5" s="74" t="s">
        <v>131</v>
      </c>
      <c r="P5" s="80">
        <f t="shared" si="1"/>
        <v>-832</v>
      </c>
      <c r="Q5" s="77">
        <v>50</v>
      </c>
      <c r="R5" s="64">
        <v>-41600</v>
      </c>
    </row>
    <row r="6" spans="1:18" x14ac:dyDescent="0.4">
      <c r="A6" s="19" t="s">
        <v>196</v>
      </c>
      <c r="B6" s="133">
        <v>1545.9176766405806</v>
      </c>
      <c r="C6" s="134"/>
      <c r="E6" s="27" t="s">
        <v>67</v>
      </c>
      <c r="F6" s="24" t="s">
        <v>23</v>
      </c>
      <c r="G6" s="12">
        <v>19</v>
      </c>
      <c r="H6" s="88">
        <f t="shared" si="0"/>
        <v>0.25</v>
      </c>
      <c r="I6" s="58">
        <v>9</v>
      </c>
      <c r="K6" s="74">
        <v>4</v>
      </c>
      <c r="L6" s="119">
        <v>-53.7</v>
      </c>
      <c r="M6" s="117">
        <v>1490.4948477740163</v>
      </c>
      <c r="O6" s="74" t="s">
        <v>132</v>
      </c>
      <c r="P6" s="80">
        <f t="shared" si="1"/>
        <v>6852.272727272727</v>
      </c>
      <c r="Q6" s="77">
        <v>44</v>
      </c>
      <c r="R6" s="64">
        <v>301500</v>
      </c>
    </row>
    <row r="7" spans="1:18" x14ac:dyDescent="0.4">
      <c r="A7" s="19" t="s">
        <v>1</v>
      </c>
      <c r="B7" s="135">
        <f>IF(B$2=0,0,(B$8*1+B$9*2+B$10*3)/B$2)</f>
        <v>1.9230769230769231</v>
      </c>
      <c r="C7" s="136"/>
      <c r="E7" s="27" t="s">
        <v>69</v>
      </c>
      <c r="F7" s="24" t="s">
        <v>24</v>
      </c>
      <c r="G7" s="12">
        <v>8</v>
      </c>
      <c r="H7" s="88">
        <f t="shared" si="0"/>
        <v>0.10526315789473684</v>
      </c>
      <c r="I7" s="58">
        <v>11</v>
      </c>
      <c r="K7" s="74">
        <v>5</v>
      </c>
      <c r="L7" s="119">
        <v>-45.7</v>
      </c>
      <c r="M7" s="117">
        <v>1492.0098786873723</v>
      </c>
      <c r="O7" s="75" t="s">
        <v>133</v>
      </c>
      <c r="P7" s="81">
        <f t="shared" si="1"/>
        <v>-237.5</v>
      </c>
      <c r="Q7" s="78">
        <v>32</v>
      </c>
      <c r="R7" s="65">
        <v>-7600</v>
      </c>
    </row>
    <row r="8" spans="1:18" x14ac:dyDescent="0.4">
      <c r="A8" s="19" t="s">
        <v>2</v>
      </c>
      <c r="B8" s="12">
        <v>22</v>
      </c>
      <c r="C8" s="6">
        <f t="shared" ref="C8:C15" si="2">IF(B$2=0,0,B8/B$2)</f>
        <v>0.33846153846153848</v>
      </c>
      <c r="E8" s="27" t="s">
        <v>83</v>
      </c>
      <c r="F8" s="24" t="s">
        <v>38</v>
      </c>
      <c r="G8" s="12">
        <v>8</v>
      </c>
      <c r="H8" s="88">
        <f t="shared" si="0"/>
        <v>0.10526315789473684</v>
      </c>
      <c r="I8" s="58">
        <v>4</v>
      </c>
      <c r="K8" s="74">
        <v>6</v>
      </c>
      <c r="L8" s="119">
        <v>-50.6</v>
      </c>
      <c r="M8" s="117">
        <v>1491.1938194152481</v>
      </c>
      <c r="O8" s="107"/>
      <c r="P8" s="85"/>
      <c r="Q8" s="108"/>
      <c r="R8" s="70"/>
    </row>
    <row r="9" spans="1:18" x14ac:dyDescent="0.4">
      <c r="A9" s="19" t="s">
        <v>3</v>
      </c>
      <c r="B9" s="12">
        <v>26</v>
      </c>
      <c r="C9" s="6">
        <f t="shared" si="2"/>
        <v>0.4</v>
      </c>
      <c r="E9" s="27" t="s">
        <v>89</v>
      </c>
      <c r="F9" s="24" t="s">
        <v>44</v>
      </c>
      <c r="G9" s="12">
        <v>6</v>
      </c>
      <c r="H9" s="88">
        <f t="shared" si="0"/>
        <v>7.8947368421052627E-2</v>
      </c>
      <c r="I9" s="58">
        <v>12</v>
      </c>
      <c r="K9" s="74">
        <v>7</v>
      </c>
      <c r="L9" s="119">
        <v>-47.6</v>
      </c>
      <c r="M9" s="117">
        <v>1491.8046564987567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17</v>
      </c>
      <c r="C10" s="7">
        <f t="shared" si="2"/>
        <v>0.26153846153846155</v>
      </c>
      <c r="E10" s="27" t="s">
        <v>65</v>
      </c>
      <c r="F10" s="24" t="s">
        <v>21</v>
      </c>
      <c r="G10" s="12">
        <v>5</v>
      </c>
      <c r="H10" s="88">
        <f t="shared" si="0"/>
        <v>6.5789473684210523E-2</v>
      </c>
      <c r="I10" s="58">
        <v>11</v>
      </c>
      <c r="K10" s="74">
        <v>8</v>
      </c>
      <c r="L10" s="119">
        <v>-59.1</v>
      </c>
      <c r="M10" s="117">
        <v>1489.8078285597642</v>
      </c>
      <c r="O10" s="73" t="s">
        <v>152</v>
      </c>
      <c r="P10" s="82">
        <f>IF(Q10=0,0,R10/Q10)</f>
        <v>3.4350000000000001</v>
      </c>
      <c r="Q10" s="76">
        <v>20</v>
      </c>
      <c r="R10" s="67">
        <v>68.7</v>
      </c>
    </row>
    <row r="11" spans="1:18" x14ac:dyDescent="0.4">
      <c r="A11" s="20" t="s">
        <v>185</v>
      </c>
      <c r="B11" s="109">
        <f>IF(B8=0,0,C11/B8)</f>
        <v>33.93181818181818</v>
      </c>
      <c r="C11" s="110">
        <v>746.5</v>
      </c>
      <c r="E11" s="27" t="s">
        <v>70</v>
      </c>
      <c r="F11" s="24" t="s">
        <v>25</v>
      </c>
      <c r="G11" s="12">
        <v>5</v>
      </c>
      <c r="H11" s="88">
        <f t="shared" si="0"/>
        <v>6.5789473684210523E-2</v>
      </c>
      <c r="I11" s="58">
        <v>11</v>
      </c>
      <c r="K11" s="74">
        <v>9</v>
      </c>
      <c r="L11" s="119">
        <v>-77.900000000000006</v>
      </c>
      <c r="M11" s="117">
        <v>1486.4489815884056</v>
      </c>
      <c r="O11" s="74" t="s">
        <v>153</v>
      </c>
      <c r="P11" s="83">
        <f>IF(Q11=0,0,R11/Q11)</f>
        <v>5.4969696969696971</v>
      </c>
      <c r="Q11" s="77">
        <v>33</v>
      </c>
      <c r="R11" s="68">
        <v>181.4</v>
      </c>
    </row>
    <row r="12" spans="1:18" x14ac:dyDescent="0.4">
      <c r="A12" s="20" t="s">
        <v>186</v>
      </c>
      <c r="B12" s="109">
        <f>IF(B9=0,0,C12/B9)</f>
        <v>-1.0692307692307694</v>
      </c>
      <c r="C12" s="110">
        <v>-27.800000000000004</v>
      </c>
      <c r="E12" s="27" t="s">
        <v>81</v>
      </c>
      <c r="F12" s="24" t="s">
        <v>36</v>
      </c>
      <c r="G12" s="12">
        <v>4</v>
      </c>
      <c r="H12" s="88">
        <f t="shared" si="0"/>
        <v>5.2631578947368418E-2</v>
      </c>
      <c r="I12" s="58">
        <v>3</v>
      </c>
      <c r="K12" s="74">
        <v>10</v>
      </c>
      <c r="L12" s="119">
        <v>-78.900000000000006</v>
      </c>
      <c r="M12" s="117">
        <v>1486.3142876988752</v>
      </c>
      <c r="O12" s="75" t="s">
        <v>154</v>
      </c>
      <c r="P12" s="84">
        <f>IF(Q12=0,0,R12/Q12)</f>
        <v>1.7249999999999996</v>
      </c>
      <c r="Q12" s="78">
        <v>12</v>
      </c>
      <c r="R12" s="69">
        <v>20.699999999999996</v>
      </c>
    </row>
    <row r="13" spans="1:18" x14ac:dyDescent="0.4">
      <c r="A13" s="20" t="s">
        <v>187</v>
      </c>
      <c r="B13" s="109">
        <f>IF(B10=0,0,C13/B10)</f>
        <v>-26.347058823529409</v>
      </c>
      <c r="C13" s="110">
        <v>-447.9</v>
      </c>
      <c r="E13" s="27" t="s">
        <v>86</v>
      </c>
      <c r="F13" s="24" t="s">
        <v>41</v>
      </c>
      <c r="G13" s="12">
        <v>3</v>
      </c>
      <c r="H13" s="88">
        <f t="shared" si="0"/>
        <v>3.9473684210526314E-2</v>
      </c>
      <c r="I13" s="58">
        <v>11</v>
      </c>
      <c r="K13" s="74">
        <v>11</v>
      </c>
      <c r="L13" s="119">
        <v>-88.9</v>
      </c>
      <c r="M13" s="117">
        <v>1484.560401972682</v>
      </c>
      <c r="O13" s="103"/>
      <c r="P13" s="71"/>
      <c r="Q13" s="111"/>
      <c r="R13" s="71"/>
    </row>
    <row r="14" spans="1:18" x14ac:dyDescent="0.4">
      <c r="A14" s="20" t="s">
        <v>188</v>
      </c>
      <c r="B14" s="129">
        <f>AVERAGE(B11:B13)</f>
        <v>2.1718428630193336</v>
      </c>
      <c r="C14" s="130"/>
      <c r="E14" s="27" t="s">
        <v>71</v>
      </c>
      <c r="F14" s="24" t="s">
        <v>26</v>
      </c>
      <c r="G14" s="12">
        <v>2</v>
      </c>
      <c r="H14" s="88">
        <f t="shared" si="0"/>
        <v>2.6315789473684209E-2</v>
      </c>
      <c r="I14" s="58">
        <v>11</v>
      </c>
      <c r="K14" s="74">
        <v>12</v>
      </c>
      <c r="L14" s="119">
        <v>-23.5</v>
      </c>
      <c r="M14" s="117">
        <v>1496.473039560846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7</v>
      </c>
      <c r="C15" s="9">
        <f t="shared" si="2"/>
        <v>0.1076923076923077</v>
      </c>
      <c r="E15" s="27" t="s">
        <v>91</v>
      </c>
      <c r="F15" s="24" t="s">
        <v>46</v>
      </c>
      <c r="G15" s="12">
        <v>2</v>
      </c>
      <c r="H15" s="88">
        <f t="shared" si="0"/>
        <v>2.6315789473684209E-2</v>
      </c>
      <c r="I15" s="58">
        <v>3</v>
      </c>
      <c r="K15" s="74">
        <v>13</v>
      </c>
      <c r="L15" s="119">
        <v>-12.4</v>
      </c>
      <c r="M15" s="117">
        <v>1498.5402013234809</v>
      </c>
      <c r="O15" s="73" t="s">
        <v>223</v>
      </c>
      <c r="P15" s="82">
        <f t="shared" ref="P15:P25" si="3">IF(Q15=0,0,R15/Q15)</f>
        <v>34</v>
      </c>
      <c r="Q15" s="76">
        <v>1</v>
      </c>
      <c r="R15" s="67">
        <v>34</v>
      </c>
    </row>
    <row r="16" spans="1:18" x14ac:dyDescent="0.4">
      <c r="A16" s="22" t="s">
        <v>121</v>
      </c>
      <c r="B16" s="15">
        <v>55</v>
      </c>
      <c r="C16" s="10">
        <f>IF(B$51=0,0,B16/B$51)</f>
        <v>0.23305084745762711</v>
      </c>
      <c r="E16" s="27" t="s">
        <v>78</v>
      </c>
      <c r="F16" s="24" t="s">
        <v>33</v>
      </c>
      <c r="G16" s="12">
        <v>1</v>
      </c>
      <c r="H16" s="88">
        <f t="shared" si="0"/>
        <v>1.3157894736842105E-2</v>
      </c>
      <c r="I16" s="58">
        <v>8</v>
      </c>
      <c r="K16" s="74">
        <v>14</v>
      </c>
      <c r="L16" s="119">
        <v>38.6</v>
      </c>
      <c r="M16" s="117">
        <v>1507.7769601155401</v>
      </c>
      <c r="O16" s="74" t="s">
        <v>209</v>
      </c>
      <c r="P16" s="83">
        <f t="shared" si="3"/>
        <v>26.766666666666666</v>
      </c>
      <c r="Q16" s="77">
        <v>3</v>
      </c>
      <c r="R16" s="68">
        <v>80.3</v>
      </c>
    </row>
    <row r="17" spans="1:18" x14ac:dyDescent="0.4">
      <c r="A17" s="19" t="s">
        <v>118</v>
      </c>
      <c r="B17" s="12">
        <v>70</v>
      </c>
      <c r="C17" s="6">
        <f>IF(B$51=0,0,B17/B$51)</f>
        <v>0.29661016949152541</v>
      </c>
      <c r="E17" s="27" t="s">
        <v>93</v>
      </c>
      <c r="F17" s="24" t="s">
        <v>48</v>
      </c>
      <c r="G17" s="12">
        <v>1</v>
      </c>
      <c r="H17" s="88">
        <f t="shared" si="0"/>
        <v>1.3157894736842105E-2</v>
      </c>
      <c r="I17" s="58">
        <v>1</v>
      </c>
      <c r="K17" s="74">
        <v>15</v>
      </c>
      <c r="L17" s="119">
        <v>55.8</v>
      </c>
      <c r="M17" s="117">
        <v>1510.8742983548468</v>
      </c>
      <c r="O17" s="74" t="s">
        <v>191</v>
      </c>
      <c r="P17" s="83">
        <f t="shared" si="3"/>
        <v>24.85</v>
      </c>
      <c r="Q17" s="77">
        <v>2</v>
      </c>
      <c r="R17" s="68">
        <v>49.7</v>
      </c>
    </row>
    <row r="18" spans="1:18" x14ac:dyDescent="0.4">
      <c r="A18" s="18" t="s">
        <v>123</v>
      </c>
      <c r="B18" s="11">
        <f>B24</f>
        <v>32</v>
      </c>
      <c r="C18" s="5">
        <f>IF(B$16=0,0,B18/B$16)</f>
        <v>0.58181818181818179</v>
      </c>
      <c r="E18" s="27" t="s">
        <v>73</v>
      </c>
      <c r="F18" s="24" t="s">
        <v>28</v>
      </c>
      <c r="G18" s="12">
        <v>0</v>
      </c>
      <c r="H18" s="88">
        <f t="shared" si="0"/>
        <v>0</v>
      </c>
      <c r="I18" s="58">
        <v>7</v>
      </c>
      <c r="K18" s="74">
        <v>16</v>
      </c>
      <c r="L18" s="119">
        <v>40.299999999999997</v>
      </c>
      <c r="M18" s="117">
        <v>1508.0670525647176</v>
      </c>
      <c r="O18" s="74" t="s">
        <v>214</v>
      </c>
      <c r="P18" s="83">
        <f t="shared" si="3"/>
        <v>21.200000000000003</v>
      </c>
      <c r="Q18" s="77">
        <v>3</v>
      </c>
      <c r="R18" s="68">
        <v>63.600000000000009</v>
      </c>
    </row>
    <row r="19" spans="1:18" x14ac:dyDescent="0.4">
      <c r="A19" s="18" t="s">
        <v>124</v>
      </c>
      <c r="B19" s="11">
        <f>B25</f>
        <v>30</v>
      </c>
      <c r="C19" s="5">
        <f>IF(B$17=0,0,B19/B$17)</f>
        <v>0.42857142857142855</v>
      </c>
      <c r="E19" s="27" t="s">
        <v>74</v>
      </c>
      <c r="F19" s="24" t="s">
        <v>29</v>
      </c>
      <c r="G19" s="12">
        <v>0</v>
      </c>
      <c r="H19" s="88">
        <f t="shared" si="0"/>
        <v>0</v>
      </c>
      <c r="I19" s="58">
        <v>6</v>
      </c>
      <c r="K19" s="74">
        <v>17</v>
      </c>
      <c r="L19" s="119">
        <v>15.799999999999997</v>
      </c>
      <c r="M19" s="117">
        <v>1503.6566502493292</v>
      </c>
      <c r="O19" s="74" t="s">
        <v>190</v>
      </c>
      <c r="P19" s="83">
        <f t="shared" si="3"/>
        <v>16.333333333333332</v>
      </c>
      <c r="Q19" s="77">
        <v>3</v>
      </c>
      <c r="R19" s="68">
        <v>48.999999999999993</v>
      </c>
    </row>
    <row r="20" spans="1:18" x14ac:dyDescent="0.4">
      <c r="A20" s="18" t="s">
        <v>10</v>
      </c>
      <c r="B20" s="11">
        <f>B23+B22</f>
        <v>163</v>
      </c>
      <c r="C20" s="5">
        <f>IF(B$3=0,0,B20/B$3)</f>
        <v>0.34388185654008441</v>
      </c>
      <c r="E20" s="27" t="s">
        <v>75</v>
      </c>
      <c r="F20" s="24" t="s">
        <v>30</v>
      </c>
      <c r="G20" s="12">
        <v>0</v>
      </c>
      <c r="H20" s="88">
        <f t="shared" si="0"/>
        <v>0</v>
      </c>
      <c r="I20" s="58">
        <v>7</v>
      </c>
      <c r="K20" s="74">
        <v>18</v>
      </c>
      <c r="L20" s="119">
        <v>-25.700000000000003</v>
      </c>
      <c r="M20" s="117">
        <v>1496.2127103478333</v>
      </c>
      <c r="O20" s="74" t="s">
        <v>195</v>
      </c>
      <c r="P20" s="83">
        <f t="shared" si="3"/>
        <v>15.958974358974352</v>
      </c>
      <c r="Q20" s="77">
        <v>39</v>
      </c>
      <c r="R20" s="68">
        <v>622.39999999999975</v>
      </c>
    </row>
    <row r="21" spans="1:18" x14ac:dyDescent="0.4">
      <c r="A21" s="19" t="s">
        <v>13</v>
      </c>
      <c r="B21" s="12">
        <v>73</v>
      </c>
      <c r="C21" s="6">
        <f>IF(B$3=0,0,B21/B$3)</f>
        <v>0.15400843881856541</v>
      </c>
      <c r="E21" s="27" t="s">
        <v>76</v>
      </c>
      <c r="F21" s="24" t="s">
        <v>31</v>
      </c>
      <c r="G21" s="12">
        <v>0</v>
      </c>
      <c r="H21" s="88">
        <f t="shared" si="0"/>
        <v>0</v>
      </c>
      <c r="I21" s="58">
        <v>1</v>
      </c>
      <c r="K21" s="74">
        <v>19</v>
      </c>
      <c r="L21" s="119">
        <v>-17.700000000000003</v>
      </c>
      <c r="M21" s="117">
        <v>1497.7174340857464</v>
      </c>
      <c r="O21" s="74" t="s">
        <v>205</v>
      </c>
      <c r="P21" s="83">
        <f t="shared" si="3"/>
        <v>9.65</v>
      </c>
      <c r="Q21" s="77">
        <v>2</v>
      </c>
      <c r="R21" s="68">
        <v>19.3</v>
      </c>
    </row>
    <row r="22" spans="1:18" x14ac:dyDescent="0.4">
      <c r="A22" s="19" t="s">
        <v>12</v>
      </c>
      <c r="B22" s="12">
        <v>70</v>
      </c>
      <c r="C22" s="6">
        <f>IF(B$20=0,0,B22/B$20)</f>
        <v>0.42944785276073622</v>
      </c>
      <c r="E22" s="27" t="s">
        <v>77</v>
      </c>
      <c r="F22" s="24" t="s">
        <v>32</v>
      </c>
      <c r="G22" s="12">
        <v>0</v>
      </c>
      <c r="H22" s="88">
        <f t="shared" si="0"/>
        <v>0</v>
      </c>
      <c r="I22" s="58">
        <v>7</v>
      </c>
      <c r="K22" s="74">
        <v>20</v>
      </c>
      <c r="L22" s="119">
        <v>7.4999999999999964</v>
      </c>
      <c r="M22" s="117">
        <v>1502.3091294812318</v>
      </c>
      <c r="O22" s="74" t="s">
        <v>193</v>
      </c>
      <c r="P22" s="83">
        <f t="shared" si="3"/>
        <v>8.3750000000000036</v>
      </c>
      <c r="Q22" s="77">
        <v>8</v>
      </c>
      <c r="R22" s="68">
        <v>67.000000000000028</v>
      </c>
    </row>
    <row r="23" spans="1:18" x14ac:dyDescent="0.4">
      <c r="A23" s="19" t="s">
        <v>11</v>
      </c>
      <c r="B23" s="12">
        <v>93</v>
      </c>
      <c r="C23" s="6">
        <f>IF(B$20=0,0,B23/B$20)</f>
        <v>0.57055214723926384</v>
      </c>
      <c r="E23" s="27" t="s">
        <v>79</v>
      </c>
      <c r="F23" s="24" t="s">
        <v>34</v>
      </c>
      <c r="G23" s="12">
        <v>0</v>
      </c>
      <c r="H23" s="88">
        <f t="shared" si="0"/>
        <v>0</v>
      </c>
      <c r="I23" s="58">
        <v>11</v>
      </c>
      <c r="K23" s="74">
        <v>21</v>
      </c>
      <c r="L23" s="119">
        <v>69.8</v>
      </c>
      <c r="M23" s="117">
        <v>1513.5512747043445</v>
      </c>
      <c r="O23" s="74" t="s">
        <v>126</v>
      </c>
      <c r="P23" s="83">
        <f t="shared" si="3"/>
        <v>-1.0272727272727269</v>
      </c>
      <c r="Q23" s="77">
        <v>55</v>
      </c>
      <c r="R23" s="68">
        <v>-56.499999999999979</v>
      </c>
    </row>
    <row r="24" spans="1:18" x14ac:dyDescent="0.4">
      <c r="A24" s="19" t="s">
        <v>184</v>
      </c>
      <c r="B24" s="12">
        <v>32</v>
      </c>
      <c r="C24" s="6">
        <f>IF(B$20=0,0,B24/B$20)</f>
        <v>0.19631901840490798</v>
      </c>
      <c r="E24" s="27" t="s">
        <v>80</v>
      </c>
      <c r="F24" s="24" t="s">
        <v>35</v>
      </c>
      <c r="G24" s="12">
        <v>0</v>
      </c>
      <c r="H24" s="88">
        <f t="shared" si="0"/>
        <v>0</v>
      </c>
      <c r="I24" s="58">
        <v>3</v>
      </c>
      <c r="K24" s="74">
        <v>22</v>
      </c>
      <c r="L24" s="119">
        <v>78.399999999999991</v>
      </c>
      <c r="M24" s="117">
        <v>1515.0599670561185</v>
      </c>
      <c r="O24" s="74" t="s">
        <v>246</v>
      </c>
      <c r="P24" s="83">
        <f t="shared" si="3"/>
        <v>-4.9000000000000004</v>
      </c>
      <c r="Q24" s="77">
        <v>2</v>
      </c>
      <c r="R24" s="68">
        <v>-9.8000000000000007</v>
      </c>
    </row>
    <row r="25" spans="1:18" x14ac:dyDescent="0.4">
      <c r="A25" s="19" t="s">
        <v>182</v>
      </c>
      <c r="B25" s="12">
        <v>30</v>
      </c>
      <c r="C25" s="6">
        <f>IF(B$20=0,0,B25/B$20)</f>
        <v>0.18404907975460122</v>
      </c>
      <c r="E25" s="27" t="s">
        <v>82</v>
      </c>
      <c r="F25" s="24" t="s">
        <v>37</v>
      </c>
      <c r="G25" s="12">
        <v>0</v>
      </c>
      <c r="H25" s="88">
        <f t="shared" si="0"/>
        <v>0</v>
      </c>
      <c r="I25" s="58">
        <v>1</v>
      </c>
      <c r="K25" s="74">
        <v>23</v>
      </c>
      <c r="L25" s="119">
        <v>95.199999999999989</v>
      </c>
      <c r="M25" s="117">
        <v>1518.0356072537818</v>
      </c>
      <c r="O25" s="74" t="s">
        <v>164</v>
      </c>
      <c r="P25" s="83">
        <f t="shared" si="3"/>
        <v>-8.8833333333333329</v>
      </c>
      <c r="Q25" s="77">
        <v>12</v>
      </c>
      <c r="R25" s="68">
        <v>-106.6</v>
      </c>
    </row>
    <row r="26" spans="1:18" x14ac:dyDescent="0.4">
      <c r="A26" s="19" t="s">
        <v>183</v>
      </c>
      <c r="B26" s="12">
        <v>101</v>
      </c>
      <c r="C26" s="6">
        <f>IF(B$20=0,0,B26/B$20)</f>
        <v>0.61963190184049077</v>
      </c>
      <c r="E26" s="27" t="s">
        <v>84</v>
      </c>
      <c r="F26" s="24" t="s">
        <v>39</v>
      </c>
      <c r="G26" s="12">
        <v>0</v>
      </c>
      <c r="H26" s="88">
        <f t="shared" si="0"/>
        <v>0</v>
      </c>
      <c r="I26" s="58">
        <v>5</v>
      </c>
      <c r="K26" s="74">
        <v>24</v>
      </c>
      <c r="L26" s="119">
        <v>51.29999999999999</v>
      </c>
      <c r="M26" s="117">
        <v>1510.0673936102592</v>
      </c>
    </row>
    <row r="27" spans="1:18" x14ac:dyDescent="0.4">
      <c r="A27" s="19" t="s">
        <v>5</v>
      </c>
      <c r="B27" s="16">
        <f>IF(B$20=0,0,C27/B$20)</f>
        <v>9707.3619631901838</v>
      </c>
      <c r="C27" s="8">
        <v>1582300</v>
      </c>
      <c r="E27" s="27" t="s">
        <v>85</v>
      </c>
      <c r="F27" s="24" t="s">
        <v>40</v>
      </c>
      <c r="G27" s="12">
        <v>0</v>
      </c>
      <c r="H27" s="88">
        <f t="shared" si="0"/>
        <v>0</v>
      </c>
      <c r="I27" s="58">
        <v>6</v>
      </c>
      <c r="K27" s="74">
        <v>25</v>
      </c>
      <c r="L27" s="119">
        <v>60.79999999999999</v>
      </c>
      <c r="M27" s="117">
        <v>1511.7589892485976</v>
      </c>
    </row>
    <row r="28" spans="1:18" x14ac:dyDescent="0.4">
      <c r="A28" s="20" t="s">
        <v>166</v>
      </c>
      <c r="B28" s="95">
        <f>IF($B$20-B$19=0,0,C28/($B$20-B$19))</f>
        <v>9974.436090225563</v>
      </c>
      <c r="C28" s="96">
        <v>1326600</v>
      </c>
      <c r="E28" s="27" t="s">
        <v>87</v>
      </c>
      <c r="F28" s="24" t="s">
        <v>42</v>
      </c>
      <c r="G28" s="12">
        <v>0</v>
      </c>
      <c r="H28" s="88">
        <f t="shared" si="0"/>
        <v>0</v>
      </c>
      <c r="I28" s="58">
        <v>5</v>
      </c>
      <c r="K28" s="74">
        <v>26</v>
      </c>
      <c r="L28" s="119">
        <v>143.79999999999998</v>
      </c>
      <c r="M28" s="117">
        <v>1526.6704353131061</v>
      </c>
    </row>
    <row r="29" spans="1:18" x14ac:dyDescent="0.4">
      <c r="A29" s="20" t="s">
        <v>167</v>
      </c>
      <c r="B29" s="95">
        <f>IF(B$19=0,0,C29/B$19)</f>
        <v>8523.3333333333339</v>
      </c>
      <c r="C29" s="96">
        <v>255700</v>
      </c>
      <c r="E29" s="27" t="s">
        <v>88</v>
      </c>
      <c r="F29" s="24" t="s">
        <v>43</v>
      </c>
      <c r="G29" s="12">
        <v>0</v>
      </c>
      <c r="H29" s="88">
        <f t="shared" si="0"/>
        <v>0</v>
      </c>
      <c r="I29" s="58">
        <v>3</v>
      </c>
      <c r="K29" s="74">
        <v>27</v>
      </c>
      <c r="L29" s="119">
        <v>164.79999999999998</v>
      </c>
      <c r="M29" s="117">
        <v>1530.3324127012274</v>
      </c>
    </row>
    <row r="30" spans="1:18" x14ac:dyDescent="0.4">
      <c r="A30" s="20" t="s">
        <v>165</v>
      </c>
      <c r="B30" s="95">
        <f>IF(B$21=0,0,C30/B$21)</f>
        <v>-8854.7945205479446</v>
      </c>
      <c r="C30" s="96">
        <v>-646400</v>
      </c>
      <c r="E30" s="27" t="s">
        <v>90</v>
      </c>
      <c r="F30" s="24" t="s">
        <v>45</v>
      </c>
      <c r="G30" s="12">
        <v>0</v>
      </c>
      <c r="H30" s="88">
        <f t="shared" si="0"/>
        <v>0</v>
      </c>
      <c r="I30" s="58">
        <v>4</v>
      </c>
      <c r="K30" s="74">
        <v>28</v>
      </c>
      <c r="L30" s="119">
        <v>177.7</v>
      </c>
      <c r="M30" s="117">
        <v>1532.5144182250201</v>
      </c>
    </row>
    <row r="31" spans="1:18" x14ac:dyDescent="0.4">
      <c r="A31" s="19" t="s">
        <v>158</v>
      </c>
      <c r="B31" s="12">
        <v>5</v>
      </c>
      <c r="C31" s="90">
        <v>0</v>
      </c>
      <c r="E31" s="27" t="s">
        <v>92</v>
      </c>
      <c r="F31" s="24" t="s">
        <v>47</v>
      </c>
      <c r="G31" s="12">
        <v>0</v>
      </c>
      <c r="H31" s="88">
        <f t="shared" si="0"/>
        <v>0</v>
      </c>
      <c r="I31" s="58">
        <v>7</v>
      </c>
      <c r="K31" s="74">
        <v>29</v>
      </c>
      <c r="L31" s="119">
        <v>208</v>
      </c>
      <c r="M31" s="117">
        <v>1537.82733171567</v>
      </c>
    </row>
    <row r="32" spans="1:18" x14ac:dyDescent="0.4">
      <c r="A32" s="19" t="s">
        <v>159</v>
      </c>
      <c r="B32" s="12">
        <v>28</v>
      </c>
      <c r="C32" s="90">
        <v>12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>
        <v>1</v>
      </c>
      <c r="K32" s="74">
        <v>30</v>
      </c>
      <c r="L32" s="119">
        <v>201.5</v>
      </c>
      <c r="M32" s="117">
        <v>1536.4843677253759</v>
      </c>
    </row>
    <row r="33" spans="1:13" x14ac:dyDescent="0.4">
      <c r="A33" s="54" t="s">
        <v>136</v>
      </c>
      <c r="B33" s="131">
        <v>7</v>
      </c>
      <c r="C33" s="132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>
        <v>3</v>
      </c>
      <c r="K33" s="74">
        <v>31</v>
      </c>
      <c r="L33" s="119">
        <v>189.9</v>
      </c>
      <c r="M33" s="117">
        <v>1534.2314615190237</v>
      </c>
    </row>
    <row r="34" spans="1:13" x14ac:dyDescent="0.4">
      <c r="A34" s="22" t="s">
        <v>181</v>
      </c>
      <c r="B34" s="133">
        <v>118000</v>
      </c>
      <c r="C34" s="134"/>
      <c r="E34" s="27" t="s">
        <v>96</v>
      </c>
      <c r="F34" s="24" t="s">
        <v>51</v>
      </c>
      <c r="G34" s="12">
        <v>0</v>
      </c>
      <c r="H34" s="88">
        <f t="shared" ref="H34:H52" si="4">IF(B$52=0,0,G34/B$52)</f>
        <v>0</v>
      </c>
      <c r="I34" s="58">
        <v>1</v>
      </c>
      <c r="K34" s="74">
        <v>32</v>
      </c>
      <c r="L34" s="119">
        <v>207.4</v>
      </c>
      <c r="M34" s="117">
        <v>1537.1460727499095</v>
      </c>
    </row>
    <row r="35" spans="1:13" x14ac:dyDescent="0.4">
      <c r="A35" s="21" t="s">
        <v>137</v>
      </c>
      <c r="B35" s="29">
        <v>1</v>
      </c>
      <c r="C35" s="9">
        <f>IF(B$3=0,0,B35/B$3)</f>
        <v>2.1097046413502108E-3</v>
      </c>
      <c r="E35" s="27" t="s">
        <v>97</v>
      </c>
      <c r="F35" s="24" t="s">
        <v>52</v>
      </c>
      <c r="G35" s="12">
        <v>0</v>
      </c>
      <c r="H35" s="88">
        <f t="shared" si="4"/>
        <v>0</v>
      </c>
      <c r="I35" s="58">
        <v>1</v>
      </c>
      <c r="K35" s="74">
        <v>33</v>
      </c>
      <c r="L35" s="119">
        <v>248.4</v>
      </c>
      <c r="M35" s="117">
        <v>1544.3691963134102</v>
      </c>
    </row>
    <row r="36" spans="1:13" x14ac:dyDescent="0.4">
      <c r="E36" s="27" t="s">
        <v>98</v>
      </c>
      <c r="F36" s="24" t="s">
        <v>53</v>
      </c>
      <c r="G36" s="12">
        <v>0</v>
      </c>
      <c r="H36" s="88">
        <f t="shared" si="4"/>
        <v>0</v>
      </c>
      <c r="I36" s="58">
        <v>1</v>
      </c>
      <c r="K36" s="74">
        <v>34</v>
      </c>
      <c r="L36" s="119">
        <v>237.9</v>
      </c>
      <c r="M36" s="117">
        <v>1542.2009811355297</v>
      </c>
    </row>
    <row r="37" spans="1:13" x14ac:dyDescent="0.4">
      <c r="A37" s="54" t="s">
        <v>172</v>
      </c>
      <c r="B37" s="122">
        <v>9</v>
      </c>
      <c r="C37" s="98">
        <f t="shared" ref="C37:C49" si="5">IF(B$20=0,0,B37/B$20)</f>
        <v>5.5214723926380369E-2</v>
      </c>
      <c r="E37" s="27" t="s">
        <v>99</v>
      </c>
      <c r="F37" s="24" t="s">
        <v>54</v>
      </c>
      <c r="G37" s="12">
        <v>0</v>
      </c>
      <c r="H37" s="88">
        <f t="shared" si="4"/>
        <v>0</v>
      </c>
      <c r="I37" s="58">
        <v>1</v>
      </c>
      <c r="K37" s="74">
        <v>35</v>
      </c>
      <c r="L37" s="119">
        <v>191.9</v>
      </c>
      <c r="M37" s="117">
        <v>1533.7457752487164</v>
      </c>
    </row>
    <row r="38" spans="1:13" x14ac:dyDescent="0.4">
      <c r="A38" s="19" t="s">
        <v>168</v>
      </c>
      <c r="B38" s="12">
        <v>11</v>
      </c>
      <c r="C38" s="6">
        <f t="shared" si="5"/>
        <v>6.7484662576687116E-2</v>
      </c>
      <c r="E38" s="27" t="s">
        <v>100</v>
      </c>
      <c r="F38" s="24" t="s">
        <v>55</v>
      </c>
      <c r="G38" s="12">
        <v>0</v>
      </c>
      <c r="H38" s="88">
        <f t="shared" si="4"/>
        <v>0</v>
      </c>
      <c r="I38" s="58">
        <v>1</v>
      </c>
      <c r="K38" s="74">
        <v>36</v>
      </c>
      <c r="L38" s="119">
        <v>239</v>
      </c>
      <c r="M38" s="117">
        <v>1542.2133005972241</v>
      </c>
    </row>
    <row r="39" spans="1:13" x14ac:dyDescent="0.4">
      <c r="A39" s="19" t="s">
        <v>169</v>
      </c>
      <c r="B39" s="123">
        <v>12</v>
      </c>
      <c r="C39" s="6">
        <f t="shared" si="5"/>
        <v>7.3619631901840496E-2</v>
      </c>
      <c r="E39" s="27" t="s">
        <v>101</v>
      </c>
      <c r="F39" s="24" t="s">
        <v>56</v>
      </c>
      <c r="G39" s="12">
        <v>0</v>
      </c>
      <c r="H39" s="88">
        <f t="shared" si="4"/>
        <v>0</v>
      </c>
      <c r="I39" s="58">
        <v>1</v>
      </c>
      <c r="K39" s="74">
        <v>37</v>
      </c>
      <c r="L39" s="119">
        <v>253.8</v>
      </c>
      <c r="M39" s="117">
        <v>1544.7080207936408</v>
      </c>
    </row>
    <row r="40" spans="1:13" x14ac:dyDescent="0.4">
      <c r="A40" s="19" t="s">
        <v>170</v>
      </c>
      <c r="B40" s="123">
        <v>9</v>
      </c>
      <c r="C40" s="6">
        <f t="shared" si="5"/>
        <v>5.5214723926380369E-2</v>
      </c>
      <c r="E40" s="27" t="s">
        <v>102</v>
      </c>
      <c r="F40" s="24" t="s">
        <v>57</v>
      </c>
      <c r="G40" s="12">
        <v>0</v>
      </c>
      <c r="H40" s="88">
        <f t="shared" si="4"/>
        <v>0</v>
      </c>
      <c r="I40" s="58">
        <v>1</v>
      </c>
      <c r="K40" s="74">
        <v>38</v>
      </c>
      <c r="L40" s="119">
        <v>235.60000000000002</v>
      </c>
      <c r="M40" s="117">
        <v>1541.247772668879</v>
      </c>
    </row>
    <row r="41" spans="1:13" x14ac:dyDescent="0.4">
      <c r="A41" s="19" t="s">
        <v>171</v>
      </c>
      <c r="B41" s="123">
        <v>11</v>
      </c>
      <c r="C41" s="6">
        <f t="shared" si="5"/>
        <v>6.7484662576687116E-2</v>
      </c>
      <c r="E41" s="27" t="s">
        <v>103</v>
      </c>
      <c r="F41" s="24" t="s">
        <v>58</v>
      </c>
      <c r="G41" s="12">
        <v>0</v>
      </c>
      <c r="H41" s="88">
        <f t="shared" si="4"/>
        <v>0</v>
      </c>
      <c r="I41" s="58">
        <v>1</v>
      </c>
      <c r="K41" s="74">
        <v>39</v>
      </c>
      <c r="L41" s="119">
        <v>236.00000000000003</v>
      </c>
      <c r="M41" s="117">
        <v>1541.1202860328656</v>
      </c>
    </row>
    <row r="42" spans="1:13" x14ac:dyDescent="0.4">
      <c r="A42" s="19" t="s">
        <v>173</v>
      </c>
      <c r="B42" s="123">
        <v>7</v>
      </c>
      <c r="C42" s="6">
        <f t="shared" si="5"/>
        <v>4.2944785276073622E-2</v>
      </c>
      <c r="E42" s="27" t="s">
        <v>104</v>
      </c>
      <c r="F42" s="24" t="s">
        <v>59</v>
      </c>
      <c r="G42" s="12">
        <v>0</v>
      </c>
      <c r="H42" s="88">
        <f t="shared" si="4"/>
        <v>0</v>
      </c>
      <c r="I42" s="58">
        <v>1</v>
      </c>
      <c r="K42" s="74">
        <v>40</v>
      </c>
      <c r="L42" s="119">
        <v>239.10000000000002</v>
      </c>
      <c r="M42" s="117">
        <v>1541.5095643166683</v>
      </c>
    </row>
    <row r="43" spans="1:13" x14ac:dyDescent="0.4">
      <c r="A43" s="19" t="s">
        <v>174</v>
      </c>
      <c r="B43" s="123">
        <v>7</v>
      </c>
      <c r="C43" s="6">
        <f t="shared" si="5"/>
        <v>4.2944785276073622E-2</v>
      </c>
      <c r="E43" s="27" t="s">
        <v>105</v>
      </c>
      <c r="F43" s="24" t="s">
        <v>112</v>
      </c>
      <c r="G43" s="12">
        <v>0</v>
      </c>
      <c r="H43" s="88">
        <f t="shared" si="4"/>
        <v>0</v>
      </c>
      <c r="I43" s="58">
        <v>1</v>
      </c>
      <c r="K43" s="74">
        <v>41</v>
      </c>
      <c r="L43" s="119">
        <v>237.10000000000002</v>
      </c>
      <c r="M43" s="117">
        <v>1540.9785069307682</v>
      </c>
    </row>
    <row r="44" spans="1:13" x14ac:dyDescent="0.4">
      <c r="A44" s="19" t="s">
        <v>175</v>
      </c>
      <c r="B44" s="123">
        <v>3</v>
      </c>
      <c r="C44" s="6">
        <f t="shared" si="5"/>
        <v>1.8404907975460124E-2</v>
      </c>
      <c r="E44" s="27" t="s">
        <v>106</v>
      </c>
      <c r="F44" s="24" t="s">
        <v>113</v>
      </c>
      <c r="G44" s="12">
        <v>0</v>
      </c>
      <c r="H44" s="88">
        <f t="shared" si="4"/>
        <v>0</v>
      </c>
      <c r="I44" s="58">
        <v>3</v>
      </c>
      <c r="K44" s="74">
        <v>42</v>
      </c>
      <c r="L44" s="119">
        <v>258.3</v>
      </c>
      <c r="M44" s="117">
        <v>1544.6266358891835</v>
      </c>
    </row>
    <row r="45" spans="1:13" x14ac:dyDescent="0.4">
      <c r="A45" s="19" t="s">
        <v>176</v>
      </c>
      <c r="B45" s="123">
        <v>4</v>
      </c>
      <c r="C45" s="6">
        <f t="shared" si="5"/>
        <v>2.4539877300613498E-2</v>
      </c>
      <c r="E45" s="27" t="s">
        <v>107</v>
      </c>
      <c r="F45" s="24" t="s">
        <v>114</v>
      </c>
      <c r="G45" s="12">
        <v>0</v>
      </c>
      <c r="H45" s="88">
        <f t="shared" si="4"/>
        <v>0</v>
      </c>
      <c r="I45" s="58">
        <v>1</v>
      </c>
      <c r="K45" s="74">
        <v>43</v>
      </c>
      <c r="L45" s="119">
        <v>291.10000000000002</v>
      </c>
      <c r="M45" s="117">
        <v>1550.4548760738485</v>
      </c>
    </row>
    <row r="46" spans="1:13" x14ac:dyDescent="0.4">
      <c r="A46" s="19" t="s">
        <v>177</v>
      </c>
      <c r="B46" s="123">
        <v>2</v>
      </c>
      <c r="C46" s="6">
        <f t="shared" si="5"/>
        <v>1.2269938650306749E-2</v>
      </c>
      <c r="E46" s="27" t="s">
        <v>108</v>
      </c>
      <c r="F46" s="24" t="s">
        <v>60</v>
      </c>
      <c r="G46" s="12">
        <v>0</v>
      </c>
      <c r="H46" s="88">
        <f t="shared" si="4"/>
        <v>0</v>
      </c>
      <c r="I46" s="58">
        <v>1</v>
      </c>
      <c r="K46" s="74">
        <v>44</v>
      </c>
      <c r="L46" s="119">
        <v>282.3</v>
      </c>
      <c r="M46" s="117">
        <v>1548.7541468174054</v>
      </c>
    </row>
    <row r="47" spans="1:13" x14ac:dyDescent="0.4">
      <c r="A47" s="19" t="s">
        <v>178</v>
      </c>
      <c r="B47" s="123">
        <v>0</v>
      </c>
      <c r="C47" s="6">
        <f t="shared" si="5"/>
        <v>0</v>
      </c>
      <c r="E47" s="27" t="s">
        <v>109</v>
      </c>
      <c r="F47" s="24" t="s">
        <v>61</v>
      </c>
      <c r="G47" s="12">
        <v>0</v>
      </c>
      <c r="H47" s="88">
        <f t="shared" si="4"/>
        <v>0</v>
      </c>
      <c r="I47" s="58">
        <v>1</v>
      </c>
      <c r="K47" s="74">
        <v>45</v>
      </c>
      <c r="L47" s="119">
        <v>251.10000000000002</v>
      </c>
      <c r="M47" s="117">
        <v>1542.959621936501</v>
      </c>
    </row>
    <row r="48" spans="1:13" x14ac:dyDescent="0.4">
      <c r="A48" s="19" t="s">
        <v>179</v>
      </c>
      <c r="B48" s="123">
        <v>0</v>
      </c>
      <c r="C48" s="6">
        <f t="shared" si="5"/>
        <v>0</v>
      </c>
      <c r="E48" s="27" t="s">
        <v>110</v>
      </c>
      <c r="F48" s="24" t="s">
        <v>62</v>
      </c>
      <c r="G48" s="12">
        <v>0</v>
      </c>
      <c r="H48" s="88">
        <f t="shared" si="4"/>
        <v>0</v>
      </c>
      <c r="I48" s="58">
        <v>1</v>
      </c>
      <c r="K48" s="74">
        <v>46</v>
      </c>
      <c r="L48" s="119">
        <v>215.60000000000002</v>
      </c>
      <c r="M48" s="117">
        <v>1536.4438642048819</v>
      </c>
    </row>
    <row r="49" spans="1:13" x14ac:dyDescent="0.4">
      <c r="A49" s="21" t="s">
        <v>180</v>
      </c>
      <c r="B49" s="97">
        <v>1</v>
      </c>
      <c r="C49" s="9">
        <f t="shared" si="5"/>
        <v>6.1349693251533744E-3</v>
      </c>
      <c r="E49" s="27" t="s">
        <v>111</v>
      </c>
      <c r="F49" s="24" t="s">
        <v>63</v>
      </c>
      <c r="G49" s="12">
        <v>0</v>
      </c>
      <c r="H49" s="88">
        <f t="shared" si="4"/>
        <v>0</v>
      </c>
      <c r="I49" s="58">
        <v>1</v>
      </c>
      <c r="K49" s="74">
        <v>47</v>
      </c>
      <c r="L49" s="119">
        <v>194.90000000000003</v>
      </c>
      <c r="M49" s="117">
        <v>1532.6252010196526</v>
      </c>
    </row>
    <row r="50" spans="1:13" x14ac:dyDescent="0.4">
      <c r="E50" s="27" t="s">
        <v>156</v>
      </c>
      <c r="F50" s="24" t="s">
        <v>157</v>
      </c>
      <c r="G50" s="12">
        <v>0</v>
      </c>
      <c r="H50" s="88">
        <f t="shared" si="4"/>
        <v>0</v>
      </c>
      <c r="I50" s="58">
        <v>1</v>
      </c>
      <c r="K50" s="74">
        <v>48</v>
      </c>
      <c r="L50" s="119">
        <v>216.70000000000005</v>
      </c>
      <c r="M50" s="117">
        <v>1536.4914498135347</v>
      </c>
    </row>
    <row r="51" spans="1:13" x14ac:dyDescent="0.4">
      <c r="A51" s="54" t="s">
        <v>206</v>
      </c>
      <c r="B51" s="125">
        <v>236</v>
      </c>
      <c r="C51" s="126"/>
      <c r="E51" s="91" t="s">
        <v>160</v>
      </c>
      <c r="F51" s="92" t="s">
        <v>161</v>
      </c>
      <c r="G51" s="13">
        <v>0</v>
      </c>
      <c r="H51" s="93">
        <f t="shared" si="4"/>
        <v>0</v>
      </c>
      <c r="I51" s="94">
        <v>1</v>
      </c>
      <c r="K51" s="74">
        <v>49</v>
      </c>
      <c r="L51" s="119">
        <v>213.90000000000003</v>
      </c>
      <c r="M51" s="117">
        <v>1536.1645011146536</v>
      </c>
    </row>
    <row r="52" spans="1:13" x14ac:dyDescent="0.4">
      <c r="A52" s="21" t="s">
        <v>207</v>
      </c>
      <c r="B52" s="127">
        <v>76</v>
      </c>
      <c r="C52" s="128"/>
      <c r="E52" s="28" t="s">
        <v>162</v>
      </c>
      <c r="F52" s="25" t="s">
        <v>163</v>
      </c>
      <c r="G52" s="14">
        <v>0</v>
      </c>
      <c r="H52" s="89">
        <f t="shared" si="4"/>
        <v>0</v>
      </c>
      <c r="I52" s="59">
        <v>1</v>
      </c>
      <c r="K52" s="74">
        <v>50</v>
      </c>
      <c r="L52" s="119">
        <v>213.90000000000003</v>
      </c>
      <c r="M52" s="117">
        <v>1536.3435141079656</v>
      </c>
    </row>
    <row r="53" spans="1:13" x14ac:dyDescent="0.4">
      <c r="K53" s="74">
        <v>51</v>
      </c>
      <c r="L53" s="119">
        <v>292.60000000000002</v>
      </c>
      <c r="M53" s="117">
        <v>1550.6874530233179</v>
      </c>
    </row>
    <row r="54" spans="1:13" x14ac:dyDescent="0.4">
      <c r="K54" s="74">
        <v>52</v>
      </c>
      <c r="L54" s="119">
        <v>319.10000000000002</v>
      </c>
      <c r="M54" s="117">
        <v>1555.3813283051779</v>
      </c>
    </row>
    <row r="55" spans="1:13" x14ac:dyDescent="0.4">
      <c r="K55" s="74">
        <v>53</v>
      </c>
      <c r="L55" s="119">
        <v>268.60000000000002</v>
      </c>
      <c r="M55" s="117">
        <v>1546.1810403353468</v>
      </c>
    </row>
    <row r="56" spans="1:13" x14ac:dyDescent="0.4">
      <c r="K56" s="74">
        <v>54</v>
      </c>
      <c r="L56" s="119">
        <v>253.50000000000003</v>
      </c>
      <c r="M56" s="117">
        <v>1543.4079540933346</v>
      </c>
    </row>
    <row r="57" spans="1:13" x14ac:dyDescent="0.4">
      <c r="K57" s="74">
        <v>55</v>
      </c>
      <c r="L57" s="119">
        <v>269.40000000000003</v>
      </c>
      <c r="M57" s="117">
        <v>1546.0755063687745</v>
      </c>
    </row>
    <row r="58" spans="1:13" x14ac:dyDescent="0.4">
      <c r="K58" s="74">
        <v>56</v>
      </c>
      <c r="L58" s="119">
        <v>273.8</v>
      </c>
      <c r="M58" s="117">
        <v>1546.6570533305619</v>
      </c>
    </row>
    <row r="59" spans="1:13" x14ac:dyDescent="0.4">
      <c r="K59" s="74">
        <v>57</v>
      </c>
      <c r="L59" s="119">
        <v>260.3</v>
      </c>
      <c r="M59" s="117">
        <v>1544.3311110105785</v>
      </c>
    </row>
    <row r="60" spans="1:13" x14ac:dyDescent="0.4">
      <c r="K60" s="74">
        <v>58</v>
      </c>
      <c r="L60" s="119">
        <v>293.3</v>
      </c>
      <c r="M60" s="117">
        <v>1550.0111243445151</v>
      </c>
    </row>
    <row r="61" spans="1:13" x14ac:dyDescent="0.4">
      <c r="K61" s="74">
        <v>59</v>
      </c>
      <c r="L61" s="119">
        <v>283.3</v>
      </c>
      <c r="M61" s="117">
        <v>1547.9170575984481</v>
      </c>
    </row>
    <row r="62" spans="1:13" x14ac:dyDescent="0.4">
      <c r="K62" s="74">
        <v>60</v>
      </c>
      <c r="L62" s="119">
        <v>272.60000000000002</v>
      </c>
      <c r="M62" s="117">
        <v>1546.0335552528575</v>
      </c>
    </row>
    <row r="63" spans="1:13" x14ac:dyDescent="0.4">
      <c r="K63" s="74">
        <v>61</v>
      </c>
      <c r="L63" s="119">
        <v>259.20000000000005</v>
      </c>
      <c r="M63" s="117">
        <v>1543.6753539213403</v>
      </c>
    </row>
    <row r="64" spans="1:13" x14ac:dyDescent="0.4">
      <c r="K64" s="74">
        <v>62</v>
      </c>
      <c r="L64" s="119">
        <v>252.20000000000005</v>
      </c>
      <c r="M64" s="117">
        <v>1542.5253017978123</v>
      </c>
    </row>
    <row r="65" spans="11:13" x14ac:dyDescent="0.4">
      <c r="K65" s="74">
        <v>63</v>
      </c>
      <c r="L65" s="119">
        <v>246.20000000000005</v>
      </c>
      <c r="M65" s="117">
        <v>1541.5681499870254</v>
      </c>
    </row>
    <row r="66" spans="11:13" x14ac:dyDescent="0.4">
      <c r="K66" s="74">
        <v>64</v>
      </c>
      <c r="L66" s="119">
        <v>264.90000000000003</v>
      </c>
      <c r="M66" s="117">
        <v>1544.5107410871033</v>
      </c>
    </row>
    <row r="67" spans="11:13" x14ac:dyDescent="0.4">
      <c r="K67" s="74">
        <v>65</v>
      </c>
      <c r="L67" s="119">
        <v>270.8</v>
      </c>
      <c r="M67" s="117">
        <v>1545.9176766405806</v>
      </c>
    </row>
  </sheetData>
  <sortState xmlns:xlrd2="http://schemas.microsoft.com/office/spreadsheetml/2017/richdata2" ref="E2:I68">
    <sortCondition descending="1" ref="H1"/>
  </sortState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C7194-DBCC-4FA0-BAC3-15FB320A2C53}">
  <sheetPr codeName="Sheet1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7" t="s">
        <v>214</v>
      </c>
      <c r="C1" s="138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25">
        <v>5</v>
      </c>
      <c r="C2" s="126"/>
      <c r="E2" s="26" t="s">
        <v>64</v>
      </c>
      <c r="F2" s="23" t="s">
        <v>20</v>
      </c>
      <c r="G2" s="11">
        <v>6</v>
      </c>
      <c r="H2" s="87">
        <f t="shared" ref="H2:H33" si="0">IF(B$52=0,0,G2/B$52)</f>
        <v>0.66666666666666663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-2740</v>
      </c>
      <c r="Q2" s="76">
        <v>5</v>
      </c>
      <c r="R2" s="63">
        <v>-13700</v>
      </c>
    </row>
    <row r="3" spans="1:18" x14ac:dyDescent="0.4">
      <c r="A3" s="19" t="s">
        <v>8</v>
      </c>
      <c r="B3" s="139">
        <v>37</v>
      </c>
      <c r="C3" s="140"/>
      <c r="E3" s="27" t="s">
        <v>65</v>
      </c>
      <c r="F3" s="24" t="s">
        <v>21</v>
      </c>
      <c r="G3" s="12">
        <v>4</v>
      </c>
      <c r="H3" s="88">
        <f t="shared" si="0"/>
        <v>0.44444444444444442</v>
      </c>
      <c r="I3" s="58">
        <v>1</v>
      </c>
      <c r="K3" s="74">
        <v>1</v>
      </c>
      <c r="L3" s="119">
        <v>-40.700000000000003</v>
      </c>
      <c r="M3" s="117">
        <v>1492.68</v>
      </c>
      <c r="O3" s="74" t="s">
        <v>129</v>
      </c>
      <c r="P3" s="80">
        <f t="shared" si="1"/>
        <v>1500</v>
      </c>
      <c r="Q3" s="77">
        <v>5</v>
      </c>
      <c r="R3" s="64">
        <v>7500</v>
      </c>
    </row>
    <row r="4" spans="1:18" x14ac:dyDescent="0.4">
      <c r="A4" s="19" t="s">
        <v>6</v>
      </c>
      <c r="B4" s="141">
        <v>-86.4</v>
      </c>
      <c r="C4" s="142"/>
      <c r="E4" s="27" t="s">
        <v>72</v>
      </c>
      <c r="F4" s="24" t="s">
        <v>27</v>
      </c>
      <c r="G4" s="12">
        <v>4</v>
      </c>
      <c r="H4" s="88">
        <f t="shared" si="0"/>
        <v>0.44444444444444442</v>
      </c>
      <c r="I4" s="58">
        <v>13</v>
      </c>
      <c r="K4" s="74">
        <v>2</v>
      </c>
      <c r="L4" s="119">
        <v>-81.7</v>
      </c>
      <c r="M4" s="117">
        <v>1485.42192</v>
      </c>
      <c r="O4" s="74" t="s">
        <v>130</v>
      </c>
      <c r="P4" s="80">
        <f t="shared" si="1"/>
        <v>-11250</v>
      </c>
      <c r="Q4" s="77">
        <v>4</v>
      </c>
      <c r="R4" s="64">
        <v>-45000</v>
      </c>
    </row>
    <row r="5" spans="1:18" x14ac:dyDescent="0.4">
      <c r="A5" s="19" t="s">
        <v>7</v>
      </c>
      <c r="B5" s="129">
        <f>IF(B$2=0,0,B$4/B$2)</f>
        <v>-17.28</v>
      </c>
      <c r="C5" s="130"/>
      <c r="E5" s="27" t="s">
        <v>68</v>
      </c>
      <c r="F5" s="24" t="s">
        <v>12</v>
      </c>
      <c r="G5" s="12">
        <v>3</v>
      </c>
      <c r="H5" s="88">
        <f t="shared" si="0"/>
        <v>0.33333333333333331</v>
      </c>
      <c r="I5" s="58">
        <v>3</v>
      </c>
      <c r="K5" s="74">
        <v>3</v>
      </c>
      <c r="L5" s="119">
        <v>-88.9</v>
      </c>
      <c r="M5" s="117">
        <v>1484.29138848</v>
      </c>
      <c r="O5" s="74" t="s">
        <v>131</v>
      </c>
      <c r="P5" s="80">
        <f t="shared" si="1"/>
        <v>-12000</v>
      </c>
      <c r="Q5" s="77">
        <v>3</v>
      </c>
      <c r="R5" s="64">
        <v>-36000</v>
      </c>
    </row>
    <row r="6" spans="1:18" x14ac:dyDescent="0.4">
      <c r="A6" s="19" t="s">
        <v>196</v>
      </c>
      <c r="B6" s="133">
        <v>1484.6521503082251</v>
      </c>
      <c r="C6" s="134"/>
      <c r="E6" s="27" t="s">
        <v>67</v>
      </c>
      <c r="F6" s="24" t="s">
        <v>23</v>
      </c>
      <c r="G6" s="12">
        <v>2</v>
      </c>
      <c r="H6" s="88">
        <f t="shared" si="0"/>
        <v>0.22222222222222221</v>
      </c>
      <c r="I6" s="58">
        <v>10</v>
      </c>
      <c r="K6" s="74">
        <v>4</v>
      </c>
      <c r="L6" s="119">
        <v>-109.2</v>
      </c>
      <c r="M6" s="117">
        <v>1480.5816401491199</v>
      </c>
      <c r="O6" s="74" t="s">
        <v>132</v>
      </c>
      <c r="P6" s="80">
        <f t="shared" si="1"/>
        <v>5400</v>
      </c>
      <c r="Q6" s="77">
        <v>2</v>
      </c>
      <c r="R6" s="64">
        <v>10800</v>
      </c>
    </row>
    <row r="7" spans="1:18" x14ac:dyDescent="0.4">
      <c r="A7" s="19" t="s">
        <v>1</v>
      </c>
      <c r="B7" s="135">
        <f>IF(B$2=0,0,(B$8*1+B$9*2+B$10*3)/B$2)</f>
        <v>2.2000000000000002</v>
      </c>
      <c r="C7" s="136"/>
      <c r="E7" s="27" t="s">
        <v>79</v>
      </c>
      <c r="F7" s="24" t="s">
        <v>34</v>
      </c>
      <c r="G7" s="12">
        <v>2</v>
      </c>
      <c r="H7" s="88">
        <f t="shared" si="0"/>
        <v>0.22222222222222221</v>
      </c>
      <c r="I7" s="58">
        <v>1</v>
      </c>
      <c r="K7" s="74">
        <v>5</v>
      </c>
      <c r="L7" s="119">
        <v>-86.4</v>
      </c>
      <c r="M7" s="117">
        <v>1484.6521503082251</v>
      </c>
      <c r="O7" s="75" t="s">
        <v>133</v>
      </c>
      <c r="P7" s="81">
        <f t="shared" si="1"/>
        <v>-5000</v>
      </c>
      <c r="Q7" s="78">
        <v>2</v>
      </c>
      <c r="R7" s="65">
        <v>-10000</v>
      </c>
    </row>
    <row r="8" spans="1:18" x14ac:dyDescent="0.4">
      <c r="A8" s="19" t="s">
        <v>2</v>
      </c>
      <c r="B8" s="12">
        <v>1</v>
      </c>
      <c r="C8" s="6">
        <f t="shared" ref="C8:C15" si="2">IF(B$2=0,0,B8/B$2)</f>
        <v>0.2</v>
      </c>
      <c r="E8" s="27" t="s">
        <v>66</v>
      </c>
      <c r="F8" s="24" t="s">
        <v>22</v>
      </c>
      <c r="G8" s="12">
        <v>1</v>
      </c>
      <c r="H8" s="88">
        <f t="shared" si="0"/>
        <v>0.1111111111111111</v>
      </c>
      <c r="I8" s="58">
        <v>13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2"/>
        <v>0.4</v>
      </c>
      <c r="E9" s="27" t="s">
        <v>69</v>
      </c>
      <c r="F9" s="24" t="s">
        <v>24</v>
      </c>
      <c r="G9" s="12">
        <v>1</v>
      </c>
      <c r="H9" s="88">
        <f t="shared" si="0"/>
        <v>0.1111111111111111</v>
      </c>
      <c r="I9" s="58">
        <v>10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2"/>
        <v>0.4</v>
      </c>
      <c r="E10" s="27" t="s">
        <v>86</v>
      </c>
      <c r="F10" s="24" t="s">
        <v>41</v>
      </c>
      <c r="G10" s="12">
        <v>1</v>
      </c>
      <c r="H10" s="88">
        <f t="shared" si="0"/>
        <v>0.1111111111111111</v>
      </c>
      <c r="I10" s="58">
        <v>3</v>
      </c>
      <c r="O10" s="73" t="s">
        <v>152</v>
      </c>
      <c r="P10" s="82">
        <f>IF(Q10=0,0,R10/Q10)</f>
        <v>-24.1</v>
      </c>
      <c r="Q10" s="76">
        <v>2</v>
      </c>
      <c r="R10" s="67">
        <v>-48.2</v>
      </c>
    </row>
    <row r="11" spans="1:18" x14ac:dyDescent="0.4">
      <c r="A11" s="20" t="s">
        <v>185</v>
      </c>
      <c r="B11" s="109">
        <f>IF(B8=0,0,C11/B8)</f>
        <v>22.8</v>
      </c>
      <c r="C11" s="110">
        <v>22.8</v>
      </c>
      <c r="E11" s="27" t="s">
        <v>70</v>
      </c>
      <c r="F11" s="24" t="s">
        <v>25</v>
      </c>
      <c r="G11" s="12">
        <v>0</v>
      </c>
      <c r="H11" s="88">
        <f t="shared" si="0"/>
        <v>0</v>
      </c>
      <c r="I11" s="58">
        <v>12</v>
      </c>
      <c r="O11" s="74" t="s">
        <v>153</v>
      </c>
      <c r="P11" s="83">
        <f>IF(Q11=0,0,R11/Q11)</f>
        <v>-12.733333333333334</v>
      </c>
      <c r="Q11" s="77">
        <v>3</v>
      </c>
      <c r="R11" s="68">
        <v>-38.200000000000003</v>
      </c>
    </row>
    <row r="12" spans="1:18" x14ac:dyDescent="0.4">
      <c r="A12" s="20" t="s">
        <v>186</v>
      </c>
      <c r="B12" s="109">
        <f>IF(B9=0,0,C12/B9)</f>
        <v>-23.950000000000003</v>
      </c>
      <c r="C12" s="110">
        <v>-47.900000000000006</v>
      </c>
      <c r="E12" s="27" t="s">
        <v>71</v>
      </c>
      <c r="F12" s="24" t="s">
        <v>26</v>
      </c>
      <c r="G12" s="12">
        <v>0</v>
      </c>
      <c r="H12" s="88">
        <f t="shared" si="0"/>
        <v>0</v>
      </c>
      <c r="I12" s="58">
        <v>12</v>
      </c>
      <c r="O12" s="75" t="s">
        <v>154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187</v>
      </c>
      <c r="B13" s="109">
        <f>IF(B10=0,0,C13/B10)</f>
        <v>-30.65</v>
      </c>
      <c r="C13" s="110">
        <v>-61.3</v>
      </c>
      <c r="E13" s="27" t="s">
        <v>73</v>
      </c>
      <c r="F13" s="24" t="s">
        <v>28</v>
      </c>
      <c r="G13" s="12">
        <v>0</v>
      </c>
      <c r="H13" s="88">
        <f t="shared" si="0"/>
        <v>0</v>
      </c>
      <c r="I13" s="58">
        <v>7</v>
      </c>
      <c r="O13" s="103"/>
      <c r="P13" s="71"/>
      <c r="Q13" s="111"/>
      <c r="R13" s="71"/>
    </row>
    <row r="14" spans="1:18" x14ac:dyDescent="0.4">
      <c r="A14" s="20" t="s">
        <v>188</v>
      </c>
      <c r="B14" s="129">
        <f>AVERAGE(B11:B13)</f>
        <v>-10.6</v>
      </c>
      <c r="C14" s="130"/>
      <c r="E14" s="27" t="s">
        <v>74</v>
      </c>
      <c r="F14" s="24" t="s">
        <v>29</v>
      </c>
      <c r="G14" s="12">
        <v>0</v>
      </c>
      <c r="H14" s="88">
        <f t="shared" si="0"/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2"/>
        <v>0.4</v>
      </c>
      <c r="E15" s="27" t="s">
        <v>75</v>
      </c>
      <c r="F15" s="24" t="s">
        <v>30</v>
      </c>
      <c r="G15" s="12">
        <v>0</v>
      </c>
      <c r="H15" s="88">
        <f t="shared" si="0"/>
        <v>0</v>
      </c>
      <c r="I15" s="58">
        <v>7</v>
      </c>
      <c r="O15" s="73" t="s">
        <v>164</v>
      </c>
      <c r="P15" s="82">
        <f>IF(Q15=0,0,R15/Q15)</f>
        <v>17.200000000000003</v>
      </c>
      <c r="Q15" s="76">
        <v>2</v>
      </c>
      <c r="R15" s="67">
        <v>34.400000000000006</v>
      </c>
    </row>
    <row r="16" spans="1:18" x14ac:dyDescent="0.4">
      <c r="A16" s="22" t="s">
        <v>121</v>
      </c>
      <c r="B16" s="15">
        <v>8</v>
      </c>
      <c r="C16" s="10">
        <f>IF(B$51=0,0,B16/B$51)</f>
        <v>0.25806451612903225</v>
      </c>
      <c r="E16" s="27" t="s">
        <v>76</v>
      </c>
      <c r="F16" s="24" t="s">
        <v>31</v>
      </c>
      <c r="G16" s="12">
        <v>0</v>
      </c>
      <c r="H16" s="88">
        <f t="shared" si="0"/>
        <v>0</v>
      </c>
      <c r="I16" s="58">
        <v>1</v>
      </c>
      <c r="O16" s="74" t="s">
        <v>191</v>
      </c>
      <c r="P16" s="83">
        <f>IF(Q16=0,0,R16/Q16)</f>
        <v>-13.45</v>
      </c>
      <c r="Q16" s="77">
        <v>2</v>
      </c>
      <c r="R16" s="68">
        <v>-26.9</v>
      </c>
    </row>
    <row r="17" spans="1:18" x14ac:dyDescent="0.4">
      <c r="A17" s="19" t="s">
        <v>118</v>
      </c>
      <c r="B17" s="12">
        <v>5</v>
      </c>
      <c r="C17" s="6">
        <f>IF(B$51=0,0,B17/B$51)</f>
        <v>0.16129032258064516</v>
      </c>
      <c r="E17" s="27" t="s">
        <v>77</v>
      </c>
      <c r="F17" s="24" t="s">
        <v>32</v>
      </c>
      <c r="G17" s="12">
        <v>0</v>
      </c>
      <c r="H17" s="88">
        <f t="shared" si="0"/>
        <v>0</v>
      </c>
      <c r="I17" s="58">
        <v>7</v>
      </c>
      <c r="O17" s="74" t="s">
        <v>211</v>
      </c>
      <c r="P17" s="83">
        <f>IF(Q17=0,0,R17/Q17)</f>
        <v>-21.200000000000003</v>
      </c>
      <c r="Q17" s="77">
        <v>3</v>
      </c>
      <c r="R17" s="68">
        <v>-63.600000000000009</v>
      </c>
    </row>
    <row r="18" spans="1:18" x14ac:dyDescent="0.4">
      <c r="A18" s="18" t="s">
        <v>123</v>
      </c>
      <c r="B18" s="11">
        <f>B24</f>
        <v>6</v>
      </c>
      <c r="C18" s="5">
        <f>IF(B$16=0,0,B18/B$16)</f>
        <v>0.75</v>
      </c>
      <c r="E18" s="27" t="s">
        <v>78</v>
      </c>
      <c r="F18" s="24" t="s">
        <v>33</v>
      </c>
      <c r="G18" s="12">
        <v>0</v>
      </c>
      <c r="H18" s="88">
        <f t="shared" si="0"/>
        <v>0</v>
      </c>
      <c r="I18" s="58">
        <v>10</v>
      </c>
      <c r="O18" s="74" t="s">
        <v>246</v>
      </c>
      <c r="P18" s="83">
        <f>IF(Q18=0,0,R18/Q18)</f>
        <v>-38.6</v>
      </c>
      <c r="Q18" s="77">
        <v>2</v>
      </c>
      <c r="R18" s="68">
        <v>-77.2</v>
      </c>
    </row>
    <row r="19" spans="1:18" x14ac:dyDescent="0.4">
      <c r="A19" s="18" t="s">
        <v>124</v>
      </c>
      <c r="B19" s="11">
        <f>B25</f>
        <v>1</v>
      </c>
      <c r="C19" s="5">
        <f>IF(B$17=0,0,B19/B$17)</f>
        <v>0.2</v>
      </c>
      <c r="E19" s="27" t="s">
        <v>80</v>
      </c>
      <c r="F19" s="24" t="s">
        <v>35</v>
      </c>
      <c r="G19" s="12">
        <v>0</v>
      </c>
      <c r="H19" s="88">
        <f t="shared" si="0"/>
        <v>0</v>
      </c>
      <c r="I19" s="58">
        <v>3</v>
      </c>
      <c r="O19" s="74" t="s">
        <v>126</v>
      </c>
      <c r="P19" s="83">
        <f>IF(Q19=0,0,R19/Q19)</f>
        <v>-125.9</v>
      </c>
      <c r="Q19" s="77">
        <v>1</v>
      </c>
      <c r="R19" s="68">
        <v>-125.9</v>
      </c>
    </row>
    <row r="20" spans="1:18" x14ac:dyDescent="0.4">
      <c r="A20" s="18" t="s">
        <v>10</v>
      </c>
      <c r="B20" s="11">
        <f>B23+B22</f>
        <v>10</v>
      </c>
      <c r="C20" s="5">
        <f>IF(B$3=0,0,B20/B$3)</f>
        <v>0.27027027027027029</v>
      </c>
      <c r="E20" s="27" t="s">
        <v>81</v>
      </c>
      <c r="F20" s="24" t="s">
        <v>36</v>
      </c>
      <c r="G20" s="12">
        <v>0</v>
      </c>
      <c r="H20" s="88">
        <f t="shared" si="0"/>
        <v>0</v>
      </c>
      <c r="I20" s="58">
        <v>10</v>
      </c>
    </row>
    <row r="21" spans="1:18" x14ac:dyDescent="0.4">
      <c r="A21" s="19" t="s">
        <v>13</v>
      </c>
      <c r="B21" s="12">
        <v>8</v>
      </c>
      <c r="C21" s="6">
        <f>IF(B$3=0,0,B21/B$3)</f>
        <v>0.21621621621621623</v>
      </c>
      <c r="E21" s="27" t="s">
        <v>82</v>
      </c>
      <c r="F21" s="24" t="s">
        <v>37</v>
      </c>
      <c r="G21" s="12">
        <v>0</v>
      </c>
      <c r="H21" s="88">
        <f t="shared" si="0"/>
        <v>0</v>
      </c>
      <c r="I21" s="58">
        <v>1</v>
      </c>
    </row>
    <row r="22" spans="1:18" x14ac:dyDescent="0.4">
      <c r="A22" s="19" t="s">
        <v>12</v>
      </c>
      <c r="B22" s="12">
        <v>3</v>
      </c>
      <c r="C22" s="6">
        <f>IF(B$20=0,0,B22/B$20)</f>
        <v>0.3</v>
      </c>
      <c r="E22" s="27" t="s">
        <v>83</v>
      </c>
      <c r="F22" s="24" t="s">
        <v>38</v>
      </c>
      <c r="G22" s="12">
        <v>0</v>
      </c>
      <c r="H22" s="88">
        <f t="shared" si="0"/>
        <v>0</v>
      </c>
      <c r="I22" s="58">
        <v>12</v>
      </c>
    </row>
    <row r="23" spans="1:18" x14ac:dyDescent="0.4">
      <c r="A23" s="19" t="s">
        <v>11</v>
      </c>
      <c r="B23" s="12">
        <v>7</v>
      </c>
      <c r="C23" s="6">
        <f>IF(B$20=0,0,B23/B$20)</f>
        <v>0.7</v>
      </c>
      <c r="E23" s="27" t="s">
        <v>84</v>
      </c>
      <c r="F23" s="24" t="s">
        <v>39</v>
      </c>
      <c r="G23" s="12">
        <v>0</v>
      </c>
      <c r="H23" s="88">
        <f t="shared" si="0"/>
        <v>0</v>
      </c>
      <c r="I23" s="58">
        <v>5</v>
      </c>
    </row>
    <row r="24" spans="1:18" x14ac:dyDescent="0.4">
      <c r="A24" s="19" t="s">
        <v>184</v>
      </c>
      <c r="B24" s="12">
        <v>6</v>
      </c>
      <c r="C24" s="6">
        <f>IF(B$20=0,0,B24/B$20)</f>
        <v>0.6</v>
      </c>
      <c r="E24" s="27" t="s">
        <v>85</v>
      </c>
      <c r="F24" s="24" t="s">
        <v>40</v>
      </c>
      <c r="G24" s="12">
        <v>0</v>
      </c>
      <c r="H24" s="88">
        <f t="shared" si="0"/>
        <v>0</v>
      </c>
      <c r="I24" s="58">
        <v>6</v>
      </c>
    </row>
    <row r="25" spans="1:18" x14ac:dyDescent="0.4">
      <c r="A25" s="19" t="s">
        <v>182</v>
      </c>
      <c r="B25" s="12">
        <v>1</v>
      </c>
      <c r="C25" s="6">
        <f>IF(B$20=0,0,B25/B$20)</f>
        <v>0.1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>
        <v>5</v>
      </c>
    </row>
    <row r="26" spans="1:18" x14ac:dyDescent="0.4">
      <c r="A26" s="19" t="s">
        <v>183</v>
      </c>
      <c r="B26" s="12">
        <v>3</v>
      </c>
      <c r="C26" s="6">
        <f>IF(B$20=0,0,B26/B$20)</f>
        <v>0.3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>
        <v>3</v>
      </c>
    </row>
    <row r="27" spans="1:18" x14ac:dyDescent="0.4">
      <c r="A27" s="19" t="s">
        <v>5</v>
      </c>
      <c r="B27" s="16">
        <f>IF(B$20=0,0,C27/B$20)</f>
        <v>7100</v>
      </c>
      <c r="C27" s="8">
        <v>71000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>
        <v>13</v>
      </c>
    </row>
    <row r="28" spans="1:18" x14ac:dyDescent="0.4">
      <c r="A28" s="20" t="s">
        <v>166</v>
      </c>
      <c r="B28" s="95">
        <f>IF($B$20-B$19=0,0,C28/($B$20-B$19))</f>
        <v>7666.666666666667</v>
      </c>
      <c r="C28" s="96">
        <v>69000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>
        <v>4</v>
      </c>
    </row>
    <row r="29" spans="1:18" x14ac:dyDescent="0.4">
      <c r="A29" s="20" t="s">
        <v>167</v>
      </c>
      <c r="B29" s="95">
        <f>IF(B$19=0,0,C29/B$19)</f>
        <v>2000</v>
      </c>
      <c r="C29" s="96">
        <v>2000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>
        <v>10</v>
      </c>
    </row>
    <row r="30" spans="1:18" x14ac:dyDescent="0.4">
      <c r="A30" s="20" t="s">
        <v>165</v>
      </c>
      <c r="B30" s="95">
        <f>IF(B$21=0,0,C30/B$21)</f>
        <v>-12487.5</v>
      </c>
      <c r="C30" s="96">
        <v>-99900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>
        <v>7</v>
      </c>
    </row>
    <row r="31" spans="1:18" x14ac:dyDescent="0.4">
      <c r="A31" s="19" t="s">
        <v>158</v>
      </c>
      <c r="B31" s="12">
        <v>3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>
        <v>6</v>
      </c>
    </row>
    <row r="32" spans="1:18" x14ac:dyDescent="0.4">
      <c r="A32" s="19" t="s">
        <v>159</v>
      </c>
      <c r="B32" s="12">
        <v>10</v>
      </c>
      <c r="C32" s="90">
        <v>10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>
        <v>1</v>
      </c>
    </row>
    <row r="33" spans="1:9" x14ac:dyDescent="0.4">
      <c r="A33" s="54" t="s">
        <v>136</v>
      </c>
      <c r="B33" s="131">
        <v>3</v>
      </c>
      <c r="C33" s="132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>
        <v>3</v>
      </c>
    </row>
    <row r="34" spans="1:9" x14ac:dyDescent="0.4">
      <c r="A34" s="22" t="s">
        <v>181</v>
      </c>
      <c r="B34" s="133">
        <v>57800</v>
      </c>
      <c r="C34" s="134"/>
      <c r="E34" s="27" t="s">
        <v>96</v>
      </c>
      <c r="F34" s="24" t="s">
        <v>51</v>
      </c>
      <c r="G34" s="12">
        <v>0</v>
      </c>
      <c r="H34" s="88">
        <f t="shared" ref="H34:H52" si="3">IF(B$52=0,0,G34/B$52)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>
        <v>1</v>
      </c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>
        <v>1</v>
      </c>
    </row>
    <row r="37" spans="1:9" x14ac:dyDescent="0.4">
      <c r="A37" s="54" t="s">
        <v>172</v>
      </c>
      <c r="B37" s="122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>
        <v>1</v>
      </c>
    </row>
    <row r="38" spans="1:9" x14ac:dyDescent="0.4">
      <c r="A38" s="19" t="s">
        <v>168</v>
      </c>
      <c r="B38" s="12">
        <v>1</v>
      </c>
      <c r="C38" s="6">
        <f t="shared" si="4"/>
        <v>0.1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>
        <v>1</v>
      </c>
    </row>
    <row r="39" spans="1:9" x14ac:dyDescent="0.4">
      <c r="A39" s="19" t="s">
        <v>169</v>
      </c>
      <c r="B39" s="123">
        <v>5</v>
      </c>
      <c r="C39" s="6">
        <f t="shared" si="4"/>
        <v>0.5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>
        <v>1</v>
      </c>
    </row>
    <row r="40" spans="1:9" x14ac:dyDescent="0.4">
      <c r="A40" s="19" t="s">
        <v>170</v>
      </c>
      <c r="B40" s="123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>
        <v>1</v>
      </c>
    </row>
    <row r="41" spans="1:9" x14ac:dyDescent="0.4">
      <c r="A41" s="19" t="s">
        <v>171</v>
      </c>
      <c r="B41" s="123">
        <v>2</v>
      </c>
      <c r="C41" s="6">
        <f t="shared" si="4"/>
        <v>0.2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>
        <v>1</v>
      </c>
    </row>
    <row r="42" spans="1:9" x14ac:dyDescent="0.4">
      <c r="A42" s="19" t="s">
        <v>173</v>
      </c>
      <c r="B42" s="123">
        <v>1</v>
      </c>
      <c r="C42" s="6">
        <f t="shared" si="4"/>
        <v>0.1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>
        <v>1</v>
      </c>
    </row>
    <row r="43" spans="1:9" x14ac:dyDescent="0.4">
      <c r="A43" s="19" t="s">
        <v>174</v>
      </c>
      <c r="B43" s="123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>
        <v>1</v>
      </c>
    </row>
    <row r="44" spans="1:9" x14ac:dyDescent="0.4">
      <c r="A44" s="19" t="s">
        <v>175</v>
      </c>
      <c r="B44" s="123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>
        <v>3</v>
      </c>
    </row>
    <row r="45" spans="1:9" x14ac:dyDescent="0.4">
      <c r="A45" s="19" t="s">
        <v>176</v>
      </c>
      <c r="B45" s="123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>
        <v>1</v>
      </c>
    </row>
    <row r="46" spans="1:9" x14ac:dyDescent="0.4">
      <c r="A46" s="19" t="s">
        <v>177</v>
      </c>
      <c r="B46" s="123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>
        <v>1</v>
      </c>
    </row>
    <row r="47" spans="1:9" x14ac:dyDescent="0.4">
      <c r="A47" s="19" t="s">
        <v>178</v>
      </c>
      <c r="B47" s="123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>
        <v>1</v>
      </c>
    </row>
    <row r="48" spans="1:9" x14ac:dyDescent="0.4">
      <c r="A48" s="19" t="s">
        <v>179</v>
      </c>
      <c r="B48" s="123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>
        <v>1</v>
      </c>
    </row>
    <row r="49" spans="1:9" x14ac:dyDescent="0.4">
      <c r="A49" s="21" t="s">
        <v>180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>
        <v>1</v>
      </c>
    </row>
    <row r="50" spans="1:9" x14ac:dyDescent="0.4">
      <c r="E50" s="27" t="s">
        <v>156</v>
      </c>
      <c r="F50" s="24" t="s">
        <v>157</v>
      </c>
      <c r="G50" s="12">
        <v>0</v>
      </c>
      <c r="H50" s="88">
        <f t="shared" si="3"/>
        <v>0</v>
      </c>
      <c r="I50" s="58">
        <v>1</v>
      </c>
    </row>
    <row r="51" spans="1:9" x14ac:dyDescent="0.4">
      <c r="A51" s="54" t="s">
        <v>206</v>
      </c>
      <c r="B51" s="125">
        <v>31</v>
      </c>
      <c r="C51" s="126"/>
      <c r="E51" s="91" t="s">
        <v>160</v>
      </c>
      <c r="F51" s="92" t="s">
        <v>161</v>
      </c>
      <c r="G51" s="13">
        <v>0</v>
      </c>
      <c r="H51" s="93">
        <f t="shared" si="3"/>
        <v>0</v>
      </c>
      <c r="I51" s="94">
        <v>1</v>
      </c>
    </row>
    <row r="52" spans="1:9" x14ac:dyDescent="0.4">
      <c r="A52" s="21" t="s">
        <v>207</v>
      </c>
      <c r="B52" s="127">
        <v>9</v>
      </c>
      <c r="C52" s="128"/>
      <c r="E52" s="28" t="s">
        <v>162</v>
      </c>
      <c r="F52" s="25" t="s">
        <v>163</v>
      </c>
      <c r="G52" s="14">
        <v>0</v>
      </c>
      <c r="H52" s="89">
        <f t="shared" si="3"/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E6B31-BB48-4837-88BC-ECDA49939E30}">
  <sheetPr codeName="Sheet19"/>
  <dimension ref="A1:R87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7" t="s">
        <v>190</v>
      </c>
      <c r="C1" s="138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25">
        <v>85</v>
      </c>
      <c r="C2" s="126"/>
      <c r="E2" s="26" t="s">
        <v>66</v>
      </c>
      <c r="F2" s="23" t="s">
        <v>22</v>
      </c>
      <c r="G2" s="11">
        <v>94</v>
      </c>
      <c r="H2" s="87">
        <f t="shared" ref="H2:H33" si="0">IF(B$52=0,0,G2/B$52)</f>
        <v>0.70676691729323304</v>
      </c>
      <c r="I2" s="57">
        <v>7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-968.23529411764707</v>
      </c>
      <c r="Q2" s="76">
        <v>85</v>
      </c>
      <c r="R2" s="63">
        <v>-82300</v>
      </c>
    </row>
    <row r="3" spans="1:18" x14ac:dyDescent="0.4">
      <c r="A3" s="19" t="s">
        <v>8</v>
      </c>
      <c r="B3" s="139">
        <v>660</v>
      </c>
      <c r="C3" s="140"/>
      <c r="E3" s="27" t="s">
        <v>72</v>
      </c>
      <c r="F3" s="24" t="s">
        <v>27</v>
      </c>
      <c r="G3" s="12">
        <v>78</v>
      </c>
      <c r="H3" s="88">
        <f t="shared" si="0"/>
        <v>0.5864661654135338</v>
      </c>
      <c r="I3" s="58">
        <v>5</v>
      </c>
      <c r="K3" s="74">
        <v>1</v>
      </c>
      <c r="L3" s="119">
        <v>68.2</v>
      </c>
      <c r="M3" s="117">
        <v>1512.2819999999999</v>
      </c>
      <c r="O3" s="74" t="s">
        <v>129</v>
      </c>
      <c r="P3" s="80">
        <f t="shared" si="1"/>
        <v>-3073.75</v>
      </c>
      <c r="Q3" s="77">
        <v>80</v>
      </c>
      <c r="R3" s="64">
        <v>-245900</v>
      </c>
    </row>
    <row r="4" spans="1:18" x14ac:dyDescent="0.4">
      <c r="A4" s="19" t="s">
        <v>6</v>
      </c>
      <c r="B4" s="141">
        <v>-559</v>
      </c>
      <c r="C4" s="142"/>
      <c r="E4" s="27" t="s">
        <v>64</v>
      </c>
      <c r="F4" s="24" t="s">
        <v>20</v>
      </c>
      <c r="G4" s="12">
        <v>62</v>
      </c>
      <c r="H4" s="88">
        <f t="shared" si="0"/>
        <v>0.46616541353383456</v>
      </c>
      <c r="I4" s="58">
        <v>10</v>
      </c>
      <c r="K4" s="74">
        <v>2</v>
      </c>
      <c r="L4" s="119">
        <v>58.5</v>
      </c>
      <c r="M4" s="117">
        <v>1510.4623079999999</v>
      </c>
      <c r="O4" s="74" t="s">
        <v>130</v>
      </c>
      <c r="P4" s="80">
        <f t="shared" si="1"/>
        <v>-1090.2777777777778</v>
      </c>
      <c r="Q4" s="77">
        <v>72</v>
      </c>
      <c r="R4" s="64">
        <v>-78500</v>
      </c>
    </row>
    <row r="5" spans="1:18" x14ac:dyDescent="0.4">
      <c r="A5" s="19" t="s">
        <v>7</v>
      </c>
      <c r="B5" s="129">
        <f>IF(B$2=0,0,B$4/B$2)</f>
        <v>-6.5764705882352938</v>
      </c>
      <c r="C5" s="130"/>
      <c r="E5" s="27" t="s">
        <v>68</v>
      </c>
      <c r="F5" s="24" t="s">
        <v>12</v>
      </c>
      <c r="G5" s="12">
        <v>43</v>
      </c>
      <c r="H5" s="88">
        <f t="shared" si="0"/>
        <v>0.32330827067669171</v>
      </c>
      <c r="I5" s="58">
        <v>4</v>
      </c>
      <c r="K5" s="74">
        <v>3</v>
      </c>
      <c r="L5" s="119">
        <v>82.1</v>
      </c>
      <c r="M5" s="117">
        <v>1514.6535341519998</v>
      </c>
      <c r="O5" s="74" t="s">
        <v>131</v>
      </c>
      <c r="P5" s="80">
        <f t="shared" si="1"/>
        <v>-556.52173913043475</v>
      </c>
      <c r="Q5" s="77">
        <v>69</v>
      </c>
      <c r="R5" s="64">
        <v>-38400</v>
      </c>
    </row>
    <row r="6" spans="1:18" x14ac:dyDescent="0.4">
      <c r="A6" s="19" t="s">
        <v>196</v>
      </c>
      <c r="B6" s="133">
        <v>1422.6785404897548</v>
      </c>
      <c r="C6" s="134"/>
      <c r="E6" s="27" t="s">
        <v>65</v>
      </c>
      <c r="F6" s="24" t="s">
        <v>21</v>
      </c>
      <c r="G6" s="12">
        <v>20</v>
      </c>
      <c r="H6" s="88">
        <f t="shared" si="0"/>
        <v>0.15037593984962405</v>
      </c>
      <c r="I6" s="58">
        <v>4</v>
      </c>
      <c r="K6" s="74">
        <v>4</v>
      </c>
      <c r="L6" s="119">
        <v>57.699999999999996</v>
      </c>
      <c r="M6" s="117">
        <v>1510.1796129470879</v>
      </c>
      <c r="O6" s="74" t="s">
        <v>132</v>
      </c>
      <c r="P6" s="80">
        <f t="shared" si="1"/>
        <v>-1555.1724137931035</v>
      </c>
      <c r="Q6" s="77">
        <v>58</v>
      </c>
      <c r="R6" s="64">
        <v>-90200</v>
      </c>
    </row>
    <row r="7" spans="1:18" x14ac:dyDescent="0.4">
      <c r="A7" s="19" t="s">
        <v>1</v>
      </c>
      <c r="B7" s="135">
        <f>IF(B$2=0,0,(B$8*1+B$9*2+B$10*3)/B$2)</f>
        <v>2.2117647058823531</v>
      </c>
      <c r="C7" s="136"/>
      <c r="E7" s="27" t="s">
        <v>67</v>
      </c>
      <c r="F7" s="24" t="s">
        <v>23</v>
      </c>
      <c r="G7" s="12">
        <v>19</v>
      </c>
      <c r="H7" s="88">
        <f t="shared" si="0"/>
        <v>0.14285714285714285</v>
      </c>
      <c r="I7" s="58">
        <v>12</v>
      </c>
      <c r="K7" s="74">
        <v>5</v>
      </c>
      <c r="L7" s="119">
        <v>123.69999999999999</v>
      </c>
      <c r="M7" s="117">
        <v>1522.0045352694053</v>
      </c>
      <c r="O7" s="75" t="s">
        <v>133</v>
      </c>
      <c r="P7" s="81">
        <f t="shared" si="1"/>
        <v>-887.23404255319144</v>
      </c>
      <c r="Q7" s="78">
        <v>47</v>
      </c>
      <c r="R7" s="65">
        <v>-41700</v>
      </c>
    </row>
    <row r="8" spans="1:18" x14ac:dyDescent="0.4">
      <c r="A8" s="19" t="s">
        <v>2</v>
      </c>
      <c r="B8" s="12">
        <v>19</v>
      </c>
      <c r="C8" s="6">
        <f t="shared" ref="C8:C15" si="2">IF(B$2=0,0,B8/B$2)</f>
        <v>0.22352941176470589</v>
      </c>
      <c r="E8" s="27" t="s">
        <v>69</v>
      </c>
      <c r="F8" s="24" t="s">
        <v>24</v>
      </c>
      <c r="G8" s="12">
        <v>17</v>
      </c>
      <c r="H8" s="88">
        <f t="shared" si="0"/>
        <v>0.12781954887218044</v>
      </c>
      <c r="I8" s="58">
        <v>9</v>
      </c>
      <c r="K8" s="74">
        <v>6</v>
      </c>
      <c r="L8" s="119">
        <v>125.19999999999999</v>
      </c>
      <c r="M8" s="117">
        <v>1522.1485080577888</v>
      </c>
      <c r="O8" s="107"/>
      <c r="P8" s="85"/>
      <c r="Q8" s="108"/>
      <c r="R8" s="70"/>
    </row>
    <row r="9" spans="1:18" x14ac:dyDescent="0.4">
      <c r="A9" s="19" t="s">
        <v>3</v>
      </c>
      <c r="B9" s="12">
        <v>29</v>
      </c>
      <c r="C9" s="6">
        <f t="shared" si="2"/>
        <v>0.3411764705882353</v>
      </c>
      <c r="E9" s="27" t="s">
        <v>89</v>
      </c>
      <c r="F9" s="24" t="s">
        <v>44</v>
      </c>
      <c r="G9" s="12">
        <v>11</v>
      </c>
      <c r="H9" s="88">
        <f t="shared" si="0"/>
        <v>8.2706766917293228E-2</v>
      </c>
      <c r="I9" s="58">
        <v>11</v>
      </c>
      <c r="K9" s="74">
        <v>7</v>
      </c>
      <c r="L9" s="119">
        <v>129</v>
      </c>
      <c r="M9" s="117">
        <v>1522.705617009442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37</v>
      </c>
      <c r="C10" s="7">
        <f t="shared" si="2"/>
        <v>0.43529411764705883</v>
      </c>
      <c r="E10" s="27" t="s">
        <v>70</v>
      </c>
      <c r="F10" s="24" t="s">
        <v>25</v>
      </c>
      <c r="G10" s="12">
        <v>10</v>
      </c>
      <c r="H10" s="88">
        <f t="shared" si="0"/>
        <v>7.5187969924812026E-2</v>
      </c>
      <c r="I10" s="58">
        <v>10</v>
      </c>
      <c r="K10" s="74">
        <v>8</v>
      </c>
      <c r="L10" s="119">
        <v>96.5</v>
      </c>
      <c r="M10" s="117">
        <v>1516.7253833073853</v>
      </c>
      <c r="O10" s="73" t="s">
        <v>152</v>
      </c>
      <c r="P10" s="82">
        <f>IF(Q10=0,0,R10/Q10)</f>
        <v>-8.5526315789473717</v>
      </c>
      <c r="Q10" s="76">
        <v>38</v>
      </c>
      <c r="R10" s="67">
        <v>-325.00000000000011</v>
      </c>
    </row>
    <row r="11" spans="1:18" x14ac:dyDescent="0.4">
      <c r="A11" s="20" t="s">
        <v>185</v>
      </c>
      <c r="B11" s="109">
        <f>IF(B8=0,0,C11/B8)</f>
        <v>32.073684210526309</v>
      </c>
      <c r="C11" s="110">
        <v>609.39999999999986</v>
      </c>
      <c r="E11" s="27" t="s">
        <v>71</v>
      </c>
      <c r="F11" s="24" t="s">
        <v>26</v>
      </c>
      <c r="G11" s="12">
        <v>7</v>
      </c>
      <c r="H11" s="88">
        <f t="shared" si="0"/>
        <v>5.2631578947368418E-2</v>
      </c>
      <c r="I11" s="58">
        <v>4</v>
      </c>
      <c r="K11" s="74">
        <v>9</v>
      </c>
      <c r="L11" s="119">
        <v>82.8</v>
      </c>
      <c r="M11" s="117">
        <v>1514.1650310075411</v>
      </c>
      <c r="O11" s="74" t="s">
        <v>153</v>
      </c>
      <c r="P11" s="83">
        <f>IF(Q11=0,0,R11/Q11)</f>
        <v>-5.708695652173911</v>
      </c>
      <c r="Q11" s="77">
        <v>23</v>
      </c>
      <c r="R11" s="68">
        <v>-131.29999999999995</v>
      </c>
    </row>
    <row r="12" spans="1:18" x14ac:dyDescent="0.4">
      <c r="A12" s="20" t="s">
        <v>186</v>
      </c>
      <c r="B12" s="109">
        <f>IF(B9=0,0,C12/B9)</f>
        <v>-3.0137931034482759</v>
      </c>
      <c r="C12" s="110">
        <v>-87.4</v>
      </c>
      <c r="E12" s="27" t="s">
        <v>78</v>
      </c>
      <c r="F12" s="24" t="s">
        <v>33</v>
      </c>
      <c r="G12" s="12">
        <v>5</v>
      </c>
      <c r="H12" s="88">
        <f t="shared" si="0"/>
        <v>3.7593984962406013E-2</v>
      </c>
      <c r="I12" s="58">
        <v>4</v>
      </c>
      <c r="K12" s="74">
        <v>10</v>
      </c>
      <c r="L12" s="119">
        <v>110.5</v>
      </c>
      <c r="M12" s="117">
        <v>1519.1200408214959</v>
      </c>
      <c r="O12" s="75" t="s">
        <v>154</v>
      </c>
      <c r="P12" s="84">
        <f>IF(Q12=0,0,R12/Q12)</f>
        <v>-4.2791666666666668</v>
      </c>
      <c r="Q12" s="78">
        <v>24</v>
      </c>
      <c r="R12" s="69">
        <v>-102.7</v>
      </c>
    </row>
    <row r="13" spans="1:18" x14ac:dyDescent="0.4">
      <c r="A13" s="20" t="s">
        <v>187</v>
      </c>
      <c r="B13" s="109">
        <f>IF(B10=0,0,C13/B10)</f>
        <v>-29.216216216216218</v>
      </c>
      <c r="C13" s="110">
        <v>-1081</v>
      </c>
      <c r="E13" s="27" t="s">
        <v>86</v>
      </c>
      <c r="F13" s="24" t="s">
        <v>41</v>
      </c>
      <c r="G13" s="12">
        <v>5</v>
      </c>
      <c r="H13" s="88">
        <f t="shared" si="0"/>
        <v>3.7593984962406013E-2</v>
      </c>
      <c r="I13" s="58">
        <v>12</v>
      </c>
      <c r="K13" s="74">
        <v>11</v>
      </c>
      <c r="L13" s="119">
        <v>71.599999999999994</v>
      </c>
      <c r="M13" s="117">
        <v>1512.0813205765669</v>
      </c>
      <c r="O13" s="103"/>
      <c r="P13" s="71"/>
      <c r="Q13" s="111"/>
      <c r="R13" s="71"/>
    </row>
    <row r="14" spans="1:18" x14ac:dyDescent="0.4">
      <c r="A14" s="20" t="s">
        <v>188</v>
      </c>
      <c r="B14" s="129">
        <f>AVERAGE(B11:B13)</f>
        <v>-5.2108369712727885E-2</v>
      </c>
      <c r="C14" s="130"/>
      <c r="E14" s="27" t="s">
        <v>81</v>
      </c>
      <c r="F14" s="24" t="s">
        <v>36</v>
      </c>
      <c r="G14" s="12">
        <v>4</v>
      </c>
      <c r="H14" s="88">
        <f t="shared" si="0"/>
        <v>3.007518796992481E-2</v>
      </c>
      <c r="I14" s="58">
        <v>6</v>
      </c>
      <c r="K14" s="74">
        <v>12</v>
      </c>
      <c r="L14" s="119">
        <v>33.599999999999994</v>
      </c>
      <c r="M14" s="117">
        <v>1505.2468326531075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16</v>
      </c>
      <c r="C15" s="9">
        <f t="shared" si="2"/>
        <v>0.18823529411764706</v>
      </c>
      <c r="E15" s="27" t="s">
        <v>79</v>
      </c>
      <c r="F15" s="24" t="s">
        <v>34</v>
      </c>
      <c r="G15" s="12">
        <v>3</v>
      </c>
      <c r="H15" s="88">
        <f t="shared" si="0"/>
        <v>2.2556390977443608E-2</v>
      </c>
      <c r="I15" s="58">
        <v>4</v>
      </c>
      <c r="K15" s="74">
        <v>13</v>
      </c>
      <c r="L15" s="119">
        <v>13.299999999999994</v>
      </c>
      <c r="M15" s="117">
        <v>1501.6393516571889</v>
      </c>
      <c r="O15" s="73" t="s">
        <v>191</v>
      </c>
      <c r="P15" s="82">
        <f t="shared" ref="P15:P21" si="3">IF(Q15=0,0,R15/Q15)</f>
        <v>26.95</v>
      </c>
      <c r="Q15" s="76">
        <v>6</v>
      </c>
      <c r="R15" s="67">
        <v>161.69999999999999</v>
      </c>
    </row>
    <row r="16" spans="1:18" x14ac:dyDescent="0.4">
      <c r="A16" s="22" t="s">
        <v>121</v>
      </c>
      <c r="B16" s="15">
        <v>131</v>
      </c>
      <c r="C16" s="10">
        <f>IF(B$51=0,0,B16/B$51)</f>
        <v>0.27291666666666664</v>
      </c>
      <c r="E16" s="27" t="s">
        <v>83</v>
      </c>
      <c r="F16" s="24" t="s">
        <v>38</v>
      </c>
      <c r="G16" s="12">
        <v>2</v>
      </c>
      <c r="H16" s="88">
        <f t="shared" si="0"/>
        <v>1.5037593984962405E-2</v>
      </c>
      <c r="I16" s="58">
        <v>11</v>
      </c>
      <c r="K16" s="74">
        <v>14</v>
      </c>
      <c r="L16" s="119">
        <v>4.7999999999999936</v>
      </c>
      <c r="M16" s="117">
        <v>1500.1775155472458</v>
      </c>
      <c r="O16" s="74" t="s">
        <v>193</v>
      </c>
      <c r="P16" s="83">
        <f t="shared" si="3"/>
        <v>6.7891891891891882</v>
      </c>
      <c r="Q16" s="77">
        <v>37</v>
      </c>
      <c r="R16" s="68">
        <v>251.19999999999996</v>
      </c>
    </row>
    <row r="17" spans="1:18" x14ac:dyDescent="0.4">
      <c r="A17" s="19" t="s">
        <v>118</v>
      </c>
      <c r="B17" s="12">
        <v>136</v>
      </c>
      <c r="C17" s="6">
        <f>IF(B$51=0,0,B17/B$51)</f>
        <v>0.28333333333333333</v>
      </c>
      <c r="E17" s="27" t="s">
        <v>75</v>
      </c>
      <c r="F17" s="24" t="s">
        <v>30</v>
      </c>
      <c r="G17" s="12">
        <v>1</v>
      </c>
      <c r="H17" s="88">
        <f t="shared" si="0"/>
        <v>7.5187969924812026E-3</v>
      </c>
      <c r="I17" s="58">
        <v>2</v>
      </c>
      <c r="K17" s="74">
        <v>15</v>
      </c>
      <c r="L17" s="119">
        <v>-33.700000000000003</v>
      </c>
      <c r="M17" s="117">
        <v>1493.3244504539623</v>
      </c>
      <c r="O17" s="74" t="s">
        <v>164</v>
      </c>
      <c r="P17" s="83">
        <f t="shared" si="3"/>
        <v>-0.35263157894736707</v>
      </c>
      <c r="Q17" s="77">
        <v>19</v>
      </c>
      <c r="R17" s="68">
        <v>-6.6999999999999744</v>
      </c>
    </row>
    <row r="18" spans="1:18" x14ac:dyDescent="0.4">
      <c r="A18" s="18" t="s">
        <v>123</v>
      </c>
      <c r="B18" s="11">
        <f>B24</f>
        <v>63</v>
      </c>
      <c r="C18" s="5">
        <f>IF(B$16=0,0,B18/B$16)</f>
        <v>0.48091603053435117</v>
      </c>
      <c r="E18" s="27" t="s">
        <v>77</v>
      </c>
      <c r="F18" s="24" t="s">
        <v>32</v>
      </c>
      <c r="G18" s="12">
        <v>1</v>
      </c>
      <c r="H18" s="88">
        <f t="shared" si="0"/>
        <v>7.5187969924812026E-3</v>
      </c>
      <c r="I18" s="58">
        <v>3</v>
      </c>
      <c r="K18" s="74">
        <v>16</v>
      </c>
      <c r="L18" s="119">
        <v>-45.300000000000004</v>
      </c>
      <c r="M18" s="117">
        <v>1491.3545037512386</v>
      </c>
      <c r="O18" s="74" t="s">
        <v>211</v>
      </c>
      <c r="P18" s="83">
        <f t="shared" si="3"/>
        <v>-16.333333333333332</v>
      </c>
      <c r="Q18" s="77">
        <v>3</v>
      </c>
      <c r="R18" s="68">
        <v>-49</v>
      </c>
    </row>
    <row r="19" spans="1:18" x14ac:dyDescent="0.4">
      <c r="A19" s="18" t="s">
        <v>124</v>
      </c>
      <c r="B19" s="11">
        <f>B25</f>
        <v>50</v>
      </c>
      <c r="C19" s="5">
        <f>IF(B$17=0,0,B19/B$17)</f>
        <v>0.36764705882352944</v>
      </c>
      <c r="E19" s="27" t="s">
        <v>73</v>
      </c>
      <c r="F19" s="24" t="s">
        <v>28</v>
      </c>
      <c r="G19" s="12">
        <v>0</v>
      </c>
      <c r="H19" s="88">
        <f t="shared" si="0"/>
        <v>0</v>
      </c>
      <c r="I19" s="58">
        <v>7</v>
      </c>
      <c r="K19" s="74">
        <v>17</v>
      </c>
      <c r="L19" s="119">
        <v>-45.000000000000007</v>
      </c>
      <c r="M19" s="117">
        <v>1491.538376728731</v>
      </c>
      <c r="O19" s="74" t="s">
        <v>126</v>
      </c>
      <c r="P19" s="83">
        <f t="shared" si="3"/>
        <v>-17.172058823529412</v>
      </c>
      <c r="Q19" s="77">
        <v>68</v>
      </c>
      <c r="R19" s="68">
        <v>-1167.7</v>
      </c>
    </row>
    <row r="20" spans="1:18" x14ac:dyDescent="0.4">
      <c r="A20" s="18" t="s">
        <v>10</v>
      </c>
      <c r="B20" s="11">
        <f>B23+B22</f>
        <v>184</v>
      </c>
      <c r="C20" s="5">
        <f>IF(B$3=0,0,B20/B$3)</f>
        <v>0.27878787878787881</v>
      </c>
      <c r="E20" s="27" t="s">
        <v>74</v>
      </c>
      <c r="F20" s="24" t="s">
        <v>29</v>
      </c>
      <c r="G20" s="12">
        <v>0</v>
      </c>
      <c r="H20" s="88">
        <f t="shared" si="0"/>
        <v>0</v>
      </c>
      <c r="I20" s="58">
        <v>6</v>
      </c>
      <c r="K20" s="74">
        <v>18</v>
      </c>
      <c r="L20" s="119">
        <v>-30.300000000000008</v>
      </c>
      <c r="M20" s="117">
        <v>1494.3131464683586</v>
      </c>
      <c r="O20" s="74" t="s">
        <v>195</v>
      </c>
      <c r="P20" s="83">
        <f t="shared" si="3"/>
        <v>-22.345454545454551</v>
      </c>
      <c r="Q20" s="77">
        <v>22</v>
      </c>
      <c r="R20" s="68">
        <v>-491.60000000000014</v>
      </c>
    </row>
    <row r="21" spans="1:18" x14ac:dyDescent="0.4">
      <c r="A21" s="19" t="s">
        <v>13</v>
      </c>
      <c r="B21" s="12">
        <v>126</v>
      </c>
      <c r="C21" s="6">
        <f>IF(B$3=0,0,B21/B$3)</f>
        <v>0.19090909090909092</v>
      </c>
      <c r="E21" s="27" t="s">
        <v>76</v>
      </c>
      <c r="F21" s="24" t="s">
        <v>31</v>
      </c>
      <c r="G21" s="12">
        <v>0</v>
      </c>
      <c r="H21" s="88">
        <f t="shared" si="0"/>
        <v>0</v>
      </c>
      <c r="I21" s="58">
        <v>1</v>
      </c>
      <c r="K21" s="74">
        <v>19</v>
      </c>
      <c r="L21" s="119">
        <v>17.699999999999992</v>
      </c>
      <c r="M21" s="117">
        <v>1503.0652675895485</v>
      </c>
      <c r="O21" s="74" t="s">
        <v>223</v>
      </c>
      <c r="P21" s="83">
        <f t="shared" si="3"/>
        <v>-24.993333333333332</v>
      </c>
      <c r="Q21" s="77">
        <v>15</v>
      </c>
      <c r="R21" s="68">
        <v>-374.9</v>
      </c>
    </row>
    <row r="22" spans="1:18" x14ac:dyDescent="0.4">
      <c r="A22" s="19" t="s">
        <v>12</v>
      </c>
      <c r="B22" s="12">
        <v>88</v>
      </c>
      <c r="C22" s="6">
        <f>IF(B$20=0,0,B22/B$20)</f>
        <v>0.47826086956521741</v>
      </c>
      <c r="E22" s="27" t="s">
        <v>80</v>
      </c>
      <c r="F22" s="24" t="s">
        <v>35</v>
      </c>
      <c r="G22" s="12">
        <v>0</v>
      </c>
      <c r="H22" s="88">
        <f t="shared" si="0"/>
        <v>0</v>
      </c>
      <c r="I22" s="58">
        <v>3</v>
      </c>
      <c r="K22" s="74">
        <v>20</v>
      </c>
      <c r="L22" s="119">
        <v>-24.100000000000005</v>
      </c>
      <c r="M22" s="117">
        <v>1495.6008759840113</v>
      </c>
    </row>
    <row r="23" spans="1:18" x14ac:dyDescent="0.4">
      <c r="A23" s="19" t="s">
        <v>11</v>
      </c>
      <c r="B23" s="12">
        <v>96</v>
      </c>
      <c r="C23" s="6">
        <f>IF(B$20=0,0,B23/B$20)</f>
        <v>0.52173913043478259</v>
      </c>
      <c r="E23" s="27" t="s">
        <v>82</v>
      </c>
      <c r="F23" s="24" t="s">
        <v>37</v>
      </c>
      <c r="G23" s="12">
        <v>0</v>
      </c>
      <c r="H23" s="88">
        <f t="shared" si="0"/>
        <v>0</v>
      </c>
      <c r="I23" s="58">
        <v>1</v>
      </c>
      <c r="K23" s="74">
        <v>21</v>
      </c>
      <c r="L23" s="119">
        <v>-29.600000000000005</v>
      </c>
      <c r="M23" s="117">
        <v>1494.7152707281073</v>
      </c>
    </row>
    <row r="24" spans="1:18" x14ac:dyDescent="0.4">
      <c r="A24" s="19" t="s">
        <v>184</v>
      </c>
      <c r="B24" s="12">
        <v>63</v>
      </c>
      <c r="C24" s="6">
        <f>IF(B$20=0,0,B24/B$20)</f>
        <v>0.34239130434782611</v>
      </c>
      <c r="E24" s="27" t="s">
        <v>84</v>
      </c>
      <c r="F24" s="24" t="s">
        <v>39</v>
      </c>
      <c r="G24" s="12">
        <v>0</v>
      </c>
      <c r="H24" s="88">
        <f t="shared" si="0"/>
        <v>0</v>
      </c>
      <c r="I24" s="58">
        <v>5</v>
      </c>
      <c r="K24" s="74">
        <v>22</v>
      </c>
      <c r="L24" s="119">
        <v>-4.7000000000000064</v>
      </c>
      <c r="M24" s="117">
        <v>1499.3069791037387</v>
      </c>
    </row>
    <row r="25" spans="1:18" x14ac:dyDescent="0.4">
      <c r="A25" s="19" t="s">
        <v>182</v>
      </c>
      <c r="B25" s="12">
        <v>50</v>
      </c>
      <c r="C25" s="6">
        <f>IF(B$20=0,0,B25/B$20)</f>
        <v>0.27173913043478259</v>
      </c>
      <c r="E25" s="27" t="s">
        <v>85</v>
      </c>
      <c r="F25" s="24" t="s">
        <v>40</v>
      </c>
      <c r="G25" s="12">
        <v>0</v>
      </c>
      <c r="H25" s="88">
        <f t="shared" si="0"/>
        <v>0</v>
      </c>
      <c r="I25" s="58">
        <v>6</v>
      </c>
      <c r="K25" s="74">
        <v>23</v>
      </c>
      <c r="L25" s="119">
        <v>-18.600000000000009</v>
      </c>
      <c r="M25" s="117">
        <v>1496.8511372291164</v>
      </c>
    </row>
    <row r="26" spans="1:18" x14ac:dyDescent="0.4">
      <c r="A26" s="19" t="s">
        <v>183</v>
      </c>
      <c r="B26" s="12">
        <v>71</v>
      </c>
      <c r="C26" s="6">
        <f>IF(B$20=0,0,B26/B$20)</f>
        <v>0.3858695652173913</v>
      </c>
      <c r="E26" s="27" t="s">
        <v>87</v>
      </c>
      <c r="F26" s="24" t="s">
        <v>42</v>
      </c>
      <c r="G26" s="12">
        <v>0</v>
      </c>
      <c r="H26" s="88">
        <f t="shared" si="0"/>
        <v>0</v>
      </c>
      <c r="I26" s="58">
        <v>5</v>
      </c>
      <c r="K26" s="74">
        <v>24</v>
      </c>
      <c r="L26" s="119">
        <v>-26.900000000000009</v>
      </c>
      <c r="M26" s="117">
        <v>1495.4180304057418</v>
      </c>
    </row>
    <row r="27" spans="1:18" x14ac:dyDescent="0.4">
      <c r="A27" s="19" t="s">
        <v>5</v>
      </c>
      <c r="B27" s="16">
        <f>IF(B$20=0,0,C27/B$20)</f>
        <v>8946.1956521739139</v>
      </c>
      <c r="C27" s="8">
        <v>1646100</v>
      </c>
      <c r="E27" s="27" t="s">
        <v>88</v>
      </c>
      <c r="F27" s="24" t="s">
        <v>43</v>
      </c>
      <c r="G27" s="12">
        <v>0</v>
      </c>
      <c r="H27" s="88">
        <f t="shared" si="0"/>
        <v>0</v>
      </c>
      <c r="I27" s="58">
        <v>3</v>
      </c>
      <c r="K27" s="74">
        <v>25</v>
      </c>
      <c r="L27" s="119">
        <v>-37.900000000000006</v>
      </c>
      <c r="M27" s="117">
        <v>1493.4235222233074</v>
      </c>
    </row>
    <row r="28" spans="1:18" x14ac:dyDescent="0.4">
      <c r="A28" s="20" t="s">
        <v>166</v>
      </c>
      <c r="B28" s="95">
        <f>IF($B$20-B$19=0,0,C28/($B$20-B$19))</f>
        <v>10073.134328358208</v>
      </c>
      <c r="C28" s="96">
        <v>1349800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>
        <v>4</v>
      </c>
      <c r="K28" s="74">
        <v>26</v>
      </c>
      <c r="L28" s="119">
        <v>-59.800000000000004</v>
      </c>
      <c r="M28" s="117">
        <v>1489.3529810899674</v>
      </c>
    </row>
    <row r="29" spans="1:18" x14ac:dyDescent="0.4">
      <c r="A29" s="20" t="s">
        <v>167</v>
      </c>
      <c r="B29" s="95">
        <f>IF(B$19=0,0,C29/B$19)</f>
        <v>5926</v>
      </c>
      <c r="C29" s="96">
        <v>296300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>
        <v>10</v>
      </c>
      <c r="K29" s="74">
        <v>27</v>
      </c>
      <c r="L29" s="119">
        <v>-53.7</v>
      </c>
      <c r="M29" s="117">
        <v>1490.4968632034277</v>
      </c>
    </row>
    <row r="30" spans="1:18" x14ac:dyDescent="0.4">
      <c r="A30" s="20" t="s">
        <v>165</v>
      </c>
      <c r="B30" s="95">
        <f>IF(B$21=0,0,C30/B$21)</f>
        <v>-9651.5873015873021</v>
      </c>
      <c r="C30" s="96">
        <v>-1216100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>
        <v>7</v>
      </c>
      <c r="K30" s="74">
        <v>28</v>
      </c>
      <c r="L30" s="119">
        <v>-53.1</v>
      </c>
      <c r="M30" s="117">
        <v>1490.679882024207</v>
      </c>
    </row>
    <row r="31" spans="1:18" x14ac:dyDescent="0.4">
      <c r="A31" s="19" t="s">
        <v>158</v>
      </c>
      <c r="B31" s="12">
        <v>4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>
        <v>6</v>
      </c>
      <c r="K31" s="74">
        <v>29</v>
      </c>
      <c r="L31" s="119">
        <v>-12.899999999999999</v>
      </c>
      <c r="M31" s="117">
        <v>1497.8818027320617</v>
      </c>
    </row>
    <row r="32" spans="1:18" x14ac:dyDescent="0.4">
      <c r="A32" s="19" t="s">
        <v>159</v>
      </c>
      <c r="B32" s="12">
        <v>26</v>
      </c>
      <c r="C32" s="90">
        <v>4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>
        <v>1</v>
      </c>
      <c r="K32" s="74">
        <v>30</v>
      </c>
      <c r="L32" s="119">
        <v>-48.6</v>
      </c>
      <c r="M32" s="117">
        <v>1491.4685119156693</v>
      </c>
    </row>
    <row r="33" spans="1:13" x14ac:dyDescent="0.4">
      <c r="A33" s="54" t="s">
        <v>136</v>
      </c>
      <c r="B33" s="131">
        <v>6</v>
      </c>
      <c r="C33" s="132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>
        <v>3</v>
      </c>
      <c r="K33" s="74">
        <v>31</v>
      </c>
      <c r="L33" s="119">
        <v>-64.599999999999994</v>
      </c>
      <c r="M33" s="117">
        <v>1488.5257008441754</v>
      </c>
    </row>
    <row r="34" spans="1:13" x14ac:dyDescent="0.4">
      <c r="A34" s="22" t="s">
        <v>181</v>
      </c>
      <c r="B34" s="133">
        <v>103200</v>
      </c>
      <c r="C34" s="134"/>
      <c r="E34" s="27" t="s">
        <v>96</v>
      </c>
      <c r="F34" s="24" t="s">
        <v>51</v>
      </c>
      <c r="G34" s="12">
        <v>0</v>
      </c>
      <c r="H34" s="88">
        <f t="shared" ref="H34:H52" si="4">IF(B$52=0,0,G34/B$52)</f>
        <v>0</v>
      </c>
      <c r="I34" s="58">
        <v>1</v>
      </c>
      <c r="K34" s="74">
        <v>32</v>
      </c>
      <c r="L34" s="119">
        <v>-70.399999999999991</v>
      </c>
      <c r="M34" s="117">
        <v>1487.6645466391103</v>
      </c>
    </row>
    <row r="35" spans="1:13" x14ac:dyDescent="0.4">
      <c r="A35" s="21" t="s">
        <v>137</v>
      </c>
      <c r="B35" s="29">
        <v>2</v>
      </c>
      <c r="C35" s="9">
        <f>IF(B$3=0,0,B35/B$3)</f>
        <v>3.0303030303030303E-3</v>
      </c>
      <c r="E35" s="27" t="s">
        <v>97</v>
      </c>
      <c r="F35" s="24" t="s">
        <v>52</v>
      </c>
      <c r="G35" s="12">
        <v>0</v>
      </c>
      <c r="H35" s="88">
        <f t="shared" si="4"/>
        <v>0</v>
      </c>
      <c r="I35" s="58">
        <v>1</v>
      </c>
      <c r="K35" s="74">
        <v>33</v>
      </c>
      <c r="L35" s="119">
        <v>-122.29999999999998</v>
      </c>
      <c r="M35" s="117">
        <v>1478.4205593592756</v>
      </c>
    </row>
    <row r="36" spans="1:13" x14ac:dyDescent="0.4">
      <c r="E36" s="27" t="s">
        <v>98</v>
      </c>
      <c r="F36" s="24" t="s">
        <v>53</v>
      </c>
      <c r="G36" s="12">
        <v>0</v>
      </c>
      <c r="H36" s="88">
        <f t="shared" si="4"/>
        <v>0</v>
      </c>
      <c r="I36" s="58">
        <v>1</v>
      </c>
      <c r="K36" s="74">
        <v>34</v>
      </c>
      <c r="L36" s="119">
        <v>-134.29999999999998</v>
      </c>
      <c r="M36" s="117">
        <v>1476.4140360031199</v>
      </c>
    </row>
    <row r="37" spans="1:13" x14ac:dyDescent="0.4">
      <c r="A37" s="54" t="s">
        <v>172</v>
      </c>
      <c r="B37" s="122">
        <v>6</v>
      </c>
      <c r="C37" s="98">
        <f t="shared" ref="C37:C49" si="5">IF(B$20=0,0,B37/B$20)</f>
        <v>3.2608695652173912E-2</v>
      </c>
      <c r="E37" s="27" t="s">
        <v>99</v>
      </c>
      <c r="F37" s="24" t="s">
        <v>54</v>
      </c>
      <c r="G37" s="12">
        <v>0</v>
      </c>
      <c r="H37" s="88">
        <f t="shared" si="4"/>
        <v>0</v>
      </c>
      <c r="I37" s="58">
        <v>1</v>
      </c>
      <c r="K37" s="74">
        <v>35</v>
      </c>
      <c r="L37" s="119">
        <v>-100.89999999999998</v>
      </c>
      <c r="M37" s="117">
        <v>1482.5975517871011</v>
      </c>
    </row>
    <row r="38" spans="1:13" x14ac:dyDescent="0.4">
      <c r="A38" s="19" t="s">
        <v>168</v>
      </c>
      <c r="B38" s="12">
        <v>25</v>
      </c>
      <c r="C38" s="6">
        <f t="shared" si="5"/>
        <v>0.1358695652173913</v>
      </c>
      <c r="E38" s="27" t="s">
        <v>100</v>
      </c>
      <c r="F38" s="24" t="s">
        <v>55</v>
      </c>
      <c r="G38" s="12">
        <v>0</v>
      </c>
      <c r="H38" s="88">
        <f t="shared" si="4"/>
        <v>0</v>
      </c>
      <c r="I38" s="58">
        <v>1</v>
      </c>
      <c r="K38" s="74">
        <v>36</v>
      </c>
      <c r="L38" s="119">
        <v>-106.49999999999997</v>
      </c>
      <c r="M38" s="117">
        <v>1481.7239664763786</v>
      </c>
    </row>
    <row r="39" spans="1:13" x14ac:dyDescent="0.4">
      <c r="A39" s="19" t="s">
        <v>169</v>
      </c>
      <c r="B39" s="123">
        <v>20</v>
      </c>
      <c r="C39" s="6">
        <f t="shared" si="5"/>
        <v>0.10869565217391304</v>
      </c>
      <c r="E39" s="27" t="s">
        <v>101</v>
      </c>
      <c r="F39" s="24" t="s">
        <v>56</v>
      </c>
      <c r="G39" s="12">
        <v>0</v>
      </c>
      <c r="H39" s="88">
        <f t="shared" si="4"/>
        <v>0</v>
      </c>
      <c r="I39" s="58">
        <v>1</v>
      </c>
      <c r="K39" s="74">
        <v>37</v>
      </c>
      <c r="L39" s="119">
        <v>-133.49999999999997</v>
      </c>
      <c r="M39" s="117">
        <v>1477.1536226775204</v>
      </c>
    </row>
    <row r="40" spans="1:13" x14ac:dyDescent="0.4">
      <c r="A40" s="19" t="s">
        <v>170</v>
      </c>
      <c r="B40" s="123">
        <v>38</v>
      </c>
      <c r="C40" s="6">
        <f t="shared" si="5"/>
        <v>0.20652173913043478</v>
      </c>
      <c r="E40" s="27" t="s">
        <v>102</v>
      </c>
      <c r="F40" s="24" t="s">
        <v>57</v>
      </c>
      <c r="G40" s="12">
        <v>0</v>
      </c>
      <c r="H40" s="88">
        <f t="shared" si="4"/>
        <v>0</v>
      </c>
      <c r="I40" s="58">
        <v>1</v>
      </c>
      <c r="K40" s="74">
        <v>38</v>
      </c>
      <c r="L40" s="119">
        <v>-128.29999999999998</v>
      </c>
      <c r="M40" s="117">
        <v>1478.4187009414552</v>
      </c>
    </row>
    <row r="41" spans="1:13" x14ac:dyDescent="0.4">
      <c r="A41" s="19" t="s">
        <v>171</v>
      </c>
      <c r="B41" s="123">
        <v>23</v>
      </c>
      <c r="C41" s="6">
        <f t="shared" si="5"/>
        <v>0.125</v>
      </c>
      <c r="E41" s="27" t="s">
        <v>103</v>
      </c>
      <c r="F41" s="24" t="s">
        <v>58</v>
      </c>
      <c r="G41" s="12">
        <v>0</v>
      </c>
      <c r="H41" s="88">
        <f t="shared" si="4"/>
        <v>0</v>
      </c>
      <c r="I41" s="58">
        <v>1</v>
      </c>
      <c r="K41" s="74">
        <v>39</v>
      </c>
      <c r="L41" s="119">
        <v>-135.99999999999997</v>
      </c>
      <c r="M41" s="117">
        <v>1477.3481887358064</v>
      </c>
    </row>
    <row r="42" spans="1:13" x14ac:dyDescent="0.4">
      <c r="A42" s="19" t="s">
        <v>173</v>
      </c>
      <c r="B42" s="123">
        <v>11</v>
      </c>
      <c r="C42" s="6">
        <f t="shared" si="5"/>
        <v>5.9782608695652176E-2</v>
      </c>
      <c r="E42" s="27" t="s">
        <v>104</v>
      </c>
      <c r="F42" s="24" t="s">
        <v>59</v>
      </c>
      <c r="G42" s="12">
        <v>0</v>
      </c>
      <c r="H42" s="88">
        <f t="shared" si="4"/>
        <v>0</v>
      </c>
      <c r="I42" s="58">
        <v>1</v>
      </c>
      <c r="K42" s="74">
        <v>40</v>
      </c>
      <c r="L42" s="119">
        <v>-150.99999999999997</v>
      </c>
      <c r="M42" s="117">
        <v>1474.9400996033914</v>
      </c>
    </row>
    <row r="43" spans="1:13" x14ac:dyDescent="0.4">
      <c r="A43" s="19" t="s">
        <v>174</v>
      </c>
      <c r="B43" s="123">
        <v>4</v>
      </c>
      <c r="C43" s="6">
        <f t="shared" si="5"/>
        <v>2.1739130434782608E-2</v>
      </c>
      <c r="E43" s="27" t="s">
        <v>105</v>
      </c>
      <c r="F43" s="24" t="s">
        <v>112</v>
      </c>
      <c r="G43" s="12">
        <v>0</v>
      </c>
      <c r="H43" s="88">
        <f t="shared" si="4"/>
        <v>0</v>
      </c>
      <c r="I43" s="58">
        <v>1</v>
      </c>
      <c r="K43" s="74">
        <v>41</v>
      </c>
      <c r="L43" s="119">
        <v>-201.59999999999997</v>
      </c>
      <c r="M43" s="117">
        <v>1465.9584590057711</v>
      </c>
    </row>
    <row r="44" spans="1:13" x14ac:dyDescent="0.4">
      <c r="A44" s="19" t="s">
        <v>175</v>
      </c>
      <c r="B44" s="123">
        <v>4</v>
      </c>
      <c r="C44" s="6">
        <f t="shared" si="5"/>
        <v>2.1739130434782608E-2</v>
      </c>
      <c r="E44" s="27" t="s">
        <v>106</v>
      </c>
      <c r="F44" s="24" t="s">
        <v>113</v>
      </c>
      <c r="G44" s="12">
        <v>0</v>
      </c>
      <c r="H44" s="88">
        <f t="shared" si="4"/>
        <v>0</v>
      </c>
      <c r="I44" s="58">
        <v>3</v>
      </c>
      <c r="K44" s="74">
        <v>42</v>
      </c>
      <c r="L44" s="119">
        <v>-196.79999999999995</v>
      </c>
      <c r="M44" s="117">
        <v>1466.7507082517366</v>
      </c>
    </row>
    <row r="45" spans="1:13" x14ac:dyDescent="0.4">
      <c r="A45" s="19" t="s">
        <v>176</v>
      </c>
      <c r="B45" s="123">
        <v>2</v>
      </c>
      <c r="C45" s="6">
        <f t="shared" si="5"/>
        <v>1.0869565217391304E-2</v>
      </c>
      <c r="E45" s="27" t="s">
        <v>107</v>
      </c>
      <c r="F45" s="24" t="s">
        <v>114</v>
      </c>
      <c r="G45" s="12">
        <v>0</v>
      </c>
      <c r="H45" s="88">
        <f t="shared" si="4"/>
        <v>0</v>
      </c>
      <c r="I45" s="58">
        <v>1</v>
      </c>
      <c r="K45" s="74">
        <v>43</v>
      </c>
      <c r="L45" s="119">
        <v>-242.29999999999995</v>
      </c>
      <c r="M45" s="117">
        <v>1458.7602040022261</v>
      </c>
    </row>
    <row r="46" spans="1:13" x14ac:dyDescent="0.4">
      <c r="A46" s="19" t="s">
        <v>177</v>
      </c>
      <c r="B46" s="123">
        <v>0</v>
      </c>
      <c r="C46" s="6">
        <f t="shared" si="5"/>
        <v>0</v>
      </c>
      <c r="E46" s="27" t="s">
        <v>108</v>
      </c>
      <c r="F46" s="24" t="s">
        <v>60</v>
      </c>
      <c r="G46" s="12">
        <v>0</v>
      </c>
      <c r="H46" s="88">
        <f t="shared" si="4"/>
        <v>0</v>
      </c>
      <c r="I46" s="58">
        <v>1</v>
      </c>
      <c r="K46" s="74">
        <v>44</v>
      </c>
      <c r="L46" s="119">
        <v>-243.39999999999995</v>
      </c>
      <c r="M46" s="117">
        <v>1458.8156427782128</v>
      </c>
    </row>
    <row r="47" spans="1:13" x14ac:dyDescent="0.4">
      <c r="A47" s="19" t="s">
        <v>178</v>
      </c>
      <c r="B47" s="123">
        <v>0</v>
      </c>
      <c r="C47" s="6">
        <f t="shared" si="5"/>
        <v>0</v>
      </c>
      <c r="E47" s="27" t="s">
        <v>109</v>
      </c>
      <c r="F47" s="24" t="s">
        <v>61</v>
      </c>
      <c r="G47" s="12">
        <v>0</v>
      </c>
      <c r="H47" s="88">
        <f t="shared" si="4"/>
        <v>0</v>
      </c>
      <c r="I47" s="58">
        <v>1</v>
      </c>
      <c r="K47" s="74">
        <v>45</v>
      </c>
      <c r="L47" s="119">
        <v>-280.59999999999997</v>
      </c>
      <c r="M47" s="117">
        <v>1452.3727489215435</v>
      </c>
    </row>
    <row r="48" spans="1:13" x14ac:dyDescent="0.4">
      <c r="A48" s="19" t="s">
        <v>179</v>
      </c>
      <c r="B48" s="123">
        <v>0</v>
      </c>
      <c r="C48" s="6">
        <f t="shared" si="5"/>
        <v>0</v>
      </c>
      <c r="E48" s="27" t="s">
        <v>110</v>
      </c>
      <c r="F48" s="24" t="s">
        <v>62</v>
      </c>
      <c r="G48" s="12">
        <v>0</v>
      </c>
      <c r="H48" s="88">
        <f t="shared" si="4"/>
        <v>0</v>
      </c>
      <c r="I48" s="58">
        <v>1</v>
      </c>
      <c r="K48" s="74">
        <v>46</v>
      </c>
      <c r="L48" s="119">
        <v>-321.89999999999998</v>
      </c>
      <c r="M48" s="117">
        <v>1445.2305124280142</v>
      </c>
    </row>
    <row r="49" spans="1:13" x14ac:dyDescent="0.4">
      <c r="A49" s="21" t="s">
        <v>180</v>
      </c>
      <c r="B49" s="97">
        <v>0</v>
      </c>
      <c r="C49" s="9">
        <f t="shared" si="5"/>
        <v>0</v>
      </c>
      <c r="E49" s="27" t="s">
        <v>111</v>
      </c>
      <c r="F49" s="24" t="s">
        <v>63</v>
      </c>
      <c r="G49" s="12">
        <v>0</v>
      </c>
      <c r="H49" s="88">
        <f t="shared" si="4"/>
        <v>0</v>
      </c>
      <c r="I49" s="58">
        <v>1</v>
      </c>
      <c r="K49" s="74">
        <v>47</v>
      </c>
      <c r="L49" s="119">
        <v>-326.09999999999997</v>
      </c>
      <c r="M49" s="117">
        <v>1444.9891293534461</v>
      </c>
    </row>
    <row r="50" spans="1:13" x14ac:dyDescent="0.4">
      <c r="E50" s="27" t="s">
        <v>156</v>
      </c>
      <c r="F50" s="24" t="s">
        <v>157</v>
      </c>
      <c r="G50" s="12">
        <v>0</v>
      </c>
      <c r="H50" s="88">
        <f t="shared" si="4"/>
        <v>0</v>
      </c>
      <c r="I50" s="58">
        <v>1</v>
      </c>
      <c r="K50" s="74">
        <v>48</v>
      </c>
      <c r="L50" s="119">
        <v>-386.4</v>
      </c>
      <c r="M50" s="117">
        <v>1434.6151945773254</v>
      </c>
    </row>
    <row r="51" spans="1:13" x14ac:dyDescent="0.4">
      <c r="A51" s="54" t="s">
        <v>206</v>
      </c>
      <c r="B51" s="125">
        <v>480</v>
      </c>
      <c r="C51" s="126"/>
      <c r="E51" s="91" t="s">
        <v>160</v>
      </c>
      <c r="F51" s="92" t="s">
        <v>161</v>
      </c>
      <c r="G51" s="13">
        <v>0</v>
      </c>
      <c r="H51" s="93">
        <f t="shared" si="4"/>
        <v>0</v>
      </c>
      <c r="I51" s="94">
        <v>1</v>
      </c>
      <c r="K51" s="74">
        <v>49</v>
      </c>
      <c r="L51" s="119">
        <v>-402.29999999999995</v>
      </c>
      <c r="M51" s="117">
        <v>1432.3195034098615</v>
      </c>
    </row>
    <row r="52" spans="1:13" x14ac:dyDescent="0.4">
      <c r="A52" s="21" t="s">
        <v>207</v>
      </c>
      <c r="B52" s="127">
        <v>133</v>
      </c>
      <c r="C52" s="128"/>
      <c r="E52" s="28" t="s">
        <v>162</v>
      </c>
      <c r="F52" s="25" t="s">
        <v>163</v>
      </c>
      <c r="G52" s="14">
        <v>0</v>
      </c>
      <c r="H52" s="89">
        <f t="shared" si="4"/>
        <v>0</v>
      </c>
      <c r="I52" s="59">
        <v>1</v>
      </c>
      <c r="K52" s="74">
        <v>50</v>
      </c>
      <c r="L52" s="119">
        <v>-396.29999999999995</v>
      </c>
      <c r="M52" s="117">
        <v>1433.6135863894024</v>
      </c>
    </row>
    <row r="53" spans="1:13" x14ac:dyDescent="0.4">
      <c r="K53" s="74">
        <v>51</v>
      </c>
      <c r="L53" s="119">
        <v>-417.29999999999995</v>
      </c>
      <c r="M53" s="117">
        <v>1430.3939048710661</v>
      </c>
    </row>
    <row r="54" spans="1:13" x14ac:dyDescent="0.4">
      <c r="K54" s="74">
        <v>52</v>
      </c>
      <c r="L54" s="119">
        <v>-421.29999999999995</v>
      </c>
      <c r="M54" s="117">
        <v>1430.3315414418396</v>
      </c>
    </row>
    <row r="55" spans="1:13" x14ac:dyDescent="0.4">
      <c r="K55" s="74">
        <v>53</v>
      </c>
      <c r="L55" s="119">
        <v>-451.69999999999993</v>
      </c>
      <c r="M55" s="117">
        <v>1425.3555521931885</v>
      </c>
    </row>
    <row r="56" spans="1:13" x14ac:dyDescent="0.4">
      <c r="K56" s="74">
        <v>54</v>
      </c>
      <c r="L56" s="119">
        <v>-445.09999999999991</v>
      </c>
      <c r="M56" s="117">
        <v>1427.0814188800293</v>
      </c>
    </row>
    <row r="57" spans="1:13" x14ac:dyDescent="0.4">
      <c r="K57" s="74">
        <v>55</v>
      </c>
      <c r="L57" s="119">
        <v>-465.59999999999991</v>
      </c>
      <c r="M57" s="117">
        <v>1423.6849303667491</v>
      </c>
    </row>
    <row r="58" spans="1:13" x14ac:dyDescent="0.4">
      <c r="K58" s="74">
        <v>56</v>
      </c>
      <c r="L58" s="119">
        <v>-502.59999999999991</v>
      </c>
      <c r="M58" s="117">
        <v>1417.7408207845485</v>
      </c>
    </row>
    <row r="59" spans="1:13" x14ac:dyDescent="0.4">
      <c r="K59" s="74">
        <v>57</v>
      </c>
      <c r="L59" s="119">
        <v>-533.29999999999995</v>
      </c>
      <c r="M59" s="117">
        <v>1412.9303758598412</v>
      </c>
    </row>
    <row r="60" spans="1:13" x14ac:dyDescent="0.4">
      <c r="K60" s="74">
        <v>58</v>
      </c>
      <c r="L60" s="119">
        <v>-573.29999999999995</v>
      </c>
      <c r="M60" s="117">
        <v>1406.4747936046822</v>
      </c>
    </row>
    <row r="61" spans="1:13" x14ac:dyDescent="0.4">
      <c r="K61" s="74">
        <v>59</v>
      </c>
      <c r="L61" s="119">
        <v>-550.79999999999995</v>
      </c>
      <c r="M61" s="117">
        <v>1411.3079448430542</v>
      </c>
    </row>
    <row r="62" spans="1:13" x14ac:dyDescent="0.4">
      <c r="K62" s="74">
        <v>60</v>
      </c>
      <c r="L62" s="119">
        <v>-535.29999999999995</v>
      </c>
      <c r="M62" s="117">
        <v>1414.6720971739958</v>
      </c>
    </row>
    <row r="63" spans="1:13" x14ac:dyDescent="0.4">
      <c r="K63" s="74">
        <v>61</v>
      </c>
      <c r="L63" s="119">
        <v>-492.29999999999995</v>
      </c>
      <c r="M63" s="117">
        <v>1422.7440645909519</v>
      </c>
    </row>
    <row r="64" spans="1:13" x14ac:dyDescent="0.4">
      <c r="K64" s="74">
        <v>62</v>
      </c>
      <c r="L64" s="119">
        <v>-511.9</v>
      </c>
      <c r="M64" s="117">
        <v>1419.4996002034061</v>
      </c>
    </row>
    <row r="65" spans="11:13" x14ac:dyDescent="0.4">
      <c r="K65" s="74">
        <v>63</v>
      </c>
      <c r="L65" s="119">
        <v>-524.1</v>
      </c>
      <c r="M65" s="117">
        <v>1417.4266026021855</v>
      </c>
    </row>
    <row r="66" spans="11:13" x14ac:dyDescent="0.4">
      <c r="K66" s="74">
        <v>64</v>
      </c>
      <c r="L66" s="119">
        <v>-535.9</v>
      </c>
      <c r="M66" s="117">
        <v>1415.4380429865723</v>
      </c>
    </row>
    <row r="67" spans="11:13" x14ac:dyDescent="0.4">
      <c r="K67" s="74">
        <v>65</v>
      </c>
      <c r="L67" s="119">
        <v>-494.59999999999997</v>
      </c>
      <c r="M67" s="117">
        <v>1423.4274147286528</v>
      </c>
    </row>
    <row r="68" spans="11:13" x14ac:dyDescent="0.4">
      <c r="K68" s="74">
        <v>66</v>
      </c>
      <c r="L68" s="119">
        <v>-483.2</v>
      </c>
      <c r="M68" s="117">
        <v>1425.7828502402808</v>
      </c>
    </row>
    <row r="69" spans="11:13" x14ac:dyDescent="0.4">
      <c r="K69" s="74">
        <v>67</v>
      </c>
      <c r="L69" s="119">
        <v>-466.7</v>
      </c>
      <c r="M69" s="117">
        <v>1429.0421531388392</v>
      </c>
    </row>
    <row r="70" spans="11:13" x14ac:dyDescent="0.4">
      <c r="K70" s="74">
        <v>68</v>
      </c>
      <c r="L70" s="119">
        <v>-462</v>
      </c>
      <c r="M70" s="117">
        <v>1430.4639002200063</v>
      </c>
    </row>
    <row r="71" spans="11:13" x14ac:dyDescent="0.4">
      <c r="K71" s="74">
        <v>69</v>
      </c>
      <c r="L71" s="119">
        <v>-472.6</v>
      </c>
      <c r="M71" s="117">
        <v>1429.1231168186862</v>
      </c>
    </row>
    <row r="72" spans="11:13" x14ac:dyDescent="0.4">
      <c r="K72" s="74">
        <v>70</v>
      </c>
      <c r="L72" s="119">
        <v>-466.8</v>
      </c>
      <c r="M72" s="117">
        <v>1430.742378117774</v>
      </c>
    </row>
    <row r="73" spans="11:13" x14ac:dyDescent="0.4">
      <c r="K73" s="74">
        <v>71</v>
      </c>
      <c r="L73" s="119">
        <v>-446.7</v>
      </c>
      <c r="M73" s="117">
        <v>1434.9259238490674</v>
      </c>
    </row>
    <row r="74" spans="11:13" x14ac:dyDescent="0.4">
      <c r="K74" s="74">
        <v>72</v>
      </c>
      <c r="L74" s="119">
        <v>-471.8</v>
      </c>
      <c r="M74" s="117">
        <v>1430.948368305973</v>
      </c>
    </row>
    <row r="75" spans="11:13" x14ac:dyDescent="0.4">
      <c r="K75" s="74">
        <v>73</v>
      </c>
      <c r="L75" s="119">
        <v>-486.2</v>
      </c>
      <c r="M75" s="117">
        <v>1428.9206780961372</v>
      </c>
    </row>
    <row r="76" spans="11:13" x14ac:dyDescent="0.4">
      <c r="K76" s="74">
        <v>74</v>
      </c>
      <c r="L76" s="119">
        <v>-520.20000000000005</v>
      </c>
      <c r="M76" s="117">
        <v>1423.3771540275604</v>
      </c>
    </row>
    <row r="77" spans="11:13" x14ac:dyDescent="0.4">
      <c r="K77" s="74">
        <v>75</v>
      </c>
      <c r="L77" s="119">
        <v>-493.70000000000005</v>
      </c>
      <c r="M77" s="117">
        <v>1428.4448911033951</v>
      </c>
    </row>
    <row r="78" spans="11:13" x14ac:dyDescent="0.4">
      <c r="K78" s="74">
        <v>76</v>
      </c>
      <c r="L78" s="119">
        <v>-475.70000000000005</v>
      </c>
      <c r="M78" s="117">
        <v>1432.4562217567748</v>
      </c>
    </row>
    <row r="79" spans="11:13" x14ac:dyDescent="0.4">
      <c r="K79" s="74">
        <v>77</v>
      </c>
      <c r="L79" s="119">
        <v>-517.20000000000005</v>
      </c>
      <c r="M79" s="117">
        <v>1425.7334844262341</v>
      </c>
    </row>
    <row r="80" spans="11:13" x14ac:dyDescent="0.4">
      <c r="K80" s="74">
        <v>78</v>
      </c>
      <c r="L80" s="119">
        <v>-519</v>
      </c>
      <c r="M80" s="117">
        <v>1425.9990835196768</v>
      </c>
    </row>
    <row r="81" spans="11:13" x14ac:dyDescent="0.4">
      <c r="K81" s="74">
        <v>79</v>
      </c>
      <c r="L81" s="119">
        <v>-481</v>
      </c>
      <c r="M81" s="117">
        <v>1433.6370890185588</v>
      </c>
    </row>
    <row r="82" spans="11:13" x14ac:dyDescent="0.4">
      <c r="K82" s="74">
        <v>80</v>
      </c>
      <c r="L82" s="119">
        <v>-434.2</v>
      </c>
      <c r="M82" s="117">
        <v>1442.2732664844475</v>
      </c>
    </row>
    <row r="83" spans="11:13" x14ac:dyDescent="0.4">
      <c r="K83" s="74">
        <v>81</v>
      </c>
      <c r="L83" s="119">
        <v>-479.2</v>
      </c>
      <c r="M83" s="117">
        <v>1434.7356268855408</v>
      </c>
    </row>
    <row r="84" spans="11:13" x14ac:dyDescent="0.4">
      <c r="K84" s="74">
        <v>82</v>
      </c>
      <c r="L84" s="119">
        <v>-517.70000000000005</v>
      </c>
      <c r="M84" s="117">
        <v>1428.4132131242275</v>
      </c>
    </row>
    <row r="85" spans="11:13" x14ac:dyDescent="0.4">
      <c r="K85" s="74">
        <v>83</v>
      </c>
      <c r="L85" s="119">
        <v>-521.5</v>
      </c>
      <c r="M85" s="117">
        <v>1427.9847338454822</v>
      </c>
    </row>
    <row r="86" spans="11:13" x14ac:dyDescent="0.4">
      <c r="K86" s="74">
        <v>84</v>
      </c>
      <c r="L86" s="119">
        <v>-540.4</v>
      </c>
      <c r="M86" s="117">
        <v>1425.3808254424093</v>
      </c>
    </row>
    <row r="87" spans="11:13" x14ac:dyDescent="0.4">
      <c r="K87" s="74">
        <v>85</v>
      </c>
      <c r="L87" s="119">
        <v>-559</v>
      </c>
      <c r="M87" s="117">
        <v>1422.6785404897548</v>
      </c>
    </row>
  </sheetData>
  <sortState xmlns:xlrd2="http://schemas.microsoft.com/office/spreadsheetml/2017/richdata2" ref="E2:I88">
    <sortCondition descending="1" ref="H1"/>
  </sortState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6586A-137B-4438-A719-E02A4705C290}">
  <sheetPr codeName="Sheet21"/>
  <dimension ref="A1:R125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7" t="s">
        <v>193</v>
      </c>
      <c r="C1" s="138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25">
        <v>123</v>
      </c>
      <c r="C2" s="126"/>
      <c r="E2" s="26" t="s">
        <v>66</v>
      </c>
      <c r="F2" s="23" t="s">
        <v>22</v>
      </c>
      <c r="G2" s="11">
        <v>182</v>
      </c>
      <c r="H2" s="87">
        <f t="shared" ref="H2:H33" si="0">IF(B$52=0,0,G2/B$52)</f>
        <v>0.75206611570247939</v>
      </c>
      <c r="I2" s="57">
        <v>4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1019.00826446281</v>
      </c>
      <c r="Q2" s="76">
        <v>121</v>
      </c>
      <c r="R2" s="63">
        <v>123300</v>
      </c>
    </row>
    <row r="3" spans="1:18" x14ac:dyDescent="0.4">
      <c r="A3" s="19" t="s">
        <v>8</v>
      </c>
      <c r="B3" s="139">
        <v>934</v>
      </c>
      <c r="C3" s="140"/>
      <c r="E3" s="27" t="s">
        <v>72</v>
      </c>
      <c r="F3" s="24" t="s">
        <v>27</v>
      </c>
      <c r="G3" s="12">
        <v>139</v>
      </c>
      <c r="H3" s="88">
        <f t="shared" si="0"/>
        <v>0.57438016528925617</v>
      </c>
      <c r="I3" s="58">
        <v>7</v>
      </c>
      <c r="K3" s="74">
        <v>1</v>
      </c>
      <c r="L3" s="119">
        <v>-36.700000000000003</v>
      </c>
      <c r="M3" s="117">
        <v>1493.4</v>
      </c>
      <c r="O3" s="74" t="s">
        <v>129</v>
      </c>
      <c r="P3" s="80">
        <f t="shared" si="1"/>
        <v>620.17543859649118</v>
      </c>
      <c r="Q3" s="77">
        <v>114</v>
      </c>
      <c r="R3" s="64">
        <v>70700</v>
      </c>
    </row>
    <row r="4" spans="1:18" x14ac:dyDescent="0.4">
      <c r="A4" s="19" t="s">
        <v>6</v>
      </c>
      <c r="B4" s="141">
        <v>203.39999999999984</v>
      </c>
      <c r="C4" s="142"/>
      <c r="E4" s="27" t="s">
        <v>64</v>
      </c>
      <c r="F4" s="24" t="s">
        <v>20</v>
      </c>
      <c r="G4" s="12">
        <v>131</v>
      </c>
      <c r="H4" s="88">
        <f t="shared" si="0"/>
        <v>0.54132231404958675</v>
      </c>
      <c r="I4" s="58">
        <v>8</v>
      </c>
      <c r="K4" s="74">
        <v>2</v>
      </c>
      <c r="L4" s="119">
        <v>-45.300000000000004</v>
      </c>
      <c r="M4" s="117">
        <v>1491.8916000000002</v>
      </c>
      <c r="O4" s="74" t="s">
        <v>130</v>
      </c>
      <c r="P4" s="80">
        <f t="shared" si="1"/>
        <v>-58.490566037735846</v>
      </c>
      <c r="Q4" s="77">
        <v>106</v>
      </c>
      <c r="R4" s="64">
        <v>-6200</v>
      </c>
    </row>
    <row r="5" spans="1:18" x14ac:dyDescent="0.4">
      <c r="A5" s="19" t="s">
        <v>7</v>
      </c>
      <c r="B5" s="129">
        <f>IF(B$2=0,0,B$4/B$2)</f>
        <v>1.6536585365853644</v>
      </c>
      <c r="C5" s="130"/>
      <c r="E5" s="27" t="s">
        <v>67</v>
      </c>
      <c r="F5" s="24" t="s">
        <v>23</v>
      </c>
      <c r="G5" s="12">
        <v>86</v>
      </c>
      <c r="H5" s="88">
        <f t="shared" si="0"/>
        <v>0.35537190082644626</v>
      </c>
      <c r="I5" s="58">
        <v>5</v>
      </c>
      <c r="K5" s="74">
        <v>3</v>
      </c>
      <c r="L5" s="119">
        <v>-81.7</v>
      </c>
      <c r="M5" s="117">
        <v>1485.3942504000001</v>
      </c>
      <c r="O5" s="74" t="s">
        <v>131</v>
      </c>
      <c r="P5" s="80">
        <f t="shared" si="1"/>
        <v>-810</v>
      </c>
      <c r="Q5" s="77">
        <v>100</v>
      </c>
      <c r="R5" s="64">
        <v>-81000</v>
      </c>
    </row>
    <row r="6" spans="1:18" x14ac:dyDescent="0.4">
      <c r="A6" s="19" t="s">
        <v>196</v>
      </c>
      <c r="B6" s="133">
        <v>1534.2150035330292</v>
      </c>
      <c r="C6" s="134"/>
      <c r="E6" s="27" t="s">
        <v>68</v>
      </c>
      <c r="F6" s="24" t="s">
        <v>12</v>
      </c>
      <c r="G6" s="12">
        <v>77</v>
      </c>
      <c r="H6" s="88">
        <f t="shared" si="0"/>
        <v>0.31818181818181818</v>
      </c>
      <c r="I6" s="58">
        <v>5</v>
      </c>
      <c r="K6" s="74">
        <v>4</v>
      </c>
      <c r="L6" s="119">
        <v>-114.30000000000001</v>
      </c>
      <c r="M6" s="117">
        <v>1479.6198848976001</v>
      </c>
      <c r="O6" s="74" t="s">
        <v>132</v>
      </c>
      <c r="P6" s="80">
        <f t="shared" si="1"/>
        <v>1012.6436781609195</v>
      </c>
      <c r="Q6" s="77">
        <v>87</v>
      </c>
      <c r="R6" s="64">
        <v>88100</v>
      </c>
    </row>
    <row r="7" spans="1:18" x14ac:dyDescent="0.4">
      <c r="A7" s="19" t="s">
        <v>1</v>
      </c>
      <c r="B7" s="135">
        <f>IF(B$2=0,0,(B$8*1+B$9*2+B$10*3)/B$2)</f>
        <v>1.9268292682926829</v>
      </c>
      <c r="C7" s="136"/>
      <c r="E7" s="27" t="s">
        <v>69</v>
      </c>
      <c r="F7" s="24" t="s">
        <v>24</v>
      </c>
      <c r="G7" s="12">
        <v>43</v>
      </c>
      <c r="H7" s="88">
        <f t="shared" si="0"/>
        <v>0.17768595041322313</v>
      </c>
      <c r="I7" s="58">
        <v>2</v>
      </c>
      <c r="K7" s="74">
        <v>5</v>
      </c>
      <c r="L7" s="119">
        <v>-136.30000000000001</v>
      </c>
      <c r="M7" s="117">
        <v>1475.7881655882145</v>
      </c>
      <c r="O7" s="75" t="s">
        <v>133</v>
      </c>
      <c r="P7" s="81">
        <f t="shared" si="1"/>
        <v>-435.13513513513516</v>
      </c>
      <c r="Q7" s="78">
        <v>74</v>
      </c>
      <c r="R7" s="65">
        <v>-32200</v>
      </c>
    </row>
    <row r="8" spans="1:18" x14ac:dyDescent="0.4">
      <c r="A8" s="19" t="s">
        <v>2</v>
      </c>
      <c r="B8" s="12">
        <v>46</v>
      </c>
      <c r="C8" s="6">
        <f t="shared" ref="C8:C15" si="2">IF(B$2=0,0,B8/B$2)</f>
        <v>0.37398373983739835</v>
      </c>
      <c r="E8" s="27" t="s">
        <v>89</v>
      </c>
      <c r="F8" s="24" t="s">
        <v>44</v>
      </c>
      <c r="G8" s="12">
        <v>36</v>
      </c>
      <c r="H8" s="88">
        <f t="shared" si="0"/>
        <v>0.1487603305785124</v>
      </c>
      <c r="I8" s="58">
        <v>9</v>
      </c>
      <c r="K8" s="74">
        <v>6</v>
      </c>
      <c r="L8" s="119">
        <v>-100.80000000000001</v>
      </c>
      <c r="M8" s="117">
        <v>1482.3294365946851</v>
      </c>
      <c r="O8" s="107"/>
      <c r="P8" s="85"/>
      <c r="Q8" s="108"/>
      <c r="R8" s="70"/>
    </row>
    <row r="9" spans="1:18" x14ac:dyDescent="0.4">
      <c r="A9" s="19" t="s">
        <v>3</v>
      </c>
      <c r="B9" s="12">
        <v>40</v>
      </c>
      <c r="C9" s="6">
        <f t="shared" si="2"/>
        <v>0.32520325203252032</v>
      </c>
      <c r="E9" s="27" t="s">
        <v>65</v>
      </c>
      <c r="F9" s="24" t="s">
        <v>21</v>
      </c>
      <c r="G9" s="12">
        <v>29</v>
      </c>
      <c r="H9" s="88">
        <f t="shared" si="0"/>
        <v>0.11983471074380166</v>
      </c>
      <c r="I9" s="58">
        <v>8</v>
      </c>
      <c r="K9" s="74">
        <v>7</v>
      </c>
      <c r="L9" s="119">
        <v>-106.20000000000002</v>
      </c>
      <c r="M9" s="117">
        <v>1481.4694599751169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37</v>
      </c>
      <c r="C10" s="7">
        <f t="shared" si="2"/>
        <v>0.30081300813008133</v>
      </c>
      <c r="E10" s="27" t="s">
        <v>70</v>
      </c>
      <c r="F10" s="24" t="s">
        <v>25</v>
      </c>
      <c r="G10" s="12">
        <v>21</v>
      </c>
      <c r="H10" s="88">
        <f t="shared" si="0"/>
        <v>8.6776859504132234E-2</v>
      </c>
      <c r="I10" s="58">
        <v>8</v>
      </c>
      <c r="K10" s="74">
        <v>8</v>
      </c>
      <c r="L10" s="119">
        <v>-52.300000000000018</v>
      </c>
      <c r="M10" s="117">
        <v>1491.2886432152661</v>
      </c>
      <c r="O10" s="73" t="s">
        <v>152</v>
      </c>
      <c r="P10" s="82">
        <f>IF(Q10=0,0,R10/Q10)</f>
        <v>3.925454545454544</v>
      </c>
      <c r="Q10" s="76">
        <v>55</v>
      </c>
      <c r="R10" s="67">
        <v>215.89999999999992</v>
      </c>
    </row>
    <row r="11" spans="1:18" x14ac:dyDescent="0.4">
      <c r="A11" s="20" t="s">
        <v>185</v>
      </c>
      <c r="B11" s="109">
        <f>IF(B8=0,0,C11/B8)</f>
        <v>28.067391304347826</v>
      </c>
      <c r="C11" s="110">
        <v>1291.0999999999999</v>
      </c>
      <c r="E11" s="27" t="s">
        <v>71</v>
      </c>
      <c r="F11" s="24" t="s">
        <v>26</v>
      </c>
      <c r="G11" s="12">
        <v>17</v>
      </c>
      <c r="H11" s="88">
        <f t="shared" si="0"/>
        <v>7.0247933884297523E-2</v>
      </c>
      <c r="I11" s="58">
        <v>2</v>
      </c>
      <c r="K11" s="74">
        <v>9</v>
      </c>
      <c r="L11" s="119">
        <v>-53.500000000000021</v>
      </c>
      <c r="M11" s="117">
        <v>1491.1309113559746</v>
      </c>
      <c r="O11" s="74" t="s">
        <v>153</v>
      </c>
      <c r="P11" s="83">
        <f>IF(Q11=0,0,R11/Q11)</f>
        <v>-5.3428571428571434</v>
      </c>
      <c r="Q11" s="77">
        <v>35</v>
      </c>
      <c r="R11" s="68">
        <v>-187.00000000000003</v>
      </c>
    </row>
    <row r="12" spans="1:18" x14ac:dyDescent="0.4">
      <c r="A12" s="20" t="s">
        <v>186</v>
      </c>
      <c r="B12" s="109">
        <f>IF(B9=0,0,C12/B9)</f>
        <v>-1.7999999999999996</v>
      </c>
      <c r="C12" s="110">
        <v>-71.999999999999986</v>
      </c>
      <c r="E12" s="27" t="s">
        <v>78</v>
      </c>
      <c r="F12" s="24" t="s">
        <v>33</v>
      </c>
      <c r="G12" s="12">
        <v>14</v>
      </c>
      <c r="H12" s="88">
        <f t="shared" si="0"/>
        <v>5.7851239669421489E-2</v>
      </c>
      <c r="I12" s="58">
        <v>1</v>
      </c>
      <c r="K12" s="74">
        <v>10</v>
      </c>
      <c r="L12" s="119">
        <v>-72.800000000000026</v>
      </c>
      <c r="M12" s="117">
        <v>1487.7641258878386</v>
      </c>
      <c r="O12" s="75" t="s">
        <v>154</v>
      </c>
      <c r="P12" s="84">
        <f>IF(Q12=0,0,R12/Q12)</f>
        <v>4.5096774193548388</v>
      </c>
      <c r="Q12" s="78">
        <v>31</v>
      </c>
      <c r="R12" s="69">
        <v>139.80000000000001</v>
      </c>
    </row>
    <row r="13" spans="1:18" x14ac:dyDescent="0.4">
      <c r="A13" s="20" t="s">
        <v>187</v>
      </c>
      <c r="B13" s="109">
        <f>IF(B10=0,0,C13/B10)</f>
        <v>-27.451351351351349</v>
      </c>
      <c r="C13" s="110">
        <v>-1015.6999999999999</v>
      </c>
      <c r="E13" s="27" t="s">
        <v>81</v>
      </c>
      <c r="F13" s="24" t="s">
        <v>36</v>
      </c>
      <c r="G13" s="12">
        <v>10</v>
      </c>
      <c r="H13" s="88">
        <f t="shared" si="0"/>
        <v>4.1322314049586778E-2</v>
      </c>
      <c r="I13" s="58">
        <v>5</v>
      </c>
      <c r="K13" s="74">
        <v>11</v>
      </c>
      <c r="L13" s="119">
        <v>-69.800000000000026</v>
      </c>
      <c r="M13" s="117">
        <v>1488.4135411325117</v>
      </c>
      <c r="O13" s="103"/>
      <c r="P13" s="71"/>
      <c r="Q13" s="111"/>
      <c r="R13" s="71"/>
    </row>
    <row r="14" spans="1:18" x14ac:dyDescent="0.4">
      <c r="A14" s="20" t="s">
        <v>188</v>
      </c>
      <c r="B14" s="129">
        <f>AVERAGE(B11:B13)</f>
        <v>-0.39465334900117455</v>
      </c>
      <c r="C14" s="130"/>
      <c r="E14" s="27" t="s">
        <v>86</v>
      </c>
      <c r="F14" s="24" t="s">
        <v>41</v>
      </c>
      <c r="G14" s="12">
        <v>10</v>
      </c>
      <c r="H14" s="88">
        <f t="shared" si="0"/>
        <v>4.1322314049586778E-2</v>
      </c>
      <c r="I14" s="58">
        <v>10</v>
      </c>
      <c r="K14" s="74">
        <v>12</v>
      </c>
      <c r="L14" s="119">
        <v>-54.300000000000026</v>
      </c>
      <c r="M14" s="117">
        <v>1491.3090598857166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14</v>
      </c>
      <c r="C15" s="9">
        <f t="shared" si="2"/>
        <v>0.11382113821138211</v>
      </c>
      <c r="E15" s="27" t="s">
        <v>83</v>
      </c>
      <c r="F15" s="24" t="s">
        <v>38</v>
      </c>
      <c r="G15" s="12">
        <v>8</v>
      </c>
      <c r="H15" s="88">
        <f t="shared" si="0"/>
        <v>3.3057851239669422E-2</v>
      </c>
      <c r="I15" s="58">
        <v>8</v>
      </c>
      <c r="K15" s="74">
        <v>13</v>
      </c>
      <c r="L15" s="119">
        <v>-43.200000000000024</v>
      </c>
      <c r="M15" s="117">
        <v>1493.3952055264024</v>
      </c>
      <c r="O15" s="73" t="s">
        <v>205</v>
      </c>
      <c r="P15" s="82">
        <f t="shared" ref="P15:P23" si="3">IF(Q15=0,0,R15/Q15)</f>
        <v>33.4</v>
      </c>
      <c r="Q15" s="76">
        <v>1</v>
      </c>
      <c r="R15" s="67">
        <v>33.4</v>
      </c>
    </row>
    <row r="16" spans="1:18" x14ac:dyDescent="0.4">
      <c r="A16" s="22" t="s">
        <v>121</v>
      </c>
      <c r="B16" s="15">
        <v>240</v>
      </c>
      <c r="C16" s="10">
        <f>IF(B$51=0,0,B16/B$51)</f>
        <v>0.29702970297029702</v>
      </c>
      <c r="E16" s="27" t="s">
        <v>91</v>
      </c>
      <c r="F16" s="24" t="s">
        <v>46</v>
      </c>
      <c r="G16" s="12">
        <v>6</v>
      </c>
      <c r="H16" s="88">
        <f t="shared" si="0"/>
        <v>2.4793388429752067E-2</v>
      </c>
      <c r="I16" s="58">
        <v>4</v>
      </c>
      <c r="K16" s="74">
        <v>14</v>
      </c>
      <c r="L16" s="119">
        <v>-50.400000000000027</v>
      </c>
      <c r="M16" s="117">
        <v>1492.1808342932441</v>
      </c>
      <c r="O16" s="74" t="s">
        <v>191</v>
      </c>
      <c r="P16" s="83">
        <f t="shared" si="3"/>
        <v>14.79166666666667</v>
      </c>
      <c r="Q16" s="77">
        <v>12</v>
      </c>
      <c r="R16" s="68">
        <v>177.50000000000003</v>
      </c>
    </row>
    <row r="17" spans="1:18" x14ac:dyDescent="0.4">
      <c r="A17" s="19" t="s">
        <v>118</v>
      </c>
      <c r="B17" s="12">
        <v>174</v>
      </c>
      <c r="C17" s="6">
        <f>IF(B$51=0,0,B17/B$51)</f>
        <v>0.21534653465346534</v>
      </c>
      <c r="E17" s="27" t="s">
        <v>73</v>
      </c>
      <c r="F17" s="24" t="s">
        <v>28</v>
      </c>
      <c r="G17" s="12">
        <v>4</v>
      </c>
      <c r="H17" s="88">
        <f t="shared" si="0"/>
        <v>1.6528925619834711E-2</v>
      </c>
      <c r="I17" s="58">
        <v>2</v>
      </c>
      <c r="K17" s="74">
        <v>15</v>
      </c>
      <c r="L17" s="119">
        <v>23.89999999999997</v>
      </c>
      <c r="M17" s="117">
        <v>1505.6437492874845</v>
      </c>
      <c r="O17" s="74" t="s">
        <v>164</v>
      </c>
      <c r="P17" s="83">
        <f t="shared" si="3"/>
        <v>14.680487804878046</v>
      </c>
      <c r="Q17" s="77">
        <v>41</v>
      </c>
      <c r="R17" s="68">
        <v>601.89999999999986</v>
      </c>
    </row>
    <row r="18" spans="1:18" x14ac:dyDescent="0.4">
      <c r="A18" s="18" t="s">
        <v>123</v>
      </c>
      <c r="B18" s="11">
        <f>B24</f>
        <v>134</v>
      </c>
      <c r="C18" s="5">
        <f>IF(B$16=0,0,B18/B$16)</f>
        <v>0.55833333333333335</v>
      </c>
      <c r="E18" s="27" t="s">
        <v>77</v>
      </c>
      <c r="F18" s="24" t="s">
        <v>32</v>
      </c>
      <c r="G18" s="12">
        <v>2</v>
      </c>
      <c r="H18" s="88">
        <f t="shared" si="0"/>
        <v>8.2644628099173556E-3</v>
      </c>
      <c r="I18" s="58">
        <v>2</v>
      </c>
      <c r="K18" s="74">
        <v>16</v>
      </c>
      <c r="L18" s="119">
        <v>58.89999999999997</v>
      </c>
      <c r="M18" s="117">
        <v>1511.9338867917595</v>
      </c>
      <c r="O18" s="74" t="s">
        <v>195</v>
      </c>
      <c r="P18" s="83">
        <f t="shared" si="3"/>
        <v>13.897297297297296</v>
      </c>
      <c r="Q18" s="77">
        <v>37</v>
      </c>
      <c r="R18" s="68">
        <v>514.19999999999993</v>
      </c>
    </row>
    <row r="19" spans="1:18" x14ac:dyDescent="0.4">
      <c r="A19" s="18" t="s">
        <v>124</v>
      </c>
      <c r="B19" s="11">
        <f>B25</f>
        <v>66</v>
      </c>
      <c r="C19" s="5">
        <f>IF(B$17=0,0,B19/B$17)</f>
        <v>0.37931034482758619</v>
      </c>
      <c r="E19" s="27" t="s">
        <v>79</v>
      </c>
      <c r="F19" s="24" t="s">
        <v>34</v>
      </c>
      <c r="G19" s="12">
        <v>2</v>
      </c>
      <c r="H19" s="88">
        <f t="shared" si="0"/>
        <v>8.2644628099173556E-3</v>
      </c>
      <c r="I19" s="58">
        <v>10</v>
      </c>
      <c r="K19" s="74">
        <v>17</v>
      </c>
      <c r="L19" s="119">
        <v>58.599999999999973</v>
      </c>
      <c r="M19" s="117">
        <v>1511.826283471009</v>
      </c>
      <c r="O19" s="74" t="s">
        <v>223</v>
      </c>
      <c r="P19" s="83">
        <f t="shared" si="3"/>
        <v>4.3833333333333337</v>
      </c>
      <c r="Q19" s="77">
        <v>6</v>
      </c>
      <c r="R19" s="68">
        <v>26.300000000000004</v>
      </c>
    </row>
    <row r="20" spans="1:18" x14ac:dyDescent="0.4">
      <c r="A20" s="18" t="s">
        <v>10</v>
      </c>
      <c r="B20" s="11">
        <f>B23+B22</f>
        <v>279</v>
      </c>
      <c r="C20" s="5">
        <f>IF(B$3=0,0,B20/B$3)</f>
        <v>0.29871520342612418</v>
      </c>
      <c r="E20" s="27" t="s">
        <v>93</v>
      </c>
      <c r="F20" s="24" t="s">
        <v>48</v>
      </c>
      <c r="G20" s="12">
        <v>2</v>
      </c>
      <c r="H20" s="88">
        <f t="shared" si="0"/>
        <v>8.2644628099173556E-3</v>
      </c>
      <c r="I20" s="58">
        <v>2</v>
      </c>
      <c r="K20" s="74">
        <v>18</v>
      </c>
      <c r="L20" s="119">
        <v>122.59999999999997</v>
      </c>
      <c r="M20" s="117">
        <v>1523.281325770183</v>
      </c>
      <c r="O20" s="74" t="s">
        <v>126</v>
      </c>
      <c r="P20" s="83">
        <f t="shared" si="3"/>
        <v>-4.0227722772277232</v>
      </c>
      <c r="Q20" s="77">
        <v>101</v>
      </c>
      <c r="R20" s="68">
        <v>-406.30000000000007</v>
      </c>
    </row>
    <row r="21" spans="1:18" x14ac:dyDescent="0.4">
      <c r="A21" s="19" t="s">
        <v>13</v>
      </c>
      <c r="B21" s="12">
        <v>150</v>
      </c>
      <c r="C21" s="6">
        <f>IF(B$3=0,0,B21/B$3)</f>
        <v>0.16059957173447537</v>
      </c>
      <c r="E21" s="27" t="s">
        <v>74</v>
      </c>
      <c r="F21" s="24" t="s">
        <v>29</v>
      </c>
      <c r="G21" s="12">
        <v>1</v>
      </c>
      <c r="H21" s="88">
        <f t="shared" si="0"/>
        <v>4.1322314049586778E-3</v>
      </c>
      <c r="I21" s="58">
        <v>2</v>
      </c>
      <c r="K21" s="74">
        <v>19</v>
      </c>
      <c r="L21" s="119">
        <v>125.69999999999996</v>
      </c>
      <c r="M21" s="117">
        <v>1523.7056378155619</v>
      </c>
      <c r="O21" s="74" t="s">
        <v>246</v>
      </c>
      <c r="P21" s="83">
        <f t="shared" si="3"/>
        <v>-6.2</v>
      </c>
      <c r="Q21" s="77">
        <v>3</v>
      </c>
      <c r="R21" s="68">
        <v>-18.600000000000001</v>
      </c>
    </row>
    <row r="22" spans="1:18" x14ac:dyDescent="0.4">
      <c r="A22" s="19" t="s">
        <v>12</v>
      </c>
      <c r="B22" s="12">
        <v>122</v>
      </c>
      <c r="C22" s="6">
        <f>IF(B$20=0,0,B22/B$20)</f>
        <v>0.43727598566308246</v>
      </c>
      <c r="E22" s="27" t="s">
        <v>75</v>
      </c>
      <c r="F22" s="24" t="s">
        <v>30</v>
      </c>
      <c r="G22" s="12">
        <v>1</v>
      </c>
      <c r="H22" s="88">
        <f t="shared" si="0"/>
        <v>4.1322314049586778E-3</v>
      </c>
      <c r="I22" s="58">
        <v>6</v>
      </c>
      <c r="K22" s="74">
        <v>20</v>
      </c>
      <c r="L22" s="119">
        <v>126.89999999999996</v>
      </c>
      <c r="M22" s="117">
        <v>1523.7854039886686</v>
      </c>
      <c r="O22" s="74" t="s">
        <v>190</v>
      </c>
      <c r="P22" s="83">
        <f t="shared" si="3"/>
        <v>-6.7891891891891909</v>
      </c>
      <c r="Q22" s="77">
        <v>37</v>
      </c>
      <c r="R22" s="68">
        <v>-251.20000000000007</v>
      </c>
    </row>
    <row r="23" spans="1:18" x14ac:dyDescent="0.4">
      <c r="A23" s="19" t="s">
        <v>11</v>
      </c>
      <c r="B23" s="12">
        <v>157</v>
      </c>
      <c r="C23" s="6">
        <f>IF(B$20=0,0,B23/B$20)</f>
        <v>0.56272401433691754</v>
      </c>
      <c r="E23" s="27" t="s">
        <v>84</v>
      </c>
      <c r="F23" s="24" t="s">
        <v>39</v>
      </c>
      <c r="G23" s="12">
        <v>1</v>
      </c>
      <c r="H23" s="88">
        <f t="shared" si="0"/>
        <v>4.1322314049586778E-3</v>
      </c>
      <c r="I23" s="58">
        <v>2</v>
      </c>
      <c r="K23" s="74">
        <v>21</v>
      </c>
      <c r="L23" s="119">
        <v>129.69999999999996</v>
      </c>
      <c r="M23" s="117">
        <v>1524.1526915647366</v>
      </c>
      <c r="O23" s="74" t="s">
        <v>211</v>
      </c>
      <c r="P23" s="83">
        <f t="shared" si="3"/>
        <v>-8.3750000000000036</v>
      </c>
      <c r="Q23" s="77">
        <v>8</v>
      </c>
      <c r="R23" s="68">
        <v>-67.000000000000028</v>
      </c>
    </row>
    <row r="24" spans="1:18" x14ac:dyDescent="0.4">
      <c r="A24" s="19" t="s">
        <v>184</v>
      </c>
      <c r="B24" s="12">
        <v>134</v>
      </c>
      <c r="C24" s="6">
        <f>IF(B$20=0,0,B24/B$20)</f>
        <v>0.48028673835125446</v>
      </c>
      <c r="E24" s="27" t="s">
        <v>76</v>
      </c>
      <c r="F24" s="24" t="s">
        <v>31</v>
      </c>
      <c r="G24" s="12">
        <v>0</v>
      </c>
      <c r="H24" s="88">
        <f t="shared" si="0"/>
        <v>0</v>
      </c>
      <c r="I24" s="58">
        <v>1</v>
      </c>
      <c r="K24" s="74">
        <v>22</v>
      </c>
      <c r="L24" s="119">
        <v>174.29999999999995</v>
      </c>
      <c r="M24" s="117">
        <v>1532.1137754153483</v>
      </c>
    </row>
    <row r="25" spans="1:18" x14ac:dyDescent="0.4">
      <c r="A25" s="19" t="s">
        <v>182</v>
      </c>
      <c r="B25" s="12">
        <v>66</v>
      </c>
      <c r="C25" s="6">
        <f>IF(B$20=0,0,B25/B$20)</f>
        <v>0.23655913978494625</v>
      </c>
      <c r="E25" s="27" t="s">
        <v>80</v>
      </c>
      <c r="F25" s="24" t="s">
        <v>35</v>
      </c>
      <c r="G25" s="12">
        <v>0</v>
      </c>
      <c r="H25" s="88">
        <f t="shared" si="0"/>
        <v>0</v>
      </c>
      <c r="I25" s="58">
        <v>3</v>
      </c>
      <c r="K25" s="74">
        <v>23</v>
      </c>
      <c r="L25" s="119">
        <v>172.89999999999995</v>
      </c>
      <c r="M25" s="117">
        <v>1531.7290927628562</v>
      </c>
    </row>
    <row r="26" spans="1:18" x14ac:dyDescent="0.4">
      <c r="A26" s="19" t="s">
        <v>183</v>
      </c>
      <c r="B26" s="12">
        <v>79</v>
      </c>
      <c r="C26" s="6">
        <f>IF(B$20=0,0,B26/B$20)</f>
        <v>0.28315412186379929</v>
      </c>
      <c r="E26" s="27" t="s">
        <v>82</v>
      </c>
      <c r="F26" s="24" t="s">
        <v>37</v>
      </c>
      <c r="G26" s="12">
        <v>0</v>
      </c>
      <c r="H26" s="88">
        <f t="shared" si="0"/>
        <v>0</v>
      </c>
      <c r="I26" s="58">
        <v>1</v>
      </c>
      <c r="K26" s="74">
        <v>24</v>
      </c>
      <c r="L26" s="119">
        <v>133.19999999999993</v>
      </c>
      <c r="M26" s="117">
        <v>1524.5847182062791</v>
      </c>
    </row>
    <row r="27" spans="1:18" x14ac:dyDescent="0.4">
      <c r="A27" s="19" t="s">
        <v>5</v>
      </c>
      <c r="B27" s="16">
        <f>IF(B$20=0,0,C27/B$20)</f>
        <v>10381.362007168458</v>
      </c>
      <c r="C27" s="8">
        <v>2896400</v>
      </c>
      <c r="E27" s="27" t="s">
        <v>85</v>
      </c>
      <c r="F27" s="24" t="s">
        <v>40</v>
      </c>
      <c r="G27" s="12">
        <v>0</v>
      </c>
      <c r="H27" s="88">
        <f t="shared" si="0"/>
        <v>0</v>
      </c>
      <c r="I27" s="58">
        <v>6</v>
      </c>
      <c r="K27" s="74">
        <v>25</v>
      </c>
      <c r="L27" s="119">
        <v>117.39999999999993</v>
      </c>
      <c r="M27" s="117">
        <v>1521.6112098970414</v>
      </c>
    </row>
    <row r="28" spans="1:18" x14ac:dyDescent="0.4">
      <c r="A28" s="20" t="s">
        <v>166</v>
      </c>
      <c r="B28" s="95">
        <f>IF($B$20-B$19=0,0,C28/($B$20-B$19))</f>
        <v>11166.197183098591</v>
      </c>
      <c r="C28" s="96">
        <v>2378400</v>
      </c>
      <c r="E28" s="27" t="s">
        <v>87</v>
      </c>
      <c r="F28" s="24" t="s">
        <v>42</v>
      </c>
      <c r="G28" s="12">
        <v>0</v>
      </c>
      <c r="H28" s="88">
        <f t="shared" si="0"/>
        <v>0</v>
      </c>
      <c r="I28" s="58">
        <v>5</v>
      </c>
      <c r="K28" s="74">
        <v>26</v>
      </c>
      <c r="L28" s="119">
        <v>128.69999999999993</v>
      </c>
      <c r="M28" s="117">
        <v>1523.5515426376592</v>
      </c>
    </row>
    <row r="29" spans="1:18" x14ac:dyDescent="0.4">
      <c r="A29" s="20" t="s">
        <v>167</v>
      </c>
      <c r="B29" s="95">
        <f>IF(B$19=0,0,C29/B$19)</f>
        <v>7848.484848484848</v>
      </c>
      <c r="C29" s="96">
        <v>518000</v>
      </c>
      <c r="E29" s="27" t="s">
        <v>88</v>
      </c>
      <c r="F29" s="24" t="s">
        <v>43</v>
      </c>
      <c r="G29" s="12">
        <v>0</v>
      </c>
      <c r="H29" s="88">
        <f t="shared" si="0"/>
        <v>0</v>
      </c>
      <c r="I29" s="58">
        <v>3</v>
      </c>
      <c r="K29" s="74">
        <v>27</v>
      </c>
      <c r="L29" s="119">
        <v>84.699999999999932</v>
      </c>
      <c r="M29" s="117">
        <v>1515.5382333818332</v>
      </c>
    </row>
    <row r="30" spans="1:18" x14ac:dyDescent="0.4">
      <c r="A30" s="20" t="s">
        <v>165</v>
      </c>
      <c r="B30" s="95">
        <f>IF(B$21=0,0,C30/B$21)</f>
        <v>-9180.6666666666661</v>
      </c>
      <c r="C30" s="96">
        <v>-1377100</v>
      </c>
      <c r="E30" s="27" t="s">
        <v>90</v>
      </c>
      <c r="F30" s="24" t="s">
        <v>45</v>
      </c>
      <c r="G30" s="12">
        <v>0</v>
      </c>
      <c r="H30" s="88">
        <f t="shared" si="0"/>
        <v>0</v>
      </c>
      <c r="I30" s="58">
        <v>4</v>
      </c>
      <c r="K30" s="74">
        <v>28</v>
      </c>
      <c r="L30" s="119">
        <v>43.699999999999932</v>
      </c>
      <c r="M30" s="117">
        <v>1508.1130039815421</v>
      </c>
    </row>
    <row r="31" spans="1:18" x14ac:dyDescent="0.4">
      <c r="A31" s="19" t="s">
        <v>158</v>
      </c>
      <c r="B31" s="12">
        <v>6</v>
      </c>
      <c r="C31" s="90">
        <v>2</v>
      </c>
      <c r="E31" s="27" t="s">
        <v>92</v>
      </c>
      <c r="F31" s="24" t="s">
        <v>47</v>
      </c>
      <c r="G31" s="12">
        <v>0</v>
      </c>
      <c r="H31" s="88">
        <f t="shared" si="0"/>
        <v>0</v>
      </c>
      <c r="I31" s="58">
        <v>7</v>
      </c>
      <c r="K31" s="74">
        <v>29</v>
      </c>
      <c r="L31" s="119">
        <v>32.899999999999935</v>
      </c>
      <c r="M31" s="117">
        <v>1506.1683259576528</v>
      </c>
    </row>
    <row r="32" spans="1:18" x14ac:dyDescent="0.4">
      <c r="A32" s="19" t="s">
        <v>159</v>
      </c>
      <c r="B32" s="12">
        <v>26</v>
      </c>
      <c r="C32" s="90">
        <v>3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>
        <v>1</v>
      </c>
      <c r="K32" s="74">
        <v>30</v>
      </c>
      <c r="L32" s="119">
        <v>48.499999999999936</v>
      </c>
      <c r="M32" s="117">
        <v>1508.9993160019069</v>
      </c>
    </row>
    <row r="33" spans="1:13" x14ac:dyDescent="0.4">
      <c r="A33" s="54" t="s">
        <v>136</v>
      </c>
      <c r="B33" s="131">
        <v>9</v>
      </c>
      <c r="C33" s="132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>
        <v>3</v>
      </c>
      <c r="K33" s="74">
        <v>31</v>
      </c>
      <c r="L33" s="119">
        <v>5.0999999999999375</v>
      </c>
      <c r="M33" s="117">
        <v>1501.0433201058954</v>
      </c>
    </row>
    <row r="34" spans="1:13" x14ac:dyDescent="0.4">
      <c r="A34" s="22" t="s">
        <v>181</v>
      </c>
      <c r="B34" s="133">
        <v>109300</v>
      </c>
      <c r="C34" s="134"/>
      <c r="E34" s="27" t="s">
        <v>96</v>
      </c>
      <c r="F34" s="24" t="s">
        <v>51</v>
      </c>
      <c r="G34" s="12">
        <v>0</v>
      </c>
      <c r="H34" s="88">
        <f t="shared" ref="H34:H52" si="4">IF(B$52=0,0,G34/B$52)</f>
        <v>0</v>
      </c>
      <c r="I34" s="58">
        <v>1</v>
      </c>
      <c r="K34" s="74">
        <v>32</v>
      </c>
      <c r="L34" s="119">
        <v>5.7999999999999376</v>
      </c>
      <c r="M34" s="117">
        <v>1501.00106018526</v>
      </c>
    </row>
    <row r="35" spans="1:13" x14ac:dyDescent="0.4">
      <c r="A35" s="21" t="s">
        <v>137</v>
      </c>
      <c r="B35" s="29">
        <v>3</v>
      </c>
      <c r="C35" s="9">
        <f>IF(B$3=0,0,B35/B$3)</f>
        <v>3.2119914346895075E-3</v>
      </c>
      <c r="E35" s="27" t="s">
        <v>97</v>
      </c>
      <c r="F35" s="24" t="s">
        <v>52</v>
      </c>
      <c r="G35" s="12">
        <v>0</v>
      </c>
      <c r="H35" s="88">
        <f t="shared" si="4"/>
        <v>0</v>
      </c>
      <c r="I35" s="58">
        <v>1</v>
      </c>
      <c r="K35" s="74">
        <v>33</v>
      </c>
      <c r="L35" s="119">
        <v>17.999999999999936</v>
      </c>
      <c r="M35" s="117">
        <v>1503.0770538241484</v>
      </c>
    </row>
    <row r="36" spans="1:13" x14ac:dyDescent="0.4">
      <c r="E36" s="27" t="s">
        <v>98</v>
      </c>
      <c r="F36" s="24" t="s">
        <v>53</v>
      </c>
      <c r="G36" s="12">
        <v>0</v>
      </c>
      <c r="H36" s="88">
        <f t="shared" si="4"/>
        <v>0</v>
      </c>
      <c r="I36" s="58">
        <v>1</v>
      </c>
      <c r="K36" s="74">
        <v>34</v>
      </c>
      <c r="L36" s="119">
        <v>-19.300000000000061</v>
      </c>
      <c r="M36" s="117">
        <v>1496.4585915012035</v>
      </c>
    </row>
    <row r="37" spans="1:13" x14ac:dyDescent="0.4">
      <c r="A37" s="54" t="s">
        <v>172</v>
      </c>
      <c r="B37" s="122">
        <v>6</v>
      </c>
      <c r="C37" s="98">
        <f t="shared" ref="C37:C49" si="5">IF(B$20=0,0,B37/B$20)</f>
        <v>2.1505376344086023E-2</v>
      </c>
      <c r="E37" s="27" t="s">
        <v>99</v>
      </c>
      <c r="F37" s="24" t="s">
        <v>54</v>
      </c>
      <c r="G37" s="12">
        <v>0</v>
      </c>
      <c r="H37" s="88">
        <f t="shared" si="4"/>
        <v>0</v>
      </c>
      <c r="I37" s="58">
        <v>1</v>
      </c>
      <c r="K37" s="74">
        <v>35</v>
      </c>
      <c r="L37" s="119">
        <v>29.699999999999939</v>
      </c>
      <c r="M37" s="117">
        <v>1505.3598399521964</v>
      </c>
    </row>
    <row r="38" spans="1:13" x14ac:dyDescent="0.4">
      <c r="A38" s="19" t="s">
        <v>168</v>
      </c>
      <c r="B38" s="12">
        <v>31</v>
      </c>
      <c r="C38" s="6">
        <f t="shared" si="5"/>
        <v>0.1111111111111111</v>
      </c>
      <c r="E38" s="27" t="s">
        <v>100</v>
      </c>
      <c r="F38" s="24" t="s">
        <v>55</v>
      </c>
      <c r="G38" s="12">
        <v>0</v>
      </c>
      <c r="H38" s="88">
        <f t="shared" si="4"/>
        <v>0</v>
      </c>
      <c r="I38" s="58">
        <v>1</v>
      </c>
      <c r="K38" s="74">
        <v>36</v>
      </c>
      <c r="L38" s="119">
        <v>15.899999999999938</v>
      </c>
      <c r="M38" s="117">
        <v>1502.9096809124833</v>
      </c>
    </row>
    <row r="39" spans="1:13" x14ac:dyDescent="0.4">
      <c r="A39" s="19" t="s">
        <v>169</v>
      </c>
      <c r="B39" s="123">
        <v>41</v>
      </c>
      <c r="C39" s="6">
        <f t="shared" si="5"/>
        <v>0.14695340501792115</v>
      </c>
      <c r="E39" s="27" t="s">
        <v>101</v>
      </c>
      <c r="F39" s="24" t="s">
        <v>56</v>
      </c>
      <c r="G39" s="12">
        <v>0</v>
      </c>
      <c r="H39" s="88">
        <f t="shared" si="4"/>
        <v>0</v>
      </c>
      <c r="I39" s="58">
        <v>1</v>
      </c>
      <c r="K39" s="74">
        <v>37</v>
      </c>
      <c r="L39" s="119">
        <v>56.899999999999935</v>
      </c>
      <c r="M39" s="117">
        <v>1510.3382228270084</v>
      </c>
    </row>
    <row r="40" spans="1:13" x14ac:dyDescent="0.4">
      <c r="A40" s="19" t="s">
        <v>170</v>
      </c>
      <c r="B40" s="123">
        <v>47</v>
      </c>
      <c r="C40" s="6">
        <f t="shared" si="5"/>
        <v>0.16845878136200718</v>
      </c>
      <c r="E40" s="27" t="s">
        <v>102</v>
      </c>
      <c r="F40" s="24" t="s">
        <v>57</v>
      </c>
      <c r="G40" s="12">
        <v>0</v>
      </c>
      <c r="H40" s="88">
        <f t="shared" si="4"/>
        <v>0</v>
      </c>
      <c r="I40" s="58">
        <v>1</v>
      </c>
      <c r="K40" s="74">
        <v>38</v>
      </c>
      <c r="L40" s="119">
        <v>53.499999999999936</v>
      </c>
      <c r="M40" s="117">
        <v>1509.7301934900463</v>
      </c>
    </row>
    <row r="41" spans="1:13" x14ac:dyDescent="0.4">
      <c r="A41" s="19" t="s">
        <v>171</v>
      </c>
      <c r="B41" s="123">
        <v>32</v>
      </c>
      <c r="C41" s="6">
        <f t="shared" si="5"/>
        <v>0.11469534050179211</v>
      </c>
      <c r="E41" s="27" t="s">
        <v>103</v>
      </c>
      <c r="F41" s="24" t="s">
        <v>58</v>
      </c>
      <c r="G41" s="12">
        <v>0</v>
      </c>
      <c r="H41" s="88">
        <f t="shared" si="4"/>
        <v>0</v>
      </c>
      <c r="I41" s="58">
        <v>1</v>
      </c>
      <c r="K41" s="74">
        <v>39</v>
      </c>
      <c r="L41" s="119">
        <v>125.09999999999994</v>
      </c>
      <c r="M41" s="117">
        <v>1522.6258123291061</v>
      </c>
    </row>
    <row r="42" spans="1:13" x14ac:dyDescent="0.4">
      <c r="A42" s="19" t="s">
        <v>173</v>
      </c>
      <c r="B42" s="123">
        <v>29</v>
      </c>
      <c r="C42" s="6">
        <f t="shared" si="5"/>
        <v>0.1039426523297491</v>
      </c>
      <c r="E42" s="27" t="s">
        <v>104</v>
      </c>
      <c r="F42" s="24" t="s">
        <v>59</v>
      </c>
      <c r="G42" s="12">
        <v>0</v>
      </c>
      <c r="H42" s="88">
        <f t="shared" si="4"/>
        <v>0</v>
      </c>
      <c r="I42" s="58">
        <v>1</v>
      </c>
      <c r="K42" s="74">
        <v>40</v>
      </c>
      <c r="L42" s="119">
        <v>156.59999999999994</v>
      </c>
      <c r="M42" s="117">
        <v>1528.2260574551315</v>
      </c>
    </row>
    <row r="43" spans="1:13" x14ac:dyDescent="0.4">
      <c r="A43" s="19" t="s">
        <v>174</v>
      </c>
      <c r="B43" s="123">
        <v>18</v>
      </c>
      <c r="C43" s="6">
        <f t="shared" si="5"/>
        <v>6.4516129032258063E-2</v>
      </c>
      <c r="E43" s="27" t="s">
        <v>105</v>
      </c>
      <c r="F43" s="24" t="s">
        <v>112</v>
      </c>
      <c r="G43" s="12">
        <v>0</v>
      </c>
      <c r="H43" s="88">
        <f t="shared" si="4"/>
        <v>0</v>
      </c>
      <c r="I43" s="58">
        <v>1</v>
      </c>
      <c r="K43" s="74">
        <v>41</v>
      </c>
      <c r="L43" s="119">
        <v>191.99999999999994</v>
      </c>
      <c r="M43" s="117">
        <v>1534.4947011104007</v>
      </c>
    </row>
    <row r="44" spans="1:13" x14ac:dyDescent="0.4">
      <c r="A44" s="19" t="s">
        <v>175</v>
      </c>
      <c r="B44" s="123">
        <v>15</v>
      </c>
      <c r="C44" s="6">
        <f t="shared" si="5"/>
        <v>5.3763440860215055E-2</v>
      </c>
      <c r="E44" s="27" t="s">
        <v>106</v>
      </c>
      <c r="F44" s="24" t="s">
        <v>113</v>
      </c>
      <c r="G44" s="12">
        <v>0</v>
      </c>
      <c r="H44" s="88">
        <f t="shared" si="4"/>
        <v>0</v>
      </c>
      <c r="I44" s="58">
        <v>3</v>
      </c>
      <c r="K44" s="74">
        <v>42</v>
      </c>
      <c r="L44" s="119">
        <v>203.49999999999994</v>
      </c>
      <c r="M44" s="117">
        <v>1536.4237329037383</v>
      </c>
    </row>
    <row r="45" spans="1:13" x14ac:dyDescent="0.4">
      <c r="A45" s="19" t="s">
        <v>176</v>
      </c>
      <c r="B45" s="123">
        <v>7</v>
      </c>
      <c r="C45" s="6">
        <f t="shared" si="5"/>
        <v>2.5089605734767026E-2</v>
      </c>
      <c r="E45" s="27" t="s">
        <v>107</v>
      </c>
      <c r="F45" s="24" t="s">
        <v>114</v>
      </c>
      <c r="G45" s="12">
        <v>0</v>
      </c>
      <c r="H45" s="88">
        <f t="shared" si="4"/>
        <v>0</v>
      </c>
      <c r="I45" s="58">
        <v>1</v>
      </c>
      <c r="K45" s="74">
        <v>43</v>
      </c>
      <c r="L45" s="119">
        <v>212.59999999999994</v>
      </c>
      <c r="M45" s="117">
        <v>1537.9091905063158</v>
      </c>
    </row>
    <row r="46" spans="1:13" x14ac:dyDescent="0.4">
      <c r="A46" s="19" t="s">
        <v>177</v>
      </c>
      <c r="B46" s="123">
        <v>7</v>
      </c>
      <c r="C46" s="6">
        <f t="shared" si="5"/>
        <v>2.5089605734767026E-2</v>
      </c>
      <c r="E46" s="27" t="s">
        <v>108</v>
      </c>
      <c r="F46" s="24" t="s">
        <v>60</v>
      </c>
      <c r="G46" s="12">
        <v>0</v>
      </c>
      <c r="H46" s="88">
        <f t="shared" si="4"/>
        <v>0</v>
      </c>
      <c r="I46" s="58">
        <v>1</v>
      </c>
      <c r="K46" s="74">
        <v>44</v>
      </c>
      <c r="L46" s="119">
        <v>164.19999999999993</v>
      </c>
      <c r="M46" s="117">
        <v>1528.999735363278</v>
      </c>
    </row>
    <row r="47" spans="1:13" x14ac:dyDescent="0.4">
      <c r="A47" s="19" t="s">
        <v>178</v>
      </c>
      <c r="B47" s="123">
        <v>5</v>
      </c>
      <c r="C47" s="6">
        <f t="shared" si="5"/>
        <v>1.7921146953405017E-2</v>
      </c>
      <c r="E47" s="27" t="s">
        <v>109</v>
      </c>
      <c r="F47" s="24" t="s">
        <v>61</v>
      </c>
      <c r="G47" s="12">
        <v>0</v>
      </c>
      <c r="H47" s="88">
        <f t="shared" si="4"/>
        <v>0</v>
      </c>
      <c r="I47" s="58">
        <v>1</v>
      </c>
      <c r="K47" s="74">
        <v>45</v>
      </c>
      <c r="L47" s="119">
        <v>209.09999999999994</v>
      </c>
      <c r="M47" s="117">
        <v>1536.9377369510983</v>
      </c>
    </row>
    <row r="48" spans="1:13" x14ac:dyDescent="0.4">
      <c r="A48" s="19" t="s">
        <v>179</v>
      </c>
      <c r="B48" s="123">
        <v>1</v>
      </c>
      <c r="C48" s="6">
        <f t="shared" si="5"/>
        <v>3.5842293906810036E-3</v>
      </c>
      <c r="E48" s="27" t="s">
        <v>110</v>
      </c>
      <c r="F48" s="24" t="s">
        <v>62</v>
      </c>
      <c r="G48" s="12">
        <v>0</v>
      </c>
      <c r="H48" s="88">
        <f t="shared" si="4"/>
        <v>0</v>
      </c>
      <c r="I48" s="58">
        <v>1</v>
      </c>
      <c r="K48" s="74">
        <v>46</v>
      </c>
      <c r="L48" s="119">
        <v>218.99999999999994</v>
      </c>
      <c r="M48" s="117">
        <v>1538.6781105293917</v>
      </c>
    </row>
    <row r="49" spans="1:13" x14ac:dyDescent="0.4">
      <c r="A49" s="21" t="s">
        <v>180</v>
      </c>
      <c r="B49" s="97">
        <v>3</v>
      </c>
      <c r="C49" s="9">
        <f t="shared" si="5"/>
        <v>1.0752688172043012E-2</v>
      </c>
      <c r="E49" s="27" t="s">
        <v>111</v>
      </c>
      <c r="F49" s="24" t="s">
        <v>63</v>
      </c>
      <c r="G49" s="12">
        <v>0</v>
      </c>
      <c r="H49" s="88">
        <f t="shared" si="4"/>
        <v>0</v>
      </c>
      <c r="I49" s="58">
        <v>1</v>
      </c>
      <c r="K49" s="74">
        <v>47</v>
      </c>
      <c r="L49" s="119">
        <v>198.99999999999994</v>
      </c>
      <c r="M49" s="117">
        <v>1534.8340418662153</v>
      </c>
    </row>
    <row r="50" spans="1:13" x14ac:dyDescent="0.4">
      <c r="E50" s="27" t="s">
        <v>156</v>
      </c>
      <c r="F50" s="24" t="s">
        <v>157</v>
      </c>
      <c r="G50" s="12">
        <v>0</v>
      </c>
      <c r="H50" s="88">
        <f t="shared" si="4"/>
        <v>0</v>
      </c>
      <c r="I50" s="58">
        <v>1</v>
      </c>
      <c r="K50" s="74">
        <v>48</v>
      </c>
      <c r="L50" s="119">
        <v>194.09999999999994</v>
      </c>
      <c r="M50" s="117">
        <v>1533.7310376150181</v>
      </c>
    </row>
    <row r="51" spans="1:13" x14ac:dyDescent="0.4">
      <c r="A51" s="54" t="s">
        <v>206</v>
      </c>
      <c r="B51" s="125">
        <v>808</v>
      </c>
      <c r="C51" s="126"/>
      <c r="E51" s="91" t="s">
        <v>160</v>
      </c>
      <c r="F51" s="92" t="s">
        <v>161</v>
      </c>
      <c r="G51" s="13">
        <v>0</v>
      </c>
      <c r="H51" s="93">
        <f t="shared" si="4"/>
        <v>0</v>
      </c>
      <c r="I51" s="94">
        <v>1</v>
      </c>
      <c r="K51" s="74">
        <v>49</v>
      </c>
      <c r="L51" s="119">
        <v>211.89999999999995</v>
      </c>
      <c r="M51" s="117">
        <v>1536.834651389328</v>
      </c>
    </row>
    <row r="52" spans="1:13" x14ac:dyDescent="0.4">
      <c r="A52" s="21" t="s">
        <v>207</v>
      </c>
      <c r="B52" s="127">
        <v>242</v>
      </c>
      <c r="C52" s="128"/>
      <c r="E52" s="28" t="s">
        <v>162</v>
      </c>
      <c r="F52" s="25" t="s">
        <v>163</v>
      </c>
      <c r="G52" s="14">
        <v>0</v>
      </c>
      <c r="H52" s="89">
        <f t="shared" si="4"/>
        <v>0</v>
      </c>
      <c r="I52" s="59">
        <v>1</v>
      </c>
      <c r="K52" s="74">
        <v>50</v>
      </c>
      <c r="L52" s="119">
        <v>185.49999999999994</v>
      </c>
      <c r="M52" s="117">
        <v>1532.0176434809921</v>
      </c>
    </row>
    <row r="53" spans="1:13" x14ac:dyDescent="0.4">
      <c r="K53" s="74">
        <v>51</v>
      </c>
      <c r="L53" s="119">
        <v>196.99999999999994</v>
      </c>
      <c r="M53" s="117">
        <v>1534.0575376201061</v>
      </c>
    </row>
    <row r="54" spans="1:13" x14ac:dyDescent="0.4">
      <c r="K54" s="74">
        <v>52</v>
      </c>
      <c r="L54" s="119">
        <v>196.59999999999994</v>
      </c>
      <c r="M54" s="117">
        <v>1533.9431923943855</v>
      </c>
    </row>
    <row r="55" spans="1:13" x14ac:dyDescent="0.4">
      <c r="K55" s="74">
        <v>53</v>
      </c>
      <c r="L55" s="119">
        <v>214.69999999999993</v>
      </c>
      <c r="M55" s="117">
        <v>1537.1595332400193</v>
      </c>
    </row>
    <row r="56" spans="1:13" x14ac:dyDescent="0.4">
      <c r="K56" s="74">
        <v>54</v>
      </c>
      <c r="L56" s="119">
        <v>237.49999999999994</v>
      </c>
      <c r="M56" s="117">
        <v>1541.3465760405793</v>
      </c>
    </row>
    <row r="57" spans="1:13" x14ac:dyDescent="0.4">
      <c r="K57" s="74">
        <v>55</v>
      </c>
      <c r="L57" s="119">
        <v>224.69999999999993</v>
      </c>
      <c r="M57" s="117">
        <v>1539.1904965843357</v>
      </c>
    </row>
    <row r="58" spans="1:13" x14ac:dyDescent="0.4">
      <c r="K58" s="74">
        <v>56</v>
      </c>
      <c r="L58" s="119">
        <v>260.69999999999993</v>
      </c>
      <c r="M58" s="117">
        <v>1545.8313536048297</v>
      </c>
    </row>
    <row r="59" spans="1:13" x14ac:dyDescent="0.4">
      <c r="K59" s="74">
        <v>57</v>
      </c>
      <c r="L59" s="119">
        <v>211.59999999999994</v>
      </c>
      <c r="M59" s="117">
        <v>1537.1143654832008</v>
      </c>
    </row>
    <row r="60" spans="1:13" x14ac:dyDescent="0.4">
      <c r="K60" s="74">
        <v>58</v>
      </c>
      <c r="L60" s="119">
        <v>208.99999999999994</v>
      </c>
      <c r="M60" s="117">
        <v>1536.6096792903015</v>
      </c>
    </row>
    <row r="61" spans="1:13" x14ac:dyDescent="0.4">
      <c r="K61" s="74">
        <v>59</v>
      </c>
      <c r="L61" s="119">
        <v>221.49999999999994</v>
      </c>
      <c r="M61" s="117">
        <v>1538.6100212145598</v>
      </c>
    </row>
    <row r="62" spans="1:13" x14ac:dyDescent="0.4">
      <c r="K62" s="74">
        <v>60</v>
      </c>
      <c r="L62" s="119">
        <v>233.79999999999995</v>
      </c>
      <c r="M62" s="117">
        <v>1540.8023610872724</v>
      </c>
    </row>
    <row r="63" spans="1:13" x14ac:dyDescent="0.4">
      <c r="K63" s="74">
        <v>61</v>
      </c>
      <c r="L63" s="119">
        <v>234.69999999999996</v>
      </c>
      <c r="M63" s="117">
        <v>1541.0795469207487</v>
      </c>
    </row>
    <row r="64" spans="1:13" x14ac:dyDescent="0.4">
      <c r="K64" s="74">
        <v>62</v>
      </c>
      <c r="L64" s="119">
        <v>230.89999999999995</v>
      </c>
      <c r="M64" s="117">
        <v>1540.3230696392243</v>
      </c>
    </row>
    <row r="65" spans="11:13" x14ac:dyDescent="0.4">
      <c r="K65" s="74">
        <v>63</v>
      </c>
      <c r="L65" s="119">
        <v>218.99999999999994</v>
      </c>
      <c r="M65" s="117">
        <v>1538.239131221389</v>
      </c>
    </row>
    <row r="66" spans="11:13" x14ac:dyDescent="0.4">
      <c r="K66" s="74">
        <v>64</v>
      </c>
      <c r="L66" s="119">
        <v>201.49999999999994</v>
      </c>
      <c r="M66" s="117">
        <v>1535.1596964340606</v>
      </c>
    </row>
    <row r="67" spans="11:13" x14ac:dyDescent="0.4">
      <c r="K67" s="74">
        <v>65</v>
      </c>
      <c r="L67" s="119">
        <v>208.79999999999995</v>
      </c>
      <c r="M67" s="117">
        <v>1536.4847382554563</v>
      </c>
    </row>
    <row r="68" spans="11:13" x14ac:dyDescent="0.4">
      <c r="K68" s="74">
        <v>66</v>
      </c>
      <c r="L68" s="119">
        <v>204.19999999999996</v>
      </c>
      <c r="M68" s="117">
        <v>1535.6598298259235</v>
      </c>
    </row>
    <row r="69" spans="11:13" x14ac:dyDescent="0.4">
      <c r="K69" s="74">
        <v>67</v>
      </c>
      <c r="L69" s="119">
        <v>218.29999999999995</v>
      </c>
      <c r="M69" s="117">
        <v>1538.1758708469679</v>
      </c>
    </row>
    <row r="70" spans="11:13" x14ac:dyDescent="0.4">
      <c r="K70" s="74">
        <v>68</v>
      </c>
      <c r="L70" s="119">
        <v>179.79999999999995</v>
      </c>
      <c r="M70" s="117">
        <v>1531.2088156218861</v>
      </c>
    </row>
    <row r="71" spans="11:13" x14ac:dyDescent="0.4">
      <c r="K71" s="74">
        <v>69</v>
      </c>
      <c r="L71" s="119">
        <v>188.69999999999996</v>
      </c>
      <c r="M71" s="117">
        <v>1532.8155627281546</v>
      </c>
    </row>
    <row r="72" spans="11:13" x14ac:dyDescent="0.4">
      <c r="K72" s="74">
        <v>70</v>
      </c>
      <c r="L72" s="119">
        <v>218.39999999999995</v>
      </c>
      <c r="M72" s="117">
        <v>1538.1566693517857</v>
      </c>
    </row>
    <row r="73" spans="11:13" x14ac:dyDescent="0.4">
      <c r="K73" s="74">
        <v>71</v>
      </c>
      <c r="L73" s="119">
        <v>197.69999999999996</v>
      </c>
      <c r="M73" s="117">
        <v>1534.3937293356751</v>
      </c>
    </row>
    <row r="74" spans="11:13" x14ac:dyDescent="0.4">
      <c r="K74" s="74">
        <v>72</v>
      </c>
      <c r="L74" s="119">
        <v>159.69999999999996</v>
      </c>
      <c r="M74" s="117">
        <v>1527.5633669596609</v>
      </c>
    </row>
    <row r="75" spans="11:13" x14ac:dyDescent="0.4">
      <c r="K75" s="74">
        <v>73</v>
      </c>
      <c r="L75" s="119">
        <v>195.69999999999996</v>
      </c>
      <c r="M75" s="117">
        <v>1534.0939867579029</v>
      </c>
    </row>
    <row r="76" spans="11:13" x14ac:dyDescent="0.4">
      <c r="K76" s="74">
        <v>74</v>
      </c>
      <c r="L76" s="119">
        <v>225.59999999999997</v>
      </c>
      <c r="M76" s="117">
        <v>1539.4874228373556</v>
      </c>
    </row>
    <row r="77" spans="11:13" x14ac:dyDescent="0.4">
      <c r="K77" s="74">
        <v>75</v>
      </c>
      <c r="L77" s="119">
        <v>249.09999999999997</v>
      </c>
      <c r="M77" s="117">
        <v>1543.5464983003315</v>
      </c>
    </row>
    <row r="78" spans="11:13" x14ac:dyDescent="0.4">
      <c r="K78" s="74">
        <v>76</v>
      </c>
      <c r="L78" s="119">
        <v>243.29999999999995</v>
      </c>
      <c r="M78" s="117">
        <v>1542.3072193105295</v>
      </c>
    </row>
    <row r="79" spans="11:13" x14ac:dyDescent="0.4">
      <c r="K79" s="74">
        <v>77</v>
      </c>
      <c r="L79" s="119">
        <v>240.29999999999995</v>
      </c>
      <c r="M79" s="117">
        <v>1541.5373759946663</v>
      </c>
    </row>
    <row r="80" spans="11:13" x14ac:dyDescent="0.4">
      <c r="K80" s="74">
        <v>78</v>
      </c>
      <c r="L80" s="119">
        <v>233.59999999999997</v>
      </c>
      <c r="M80" s="117">
        <v>1540.3221517386983</v>
      </c>
    </row>
    <row r="81" spans="11:13" x14ac:dyDescent="0.4">
      <c r="K81" s="74">
        <v>79</v>
      </c>
      <c r="L81" s="119">
        <v>213.29999999999995</v>
      </c>
      <c r="M81" s="117">
        <v>1536.732218828266</v>
      </c>
    </row>
    <row r="82" spans="11:13" x14ac:dyDescent="0.4">
      <c r="K82" s="74">
        <v>80</v>
      </c>
      <c r="L82" s="119">
        <v>240.79999999999995</v>
      </c>
      <c r="M82" s="117">
        <v>1541.7738255152965</v>
      </c>
    </row>
    <row r="83" spans="11:13" x14ac:dyDescent="0.4">
      <c r="K83" s="74">
        <v>81</v>
      </c>
      <c r="L83" s="119">
        <v>246.49999999999994</v>
      </c>
      <c r="M83" s="117">
        <v>1542.8611825622047</v>
      </c>
    </row>
    <row r="84" spans="11:13" x14ac:dyDescent="0.4">
      <c r="K84" s="74">
        <v>82</v>
      </c>
      <c r="L84" s="119">
        <v>259.69999999999993</v>
      </c>
      <c r="M84" s="117">
        <v>1545.2920154668316</v>
      </c>
    </row>
    <row r="85" spans="11:13" x14ac:dyDescent="0.4">
      <c r="K85" s="74">
        <v>83</v>
      </c>
      <c r="L85" s="119">
        <v>252.69999999999993</v>
      </c>
      <c r="M85" s="117">
        <v>1544.0722633740306</v>
      </c>
    </row>
    <row r="86" spans="11:13" x14ac:dyDescent="0.4">
      <c r="K86" s="74">
        <v>84</v>
      </c>
      <c r="L86" s="119">
        <v>272.99999999999994</v>
      </c>
      <c r="M86" s="117">
        <v>1547.7738297937865</v>
      </c>
    </row>
    <row r="87" spans="11:13" x14ac:dyDescent="0.4">
      <c r="K87" s="74">
        <v>85</v>
      </c>
      <c r="L87" s="119">
        <v>266.99999999999994</v>
      </c>
      <c r="M87" s="117">
        <v>1546.7191868150237</v>
      </c>
    </row>
    <row r="88" spans="11:13" x14ac:dyDescent="0.4">
      <c r="K88" s="74">
        <v>86</v>
      </c>
      <c r="L88" s="119">
        <v>240.79999999999995</v>
      </c>
      <c r="M88" s="117">
        <v>1541.5908716941335</v>
      </c>
    </row>
    <row r="89" spans="11:13" x14ac:dyDescent="0.4">
      <c r="K89" s="74">
        <v>87</v>
      </c>
      <c r="L89" s="119">
        <v>276.79999999999995</v>
      </c>
      <c r="M89" s="117">
        <v>1547.6773264639687</v>
      </c>
    </row>
    <row r="90" spans="11:13" x14ac:dyDescent="0.4">
      <c r="K90" s="74">
        <v>88</v>
      </c>
      <c r="L90" s="119">
        <v>277.09999999999997</v>
      </c>
      <c r="M90" s="117">
        <v>1547.703262505185</v>
      </c>
    </row>
    <row r="91" spans="11:13" x14ac:dyDescent="0.4">
      <c r="K91" s="74">
        <v>89</v>
      </c>
      <c r="L91" s="119">
        <v>260.49999999999994</v>
      </c>
      <c r="M91" s="117">
        <v>1544.7650429301539</v>
      </c>
    </row>
    <row r="92" spans="11:13" x14ac:dyDescent="0.4">
      <c r="K92" s="74">
        <v>90</v>
      </c>
      <c r="L92" s="119">
        <v>287.89999999999992</v>
      </c>
      <c r="M92" s="117">
        <v>1549.7224526725729</v>
      </c>
    </row>
    <row r="93" spans="11:13" x14ac:dyDescent="0.4">
      <c r="K93" s="74">
        <v>91</v>
      </c>
      <c r="L93" s="119">
        <v>253.39999999999992</v>
      </c>
      <c r="M93" s="117">
        <v>1543.6701179565375</v>
      </c>
    </row>
    <row r="94" spans="11:13" x14ac:dyDescent="0.4">
      <c r="K94" s="74">
        <v>92</v>
      </c>
      <c r="L94" s="119">
        <v>279.59999999999991</v>
      </c>
      <c r="M94" s="117">
        <v>1548.1000972487982</v>
      </c>
    </row>
    <row r="95" spans="11:13" x14ac:dyDescent="0.4">
      <c r="K95" s="74">
        <v>93</v>
      </c>
      <c r="L95" s="119">
        <v>265.7999999999999</v>
      </c>
      <c r="M95" s="117">
        <v>1545.6754966653054</v>
      </c>
    </row>
    <row r="96" spans="11:13" x14ac:dyDescent="0.4">
      <c r="K96" s="74">
        <v>94</v>
      </c>
      <c r="L96" s="119">
        <v>248.89999999999989</v>
      </c>
      <c r="M96" s="117">
        <v>1542.6474436853136</v>
      </c>
    </row>
    <row r="97" spans="11:13" x14ac:dyDescent="0.4">
      <c r="K97" s="74">
        <v>95</v>
      </c>
      <c r="L97" s="119">
        <v>223.49999999999989</v>
      </c>
      <c r="M97" s="117">
        <v>1538.1075590232017</v>
      </c>
    </row>
    <row r="98" spans="11:13" x14ac:dyDescent="0.4">
      <c r="K98" s="74">
        <v>96</v>
      </c>
      <c r="L98" s="119">
        <v>235.99999999999989</v>
      </c>
      <c r="M98" s="117">
        <v>1540.3509136690625</v>
      </c>
    </row>
    <row r="99" spans="11:13" x14ac:dyDescent="0.4">
      <c r="K99" s="74">
        <v>97</v>
      </c>
      <c r="L99" s="119">
        <v>253.19999999999987</v>
      </c>
      <c r="M99" s="117">
        <v>1543.4268081870482</v>
      </c>
    </row>
    <row r="100" spans="11:13" x14ac:dyDescent="0.4">
      <c r="K100" s="74">
        <v>98</v>
      </c>
      <c r="L100" s="119">
        <v>222.59999999999988</v>
      </c>
      <c r="M100" s="117">
        <v>1537.880247337926</v>
      </c>
    </row>
    <row r="101" spans="11:13" x14ac:dyDescent="0.4">
      <c r="K101" s="74">
        <v>99</v>
      </c>
      <c r="L101" s="119">
        <v>246.39999999999989</v>
      </c>
      <c r="M101" s="117">
        <v>1542.2429658538983</v>
      </c>
    </row>
    <row r="102" spans="11:13" x14ac:dyDescent="0.4">
      <c r="K102" s="74">
        <v>100</v>
      </c>
      <c r="L102" s="119">
        <v>253.89999999999989</v>
      </c>
      <c r="M102" s="117">
        <v>1543.1595080587749</v>
      </c>
    </row>
    <row r="103" spans="11:13" x14ac:dyDescent="0.4">
      <c r="K103" s="74">
        <v>101</v>
      </c>
      <c r="L103" s="119">
        <v>271.69999999999987</v>
      </c>
      <c r="M103" s="117">
        <v>1545.9245510104222</v>
      </c>
    </row>
    <row r="104" spans="11:13" x14ac:dyDescent="0.4">
      <c r="K104" s="74">
        <v>102</v>
      </c>
      <c r="L104" s="119">
        <v>249.89999999999986</v>
      </c>
      <c r="M104" s="117">
        <v>1542.1450037043596</v>
      </c>
    </row>
    <row r="105" spans="11:13" x14ac:dyDescent="0.4">
      <c r="K105" s="74">
        <v>103</v>
      </c>
      <c r="L105" s="119">
        <v>251.99999999999986</v>
      </c>
      <c r="M105" s="117">
        <v>1542.6901336821334</v>
      </c>
    </row>
    <row r="106" spans="11:13" x14ac:dyDescent="0.4">
      <c r="K106" s="74">
        <v>104</v>
      </c>
      <c r="L106" s="119">
        <v>257.59999999999985</v>
      </c>
      <c r="M106" s="117">
        <v>1543.2859928800406</v>
      </c>
    </row>
    <row r="107" spans="11:13" x14ac:dyDescent="0.4">
      <c r="K107" s="74">
        <v>105</v>
      </c>
      <c r="L107" s="119">
        <v>208.59999999999985</v>
      </c>
      <c r="M107" s="117">
        <v>1534.0502769227603</v>
      </c>
    </row>
    <row r="108" spans="11:13" x14ac:dyDescent="0.4">
      <c r="K108" s="74">
        <v>106</v>
      </c>
      <c r="L108" s="119">
        <v>193.19999999999985</v>
      </c>
      <c r="M108" s="117">
        <v>1531.3679752612238</v>
      </c>
    </row>
    <row r="109" spans="11:13" x14ac:dyDescent="0.4">
      <c r="K109" s="74">
        <v>107</v>
      </c>
      <c r="L109" s="119">
        <v>235.69999999999985</v>
      </c>
      <c r="M109" s="117">
        <v>1539.1237674096565</v>
      </c>
    </row>
    <row r="110" spans="11:13" x14ac:dyDescent="0.4">
      <c r="K110" s="74">
        <v>108</v>
      </c>
      <c r="L110" s="119">
        <v>244.69999999999985</v>
      </c>
      <c r="M110" s="117">
        <v>1540.8270248051986</v>
      </c>
    </row>
    <row r="111" spans="11:13" x14ac:dyDescent="0.4">
      <c r="K111" s="74">
        <v>109</v>
      </c>
      <c r="L111" s="119">
        <v>185.79999999999984</v>
      </c>
      <c r="M111" s="117">
        <v>1530.3100626563673</v>
      </c>
    </row>
    <row r="112" spans="11:13" x14ac:dyDescent="0.4">
      <c r="K112" s="74">
        <v>110</v>
      </c>
      <c r="L112" s="119">
        <v>226.49999999999983</v>
      </c>
      <c r="M112" s="117">
        <v>1537.7782022804292</v>
      </c>
    </row>
    <row r="113" spans="11:13" x14ac:dyDescent="0.4">
      <c r="K113" s="74">
        <v>111</v>
      </c>
      <c r="L113" s="119">
        <v>217.99999999999983</v>
      </c>
      <c r="M113" s="117">
        <v>1536.3455330667466</v>
      </c>
    </row>
    <row r="114" spans="11:13" x14ac:dyDescent="0.4">
      <c r="K114" s="74">
        <v>112</v>
      </c>
      <c r="L114" s="119">
        <v>226.49999999999983</v>
      </c>
      <c r="M114" s="117">
        <v>1538.011459868346</v>
      </c>
    </row>
    <row r="115" spans="11:13" x14ac:dyDescent="0.4">
      <c r="K115" s="74">
        <v>113</v>
      </c>
      <c r="L115" s="119">
        <v>252.09999999999982</v>
      </c>
      <c r="M115" s="117">
        <v>1542.385391109136</v>
      </c>
    </row>
    <row r="116" spans="11:13" x14ac:dyDescent="0.4">
      <c r="K116" s="74">
        <v>114</v>
      </c>
      <c r="L116" s="119">
        <v>273.99999999999983</v>
      </c>
      <c r="M116" s="117">
        <v>1546.5170787624811</v>
      </c>
    </row>
    <row r="117" spans="11:13" x14ac:dyDescent="0.4">
      <c r="K117" s="74">
        <v>115</v>
      </c>
      <c r="L117" s="119">
        <v>264.69999999999982</v>
      </c>
      <c r="M117" s="117">
        <v>1544.4019762899063</v>
      </c>
    </row>
    <row r="118" spans="11:13" x14ac:dyDescent="0.4">
      <c r="K118" s="74">
        <v>116</v>
      </c>
      <c r="L118" s="119">
        <v>247.69999999999982</v>
      </c>
      <c r="M118" s="117">
        <v>1541.417564432167</v>
      </c>
    </row>
    <row r="119" spans="11:13" x14ac:dyDescent="0.4">
      <c r="K119" s="74">
        <v>117</v>
      </c>
      <c r="L119" s="119">
        <v>269.39999999999981</v>
      </c>
      <c r="M119" s="117">
        <v>1545.417059045574</v>
      </c>
    </row>
    <row r="120" spans="11:13" x14ac:dyDescent="0.4">
      <c r="K120" s="74">
        <v>118</v>
      </c>
      <c r="L120" s="119">
        <v>223.89999999999981</v>
      </c>
      <c r="M120" s="117">
        <v>1537.3085566913005</v>
      </c>
    </row>
    <row r="121" spans="11:13" x14ac:dyDescent="0.4">
      <c r="K121" s="74">
        <v>119</v>
      </c>
      <c r="L121" s="119">
        <v>218.29999999999981</v>
      </c>
      <c r="M121" s="117">
        <v>1536.4427053511527</v>
      </c>
    </row>
    <row r="122" spans="11:13" x14ac:dyDescent="0.4">
      <c r="K122" s="74">
        <v>120</v>
      </c>
      <c r="L122" s="119">
        <v>197.79999999999981</v>
      </c>
      <c r="M122" s="117">
        <v>1532.3480491190458</v>
      </c>
    </row>
    <row r="123" spans="11:13" x14ac:dyDescent="0.4">
      <c r="K123" s="74">
        <v>121</v>
      </c>
      <c r="L123" s="119">
        <v>171.59999999999982</v>
      </c>
      <c r="M123" s="117">
        <v>1527.8399608243315</v>
      </c>
    </row>
    <row r="124" spans="11:13" x14ac:dyDescent="0.4">
      <c r="K124" s="74">
        <v>122</v>
      </c>
      <c r="L124" s="119">
        <v>163.89999999999984</v>
      </c>
      <c r="M124" s="117">
        <v>1526.6529210593856</v>
      </c>
    </row>
    <row r="125" spans="11:13" x14ac:dyDescent="0.4">
      <c r="K125" s="74">
        <v>123</v>
      </c>
      <c r="L125" s="119">
        <v>203.39999999999984</v>
      </c>
      <c r="M125" s="117">
        <v>1534.2150035330292</v>
      </c>
    </row>
  </sheetData>
  <sortState xmlns:xlrd2="http://schemas.microsoft.com/office/spreadsheetml/2017/richdata2" ref="E2:I126">
    <sortCondition descending="1" ref="H1"/>
  </sortState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16939-A0C5-488D-A9E7-2A7117A4E511}">
  <sheetPr codeName="Sheet2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7" t="s">
        <v>223</v>
      </c>
      <c r="C1" s="138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25">
        <v>33</v>
      </c>
      <c r="C2" s="126"/>
      <c r="E2" s="26" t="s">
        <v>64</v>
      </c>
      <c r="F2" s="23" t="s">
        <v>20</v>
      </c>
      <c r="G2" s="11">
        <v>30</v>
      </c>
      <c r="H2" s="87">
        <f t="shared" ref="H2:H33" si="0">IF(B$52=0,0,G2/B$52)</f>
        <v>0.66666666666666663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327.27272727272725</v>
      </c>
      <c r="Q2" s="76">
        <v>33</v>
      </c>
      <c r="R2" s="63">
        <v>10800</v>
      </c>
    </row>
    <row r="3" spans="1:18" x14ac:dyDescent="0.4">
      <c r="A3" s="19" t="s">
        <v>8</v>
      </c>
      <c r="B3" s="139">
        <v>270</v>
      </c>
      <c r="C3" s="140"/>
      <c r="E3" s="27" t="s">
        <v>67</v>
      </c>
      <c r="F3" s="24" t="s">
        <v>23</v>
      </c>
      <c r="G3" s="12">
        <v>24</v>
      </c>
      <c r="H3" s="88">
        <f t="shared" si="0"/>
        <v>0.53333333333333333</v>
      </c>
      <c r="I3" s="58">
        <v>1</v>
      </c>
      <c r="K3" s="74">
        <v>1</v>
      </c>
      <c r="L3" s="119">
        <v>-14.4</v>
      </c>
      <c r="M3" s="117">
        <v>1497.4860000000001</v>
      </c>
      <c r="O3" s="74" t="s">
        <v>129</v>
      </c>
      <c r="P3" s="80">
        <f t="shared" si="1"/>
        <v>2145.1612903225805</v>
      </c>
      <c r="Q3" s="77">
        <v>31</v>
      </c>
      <c r="R3" s="64">
        <v>66500</v>
      </c>
    </row>
    <row r="4" spans="1:18" x14ac:dyDescent="0.4">
      <c r="A4" s="19" t="s">
        <v>6</v>
      </c>
      <c r="B4" s="141">
        <v>-9.3999999999999773</v>
      </c>
      <c r="C4" s="142"/>
      <c r="E4" s="27" t="s">
        <v>66</v>
      </c>
      <c r="F4" s="24" t="s">
        <v>22</v>
      </c>
      <c r="G4" s="12">
        <v>22</v>
      </c>
      <c r="H4" s="88">
        <f t="shared" si="0"/>
        <v>0.48888888888888887</v>
      </c>
      <c r="I4" s="58">
        <v>12</v>
      </c>
      <c r="K4" s="74">
        <v>2</v>
      </c>
      <c r="L4" s="119">
        <v>37.6</v>
      </c>
      <c r="M4" s="117">
        <v>1506.9390840000001</v>
      </c>
      <c r="O4" s="74" t="s">
        <v>130</v>
      </c>
      <c r="P4" s="80">
        <f t="shared" si="1"/>
        <v>-867.85714285714289</v>
      </c>
      <c r="Q4" s="77">
        <v>28</v>
      </c>
      <c r="R4" s="64">
        <v>-24300</v>
      </c>
    </row>
    <row r="5" spans="1:18" x14ac:dyDescent="0.4">
      <c r="A5" s="19" t="s">
        <v>7</v>
      </c>
      <c r="B5" s="129">
        <f>IF(B$2=0,0,B$4/B$2)</f>
        <v>-0.28484848484848418</v>
      </c>
      <c r="C5" s="130"/>
      <c r="E5" s="27" t="s">
        <v>72</v>
      </c>
      <c r="F5" s="24" t="s">
        <v>27</v>
      </c>
      <c r="G5" s="12">
        <v>21</v>
      </c>
      <c r="H5" s="88">
        <f t="shared" si="0"/>
        <v>0.46666666666666667</v>
      </c>
      <c r="I5" s="58">
        <v>12</v>
      </c>
      <c r="K5" s="74">
        <v>3</v>
      </c>
      <c r="L5" s="119">
        <v>-2.7999999999999972</v>
      </c>
      <c r="M5" s="117">
        <v>1499.7034494960001</v>
      </c>
      <c r="O5" s="74" t="s">
        <v>131</v>
      </c>
      <c r="P5" s="80">
        <f t="shared" si="1"/>
        <v>469.23076923076923</v>
      </c>
      <c r="Q5" s="77">
        <v>26</v>
      </c>
      <c r="R5" s="64">
        <v>12200</v>
      </c>
    </row>
    <row r="6" spans="1:18" x14ac:dyDescent="0.4">
      <c r="A6" s="19" t="s">
        <v>196</v>
      </c>
      <c r="B6" s="133">
        <v>1500.5113530760734</v>
      </c>
      <c r="C6" s="134"/>
      <c r="E6" s="27" t="s">
        <v>68</v>
      </c>
      <c r="F6" s="24" t="s">
        <v>12</v>
      </c>
      <c r="G6" s="12">
        <v>17</v>
      </c>
      <c r="H6" s="88">
        <f t="shared" si="0"/>
        <v>0.37777777777777777</v>
      </c>
      <c r="I6" s="58">
        <v>1</v>
      </c>
      <c r="K6" s="74">
        <v>4</v>
      </c>
      <c r="L6" s="119">
        <v>-44.3</v>
      </c>
      <c r="M6" s="117">
        <v>1492.313228799024</v>
      </c>
      <c r="O6" s="74" t="s">
        <v>132</v>
      </c>
      <c r="P6" s="80">
        <f t="shared" si="1"/>
        <v>-1950</v>
      </c>
      <c r="Q6" s="77">
        <v>22</v>
      </c>
      <c r="R6" s="64">
        <v>-42900</v>
      </c>
    </row>
    <row r="7" spans="1:18" x14ac:dyDescent="0.4">
      <c r="A7" s="19" t="s">
        <v>1</v>
      </c>
      <c r="B7" s="135">
        <f>IF(B$2=0,0,(B$8*1+B$9*2+B$10*3)/B$2)</f>
        <v>2.0606060606060606</v>
      </c>
      <c r="C7" s="136"/>
      <c r="E7" s="27" t="s">
        <v>65</v>
      </c>
      <c r="F7" s="24" t="s">
        <v>21</v>
      </c>
      <c r="G7" s="12">
        <v>7</v>
      </c>
      <c r="H7" s="88">
        <f t="shared" si="0"/>
        <v>0.15555555555555556</v>
      </c>
      <c r="I7" s="58">
        <v>3</v>
      </c>
      <c r="K7" s="74">
        <v>5</v>
      </c>
      <c r="L7" s="119">
        <v>8.2000000000000028</v>
      </c>
      <c r="M7" s="117">
        <v>1501.88734942623</v>
      </c>
      <c r="O7" s="75" t="s">
        <v>133</v>
      </c>
      <c r="P7" s="81">
        <f t="shared" si="1"/>
        <v>-1668.421052631579</v>
      </c>
      <c r="Q7" s="78">
        <v>19</v>
      </c>
      <c r="R7" s="65">
        <v>-31700</v>
      </c>
    </row>
    <row r="8" spans="1:18" x14ac:dyDescent="0.4">
      <c r="A8" s="19" t="s">
        <v>2</v>
      </c>
      <c r="B8" s="12">
        <v>11</v>
      </c>
      <c r="C8" s="6">
        <f t="shared" ref="C8:C15" si="2">IF(B$2=0,0,B8/B$2)</f>
        <v>0.33333333333333331</v>
      </c>
      <c r="E8" s="27" t="s">
        <v>89</v>
      </c>
      <c r="F8" s="24" t="s">
        <v>44</v>
      </c>
      <c r="G8" s="12">
        <v>7</v>
      </c>
      <c r="H8" s="88">
        <f t="shared" si="0"/>
        <v>0.15555555555555556</v>
      </c>
      <c r="I8" s="58">
        <v>7</v>
      </c>
      <c r="K8" s="74">
        <v>6</v>
      </c>
      <c r="L8" s="119">
        <v>23.200000000000003</v>
      </c>
      <c r="M8" s="117">
        <v>1504.6540253296725</v>
      </c>
      <c r="O8" s="107"/>
      <c r="P8" s="85"/>
      <c r="Q8" s="108"/>
      <c r="R8" s="70"/>
    </row>
    <row r="9" spans="1:18" x14ac:dyDescent="0.4">
      <c r="A9" s="19" t="s">
        <v>3</v>
      </c>
      <c r="B9" s="12">
        <v>9</v>
      </c>
      <c r="C9" s="6">
        <f t="shared" si="2"/>
        <v>0.27272727272727271</v>
      </c>
      <c r="E9" s="27" t="s">
        <v>69</v>
      </c>
      <c r="F9" s="24" t="s">
        <v>24</v>
      </c>
      <c r="G9" s="12">
        <v>6</v>
      </c>
      <c r="H9" s="88">
        <f t="shared" si="0"/>
        <v>0.13333333333333333</v>
      </c>
      <c r="I9" s="58">
        <v>8</v>
      </c>
      <c r="K9" s="74">
        <v>7</v>
      </c>
      <c r="L9" s="119">
        <v>40</v>
      </c>
      <c r="M9" s="117">
        <v>1507.7281011776945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13</v>
      </c>
      <c r="C10" s="7">
        <f t="shared" si="2"/>
        <v>0.39393939393939392</v>
      </c>
      <c r="E10" s="27" t="s">
        <v>70</v>
      </c>
      <c r="F10" s="24" t="s">
        <v>25</v>
      </c>
      <c r="G10" s="12">
        <v>4</v>
      </c>
      <c r="H10" s="88">
        <f t="shared" si="0"/>
        <v>8.8888888888888892E-2</v>
      </c>
      <c r="I10" s="58">
        <v>7</v>
      </c>
      <c r="K10" s="74">
        <v>8</v>
      </c>
      <c r="L10" s="119">
        <v>4.2000000000000028</v>
      </c>
      <c r="M10" s="117">
        <v>1501.3157325706284</v>
      </c>
      <c r="O10" s="73" t="s">
        <v>152</v>
      </c>
      <c r="P10" s="82">
        <f>IF(Q10=0,0,R10/Q10)</f>
        <v>5.815384615384616</v>
      </c>
      <c r="Q10" s="76">
        <v>13</v>
      </c>
      <c r="R10" s="67">
        <v>75.600000000000009</v>
      </c>
    </row>
    <row r="11" spans="1:18" x14ac:dyDescent="0.4">
      <c r="A11" s="20" t="s">
        <v>185</v>
      </c>
      <c r="B11" s="109">
        <f>IF(B8=0,0,C11/B8)</f>
        <v>34.109090909090916</v>
      </c>
      <c r="C11" s="110">
        <v>375.20000000000005</v>
      </c>
      <c r="E11" s="27" t="s">
        <v>71</v>
      </c>
      <c r="F11" s="24" t="s">
        <v>26</v>
      </c>
      <c r="G11" s="12">
        <v>2</v>
      </c>
      <c r="H11" s="88">
        <f t="shared" si="0"/>
        <v>4.4444444444444446E-2</v>
      </c>
      <c r="I11" s="58">
        <v>7</v>
      </c>
      <c r="K11" s="74">
        <v>9</v>
      </c>
      <c r="L11" s="119">
        <v>6.8000000000000025</v>
      </c>
      <c r="M11" s="117">
        <v>1501.8538381752046</v>
      </c>
      <c r="O11" s="74" t="s">
        <v>153</v>
      </c>
      <c r="P11" s="83">
        <f>IF(Q11=0,0,R11/Q11)</f>
        <v>6.8181818181818157</v>
      </c>
      <c r="Q11" s="77">
        <v>11</v>
      </c>
      <c r="R11" s="68">
        <v>74.999999999999972</v>
      </c>
    </row>
    <row r="12" spans="1:18" x14ac:dyDescent="0.4">
      <c r="A12" s="20" t="s">
        <v>186</v>
      </c>
      <c r="B12" s="109">
        <f>IF(B9=0,0,C12/B9)</f>
        <v>0.48888888888888882</v>
      </c>
      <c r="C12" s="110">
        <v>4.3999999999999995</v>
      </c>
      <c r="E12" s="27" t="s">
        <v>78</v>
      </c>
      <c r="F12" s="24" t="s">
        <v>33</v>
      </c>
      <c r="G12" s="12">
        <v>2</v>
      </c>
      <c r="H12" s="88">
        <f t="shared" si="0"/>
        <v>4.4444444444444446E-2</v>
      </c>
      <c r="I12" s="58">
        <v>3</v>
      </c>
      <c r="K12" s="74">
        <v>10</v>
      </c>
      <c r="L12" s="119">
        <v>56.800000000000004</v>
      </c>
      <c r="M12" s="117">
        <v>1510.9207151461533</v>
      </c>
      <c r="O12" s="75" t="s">
        <v>154</v>
      </c>
      <c r="P12" s="84">
        <f>IF(Q12=0,0,R12/Q12)</f>
        <v>-17.777777777777779</v>
      </c>
      <c r="Q12" s="78">
        <v>9</v>
      </c>
      <c r="R12" s="69">
        <v>-160</v>
      </c>
    </row>
    <row r="13" spans="1:18" x14ac:dyDescent="0.4">
      <c r="A13" s="20" t="s">
        <v>187</v>
      </c>
      <c r="B13" s="109">
        <f>IF(B10=0,0,C13/B10)</f>
        <v>-29.923076923076923</v>
      </c>
      <c r="C13" s="110">
        <v>-389</v>
      </c>
      <c r="E13" s="27" t="s">
        <v>73</v>
      </c>
      <c r="F13" s="24" t="s">
        <v>28</v>
      </c>
      <c r="G13" s="12">
        <v>1</v>
      </c>
      <c r="H13" s="88">
        <f t="shared" si="0"/>
        <v>2.2222222222222223E-2</v>
      </c>
      <c r="I13" s="58">
        <v>1</v>
      </c>
      <c r="K13" s="74">
        <v>11</v>
      </c>
      <c r="L13" s="119">
        <v>69.300000000000011</v>
      </c>
      <c r="M13" s="117">
        <v>1513.1831908552763</v>
      </c>
      <c r="O13" s="103"/>
      <c r="P13" s="71"/>
      <c r="Q13" s="111"/>
      <c r="R13" s="71"/>
    </row>
    <row r="14" spans="1:18" x14ac:dyDescent="0.4">
      <c r="A14" s="20" t="s">
        <v>188</v>
      </c>
      <c r="B14" s="129">
        <f>AVERAGE(B11:B13)</f>
        <v>1.5583009583009602</v>
      </c>
      <c r="C14" s="130"/>
      <c r="E14" s="27" t="s">
        <v>79</v>
      </c>
      <c r="F14" s="24" t="s">
        <v>34</v>
      </c>
      <c r="G14" s="12">
        <v>1</v>
      </c>
      <c r="H14" s="88">
        <f t="shared" si="0"/>
        <v>2.2222222222222223E-2</v>
      </c>
      <c r="I14" s="58">
        <v>5</v>
      </c>
      <c r="K14" s="74">
        <v>12</v>
      </c>
      <c r="L14" s="119">
        <v>80.800000000000011</v>
      </c>
      <c r="M14" s="117">
        <v>1515.2520917101447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6</v>
      </c>
      <c r="C15" s="9">
        <f t="shared" si="2"/>
        <v>0.18181818181818182</v>
      </c>
      <c r="E15" s="27" t="s">
        <v>83</v>
      </c>
      <c r="F15" s="24" t="s">
        <v>38</v>
      </c>
      <c r="G15" s="12">
        <v>1</v>
      </c>
      <c r="H15" s="88">
        <f t="shared" si="0"/>
        <v>2.2222222222222223E-2</v>
      </c>
      <c r="I15" s="58">
        <v>10</v>
      </c>
      <c r="K15" s="74">
        <v>13</v>
      </c>
      <c r="L15" s="119">
        <v>155.10000000000002</v>
      </c>
      <c r="M15" s="117">
        <v>1528.6845791598837</v>
      </c>
      <c r="O15" s="73" t="s">
        <v>190</v>
      </c>
      <c r="P15" s="82">
        <f t="shared" ref="P15:P21" si="3">IF(Q15=0,0,R15/Q15)</f>
        <v>24.993333333333332</v>
      </c>
      <c r="Q15" s="76">
        <v>15</v>
      </c>
      <c r="R15" s="67">
        <v>374.9</v>
      </c>
    </row>
    <row r="16" spans="1:18" x14ac:dyDescent="0.4">
      <c r="A16" s="22" t="s">
        <v>121</v>
      </c>
      <c r="B16" s="15">
        <v>58</v>
      </c>
      <c r="C16" s="10">
        <f>IF(B$51=0,0,B16/B$51)</f>
        <v>0.30851063829787234</v>
      </c>
      <c r="E16" s="27" t="s">
        <v>86</v>
      </c>
      <c r="F16" s="24" t="s">
        <v>41</v>
      </c>
      <c r="G16" s="12">
        <v>1</v>
      </c>
      <c r="H16" s="88">
        <f t="shared" si="0"/>
        <v>2.2222222222222223E-2</v>
      </c>
      <c r="I16" s="58">
        <v>13</v>
      </c>
      <c r="K16" s="74">
        <v>14</v>
      </c>
      <c r="L16" s="119">
        <v>147.10000000000002</v>
      </c>
      <c r="M16" s="117">
        <v>1527.4324716849244</v>
      </c>
      <c r="O16" s="74" t="s">
        <v>195</v>
      </c>
      <c r="P16" s="83">
        <f t="shared" si="3"/>
        <v>0.14444444444444493</v>
      </c>
      <c r="Q16" s="77">
        <v>9</v>
      </c>
      <c r="R16" s="68">
        <v>1.3000000000000043</v>
      </c>
    </row>
    <row r="17" spans="1:18" x14ac:dyDescent="0.4">
      <c r="A17" s="19" t="s">
        <v>118</v>
      </c>
      <c r="B17" s="12">
        <v>39</v>
      </c>
      <c r="C17" s="6">
        <f>IF(B$51=0,0,B17/B$51)</f>
        <v>0.20744680851063829</v>
      </c>
      <c r="E17" s="27" t="s">
        <v>91</v>
      </c>
      <c r="F17" s="24" t="s">
        <v>46</v>
      </c>
      <c r="G17" s="12">
        <v>1</v>
      </c>
      <c r="H17" s="88">
        <f t="shared" si="0"/>
        <v>2.2222222222222223E-2</v>
      </c>
      <c r="I17" s="58">
        <v>5</v>
      </c>
      <c r="K17" s="74">
        <v>15</v>
      </c>
      <c r="L17" s="119">
        <v>148.80000000000001</v>
      </c>
      <c r="M17" s="117">
        <v>1527.7538768548147</v>
      </c>
      <c r="O17" s="74" t="s">
        <v>205</v>
      </c>
      <c r="P17" s="83">
        <f t="shared" si="3"/>
        <v>-4.3000000000000007</v>
      </c>
      <c r="Q17" s="77">
        <v>4</v>
      </c>
      <c r="R17" s="68">
        <v>-17.200000000000003</v>
      </c>
    </row>
    <row r="18" spans="1:18" x14ac:dyDescent="0.4">
      <c r="A18" s="18" t="s">
        <v>123</v>
      </c>
      <c r="B18" s="11">
        <f>B24</f>
        <v>30</v>
      </c>
      <c r="C18" s="5">
        <f>IF(B$16=0,0,B18/B$16)</f>
        <v>0.51724137931034486</v>
      </c>
      <c r="E18" s="27" t="s">
        <v>92</v>
      </c>
      <c r="F18" s="24" t="s">
        <v>47</v>
      </c>
      <c r="G18" s="12">
        <v>1</v>
      </c>
      <c r="H18" s="88">
        <f t="shared" si="0"/>
        <v>2.2222222222222223E-2</v>
      </c>
      <c r="I18" s="58">
        <v>1</v>
      </c>
      <c r="K18" s="74">
        <v>16</v>
      </c>
      <c r="L18" s="119">
        <v>152.30000000000001</v>
      </c>
      <c r="M18" s="117">
        <v>1528.0253535936858</v>
      </c>
      <c r="O18" s="74" t="s">
        <v>193</v>
      </c>
      <c r="P18" s="83">
        <f t="shared" si="3"/>
        <v>-4.3833333333333337</v>
      </c>
      <c r="Q18" s="77">
        <v>6</v>
      </c>
      <c r="R18" s="68">
        <v>-26.300000000000004</v>
      </c>
    </row>
    <row r="19" spans="1:18" x14ac:dyDescent="0.4">
      <c r="A19" s="18" t="s">
        <v>124</v>
      </c>
      <c r="B19" s="11">
        <f>B25</f>
        <v>9</v>
      </c>
      <c r="C19" s="5">
        <f>IF(B$17=0,0,B19/B$17)</f>
        <v>0.23076923076923078</v>
      </c>
      <c r="E19" s="27" t="s">
        <v>74</v>
      </c>
      <c r="F19" s="24" t="s">
        <v>29</v>
      </c>
      <c r="G19" s="12">
        <v>0</v>
      </c>
      <c r="H19" s="88">
        <f t="shared" si="0"/>
        <v>0</v>
      </c>
      <c r="I19" s="58">
        <v>6</v>
      </c>
      <c r="K19" s="74">
        <v>17</v>
      </c>
      <c r="L19" s="119">
        <v>178.10000000000002</v>
      </c>
      <c r="M19" s="117">
        <v>1532.6632014721238</v>
      </c>
      <c r="O19" s="74" t="s">
        <v>126</v>
      </c>
      <c r="P19" s="83">
        <f t="shared" si="3"/>
        <v>-9.155555555555555</v>
      </c>
      <c r="Q19" s="77">
        <v>27</v>
      </c>
      <c r="R19" s="68">
        <v>-247.2</v>
      </c>
    </row>
    <row r="20" spans="1:18" x14ac:dyDescent="0.4">
      <c r="A20" s="18" t="s">
        <v>10</v>
      </c>
      <c r="B20" s="11">
        <f>B23+B22</f>
        <v>73</v>
      </c>
      <c r="C20" s="5">
        <f>IF(B$3=0,0,B20/B$3)</f>
        <v>0.27037037037037037</v>
      </c>
      <c r="E20" s="27" t="s">
        <v>75</v>
      </c>
      <c r="F20" s="24" t="s">
        <v>30</v>
      </c>
      <c r="G20" s="12">
        <v>0</v>
      </c>
      <c r="H20" s="88">
        <f t="shared" si="0"/>
        <v>0</v>
      </c>
      <c r="I20" s="58">
        <v>7</v>
      </c>
      <c r="K20" s="74">
        <v>18</v>
      </c>
      <c r="L20" s="119">
        <v>155.00000000000003</v>
      </c>
      <c r="M20" s="117">
        <v>1528.513222263291</v>
      </c>
      <c r="O20" s="74" t="s">
        <v>164</v>
      </c>
      <c r="P20" s="83">
        <f t="shared" si="3"/>
        <v>-19.925000000000004</v>
      </c>
      <c r="Q20" s="77">
        <v>4</v>
      </c>
      <c r="R20" s="68">
        <v>-79.700000000000017</v>
      </c>
    </row>
    <row r="21" spans="1:18" x14ac:dyDescent="0.4">
      <c r="A21" s="19" t="s">
        <v>13</v>
      </c>
      <c r="B21" s="12">
        <v>47</v>
      </c>
      <c r="C21" s="6">
        <f>IF(B$3=0,0,B21/B$3)</f>
        <v>0.17407407407407408</v>
      </c>
      <c r="E21" s="27" t="s">
        <v>76</v>
      </c>
      <c r="F21" s="24" t="s">
        <v>31</v>
      </c>
      <c r="G21" s="12">
        <v>0</v>
      </c>
      <c r="H21" s="88">
        <f t="shared" si="0"/>
        <v>0</v>
      </c>
      <c r="I21" s="58">
        <v>1</v>
      </c>
      <c r="K21" s="74">
        <v>19</v>
      </c>
      <c r="L21" s="119">
        <v>143.60000000000002</v>
      </c>
      <c r="M21" s="117">
        <v>1526.4941429297112</v>
      </c>
      <c r="O21" s="74" t="s">
        <v>211</v>
      </c>
      <c r="P21" s="83">
        <f t="shared" si="3"/>
        <v>-34</v>
      </c>
      <c r="Q21" s="77">
        <v>1</v>
      </c>
      <c r="R21" s="68">
        <v>-34</v>
      </c>
    </row>
    <row r="22" spans="1:18" x14ac:dyDescent="0.4">
      <c r="A22" s="19" t="s">
        <v>12</v>
      </c>
      <c r="B22" s="12">
        <v>33</v>
      </c>
      <c r="C22" s="6">
        <f>IF(B$20=0,0,B22/B$20)</f>
        <v>0.45205479452054792</v>
      </c>
      <c r="E22" s="27" t="s">
        <v>77</v>
      </c>
      <c r="F22" s="24" t="s">
        <v>32</v>
      </c>
      <c r="G22" s="12">
        <v>0</v>
      </c>
      <c r="H22" s="88">
        <f t="shared" si="0"/>
        <v>0</v>
      </c>
      <c r="I22" s="58">
        <v>7</v>
      </c>
      <c r="K22" s="74">
        <v>20</v>
      </c>
      <c r="L22" s="119">
        <v>152.50000000000003</v>
      </c>
      <c r="M22" s="117">
        <v>1527.7691780721329</v>
      </c>
    </row>
    <row r="23" spans="1:18" x14ac:dyDescent="0.4">
      <c r="A23" s="19" t="s">
        <v>11</v>
      </c>
      <c r="B23" s="12">
        <v>40</v>
      </c>
      <c r="C23" s="6">
        <f>IF(B$20=0,0,B23/B$20)</f>
        <v>0.54794520547945202</v>
      </c>
      <c r="E23" s="27" t="s">
        <v>80</v>
      </c>
      <c r="F23" s="24" t="s">
        <v>35</v>
      </c>
      <c r="G23" s="12">
        <v>0</v>
      </c>
      <c r="H23" s="88">
        <f t="shared" si="0"/>
        <v>0</v>
      </c>
      <c r="I23" s="58">
        <v>3</v>
      </c>
      <c r="K23" s="74">
        <v>21</v>
      </c>
      <c r="L23" s="119">
        <v>138.00000000000003</v>
      </c>
      <c r="M23" s="117">
        <v>1525.1665630037</v>
      </c>
    </row>
    <row r="24" spans="1:18" x14ac:dyDescent="0.4">
      <c r="A24" s="19" t="s">
        <v>184</v>
      </c>
      <c r="B24" s="12">
        <v>30</v>
      </c>
      <c r="C24" s="6">
        <f>IF(B$20=0,0,B24/B$20)</f>
        <v>0.41095890410958902</v>
      </c>
      <c r="E24" s="27" t="s">
        <v>81</v>
      </c>
      <c r="F24" s="24" t="s">
        <v>36</v>
      </c>
      <c r="G24" s="12">
        <v>0</v>
      </c>
      <c r="H24" s="88">
        <f t="shared" si="0"/>
        <v>0</v>
      </c>
      <c r="I24" s="58">
        <v>10</v>
      </c>
      <c r="K24" s="74">
        <v>22</v>
      </c>
      <c r="L24" s="119">
        <v>101.30000000000003</v>
      </c>
      <c r="M24" s="117">
        <v>1518.5835636256779</v>
      </c>
    </row>
    <row r="25" spans="1:18" x14ac:dyDescent="0.4">
      <c r="A25" s="19" t="s">
        <v>182</v>
      </c>
      <c r="B25" s="12">
        <v>9</v>
      </c>
      <c r="C25" s="6">
        <f>IF(B$20=0,0,B25/B$20)</f>
        <v>0.12328767123287671</v>
      </c>
      <c r="E25" s="27" t="s">
        <v>82</v>
      </c>
      <c r="F25" s="24" t="s">
        <v>37</v>
      </c>
      <c r="G25" s="12">
        <v>0</v>
      </c>
      <c r="H25" s="88">
        <f t="shared" si="0"/>
        <v>0</v>
      </c>
      <c r="I25" s="58">
        <v>1</v>
      </c>
      <c r="K25" s="74">
        <v>23</v>
      </c>
      <c r="L25" s="119">
        <v>53.800000000000026</v>
      </c>
      <c r="M25" s="117">
        <v>1510.3060622439239</v>
      </c>
    </row>
    <row r="26" spans="1:18" x14ac:dyDescent="0.4">
      <c r="A26" s="19" t="s">
        <v>183</v>
      </c>
      <c r="B26" s="12">
        <v>34</v>
      </c>
      <c r="C26" s="6">
        <f>IF(B$20=0,0,B26/B$20)</f>
        <v>0.46575342465753422</v>
      </c>
      <c r="E26" s="27" t="s">
        <v>84</v>
      </c>
      <c r="F26" s="24" t="s">
        <v>39</v>
      </c>
      <c r="G26" s="12">
        <v>0</v>
      </c>
      <c r="H26" s="88">
        <f t="shared" si="0"/>
        <v>0</v>
      </c>
      <c r="I26" s="58">
        <v>5</v>
      </c>
      <c r="K26" s="74">
        <v>24</v>
      </c>
      <c r="L26" s="119">
        <v>81.500000000000028</v>
      </c>
      <c r="M26" s="117">
        <v>1515.6862258704602</v>
      </c>
    </row>
    <row r="27" spans="1:18" x14ac:dyDescent="0.4">
      <c r="A27" s="19" t="s">
        <v>5</v>
      </c>
      <c r="B27" s="16">
        <f>IF(B$20=0,0,C27/B$20)</f>
        <v>11054.794520547945</v>
      </c>
      <c r="C27" s="8">
        <v>807000</v>
      </c>
      <c r="E27" s="27" t="s">
        <v>85</v>
      </c>
      <c r="F27" s="24" t="s">
        <v>40</v>
      </c>
      <c r="G27" s="12">
        <v>0</v>
      </c>
      <c r="H27" s="88">
        <f t="shared" si="0"/>
        <v>0</v>
      </c>
      <c r="I27" s="58">
        <v>6</v>
      </c>
      <c r="K27" s="74">
        <v>25</v>
      </c>
      <c r="L27" s="119">
        <v>79.500000000000028</v>
      </c>
      <c r="M27" s="117">
        <v>1515.5141085152375</v>
      </c>
    </row>
    <row r="28" spans="1:18" x14ac:dyDescent="0.4">
      <c r="A28" s="20" t="s">
        <v>166</v>
      </c>
      <c r="B28" s="95">
        <f>IF($B$20-B$19=0,0,C28/($B$20-B$19))</f>
        <v>11540.625</v>
      </c>
      <c r="C28" s="96">
        <v>738600</v>
      </c>
      <c r="E28" s="27" t="s">
        <v>87</v>
      </c>
      <c r="F28" s="24" t="s">
        <v>42</v>
      </c>
      <c r="G28" s="12">
        <v>0</v>
      </c>
      <c r="H28" s="88">
        <f t="shared" si="0"/>
        <v>0</v>
      </c>
      <c r="I28" s="58">
        <v>5</v>
      </c>
      <c r="K28" s="74">
        <v>26</v>
      </c>
      <c r="L28" s="119">
        <v>51.10000000000003</v>
      </c>
      <c r="M28" s="117">
        <v>1510.2850238641461</v>
      </c>
    </row>
    <row r="29" spans="1:18" x14ac:dyDescent="0.4">
      <c r="A29" s="20" t="s">
        <v>167</v>
      </c>
      <c r="B29" s="95">
        <f>IF(B$19=0,0,C29/B$19)</f>
        <v>7600</v>
      </c>
      <c r="C29" s="96">
        <v>68400</v>
      </c>
      <c r="E29" s="27" t="s">
        <v>88</v>
      </c>
      <c r="F29" s="24" t="s">
        <v>43</v>
      </c>
      <c r="G29" s="12">
        <v>0</v>
      </c>
      <c r="H29" s="88">
        <f t="shared" si="0"/>
        <v>0</v>
      </c>
      <c r="I29" s="58">
        <v>3</v>
      </c>
      <c r="K29" s="74">
        <v>27</v>
      </c>
      <c r="L29" s="119">
        <v>64.700000000000031</v>
      </c>
      <c r="M29" s="117">
        <v>1513.0913137209611</v>
      </c>
    </row>
    <row r="30" spans="1:18" x14ac:dyDescent="0.4">
      <c r="A30" s="20" t="s">
        <v>165</v>
      </c>
      <c r="B30" s="95">
        <f>IF(B$21=0,0,C30/B$21)</f>
        <v>-8859.5744680851058</v>
      </c>
      <c r="C30" s="96">
        <v>-416400</v>
      </c>
      <c r="E30" s="27" t="s">
        <v>90</v>
      </c>
      <c r="F30" s="24" t="s">
        <v>45</v>
      </c>
      <c r="G30" s="12">
        <v>0</v>
      </c>
      <c r="H30" s="88">
        <f t="shared" si="0"/>
        <v>0</v>
      </c>
      <c r="I30" s="58">
        <v>4</v>
      </c>
      <c r="K30" s="74">
        <v>28</v>
      </c>
      <c r="L30" s="119">
        <v>49.60000000000003</v>
      </c>
      <c r="M30" s="117">
        <v>1510.7147658386355</v>
      </c>
    </row>
    <row r="31" spans="1:18" x14ac:dyDescent="0.4">
      <c r="A31" s="19" t="s">
        <v>158</v>
      </c>
      <c r="B31" s="12">
        <v>4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>
        <v>6</v>
      </c>
      <c r="K31" s="74">
        <v>29</v>
      </c>
      <c r="L31" s="119">
        <v>15.400000000000027</v>
      </c>
      <c r="M31" s="117">
        <v>1504.8364772436037</v>
      </c>
    </row>
    <row r="32" spans="1:18" x14ac:dyDescent="0.4">
      <c r="A32" s="19" t="s">
        <v>159</v>
      </c>
      <c r="B32" s="12">
        <v>23</v>
      </c>
      <c r="C32" s="90">
        <v>4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>
        <v>1</v>
      </c>
      <c r="K32" s="74">
        <v>30</v>
      </c>
      <c r="L32" s="119">
        <v>-30.799999999999976</v>
      </c>
      <c r="M32" s="117">
        <v>1496.8274583801419</v>
      </c>
    </row>
    <row r="33" spans="1:13" x14ac:dyDescent="0.4">
      <c r="A33" s="54" t="s">
        <v>136</v>
      </c>
      <c r="B33" s="131">
        <v>7</v>
      </c>
      <c r="C33" s="132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>
        <v>3</v>
      </c>
      <c r="K33" s="74">
        <v>31</v>
      </c>
      <c r="L33" s="119">
        <v>-26.799999999999976</v>
      </c>
      <c r="M33" s="117">
        <v>1497.482493629861</v>
      </c>
    </row>
    <row r="34" spans="1:13" x14ac:dyDescent="0.4">
      <c r="A34" s="22" t="s">
        <v>181</v>
      </c>
      <c r="B34" s="133">
        <v>109300</v>
      </c>
      <c r="C34" s="134"/>
      <c r="E34" s="27" t="s">
        <v>96</v>
      </c>
      <c r="F34" s="24" t="s">
        <v>51</v>
      </c>
      <c r="G34" s="12">
        <v>0</v>
      </c>
      <c r="H34" s="88">
        <f t="shared" ref="H34:H52" si="4">IF(B$52=0,0,G34/B$52)</f>
        <v>0</v>
      </c>
      <c r="I34" s="58">
        <v>1</v>
      </c>
      <c r="K34" s="74">
        <v>32</v>
      </c>
      <c r="L34" s="119">
        <v>8.2000000000000242</v>
      </c>
      <c r="M34" s="117">
        <v>1503.7075986680818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4"/>
        <v>0</v>
      </c>
      <c r="I35" s="58">
        <v>1</v>
      </c>
      <c r="K35" s="74">
        <v>33</v>
      </c>
      <c r="L35" s="119">
        <v>-9.3999999999999773</v>
      </c>
      <c r="M35" s="117">
        <v>1500.5113530760734</v>
      </c>
    </row>
    <row r="36" spans="1:13" x14ac:dyDescent="0.4">
      <c r="E36" s="27" t="s">
        <v>98</v>
      </c>
      <c r="F36" s="24" t="s">
        <v>53</v>
      </c>
      <c r="G36" s="12">
        <v>0</v>
      </c>
      <c r="H36" s="88">
        <f t="shared" si="4"/>
        <v>0</v>
      </c>
      <c r="I36" s="58">
        <v>1</v>
      </c>
    </row>
    <row r="37" spans="1:13" x14ac:dyDescent="0.4">
      <c r="A37" s="54" t="s">
        <v>172</v>
      </c>
      <c r="B37" s="122">
        <v>2</v>
      </c>
      <c r="C37" s="98">
        <f t="shared" ref="C37:C49" si="5">IF(B$20=0,0,B37/B$20)</f>
        <v>2.7397260273972601E-2</v>
      </c>
      <c r="E37" s="27" t="s">
        <v>99</v>
      </c>
      <c r="F37" s="24" t="s">
        <v>54</v>
      </c>
      <c r="G37" s="12">
        <v>0</v>
      </c>
      <c r="H37" s="88">
        <f t="shared" si="4"/>
        <v>0</v>
      </c>
      <c r="I37" s="58">
        <v>1</v>
      </c>
    </row>
    <row r="38" spans="1:13" x14ac:dyDescent="0.4">
      <c r="A38" s="19" t="s">
        <v>168</v>
      </c>
      <c r="B38" s="12">
        <v>6</v>
      </c>
      <c r="C38" s="6">
        <f t="shared" si="5"/>
        <v>8.2191780821917804E-2</v>
      </c>
      <c r="E38" s="27" t="s">
        <v>100</v>
      </c>
      <c r="F38" s="24" t="s">
        <v>55</v>
      </c>
      <c r="G38" s="12">
        <v>0</v>
      </c>
      <c r="H38" s="88">
        <f t="shared" si="4"/>
        <v>0</v>
      </c>
      <c r="I38" s="58">
        <v>1</v>
      </c>
    </row>
    <row r="39" spans="1:13" x14ac:dyDescent="0.4">
      <c r="A39" s="19" t="s">
        <v>169</v>
      </c>
      <c r="B39" s="123">
        <v>6</v>
      </c>
      <c r="C39" s="6">
        <f t="shared" si="5"/>
        <v>8.2191780821917804E-2</v>
      </c>
      <c r="E39" s="27" t="s">
        <v>101</v>
      </c>
      <c r="F39" s="24" t="s">
        <v>56</v>
      </c>
      <c r="G39" s="12">
        <v>0</v>
      </c>
      <c r="H39" s="88">
        <f t="shared" si="4"/>
        <v>0</v>
      </c>
      <c r="I39" s="58">
        <v>1</v>
      </c>
    </row>
    <row r="40" spans="1:13" x14ac:dyDescent="0.4">
      <c r="A40" s="19" t="s">
        <v>170</v>
      </c>
      <c r="B40" s="123">
        <v>8</v>
      </c>
      <c r="C40" s="6">
        <f t="shared" si="5"/>
        <v>0.1095890410958904</v>
      </c>
      <c r="E40" s="27" t="s">
        <v>102</v>
      </c>
      <c r="F40" s="24" t="s">
        <v>57</v>
      </c>
      <c r="G40" s="12">
        <v>0</v>
      </c>
      <c r="H40" s="88">
        <f t="shared" si="4"/>
        <v>0</v>
      </c>
      <c r="I40" s="58">
        <v>1</v>
      </c>
    </row>
    <row r="41" spans="1:13" x14ac:dyDescent="0.4">
      <c r="A41" s="19" t="s">
        <v>171</v>
      </c>
      <c r="B41" s="123">
        <v>5</v>
      </c>
      <c r="C41" s="6">
        <f t="shared" si="5"/>
        <v>6.8493150684931503E-2</v>
      </c>
      <c r="E41" s="27" t="s">
        <v>103</v>
      </c>
      <c r="F41" s="24" t="s">
        <v>58</v>
      </c>
      <c r="G41" s="12">
        <v>0</v>
      </c>
      <c r="H41" s="88">
        <f t="shared" si="4"/>
        <v>0</v>
      </c>
      <c r="I41" s="58">
        <v>1</v>
      </c>
    </row>
    <row r="42" spans="1:13" x14ac:dyDescent="0.4">
      <c r="A42" s="19" t="s">
        <v>173</v>
      </c>
      <c r="B42" s="123">
        <v>6</v>
      </c>
      <c r="C42" s="6">
        <f t="shared" si="5"/>
        <v>8.2191780821917804E-2</v>
      </c>
      <c r="E42" s="27" t="s">
        <v>104</v>
      </c>
      <c r="F42" s="24" t="s">
        <v>59</v>
      </c>
      <c r="G42" s="12">
        <v>0</v>
      </c>
      <c r="H42" s="88">
        <f t="shared" si="4"/>
        <v>0</v>
      </c>
      <c r="I42" s="58">
        <v>1</v>
      </c>
    </row>
    <row r="43" spans="1:13" x14ac:dyDescent="0.4">
      <c r="A43" s="19" t="s">
        <v>174</v>
      </c>
      <c r="B43" s="123">
        <v>5</v>
      </c>
      <c r="C43" s="6">
        <f t="shared" si="5"/>
        <v>6.8493150684931503E-2</v>
      </c>
      <c r="E43" s="27" t="s">
        <v>105</v>
      </c>
      <c r="F43" s="24" t="s">
        <v>112</v>
      </c>
      <c r="G43" s="12">
        <v>0</v>
      </c>
      <c r="H43" s="88">
        <f t="shared" si="4"/>
        <v>0</v>
      </c>
      <c r="I43" s="58">
        <v>1</v>
      </c>
    </row>
    <row r="44" spans="1:13" x14ac:dyDescent="0.4">
      <c r="A44" s="19" t="s">
        <v>175</v>
      </c>
      <c r="B44" s="123">
        <v>3</v>
      </c>
      <c r="C44" s="6">
        <f t="shared" si="5"/>
        <v>4.1095890410958902E-2</v>
      </c>
      <c r="E44" s="27" t="s">
        <v>106</v>
      </c>
      <c r="F44" s="24" t="s">
        <v>113</v>
      </c>
      <c r="G44" s="12">
        <v>0</v>
      </c>
      <c r="H44" s="88">
        <f t="shared" si="4"/>
        <v>0</v>
      </c>
      <c r="I44" s="58">
        <v>3</v>
      </c>
    </row>
    <row r="45" spans="1:13" x14ac:dyDescent="0.4">
      <c r="A45" s="19" t="s">
        <v>176</v>
      </c>
      <c r="B45" s="123">
        <v>3</v>
      </c>
      <c r="C45" s="6">
        <f t="shared" si="5"/>
        <v>4.1095890410958902E-2</v>
      </c>
      <c r="E45" s="27" t="s">
        <v>107</v>
      </c>
      <c r="F45" s="24" t="s">
        <v>114</v>
      </c>
      <c r="G45" s="12">
        <v>0</v>
      </c>
      <c r="H45" s="88">
        <f t="shared" si="4"/>
        <v>0</v>
      </c>
      <c r="I45" s="58">
        <v>1</v>
      </c>
    </row>
    <row r="46" spans="1:13" x14ac:dyDescent="0.4">
      <c r="A46" s="19" t="s">
        <v>177</v>
      </c>
      <c r="B46" s="123">
        <v>0</v>
      </c>
      <c r="C46" s="6">
        <f t="shared" si="5"/>
        <v>0</v>
      </c>
      <c r="E46" s="27" t="s">
        <v>108</v>
      </c>
      <c r="F46" s="24" t="s">
        <v>60</v>
      </c>
      <c r="G46" s="12">
        <v>0</v>
      </c>
      <c r="H46" s="88">
        <f t="shared" si="4"/>
        <v>0</v>
      </c>
      <c r="I46" s="58">
        <v>1</v>
      </c>
    </row>
    <row r="47" spans="1:13" x14ac:dyDescent="0.4">
      <c r="A47" s="19" t="s">
        <v>178</v>
      </c>
      <c r="B47" s="123">
        <v>0</v>
      </c>
      <c r="C47" s="6">
        <f t="shared" si="5"/>
        <v>0</v>
      </c>
      <c r="E47" s="27" t="s">
        <v>109</v>
      </c>
      <c r="F47" s="24" t="s">
        <v>61</v>
      </c>
      <c r="G47" s="12">
        <v>0</v>
      </c>
      <c r="H47" s="88">
        <f t="shared" si="4"/>
        <v>0</v>
      </c>
      <c r="I47" s="58">
        <v>1</v>
      </c>
    </row>
    <row r="48" spans="1:13" x14ac:dyDescent="0.4">
      <c r="A48" s="19" t="s">
        <v>179</v>
      </c>
      <c r="B48" s="123">
        <v>0</v>
      </c>
      <c r="C48" s="6">
        <f t="shared" si="5"/>
        <v>0</v>
      </c>
      <c r="E48" s="27" t="s">
        <v>110</v>
      </c>
      <c r="F48" s="24" t="s">
        <v>62</v>
      </c>
      <c r="G48" s="12">
        <v>0</v>
      </c>
      <c r="H48" s="88">
        <f t="shared" si="4"/>
        <v>0</v>
      </c>
      <c r="I48" s="58">
        <v>1</v>
      </c>
    </row>
    <row r="49" spans="1:9" x14ac:dyDescent="0.4">
      <c r="A49" s="21" t="s">
        <v>180</v>
      </c>
      <c r="B49" s="97">
        <v>1</v>
      </c>
      <c r="C49" s="9">
        <f t="shared" si="5"/>
        <v>1.3698630136986301E-2</v>
      </c>
      <c r="E49" s="27" t="s">
        <v>111</v>
      </c>
      <c r="F49" s="24" t="s">
        <v>63</v>
      </c>
      <c r="G49" s="12">
        <v>0</v>
      </c>
      <c r="H49" s="88">
        <f t="shared" si="4"/>
        <v>0</v>
      </c>
      <c r="I49" s="58">
        <v>1</v>
      </c>
    </row>
    <row r="50" spans="1:9" x14ac:dyDescent="0.4">
      <c r="E50" s="27" t="s">
        <v>156</v>
      </c>
      <c r="F50" s="24" t="s">
        <v>157</v>
      </c>
      <c r="G50" s="12">
        <v>0</v>
      </c>
      <c r="H50" s="88">
        <f t="shared" si="4"/>
        <v>0</v>
      </c>
      <c r="I50" s="58">
        <v>1</v>
      </c>
    </row>
    <row r="51" spans="1:9" x14ac:dyDescent="0.4">
      <c r="A51" s="54" t="s">
        <v>206</v>
      </c>
      <c r="B51" s="125">
        <v>188</v>
      </c>
      <c r="C51" s="126"/>
      <c r="E51" s="91" t="s">
        <v>160</v>
      </c>
      <c r="F51" s="92" t="s">
        <v>161</v>
      </c>
      <c r="G51" s="13">
        <v>0</v>
      </c>
      <c r="H51" s="93">
        <f t="shared" si="4"/>
        <v>0</v>
      </c>
      <c r="I51" s="94">
        <v>1</v>
      </c>
    </row>
    <row r="52" spans="1:9" x14ac:dyDescent="0.4">
      <c r="A52" s="21" t="s">
        <v>207</v>
      </c>
      <c r="B52" s="127">
        <v>45</v>
      </c>
      <c r="C52" s="128"/>
      <c r="E52" s="28" t="s">
        <v>162</v>
      </c>
      <c r="F52" s="25" t="s">
        <v>163</v>
      </c>
      <c r="G52" s="14">
        <v>0</v>
      </c>
      <c r="H52" s="89">
        <f t="shared" si="4"/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288ED-77ED-41DC-8E32-DC56928ABB2E}">
  <sheetPr codeName="Sheet25"/>
  <dimension ref="A1:R13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7" t="s">
        <v>164</v>
      </c>
      <c r="C1" s="138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25">
        <v>131</v>
      </c>
      <c r="C2" s="126"/>
      <c r="E2" s="26" t="s">
        <v>66</v>
      </c>
      <c r="F2" s="23" t="s">
        <v>22</v>
      </c>
      <c r="G2" s="11">
        <v>213</v>
      </c>
      <c r="H2" s="87">
        <f t="shared" ref="H2:H33" si="0">IF(B$52=0,0,G2/B$52)</f>
        <v>0.76618705035971224</v>
      </c>
      <c r="I2" s="57">
        <v>3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-1304.724409448819</v>
      </c>
      <c r="Q2" s="76">
        <v>127</v>
      </c>
      <c r="R2" s="63">
        <v>-165700</v>
      </c>
    </row>
    <row r="3" spans="1:18" x14ac:dyDescent="0.4">
      <c r="A3" s="19" t="s">
        <v>8</v>
      </c>
      <c r="B3" s="139">
        <v>1016</v>
      </c>
      <c r="C3" s="140"/>
      <c r="E3" s="27" t="s">
        <v>64</v>
      </c>
      <c r="F3" s="24" t="s">
        <v>20</v>
      </c>
      <c r="G3" s="12">
        <v>169</v>
      </c>
      <c r="H3" s="88">
        <f t="shared" si="0"/>
        <v>0.6079136690647482</v>
      </c>
      <c r="I3" s="58">
        <v>5</v>
      </c>
      <c r="K3" s="74">
        <v>1</v>
      </c>
      <c r="L3" s="119">
        <v>3.9</v>
      </c>
      <c r="M3" s="117">
        <v>1500.7080000000001</v>
      </c>
      <c r="O3" s="74" t="s">
        <v>129</v>
      </c>
      <c r="P3" s="80">
        <f t="shared" si="1"/>
        <v>444</v>
      </c>
      <c r="Q3" s="77">
        <v>125</v>
      </c>
      <c r="R3" s="64">
        <v>55500</v>
      </c>
    </row>
    <row r="4" spans="1:18" x14ac:dyDescent="0.4">
      <c r="A4" s="19" t="s">
        <v>6</v>
      </c>
      <c r="B4" s="141">
        <v>-461.2999999999999</v>
      </c>
      <c r="C4" s="142"/>
      <c r="E4" s="27" t="s">
        <v>72</v>
      </c>
      <c r="F4" s="24" t="s">
        <v>27</v>
      </c>
      <c r="G4" s="12">
        <v>163</v>
      </c>
      <c r="H4" s="88">
        <f t="shared" si="0"/>
        <v>0.58633093525179858</v>
      </c>
      <c r="I4" s="58">
        <v>6</v>
      </c>
      <c r="K4" s="74">
        <v>2</v>
      </c>
      <c r="L4" s="119">
        <v>-33.9</v>
      </c>
      <c r="M4" s="117">
        <v>1493.881752</v>
      </c>
      <c r="O4" s="74" t="s">
        <v>130</v>
      </c>
      <c r="P4" s="80">
        <f t="shared" si="1"/>
        <v>-257.14285714285717</v>
      </c>
      <c r="Q4" s="77">
        <v>119</v>
      </c>
      <c r="R4" s="64">
        <v>-30600</v>
      </c>
    </row>
    <row r="5" spans="1:18" x14ac:dyDescent="0.4">
      <c r="A5" s="19" t="s">
        <v>7</v>
      </c>
      <c r="B5" s="129">
        <f>IF(B$2=0,0,B$4/B$2)</f>
        <v>-3.5213740458015259</v>
      </c>
      <c r="C5" s="130"/>
      <c r="E5" s="27" t="s">
        <v>67</v>
      </c>
      <c r="F5" s="24" t="s">
        <v>23</v>
      </c>
      <c r="G5" s="12">
        <v>102</v>
      </c>
      <c r="H5" s="88">
        <f t="shared" si="0"/>
        <v>0.36690647482014388</v>
      </c>
      <c r="I5" s="58">
        <v>4</v>
      </c>
      <c r="K5" s="74">
        <v>3</v>
      </c>
      <c r="L5" s="119">
        <v>-70.099999999999994</v>
      </c>
      <c r="M5" s="117">
        <v>1487.372461488</v>
      </c>
      <c r="O5" s="74" t="s">
        <v>131</v>
      </c>
      <c r="P5" s="80">
        <f t="shared" si="1"/>
        <v>57.943925233644862</v>
      </c>
      <c r="Q5" s="77">
        <v>107</v>
      </c>
      <c r="R5" s="64">
        <v>6200</v>
      </c>
    </row>
    <row r="6" spans="1:18" x14ac:dyDescent="0.4">
      <c r="A6" s="19" t="s">
        <v>196</v>
      </c>
      <c r="B6" s="133">
        <v>1463.4199893501827</v>
      </c>
      <c r="C6" s="134"/>
      <c r="E6" s="27" t="s">
        <v>68</v>
      </c>
      <c r="F6" s="24" t="s">
        <v>12</v>
      </c>
      <c r="G6" s="12">
        <v>87</v>
      </c>
      <c r="H6" s="88">
        <f t="shared" si="0"/>
        <v>0.31294964028776978</v>
      </c>
      <c r="I6" s="58">
        <v>6</v>
      </c>
      <c r="K6" s="74">
        <v>4</v>
      </c>
      <c r="L6" s="119">
        <v>-35.099999999999994</v>
      </c>
      <c r="M6" s="117">
        <v>1493.736226719072</v>
      </c>
      <c r="O6" s="74" t="s">
        <v>132</v>
      </c>
      <c r="P6" s="80">
        <f t="shared" si="1"/>
        <v>-2685.8585858585857</v>
      </c>
      <c r="Q6" s="77">
        <v>99</v>
      </c>
      <c r="R6" s="64">
        <v>-265900</v>
      </c>
    </row>
    <row r="7" spans="1:18" x14ac:dyDescent="0.4">
      <c r="A7" s="19" t="s">
        <v>1</v>
      </c>
      <c r="B7" s="135">
        <f>IF(B$2=0,0,(B$8*1+B$9*2+B$10*3)/B$2)</f>
        <v>2.1603053435114505</v>
      </c>
      <c r="C7" s="136"/>
      <c r="E7" s="27" t="s">
        <v>69</v>
      </c>
      <c r="F7" s="24" t="s">
        <v>24</v>
      </c>
      <c r="G7" s="12">
        <v>43</v>
      </c>
      <c r="H7" s="88">
        <f t="shared" si="0"/>
        <v>0.15467625899280577</v>
      </c>
      <c r="I7" s="58">
        <v>4</v>
      </c>
      <c r="K7" s="74">
        <v>5</v>
      </c>
      <c r="L7" s="119">
        <v>-80.099999999999994</v>
      </c>
      <c r="M7" s="117">
        <v>1485.6138093587576</v>
      </c>
      <c r="O7" s="75" t="s">
        <v>133</v>
      </c>
      <c r="P7" s="81">
        <f t="shared" si="1"/>
        <v>635.80246913580243</v>
      </c>
      <c r="Q7" s="78">
        <v>81</v>
      </c>
      <c r="R7" s="65">
        <v>51500</v>
      </c>
    </row>
    <row r="8" spans="1:18" x14ac:dyDescent="0.4">
      <c r="A8" s="19" t="s">
        <v>2</v>
      </c>
      <c r="B8" s="12">
        <v>32</v>
      </c>
      <c r="C8" s="6">
        <f t="shared" ref="C8:C15" si="2">IF(B$2=0,0,B8/B$2)</f>
        <v>0.24427480916030533</v>
      </c>
      <c r="E8" s="27" t="s">
        <v>89</v>
      </c>
      <c r="F8" s="24" t="s">
        <v>44</v>
      </c>
      <c r="G8" s="12">
        <v>35</v>
      </c>
      <c r="H8" s="88">
        <f t="shared" si="0"/>
        <v>0.12589928057553956</v>
      </c>
      <c r="I8" s="58">
        <v>10</v>
      </c>
      <c r="K8" s="74">
        <v>6</v>
      </c>
      <c r="L8" s="119">
        <v>-116.1</v>
      </c>
      <c r="M8" s="117">
        <v>1479.244126502605</v>
      </c>
      <c r="O8" s="107"/>
      <c r="P8" s="85"/>
      <c r="Q8" s="108"/>
      <c r="R8" s="70"/>
    </row>
    <row r="9" spans="1:18" x14ac:dyDescent="0.4">
      <c r="A9" s="19" t="s">
        <v>3</v>
      </c>
      <c r="B9" s="12">
        <v>46</v>
      </c>
      <c r="C9" s="6">
        <f t="shared" si="2"/>
        <v>0.35114503816793891</v>
      </c>
      <c r="E9" s="27" t="s">
        <v>70</v>
      </c>
      <c r="F9" s="24" t="s">
        <v>25</v>
      </c>
      <c r="G9" s="12">
        <v>34</v>
      </c>
      <c r="H9" s="88">
        <f t="shared" si="0"/>
        <v>0.1223021582733813</v>
      </c>
      <c r="I9" s="58">
        <v>4</v>
      </c>
      <c r="K9" s="74">
        <v>7</v>
      </c>
      <c r="L9" s="119">
        <v>-147.4</v>
      </c>
      <c r="M9" s="117">
        <v>1473.7526617435894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53</v>
      </c>
      <c r="C10" s="7">
        <f t="shared" si="2"/>
        <v>0.40458015267175573</v>
      </c>
      <c r="E10" s="27" t="s">
        <v>65</v>
      </c>
      <c r="F10" s="24" t="s">
        <v>21</v>
      </c>
      <c r="G10" s="12">
        <v>31</v>
      </c>
      <c r="H10" s="88">
        <f t="shared" si="0"/>
        <v>0.11151079136690648</v>
      </c>
      <c r="I10" s="58">
        <v>9</v>
      </c>
      <c r="K10" s="74">
        <v>8</v>
      </c>
      <c r="L10" s="119">
        <v>-146</v>
      </c>
      <c r="M10" s="117">
        <v>1474.240145773128</v>
      </c>
      <c r="O10" s="73" t="s">
        <v>152</v>
      </c>
      <c r="P10" s="82">
        <f>IF(Q10=0,0,R10/Q10)</f>
        <v>-9.8355555555555565</v>
      </c>
      <c r="Q10" s="76">
        <v>45</v>
      </c>
      <c r="R10" s="67">
        <v>-442.60000000000008</v>
      </c>
    </row>
    <row r="11" spans="1:18" x14ac:dyDescent="0.4">
      <c r="A11" s="20" t="s">
        <v>185</v>
      </c>
      <c r="B11" s="109">
        <f>IF(B8=0,0,C11/B8)</f>
        <v>35.34375</v>
      </c>
      <c r="C11" s="110">
        <v>1131</v>
      </c>
      <c r="E11" s="27" t="s">
        <v>86</v>
      </c>
      <c r="F11" s="24" t="s">
        <v>41</v>
      </c>
      <c r="G11" s="12">
        <v>24</v>
      </c>
      <c r="H11" s="88">
        <f t="shared" si="0"/>
        <v>8.6330935251798566E-2</v>
      </c>
      <c r="I11" s="58">
        <v>6</v>
      </c>
      <c r="K11" s="74">
        <v>9</v>
      </c>
      <c r="L11" s="119">
        <v>-173</v>
      </c>
      <c r="M11" s="117">
        <v>1469.5947048984892</v>
      </c>
      <c r="O11" s="74" t="s">
        <v>153</v>
      </c>
      <c r="P11" s="83">
        <f>IF(Q11=0,0,R11/Q11)</f>
        <v>1.8440000000000001</v>
      </c>
      <c r="Q11" s="77">
        <v>50</v>
      </c>
      <c r="R11" s="68">
        <v>92.2</v>
      </c>
    </row>
    <row r="12" spans="1:18" x14ac:dyDescent="0.4">
      <c r="A12" s="20" t="s">
        <v>186</v>
      </c>
      <c r="B12" s="109">
        <f>IF(B9=0,0,C12/B9)</f>
        <v>-2.1456521739130441</v>
      </c>
      <c r="C12" s="110">
        <v>-98.700000000000031</v>
      </c>
      <c r="E12" s="27" t="s">
        <v>78</v>
      </c>
      <c r="F12" s="24" t="s">
        <v>33</v>
      </c>
      <c r="G12" s="12">
        <v>10</v>
      </c>
      <c r="H12" s="88">
        <f t="shared" si="0"/>
        <v>3.5971223021582732E-2</v>
      </c>
      <c r="I12" s="58">
        <v>5</v>
      </c>
      <c r="K12" s="74">
        <v>10</v>
      </c>
      <c r="L12" s="119">
        <v>-206.1</v>
      </c>
      <c r="M12" s="117">
        <v>1463.9031366690983</v>
      </c>
      <c r="O12" s="75" t="s">
        <v>154</v>
      </c>
      <c r="P12" s="84">
        <f>IF(Q12=0,0,R12/Q12)</f>
        <v>4.2424242424242378E-2</v>
      </c>
      <c r="Q12" s="78">
        <v>33</v>
      </c>
      <c r="R12" s="69">
        <v>1.3999999999999986</v>
      </c>
    </row>
    <row r="13" spans="1:18" x14ac:dyDescent="0.4">
      <c r="A13" s="20" t="s">
        <v>187</v>
      </c>
      <c r="B13" s="109">
        <f>IF(B10=0,0,C13/B10)</f>
        <v>-28.181132075471691</v>
      </c>
      <c r="C13" s="110">
        <v>-1493.5999999999997</v>
      </c>
      <c r="E13" s="27" t="s">
        <v>71</v>
      </c>
      <c r="F13" s="24" t="s">
        <v>26</v>
      </c>
      <c r="G13" s="12">
        <v>8</v>
      </c>
      <c r="H13" s="88">
        <f t="shared" si="0"/>
        <v>2.8776978417266189E-2</v>
      </c>
      <c r="I13" s="58">
        <v>10</v>
      </c>
      <c r="K13" s="74">
        <v>11</v>
      </c>
      <c r="L13" s="119">
        <v>-174</v>
      </c>
      <c r="M13" s="117">
        <v>1469.9817178490837</v>
      </c>
      <c r="O13" s="103"/>
      <c r="P13" s="71"/>
      <c r="Q13" s="111"/>
      <c r="R13" s="71"/>
    </row>
    <row r="14" spans="1:18" x14ac:dyDescent="0.4">
      <c r="A14" s="20" t="s">
        <v>188</v>
      </c>
      <c r="B14" s="129">
        <f>AVERAGE(B11:B13)</f>
        <v>1.6723219168717556</v>
      </c>
      <c r="C14" s="130"/>
      <c r="E14" s="27" t="s">
        <v>83</v>
      </c>
      <c r="F14" s="24" t="s">
        <v>38</v>
      </c>
      <c r="G14" s="12">
        <v>8</v>
      </c>
      <c r="H14" s="88">
        <f t="shared" si="0"/>
        <v>2.8776978417266189E-2</v>
      </c>
      <c r="I14" s="58">
        <v>9</v>
      </c>
      <c r="K14" s="74">
        <v>12</v>
      </c>
      <c r="L14" s="119">
        <v>-197</v>
      </c>
      <c r="M14" s="117">
        <v>1465.8538275419892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23</v>
      </c>
      <c r="C15" s="9">
        <f t="shared" si="2"/>
        <v>0.17557251908396945</v>
      </c>
      <c r="E15" s="27" t="s">
        <v>81</v>
      </c>
      <c r="F15" s="24" t="s">
        <v>36</v>
      </c>
      <c r="G15" s="12">
        <v>6</v>
      </c>
      <c r="H15" s="88">
        <f t="shared" si="0"/>
        <v>2.1582733812949641E-2</v>
      </c>
      <c r="I15" s="58">
        <v>8</v>
      </c>
      <c r="K15" s="74">
        <v>13</v>
      </c>
      <c r="L15" s="119">
        <v>-235</v>
      </c>
      <c r="M15" s="117">
        <v>1459.2007045767373</v>
      </c>
      <c r="O15" s="73" t="s">
        <v>205</v>
      </c>
      <c r="P15" s="82">
        <f t="shared" ref="P15:P25" si="3">IF(Q15=0,0,R15/Q15)</f>
        <v>28.18</v>
      </c>
      <c r="Q15" s="76">
        <v>5</v>
      </c>
      <c r="R15" s="67">
        <v>140.9</v>
      </c>
    </row>
    <row r="16" spans="1:18" x14ac:dyDescent="0.4">
      <c r="A16" s="22" t="s">
        <v>121</v>
      </c>
      <c r="B16" s="15">
        <v>296</v>
      </c>
      <c r="C16" s="10">
        <f>IF(B$51=0,0,B16/B$51)</f>
        <v>0.30234933605720121</v>
      </c>
      <c r="E16" s="27" t="s">
        <v>91</v>
      </c>
      <c r="F16" s="24" t="s">
        <v>46</v>
      </c>
      <c r="G16" s="12">
        <v>6</v>
      </c>
      <c r="H16" s="88">
        <f t="shared" si="0"/>
        <v>2.1582733812949641E-2</v>
      </c>
      <c r="I16" s="58">
        <v>6</v>
      </c>
      <c r="K16" s="74">
        <v>14</v>
      </c>
      <c r="L16" s="119">
        <v>-231</v>
      </c>
      <c r="M16" s="117">
        <v>1460.213500349277</v>
      </c>
      <c r="O16" s="74" t="s">
        <v>246</v>
      </c>
      <c r="P16" s="83">
        <f t="shared" si="3"/>
        <v>25.3</v>
      </c>
      <c r="Q16" s="77">
        <v>2</v>
      </c>
      <c r="R16" s="68">
        <v>50.6</v>
      </c>
    </row>
    <row r="17" spans="1:18" x14ac:dyDescent="0.4">
      <c r="A17" s="19" t="s">
        <v>118</v>
      </c>
      <c r="B17" s="12">
        <v>181</v>
      </c>
      <c r="C17" s="6">
        <f>IF(B$51=0,0,B17/B$51)</f>
        <v>0.18488253319713993</v>
      </c>
      <c r="E17" s="27" t="s">
        <v>73</v>
      </c>
      <c r="F17" s="24" t="s">
        <v>28</v>
      </c>
      <c r="G17" s="12">
        <v>4</v>
      </c>
      <c r="H17" s="88">
        <f t="shared" si="0"/>
        <v>1.4388489208633094E-2</v>
      </c>
      <c r="I17" s="58">
        <v>3</v>
      </c>
      <c r="K17" s="74">
        <v>15</v>
      </c>
      <c r="L17" s="119">
        <v>-212.5</v>
      </c>
      <c r="M17" s="117">
        <v>1463.8302193471814</v>
      </c>
      <c r="O17" s="74" t="s">
        <v>223</v>
      </c>
      <c r="P17" s="83">
        <f t="shared" si="3"/>
        <v>19.924999999999997</v>
      </c>
      <c r="Q17" s="77">
        <v>4</v>
      </c>
      <c r="R17" s="68">
        <v>79.699999999999989</v>
      </c>
    </row>
    <row r="18" spans="1:18" x14ac:dyDescent="0.4">
      <c r="A18" s="18" t="s">
        <v>123</v>
      </c>
      <c r="B18" s="11">
        <f>B24</f>
        <v>173</v>
      </c>
      <c r="C18" s="5">
        <f>IF(B$16=0,0,B18/B$16)</f>
        <v>0.58445945945945943</v>
      </c>
      <c r="E18" s="27" t="s">
        <v>79</v>
      </c>
      <c r="F18" s="24" t="s">
        <v>34</v>
      </c>
      <c r="G18" s="12">
        <v>4</v>
      </c>
      <c r="H18" s="88">
        <f t="shared" si="0"/>
        <v>1.4388489208633094E-2</v>
      </c>
      <c r="I18" s="58">
        <v>6</v>
      </c>
      <c r="K18" s="74">
        <v>16</v>
      </c>
      <c r="L18" s="119">
        <v>-233.2</v>
      </c>
      <c r="M18" s="117">
        <v>1460.3692380310983</v>
      </c>
      <c r="O18" s="74" t="s">
        <v>191</v>
      </c>
      <c r="P18" s="83">
        <f t="shared" si="3"/>
        <v>13.39</v>
      </c>
      <c r="Q18" s="77">
        <v>20</v>
      </c>
      <c r="R18" s="68">
        <v>267.8</v>
      </c>
    </row>
    <row r="19" spans="1:18" x14ac:dyDescent="0.4">
      <c r="A19" s="18" t="s">
        <v>124</v>
      </c>
      <c r="B19" s="11">
        <f>B25</f>
        <v>71</v>
      </c>
      <c r="C19" s="5">
        <f>IF(B$17=0,0,B19/B$17)</f>
        <v>0.39226519337016574</v>
      </c>
      <c r="E19" s="27" t="s">
        <v>75</v>
      </c>
      <c r="F19" s="24" t="s">
        <v>30</v>
      </c>
      <c r="G19" s="12">
        <v>3</v>
      </c>
      <c r="H19" s="88">
        <f t="shared" si="0"/>
        <v>1.0791366906474821E-2</v>
      </c>
      <c r="I19" s="58">
        <v>1</v>
      </c>
      <c r="K19" s="74">
        <v>17</v>
      </c>
      <c r="L19" s="119">
        <v>-268.7</v>
      </c>
      <c r="M19" s="117">
        <v>1454.1690226029118</v>
      </c>
      <c r="O19" s="74" t="s">
        <v>211</v>
      </c>
      <c r="P19" s="83">
        <f t="shared" si="3"/>
        <v>8.8833333333333329</v>
      </c>
      <c r="Q19" s="77">
        <v>12</v>
      </c>
      <c r="R19" s="68">
        <v>106.6</v>
      </c>
    </row>
    <row r="20" spans="1:18" x14ac:dyDescent="0.4">
      <c r="A20" s="18" t="s">
        <v>10</v>
      </c>
      <c r="B20" s="11">
        <f>B23+B22</f>
        <v>288</v>
      </c>
      <c r="C20" s="5">
        <f>IF(B$3=0,0,B20/B$3)</f>
        <v>0.28346456692913385</v>
      </c>
      <c r="E20" s="27" t="s">
        <v>93</v>
      </c>
      <c r="F20" s="24" t="s">
        <v>48</v>
      </c>
      <c r="G20" s="12">
        <v>2</v>
      </c>
      <c r="H20" s="88">
        <f t="shared" si="0"/>
        <v>7.1942446043165471E-3</v>
      </c>
      <c r="I20" s="58">
        <v>3</v>
      </c>
      <c r="K20" s="74">
        <v>18</v>
      </c>
      <c r="L20" s="119">
        <v>-295.8</v>
      </c>
      <c r="M20" s="117">
        <v>1449.5180084672943</v>
      </c>
      <c r="O20" s="74" t="s">
        <v>190</v>
      </c>
      <c r="P20" s="83">
        <f t="shared" si="3"/>
        <v>0.35263157894736707</v>
      </c>
      <c r="Q20" s="77">
        <v>19</v>
      </c>
      <c r="R20" s="68">
        <v>6.6999999999999744</v>
      </c>
    </row>
    <row r="21" spans="1:18" x14ac:dyDescent="0.4">
      <c r="A21" s="19" t="s">
        <v>13</v>
      </c>
      <c r="B21" s="12">
        <v>197</v>
      </c>
      <c r="C21" s="6">
        <f>IF(B$3=0,0,B21/B$3)</f>
        <v>0.19389763779527558</v>
      </c>
      <c r="E21" s="27" t="s">
        <v>74</v>
      </c>
      <c r="F21" s="24" t="s">
        <v>29</v>
      </c>
      <c r="G21" s="12">
        <v>1</v>
      </c>
      <c r="H21" s="88">
        <f t="shared" si="0"/>
        <v>3.5971223021582736E-3</v>
      </c>
      <c r="I21" s="58">
        <v>4</v>
      </c>
      <c r="K21" s="74">
        <v>19</v>
      </c>
      <c r="L21" s="119">
        <v>-273.2</v>
      </c>
      <c r="M21" s="117">
        <v>1453.8409004164905</v>
      </c>
      <c r="O21" s="74" t="s">
        <v>195</v>
      </c>
      <c r="P21" s="83">
        <f t="shared" si="3"/>
        <v>-3.1104166666666635</v>
      </c>
      <c r="Q21" s="77">
        <v>48</v>
      </c>
      <c r="R21" s="68">
        <v>-149.29999999999984</v>
      </c>
    </row>
    <row r="22" spans="1:18" x14ac:dyDescent="0.4">
      <c r="A22" s="19" t="s">
        <v>12</v>
      </c>
      <c r="B22" s="12">
        <v>126</v>
      </c>
      <c r="C22" s="6">
        <f>IF(B$20=0,0,B22/B$20)</f>
        <v>0.4375</v>
      </c>
      <c r="E22" s="27" t="s">
        <v>77</v>
      </c>
      <c r="F22" s="24" t="s">
        <v>32</v>
      </c>
      <c r="G22" s="12">
        <v>1</v>
      </c>
      <c r="H22" s="88">
        <f t="shared" si="0"/>
        <v>3.5971223021582736E-3</v>
      </c>
      <c r="I22" s="58">
        <v>6</v>
      </c>
      <c r="K22" s="74">
        <v>20</v>
      </c>
      <c r="L22" s="119">
        <v>-270</v>
      </c>
      <c r="M22" s="117">
        <v>1454.6038550139915</v>
      </c>
      <c r="O22" s="74" t="s">
        <v>198</v>
      </c>
      <c r="P22" s="83">
        <f t="shared" si="3"/>
        <v>-3.9666666666666663</v>
      </c>
      <c r="Q22" s="77">
        <v>3</v>
      </c>
      <c r="R22" s="68">
        <v>-11.899999999999999</v>
      </c>
    </row>
    <row r="23" spans="1:18" x14ac:dyDescent="0.4">
      <c r="A23" s="19" t="s">
        <v>11</v>
      </c>
      <c r="B23" s="12">
        <v>162</v>
      </c>
      <c r="C23" s="6">
        <f>IF(B$20=0,0,B23/B$20)</f>
        <v>0.5625</v>
      </c>
      <c r="E23" s="27" t="s">
        <v>84</v>
      </c>
      <c r="F23" s="24" t="s">
        <v>39</v>
      </c>
      <c r="G23" s="12">
        <v>1</v>
      </c>
      <c r="H23" s="88">
        <f t="shared" si="0"/>
        <v>3.5971223021582736E-3</v>
      </c>
      <c r="I23" s="58">
        <v>3</v>
      </c>
      <c r="K23" s="74">
        <v>21</v>
      </c>
      <c r="L23" s="119">
        <v>-242</v>
      </c>
      <c r="M23" s="117">
        <v>1459.8682318839076</v>
      </c>
      <c r="O23" s="74" t="s">
        <v>126</v>
      </c>
      <c r="P23" s="83">
        <f t="shared" si="3"/>
        <v>-11.685849056603772</v>
      </c>
      <c r="Q23" s="77">
        <v>106</v>
      </c>
      <c r="R23" s="68">
        <v>-1238.6999999999998</v>
      </c>
    </row>
    <row r="24" spans="1:18" x14ac:dyDescent="0.4">
      <c r="A24" s="19" t="s">
        <v>184</v>
      </c>
      <c r="B24" s="12">
        <v>173</v>
      </c>
      <c r="C24" s="6">
        <f>IF(B$20=0,0,B24/B$20)</f>
        <v>0.60069444444444442</v>
      </c>
      <c r="E24" s="27" t="s">
        <v>85</v>
      </c>
      <c r="F24" s="24" t="s">
        <v>40</v>
      </c>
      <c r="G24" s="12">
        <v>1</v>
      </c>
      <c r="H24" s="88">
        <f t="shared" si="0"/>
        <v>3.5971223021582736E-3</v>
      </c>
      <c r="I24" s="58">
        <v>5</v>
      </c>
      <c r="K24" s="74">
        <v>22</v>
      </c>
      <c r="L24" s="119">
        <v>-202.9</v>
      </c>
      <c r="M24" s="117">
        <v>1467.099022492604</v>
      </c>
      <c r="O24" s="74" t="s">
        <v>193</v>
      </c>
      <c r="P24" s="83">
        <f t="shared" si="3"/>
        <v>-14.680487804878048</v>
      </c>
      <c r="Q24" s="77">
        <v>41</v>
      </c>
      <c r="R24" s="68">
        <v>-601.9</v>
      </c>
    </row>
    <row r="25" spans="1:18" x14ac:dyDescent="0.4">
      <c r="A25" s="19" t="s">
        <v>182</v>
      </c>
      <c r="B25" s="12">
        <v>71</v>
      </c>
      <c r="C25" s="6">
        <f>IF(B$20=0,0,B25/B$20)</f>
        <v>0.24652777777777779</v>
      </c>
      <c r="E25" s="27" t="s">
        <v>87</v>
      </c>
      <c r="F25" s="24" t="s">
        <v>42</v>
      </c>
      <c r="G25" s="12">
        <v>1</v>
      </c>
      <c r="H25" s="88">
        <f t="shared" si="0"/>
        <v>3.5971223021582736E-3</v>
      </c>
      <c r="I25" s="58">
        <v>3</v>
      </c>
      <c r="K25" s="74">
        <v>23</v>
      </c>
      <c r="L25" s="119">
        <v>-200.9</v>
      </c>
      <c r="M25" s="117">
        <v>1467.6024283576485</v>
      </c>
      <c r="O25" s="74" t="s">
        <v>214</v>
      </c>
      <c r="P25" s="83">
        <f t="shared" si="3"/>
        <v>-17.200000000000003</v>
      </c>
      <c r="Q25" s="77">
        <v>2</v>
      </c>
      <c r="R25" s="68">
        <v>-34.400000000000006</v>
      </c>
    </row>
    <row r="26" spans="1:18" x14ac:dyDescent="0.4">
      <c r="A26" s="19" t="s">
        <v>183</v>
      </c>
      <c r="B26" s="12">
        <v>44</v>
      </c>
      <c r="C26" s="6">
        <f>IF(B$20=0,0,B26/B$20)</f>
        <v>0.15277777777777779</v>
      </c>
      <c r="E26" s="27" t="s">
        <v>90</v>
      </c>
      <c r="F26" s="24" t="s">
        <v>45</v>
      </c>
      <c r="G26" s="12">
        <v>1</v>
      </c>
      <c r="H26" s="88">
        <f t="shared" si="0"/>
        <v>3.5971223021582736E-3</v>
      </c>
      <c r="I26" s="58">
        <v>1</v>
      </c>
      <c r="K26" s="74">
        <v>24</v>
      </c>
      <c r="L26" s="119">
        <v>-168.2</v>
      </c>
      <c r="M26" s="117">
        <v>1473.6348137875025</v>
      </c>
    </row>
    <row r="27" spans="1:18" x14ac:dyDescent="0.4">
      <c r="A27" s="19" t="s">
        <v>5</v>
      </c>
      <c r="B27" s="16">
        <f>IF(B$20=0,0,C27/B$20)</f>
        <v>10578.125</v>
      </c>
      <c r="C27" s="8">
        <v>3046500</v>
      </c>
      <c r="E27" s="27" t="s">
        <v>92</v>
      </c>
      <c r="F27" s="24" t="s">
        <v>47</v>
      </c>
      <c r="G27" s="12">
        <v>1</v>
      </c>
      <c r="H27" s="88">
        <f t="shared" si="0"/>
        <v>3.5971223021582736E-3</v>
      </c>
      <c r="I27" s="58">
        <v>6</v>
      </c>
      <c r="K27" s="74">
        <v>25</v>
      </c>
      <c r="L27" s="119">
        <v>-216.89999999999998</v>
      </c>
      <c r="M27" s="117">
        <v>1464.8650049047774</v>
      </c>
    </row>
    <row r="28" spans="1:18" x14ac:dyDescent="0.4">
      <c r="A28" s="20" t="s">
        <v>166</v>
      </c>
      <c r="B28" s="95">
        <f>IF($B$20-B$19=0,0,C28/($B$20-B$19))</f>
        <v>11641.935483870968</v>
      </c>
      <c r="C28" s="96">
        <v>2526300</v>
      </c>
      <c r="E28" s="27" t="s">
        <v>76</v>
      </c>
      <c r="F28" s="24" t="s">
        <v>31</v>
      </c>
      <c r="G28" s="12">
        <v>0</v>
      </c>
      <c r="H28" s="88">
        <f t="shared" si="0"/>
        <v>0</v>
      </c>
      <c r="I28" s="58">
        <v>1</v>
      </c>
      <c r="K28" s="74">
        <v>26</v>
      </c>
      <c r="L28" s="119">
        <v>-256.29999999999995</v>
      </c>
      <c r="M28" s="117">
        <v>1457.9058148753488</v>
      </c>
    </row>
    <row r="29" spans="1:18" x14ac:dyDescent="0.4">
      <c r="A29" s="20" t="s">
        <v>167</v>
      </c>
      <c r="B29" s="95">
        <f>IF(B$19=0,0,C29/B$19)</f>
        <v>7326.7605633802814</v>
      </c>
      <c r="C29" s="96">
        <v>520200</v>
      </c>
      <c r="E29" s="27" t="s">
        <v>80</v>
      </c>
      <c r="F29" s="24" t="s">
        <v>35</v>
      </c>
      <c r="G29" s="12">
        <v>0</v>
      </c>
      <c r="H29" s="88">
        <f t="shared" si="0"/>
        <v>0</v>
      </c>
      <c r="I29" s="58">
        <v>3</v>
      </c>
      <c r="K29" s="74">
        <v>27</v>
      </c>
      <c r="L29" s="119">
        <v>-296.29999999999995</v>
      </c>
      <c r="M29" s="117">
        <v>1450.8743799860968</v>
      </c>
    </row>
    <row r="30" spans="1:18" x14ac:dyDescent="0.4">
      <c r="A30" s="20" t="s">
        <v>165</v>
      </c>
      <c r="B30" s="95">
        <f>IF(B$21=0,0,C30/B$21)</f>
        <v>-9493.4010152284263</v>
      </c>
      <c r="C30" s="96">
        <v>-1870200</v>
      </c>
      <c r="E30" s="27" t="s">
        <v>82</v>
      </c>
      <c r="F30" s="24" t="s">
        <v>37</v>
      </c>
      <c r="G30" s="12">
        <v>0</v>
      </c>
      <c r="H30" s="88">
        <f t="shared" si="0"/>
        <v>0</v>
      </c>
      <c r="I30" s="58">
        <v>1</v>
      </c>
      <c r="K30" s="74">
        <v>28</v>
      </c>
      <c r="L30" s="119">
        <v>-290.19999999999993</v>
      </c>
      <c r="M30" s="117">
        <v>1452.1831337061801</v>
      </c>
    </row>
    <row r="31" spans="1:18" x14ac:dyDescent="0.4">
      <c r="A31" s="19" t="s">
        <v>158</v>
      </c>
      <c r="B31" s="12">
        <v>7</v>
      </c>
      <c r="C31" s="90">
        <v>0</v>
      </c>
      <c r="E31" s="27" t="s">
        <v>88</v>
      </c>
      <c r="F31" s="24" t="s">
        <v>43</v>
      </c>
      <c r="G31" s="12">
        <v>0</v>
      </c>
      <c r="H31" s="88">
        <f t="shared" si="0"/>
        <v>0</v>
      </c>
      <c r="I31" s="58">
        <v>3</v>
      </c>
      <c r="K31" s="74">
        <v>29</v>
      </c>
      <c r="L31" s="119">
        <v>-239.19999999999993</v>
      </c>
      <c r="M31" s="117">
        <v>1461.5660349039431</v>
      </c>
    </row>
    <row r="32" spans="1:18" x14ac:dyDescent="0.4">
      <c r="A32" s="19" t="s">
        <v>159</v>
      </c>
      <c r="B32" s="12">
        <v>30</v>
      </c>
      <c r="C32" s="90">
        <v>10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>
        <v>1</v>
      </c>
      <c r="K32" s="74">
        <v>30</v>
      </c>
      <c r="L32" s="119">
        <v>-257.29999999999995</v>
      </c>
      <c r="M32" s="117">
        <v>1458.4546386945194</v>
      </c>
    </row>
    <row r="33" spans="1:13" x14ac:dyDescent="0.4">
      <c r="A33" s="54" t="s">
        <v>136</v>
      </c>
      <c r="B33" s="131">
        <v>7</v>
      </c>
      <c r="C33" s="132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>
        <v>3</v>
      </c>
      <c r="K33" s="74">
        <v>31</v>
      </c>
      <c r="L33" s="119">
        <v>-265.39999999999998</v>
      </c>
      <c r="M33" s="117">
        <v>1457.0479108623524</v>
      </c>
    </row>
    <row r="34" spans="1:13" x14ac:dyDescent="0.4">
      <c r="A34" s="22" t="s">
        <v>181</v>
      </c>
      <c r="B34" s="133">
        <v>124700</v>
      </c>
      <c r="C34" s="134"/>
      <c r="E34" s="27" t="s">
        <v>96</v>
      </c>
      <c r="F34" s="24" t="s">
        <v>51</v>
      </c>
      <c r="G34" s="12">
        <v>0</v>
      </c>
      <c r="H34" s="88">
        <f t="shared" ref="H34:H52" si="4">IF(B$52=0,0,G34/B$52)</f>
        <v>0</v>
      </c>
      <c r="I34" s="58">
        <v>1</v>
      </c>
      <c r="K34" s="74">
        <v>32</v>
      </c>
      <c r="L34" s="119">
        <v>-283.89999999999998</v>
      </c>
      <c r="M34" s="117">
        <v>1453.7656233971784</v>
      </c>
    </row>
    <row r="35" spans="1:13" x14ac:dyDescent="0.4">
      <c r="A35" s="21" t="s">
        <v>137</v>
      </c>
      <c r="B35" s="29">
        <v>7</v>
      </c>
      <c r="C35" s="9">
        <f>IF(B$3=0,0,B35/B$3)</f>
        <v>6.889763779527559E-3</v>
      </c>
      <c r="E35" s="27" t="s">
        <v>97</v>
      </c>
      <c r="F35" s="24" t="s">
        <v>52</v>
      </c>
      <c r="G35" s="12">
        <v>0</v>
      </c>
      <c r="H35" s="88">
        <f t="shared" si="4"/>
        <v>0</v>
      </c>
      <c r="I35" s="58">
        <v>1</v>
      </c>
      <c r="K35" s="74">
        <v>33</v>
      </c>
      <c r="L35" s="119">
        <v>-291.29999999999995</v>
      </c>
      <c r="M35" s="117">
        <v>1452.6270296567952</v>
      </c>
    </row>
    <row r="36" spans="1:13" x14ac:dyDescent="0.4">
      <c r="E36" s="27" t="s">
        <v>98</v>
      </c>
      <c r="F36" s="24" t="s">
        <v>53</v>
      </c>
      <c r="G36" s="12">
        <v>0</v>
      </c>
      <c r="H36" s="88">
        <f t="shared" si="4"/>
        <v>0</v>
      </c>
      <c r="I36" s="58">
        <v>1</v>
      </c>
      <c r="K36" s="74">
        <v>34</v>
      </c>
      <c r="L36" s="119">
        <v>-301.69999999999993</v>
      </c>
      <c r="M36" s="117">
        <v>1450.9612674788546</v>
      </c>
    </row>
    <row r="37" spans="1:13" x14ac:dyDescent="0.4">
      <c r="A37" s="54" t="s">
        <v>172</v>
      </c>
      <c r="B37" s="122">
        <v>11</v>
      </c>
      <c r="C37" s="98">
        <f t="shared" ref="C37:C49" si="5">IF(B$20=0,0,B37/B$20)</f>
        <v>3.8194444444444448E-2</v>
      </c>
      <c r="E37" s="27" t="s">
        <v>99</v>
      </c>
      <c r="F37" s="24" t="s">
        <v>54</v>
      </c>
      <c r="G37" s="12">
        <v>0</v>
      </c>
      <c r="H37" s="88">
        <f t="shared" si="4"/>
        <v>0</v>
      </c>
      <c r="I37" s="58">
        <v>1</v>
      </c>
      <c r="K37" s="74">
        <v>35</v>
      </c>
      <c r="L37" s="119">
        <v>-339.69999999999993</v>
      </c>
      <c r="M37" s="117">
        <v>1444.3374998739814</v>
      </c>
    </row>
    <row r="38" spans="1:13" x14ac:dyDescent="0.4">
      <c r="A38" s="19" t="s">
        <v>168</v>
      </c>
      <c r="B38" s="12">
        <v>28</v>
      </c>
      <c r="C38" s="6">
        <f t="shared" si="5"/>
        <v>9.7222222222222224E-2</v>
      </c>
      <c r="E38" s="27" t="s">
        <v>100</v>
      </c>
      <c r="F38" s="24" t="s">
        <v>55</v>
      </c>
      <c r="G38" s="12">
        <v>0</v>
      </c>
      <c r="H38" s="88">
        <f t="shared" si="4"/>
        <v>0</v>
      </c>
      <c r="I38" s="58">
        <v>1</v>
      </c>
      <c r="K38" s="74">
        <v>36</v>
      </c>
      <c r="L38" s="119">
        <v>-328.09999999999991</v>
      </c>
      <c r="M38" s="117">
        <v>1446.6094748747375</v>
      </c>
    </row>
    <row r="39" spans="1:13" x14ac:dyDescent="0.4">
      <c r="A39" s="19" t="s">
        <v>169</v>
      </c>
      <c r="B39" s="123">
        <v>39</v>
      </c>
      <c r="C39" s="6">
        <f t="shared" si="5"/>
        <v>0.13541666666666666</v>
      </c>
      <c r="E39" s="27" t="s">
        <v>101</v>
      </c>
      <c r="F39" s="24" t="s">
        <v>56</v>
      </c>
      <c r="G39" s="12">
        <v>0</v>
      </c>
      <c r="H39" s="88">
        <f t="shared" si="4"/>
        <v>0</v>
      </c>
      <c r="I39" s="58">
        <v>1</v>
      </c>
      <c r="K39" s="74">
        <v>37</v>
      </c>
      <c r="L39" s="119">
        <v>-371.59999999999991</v>
      </c>
      <c r="M39" s="117">
        <v>1438.9498180254891</v>
      </c>
    </row>
    <row r="40" spans="1:13" x14ac:dyDescent="0.4">
      <c r="A40" s="19" t="s">
        <v>170</v>
      </c>
      <c r="B40" s="123">
        <v>54</v>
      </c>
      <c r="C40" s="6">
        <f t="shared" si="5"/>
        <v>0.1875</v>
      </c>
      <c r="E40" s="27" t="s">
        <v>102</v>
      </c>
      <c r="F40" s="24" t="s">
        <v>57</v>
      </c>
      <c r="G40" s="12">
        <v>0</v>
      </c>
      <c r="H40" s="88">
        <f t="shared" si="4"/>
        <v>0</v>
      </c>
      <c r="I40" s="58">
        <v>1</v>
      </c>
      <c r="K40" s="74">
        <v>38</v>
      </c>
      <c r="L40" s="119">
        <v>-380.09999999999991</v>
      </c>
      <c r="M40" s="117">
        <v>1437.6901191173361</v>
      </c>
    </row>
    <row r="41" spans="1:13" x14ac:dyDescent="0.4">
      <c r="A41" s="19" t="s">
        <v>171</v>
      </c>
      <c r="B41" s="123">
        <v>53</v>
      </c>
      <c r="C41" s="6">
        <f t="shared" si="5"/>
        <v>0.18402777777777779</v>
      </c>
      <c r="E41" s="27" t="s">
        <v>103</v>
      </c>
      <c r="F41" s="24" t="s">
        <v>58</v>
      </c>
      <c r="G41" s="12">
        <v>0</v>
      </c>
      <c r="H41" s="88">
        <f t="shared" si="4"/>
        <v>0</v>
      </c>
      <c r="I41" s="58">
        <v>1</v>
      </c>
      <c r="K41" s="74">
        <v>39</v>
      </c>
      <c r="L41" s="119">
        <v>-360.49999999999989</v>
      </c>
      <c r="M41" s="117">
        <v>1441.7059784026321</v>
      </c>
    </row>
    <row r="42" spans="1:13" x14ac:dyDescent="0.4">
      <c r="A42" s="19" t="s">
        <v>173</v>
      </c>
      <c r="B42" s="123">
        <v>33</v>
      </c>
      <c r="C42" s="6">
        <f t="shared" si="5"/>
        <v>0.11458333333333333</v>
      </c>
      <c r="E42" s="27" t="s">
        <v>104</v>
      </c>
      <c r="F42" s="24" t="s">
        <v>59</v>
      </c>
      <c r="G42" s="12">
        <v>0</v>
      </c>
      <c r="H42" s="88">
        <f t="shared" si="4"/>
        <v>0</v>
      </c>
      <c r="I42" s="58">
        <v>1</v>
      </c>
      <c r="K42" s="74">
        <v>40</v>
      </c>
      <c r="L42" s="119">
        <v>-378.59999999999991</v>
      </c>
      <c r="M42" s="117">
        <v>1438.7137425322164</v>
      </c>
    </row>
    <row r="43" spans="1:13" x14ac:dyDescent="0.4">
      <c r="A43" s="19" t="s">
        <v>174</v>
      </c>
      <c r="B43" s="123">
        <v>21</v>
      </c>
      <c r="C43" s="6">
        <f t="shared" si="5"/>
        <v>7.2916666666666671E-2</v>
      </c>
      <c r="E43" s="27" t="s">
        <v>105</v>
      </c>
      <c r="F43" s="24" t="s">
        <v>112</v>
      </c>
      <c r="G43" s="12">
        <v>0</v>
      </c>
      <c r="H43" s="88">
        <f t="shared" si="4"/>
        <v>0</v>
      </c>
      <c r="I43" s="58">
        <v>1</v>
      </c>
      <c r="K43" s="74">
        <v>41</v>
      </c>
      <c r="L43" s="119">
        <v>-366.59999999999991</v>
      </c>
      <c r="M43" s="117">
        <v>1441.1574600770232</v>
      </c>
    </row>
    <row r="44" spans="1:13" x14ac:dyDescent="0.4">
      <c r="A44" s="19" t="s">
        <v>175</v>
      </c>
      <c r="B44" s="123">
        <v>12</v>
      </c>
      <c r="C44" s="6">
        <f t="shared" si="5"/>
        <v>4.1666666666666664E-2</v>
      </c>
      <c r="E44" s="27" t="s">
        <v>106</v>
      </c>
      <c r="F44" s="24" t="s">
        <v>113</v>
      </c>
      <c r="G44" s="12">
        <v>0</v>
      </c>
      <c r="H44" s="88">
        <f t="shared" si="4"/>
        <v>0</v>
      </c>
      <c r="I44" s="58">
        <v>3</v>
      </c>
      <c r="K44" s="74">
        <v>42</v>
      </c>
      <c r="L44" s="119">
        <v>-367.09999999999991</v>
      </c>
      <c r="M44" s="117">
        <v>1441.336515316561</v>
      </c>
    </row>
    <row r="45" spans="1:13" x14ac:dyDescent="0.4">
      <c r="A45" s="19" t="s">
        <v>176</v>
      </c>
      <c r="B45" s="123">
        <v>12</v>
      </c>
      <c r="C45" s="6">
        <f t="shared" si="5"/>
        <v>4.1666666666666664E-2</v>
      </c>
      <c r="E45" s="27" t="s">
        <v>107</v>
      </c>
      <c r="F45" s="24" t="s">
        <v>114</v>
      </c>
      <c r="G45" s="12">
        <v>0</v>
      </c>
      <c r="H45" s="88">
        <f t="shared" si="4"/>
        <v>0</v>
      </c>
      <c r="I45" s="58">
        <v>1</v>
      </c>
      <c r="K45" s="74">
        <v>43</v>
      </c>
      <c r="L45" s="119">
        <v>-325.09999999999991</v>
      </c>
      <c r="M45" s="117">
        <v>1449.2784962246617</v>
      </c>
    </row>
    <row r="46" spans="1:13" x14ac:dyDescent="0.4">
      <c r="A46" s="19" t="s">
        <v>177</v>
      </c>
      <c r="B46" s="123">
        <v>6</v>
      </c>
      <c r="C46" s="6">
        <f t="shared" si="5"/>
        <v>2.0833333333333332E-2</v>
      </c>
      <c r="E46" s="27" t="s">
        <v>108</v>
      </c>
      <c r="F46" s="24" t="s">
        <v>60</v>
      </c>
      <c r="G46" s="12">
        <v>0</v>
      </c>
      <c r="H46" s="88">
        <f t="shared" si="4"/>
        <v>0</v>
      </c>
      <c r="I46" s="58">
        <v>1</v>
      </c>
      <c r="K46" s="74">
        <v>44</v>
      </c>
      <c r="L46" s="119">
        <v>-330.89999999999992</v>
      </c>
      <c r="M46" s="117">
        <v>1448.5688252473137</v>
      </c>
    </row>
    <row r="47" spans="1:13" x14ac:dyDescent="0.4">
      <c r="A47" s="19" t="s">
        <v>178</v>
      </c>
      <c r="B47" s="123">
        <v>2</v>
      </c>
      <c r="C47" s="6">
        <f t="shared" si="5"/>
        <v>6.9444444444444441E-3</v>
      </c>
      <c r="E47" s="27" t="s">
        <v>109</v>
      </c>
      <c r="F47" s="24" t="s">
        <v>61</v>
      </c>
      <c r="G47" s="12">
        <v>0</v>
      </c>
      <c r="H47" s="88">
        <f t="shared" si="4"/>
        <v>0</v>
      </c>
      <c r="I47" s="58">
        <v>1</v>
      </c>
      <c r="K47" s="74">
        <v>45</v>
      </c>
      <c r="L47" s="119">
        <v>-329.19999999999993</v>
      </c>
      <c r="M47" s="117">
        <v>1449.2854122958299</v>
      </c>
    </row>
    <row r="48" spans="1:13" x14ac:dyDescent="0.4">
      <c r="A48" s="19" t="s">
        <v>179</v>
      </c>
      <c r="B48" s="123">
        <v>2</v>
      </c>
      <c r="C48" s="6">
        <f t="shared" si="5"/>
        <v>6.9444444444444441E-3</v>
      </c>
      <c r="E48" s="27" t="s">
        <v>110</v>
      </c>
      <c r="F48" s="24" t="s">
        <v>62</v>
      </c>
      <c r="G48" s="12">
        <v>0</v>
      </c>
      <c r="H48" s="88">
        <f t="shared" si="4"/>
        <v>0</v>
      </c>
      <c r="I48" s="58">
        <v>1</v>
      </c>
      <c r="K48" s="74">
        <v>46</v>
      </c>
      <c r="L48" s="119">
        <v>-363.39999999999992</v>
      </c>
      <c r="M48" s="117">
        <v>1443.373699822055</v>
      </c>
    </row>
    <row r="49" spans="1:13" x14ac:dyDescent="0.4">
      <c r="A49" s="21" t="s">
        <v>180</v>
      </c>
      <c r="B49" s="97">
        <v>5</v>
      </c>
      <c r="C49" s="9">
        <f t="shared" si="5"/>
        <v>1.7361111111111112E-2</v>
      </c>
      <c r="E49" s="27" t="s">
        <v>111</v>
      </c>
      <c r="F49" s="24" t="s">
        <v>63</v>
      </c>
      <c r="G49" s="12">
        <v>0</v>
      </c>
      <c r="H49" s="88">
        <f t="shared" si="4"/>
        <v>0</v>
      </c>
      <c r="I49" s="58">
        <v>1</v>
      </c>
      <c r="K49" s="74">
        <v>47</v>
      </c>
      <c r="L49" s="119">
        <v>-351.39999999999992</v>
      </c>
      <c r="M49" s="117">
        <v>1445.5974576231226</v>
      </c>
    </row>
    <row r="50" spans="1:13" x14ac:dyDescent="0.4">
      <c r="E50" s="27" t="s">
        <v>156</v>
      </c>
      <c r="F50" s="24" t="s">
        <v>157</v>
      </c>
      <c r="G50" s="12">
        <v>0</v>
      </c>
      <c r="H50" s="88">
        <f t="shared" si="4"/>
        <v>0</v>
      </c>
      <c r="I50" s="58">
        <v>1</v>
      </c>
      <c r="K50" s="74">
        <v>48</v>
      </c>
      <c r="L50" s="119">
        <v>-359.19999999999993</v>
      </c>
      <c r="M50" s="117">
        <v>1444.651872877384</v>
      </c>
    </row>
    <row r="51" spans="1:13" x14ac:dyDescent="0.4">
      <c r="A51" s="54" t="s">
        <v>206</v>
      </c>
      <c r="B51" s="125">
        <v>979</v>
      </c>
      <c r="C51" s="126"/>
      <c r="E51" s="91" t="s">
        <v>160</v>
      </c>
      <c r="F51" s="92" t="s">
        <v>161</v>
      </c>
      <c r="G51" s="13">
        <v>0</v>
      </c>
      <c r="H51" s="93">
        <f t="shared" si="4"/>
        <v>0</v>
      </c>
      <c r="I51" s="94">
        <v>1</v>
      </c>
      <c r="K51" s="74">
        <v>49</v>
      </c>
      <c r="L51" s="119">
        <v>-364.49999999999994</v>
      </c>
      <c r="M51" s="117">
        <v>1444.1559616401196</v>
      </c>
    </row>
    <row r="52" spans="1:13" x14ac:dyDescent="0.4">
      <c r="A52" s="21" t="s">
        <v>207</v>
      </c>
      <c r="B52" s="127">
        <v>278</v>
      </c>
      <c r="C52" s="128"/>
      <c r="E52" s="28" t="s">
        <v>162</v>
      </c>
      <c r="F52" s="25" t="s">
        <v>163</v>
      </c>
      <c r="G52" s="14">
        <v>0</v>
      </c>
      <c r="H52" s="89">
        <f t="shared" si="4"/>
        <v>0</v>
      </c>
      <c r="I52" s="59">
        <v>1</v>
      </c>
      <c r="K52" s="74">
        <v>50</v>
      </c>
      <c r="L52" s="119">
        <v>-399.99999999999994</v>
      </c>
      <c r="M52" s="117">
        <v>1437.8790258702788</v>
      </c>
    </row>
    <row r="53" spans="1:13" x14ac:dyDescent="0.4">
      <c r="K53" s="74">
        <v>51</v>
      </c>
      <c r="L53" s="119">
        <v>-409.99999999999994</v>
      </c>
      <c r="M53" s="117">
        <v>1436.4157517150572</v>
      </c>
    </row>
    <row r="54" spans="1:13" x14ac:dyDescent="0.4">
      <c r="K54" s="74">
        <v>52</v>
      </c>
      <c r="L54" s="119">
        <v>-426.39999999999992</v>
      </c>
      <c r="M54" s="117">
        <v>1433.5992572047669</v>
      </c>
    </row>
    <row r="55" spans="1:13" x14ac:dyDescent="0.4">
      <c r="K55" s="74">
        <v>53</v>
      </c>
      <c r="L55" s="119">
        <v>-399.89999999999992</v>
      </c>
      <c r="M55" s="117">
        <v>1438.8696616615382</v>
      </c>
    </row>
    <row r="56" spans="1:13" x14ac:dyDescent="0.4">
      <c r="K56" s="74">
        <v>54</v>
      </c>
      <c r="L56" s="119">
        <v>-411.19999999999993</v>
      </c>
      <c r="M56" s="117">
        <v>1437.298443691569</v>
      </c>
    </row>
    <row r="57" spans="1:13" x14ac:dyDescent="0.4">
      <c r="K57" s="74">
        <v>55</v>
      </c>
      <c r="L57" s="119">
        <v>-420.49999999999994</v>
      </c>
      <c r="M57" s="117">
        <v>1436.0966530294195</v>
      </c>
    </row>
    <row r="58" spans="1:13" x14ac:dyDescent="0.4">
      <c r="K58" s="74">
        <v>56</v>
      </c>
      <c r="L58" s="119">
        <v>-395.39999999999992</v>
      </c>
      <c r="M58" s="117">
        <v>1441.094073111243</v>
      </c>
    </row>
    <row r="59" spans="1:13" x14ac:dyDescent="0.4">
      <c r="K59" s="74">
        <v>57</v>
      </c>
      <c r="L59" s="119">
        <v>-428.89999999999992</v>
      </c>
      <c r="M59" s="117">
        <v>1435.5135086725757</v>
      </c>
    </row>
    <row r="60" spans="1:13" x14ac:dyDescent="0.4">
      <c r="K60" s="74">
        <v>58</v>
      </c>
      <c r="L60" s="119">
        <v>-466.39999999999992</v>
      </c>
      <c r="M60" s="117">
        <v>1429.2464276205401</v>
      </c>
    </row>
    <row r="61" spans="1:13" x14ac:dyDescent="0.4">
      <c r="K61" s="74">
        <v>59</v>
      </c>
      <c r="L61" s="119">
        <v>-475.7999999999999</v>
      </c>
      <c r="M61" s="117">
        <v>1428.0749490548169</v>
      </c>
    </row>
    <row r="62" spans="1:13" x14ac:dyDescent="0.4">
      <c r="K62" s="74">
        <v>60</v>
      </c>
      <c r="L62" s="119">
        <v>-475.2999999999999</v>
      </c>
      <c r="M62" s="117">
        <v>1428.758499360488</v>
      </c>
    </row>
    <row r="63" spans="1:13" x14ac:dyDescent="0.4">
      <c r="K63" s="74">
        <v>61</v>
      </c>
      <c r="L63" s="119">
        <v>-487.39999999999992</v>
      </c>
      <c r="M63" s="117">
        <v>1427.1699483643251</v>
      </c>
    </row>
    <row r="64" spans="1:13" x14ac:dyDescent="0.4">
      <c r="K64" s="74">
        <v>62</v>
      </c>
      <c r="L64" s="119">
        <v>-492.59999999999991</v>
      </c>
      <c r="M64" s="117">
        <v>1426.8329286741391</v>
      </c>
    </row>
    <row r="65" spans="11:13" x14ac:dyDescent="0.4">
      <c r="K65" s="74">
        <v>63</v>
      </c>
      <c r="L65" s="119">
        <v>-416.09999999999991</v>
      </c>
      <c r="M65" s="117">
        <v>1441.0479311020943</v>
      </c>
    </row>
    <row r="66" spans="11:13" x14ac:dyDescent="0.4">
      <c r="K66" s="74">
        <v>64</v>
      </c>
      <c r="L66" s="119">
        <v>-451.89999999999992</v>
      </c>
      <c r="M66" s="117">
        <v>1435.1496435154818</v>
      </c>
    </row>
    <row r="67" spans="11:13" x14ac:dyDescent="0.4">
      <c r="K67" s="74">
        <v>65</v>
      </c>
      <c r="L67" s="119">
        <v>-454.09999999999991</v>
      </c>
      <c r="M67" s="117">
        <v>1435.3347456543888</v>
      </c>
    </row>
    <row r="68" spans="11:13" x14ac:dyDescent="0.4">
      <c r="K68" s="74">
        <v>66</v>
      </c>
      <c r="L68" s="119">
        <v>-470.99999999999989</v>
      </c>
      <c r="M68" s="117">
        <v>1432.8727371804625</v>
      </c>
    </row>
    <row r="69" spans="11:13" x14ac:dyDescent="0.4">
      <c r="K69" s="74">
        <v>67</v>
      </c>
      <c r="L69" s="119">
        <v>-508.39999999999986</v>
      </c>
      <c r="M69" s="117">
        <v>1426.7355007573797</v>
      </c>
    </row>
    <row r="70" spans="11:13" x14ac:dyDescent="0.4">
      <c r="K70" s="74">
        <v>68</v>
      </c>
      <c r="L70" s="119">
        <v>-418.69999999999987</v>
      </c>
      <c r="M70" s="117">
        <v>1443.5130877528354</v>
      </c>
    </row>
    <row r="71" spans="11:13" x14ac:dyDescent="0.4">
      <c r="K71" s="74">
        <v>69</v>
      </c>
      <c r="L71" s="119">
        <v>-387.49999999999989</v>
      </c>
      <c r="M71" s="117">
        <v>1449.5760092263183</v>
      </c>
    </row>
    <row r="72" spans="11:13" x14ac:dyDescent="0.4">
      <c r="K72" s="74">
        <v>70</v>
      </c>
      <c r="L72" s="119">
        <v>-347.2999999999999</v>
      </c>
      <c r="M72" s="117">
        <v>1457.2225531709605</v>
      </c>
    </row>
    <row r="73" spans="11:13" x14ac:dyDescent="0.4">
      <c r="K73" s="74">
        <v>71</v>
      </c>
      <c r="L73" s="119">
        <v>-368.2999999999999</v>
      </c>
      <c r="M73" s="117">
        <v>1453.9152178519348</v>
      </c>
    </row>
    <row r="74" spans="11:13" x14ac:dyDescent="0.4">
      <c r="K74" s="74">
        <v>72</v>
      </c>
      <c r="L74" s="119">
        <v>-404.2999999999999</v>
      </c>
      <c r="M74" s="117">
        <v>1447.9277265448231</v>
      </c>
    </row>
    <row r="75" spans="11:13" x14ac:dyDescent="0.4">
      <c r="K75" s="74">
        <v>73</v>
      </c>
      <c r="L75" s="119">
        <v>-413.69999999999987</v>
      </c>
      <c r="M75" s="117">
        <v>1446.7641601855541</v>
      </c>
    </row>
    <row r="76" spans="11:13" x14ac:dyDescent="0.4">
      <c r="K76" s="74">
        <v>74</v>
      </c>
      <c r="L76" s="119">
        <v>-399.19999999999987</v>
      </c>
      <c r="M76" s="117">
        <v>1449.5255752244409</v>
      </c>
    </row>
    <row r="77" spans="11:13" x14ac:dyDescent="0.4">
      <c r="K77" s="74">
        <v>75</v>
      </c>
      <c r="L77" s="119">
        <v>-438.59999999999985</v>
      </c>
      <c r="M77" s="117">
        <v>1442.8024217730942</v>
      </c>
    </row>
    <row r="78" spans="11:13" x14ac:dyDescent="0.4">
      <c r="K78" s="74">
        <v>76</v>
      </c>
      <c r="L78" s="119">
        <v>-437.19999999999987</v>
      </c>
      <c r="M78" s="117">
        <v>1443.4636072424557</v>
      </c>
    </row>
    <row r="79" spans="11:13" x14ac:dyDescent="0.4">
      <c r="K79" s="74">
        <v>77</v>
      </c>
      <c r="L79" s="119">
        <v>-439.99999999999989</v>
      </c>
      <c r="M79" s="117">
        <v>1443.472825599001</v>
      </c>
    </row>
    <row r="80" spans="11:13" x14ac:dyDescent="0.4">
      <c r="K80" s="74">
        <v>78</v>
      </c>
      <c r="L80" s="119">
        <v>-428.19999999999987</v>
      </c>
      <c r="M80" s="117">
        <v>1446.0559886454071</v>
      </c>
    </row>
    <row r="81" spans="11:13" x14ac:dyDescent="0.4">
      <c r="K81" s="74">
        <v>79</v>
      </c>
      <c r="L81" s="119">
        <v>-443.2999999999999</v>
      </c>
      <c r="M81" s="117">
        <v>1443.7816527135346</v>
      </c>
    </row>
    <row r="82" spans="11:13" x14ac:dyDescent="0.4">
      <c r="K82" s="74">
        <v>80</v>
      </c>
      <c r="L82" s="119">
        <v>-454.99999999999989</v>
      </c>
      <c r="M82" s="117">
        <v>1442.1329627972534</v>
      </c>
    </row>
    <row r="83" spans="11:13" x14ac:dyDescent="0.4">
      <c r="K83" s="74">
        <v>81</v>
      </c>
      <c r="L83" s="119">
        <v>-398.59999999999991</v>
      </c>
      <c r="M83" s="117">
        <v>1452.7521650204699</v>
      </c>
    </row>
    <row r="84" spans="11:13" x14ac:dyDescent="0.4">
      <c r="K84" s="74">
        <v>82</v>
      </c>
      <c r="L84" s="119">
        <v>-353.59999999999991</v>
      </c>
      <c r="M84" s="117">
        <v>1461.1596520303472</v>
      </c>
    </row>
    <row r="85" spans="11:13" x14ac:dyDescent="0.4">
      <c r="K85" s="74">
        <v>83</v>
      </c>
      <c r="L85" s="119">
        <v>-354.2999999999999</v>
      </c>
      <c r="M85" s="117">
        <v>1461.3446941181651</v>
      </c>
    </row>
    <row r="86" spans="11:13" x14ac:dyDescent="0.4">
      <c r="K86" s="74">
        <v>84</v>
      </c>
      <c r="L86" s="119">
        <v>-344.19999999999987</v>
      </c>
      <c r="M86" s="117">
        <v>1463.700625953456</v>
      </c>
    </row>
    <row r="87" spans="11:13" x14ac:dyDescent="0.4">
      <c r="K87" s="74">
        <v>85</v>
      </c>
      <c r="L87" s="119">
        <v>-379.99999999999989</v>
      </c>
      <c r="M87" s="117">
        <v>1457.7864221977352</v>
      </c>
    </row>
    <row r="88" spans="11:13" x14ac:dyDescent="0.4">
      <c r="K88" s="74">
        <v>86</v>
      </c>
      <c r="L88" s="119">
        <v>-383.7999999999999</v>
      </c>
      <c r="M88" s="117">
        <v>1457.6677036645488</v>
      </c>
    </row>
    <row r="89" spans="11:13" x14ac:dyDescent="0.4">
      <c r="K89" s="74">
        <v>87</v>
      </c>
      <c r="L89" s="119">
        <v>-397.49999999999989</v>
      </c>
      <c r="M89" s="117">
        <v>1455.7676974425615</v>
      </c>
    </row>
    <row r="90" spans="11:13" x14ac:dyDescent="0.4">
      <c r="K90" s="74">
        <v>88</v>
      </c>
      <c r="L90" s="119">
        <v>-438.49999999999989</v>
      </c>
      <c r="M90" s="117">
        <v>1448.9650912579061</v>
      </c>
    </row>
    <row r="91" spans="11:13" x14ac:dyDescent="0.4">
      <c r="K91" s="74">
        <v>89</v>
      </c>
      <c r="L91" s="119">
        <v>-481.59999999999991</v>
      </c>
      <c r="M91" s="117">
        <v>1441.8253007103588</v>
      </c>
    </row>
    <row r="92" spans="11:13" x14ac:dyDescent="0.4">
      <c r="K92" s="74">
        <v>90</v>
      </c>
      <c r="L92" s="119">
        <v>-481.59999999999991</v>
      </c>
      <c r="M92" s="117">
        <v>1442.4863489060965</v>
      </c>
    </row>
    <row r="93" spans="11:13" x14ac:dyDescent="0.4">
      <c r="K93" s="74">
        <v>91</v>
      </c>
      <c r="L93" s="119">
        <v>-485.2999999999999</v>
      </c>
      <c r="M93" s="117">
        <v>1442.2614308126599</v>
      </c>
    </row>
    <row r="94" spans="11:13" x14ac:dyDescent="0.4">
      <c r="K94" s="74">
        <v>92</v>
      </c>
      <c r="L94" s="119">
        <v>-521.79999999999995</v>
      </c>
      <c r="M94" s="117">
        <v>1435.9058622277839</v>
      </c>
    </row>
    <row r="95" spans="11:13" x14ac:dyDescent="0.4">
      <c r="K95" s="74">
        <v>93</v>
      </c>
      <c r="L95" s="119">
        <v>-563.19999999999993</v>
      </c>
      <c r="M95" s="117">
        <v>1429.1324270544171</v>
      </c>
    </row>
    <row r="96" spans="11:13" x14ac:dyDescent="0.4">
      <c r="K96" s="74">
        <v>94</v>
      </c>
      <c r="L96" s="119">
        <v>-560.99999999999989</v>
      </c>
      <c r="M96" s="117">
        <v>1429.9296324920906</v>
      </c>
    </row>
    <row r="97" spans="11:13" x14ac:dyDescent="0.4">
      <c r="K97" s="74">
        <v>95</v>
      </c>
      <c r="L97" s="119">
        <v>-544.39999999999986</v>
      </c>
      <c r="M97" s="117">
        <v>1433.626054697138</v>
      </c>
    </row>
    <row r="98" spans="11:13" x14ac:dyDescent="0.4">
      <c r="K98" s="74">
        <v>96</v>
      </c>
      <c r="L98" s="119">
        <v>-513.59999999999991</v>
      </c>
      <c r="M98" s="117">
        <v>1439.8562983689551</v>
      </c>
    </row>
    <row r="99" spans="11:13" x14ac:dyDescent="0.4">
      <c r="K99" s="74">
        <v>97</v>
      </c>
      <c r="L99" s="119">
        <v>-449.89999999999992</v>
      </c>
      <c r="M99" s="117">
        <v>1451.8151605787414</v>
      </c>
    </row>
    <row r="100" spans="11:13" x14ac:dyDescent="0.4">
      <c r="K100" s="74">
        <v>98</v>
      </c>
      <c r="L100" s="119">
        <v>-478.69999999999993</v>
      </c>
      <c r="M100" s="117">
        <v>1447.2262696152688</v>
      </c>
    </row>
    <row r="101" spans="11:13" x14ac:dyDescent="0.4">
      <c r="K101" s="74">
        <v>99</v>
      </c>
      <c r="L101" s="119">
        <v>-455.19999999999993</v>
      </c>
      <c r="M101" s="117">
        <v>1451.8149119975772</v>
      </c>
    </row>
    <row r="102" spans="11:13" x14ac:dyDescent="0.4">
      <c r="K102" s="74">
        <v>100</v>
      </c>
      <c r="L102" s="119">
        <v>-505.69999999999993</v>
      </c>
      <c r="M102" s="117">
        <v>1442.8340225255918</v>
      </c>
    </row>
    <row r="103" spans="11:13" x14ac:dyDescent="0.4">
      <c r="K103" s="74">
        <v>101</v>
      </c>
      <c r="L103" s="119">
        <v>-503.89999999999992</v>
      </c>
      <c r="M103" s="117">
        <v>1443.3210183904382</v>
      </c>
    </row>
    <row r="104" spans="11:13" x14ac:dyDescent="0.4">
      <c r="K104" s="74">
        <v>102</v>
      </c>
      <c r="L104" s="119">
        <v>-452.59999999999991</v>
      </c>
      <c r="M104" s="117">
        <v>1452.5350922800956</v>
      </c>
    </row>
    <row r="105" spans="11:13" x14ac:dyDescent="0.4">
      <c r="K105" s="74">
        <v>103</v>
      </c>
      <c r="L105" s="119">
        <v>-477.69999999999993</v>
      </c>
      <c r="M105" s="117">
        <v>1447.941881726415</v>
      </c>
    </row>
    <row r="106" spans="11:13" x14ac:dyDescent="0.4">
      <c r="K106" s="74">
        <v>104</v>
      </c>
      <c r="L106" s="119">
        <v>-477.19999999999993</v>
      </c>
      <c r="M106" s="117">
        <v>1448.1462304360564</v>
      </c>
    </row>
    <row r="107" spans="11:13" x14ac:dyDescent="0.4">
      <c r="K107" s="74">
        <v>105</v>
      </c>
      <c r="L107" s="119">
        <v>-478.09999999999991</v>
      </c>
      <c r="M107" s="117">
        <v>1448.3433530534401</v>
      </c>
    </row>
    <row r="108" spans="11:13" x14ac:dyDescent="0.4">
      <c r="K108" s="74">
        <v>106</v>
      </c>
      <c r="L108" s="119">
        <v>-419.89999999999992</v>
      </c>
      <c r="M108" s="117">
        <v>1459.2612929351194</v>
      </c>
    </row>
    <row r="109" spans="11:13" x14ac:dyDescent="0.4">
      <c r="K109" s="74">
        <v>107</v>
      </c>
      <c r="L109" s="119">
        <v>-436.69999999999993</v>
      </c>
      <c r="M109" s="117">
        <v>1456.6137251775087</v>
      </c>
    </row>
    <row r="110" spans="11:13" x14ac:dyDescent="0.4">
      <c r="K110" s="74">
        <v>108</v>
      </c>
      <c r="L110" s="119">
        <v>-453.29999999999995</v>
      </c>
      <c r="M110" s="117">
        <v>1454.0180428264437</v>
      </c>
    </row>
    <row r="111" spans="11:13" x14ac:dyDescent="0.4">
      <c r="K111" s="74">
        <v>109</v>
      </c>
      <c r="L111" s="119">
        <v>-448.79999999999995</v>
      </c>
      <c r="M111" s="117">
        <v>1455.433934569485</v>
      </c>
    </row>
    <row r="112" spans="11:13" x14ac:dyDescent="0.4">
      <c r="K112" s="74">
        <v>110</v>
      </c>
      <c r="L112" s="119">
        <v>-447.99999999999994</v>
      </c>
      <c r="M112" s="117">
        <v>1456.1753309620681</v>
      </c>
    </row>
    <row r="113" spans="11:13" x14ac:dyDescent="0.4">
      <c r="K113" s="74">
        <v>111</v>
      </c>
      <c r="L113" s="119">
        <v>-470.39999999999992</v>
      </c>
      <c r="M113" s="117">
        <v>1452.7242789762956</v>
      </c>
    </row>
    <row r="114" spans="11:13" x14ac:dyDescent="0.4">
      <c r="K114" s="74">
        <v>112</v>
      </c>
      <c r="L114" s="119">
        <v>-471.19999999999993</v>
      </c>
      <c r="M114" s="117">
        <v>1453.0139333024379</v>
      </c>
    </row>
    <row r="115" spans="11:13" x14ac:dyDescent="0.4">
      <c r="K115" s="74">
        <v>113</v>
      </c>
      <c r="L115" s="119">
        <v>-469.39999999999992</v>
      </c>
      <c r="M115" s="117">
        <v>1453.8658497026233</v>
      </c>
    </row>
    <row r="116" spans="11:13" x14ac:dyDescent="0.4">
      <c r="K116" s="74">
        <v>114</v>
      </c>
      <c r="L116" s="119">
        <v>-475.09999999999991</v>
      </c>
      <c r="M116" s="117">
        <v>1453.3626546044077</v>
      </c>
    </row>
    <row r="117" spans="11:13" x14ac:dyDescent="0.4">
      <c r="K117" s="74">
        <v>115</v>
      </c>
      <c r="L117" s="119">
        <v>-443.39999999999992</v>
      </c>
      <c r="M117" s="117">
        <v>1459.5944786767811</v>
      </c>
    </row>
    <row r="118" spans="11:13" x14ac:dyDescent="0.4">
      <c r="K118" s="74">
        <v>116</v>
      </c>
      <c r="L118" s="119">
        <v>-440.39999999999992</v>
      </c>
      <c r="M118" s="117">
        <v>1460.6289118047205</v>
      </c>
    </row>
    <row r="119" spans="11:13" x14ac:dyDescent="0.4">
      <c r="K119" s="74">
        <v>117</v>
      </c>
      <c r="L119" s="119">
        <v>-453.39999999999992</v>
      </c>
      <c r="M119" s="117">
        <v>1458.7711383338922</v>
      </c>
    </row>
    <row r="120" spans="11:13" x14ac:dyDescent="0.4">
      <c r="K120" s="74">
        <v>118</v>
      </c>
      <c r="L120" s="119">
        <v>-470.2999999999999</v>
      </c>
      <c r="M120" s="117">
        <v>1456.1265115038889</v>
      </c>
    </row>
    <row r="121" spans="11:13" x14ac:dyDescent="0.4">
      <c r="K121" s="74">
        <v>119</v>
      </c>
      <c r="L121" s="119">
        <v>-469.19999999999987</v>
      </c>
      <c r="M121" s="117">
        <v>1456.7377524348656</v>
      </c>
    </row>
    <row r="122" spans="11:13" x14ac:dyDescent="0.4">
      <c r="K122" s="74">
        <v>120</v>
      </c>
      <c r="L122" s="119">
        <v>-502.19999999999987</v>
      </c>
      <c r="M122" s="117">
        <v>1451.2073259202564</v>
      </c>
    </row>
    <row r="123" spans="11:13" x14ac:dyDescent="0.4">
      <c r="K123" s="74">
        <v>121</v>
      </c>
      <c r="L123" s="119">
        <v>-509.69999999999987</v>
      </c>
      <c r="M123" s="117">
        <v>1450.3000819647348</v>
      </c>
    </row>
    <row r="124" spans="11:13" x14ac:dyDescent="0.4">
      <c r="K124" s="74">
        <v>122</v>
      </c>
      <c r="L124" s="119">
        <v>-492.09999999999985</v>
      </c>
      <c r="M124" s="117">
        <v>1453.9162814729464</v>
      </c>
    </row>
    <row r="125" spans="11:13" x14ac:dyDescent="0.4">
      <c r="K125" s="74">
        <v>123</v>
      </c>
      <c r="L125" s="119">
        <v>-500.09999999999985</v>
      </c>
      <c r="M125" s="117">
        <v>1452.7467837841086</v>
      </c>
    </row>
    <row r="126" spans="11:13" x14ac:dyDescent="0.4">
      <c r="K126" s="74">
        <v>124</v>
      </c>
      <c r="L126" s="119">
        <v>-493.49999999999983</v>
      </c>
      <c r="M126" s="117">
        <v>1454.3683030814041</v>
      </c>
    </row>
    <row r="127" spans="11:13" x14ac:dyDescent="0.4">
      <c r="K127" s="74">
        <v>125</v>
      </c>
      <c r="L127" s="119">
        <v>-500.99999999999983</v>
      </c>
      <c r="M127" s="117">
        <v>1453.5080932629157</v>
      </c>
    </row>
    <row r="128" spans="11:13" x14ac:dyDescent="0.4">
      <c r="K128" s="74">
        <v>126</v>
      </c>
      <c r="L128" s="119">
        <v>-456.29999999999984</v>
      </c>
      <c r="M128" s="117">
        <v>1462.0490447033383</v>
      </c>
    </row>
    <row r="129" spans="11:13" x14ac:dyDescent="0.4">
      <c r="K129" s="74">
        <v>127</v>
      </c>
      <c r="L129" s="119">
        <v>-412.09999999999985</v>
      </c>
      <c r="M129" s="117">
        <v>1470.4547504351183</v>
      </c>
    </row>
    <row r="130" spans="11:13" x14ac:dyDescent="0.4">
      <c r="K130" s="74">
        <v>128</v>
      </c>
      <c r="L130" s="119">
        <v>-424.09999999999985</v>
      </c>
      <c r="M130" s="117">
        <v>1468.6940219325077</v>
      </c>
    </row>
    <row r="131" spans="11:13" x14ac:dyDescent="0.4">
      <c r="K131" s="74">
        <v>129</v>
      </c>
      <c r="L131" s="119">
        <v>-448.69999999999987</v>
      </c>
      <c r="M131" s="117">
        <v>1464.7178578009127</v>
      </c>
    </row>
    <row r="132" spans="11:13" x14ac:dyDescent="0.4">
      <c r="K132" s="74">
        <v>130</v>
      </c>
      <c r="L132" s="119">
        <v>-468.69999999999987</v>
      </c>
      <c r="M132" s="117">
        <v>1461.5935506541073</v>
      </c>
    </row>
    <row r="133" spans="11:13" x14ac:dyDescent="0.4">
      <c r="K133" s="74">
        <v>131</v>
      </c>
      <c r="L133" s="119">
        <v>-461.2999999999999</v>
      </c>
      <c r="M133" s="117">
        <v>1463.4199893501827</v>
      </c>
    </row>
  </sheetData>
  <sortState xmlns:xlrd2="http://schemas.microsoft.com/office/spreadsheetml/2017/richdata2" ref="E2:I134">
    <sortCondition descending="1" ref="H1"/>
  </sortState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E1A96-784F-403B-83F4-2D7C0EAD8625}">
  <sheetPr codeName="Sheet2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7" t="s">
        <v>246</v>
      </c>
      <c r="C1" s="138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25">
        <v>6</v>
      </c>
      <c r="C2" s="126"/>
      <c r="E2" s="26" t="s">
        <v>64</v>
      </c>
      <c r="F2" s="23" t="s">
        <v>20</v>
      </c>
      <c r="G2" s="11">
        <v>12</v>
      </c>
      <c r="H2" s="87">
        <f t="shared" ref="H2:H33" si="0">IF(B$52=0,0,G2/B$52)</f>
        <v>0.63157894736842102</v>
      </c>
      <c r="I2" s="57">
        <v>3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7650</v>
      </c>
      <c r="Q2" s="76">
        <v>6</v>
      </c>
      <c r="R2" s="63">
        <v>45900</v>
      </c>
    </row>
    <row r="3" spans="1:18" x14ac:dyDescent="0.4">
      <c r="A3" s="19" t="s">
        <v>8</v>
      </c>
      <c r="B3" s="139">
        <v>50</v>
      </c>
      <c r="C3" s="140"/>
      <c r="E3" s="27" t="s">
        <v>66</v>
      </c>
      <c r="F3" s="24" t="s">
        <v>22</v>
      </c>
      <c r="G3" s="12">
        <v>12</v>
      </c>
      <c r="H3" s="88">
        <f t="shared" si="0"/>
        <v>0.63157894736842102</v>
      </c>
      <c r="I3" s="58">
        <v>11</v>
      </c>
      <c r="K3" s="74">
        <v>1</v>
      </c>
      <c r="L3" s="119">
        <v>28.3</v>
      </c>
      <c r="M3" s="117">
        <v>1504.896</v>
      </c>
      <c r="O3" s="74" t="s">
        <v>129</v>
      </c>
      <c r="P3" s="80">
        <f t="shared" si="1"/>
        <v>-6450</v>
      </c>
      <c r="Q3" s="77">
        <v>6</v>
      </c>
      <c r="R3" s="64">
        <v>-38700</v>
      </c>
    </row>
    <row r="4" spans="1:18" x14ac:dyDescent="0.4">
      <c r="A4" s="19" t="s">
        <v>6</v>
      </c>
      <c r="B4" s="141">
        <v>48</v>
      </c>
      <c r="C4" s="142"/>
      <c r="E4" s="27" t="s">
        <v>72</v>
      </c>
      <c r="F4" s="24" t="s">
        <v>27</v>
      </c>
      <c r="G4" s="12">
        <v>10</v>
      </c>
      <c r="H4" s="88">
        <f t="shared" si="0"/>
        <v>0.52631578947368418</v>
      </c>
      <c r="I4" s="58">
        <v>10</v>
      </c>
      <c r="K4" s="74">
        <v>2</v>
      </c>
      <c r="L4" s="119">
        <v>71.3</v>
      </c>
      <c r="M4" s="117">
        <v>1512.684624</v>
      </c>
      <c r="O4" s="74" t="s">
        <v>130</v>
      </c>
      <c r="P4" s="80">
        <f t="shared" si="1"/>
        <v>-1500</v>
      </c>
      <c r="Q4" s="77">
        <v>6</v>
      </c>
      <c r="R4" s="64">
        <v>-9000</v>
      </c>
    </row>
    <row r="5" spans="1:18" x14ac:dyDescent="0.4">
      <c r="A5" s="19" t="s">
        <v>7</v>
      </c>
      <c r="B5" s="129">
        <f>IF(B$2=0,0,B$4/B$2)</f>
        <v>8</v>
      </c>
      <c r="C5" s="130"/>
      <c r="E5" s="27" t="s">
        <v>67</v>
      </c>
      <c r="F5" s="24" t="s">
        <v>23</v>
      </c>
      <c r="G5" s="12">
        <v>7</v>
      </c>
      <c r="H5" s="88">
        <f t="shared" si="0"/>
        <v>0.36842105263157893</v>
      </c>
      <c r="I5" s="58">
        <v>3</v>
      </c>
      <c r="K5" s="74">
        <v>3</v>
      </c>
      <c r="L5" s="119">
        <v>57.3</v>
      </c>
      <c r="M5" s="117">
        <v>1510.166516256</v>
      </c>
      <c r="O5" s="74" t="s">
        <v>131</v>
      </c>
      <c r="P5" s="80">
        <f t="shared" si="1"/>
        <v>10700</v>
      </c>
      <c r="Q5" s="77">
        <v>4</v>
      </c>
      <c r="R5" s="64">
        <v>42800</v>
      </c>
    </row>
    <row r="6" spans="1:18" x14ac:dyDescent="0.4">
      <c r="A6" s="19" t="s">
        <v>196</v>
      </c>
      <c r="B6" s="133">
        <v>1508.2667114551803</v>
      </c>
      <c r="C6" s="134"/>
      <c r="E6" s="27" t="s">
        <v>68</v>
      </c>
      <c r="F6" s="24" t="s">
        <v>12</v>
      </c>
      <c r="G6" s="12">
        <v>4</v>
      </c>
      <c r="H6" s="88">
        <f t="shared" si="0"/>
        <v>0.21052631578947367</v>
      </c>
      <c r="I6" s="58">
        <v>12</v>
      </c>
      <c r="K6" s="74">
        <v>4</v>
      </c>
      <c r="L6" s="119">
        <v>65.5</v>
      </c>
      <c r="M6" s="117">
        <v>1511.5695171584641</v>
      </c>
      <c r="O6" s="74" t="s">
        <v>132</v>
      </c>
      <c r="P6" s="80">
        <f t="shared" si="1"/>
        <v>-1000</v>
      </c>
      <c r="Q6" s="77">
        <v>4</v>
      </c>
      <c r="R6" s="64">
        <v>-4000</v>
      </c>
    </row>
    <row r="7" spans="1:18" x14ac:dyDescent="0.4">
      <c r="A7" s="19" t="s">
        <v>1</v>
      </c>
      <c r="B7" s="135">
        <f>IF(B$2=0,0,(B$8*1+B$9*2+B$10*3)/B$2)</f>
        <v>1.8333333333333333</v>
      </c>
      <c r="C7" s="136"/>
      <c r="E7" s="27" t="s">
        <v>70</v>
      </c>
      <c r="F7" s="24" t="s">
        <v>25</v>
      </c>
      <c r="G7" s="12">
        <v>4</v>
      </c>
      <c r="H7" s="88">
        <f t="shared" si="0"/>
        <v>0.21052631578947367</v>
      </c>
      <c r="I7" s="58">
        <v>1</v>
      </c>
      <c r="K7" s="74">
        <v>5</v>
      </c>
      <c r="L7" s="119">
        <v>90</v>
      </c>
      <c r="M7" s="117">
        <v>1515.8981000555134</v>
      </c>
      <c r="O7" s="75" t="s">
        <v>133</v>
      </c>
      <c r="P7" s="81">
        <f t="shared" si="1"/>
        <v>2750</v>
      </c>
      <c r="Q7" s="78">
        <v>4</v>
      </c>
      <c r="R7" s="65">
        <v>11000</v>
      </c>
    </row>
    <row r="8" spans="1:18" x14ac:dyDescent="0.4">
      <c r="A8" s="19" t="s">
        <v>2</v>
      </c>
      <c r="B8" s="12">
        <v>3</v>
      </c>
      <c r="C8" s="6">
        <f t="shared" ref="C8:C15" si="2">IF(B$2=0,0,B8/B$2)</f>
        <v>0.5</v>
      </c>
      <c r="E8" s="27" t="s">
        <v>65</v>
      </c>
      <c r="F8" s="24" t="s">
        <v>21</v>
      </c>
      <c r="G8" s="12">
        <v>3</v>
      </c>
      <c r="H8" s="88">
        <f t="shared" si="0"/>
        <v>0.15789473684210525</v>
      </c>
      <c r="I8" s="58">
        <v>2</v>
      </c>
      <c r="K8" s="74">
        <v>6</v>
      </c>
      <c r="L8" s="119">
        <v>48</v>
      </c>
      <c r="M8" s="117">
        <v>1508.2667114551803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2"/>
        <v>0.16666666666666666</v>
      </c>
      <c r="E9" s="27" t="s">
        <v>69</v>
      </c>
      <c r="F9" s="24" t="s">
        <v>24</v>
      </c>
      <c r="G9" s="12">
        <v>3</v>
      </c>
      <c r="H9" s="88">
        <f t="shared" si="0"/>
        <v>0.15789473684210525</v>
      </c>
      <c r="I9" s="58">
        <v>3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2"/>
        <v>0.33333333333333331</v>
      </c>
      <c r="E10" s="27" t="s">
        <v>86</v>
      </c>
      <c r="F10" s="24" t="s">
        <v>41</v>
      </c>
      <c r="G10" s="12">
        <v>3</v>
      </c>
      <c r="H10" s="88">
        <f t="shared" si="0"/>
        <v>0.15789473684210525</v>
      </c>
      <c r="I10" s="58">
        <v>2</v>
      </c>
      <c r="O10" s="73" t="s">
        <v>152</v>
      </c>
      <c r="P10" s="82">
        <f>IF(Q10=0,0,R10/Q10)</f>
        <v>-6.85</v>
      </c>
      <c r="Q10" s="76">
        <v>2</v>
      </c>
      <c r="R10" s="67">
        <v>-13.7</v>
      </c>
    </row>
    <row r="11" spans="1:18" x14ac:dyDescent="0.4">
      <c r="A11" s="20" t="s">
        <v>185</v>
      </c>
      <c r="B11" s="109">
        <f>IF(B8=0,0,C11/B8)</f>
        <v>31.933333333333334</v>
      </c>
      <c r="C11" s="110">
        <v>95.8</v>
      </c>
      <c r="E11" s="27" t="s">
        <v>89</v>
      </c>
      <c r="F11" s="24" t="s">
        <v>44</v>
      </c>
      <c r="G11" s="12">
        <v>3</v>
      </c>
      <c r="H11" s="88">
        <f t="shared" si="0"/>
        <v>0.15789473684210525</v>
      </c>
      <c r="I11" s="58">
        <v>6</v>
      </c>
      <c r="O11" s="74" t="s">
        <v>153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186</v>
      </c>
      <c r="B12" s="109">
        <f>IF(B9=0,0,C12/B9)</f>
        <v>8.1999999999999993</v>
      </c>
      <c r="C12" s="110">
        <v>8.1999999999999993</v>
      </c>
      <c r="E12" s="27" t="s">
        <v>71</v>
      </c>
      <c r="F12" s="24" t="s">
        <v>26</v>
      </c>
      <c r="G12" s="12">
        <v>1</v>
      </c>
      <c r="H12" s="88">
        <f t="shared" si="0"/>
        <v>5.2631578947368418E-2</v>
      </c>
      <c r="I12" s="58">
        <v>4</v>
      </c>
      <c r="O12" s="75" t="s">
        <v>154</v>
      </c>
      <c r="P12" s="84">
        <f>IF(Q12=0,0,R12/Q12)</f>
        <v>15.425000000000001</v>
      </c>
      <c r="Q12" s="78">
        <v>4</v>
      </c>
      <c r="R12" s="69">
        <v>61.7</v>
      </c>
    </row>
    <row r="13" spans="1:18" x14ac:dyDescent="0.4">
      <c r="A13" s="20" t="s">
        <v>187</v>
      </c>
      <c r="B13" s="109">
        <f>IF(B10=0,0,C13/B10)</f>
        <v>-28</v>
      </c>
      <c r="C13" s="110">
        <v>-56</v>
      </c>
      <c r="E13" s="27" t="s">
        <v>91</v>
      </c>
      <c r="F13" s="24" t="s">
        <v>46</v>
      </c>
      <c r="G13" s="12">
        <v>1</v>
      </c>
      <c r="H13" s="88">
        <f t="shared" si="0"/>
        <v>5.2631578947368418E-2</v>
      </c>
      <c r="I13" s="58">
        <v>1</v>
      </c>
      <c r="O13" s="103"/>
      <c r="P13" s="71"/>
      <c r="Q13" s="111"/>
      <c r="R13" s="71"/>
    </row>
    <row r="14" spans="1:18" x14ac:dyDescent="0.4">
      <c r="A14" s="20" t="s">
        <v>188</v>
      </c>
      <c r="B14" s="129">
        <f>AVERAGE(B11:B13)</f>
        <v>4.0444444444444443</v>
      </c>
      <c r="C14" s="130"/>
      <c r="E14" s="27" t="s">
        <v>73</v>
      </c>
      <c r="F14" s="24" t="s">
        <v>28</v>
      </c>
      <c r="G14" s="12">
        <v>0</v>
      </c>
      <c r="H14" s="88">
        <f t="shared" si="0"/>
        <v>0</v>
      </c>
      <c r="I14" s="58">
        <v>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2"/>
        <v>0.16666666666666666</v>
      </c>
      <c r="E15" s="27" t="s">
        <v>74</v>
      </c>
      <c r="F15" s="24" t="s">
        <v>29</v>
      </c>
      <c r="G15" s="12">
        <v>0</v>
      </c>
      <c r="H15" s="88">
        <f t="shared" si="0"/>
        <v>0</v>
      </c>
      <c r="I15" s="58">
        <v>6</v>
      </c>
      <c r="O15" s="73" t="s">
        <v>214</v>
      </c>
      <c r="P15" s="82">
        <f>IF(Q15=0,0,R15/Q15)</f>
        <v>38.6</v>
      </c>
      <c r="Q15" s="76">
        <v>2</v>
      </c>
      <c r="R15" s="67">
        <v>77.2</v>
      </c>
    </row>
    <row r="16" spans="1:18" x14ac:dyDescent="0.4">
      <c r="A16" s="22" t="s">
        <v>121</v>
      </c>
      <c r="B16" s="15">
        <v>21</v>
      </c>
      <c r="C16" s="10">
        <f>IF(B$51=0,0,B16/B$51)</f>
        <v>0.42</v>
      </c>
      <c r="E16" s="27" t="s">
        <v>75</v>
      </c>
      <c r="F16" s="24" t="s">
        <v>30</v>
      </c>
      <c r="G16" s="12">
        <v>0</v>
      </c>
      <c r="H16" s="88">
        <f t="shared" si="0"/>
        <v>0</v>
      </c>
      <c r="I16" s="58">
        <v>7</v>
      </c>
      <c r="O16" s="74" t="s">
        <v>195</v>
      </c>
      <c r="P16" s="83">
        <f>IF(Q16=0,0,R16/Q16)</f>
        <v>29.666666666666668</v>
      </c>
      <c r="Q16" s="77">
        <v>3</v>
      </c>
      <c r="R16" s="68">
        <v>89</v>
      </c>
    </row>
    <row r="17" spans="1:18" x14ac:dyDescent="0.4">
      <c r="A17" s="19" t="s">
        <v>118</v>
      </c>
      <c r="B17" s="12">
        <v>6</v>
      </c>
      <c r="C17" s="6">
        <f>IF(B$51=0,0,B17/B$51)</f>
        <v>0.12</v>
      </c>
      <c r="E17" s="27" t="s">
        <v>76</v>
      </c>
      <c r="F17" s="24" t="s">
        <v>31</v>
      </c>
      <c r="G17" s="12">
        <v>0</v>
      </c>
      <c r="H17" s="88">
        <f t="shared" si="0"/>
        <v>0</v>
      </c>
      <c r="I17" s="58">
        <v>1</v>
      </c>
      <c r="O17" s="74" t="s">
        <v>193</v>
      </c>
      <c r="P17" s="83">
        <f>IF(Q17=0,0,R17/Q17)</f>
        <v>6.2</v>
      </c>
      <c r="Q17" s="77">
        <v>3</v>
      </c>
      <c r="R17" s="68">
        <v>18.600000000000001</v>
      </c>
    </row>
    <row r="18" spans="1:18" x14ac:dyDescent="0.4">
      <c r="A18" s="18" t="s">
        <v>123</v>
      </c>
      <c r="B18" s="11">
        <f>B24</f>
        <v>13</v>
      </c>
      <c r="C18" s="5">
        <f>IF(B$16=0,0,B18/B$16)</f>
        <v>0.61904761904761907</v>
      </c>
      <c r="E18" s="27" t="s">
        <v>77</v>
      </c>
      <c r="F18" s="24" t="s">
        <v>32</v>
      </c>
      <c r="G18" s="12">
        <v>0</v>
      </c>
      <c r="H18" s="88">
        <f t="shared" si="0"/>
        <v>0</v>
      </c>
      <c r="I18" s="58">
        <v>7</v>
      </c>
      <c r="O18" s="74" t="s">
        <v>211</v>
      </c>
      <c r="P18" s="83">
        <f>IF(Q18=0,0,R18/Q18)</f>
        <v>4.9000000000000004</v>
      </c>
      <c r="Q18" s="77">
        <v>2</v>
      </c>
      <c r="R18" s="68">
        <v>9.8000000000000007</v>
      </c>
    </row>
    <row r="19" spans="1:18" x14ac:dyDescent="0.4">
      <c r="A19" s="18" t="s">
        <v>124</v>
      </c>
      <c r="B19" s="11">
        <f>B25</f>
        <v>3</v>
      </c>
      <c r="C19" s="5">
        <f>IF(B$17=0,0,B19/B$17)</f>
        <v>0.5</v>
      </c>
      <c r="E19" s="27" t="s">
        <v>78</v>
      </c>
      <c r="F19" s="24" t="s">
        <v>33</v>
      </c>
      <c r="G19" s="12">
        <v>0</v>
      </c>
      <c r="H19" s="88">
        <f t="shared" si="0"/>
        <v>0</v>
      </c>
      <c r="I19" s="58">
        <v>10</v>
      </c>
      <c r="O19" s="74" t="s">
        <v>164</v>
      </c>
      <c r="P19" s="83">
        <f>IF(Q19=0,0,R19/Q19)</f>
        <v>-25.3</v>
      </c>
      <c r="Q19" s="77">
        <v>2</v>
      </c>
      <c r="R19" s="68">
        <v>-50.6</v>
      </c>
    </row>
    <row r="20" spans="1:18" x14ac:dyDescent="0.4">
      <c r="A20" s="18" t="s">
        <v>10</v>
      </c>
      <c r="B20" s="11">
        <f>B23+B22</f>
        <v>19</v>
      </c>
      <c r="C20" s="5">
        <f>IF(B$3=0,0,B20/B$3)</f>
        <v>0.38</v>
      </c>
      <c r="E20" s="27" t="s">
        <v>79</v>
      </c>
      <c r="F20" s="24" t="s">
        <v>34</v>
      </c>
      <c r="G20" s="12">
        <v>0</v>
      </c>
      <c r="H20" s="88">
        <f t="shared" si="0"/>
        <v>0</v>
      </c>
      <c r="I20" s="58">
        <v>11</v>
      </c>
    </row>
    <row r="21" spans="1:18" x14ac:dyDescent="0.4">
      <c r="A21" s="19" t="s">
        <v>13</v>
      </c>
      <c r="B21" s="12">
        <v>4</v>
      </c>
      <c r="C21" s="6">
        <f>IF(B$3=0,0,B21/B$3)</f>
        <v>0.08</v>
      </c>
      <c r="E21" s="27" t="s">
        <v>80</v>
      </c>
      <c r="F21" s="24" t="s">
        <v>35</v>
      </c>
      <c r="G21" s="12">
        <v>0</v>
      </c>
      <c r="H21" s="88">
        <f t="shared" si="0"/>
        <v>0</v>
      </c>
      <c r="I21" s="58">
        <v>3</v>
      </c>
    </row>
    <row r="22" spans="1:18" x14ac:dyDescent="0.4">
      <c r="A22" s="19" t="s">
        <v>12</v>
      </c>
      <c r="B22" s="12">
        <v>6</v>
      </c>
      <c r="C22" s="6">
        <f>IF(B$20=0,0,B22/B$20)</f>
        <v>0.31578947368421051</v>
      </c>
      <c r="E22" s="27" t="s">
        <v>81</v>
      </c>
      <c r="F22" s="24" t="s">
        <v>36</v>
      </c>
      <c r="G22" s="12">
        <v>0</v>
      </c>
      <c r="H22" s="88">
        <f t="shared" si="0"/>
        <v>0</v>
      </c>
      <c r="I22" s="58">
        <v>10</v>
      </c>
    </row>
    <row r="23" spans="1:18" x14ac:dyDescent="0.4">
      <c r="A23" s="19" t="s">
        <v>11</v>
      </c>
      <c r="B23" s="12">
        <v>13</v>
      </c>
      <c r="C23" s="6">
        <f>IF(B$20=0,0,B23/B$20)</f>
        <v>0.68421052631578949</v>
      </c>
      <c r="E23" s="27" t="s">
        <v>82</v>
      </c>
      <c r="F23" s="24" t="s">
        <v>37</v>
      </c>
      <c r="G23" s="12">
        <v>0</v>
      </c>
      <c r="H23" s="88">
        <f t="shared" si="0"/>
        <v>0</v>
      </c>
      <c r="I23" s="58">
        <v>1</v>
      </c>
    </row>
    <row r="24" spans="1:18" x14ac:dyDescent="0.4">
      <c r="A24" s="19" t="s">
        <v>184</v>
      </c>
      <c r="B24" s="12">
        <v>13</v>
      </c>
      <c r="C24" s="6">
        <f>IF(B$20=0,0,B24/B$20)</f>
        <v>0.68421052631578949</v>
      </c>
      <c r="E24" s="27" t="s">
        <v>83</v>
      </c>
      <c r="F24" s="24" t="s">
        <v>38</v>
      </c>
      <c r="G24" s="12">
        <v>0</v>
      </c>
      <c r="H24" s="88">
        <f t="shared" si="0"/>
        <v>0</v>
      </c>
      <c r="I24" s="58">
        <v>12</v>
      </c>
    </row>
    <row r="25" spans="1:18" x14ac:dyDescent="0.4">
      <c r="A25" s="19" t="s">
        <v>182</v>
      </c>
      <c r="B25" s="12">
        <v>3</v>
      </c>
      <c r="C25" s="6">
        <f>IF(B$20=0,0,B25/B$20)</f>
        <v>0.15789473684210525</v>
      </c>
      <c r="E25" s="27" t="s">
        <v>84</v>
      </c>
      <c r="F25" s="24" t="s">
        <v>39</v>
      </c>
      <c r="G25" s="12">
        <v>0</v>
      </c>
      <c r="H25" s="88">
        <f t="shared" si="0"/>
        <v>0</v>
      </c>
      <c r="I25" s="58">
        <v>5</v>
      </c>
    </row>
    <row r="26" spans="1:18" x14ac:dyDescent="0.4">
      <c r="A26" s="19" t="s">
        <v>183</v>
      </c>
      <c r="B26" s="12">
        <v>3</v>
      </c>
      <c r="C26" s="6">
        <f>IF(B$20=0,0,B26/B$20)</f>
        <v>0.15789473684210525</v>
      </c>
      <c r="E26" s="27" t="s">
        <v>85</v>
      </c>
      <c r="F26" s="24" t="s">
        <v>40</v>
      </c>
      <c r="G26" s="12">
        <v>0</v>
      </c>
      <c r="H26" s="88">
        <f t="shared" si="0"/>
        <v>0</v>
      </c>
      <c r="I26" s="58">
        <v>6</v>
      </c>
    </row>
    <row r="27" spans="1:18" x14ac:dyDescent="0.4">
      <c r="A27" s="19" t="s">
        <v>5</v>
      </c>
      <c r="B27" s="16">
        <f>IF(B$20=0,0,C27/B$20)</f>
        <v>9163.1578947368416</v>
      </c>
      <c r="C27" s="8">
        <v>174100</v>
      </c>
      <c r="E27" s="27" t="s">
        <v>87</v>
      </c>
      <c r="F27" s="24" t="s">
        <v>42</v>
      </c>
      <c r="G27" s="12">
        <v>0</v>
      </c>
      <c r="H27" s="88">
        <f t="shared" si="0"/>
        <v>0</v>
      </c>
      <c r="I27" s="58">
        <v>5</v>
      </c>
    </row>
    <row r="28" spans="1:18" x14ac:dyDescent="0.4">
      <c r="A28" s="20" t="s">
        <v>166</v>
      </c>
      <c r="B28" s="95">
        <f>IF($B$20-B$19=0,0,C28/($B$20-B$19))</f>
        <v>9700</v>
      </c>
      <c r="C28" s="96">
        <v>155200</v>
      </c>
      <c r="E28" s="27" t="s">
        <v>88</v>
      </c>
      <c r="F28" s="24" t="s">
        <v>43</v>
      </c>
      <c r="G28" s="12">
        <v>0</v>
      </c>
      <c r="H28" s="88">
        <f t="shared" si="0"/>
        <v>0</v>
      </c>
      <c r="I28" s="58">
        <v>3</v>
      </c>
    </row>
    <row r="29" spans="1:18" x14ac:dyDescent="0.4">
      <c r="A29" s="20" t="s">
        <v>167</v>
      </c>
      <c r="B29" s="95">
        <f>IF(B$19=0,0,C29/B$19)</f>
        <v>6300</v>
      </c>
      <c r="C29" s="96">
        <v>18900</v>
      </c>
      <c r="E29" s="27" t="s">
        <v>90</v>
      </c>
      <c r="F29" s="24" t="s">
        <v>45</v>
      </c>
      <c r="G29" s="12">
        <v>0</v>
      </c>
      <c r="H29" s="88">
        <f t="shared" si="0"/>
        <v>0</v>
      </c>
      <c r="I29" s="58">
        <v>4</v>
      </c>
    </row>
    <row r="30" spans="1:18" x14ac:dyDescent="0.4">
      <c r="A30" s="20" t="s">
        <v>165</v>
      </c>
      <c r="B30" s="95">
        <f>IF(B$21=0,0,C30/B$21)</f>
        <v>-10025</v>
      </c>
      <c r="C30" s="96">
        <v>-40100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>
        <v>7</v>
      </c>
    </row>
    <row r="31" spans="1:18" x14ac:dyDescent="0.4">
      <c r="A31" s="19" t="s">
        <v>158</v>
      </c>
      <c r="B31" s="12">
        <v>3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>
        <v>6</v>
      </c>
    </row>
    <row r="32" spans="1:18" x14ac:dyDescent="0.4">
      <c r="A32" s="19" t="s">
        <v>159</v>
      </c>
      <c r="B32" s="12">
        <v>17</v>
      </c>
      <c r="C32" s="90">
        <v>2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>
        <v>1</v>
      </c>
    </row>
    <row r="33" spans="1:9" x14ac:dyDescent="0.4">
      <c r="A33" s="54" t="s">
        <v>136</v>
      </c>
      <c r="B33" s="131">
        <v>5</v>
      </c>
      <c r="C33" s="132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>
        <v>3</v>
      </c>
    </row>
    <row r="34" spans="1:9" x14ac:dyDescent="0.4">
      <c r="A34" s="22" t="s">
        <v>181</v>
      </c>
      <c r="B34" s="133">
        <v>78000</v>
      </c>
      <c r="C34" s="134"/>
      <c r="E34" s="27" t="s">
        <v>96</v>
      </c>
      <c r="F34" s="24" t="s">
        <v>51</v>
      </c>
      <c r="G34" s="12">
        <v>0</v>
      </c>
      <c r="H34" s="88">
        <f t="shared" ref="H34:H52" si="3">IF(B$52=0,0,G34/B$52)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>
        <v>1</v>
      </c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>
        <v>1</v>
      </c>
    </row>
    <row r="37" spans="1:9" x14ac:dyDescent="0.4">
      <c r="A37" s="54" t="s">
        <v>172</v>
      </c>
      <c r="B37" s="122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>
        <v>1</v>
      </c>
    </row>
    <row r="38" spans="1:9" x14ac:dyDescent="0.4">
      <c r="A38" s="19" t="s">
        <v>168</v>
      </c>
      <c r="B38" s="12">
        <v>4</v>
      </c>
      <c r="C38" s="6">
        <f t="shared" si="4"/>
        <v>0.21052631578947367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>
        <v>1</v>
      </c>
    </row>
    <row r="39" spans="1:9" x14ac:dyDescent="0.4">
      <c r="A39" s="19" t="s">
        <v>169</v>
      </c>
      <c r="B39" s="123">
        <v>3</v>
      </c>
      <c r="C39" s="6">
        <f t="shared" si="4"/>
        <v>0.15789473684210525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>
        <v>1</v>
      </c>
    </row>
    <row r="40" spans="1:9" x14ac:dyDescent="0.4">
      <c r="A40" s="19" t="s">
        <v>170</v>
      </c>
      <c r="B40" s="123">
        <v>4</v>
      </c>
      <c r="C40" s="6">
        <f t="shared" si="4"/>
        <v>0.21052631578947367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>
        <v>1</v>
      </c>
    </row>
    <row r="41" spans="1:9" x14ac:dyDescent="0.4">
      <c r="A41" s="19" t="s">
        <v>171</v>
      </c>
      <c r="B41" s="123">
        <v>5</v>
      </c>
      <c r="C41" s="6">
        <f t="shared" si="4"/>
        <v>0.26315789473684209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>
        <v>1</v>
      </c>
    </row>
    <row r="42" spans="1:9" x14ac:dyDescent="0.4">
      <c r="A42" s="19" t="s">
        <v>173</v>
      </c>
      <c r="B42" s="123">
        <v>1</v>
      </c>
      <c r="C42" s="6">
        <f t="shared" si="4"/>
        <v>5.2631578947368418E-2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>
        <v>1</v>
      </c>
    </row>
    <row r="43" spans="1:9" x14ac:dyDescent="0.4">
      <c r="A43" s="19" t="s">
        <v>174</v>
      </c>
      <c r="B43" s="123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>
        <v>1</v>
      </c>
    </row>
    <row r="44" spans="1:9" x14ac:dyDescent="0.4">
      <c r="A44" s="19" t="s">
        <v>175</v>
      </c>
      <c r="B44" s="123">
        <v>1</v>
      </c>
      <c r="C44" s="6">
        <f t="shared" si="4"/>
        <v>5.2631578947368418E-2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>
        <v>3</v>
      </c>
    </row>
    <row r="45" spans="1:9" x14ac:dyDescent="0.4">
      <c r="A45" s="19" t="s">
        <v>176</v>
      </c>
      <c r="B45" s="123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>
        <v>1</v>
      </c>
    </row>
    <row r="46" spans="1:9" x14ac:dyDescent="0.4">
      <c r="A46" s="19" t="s">
        <v>177</v>
      </c>
      <c r="B46" s="123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>
        <v>1</v>
      </c>
    </row>
    <row r="47" spans="1:9" x14ac:dyDescent="0.4">
      <c r="A47" s="19" t="s">
        <v>178</v>
      </c>
      <c r="B47" s="123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>
        <v>1</v>
      </c>
    </row>
    <row r="48" spans="1:9" x14ac:dyDescent="0.4">
      <c r="A48" s="19" t="s">
        <v>179</v>
      </c>
      <c r="B48" s="123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>
        <v>1</v>
      </c>
    </row>
    <row r="49" spans="1:9" x14ac:dyDescent="0.4">
      <c r="A49" s="21" t="s">
        <v>180</v>
      </c>
      <c r="B49" s="97">
        <v>1</v>
      </c>
      <c r="C49" s="9">
        <f t="shared" si="4"/>
        <v>5.2631578947368418E-2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>
        <v>1</v>
      </c>
    </row>
    <row r="50" spans="1:9" x14ac:dyDescent="0.4">
      <c r="E50" s="27" t="s">
        <v>156</v>
      </c>
      <c r="F50" s="24" t="s">
        <v>157</v>
      </c>
      <c r="G50" s="12">
        <v>0</v>
      </c>
      <c r="H50" s="88">
        <f t="shared" si="3"/>
        <v>0</v>
      </c>
      <c r="I50" s="58">
        <v>1</v>
      </c>
    </row>
    <row r="51" spans="1:9" x14ac:dyDescent="0.4">
      <c r="A51" s="54" t="s">
        <v>206</v>
      </c>
      <c r="B51" s="125">
        <v>50</v>
      </c>
      <c r="C51" s="126"/>
      <c r="E51" s="91" t="s">
        <v>160</v>
      </c>
      <c r="F51" s="92" t="s">
        <v>161</v>
      </c>
      <c r="G51" s="13">
        <v>0</v>
      </c>
      <c r="H51" s="93">
        <f t="shared" si="3"/>
        <v>0</v>
      </c>
      <c r="I51" s="94">
        <v>1</v>
      </c>
    </row>
    <row r="52" spans="1:9" x14ac:dyDescent="0.4">
      <c r="A52" s="21" t="s">
        <v>207</v>
      </c>
      <c r="B52" s="127">
        <v>19</v>
      </c>
      <c r="C52" s="128"/>
      <c r="E52" s="28" t="s">
        <v>162</v>
      </c>
      <c r="F52" s="25" t="s">
        <v>163</v>
      </c>
      <c r="G52" s="14">
        <v>0</v>
      </c>
      <c r="H52" s="89">
        <f t="shared" si="3"/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60EC2-E51F-4D23-AFA9-E459A1F680AE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7" t="s">
        <v>191</v>
      </c>
      <c r="C1" s="138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25">
        <v>36</v>
      </c>
      <c r="C2" s="126"/>
      <c r="E2" s="26" t="s">
        <v>72</v>
      </c>
      <c r="F2" s="23" t="s">
        <v>27</v>
      </c>
      <c r="G2" s="11">
        <v>41</v>
      </c>
      <c r="H2" s="87">
        <f t="shared" ref="H2:H33" si="0">IF(B$52=0,0,G2/B$52)</f>
        <v>0.7321428571428571</v>
      </c>
      <c r="I2" s="57">
        <v>3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-2341.6666666666665</v>
      </c>
      <c r="Q2" s="76">
        <v>36</v>
      </c>
      <c r="R2" s="63">
        <v>-84300</v>
      </c>
    </row>
    <row r="3" spans="1:18" x14ac:dyDescent="0.4">
      <c r="A3" s="19" t="s">
        <v>8</v>
      </c>
      <c r="B3" s="139">
        <v>279</v>
      </c>
      <c r="C3" s="140"/>
      <c r="E3" s="27" t="s">
        <v>66</v>
      </c>
      <c r="F3" s="24" t="s">
        <v>22</v>
      </c>
      <c r="G3" s="12">
        <v>38</v>
      </c>
      <c r="H3" s="88">
        <f t="shared" si="0"/>
        <v>0.6785714285714286</v>
      </c>
      <c r="I3" s="58">
        <v>8</v>
      </c>
      <c r="K3" s="74">
        <v>1</v>
      </c>
      <c r="L3" s="119">
        <v>15</v>
      </c>
      <c r="M3" s="117">
        <v>1502.73</v>
      </c>
      <c r="O3" s="74" t="s">
        <v>129</v>
      </c>
      <c r="P3" s="80">
        <f t="shared" si="1"/>
        <v>644.44444444444446</v>
      </c>
      <c r="Q3" s="77">
        <v>36</v>
      </c>
      <c r="R3" s="64">
        <v>23200</v>
      </c>
    </row>
    <row r="4" spans="1:18" x14ac:dyDescent="0.4">
      <c r="A4" s="19" t="s">
        <v>6</v>
      </c>
      <c r="B4" s="141">
        <v>-454.89999999999992</v>
      </c>
      <c r="C4" s="142"/>
      <c r="E4" s="27" t="s">
        <v>64</v>
      </c>
      <c r="F4" s="24" t="s">
        <v>20</v>
      </c>
      <c r="G4" s="12">
        <v>17</v>
      </c>
      <c r="H4" s="88">
        <f t="shared" si="0"/>
        <v>0.30357142857142855</v>
      </c>
      <c r="I4" s="58">
        <v>12</v>
      </c>
      <c r="K4" s="74">
        <v>2</v>
      </c>
      <c r="L4" s="119">
        <v>-24.299999999999997</v>
      </c>
      <c r="M4" s="117">
        <v>1495.6696200000001</v>
      </c>
      <c r="O4" s="74" t="s">
        <v>130</v>
      </c>
      <c r="P4" s="80">
        <f t="shared" si="1"/>
        <v>-5609.375</v>
      </c>
      <c r="Q4" s="77">
        <v>32</v>
      </c>
      <c r="R4" s="64">
        <v>-179500</v>
      </c>
    </row>
    <row r="5" spans="1:18" x14ac:dyDescent="0.4">
      <c r="A5" s="19" t="s">
        <v>7</v>
      </c>
      <c r="B5" s="129">
        <f>IF(B$2=0,0,B$4/B$2)</f>
        <v>-12.636111111111109</v>
      </c>
      <c r="C5" s="130"/>
      <c r="E5" s="27" t="s">
        <v>68</v>
      </c>
      <c r="F5" s="24" t="s">
        <v>12</v>
      </c>
      <c r="G5" s="12">
        <v>14</v>
      </c>
      <c r="H5" s="88">
        <f t="shared" si="0"/>
        <v>0.25</v>
      </c>
      <c r="I5" s="58">
        <v>10</v>
      </c>
      <c r="K5" s="74">
        <v>3</v>
      </c>
      <c r="L5" s="119">
        <v>-15.599999999999998</v>
      </c>
      <c r="M5" s="117">
        <v>1497.1116022800002</v>
      </c>
      <c r="O5" s="74" t="s">
        <v>131</v>
      </c>
      <c r="P5" s="80">
        <f t="shared" si="1"/>
        <v>-3203.4482758620688</v>
      </c>
      <c r="Q5" s="77">
        <v>29</v>
      </c>
      <c r="R5" s="64">
        <v>-92900</v>
      </c>
    </row>
    <row r="6" spans="1:18" x14ac:dyDescent="0.4">
      <c r="A6" s="19" t="s">
        <v>196</v>
      </c>
      <c r="B6" s="133">
        <v>1425.7478958126317</v>
      </c>
      <c r="C6" s="134"/>
      <c r="E6" s="27" t="s">
        <v>83</v>
      </c>
      <c r="F6" s="24" t="s">
        <v>38</v>
      </c>
      <c r="G6" s="12">
        <v>9</v>
      </c>
      <c r="H6" s="88">
        <f t="shared" si="0"/>
        <v>0.16071428571428573</v>
      </c>
      <c r="I6" s="58">
        <v>2</v>
      </c>
      <c r="K6" s="74">
        <v>4</v>
      </c>
      <c r="L6" s="119">
        <v>5.1000000000000014</v>
      </c>
      <c r="M6" s="117">
        <v>1500.7049326663202</v>
      </c>
      <c r="O6" s="74" t="s">
        <v>132</v>
      </c>
      <c r="P6" s="80">
        <f t="shared" si="1"/>
        <v>-2922.2222222222222</v>
      </c>
      <c r="Q6" s="77">
        <v>27</v>
      </c>
      <c r="R6" s="64">
        <v>-78900</v>
      </c>
    </row>
    <row r="7" spans="1:18" x14ac:dyDescent="0.4">
      <c r="A7" s="19" t="s">
        <v>1</v>
      </c>
      <c r="B7" s="135">
        <f>IF(B$2=0,0,(B$8*1+B$9*2+B$10*3)/B$2)</f>
        <v>2.3888888888888888</v>
      </c>
      <c r="C7" s="136"/>
      <c r="E7" s="27" t="s">
        <v>89</v>
      </c>
      <c r="F7" s="24" t="s">
        <v>44</v>
      </c>
      <c r="G7" s="12">
        <v>9</v>
      </c>
      <c r="H7" s="88">
        <f t="shared" si="0"/>
        <v>0.16071428571428573</v>
      </c>
      <c r="I7" s="58">
        <v>5</v>
      </c>
      <c r="K7" s="74">
        <v>5</v>
      </c>
      <c r="L7" s="119">
        <v>9.6000000000000014</v>
      </c>
      <c r="M7" s="117">
        <v>1501.5407030703223</v>
      </c>
      <c r="O7" s="75" t="s">
        <v>133</v>
      </c>
      <c r="P7" s="81">
        <f t="shared" si="1"/>
        <v>-2023.8095238095239</v>
      </c>
      <c r="Q7" s="78">
        <v>21</v>
      </c>
      <c r="R7" s="65">
        <v>-42500</v>
      </c>
    </row>
    <row r="8" spans="1:18" x14ac:dyDescent="0.4">
      <c r="A8" s="19" t="s">
        <v>2</v>
      </c>
      <c r="B8" s="12">
        <v>7</v>
      </c>
      <c r="C8" s="6">
        <f t="shared" ref="C8:C15" si="2">IF(B$2=0,0,B8/B$2)</f>
        <v>0.19444444444444445</v>
      </c>
      <c r="E8" s="27" t="s">
        <v>67</v>
      </c>
      <c r="F8" s="24" t="s">
        <v>23</v>
      </c>
      <c r="G8" s="12">
        <v>6</v>
      </c>
      <c r="H8" s="88">
        <f t="shared" si="0"/>
        <v>0.10714285714285714</v>
      </c>
      <c r="I8" s="58">
        <v>13</v>
      </c>
      <c r="K8" s="74">
        <v>6</v>
      </c>
      <c r="L8" s="119">
        <v>2.2000000000000011</v>
      </c>
      <c r="M8" s="117">
        <v>1500.2294588519003</v>
      </c>
      <c r="O8" s="107"/>
      <c r="P8" s="85"/>
      <c r="Q8" s="108"/>
      <c r="R8" s="70"/>
    </row>
    <row r="9" spans="1:18" x14ac:dyDescent="0.4">
      <c r="A9" s="19" t="s">
        <v>3</v>
      </c>
      <c r="B9" s="12">
        <v>8</v>
      </c>
      <c r="C9" s="6">
        <f t="shared" si="2"/>
        <v>0.22222222222222221</v>
      </c>
      <c r="E9" s="27" t="s">
        <v>70</v>
      </c>
      <c r="F9" s="24" t="s">
        <v>25</v>
      </c>
      <c r="G9" s="12">
        <v>6</v>
      </c>
      <c r="H9" s="88">
        <f t="shared" si="0"/>
        <v>0.10714285714285714</v>
      </c>
      <c r="I9" s="58">
        <v>5</v>
      </c>
      <c r="K9" s="74">
        <v>7</v>
      </c>
      <c r="L9" s="119">
        <v>27.200000000000003</v>
      </c>
      <c r="M9" s="117">
        <v>1504.506082098789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21</v>
      </c>
      <c r="C10" s="7">
        <f t="shared" si="2"/>
        <v>0.58333333333333337</v>
      </c>
      <c r="E10" s="27" t="s">
        <v>86</v>
      </c>
      <c r="F10" s="24" t="s">
        <v>41</v>
      </c>
      <c r="G10" s="12">
        <v>6</v>
      </c>
      <c r="H10" s="88">
        <f t="shared" si="0"/>
        <v>0.10714285714285714</v>
      </c>
      <c r="I10" s="58">
        <v>4</v>
      </c>
      <c r="K10" s="74">
        <v>8</v>
      </c>
      <c r="L10" s="119">
        <v>-4.4999999999999964</v>
      </c>
      <c r="M10" s="117">
        <v>1498.8750456061962</v>
      </c>
      <c r="O10" s="73" t="s">
        <v>152</v>
      </c>
      <c r="P10" s="82">
        <f>IF(Q10=0,0,R10/Q10)</f>
        <v>-15.350000000000001</v>
      </c>
      <c r="Q10" s="76">
        <v>12</v>
      </c>
      <c r="R10" s="67">
        <v>-184.20000000000002</v>
      </c>
    </row>
    <row r="11" spans="1:18" x14ac:dyDescent="0.4">
      <c r="A11" s="20" t="s">
        <v>185</v>
      </c>
      <c r="B11" s="109">
        <f>IF(B8=0,0,C11/B8)</f>
        <v>21.514285714285716</v>
      </c>
      <c r="C11" s="110">
        <v>150.60000000000002</v>
      </c>
      <c r="E11" s="27" t="s">
        <v>65</v>
      </c>
      <c r="F11" s="24" t="s">
        <v>21</v>
      </c>
      <c r="G11" s="12">
        <v>5</v>
      </c>
      <c r="H11" s="88">
        <f t="shared" si="0"/>
        <v>8.9285714285714288E-2</v>
      </c>
      <c r="I11" s="58">
        <v>10</v>
      </c>
      <c r="K11" s="74">
        <v>9</v>
      </c>
      <c r="L11" s="119">
        <v>-9.3999999999999968</v>
      </c>
      <c r="M11" s="117">
        <v>1498.095795332559</v>
      </c>
      <c r="O11" s="74" t="s">
        <v>153</v>
      </c>
      <c r="P11" s="83">
        <f>IF(Q11=0,0,R11/Q11)</f>
        <v>-14.470000000000002</v>
      </c>
      <c r="Q11" s="77">
        <v>10</v>
      </c>
      <c r="R11" s="68">
        <v>-144.70000000000002</v>
      </c>
    </row>
    <row r="12" spans="1:18" x14ac:dyDescent="0.4">
      <c r="A12" s="20" t="s">
        <v>186</v>
      </c>
      <c r="B12" s="109">
        <f>IF(B9=0,0,C12/B9)</f>
        <v>4.6124999999999998</v>
      </c>
      <c r="C12" s="110">
        <v>36.9</v>
      </c>
      <c r="E12" s="27" t="s">
        <v>78</v>
      </c>
      <c r="F12" s="24" t="s">
        <v>33</v>
      </c>
      <c r="G12" s="12">
        <v>3</v>
      </c>
      <c r="H12" s="88">
        <f t="shared" si="0"/>
        <v>5.3571428571428568E-2</v>
      </c>
      <c r="I12" s="58">
        <v>2</v>
      </c>
      <c r="K12" s="74">
        <v>10</v>
      </c>
      <c r="L12" s="119">
        <v>-24.299999999999997</v>
      </c>
      <c r="M12" s="117">
        <v>1495.5212205605635</v>
      </c>
      <c r="O12" s="75" t="s">
        <v>154</v>
      </c>
      <c r="P12" s="84">
        <f>IF(Q12=0,0,R12/Q12)</f>
        <v>-9</v>
      </c>
      <c r="Q12" s="78">
        <v>14</v>
      </c>
      <c r="R12" s="69">
        <v>-126</v>
      </c>
    </row>
    <row r="13" spans="1:18" x14ac:dyDescent="0.4">
      <c r="A13" s="20" t="s">
        <v>187</v>
      </c>
      <c r="B13" s="109">
        <f>IF(B10=0,0,C13/B10)</f>
        <v>-30.590476190476185</v>
      </c>
      <c r="C13" s="110">
        <v>-642.39999999999986</v>
      </c>
      <c r="E13" s="27" t="s">
        <v>81</v>
      </c>
      <c r="F13" s="24" t="s">
        <v>36</v>
      </c>
      <c r="G13" s="12">
        <v>3</v>
      </c>
      <c r="H13" s="88">
        <f t="shared" si="0"/>
        <v>5.3571428571428568E-2</v>
      </c>
      <c r="I13" s="58">
        <v>2</v>
      </c>
      <c r="K13" s="74">
        <v>11</v>
      </c>
      <c r="L13" s="119">
        <v>-70</v>
      </c>
      <c r="M13" s="117">
        <v>1487.4180932372001</v>
      </c>
      <c r="O13" s="103"/>
      <c r="P13" s="71"/>
      <c r="Q13" s="111"/>
      <c r="R13" s="71"/>
    </row>
    <row r="14" spans="1:18" x14ac:dyDescent="0.4">
      <c r="A14" s="20" t="s">
        <v>188</v>
      </c>
      <c r="B14" s="129">
        <f>AVERAGE(B11:B13)</f>
        <v>-1.4878968253968228</v>
      </c>
      <c r="C14" s="130"/>
      <c r="E14" s="27" t="s">
        <v>69</v>
      </c>
      <c r="F14" s="24" t="s">
        <v>24</v>
      </c>
      <c r="G14" s="12">
        <v>2</v>
      </c>
      <c r="H14" s="88">
        <f t="shared" si="0"/>
        <v>3.5714285714285712E-2</v>
      </c>
      <c r="I14" s="58">
        <v>12</v>
      </c>
      <c r="K14" s="74">
        <v>12</v>
      </c>
      <c r="L14" s="119">
        <v>-43.8</v>
      </c>
      <c r="M14" s="117">
        <v>1492.3055846777768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10</v>
      </c>
      <c r="C15" s="9">
        <f t="shared" si="2"/>
        <v>0.27777777777777779</v>
      </c>
      <c r="E15" s="27" t="s">
        <v>71</v>
      </c>
      <c r="F15" s="24" t="s">
        <v>26</v>
      </c>
      <c r="G15" s="12">
        <v>2</v>
      </c>
      <c r="H15" s="88">
        <f t="shared" si="0"/>
        <v>3.5714285714285712E-2</v>
      </c>
      <c r="I15" s="58">
        <v>8</v>
      </c>
      <c r="K15" s="74">
        <v>13</v>
      </c>
      <c r="L15" s="119">
        <v>-11.099999999999994</v>
      </c>
      <c r="M15" s="117">
        <v>1498.33375116971</v>
      </c>
      <c r="O15" s="73" t="s">
        <v>214</v>
      </c>
      <c r="P15" s="82">
        <f t="shared" ref="P15:P22" si="3">IF(Q15=0,0,R15/Q15)</f>
        <v>13.450000000000001</v>
      </c>
      <c r="Q15" s="76">
        <v>2</v>
      </c>
      <c r="R15" s="67">
        <v>26.900000000000002</v>
      </c>
    </row>
    <row r="16" spans="1:18" x14ac:dyDescent="0.4">
      <c r="A16" s="22" t="s">
        <v>121</v>
      </c>
      <c r="B16" s="15">
        <v>39</v>
      </c>
      <c r="C16" s="10">
        <f>IF(B$51=0,0,B16/B$51)</f>
        <v>0.13978494623655913</v>
      </c>
      <c r="E16" s="27" t="s">
        <v>79</v>
      </c>
      <c r="F16" s="24" t="s">
        <v>34</v>
      </c>
      <c r="G16" s="12">
        <v>2</v>
      </c>
      <c r="H16" s="88">
        <f t="shared" si="0"/>
        <v>3.5714285714285712E-2</v>
      </c>
      <c r="I16" s="58">
        <v>3</v>
      </c>
      <c r="K16" s="74">
        <v>14</v>
      </c>
      <c r="L16" s="119">
        <v>-5.7999999999999945</v>
      </c>
      <c r="M16" s="117">
        <v>1499.3937486626917</v>
      </c>
      <c r="O16" s="74" t="s">
        <v>195</v>
      </c>
      <c r="P16" s="83">
        <f t="shared" si="3"/>
        <v>10.366666666666665</v>
      </c>
      <c r="Q16" s="77">
        <v>3</v>
      </c>
      <c r="R16" s="68">
        <v>31.099999999999998</v>
      </c>
    </row>
    <row r="17" spans="1:18" x14ac:dyDescent="0.4">
      <c r="A17" s="19" t="s">
        <v>118</v>
      </c>
      <c r="B17" s="12">
        <v>99</v>
      </c>
      <c r="C17" s="6">
        <f>IF(B$51=0,0,B17/B$51)</f>
        <v>0.35483870967741937</v>
      </c>
      <c r="E17" s="27" t="s">
        <v>77</v>
      </c>
      <c r="F17" s="24" t="s">
        <v>32</v>
      </c>
      <c r="G17" s="12">
        <v>1</v>
      </c>
      <c r="H17" s="88">
        <f t="shared" si="0"/>
        <v>1.7857142857142856E-2</v>
      </c>
      <c r="I17" s="58">
        <v>1</v>
      </c>
      <c r="K17" s="74">
        <v>15</v>
      </c>
      <c r="L17" s="119">
        <v>-44.199999999999996</v>
      </c>
      <c r="M17" s="117">
        <v>1492.7913861707154</v>
      </c>
      <c r="O17" s="74" t="s">
        <v>164</v>
      </c>
      <c r="P17" s="83">
        <f t="shared" si="3"/>
        <v>-13.39</v>
      </c>
      <c r="Q17" s="77">
        <v>20</v>
      </c>
      <c r="R17" s="68">
        <v>-267.8</v>
      </c>
    </row>
    <row r="18" spans="1:18" x14ac:dyDescent="0.4">
      <c r="A18" s="18" t="s">
        <v>123</v>
      </c>
      <c r="B18" s="11">
        <f>B24</f>
        <v>18</v>
      </c>
      <c r="C18" s="5">
        <f>IF(B$16=0,0,B18/B$16)</f>
        <v>0.46153846153846156</v>
      </c>
      <c r="E18" s="27" t="s">
        <v>85</v>
      </c>
      <c r="F18" s="24" t="s">
        <v>40</v>
      </c>
      <c r="G18" s="12">
        <v>1</v>
      </c>
      <c r="H18" s="88">
        <f t="shared" si="0"/>
        <v>1.7857142857142856E-2</v>
      </c>
      <c r="I18" s="58">
        <v>1</v>
      </c>
      <c r="K18" s="74">
        <v>16</v>
      </c>
      <c r="L18" s="119">
        <v>-25.599999999999994</v>
      </c>
      <c r="M18" s="117">
        <v>1496.3026378536911</v>
      </c>
      <c r="O18" s="74" t="s">
        <v>193</v>
      </c>
      <c r="P18" s="83">
        <f t="shared" si="3"/>
        <v>-14.79166666666667</v>
      </c>
      <c r="Q18" s="77">
        <v>12</v>
      </c>
      <c r="R18" s="68">
        <v>-177.50000000000003</v>
      </c>
    </row>
    <row r="19" spans="1:18" x14ac:dyDescent="0.4">
      <c r="A19" s="18" t="s">
        <v>124</v>
      </c>
      <c r="B19" s="11">
        <f>B25</f>
        <v>28</v>
      </c>
      <c r="C19" s="5">
        <f>IF(B$17=0,0,B19/B$17)</f>
        <v>0.28282828282828282</v>
      </c>
      <c r="E19" s="27" t="s">
        <v>91</v>
      </c>
      <c r="F19" s="24" t="s">
        <v>46</v>
      </c>
      <c r="G19" s="12">
        <v>1</v>
      </c>
      <c r="H19" s="88">
        <f t="shared" si="0"/>
        <v>1.7857142857142856E-2</v>
      </c>
      <c r="I19" s="58">
        <v>8</v>
      </c>
      <c r="K19" s="74">
        <v>17</v>
      </c>
      <c r="L19" s="119">
        <v>-39.799999999999997</v>
      </c>
      <c r="M19" s="117">
        <v>1493.7388220265689</v>
      </c>
      <c r="O19" s="74" t="s">
        <v>205</v>
      </c>
      <c r="P19" s="83">
        <f t="shared" si="3"/>
        <v>-15.2</v>
      </c>
      <c r="Q19" s="77">
        <v>2</v>
      </c>
      <c r="R19" s="68">
        <v>-30.4</v>
      </c>
    </row>
    <row r="20" spans="1:18" x14ac:dyDescent="0.4">
      <c r="A20" s="18" t="s">
        <v>10</v>
      </c>
      <c r="B20" s="11">
        <f>B23+B22</f>
        <v>56</v>
      </c>
      <c r="C20" s="5">
        <f>IF(B$3=0,0,B20/B$3)</f>
        <v>0.20071684587813621</v>
      </c>
      <c r="E20" s="27" t="s">
        <v>92</v>
      </c>
      <c r="F20" s="24" t="s">
        <v>47</v>
      </c>
      <c r="G20" s="12">
        <v>1</v>
      </c>
      <c r="H20" s="88">
        <f t="shared" si="0"/>
        <v>1.7857142857142856E-2</v>
      </c>
      <c r="I20" s="58">
        <v>2</v>
      </c>
      <c r="K20" s="74">
        <v>18</v>
      </c>
      <c r="L20" s="119">
        <v>-60.4</v>
      </c>
      <c r="M20" s="117">
        <v>1490.3683890944094</v>
      </c>
      <c r="O20" s="74" t="s">
        <v>211</v>
      </c>
      <c r="P20" s="83">
        <f t="shared" si="3"/>
        <v>-24.85</v>
      </c>
      <c r="Q20" s="77">
        <v>2</v>
      </c>
      <c r="R20" s="68">
        <v>-49.7</v>
      </c>
    </row>
    <row r="21" spans="1:18" x14ac:dyDescent="0.4">
      <c r="A21" s="19" t="s">
        <v>13</v>
      </c>
      <c r="B21" s="12">
        <v>53</v>
      </c>
      <c r="C21" s="6">
        <f>IF(B$3=0,0,B21/B$3)</f>
        <v>0.18996415770609318</v>
      </c>
      <c r="E21" s="27" t="s">
        <v>73</v>
      </c>
      <c r="F21" s="24" t="s">
        <v>28</v>
      </c>
      <c r="G21" s="12">
        <v>0</v>
      </c>
      <c r="H21" s="88">
        <f t="shared" si="0"/>
        <v>0</v>
      </c>
      <c r="I21" s="58">
        <v>7</v>
      </c>
      <c r="K21" s="74">
        <v>19</v>
      </c>
      <c r="L21" s="119">
        <v>-60</v>
      </c>
      <c r="M21" s="117">
        <v>1490.798178759843</v>
      </c>
      <c r="O21" s="74" t="s">
        <v>190</v>
      </c>
      <c r="P21" s="83">
        <f t="shared" si="3"/>
        <v>-26.95</v>
      </c>
      <c r="Q21" s="77">
        <v>6</v>
      </c>
      <c r="R21" s="68">
        <v>-161.69999999999999</v>
      </c>
    </row>
    <row r="22" spans="1:18" x14ac:dyDescent="0.4">
      <c r="A22" s="19" t="s">
        <v>12</v>
      </c>
      <c r="B22" s="12">
        <v>21</v>
      </c>
      <c r="C22" s="6">
        <f>IF(B$20=0,0,B22/B$20)</f>
        <v>0.375</v>
      </c>
      <c r="E22" s="27" t="s">
        <v>74</v>
      </c>
      <c r="F22" s="24" t="s">
        <v>29</v>
      </c>
      <c r="G22" s="12">
        <v>0</v>
      </c>
      <c r="H22" s="88">
        <f t="shared" si="0"/>
        <v>0</v>
      </c>
      <c r="I22" s="58">
        <v>6</v>
      </c>
      <c r="K22" s="74">
        <v>20</v>
      </c>
      <c r="L22" s="119">
        <v>-88.2</v>
      </c>
      <c r="M22" s="117">
        <v>1485.885389687284</v>
      </c>
      <c r="O22" s="74" t="s">
        <v>126</v>
      </c>
      <c r="P22" s="83">
        <f t="shared" si="3"/>
        <v>-29.423999999999996</v>
      </c>
      <c r="Q22" s="77">
        <v>25</v>
      </c>
      <c r="R22" s="68">
        <v>-735.59999999999991</v>
      </c>
    </row>
    <row r="23" spans="1:18" x14ac:dyDescent="0.4">
      <c r="A23" s="19" t="s">
        <v>11</v>
      </c>
      <c r="B23" s="12">
        <v>35</v>
      </c>
      <c r="C23" s="6">
        <f>IF(B$20=0,0,B23/B$20)</f>
        <v>0.625</v>
      </c>
      <c r="E23" s="27" t="s">
        <v>75</v>
      </c>
      <c r="F23" s="24" t="s">
        <v>30</v>
      </c>
      <c r="G23" s="12">
        <v>0</v>
      </c>
      <c r="H23" s="88">
        <f t="shared" si="0"/>
        <v>0</v>
      </c>
      <c r="I23" s="58">
        <v>7</v>
      </c>
      <c r="K23" s="74">
        <v>21</v>
      </c>
      <c r="L23" s="119">
        <v>-125.80000000000001</v>
      </c>
      <c r="M23" s="117">
        <v>1479.3100773491603</v>
      </c>
    </row>
    <row r="24" spans="1:18" x14ac:dyDescent="0.4">
      <c r="A24" s="19" t="s">
        <v>184</v>
      </c>
      <c r="B24" s="12">
        <v>18</v>
      </c>
      <c r="C24" s="6">
        <f>IF(B$20=0,0,B24/B$20)</f>
        <v>0.32142857142857145</v>
      </c>
      <c r="E24" s="27" t="s">
        <v>76</v>
      </c>
      <c r="F24" s="24" t="s">
        <v>31</v>
      </c>
      <c r="G24" s="12">
        <v>0</v>
      </c>
      <c r="H24" s="88">
        <f t="shared" si="0"/>
        <v>0</v>
      </c>
      <c r="I24" s="58">
        <v>1</v>
      </c>
      <c r="K24" s="74">
        <v>22</v>
      </c>
      <c r="L24" s="119">
        <v>-149.30000000000001</v>
      </c>
      <c r="M24" s="117">
        <v>1475.3242168850654</v>
      </c>
    </row>
    <row r="25" spans="1:18" x14ac:dyDescent="0.4">
      <c r="A25" s="19" t="s">
        <v>182</v>
      </c>
      <c r="B25" s="12">
        <v>28</v>
      </c>
      <c r="C25" s="6">
        <f>IF(B$20=0,0,B25/B$20)</f>
        <v>0.5</v>
      </c>
      <c r="E25" s="27" t="s">
        <v>80</v>
      </c>
      <c r="F25" s="24" t="s">
        <v>35</v>
      </c>
      <c r="G25" s="12">
        <v>0</v>
      </c>
      <c r="H25" s="88">
        <f t="shared" si="0"/>
        <v>0</v>
      </c>
      <c r="I25" s="58">
        <v>3</v>
      </c>
      <c r="K25" s="74">
        <v>23</v>
      </c>
      <c r="L25" s="119">
        <v>-150.30000000000001</v>
      </c>
      <c r="M25" s="117">
        <v>1475.412271583755</v>
      </c>
    </row>
    <row r="26" spans="1:18" x14ac:dyDescent="0.4">
      <c r="A26" s="19" t="s">
        <v>183</v>
      </c>
      <c r="B26" s="12">
        <v>10</v>
      </c>
      <c r="C26" s="6">
        <f>IF(B$20=0,0,B26/B$20)</f>
        <v>0.17857142857142858</v>
      </c>
      <c r="E26" s="27" t="s">
        <v>82</v>
      </c>
      <c r="F26" s="24" t="s">
        <v>37</v>
      </c>
      <c r="G26" s="12">
        <v>0</v>
      </c>
      <c r="H26" s="88">
        <f t="shared" si="0"/>
        <v>0</v>
      </c>
      <c r="I26" s="58">
        <v>1</v>
      </c>
      <c r="K26" s="74">
        <v>24</v>
      </c>
      <c r="L26" s="119">
        <v>-196.10000000000002</v>
      </c>
      <c r="M26" s="117">
        <v>1467.4357979542524</v>
      </c>
    </row>
    <row r="27" spans="1:18" x14ac:dyDescent="0.4">
      <c r="A27" s="19" t="s">
        <v>5</v>
      </c>
      <c r="B27" s="16">
        <f>IF(B$20=0,0,C27/B$20)</f>
        <v>9373.2142857142862</v>
      </c>
      <c r="C27" s="8">
        <v>524900</v>
      </c>
      <c r="E27" s="27" t="s">
        <v>84</v>
      </c>
      <c r="F27" s="24" t="s">
        <v>39</v>
      </c>
      <c r="G27" s="12">
        <v>0</v>
      </c>
      <c r="H27" s="88">
        <f t="shared" si="0"/>
        <v>0</v>
      </c>
      <c r="I27" s="58">
        <v>5</v>
      </c>
      <c r="K27" s="74">
        <v>25</v>
      </c>
      <c r="L27" s="119">
        <v>-240.00000000000003</v>
      </c>
      <c r="M27" s="117">
        <v>1459.8491831665269</v>
      </c>
    </row>
    <row r="28" spans="1:18" x14ac:dyDescent="0.4">
      <c r="A28" s="20" t="s">
        <v>166</v>
      </c>
      <c r="B28" s="95">
        <f>IF($B$20-B$19=0,0,C28/($B$20-B$19))</f>
        <v>10753.571428571429</v>
      </c>
      <c r="C28" s="96">
        <v>301100</v>
      </c>
      <c r="E28" s="27" t="s">
        <v>87</v>
      </c>
      <c r="F28" s="24" t="s">
        <v>42</v>
      </c>
      <c r="G28" s="12">
        <v>0</v>
      </c>
      <c r="H28" s="88">
        <f t="shared" si="0"/>
        <v>0</v>
      </c>
      <c r="I28" s="58">
        <v>5</v>
      </c>
      <c r="K28" s="74">
        <v>26</v>
      </c>
      <c r="L28" s="119">
        <v>-277</v>
      </c>
      <c r="M28" s="117">
        <v>1453.4360880675279</v>
      </c>
    </row>
    <row r="29" spans="1:18" x14ac:dyDescent="0.4">
      <c r="A29" s="20" t="s">
        <v>167</v>
      </c>
      <c r="B29" s="95">
        <f>IF(B$19=0,0,C29/B$19)</f>
        <v>7992.8571428571431</v>
      </c>
      <c r="C29" s="96">
        <v>223800</v>
      </c>
      <c r="E29" s="27" t="s">
        <v>88</v>
      </c>
      <c r="F29" s="24" t="s">
        <v>43</v>
      </c>
      <c r="G29" s="12">
        <v>0</v>
      </c>
      <c r="H29" s="88">
        <f t="shared" si="0"/>
        <v>0</v>
      </c>
      <c r="I29" s="58">
        <v>3</v>
      </c>
      <c r="K29" s="74">
        <v>27</v>
      </c>
      <c r="L29" s="119">
        <v>-266.7</v>
      </c>
      <c r="M29" s="117">
        <v>1455.5754715391226</v>
      </c>
    </row>
    <row r="30" spans="1:18" x14ac:dyDescent="0.4">
      <c r="A30" s="20" t="s">
        <v>165</v>
      </c>
      <c r="B30" s="95">
        <f>IF(B$21=0,0,C30/B$21)</f>
        <v>-8745.2830188679254</v>
      </c>
      <c r="C30" s="96">
        <v>-463500</v>
      </c>
      <c r="E30" s="27" t="s">
        <v>90</v>
      </c>
      <c r="F30" s="24" t="s">
        <v>45</v>
      </c>
      <c r="G30" s="12">
        <v>0</v>
      </c>
      <c r="H30" s="88">
        <f t="shared" si="0"/>
        <v>0</v>
      </c>
      <c r="I30" s="58">
        <v>4</v>
      </c>
      <c r="K30" s="74">
        <v>28</v>
      </c>
      <c r="L30" s="119">
        <v>-283.7</v>
      </c>
      <c r="M30" s="117">
        <v>1452.6260187098878</v>
      </c>
    </row>
    <row r="31" spans="1:18" x14ac:dyDescent="0.4">
      <c r="A31" s="19" t="s">
        <v>158</v>
      </c>
      <c r="B31" s="12">
        <v>3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>
        <v>6</v>
      </c>
      <c r="K31" s="74">
        <v>29</v>
      </c>
      <c r="L31" s="119">
        <v>-251.2</v>
      </c>
      <c r="M31" s="117">
        <v>1458.6042625976286</v>
      </c>
    </row>
    <row r="32" spans="1:18" x14ac:dyDescent="0.4">
      <c r="A32" s="19" t="s">
        <v>159</v>
      </c>
      <c r="B32" s="12">
        <v>21</v>
      </c>
      <c r="C32" s="90">
        <v>3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>
        <v>1</v>
      </c>
      <c r="K32" s="74">
        <v>30</v>
      </c>
      <c r="L32" s="119">
        <v>-287.89999999999998</v>
      </c>
      <c r="M32" s="117">
        <v>1452.5406370220428</v>
      </c>
    </row>
    <row r="33" spans="1:13" x14ac:dyDescent="0.4">
      <c r="A33" s="54" t="s">
        <v>136</v>
      </c>
      <c r="B33" s="131">
        <v>5</v>
      </c>
      <c r="C33" s="132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>
        <v>3</v>
      </c>
      <c r="K33" s="74">
        <v>31</v>
      </c>
      <c r="L33" s="119">
        <v>-334.9</v>
      </c>
      <c r="M33" s="117">
        <v>1444.6593931999105</v>
      </c>
    </row>
    <row r="34" spans="1:13" x14ac:dyDescent="0.4">
      <c r="A34" s="22" t="s">
        <v>181</v>
      </c>
      <c r="B34" s="133">
        <v>67700</v>
      </c>
      <c r="C34" s="134"/>
      <c r="E34" s="27" t="s">
        <v>96</v>
      </c>
      <c r="F34" s="24" t="s">
        <v>51</v>
      </c>
      <c r="G34" s="12">
        <v>0</v>
      </c>
      <c r="H34" s="88">
        <f t="shared" ref="H34:H52" si="4">IF(B$52=0,0,G34/B$52)</f>
        <v>0</v>
      </c>
      <c r="I34" s="58">
        <v>1</v>
      </c>
      <c r="K34" s="74">
        <v>32</v>
      </c>
      <c r="L34" s="119">
        <v>-360.79999999999995</v>
      </c>
      <c r="M34" s="117">
        <v>1440.473436840711</v>
      </c>
    </row>
    <row r="35" spans="1:13" x14ac:dyDescent="0.4">
      <c r="A35" s="21" t="s">
        <v>137</v>
      </c>
      <c r="B35" s="29">
        <v>1</v>
      </c>
      <c r="C35" s="9">
        <f>IF(B$3=0,0,B35/B$3)</f>
        <v>3.5842293906810036E-3</v>
      </c>
      <c r="E35" s="27" t="s">
        <v>97</v>
      </c>
      <c r="F35" s="24" t="s">
        <v>52</v>
      </c>
      <c r="G35" s="12">
        <v>0</v>
      </c>
      <c r="H35" s="88">
        <f t="shared" si="4"/>
        <v>0</v>
      </c>
      <c r="I35" s="58">
        <v>1</v>
      </c>
      <c r="K35" s="74">
        <v>33</v>
      </c>
      <c r="L35" s="119">
        <v>-386.69999999999993</v>
      </c>
      <c r="M35" s="117">
        <v>1436.5345962196668</v>
      </c>
    </row>
    <row r="36" spans="1:13" x14ac:dyDescent="0.4">
      <c r="E36" s="27" t="s">
        <v>98</v>
      </c>
      <c r="F36" s="24" t="s">
        <v>53</v>
      </c>
      <c r="G36" s="12">
        <v>0</v>
      </c>
      <c r="H36" s="88">
        <f t="shared" si="4"/>
        <v>0</v>
      </c>
      <c r="I36" s="58">
        <v>1</v>
      </c>
      <c r="K36" s="74">
        <v>34</v>
      </c>
      <c r="L36" s="119">
        <v>-412.99999999999994</v>
      </c>
      <c r="M36" s="117">
        <v>1431.9953886423489</v>
      </c>
    </row>
    <row r="37" spans="1:13" x14ac:dyDescent="0.4">
      <c r="A37" s="54" t="s">
        <v>172</v>
      </c>
      <c r="B37" s="122">
        <v>2</v>
      </c>
      <c r="C37" s="98">
        <f t="shared" ref="C37:C49" si="5">IF(B$20=0,0,B37/B$20)</f>
        <v>3.5714285714285712E-2</v>
      </c>
      <c r="E37" s="27" t="s">
        <v>99</v>
      </c>
      <c r="F37" s="24" t="s">
        <v>54</v>
      </c>
      <c r="G37" s="12">
        <v>0</v>
      </c>
      <c r="H37" s="88">
        <f t="shared" si="4"/>
        <v>0</v>
      </c>
      <c r="I37" s="58">
        <v>1</v>
      </c>
      <c r="K37" s="74">
        <v>35</v>
      </c>
      <c r="L37" s="119">
        <v>-448.39999999999992</v>
      </c>
      <c r="M37" s="117">
        <v>1426.2534163104947</v>
      </c>
    </row>
    <row r="38" spans="1:13" x14ac:dyDescent="0.4">
      <c r="A38" s="19" t="s">
        <v>168</v>
      </c>
      <c r="B38" s="12">
        <v>5</v>
      </c>
      <c r="C38" s="6">
        <f t="shared" si="5"/>
        <v>8.9285714285714288E-2</v>
      </c>
      <c r="E38" s="27" t="s">
        <v>100</v>
      </c>
      <c r="F38" s="24" t="s">
        <v>55</v>
      </c>
      <c r="G38" s="12">
        <v>0</v>
      </c>
      <c r="H38" s="88">
        <f t="shared" si="4"/>
        <v>0</v>
      </c>
      <c r="I38" s="58">
        <v>1</v>
      </c>
      <c r="K38" s="74">
        <v>36</v>
      </c>
      <c r="L38" s="119">
        <v>-454.89999999999992</v>
      </c>
      <c r="M38" s="117">
        <v>1425.7478958126317</v>
      </c>
    </row>
    <row r="39" spans="1:13" x14ac:dyDescent="0.4">
      <c r="A39" s="19" t="s">
        <v>169</v>
      </c>
      <c r="B39" s="123">
        <v>10</v>
      </c>
      <c r="C39" s="6">
        <f t="shared" si="5"/>
        <v>0.17857142857142858</v>
      </c>
      <c r="E39" s="27" t="s">
        <v>101</v>
      </c>
      <c r="F39" s="24" t="s">
        <v>56</v>
      </c>
      <c r="G39" s="12">
        <v>0</v>
      </c>
      <c r="H39" s="88">
        <f t="shared" si="4"/>
        <v>0</v>
      </c>
      <c r="I39" s="58">
        <v>1</v>
      </c>
    </row>
    <row r="40" spans="1:13" x14ac:dyDescent="0.4">
      <c r="A40" s="19" t="s">
        <v>170</v>
      </c>
      <c r="B40" s="123">
        <v>8</v>
      </c>
      <c r="C40" s="6">
        <f t="shared" si="5"/>
        <v>0.14285714285714285</v>
      </c>
      <c r="E40" s="27" t="s">
        <v>102</v>
      </c>
      <c r="F40" s="24" t="s">
        <v>57</v>
      </c>
      <c r="G40" s="12">
        <v>0</v>
      </c>
      <c r="H40" s="88">
        <f t="shared" si="4"/>
        <v>0</v>
      </c>
      <c r="I40" s="58">
        <v>1</v>
      </c>
    </row>
    <row r="41" spans="1:13" x14ac:dyDescent="0.4">
      <c r="A41" s="19" t="s">
        <v>171</v>
      </c>
      <c r="B41" s="123">
        <v>17</v>
      </c>
      <c r="C41" s="6">
        <f t="shared" si="5"/>
        <v>0.30357142857142855</v>
      </c>
      <c r="E41" s="27" t="s">
        <v>103</v>
      </c>
      <c r="F41" s="24" t="s">
        <v>58</v>
      </c>
      <c r="G41" s="12">
        <v>0</v>
      </c>
      <c r="H41" s="88">
        <f t="shared" si="4"/>
        <v>0</v>
      </c>
      <c r="I41" s="58">
        <v>1</v>
      </c>
    </row>
    <row r="42" spans="1:13" x14ac:dyDescent="0.4">
      <c r="A42" s="19" t="s">
        <v>173</v>
      </c>
      <c r="B42" s="123">
        <v>3</v>
      </c>
      <c r="C42" s="6">
        <f t="shared" si="5"/>
        <v>5.3571428571428568E-2</v>
      </c>
      <c r="E42" s="27" t="s">
        <v>104</v>
      </c>
      <c r="F42" s="24" t="s">
        <v>59</v>
      </c>
      <c r="G42" s="12">
        <v>0</v>
      </c>
      <c r="H42" s="88">
        <f t="shared" si="4"/>
        <v>0</v>
      </c>
      <c r="I42" s="58">
        <v>1</v>
      </c>
    </row>
    <row r="43" spans="1:13" x14ac:dyDescent="0.4">
      <c r="A43" s="19" t="s">
        <v>174</v>
      </c>
      <c r="B43" s="123">
        <v>5</v>
      </c>
      <c r="C43" s="6">
        <f t="shared" si="5"/>
        <v>8.9285714285714288E-2</v>
      </c>
      <c r="E43" s="27" t="s">
        <v>105</v>
      </c>
      <c r="F43" s="24" t="s">
        <v>112</v>
      </c>
      <c r="G43" s="12">
        <v>0</v>
      </c>
      <c r="H43" s="88">
        <f t="shared" si="4"/>
        <v>0</v>
      </c>
      <c r="I43" s="58">
        <v>1</v>
      </c>
    </row>
    <row r="44" spans="1:13" x14ac:dyDescent="0.4">
      <c r="A44" s="19" t="s">
        <v>175</v>
      </c>
      <c r="B44" s="123">
        <v>1</v>
      </c>
      <c r="C44" s="6">
        <f t="shared" si="5"/>
        <v>1.7857142857142856E-2</v>
      </c>
      <c r="E44" s="27" t="s">
        <v>106</v>
      </c>
      <c r="F44" s="24" t="s">
        <v>113</v>
      </c>
      <c r="G44" s="12">
        <v>0</v>
      </c>
      <c r="H44" s="88">
        <f t="shared" si="4"/>
        <v>0</v>
      </c>
      <c r="I44" s="58">
        <v>3</v>
      </c>
    </row>
    <row r="45" spans="1:13" x14ac:dyDescent="0.4">
      <c r="A45" s="19" t="s">
        <v>176</v>
      </c>
      <c r="B45" s="123">
        <v>1</v>
      </c>
      <c r="C45" s="6">
        <f t="shared" si="5"/>
        <v>1.7857142857142856E-2</v>
      </c>
      <c r="E45" s="27" t="s">
        <v>107</v>
      </c>
      <c r="F45" s="24" t="s">
        <v>114</v>
      </c>
      <c r="G45" s="12">
        <v>0</v>
      </c>
      <c r="H45" s="88">
        <f t="shared" si="4"/>
        <v>0</v>
      </c>
      <c r="I45" s="58">
        <v>1</v>
      </c>
    </row>
    <row r="46" spans="1:13" x14ac:dyDescent="0.4">
      <c r="A46" s="19" t="s">
        <v>177</v>
      </c>
      <c r="B46" s="123">
        <v>2</v>
      </c>
      <c r="C46" s="6">
        <f t="shared" si="5"/>
        <v>3.5714285714285712E-2</v>
      </c>
      <c r="E46" s="27" t="s">
        <v>108</v>
      </c>
      <c r="F46" s="24" t="s">
        <v>60</v>
      </c>
      <c r="G46" s="12">
        <v>0</v>
      </c>
      <c r="H46" s="88">
        <f t="shared" si="4"/>
        <v>0</v>
      </c>
      <c r="I46" s="58">
        <v>1</v>
      </c>
    </row>
    <row r="47" spans="1:13" x14ac:dyDescent="0.4">
      <c r="A47" s="19" t="s">
        <v>178</v>
      </c>
      <c r="B47" s="123">
        <v>1</v>
      </c>
      <c r="C47" s="6">
        <f t="shared" si="5"/>
        <v>1.7857142857142856E-2</v>
      </c>
      <c r="E47" s="27" t="s">
        <v>109</v>
      </c>
      <c r="F47" s="24" t="s">
        <v>61</v>
      </c>
      <c r="G47" s="12">
        <v>0</v>
      </c>
      <c r="H47" s="88">
        <f t="shared" si="4"/>
        <v>0</v>
      </c>
      <c r="I47" s="58">
        <v>1</v>
      </c>
    </row>
    <row r="48" spans="1:13" x14ac:dyDescent="0.4">
      <c r="A48" s="19" t="s">
        <v>179</v>
      </c>
      <c r="B48" s="123">
        <v>0</v>
      </c>
      <c r="C48" s="6">
        <f t="shared" si="5"/>
        <v>0</v>
      </c>
      <c r="E48" s="27" t="s">
        <v>110</v>
      </c>
      <c r="F48" s="24" t="s">
        <v>62</v>
      </c>
      <c r="G48" s="12">
        <v>0</v>
      </c>
      <c r="H48" s="88">
        <f t="shared" si="4"/>
        <v>0</v>
      </c>
      <c r="I48" s="58">
        <v>1</v>
      </c>
    </row>
    <row r="49" spans="1:9" x14ac:dyDescent="0.4">
      <c r="A49" s="21" t="s">
        <v>180</v>
      </c>
      <c r="B49" s="97">
        <v>1</v>
      </c>
      <c r="C49" s="9">
        <f t="shared" si="5"/>
        <v>1.7857142857142856E-2</v>
      </c>
      <c r="E49" s="27" t="s">
        <v>111</v>
      </c>
      <c r="F49" s="24" t="s">
        <v>63</v>
      </c>
      <c r="G49" s="12">
        <v>0</v>
      </c>
      <c r="H49" s="88">
        <f t="shared" si="4"/>
        <v>0</v>
      </c>
      <c r="I49" s="58">
        <v>1</v>
      </c>
    </row>
    <row r="50" spans="1:9" x14ac:dyDescent="0.4">
      <c r="E50" s="27" t="s">
        <v>156</v>
      </c>
      <c r="F50" s="24" t="s">
        <v>157</v>
      </c>
      <c r="G50" s="12">
        <v>0</v>
      </c>
      <c r="H50" s="88">
        <f t="shared" si="4"/>
        <v>0</v>
      </c>
      <c r="I50" s="58">
        <v>1</v>
      </c>
    </row>
    <row r="51" spans="1:9" x14ac:dyDescent="0.4">
      <c r="A51" s="54" t="s">
        <v>206</v>
      </c>
      <c r="B51" s="125">
        <v>279</v>
      </c>
      <c r="C51" s="126"/>
      <c r="E51" s="91" t="s">
        <v>160</v>
      </c>
      <c r="F51" s="92" t="s">
        <v>161</v>
      </c>
      <c r="G51" s="13">
        <v>0</v>
      </c>
      <c r="H51" s="93">
        <f t="shared" si="4"/>
        <v>0</v>
      </c>
      <c r="I51" s="94">
        <v>1</v>
      </c>
    </row>
    <row r="52" spans="1:9" x14ac:dyDescent="0.4">
      <c r="A52" s="21" t="s">
        <v>207</v>
      </c>
      <c r="B52" s="127">
        <v>56</v>
      </c>
      <c r="C52" s="128"/>
      <c r="E52" s="28" t="s">
        <v>162</v>
      </c>
      <c r="F52" s="25" t="s">
        <v>163</v>
      </c>
      <c r="G52" s="14">
        <v>0</v>
      </c>
      <c r="H52" s="89">
        <f t="shared" si="4"/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79877-E0BC-4C0C-AB96-4A23C1536CC2}">
  <sheetPr codeName="Sheet3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7" t="s">
        <v>205</v>
      </c>
      <c r="C1" s="138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25">
        <v>12</v>
      </c>
      <c r="C2" s="126"/>
      <c r="E2" s="26" t="s">
        <v>72</v>
      </c>
      <c r="F2" s="23" t="s">
        <v>27</v>
      </c>
      <c r="G2" s="11">
        <v>14</v>
      </c>
      <c r="H2" s="87">
        <f t="shared" ref="H2:H33" si="0">IF(B$52=0,0,G2/B$52)</f>
        <v>0.82352941176470584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-350</v>
      </c>
      <c r="Q2" s="76">
        <v>12</v>
      </c>
      <c r="R2" s="63">
        <v>-4200</v>
      </c>
    </row>
    <row r="3" spans="1:18" x14ac:dyDescent="0.4">
      <c r="A3" s="19" t="s">
        <v>8</v>
      </c>
      <c r="B3" s="139">
        <v>88</v>
      </c>
      <c r="C3" s="140"/>
      <c r="E3" s="27" t="s">
        <v>66</v>
      </c>
      <c r="F3" s="24" t="s">
        <v>22</v>
      </c>
      <c r="G3" s="12">
        <v>11</v>
      </c>
      <c r="H3" s="88">
        <f t="shared" si="0"/>
        <v>0.6470588235294118</v>
      </c>
      <c r="I3" s="58">
        <v>10</v>
      </c>
      <c r="K3" s="74">
        <v>1</v>
      </c>
      <c r="L3" s="119">
        <v>4</v>
      </c>
      <c r="M3" s="117">
        <v>1500.7260000000001</v>
      </c>
      <c r="O3" s="74" t="s">
        <v>129</v>
      </c>
      <c r="P3" s="80">
        <f t="shared" si="1"/>
        <v>-3308.3333333333335</v>
      </c>
      <c r="Q3" s="77">
        <v>12</v>
      </c>
      <c r="R3" s="64">
        <v>-39700</v>
      </c>
    </row>
    <row r="4" spans="1:18" x14ac:dyDescent="0.4">
      <c r="A4" s="19" t="s">
        <v>6</v>
      </c>
      <c r="B4" s="141">
        <v>-155.1</v>
      </c>
      <c r="C4" s="142"/>
      <c r="E4" s="27" t="s">
        <v>64</v>
      </c>
      <c r="F4" s="24" t="s">
        <v>20</v>
      </c>
      <c r="G4" s="12">
        <v>5</v>
      </c>
      <c r="H4" s="88">
        <f t="shared" si="0"/>
        <v>0.29411764705882354</v>
      </c>
      <c r="I4" s="58">
        <v>13</v>
      </c>
      <c r="K4" s="74">
        <v>2</v>
      </c>
      <c r="L4" s="119">
        <v>3.7</v>
      </c>
      <c r="M4" s="117">
        <v>1500.6736440000002</v>
      </c>
      <c r="O4" s="74" t="s">
        <v>130</v>
      </c>
      <c r="P4" s="80">
        <f t="shared" si="1"/>
        <v>-7000</v>
      </c>
      <c r="Q4" s="77">
        <v>12</v>
      </c>
      <c r="R4" s="64">
        <v>-84000</v>
      </c>
    </row>
    <row r="5" spans="1:18" x14ac:dyDescent="0.4">
      <c r="A5" s="19" t="s">
        <v>7</v>
      </c>
      <c r="B5" s="129">
        <f>IF(B$2=0,0,B$4/B$2)</f>
        <v>-12.924999999999999</v>
      </c>
      <c r="C5" s="130"/>
      <c r="E5" s="27" t="s">
        <v>67</v>
      </c>
      <c r="F5" s="24" t="s">
        <v>23</v>
      </c>
      <c r="G5" s="12">
        <v>3</v>
      </c>
      <c r="H5" s="88">
        <f t="shared" si="0"/>
        <v>0.17647058823529413</v>
      </c>
      <c r="I5" s="58">
        <v>11</v>
      </c>
      <c r="K5" s="74">
        <v>3</v>
      </c>
      <c r="L5" s="119">
        <v>27.8</v>
      </c>
      <c r="M5" s="117">
        <v>1505.3496021360002</v>
      </c>
      <c r="O5" s="74" t="s">
        <v>131</v>
      </c>
      <c r="P5" s="80">
        <f t="shared" si="1"/>
        <v>-244.44444444444446</v>
      </c>
      <c r="Q5" s="77">
        <v>9</v>
      </c>
      <c r="R5" s="64">
        <v>-2200</v>
      </c>
    </row>
    <row r="6" spans="1:18" x14ac:dyDescent="0.4">
      <c r="A6" s="19" t="s">
        <v>196</v>
      </c>
      <c r="B6" s="133">
        <v>1474.5646598648393</v>
      </c>
      <c r="C6" s="134"/>
      <c r="E6" s="27" t="s">
        <v>68</v>
      </c>
      <c r="F6" s="24" t="s">
        <v>12</v>
      </c>
      <c r="G6" s="12">
        <v>3</v>
      </c>
      <c r="H6" s="88">
        <f t="shared" si="0"/>
        <v>0.17647058823529413</v>
      </c>
      <c r="I6" s="58">
        <v>13</v>
      </c>
      <c r="K6" s="74">
        <v>4</v>
      </c>
      <c r="L6" s="119">
        <v>52.3</v>
      </c>
      <c r="M6" s="117">
        <v>1510.0635045231841</v>
      </c>
      <c r="O6" s="74" t="s">
        <v>132</v>
      </c>
      <c r="P6" s="80">
        <f t="shared" si="1"/>
        <v>-2737.5</v>
      </c>
      <c r="Q6" s="77">
        <v>8</v>
      </c>
      <c r="R6" s="64">
        <v>-21900</v>
      </c>
    </row>
    <row r="7" spans="1:18" x14ac:dyDescent="0.4">
      <c r="A7" s="19" t="s">
        <v>1</v>
      </c>
      <c r="B7" s="135">
        <f>IF(B$2=0,0,(B$8*1+B$9*2+B$10*3)/B$2)</f>
        <v>2.4166666666666665</v>
      </c>
      <c r="C7" s="136"/>
      <c r="E7" s="27" t="s">
        <v>70</v>
      </c>
      <c r="F7" s="24" t="s">
        <v>25</v>
      </c>
      <c r="G7" s="12">
        <v>3</v>
      </c>
      <c r="H7" s="88">
        <f t="shared" si="0"/>
        <v>0.17647058823529413</v>
      </c>
      <c r="I7" s="58">
        <v>2</v>
      </c>
      <c r="K7" s="74">
        <v>5</v>
      </c>
      <c r="L7" s="119">
        <v>15</v>
      </c>
      <c r="M7" s="117">
        <v>1503.205123496045</v>
      </c>
      <c r="O7" s="75" t="s">
        <v>133</v>
      </c>
      <c r="P7" s="81">
        <f t="shared" si="1"/>
        <v>-516.66666666666663</v>
      </c>
      <c r="Q7" s="78">
        <v>6</v>
      </c>
      <c r="R7" s="65">
        <v>-3100</v>
      </c>
    </row>
    <row r="8" spans="1:18" x14ac:dyDescent="0.4">
      <c r="A8" s="19" t="s">
        <v>2</v>
      </c>
      <c r="B8" s="12">
        <v>2</v>
      </c>
      <c r="C8" s="6">
        <f t="shared" ref="C8:C15" si="2">IF(B$2=0,0,B8/B$2)</f>
        <v>0.16666666666666666</v>
      </c>
      <c r="E8" s="27" t="s">
        <v>89</v>
      </c>
      <c r="F8" s="24" t="s">
        <v>44</v>
      </c>
      <c r="G8" s="12">
        <v>3</v>
      </c>
      <c r="H8" s="88">
        <f t="shared" si="0"/>
        <v>0.17647058823529413</v>
      </c>
      <c r="I8" s="58">
        <v>3</v>
      </c>
      <c r="K8" s="74">
        <v>6</v>
      </c>
      <c r="L8" s="119">
        <v>-20.5</v>
      </c>
      <c r="M8" s="117">
        <v>1496.7058927550686</v>
      </c>
      <c r="O8" s="107"/>
      <c r="P8" s="85"/>
      <c r="Q8" s="108"/>
      <c r="R8" s="70"/>
    </row>
    <row r="9" spans="1:18" x14ac:dyDescent="0.4">
      <c r="A9" s="19" t="s">
        <v>3</v>
      </c>
      <c r="B9" s="12">
        <v>3</v>
      </c>
      <c r="C9" s="6">
        <f t="shared" si="2"/>
        <v>0.25</v>
      </c>
      <c r="E9" s="27" t="s">
        <v>83</v>
      </c>
      <c r="F9" s="24" t="s">
        <v>38</v>
      </c>
      <c r="G9" s="12">
        <v>2</v>
      </c>
      <c r="H9" s="88">
        <f t="shared" si="0"/>
        <v>0.11764705882352941</v>
      </c>
      <c r="I9" s="58">
        <v>3</v>
      </c>
      <c r="K9" s="74">
        <v>7</v>
      </c>
      <c r="L9" s="119">
        <v>-31.8</v>
      </c>
      <c r="M9" s="117">
        <v>1494.9376573985382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7</v>
      </c>
      <c r="C10" s="7">
        <f t="shared" si="2"/>
        <v>0.58333333333333337</v>
      </c>
      <c r="E10" s="27" t="s">
        <v>79</v>
      </c>
      <c r="F10" s="24" t="s">
        <v>34</v>
      </c>
      <c r="G10" s="12">
        <v>1</v>
      </c>
      <c r="H10" s="88">
        <f t="shared" si="0"/>
        <v>5.8823529411764705E-2</v>
      </c>
      <c r="I10" s="58">
        <v>2</v>
      </c>
      <c r="K10" s="74">
        <v>8</v>
      </c>
      <c r="L10" s="119">
        <v>-31.1</v>
      </c>
      <c r="M10" s="117">
        <v>1495.340031454147</v>
      </c>
      <c r="O10" s="73" t="s">
        <v>152</v>
      </c>
      <c r="P10" s="82">
        <f>IF(Q10=0,0,R10/Q10)</f>
        <v>-14.266666666666664</v>
      </c>
      <c r="Q10" s="76">
        <v>9</v>
      </c>
      <c r="R10" s="67">
        <v>-128.39999999999998</v>
      </c>
    </row>
    <row r="11" spans="1:18" x14ac:dyDescent="0.4">
      <c r="A11" s="20" t="s">
        <v>185</v>
      </c>
      <c r="B11" s="109">
        <f>IF(B8=0,0,C11/B8)</f>
        <v>24.3</v>
      </c>
      <c r="C11" s="110">
        <v>48.6</v>
      </c>
      <c r="E11" s="27" t="s">
        <v>81</v>
      </c>
      <c r="F11" s="24" t="s">
        <v>36</v>
      </c>
      <c r="G11" s="12">
        <v>1</v>
      </c>
      <c r="H11" s="88">
        <f t="shared" si="0"/>
        <v>5.8823529411764705E-2</v>
      </c>
      <c r="I11" s="58">
        <v>1</v>
      </c>
      <c r="K11" s="74">
        <v>9</v>
      </c>
      <c r="L11" s="119">
        <v>-70.599999999999994</v>
      </c>
      <c r="M11" s="117">
        <v>1488.5039912654222</v>
      </c>
      <c r="O11" s="74" t="s">
        <v>153</v>
      </c>
      <c r="P11" s="83">
        <f>IF(Q11=0,0,R11/Q11)</f>
        <v>-7.6999999999999993</v>
      </c>
      <c r="Q11" s="77">
        <v>2</v>
      </c>
      <c r="R11" s="68">
        <v>-15.399999999999999</v>
      </c>
    </row>
    <row r="12" spans="1:18" x14ac:dyDescent="0.4">
      <c r="A12" s="20" t="s">
        <v>186</v>
      </c>
      <c r="B12" s="109">
        <f>IF(B9=0,0,C12/B9)</f>
        <v>1.4666666666666668</v>
      </c>
      <c r="C12" s="110">
        <v>4.4000000000000004</v>
      </c>
      <c r="E12" s="27" t="s">
        <v>86</v>
      </c>
      <c r="F12" s="24" t="s">
        <v>41</v>
      </c>
      <c r="G12" s="12">
        <v>1</v>
      </c>
      <c r="H12" s="88">
        <f t="shared" si="0"/>
        <v>5.8823529411764705E-2</v>
      </c>
      <c r="I12" s="58">
        <v>9</v>
      </c>
      <c r="K12" s="74">
        <v>10</v>
      </c>
      <c r="L12" s="119">
        <v>-115.89999999999999</v>
      </c>
      <c r="M12" s="117">
        <v>1480.6709673178298</v>
      </c>
      <c r="O12" s="75" t="s">
        <v>154</v>
      </c>
      <c r="P12" s="84">
        <f>IF(Q12=0,0,R12/Q12)</f>
        <v>-11.3</v>
      </c>
      <c r="Q12" s="78">
        <v>1</v>
      </c>
      <c r="R12" s="69">
        <v>-11.3</v>
      </c>
    </row>
    <row r="13" spans="1:18" x14ac:dyDescent="0.4">
      <c r="A13" s="20" t="s">
        <v>187</v>
      </c>
      <c r="B13" s="109">
        <f>IF(B10=0,0,C13/B10)</f>
        <v>-29.728571428571424</v>
      </c>
      <c r="C13" s="110">
        <v>-208.09999999999997</v>
      </c>
      <c r="E13" s="27" t="s">
        <v>65</v>
      </c>
      <c r="F13" s="24" t="s">
        <v>21</v>
      </c>
      <c r="G13" s="12">
        <v>0</v>
      </c>
      <c r="H13" s="88">
        <f t="shared" si="0"/>
        <v>0</v>
      </c>
      <c r="I13" s="58">
        <v>12</v>
      </c>
      <c r="K13" s="74">
        <v>11</v>
      </c>
      <c r="L13" s="119">
        <v>-143.6</v>
      </c>
      <c r="M13" s="117">
        <v>1476.0469415139228</v>
      </c>
      <c r="O13" s="103"/>
      <c r="P13" s="71"/>
      <c r="Q13" s="111"/>
      <c r="R13" s="71"/>
    </row>
    <row r="14" spans="1:18" x14ac:dyDescent="0.4">
      <c r="A14" s="20" t="s">
        <v>188</v>
      </c>
      <c r="B14" s="129">
        <f>AVERAGE(B11:B13)</f>
        <v>-1.3206349206349195</v>
      </c>
      <c r="C14" s="130"/>
      <c r="E14" s="27" t="s">
        <v>69</v>
      </c>
      <c r="F14" s="24" t="s">
        <v>24</v>
      </c>
      <c r="G14" s="12">
        <v>0</v>
      </c>
      <c r="H14" s="88">
        <f t="shared" si="0"/>
        <v>0</v>
      </c>
      <c r="I14" s="58">
        <v>13</v>
      </c>
      <c r="K14" s="74">
        <v>12</v>
      </c>
      <c r="L14" s="119">
        <v>-155.1</v>
      </c>
      <c r="M14" s="117">
        <v>1474.5646598648393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2"/>
        <v>0.33333333333333331</v>
      </c>
      <c r="E15" s="27" t="s">
        <v>71</v>
      </c>
      <c r="F15" s="24" t="s">
        <v>26</v>
      </c>
      <c r="G15" s="12">
        <v>0</v>
      </c>
      <c r="H15" s="88">
        <f t="shared" si="0"/>
        <v>0</v>
      </c>
      <c r="I15" s="58">
        <v>12</v>
      </c>
      <c r="O15" s="73" t="s">
        <v>191</v>
      </c>
      <c r="P15" s="82">
        <f t="shared" ref="P15:P21" si="3">IF(Q15=0,0,R15/Q15)</f>
        <v>15.200000000000001</v>
      </c>
      <c r="Q15" s="76">
        <v>2</v>
      </c>
      <c r="R15" s="67">
        <v>30.400000000000002</v>
      </c>
    </row>
    <row r="16" spans="1:18" x14ac:dyDescent="0.4">
      <c r="A16" s="22" t="s">
        <v>121</v>
      </c>
      <c r="B16" s="15">
        <v>12</v>
      </c>
      <c r="C16" s="10">
        <f>IF(B$51=0,0,B16/B$51)</f>
        <v>0.13636363636363635</v>
      </c>
      <c r="E16" s="27" t="s">
        <v>73</v>
      </c>
      <c r="F16" s="24" t="s">
        <v>28</v>
      </c>
      <c r="G16" s="12">
        <v>0</v>
      </c>
      <c r="H16" s="88">
        <f t="shared" si="0"/>
        <v>0</v>
      </c>
      <c r="I16" s="58">
        <v>7</v>
      </c>
      <c r="O16" s="74" t="s">
        <v>223</v>
      </c>
      <c r="P16" s="83">
        <f t="shared" si="3"/>
        <v>4.3000000000000007</v>
      </c>
      <c r="Q16" s="77">
        <v>4</v>
      </c>
      <c r="R16" s="68">
        <v>17.200000000000003</v>
      </c>
    </row>
    <row r="17" spans="1:18" x14ac:dyDescent="0.4">
      <c r="A17" s="19" t="s">
        <v>118</v>
      </c>
      <c r="B17" s="12">
        <v>24</v>
      </c>
      <c r="C17" s="6">
        <f>IF(B$51=0,0,B17/B$51)</f>
        <v>0.27272727272727271</v>
      </c>
      <c r="E17" s="27" t="s">
        <v>74</v>
      </c>
      <c r="F17" s="24" t="s">
        <v>29</v>
      </c>
      <c r="G17" s="12">
        <v>0</v>
      </c>
      <c r="H17" s="88">
        <f t="shared" si="0"/>
        <v>0</v>
      </c>
      <c r="I17" s="58">
        <v>6</v>
      </c>
      <c r="O17" s="74" t="s">
        <v>211</v>
      </c>
      <c r="P17" s="83">
        <f t="shared" si="3"/>
        <v>-9.65</v>
      </c>
      <c r="Q17" s="77">
        <v>2</v>
      </c>
      <c r="R17" s="68">
        <v>-19.3</v>
      </c>
    </row>
    <row r="18" spans="1:18" x14ac:dyDescent="0.4">
      <c r="A18" s="18" t="s">
        <v>123</v>
      </c>
      <c r="B18" s="11">
        <f>B24</f>
        <v>5</v>
      </c>
      <c r="C18" s="5">
        <f>IF(B$16=0,0,B18/B$16)</f>
        <v>0.41666666666666669</v>
      </c>
      <c r="E18" s="27" t="s">
        <v>75</v>
      </c>
      <c r="F18" s="24" t="s">
        <v>30</v>
      </c>
      <c r="G18" s="12">
        <v>0</v>
      </c>
      <c r="H18" s="88">
        <f t="shared" si="0"/>
        <v>0</v>
      </c>
      <c r="I18" s="58">
        <v>7</v>
      </c>
      <c r="O18" s="74" t="s">
        <v>126</v>
      </c>
      <c r="P18" s="83">
        <f t="shared" si="3"/>
        <v>-26.587499999999995</v>
      </c>
      <c r="Q18" s="77">
        <v>8</v>
      </c>
      <c r="R18" s="68">
        <v>-212.69999999999996</v>
      </c>
    </row>
    <row r="19" spans="1:18" x14ac:dyDescent="0.4">
      <c r="A19" s="18" t="s">
        <v>124</v>
      </c>
      <c r="B19" s="11">
        <f>B25</f>
        <v>8</v>
      </c>
      <c r="C19" s="5">
        <f>IF(B$17=0,0,B19/B$17)</f>
        <v>0.33333333333333331</v>
      </c>
      <c r="E19" s="27" t="s">
        <v>76</v>
      </c>
      <c r="F19" s="24" t="s">
        <v>31</v>
      </c>
      <c r="G19" s="12">
        <v>0</v>
      </c>
      <c r="H19" s="88">
        <f t="shared" si="0"/>
        <v>0</v>
      </c>
      <c r="I19" s="58">
        <v>1</v>
      </c>
      <c r="O19" s="74" t="s">
        <v>164</v>
      </c>
      <c r="P19" s="83">
        <f t="shared" si="3"/>
        <v>-28.18</v>
      </c>
      <c r="Q19" s="77">
        <v>5</v>
      </c>
      <c r="R19" s="68">
        <v>-140.9</v>
      </c>
    </row>
    <row r="20" spans="1:18" x14ac:dyDescent="0.4">
      <c r="A20" s="18" t="s">
        <v>10</v>
      </c>
      <c r="B20" s="11">
        <f>B23+B22</f>
        <v>17</v>
      </c>
      <c r="C20" s="5">
        <f>IF(B$3=0,0,B20/B$3)</f>
        <v>0.19318181818181818</v>
      </c>
      <c r="E20" s="27" t="s">
        <v>77</v>
      </c>
      <c r="F20" s="24" t="s">
        <v>32</v>
      </c>
      <c r="G20" s="12">
        <v>0</v>
      </c>
      <c r="H20" s="88">
        <f t="shared" si="0"/>
        <v>0</v>
      </c>
      <c r="I20" s="58">
        <v>7</v>
      </c>
      <c r="O20" s="74" t="s">
        <v>193</v>
      </c>
      <c r="P20" s="83">
        <f t="shared" si="3"/>
        <v>-33.4</v>
      </c>
      <c r="Q20" s="77">
        <v>1</v>
      </c>
      <c r="R20" s="68">
        <v>-33.4</v>
      </c>
    </row>
    <row r="21" spans="1:18" x14ac:dyDescent="0.4">
      <c r="A21" s="19" t="s">
        <v>13</v>
      </c>
      <c r="B21" s="12">
        <v>22</v>
      </c>
      <c r="C21" s="6">
        <f>IF(B$3=0,0,B21/B$3)</f>
        <v>0.25</v>
      </c>
      <c r="E21" s="27" t="s">
        <v>78</v>
      </c>
      <c r="F21" s="24" t="s">
        <v>33</v>
      </c>
      <c r="G21" s="12">
        <v>0</v>
      </c>
      <c r="H21" s="88">
        <f t="shared" si="0"/>
        <v>0</v>
      </c>
      <c r="I21" s="58">
        <v>10</v>
      </c>
      <c r="O21" s="74" t="s">
        <v>195</v>
      </c>
      <c r="P21" s="83">
        <f t="shared" si="3"/>
        <v>-53.3</v>
      </c>
      <c r="Q21" s="77">
        <v>2</v>
      </c>
      <c r="R21" s="68">
        <v>-106.6</v>
      </c>
    </row>
    <row r="22" spans="1:18" x14ac:dyDescent="0.4">
      <c r="A22" s="19" t="s">
        <v>12</v>
      </c>
      <c r="B22" s="12">
        <v>7</v>
      </c>
      <c r="C22" s="6">
        <f>IF(B$20=0,0,B22/B$20)</f>
        <v>0.41176470588235292</v>
      </c>
      <c r="E22" s="27" t="s">
        <v>80</v>
      </c>
      <c r="F22" s="24" t="s">
        <v>35</v>
      </c>
      <c r="G22" s="12">
        <v>0</v>
      </c>
      <c r="H22" s="88">
        <f t="shared" si="0"/>
        <v>0</v>
      </c>
      <c r="I22" s="58">
        <v>3</v>
      </c>
    </row>
    <row r="23" spans="1:18" x14ac:dyDescent="0.4">
      <c r="A23" s="19" t="s">
        <v>11</v>
      </c>
      <c r="B23" s="12">
        <v>10</v>
      </c>
      <c r="C23" s="6">
        <f>IF(B$20=0,0,B23/B$20)</f>
        <v>0.58823529411764708</v>
      </c>
      <c r="E23" s="27" t="s">
        <v>82</v>
      </c>
      <c r="F23" s="24" t="s">
        <v>37</v>
      </c>
      <c r="G23" s="12">
        <v>0</v>
      </c>
      <c r="H23" s="88">
        <f t="shared" si="0"/>
        <v>0</v>
      </c>
      <c r="I23" s="58">
        <v>1</v>
      </c>
    </row>
    <row r="24" spans="1:18" x14ac:dyDescent="0.4">
      <c r="A24" s="19" t="s">
        <v>184</v>
      </c>
      <c r="B24" s="12">
        <v>5</v>
      </c>
      <c r="C24" s="6">
        <f>IF(B$20=0,0,B24/B$20)</f>
        <v>0.29411764705882354</v>
      </c>
      <c r="E24" s="27" t="s">
        <v>84</v>
      </c>
      <c r="F24" s="24" t="s">
        <v>39</v>
      </c>
      <c r="G24" s="12">
        <v>0</v>
      </c>
      <c r="H24" s="88">
        <f t="shared" si="0"/>
        <v>0</v>
      </c>
      <c r="I24" s="58">
        <v>5</v>
      </c>
    </row>
    <row r="25" spans="1:18" x14ac:dyDescent="0.4">
      <c r="A25" s="19" t="s">
        <v>182</v>
      </c>
      <c r="B25" s="12">
        <v>8</v>
      </c>
      <c r="C25" s="6">
        <f>IF(B$20=0,0,B25/B$20)</f>
        <v>0.47058823529411764</v>
      </c>
      <c r="E25" s="27" t="s">
        <v>85</v>
      </c>
      <c r="F25" s="24" t="s">
        <v>40</v>
      </c>
      <c r="G25" s="12">
        <v>0</v>
      </c>
      <c r="H25" s="88">
        <f t="shared" si="0"/>
        <v>0</v>
      </c>
      <c r="I25" s="58">
        <v>6</v>
      </c>
    </row>
    <row r="26" spans="1:18" x14ac:dyDescent="0.4">
      <c r="A26" s="19" t="s">
        <v>183</v>
      </c>
      <c r="B26" s="12">
        <v>4</v>
      </c>
      <c r="C26" s="6">
        <f>IF(B$20=0,0,B26/B$20)</f>
        <v>0.23529411764705882</v>
      </c>
      <c r="E26" s="27" t="s">
        <v>87</v>
      </c>
      <c r="F26" s="24" t="s">
        <v>42</v>
      </c>
      <c r="G26" s="12">
        <v>0</v>
      </c>
      <c r="H26" s="88">
        <f t="shared" si="0"/>
        <v>0</v>
      </c>
      <c r="I26" s="58">
        <v>5</v>
      </c>
    </row>
    <row r="27" spans="1:18" x14ac:dyDescent="0.4">
      <c r="A27" s="19" t="s">
        <v>5</v>
      </c>
      <c r="B27" s="16">
        <f>IF(B$20=0,0,C27/B$20)</f>
        <v>8670.5882352941171</v>
      </c>
      <c r="C27" s="8">
        <v>147400</v>
      </c>
      <c r="E27" s="27" t="s">
        <v>88</v>
      </c>
      <c r="F27" s="24" t="s">
        <v>43</v>
      </c>
      <c r="G27" s="12">
        <v>0</v>
      </c>
      <c r="H27" s="88">
        <f t="shared" si="0"/>
        <v>0</v>
      </c>
      <c r="I27" s="58">
        <v>3</v>
      </c>
    </row>
    <row r="28" spans="1:18" x14ac:dyDescent="0.4">
      <c r="A28" s="20" t="s">
        <v>166</v>
      </c>
      <c r="B28" s="95">
        <f>IF($B$20-B$19=0,0,C28/($B$20-B$19))</f>
        <v>9155.5555555555547</v>
      </c>
      <c r="C28" s="96">
        <v>82400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>
        <v>4</v>
      </c>
    </row>
    <row r="29" spans="1:18" x14ac:dyDescent="0.4">
      <c r="A29" s="20" t="s">
        <v>167</v>
      </c>
      <c r="B29" s="95">
        <f>IF(B$19=0,0,C29/B$19)</f>
        <v>8125</v>
      </c>
      <c r="C29" s="96">
        <v>65000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>
        <v>10</v>
      </c>
    </row>
    <row r="30" spans="1:18" x14ac:dyDescent="0.4">
      <c r="A30" s="20" t="s">
        <v>165</v>
      </c>
      <c r="B30" s="95">
        <f>IF(B$21=0,0,C30/B$21)</f>
        <v>-9190.9090909090901</v>
      </c>
      <c r="C30" s="96">
        <v>-202200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>
        <v>7</v>
      </c>
    </row>
    <row r="31" spans="1:18" x14ac:dyDescent="0.4">
      <c r="A31" s="19" t="s">
        <v>158</v>
      </c>
      <c r="B31" s="12">
        <v>2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>
        <v>6</v>
      </c>
    </row>
    <row r="32" spans="1:18" x14ac:dyDescent="0.4">
      <c r="A32" s="19" t="s">
        <v>159</v>
      </c>
      <c r="B32" s="12">
        <v>13</v>
      </c>
      <c r="C32" s="90">
        <v>1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>
        <v>1</v>
      </c>
    </row>
    <row r="33" spans="1:9" x14ac:dyDescent="0.4">
      <c r="A33" s="54" t="s">
        <v>136</v>
      </c>
      <c r="B33" s="131">
        <v>5</v>
      </c>
      <c r="C33" s="132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>
        <v>3</v>
      </c>
    </row>
    <row r="34" spans="1:9" x14ac:dyDescent="0.4">
      <c r="A34" s="22" t="s">
        <v>181</v>
      </c>
      <c r="B34" s="133">
        <v>59500</v>
      </c>
      <c r="C34" s="134"/>
      <c r="E34" s="27" t="s">
        <v>96</v>
      </c>
      <c r="F34" s="24" t="s">
        <v>51</v>
      </c>
      <c r="G34" s="12">
        <v>0</v>
      </c>
      <c r="H34" s="88">
        <f t="shared" ref="H34:H52" si="4">IF(B$52=0,0,G34/B$52)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4"/>
        <v>0</v>
      </c>
      <c r="I35" s="58">
        <v>1</v>
      </c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4"/>
        <v>0</v>
      </c>
      <c r="I36" s="58">
        <v>1</v>
      </c>
    </row>
    <row r="37" spans="1:9" x14ac:dyDescent="0.4">
      <c r="A37" s="54" t="s">
        <v>172</v>
      </c>
      <c r="B37" s="122">
        <v>1</v>
      </c>
      <c r="C37" s="98">
        <f t="shared" ref="C37:C49" si="5">IF(B$20=0,0,B37/B$20)</f>
        <v>5.8823529411764705E-2</v>
      </c>
      <c r="E37" s="27" t="s">
        <v>99</v>
      </c>
      <c r="F37" s="24" t="s">
        <v>54</v>
      </c>
      <c r="G37" s="12">
        <v>0</v>
      </c>
      <c r="H37" s="88">
        <f t="shared" si="4"/>
        <v>0</v>
      </c>
      <c r="I37" s="58">
        <v>1</v>
      </c>
    </row>
    <row r="38" spans="1:9" x14ac:dyDescent="0.4">
      <c r="A38" s="19" t="s">
        <v>168</v>
      </c>
      <c r="B38" s="12">
        <v>0</v>
      </c>
      <c r="C38" s="6">
        <f t="shared" si="5"/>
        <v>0</v>
      </c>
      <c r="E38" s="27" t="s">
        <v>100</v>
      </c>
      <c r="F38" s="24" t="s">
        <v>55</v>
      </c>
      <c r="G38" s="12">
        <v>0</v>
      </c>
      <c r="H38" s="88">
        <f t="shared" si="4"/>
        <v>0</v>
      </c>
      <c r="I38" s="58">
        <v>1</v>
      </c>
    </row>
    <row r="39" spans="1:9" x14ac:dyDescent="0.4">
      <c r="A39" s="19" t="s">
        <v>169</v>
      </c>
      <c r="B39" s="123">
        <v>5</v>
      </c>
      <c r="C39" s="6">
        <f t="shared" si="5"/>
        <v>0.29411764705882354</v>
      </c>
      <c r="E39" s="27" t="s">
        <v>101</v>
      </c>
      <c r="F39" s="24" t="s">
        <v>56</v>
      </c>
      <c r="G39" s="12">
        <v>0</v>
      </c>
      <c r="H39" s="88">
        <f t="shared" si="4"/>
        <v>0</v>
      </c>
      <c r="I39" s="58">
        <v>1</v>
      </c>
    </row>
    <row r="40" spans="1:9" x14ac:dyDescent="0.4">
      <c r="A40" s="19" t="s">
        <v>170</v>
      </c>
      <c r="B40" s="123">
        <v>4</v>
      </c>
      <c r="C40" s="6">
        <f t="shared" si="5"/>
        <v>0.23529411764705882</v>
      </c>
      <c r="E40" s="27" t="s">
        <v>102</v>
      </c>
      <c r="F40" s="24" t="s">
        <v>57</v>
      </c>
      <c r="G40" s="12">
        <v>0</v>
      </c>
      <c r="H40" s="88">
        <f t="shared" si="4"/>
        <v>0</v>
      </c>
      <c r="I40" s="58">
        <v>1</v>
      </c>
    </row>
    <row r="41" spans="1:9" x14ac:dyDescent="0.4">
      <c r="A41" s="19" t="s">
        <v>171</v>
      </c>
      <c r="B41" s="123">
        <v>4</v>
      </c>
      <c r="C41" s="6">
        <f t="shared" si="5"/>
        <v>0.23529411764705882</v>
      </c>
      <c r="E41" s="27" t="s">
        <v>103</v>
      </c>
      <c r="F41" s="24" t="s">
        <v>58</v>
      </c>
      <c r="G41" s="12">
        <v>0</v>
      </c>
      <c r="H41" s="88">
        <f t="shared" si="4"/>
        <v>0</v>
      </c>
      <c r="I41" s="58">
        <v>1</v>
      </c>
    </row>
    <row r="42" spans="1:9" x14ac:dyDescent="0.4">
      <c r="A42" s="19" t="s">
        <v>173</v>
      </c>
      <c r="B42" s="123">
        <v>1</v>
      </c>
      <c r="C42" s="6">
        <f t="shared" si="5"/>
        <v>5.8823529411764705E-2</v>
      </c>
      <c r="E42" s="27" t="s">
        <v>104</v>
      </c>
      <c r="F42" s="24" t="s">
        <v>59</v>
      </c>
      <c r="G42" s="12">
        <v>0</v>
      </c>
      <c r="H42" s="88">
        <f t="shared" si="4"/>
        <v>0</v>
      </c>
      <c r="I42" s="58">
        <v>1</v>
      </c>
    </row>
    <row r="43" spans="1:9" x14ac:dyDescent="0.4">
      <c r="A43" s="19" t="s">
        <v>174</v>
      </c>
      <c r="B43" s="123">
        <v>1</v>
      </c>
      <c r="C43" s="6">
        <f t="shared" si="5"/>
        <v>5.8823529411764705E-2</v>
      </c>
      <c r="E43" s="27" t="s">
        <v>105</v>
      </c>
      <c r="F43" s="24" t="s">
        <v>112</v>
      </c>
      <c r="G43" s="12">
        <v>0</v>
      </c>
      <c r="H43" s="88">
        <f t="shared" si="4"/>
        <v>0</v>
      </c>
      <c r="I43" s="58">
        <v>1</v>
      </c>
    </row>
    <row r="44" spans="1:9" x14ac:dyDescent="0.4">
      <c r="A44" s="19" t="s">
        <v>175</v>
      </c>
      <c r="B44" s="123">
        <v>0</v>
      </c>
      <c r="C44" s="6">
        <f t="shared" si="5"/>
        <v>0</v>
      </c>
      <c r="E44" s="27" t="s">
        <v>106</v>
      </c>
      <c r="F44" s="24" t="s">
        <v>113</v>
      </c>
      <c r="G44" s="12">
        <v>0</v>
      </c>
      <c r="H44" s="88">
        <f t="shared" si="4"/>
        <v>0</v>
      </c>
      <c r="I44" s="58">
        <v>3</v>
      </c>
    </row>
    <row r="45" spans="1:9" x14ac:dyDescent="0.4">
      <c r="A45" s="19" t="s">
        <v>176</v>
      </c>
      <c r="B45" s="123">
        <v>1</v>
      </c>
      <c r="C45" s="6">
        <f t="shared" si="5"/>
        <v>5.8823529411764705E-2</v>
      </c>
      <c r="E45" s="27" t="s">
        <v>107</v>
      </c>
      <c r="F45" s="24" t="s">
        <v>114</v>
      </c>
      <c r="G45" s="12">
        <v>0</v>
      </c>
      <c r="H45" s="88">
        <f t="shared" si="4"/>
        <v>0</v>
      </c>
      <c r="I45" s="58">
        <v>1</v>
      </c>
    </row>
    <row r="46" spans="1:9" x14ac:dyDescent="0.4">
      <c r="A46" s="19" t="s">
        <v>177</v>
      </c>
      <c r="B46" s="123">
        <v>0</v>
      </c>
      <c r="C46" s="6">
        <f t="shared" si="5"/>
        <v>0</v>
      </c>
      <c r="E46" s="27" t="s">
        <v>108</v>
      </c>
      <c r="F46" s="24" t="s">
        <v>60</v>
      </c>
      <c r="G46" s="12">
        <v>0</v>
      </c>
      <c r="H46" s="88">
        <f t="shared" si="4"/>
        <v>0</v>
      </c>
      <c r="I46" s="58">
        <v>1</v>
      </c>
    </row>
    <row r="47" spans="1:9" x14ac:dyDescent="0.4">
      <c r="A47" s="19" t="s">
        <v>178</v>
      </c>
      <c r="B47" s="123">
        <v>0</v>
      </c>
      <c r="C47" s="6">
        <f t="shared" si="5"/>
        <v>0</v>
      </c>
      <c r="E47" s="27" t="s">
        <v>109</v>
      </c>
      <c r="F47" s="24" t="s">
        <v>61</v>
      </c>
      <c r="G47" s="12">
        <v>0</v>
      </c>
      <c r="H47" s="88">
        <f t="shared" si="4"/>
        <v>0</v>
      </c>
      <c r="I47" s="58">
        <v>1</v>
      </c>
    </row>
    <row r="48" spans="1:9" x14ac:dyDescent="0.4">
      <c r="A48" s="19" t="s">
        <v>179</v>
      </c>
      <c r="B48" s="123">
        <v>0</v>
      </c>
      <c r="C48" s="6">
        <f t="shared" si="5"/>
        <v>0</v>
      </c>
      <c r="E48" s="27" t="s">
        <v>110</v>
      </c>
      <c r="F48" s="24" t="s">
        <v>62</v>
      </c>
      <c r="G48" s="12">
        <v>0</v>
      </c>
      <c r="H48" s="88">
        <f t="shared" si="4"/>
        <v>0</v>
      </c>
      <c r="I48" s="58">
        <v>1</v>
      </c>
    </row>
    <row r="49" spans="1:9" x14ac:dyDescent="0.4">
      <c r="A49" s="21" t="s">
        <v>180</v>
      </c>
      <c r="B49" s="97">
        <v>0</v>
      </c>
      <c r="C49" s="9">
        <f t="shared" si="5"/>
        <v>0</v>
      </c>
      <c r="E49" s="27" t="s">
        <v>111</v>
      </c>
      <c r="F49" s="24" t="s">
        <v>63</v>
      </c>
      <c r="G49" s="12">
        <v>0</v>
      </c>
      <c r="H49" s="88">
        <f t="shared" si="4"/>
        <v>0</v>
      </c>
      <c r="I49" s="58">
        <v>1</v>
      </c>
    </row>
    <row r="50" spans="1:9" x14ac:dyDescent="0.4">
      <c r="E50" s="27" t="s">
        <v>156</v>
      </c>
      <c r="F50" s="24" t="s">
        <v>157</v>
      </c>
      <c r="G50" s="12">
        <v>0</v>
      </c>
      <c r="H50" s="88">
        <f t="shared" si="4"/>
        <v>0</v>
      </c>
      <c r="I50" s="58">
        <v>1</v>
      </c>
    </row>
    <row r="51" spans="1:9" x14ac:dyDescent="0.4">
      <c r="A51" s="54" t="s">
        <v>206</v>
      </c>
      <c r="B51" s="125">
        <v>88</v>
      </c>
      <c r="C51" s="126"/>
      <c r="E51" s="91" t="s">
        <v>160</v>
      </c>
      <c r="F51" s="92" t="s">
        <v>161</v>
      </c>
      <c r="G51" s="13">
        <v>0</v>
      </c>
      <c r="H51" s="93">
        <f t="shared" si="4"/>
        <v>0</v>
      </c>
      <c r="I51" s="94">
        <v>1</v>
      </c>
    </row>
    <row r="52" spans="1:9" x14ac:dyDescent="0.4">
      <c r="A52" s="21" t="s">
        <v>207</v>
      </c>
      <c r="B52" s="127">
        <v>17</v>
      </c>
      <c r="C52" s="128"/>
      <c r="E52" s="28" t="s">
        <v>162</v>
      </c>
      <c r="F52" s="25" t="s">
        <v>163</v>
      </c>
      <c r="G52" s="14">
        <v>0</v>
      </c>
      <c r="H52" s="89">
        <f t="shared" si="4"/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FAE59-790A-4443-8753-109F0C526871}">
  <sheetPr codeName="Sheet33"/>
  <dimension ref="A1:Q1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205</v>
      </c>
      <c r="B1" s="34" t="s">
        <v>205</v>
      </c>
      <c r="C1" s="34" t="s">
        <v>205</v>
      </c>
      <c r="D1" s="35" t="s">
        <v>205</v>
      </c>
      <c r="E1" s="34" t="s">
        <v>205</v>
      </c>
      <c r="F1" s="34" t="s">
        <v>205</v>
      </c>
      <c r="G1" s="34" t="s">
        <v>205</v>
      </c>
      <c r="H1" s="34" t="s">
        <v>205</v>
      </c>
      <c r="I1" s="34" t="s">
        <v>205</v>
      </c>
      <c r="J1" s="34" t="s">
        <v>205</v>
      </c>
      <c r="K1" s="34" t="s">
        <v>205</v>
      </c>
      <c r="L1" s="34" t="s">
        <v>205</v>
      </c>
      <c r="M1" s="34" t="s">
        <v>205</v>
      </c>
      <c r="N1" s="34" t="s">
        <v>205</v>
      </c>
      <c r="O1" s="34" t="s">
        <v>205</v>
      </c>
      <c r="P1" s="34" t="s">
        <v>205</v>
      </c>
      <c r="Q1" s="34" t="s">
        <v>205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0.22222222222222221</v>
      </c>
      <c r="H4" s="31">
        <v>0.1111111111111111</v>
      </c>
      <c r="I4" s="32">
        <v>9000</v>
      </c>
      <c r="J4" s="32">
        <v>-12000</v>
      </c>
      <c r="K4" s="31">
        <v>0</v>
      </c>
      <c r="L4" s="31">
        <v>0.1111111111111111</v>
      </c>
      <c r="M4" s="31">
        <v>0.22222222222222221</v>
      </c>
      <c r="N4" s="31">
        <v>0</v>
      </c>
      <c r="O4" s="31">
        <v>0.5</v>
      </c>
      <c r="P4" s="31">
        <v>0.5</v>
      </c>
    </row>
    <row r="5" spans="1:17" x14ac:dyDescent="0.4">
      <c r="A5" s="33">
        <v>2</v>
      </c>
      <c r="B5" s="30">
        <v>3.7</v>
      </c>
      <c r="C5" s="30">
        <v>1.85</v>
      </c>
      <c r="D5" s="35">
        <v>2</v>
      </c>
      <c r="E5" s="31">
        <v>0</v>
      </c>
      <c r="F5" s="31">
        <v>0</v>
      </c>
      <c r="G5" s="31">
        <v>0.25</v>
      </c>
      <c r="H5" s="31">
        <v>0.125</v>
      </c>
      <c r="I5" s="32">
        <v>8800</v>
      </c>
      <c r="J5" s="32">
        <v>-12000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0.5</v>
      </c>
    </row>
    <row r="6" spans="1:17" x14ac:dyDescent="0.4">
      <c r="A6" s="33">
        <v>3</v>
      </c>
      <c r="B6" s="30">
        <v>27.8</v>
      </c>
      <c r="C6" s="30">
        <v>9.2666666666666675</v>
      </c>
      <c r="D6" s="35">
        <v>1.6666666666666667</v>
      </c>
      <c r="E6" s="31">
        <v>0.33333333333333331</v>
      </c>
      <c r="F6" s="31">
        <v>0</v>
      </c>
      <c r="G6" s="31">
        <v>0.375</v>
      </c>
      <c r="H6" s="31">
        <v>8.3333333333333329E-2</v>
      </c>
      <c r="I6" s="32">
        <v>7511.1111111111113</v>
      </c>
      <c r="J6" s="32">
        <v>-12000</v>
      </c>
      <c r="K6" s="31">
        <v>0</v>
      </c>
      <c r="L6" s="31">
        <v>0.125</v>
      </c>
      <c r="M6" s="31">
        <v>0.33333333333333331</v>
      </c>
      <c r="N6" s="31">
        <v>0.33333333333333331</v>
      </c>
      <c r="O6" s="31">
        <v>0.625</v>
      </c>
      <c r="P6" s="31">
        <v>0.44444444444444442</v>
      </c>
    </row>
    <row r="7" spans="1:17" x14ac:dyDescent="0.4">
      <c r="A7" s="33">
        <v>4</v>
      </c>
      <c r="B7" s="30">
        <v>52.3</v>
      </c>
      <c r="C7" s="30">
        <v>13.074999999999999</v>
      </c>
      <c r="D7" s="35">
        <v>1.5</v>
      </c>
      <c r="E7" s="31">
        <v>0.5</v>
      </c>
      <c r="F7" s="31">
        <v>0</v>
      </c>
      <c r="G7" s="31">
        <v>0.34375</v>
      </c>
      <c r="H7" s="31">
        <v>9.375E-2</v>
      </c>
      <c r="I7" s="32">
        <v>8872.7272727272721</v>
      </c>
      <c r="J7" s="32">
        <v>-12000</v>
      </c>
      <c r="K7" s="31">
        <v>0</v>
      </c>
      <c r="L7" s="31">
        <v>0.15625</v>
      </c>
      <c r="M7" s="31">
        <v>0.28125</v>
      </c>
      <c r="N7" s="31">
        <v>0.6</v>
      </c>
      <c r="O7" s="31">
        <v>0.55555555555555558</v>
      </c>
      <c r="P7" s="31">
        <v>0.36363636363636365</v>
      </c>
    </row>
    <row r="8" spans="1:17" x14ac:dyDescent="0.4">
      <c r="A8" s="33">
        <v>5</v>
      </c>
      <c r="B8" s="30">
        <v>15</v>
      </c>
      <c r="C8" s="30">
        <v>3</v>
      </c>
      <c r="D8" s="35">
        <v>1.8</v>
      </c>
      <c r="E8" s="31">
        <v>0.4</v>
      </c>
      <c r="F8" s="31">
        <v>0.2</v>
      </c>
      <c r="G8" s="31">
        <v>0.27906976744186046</v>
      </c>
      <c r="H8" s="31">
        <v>9.3023255813953487E-2</v>
      </c>
      <c r="I8" s="32">
        <v>8800</v>
      </c>
      <c r="J8" s="32">
        <v>-10700</v>
      </c>
      <c r="K8" s="31">
        <v>0.2</v>
      </c>
      <c r="L8" s="31">
        <v>0.18604651162790697</v>
      </c>
      <c r="M8" s="31">
        <v>0.2558139534883721</v>
      </c>
      <c r="N8" s="31">
        <v>0.5</v>
      </c>
      <c r="O8" s="31">
        <v>0.45454545454545453</v>
      </c>
      <c r="P8" s="31">
        <v>0.33333333333333331</v>
      </c>
    </row>
    <row r="9" spans="1:17" x14ac:dyDescent="0.4">
      <c r="A9" s="33">
        <v>6</v>
      </c>
      <c r="B9" s="30">
        <v>-20.5</v>
      </c>
      <c r="C9" s="30">
        <v>-3.4166666666666665</v>
      </c>
      <c r="D9" s="35">
        <v>2</v>
      </c>
      <c r="E9" s="31">
        <v>0.33333333333333331</v>
      </c>
      <c r="F9" s="31">
        <v>0.33333333333333331</v>
      </c>
      <c r="G9" s="31">
        <v>0.25531914893617019</v>
      </c>
      <c r="H9" s="31">
        <v>0.1276595744680851</v>
      </c>
      <c r="I9" s="32">
        <v>8800</v>
      </c>
      <c r="J9" s="32">
        <v>-10466.666666666666</v>
      </c>
      <c r="K9" s="31">
        <v>0.33333333333333331</v>
      </c>
      <c r="L9" s="31">
        <v>0.19148936170212766</v>
      </c>
      <c r="M9" s="31">
        <v>0.23404255319148937</v>
      </c>
      <c r="N9" s="31">
        <v>0.44444444444444442</v>
      </c>
      <c r="O9" s="31">
        <v>0.45454545454545453</v>
      </c>
      <c r="P9" s="31">
        <v>0.33333333333333331</v>
      </c>
    </row>
    <row r="10" spans="1:17" x14ac:dyDescent="0.4">
      <c r="A10" s="33">
        <v>7</v>
      </c>
      <c r="B10" s="30">
        <v>-31.8</v>
      </c>
      <c r="C10" s="30">
        <v>-4.5428571428571427</v>
      </c>
      <c r="D10" s="35">
        <v>2.1428571428571428</v>
      </c>
      <c r="E10" s="31">
        <v>0.2857142857142857</v>
      </c>
      <c r="F10" s="31">
        <v>0.42857142857142855</v>
      </c>
      <c r="G10" s="31">
        <v>0.24561403508771928</v>
      </c>
      <c r="H10" s="31">
        <v>0.17543859649122806</v>
      </c>
      <c r="I10" s="32">
        <v>8400</v>
      </c>
      <c r="J10" s="32">
        <v>-8360</v>
      </c>
      <c r="K10" s="31">
        <v>0.2857142857142857</v>
      </c>
      <c r="L10" s="31">
        <v>0.17543859649122806</v>
      </c>
      <c r="M10" s="31">
        <v>0.22807017543859648</v>
      </c>
      <c r="N10" s="31">
        <v>0.5</v>
      </c>
      <c r="O10" s="31">
        <v>0.38461538461538464</v>
      </c>
      <c r="P10" s="31">
        <v>0.42857142857142855</v>
      </c>
    </row>
    <row r="11" spans="1:17" x14ac:dyDescent="0.4">
      <c r="A11" s="33">
        <v>8</v>
      </c>
      <c r="B11" s="30">
        <v>-31.1</v>
      </c>
      <c r="C11" s="30">
        <v>-3.8875000000000002</v>
      </c>
      <c r="D11" s="35">
        <v>2.125</v>
      </c>
      <c r="E11" s="31">
        <v>0.25</v>
      </c>
      <c r="F11" s="31">
        <v>0.375</v>
      </c>
      <c r="G11" s="31">
        <v>0.23076923076923078</v>
      </c>
      <c r="H11" s="31">
        <v>0.18461538461538463</v>
      </c>
      <c r="I11" s="32">
        <v>8906.6666666666661</v>
      </c>
      <c r="J11" s="32">
        <v>-7883.333333333333</v>
      </c>
      <c r="K11" s="31">
        <v>0.25</v>
      </c>
      <c r="L11" s="31">
        <v>0.15384615384615385</v>
      </c>
      <c r="M11" s="31">
        <v>0.24615384615384617</v>
      </c>
      <c r="N11" s="31">
        <v>0.5</v>
      </c>
      <c r="O11" s="31">
        <v>0.375</v>
      </c>
      <c r="P11" s="31">
        <v>0.46666666666666667</v>
      </c>
    </row>
    <row r="12" spans="1:17" x14ac:dyDescent="0.4">
      <c r="A12" s="33">
        <v>9</v>
      </c>
      <c r="B12" s="30">
        <v>-70.599999999999994</v>
      </c>
      <c r="C12" s="30">
        <v>-7.8444444444444441</v>
      </c>
      <c r="D12" s="35">
        <v>2.2222222222222223</v>
      </c>
      <c r="E12" s="31">
        <v>0.22222222222222221</v>
      </c>
      <c r="F12" s="31">
        <v>0.44444444444444442</v>
      </c>
      <c r="G12" s="31">
        <v>0.21739130434782608</v>
      </c>
      <c r="H12" s="31">
        <v>0.21739130434782608</v>
      </c>
      <c r="I12" s="32">
        <v>8906.6666666666661</v>
      </c>
      <c r="J12" s="32">
        <v>-8613.3333333333339</v>
      </c>
      <c r="K12" s="31">
        <v>0.33333333333333331</v>
      </c>
      <c r="L12" s="31">
        <v>0.14492753623188406</v>
      </c>
      <c r="M12" s="31">
        <v>0.2608695652173913</v>
      </c>
      <c r="N12" s="31">
        <v>0.5</v>
      </c>
      <c r="O12" s="31">
        <v>0.33333333333333331</v>
      </c>
      <c r="P12" s="31">
        <v>0.46666666666666667</v>
      </c>
    </row>
    <row r="13" spans="1:17" x14ac:dyDescent="0.4">
      <c r="A13" s="33">
        <v>10</v>
      </c>
      <c r="B13" s="30">
        <v>-115.89999999999999</v>
      </c>
      <c r="C13" s="30">
        <v>-11.59</v>
      </c>
      <c r="D13" s="35">
        <v>2.2999999999999998</v>
      </c>
      <c r="E13" s="31">
        <v>0.2</v>
      </c>
      <c r="F13" s="31">
        <v>0.5</v>
      </c>
      <c r="G13" s="31">
        <v>0.20547945205479451</v>
      </c>
      <c r="H13" s="31">
        <v>0.24657534246575341</v>
      </c>
      <c r="I13" s="32">
        <v>8906.6666666666661</v>
      </c>
      <c r="J13" s="32">
        <v>-9500</v>
      </c>
      <c r="K13" s="31">
        <v>0.4</v>
      </c>
      <c r="L13" s="31">
        <v>0.13698630136986301</v>
      </c>
      <c r="M13" s="31">
        <v>0.26027397260273971</v>
      </c>
      <c r="N13" s="31">
        <v>0.5</v>
      </c>
      <c r="O13" s="31">
        <v>0.31578947368421051</v>
      </c>
      <c r="P13" s="31">
        <v>0.46666666666666667</v>
      </c>
    </row>
    <row r="14" spans="1:17" x14ac:dyDescent="0.4">
      <c r="A14" s="33">
        <v>11</v>
      </c>
      <c r="B14" s="30">
        <v>-143.6</v>
      </c>
      <c r="C14" s="30">
        <v>-13.054545454545455</v>
      </c>
      <c r="D14" s="35">
        <v>2.3636363636363638</v>
      </c>
      <c r="E14" s="31">
        <v>0.18181818181818182</v>
      </c>
      <c r="F14" s="31">
        <v>0.54545454545454541</v>
      </c>
      <c r="G14" s="31">
        <v>0.1951219512195122</v>
      </c>
      <c r="H14" s="31">
        <v>0.24390243902439024</v>
      </c>
      <c r="I14" s="32">
        <v>8712.5</v>
      </c>
      <c r="J14" s="32">
        <v>-9550</v>
      </c>
      <c r="K14" s="31">
        <v>0.36363636363636365</v>
      </c>
      <c r="L14" s="31">
        <v>0.14634146341463414</v>
      </c>
      <c r="M14" s="31">
        <v>0.28048780487804881</v>
      </c>
      <c r="N14" s="31">
        <v>0.41666666666666669</v>
      </c>
      <c r="O14" s="31">
        <v>0.30434782608695654</v>
      </c>
      <c r="P14" s="31">
        <v>0.4375</v>
      </c>
    </row>
    <row r="15" spans="1:17" x14ac:dyDescent="0.4">
      <c r="A15" s="33">
        <v>12</v>
      </c>
      <c r="B15" s="30">
        <v>-155.1</v>
      </c>
      <c r="C15" s="30">
        <v>-12.924999999999999</v>
      </c>
      <c r="D15" s="35">
        <v>2.4166666666666665</v>
      </c>
      <c r="E15" s="31">
        <v>0.16666666666666666</v>
      </c>
      <c r="F15" s="31">
        <v>0.58333333333333337</v>
      </c>
      <c r="G15" s="31">
        <v>0.19318181818181818</v>
      </c>
      <c r="H15" s="31">
        <v>0.25</v>
      </c>
      <c r="I15" s="32">
        <v>8670.5882352941171</v>
      </c>
      <c r="J15" s="32">
        <v>-9190.9090909090901</v>
      </c>
      <c r="K15" s="31">
        <v>0.33333333333333331</v>
      </c>
      <c r="L15" s="31">
        <v>0.13636363636363635</v>
      </c>
      <c r="M15" s="31">
        <v>0.27272727272727271</v>
      </c>
      <c r="N15" s="31">
        <v>0.41666666666666669</v>
      </c>
      <c r="O15" s="31">
        <v>0.33333333333333331</v>
      </c>
      <c r="P15" s="31">
        <v>0.41176470588235292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2F817-B782-477D-90CA-D0D9EAB5A9BA}">
  <sheetPr codeName="Sheet30"/>
  <dimension ref="A1:Q3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191</v>
      </c>
      <c r="B1" s="34" t="s">
        <v>191</v>
      </c>
      <c r="C1" s="34" t="s">
        <v>191</v>
      </c>
      <c r="D1" s="35" t="s">
        <v>191</v>
      </c>
      <c r="E1" s="34" t="s">
        <v>191</v>
      </c>
      <c r="F1" s="34" t="s">
        <v>191</v>
      </c>
      <c r="G1" s="34" t="s">
        <v>191</v>
      </c>
      <c r="H1" s="34" t="s">
        <v>191</v>
      </c>
      <c r="I1" s="34" t="s">
        <v>191</v>
      </c>
      <c r="J1" s="34" t="s">
        <v>191</v>
      </c>
      <c r="K1" s="34" t="s">
        <v>191</v>
      </c>
      <c r="L1" s="34" t="s">
        <v>191</v>
      </c>
      <c r="M1" s="34" t="s">
        <v>191</v>
      </c>
      <c r="N1" s="34" t="s">
        <v>191</v>
      </c>
      <c r="O1" s="34" t="s">
        <v>191</v>
      </c>
      <c r="P1" s="34" t="s">
        <v>191</v>
      </c>
      <c r="Q1" s="34" t="s">
        <v>191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15</v>
      </c>
      <c r="C4" s="30">
        <v>15</v>
      </c>
      <c r="D4" s="35">
        <v>2</v>
      </c>
      <c r="E4" s="31">
        <v>0</v>
      </c>
      <c r="F4" s="31">
        <v>0</v>
      </c>
      <c r="G4" s="31">
        <v>0.2857142857142857</v>
      </c>
      <c r="H4" s="31">
        <v>0</v>
      </c>
      <c r="I4" s="32">
        <v>13000</v>
      </c>
      <c r="J4" s="32">
        <v>0</v>
      </c>
      <c r="K4" s="31">
        <v>0</v>
      </c>
      <c r="L4" s="31">
        <v>0</v>
      </c>
      <c r="M4" s="31">
        <v>0.8571428571428571</v>
      </c>
      <c r="N4" s="31">
        <v>0</v>
      </c>
      <c r="O4" s="31">
        <v>0.33333333333333331</v>
      </c>
      <c r="P4" s="31">
        <v>0</v>
      </c>
    </row>
    <row r="5" spans="1:17" x14ac:dyDescent="0.4">
      <c r="A5" s="33">
        <v>2</v>
      </c>
      <c r="B5" s="30">
        <v>-24.299999999999997</v>
      </c>
      <c r="C5" s="30">
        <v>-12.149999999999999</v>
      </c>
      <c r="D5" s="35">
        <v>2.5</v>
      </c>
      <c r="E5" s="31">
        <v>0</v>
      </c>
      <c r="F5" s="31">
        <v>0.5</v>
      </c>
      <c r="G5" s="31">
        <v>0.14285714285714285</v>
      </c>
      <c r="H5" s="31">
        <v>0.21428571428571427</v>
      </c>
      <c r="I5" s="32">
        <v>13000</v>
      </c>
      <c r="J5" s="32">
        <v>-8000</v>
      </c>
      <c r="K5" s="31">
        <v>0.5</v>
      </c>
      <c r="L5" s="31">
        <v>0</v>
      </c>
      <c r="M5" s="31">
        <v>0.5</v>
      </c>
      <c r="N5" s="31">
        <v>0</v>
      </c>
      <c r="O5" s="31">
        <v>0.2857142857142857</v>
      </c>
      <c r="P5" s="31">
        <v>0</v>
      </c>
    </row>
    <row r="6" spans="1:17" x14ac:dyDescent="0.4">
      <c r="A6" s="33">
        <v>3</v>
      </c>
      <c r="B6" s="30">
        <v>-15.599999999999998</v>
      </c>
      <c r="C6" s="30">
        <v>-5.1999999999999993</v>
      </c>
      <c r="D6" s="35">
        <v>2.3333333333333335</v>
      </c>
      <c r="E6" s="31">
        <v>0</v>
      </c>
      <c r="F6" s="31">
        <v>0.33333333333333331</v>
      </c>
      <c r="G6" s="31">
        <v>0.25</v>
      </c>
      <c r="H6" s="31">
        <v>0.20833333333333334</v>
      </c>
      <c r="I6" s="32">
        <v>9650</v>
      </c>
      <c r="J6" s="32">
        <v>-7940</v>
      </c>
      <c r="K6" s="31">
        <v>0.33333333333333331</v>
      </c>
      <c r="L6" s="31">
        <v>4.1666666666666664E-2</v>
      </c>
      <c r="M6" s="31">
        <v>0.54166666666666663</v>
      </c>
      <c r="N6" s="31">
        <v>0</v>
      </c>
      <c r="O6" s="31">
        <v>0.46153846153846156</v>
      </c>
      <c r="P6" s="31">
        <v>0</v>
      </c>
    </row>
    <row r="7" spans="1:17" x14ac:dyDescent="0.4">
      <c r="A7" s="33">
        <v>4</v>
      </c>
      <c r="B7" s="30">
        <v>5.1000000000000014</v>
      </c>
      <c r="C7" s="30">
        <v>1.2750000000000004</v>
      </c>
      <c r="D7" s="35">
        <v>2.25</v>
      </c>
      <c r="E7" s="31">
        <v>0</v>
      </c>
      <c r="F7" s="31">
        <v>0.25</v>
      </c>
      <c r="G7" s="31">
        <v>0.27586206896551724</v>
      </c>
      <c r="H7" s="31">
        <v>0.20689655172413793</v>
      </c>
      <c r="I7" s="32">
        <v>10237.5</v>
      </c>
      <c r="J7" s="32">
        <v>-7416.666666666667</v>
      </c>
      <c r="K7" s="31">
        <v>0.25</v>
      </c>
      <c r="L7" s="31">
        <v>6.8965517241379309E-2</v>
      </c>
      <c r="M7" s="31">
        <v>0.51724137931034486</v>
      </c>
      <c r="N7" s="31">
        <v>0.5</v>
      </c>
      <c r="O7" s="31">
        <v>0.46666666666666667</v>
      </c>
      <c r="P7" s="31">
        <v>0</v>
      </c>
    </row>
    <row r="8" spans="1:17" x14ac:dyDescent="0.4">
      <c r="A8" s="33">
        <v>5</v>
      </c>
      <c r="B8" s="30">
        <v>9.6000000000000014</v>
      </c>
      <c r="C8" s="30">
        <v>1.9200000000000004</v>
      </c>
      <c r="D8" s="35">
        <v>2.2000000000000002</v>
      </c>
      <c r="E8" s="31">
        <v>0</v>
      </c>
      <c r="F8" s="31">
        <v>0.2</v>
      </c>
      <c r="G8" s="31">
        <v>0.27272727272727271</v>
      </c>
      <c r="H8" s="31">
        <v>0.18181818181818182</v>
      </c>
      <c r="I8" s="32">
        <v>9988.8888888888887</v>
      </c>
      <c r="J8" s="32">
        <v>-7416.666666666667</v>
      </c>
      <c r="K8" s="31">
        <v>0.2</v>
      </c>
      <c r="L8" s="31">
        <v>6.0606060606060608E-2</v>
      </c>
      <c r="M8" s="31">
        <v>0.48484848484848486</v>
      </c>
      <c r="N8" s="31">
        <v>0.5</v>
      </c>
      <c r="O8" s="31">
        <v>0.5</v>
      </c>
      <c r="P8" s="31">
        <v>0</v>
      </c>
    </row>
    <row r="9" spans="1:17" x14ac:dyDescent="0.4">
      <c r="A9" s="33">
        <v>6</v>
      </c>
      <c r="B9" s="30">
        <v>2.2000000000000011</v>
      </c>
      <c r="C9" s="30">
        <v>0.36666666666666686</v>
      </c>
      <c r="D9" s="35">
        <v>2.3333333333333335</v>
      </c>
      <c r="E9" s="31">
        <v>0</v>
      </c>
      <c r="F9" s="31">
        <v>0.33333333333333331</v>
      </c>
      <c r="G9" s="31">
        <v>0.20930232558139536</v>
      </c>
      <c r="H9" s="31">
        <v>0.16279069767441862</v>
      </c>
      <c r="I9" s="32">
        <v>9988.8888888888887</v>
      </c>
      <c r="J9" s="32">
        <v>-6914.2857142857147</v>
      </c>
      <c r="K9" s="31">
        <v>0.16666666666666666</v>
      </c>
      <c r="L9" s="31">
        <v>6.9767441860465115E-2</v>
      </c>
      <c r="M9" s="31">
        <v>0.48837209302325579</v>
      </c>
      <c r="N9" s="31">
        <v>0.33333333333333331</v>
      </c>
      <c r="O9" s="31">
        <v>0.38095238095238093</v>
      </c>
      <c r="P9" s="31">
        <v>0</v>
      </c>
    </row>
    <row r="10" spans="1:17" x14ac:dyDescent="0.4">
      <c r="A10" s="33">
        <v>7</v>
      </c>
      <c r="B10" s="30">
        <v>27.200000000000003</v>
      </c>
      <c r="C10" s="30">
        <v>3.8857142857142861</v>
      </c>
      <c r="D10" s="35">
        <v>2.1428571428571428</v>
      </c>
      <c r="E10" s="31">
        <v>0.14285714285714285</v>
      </c>
      <c r="F10" s="31">
        <v>0.2857142857142857</v>
      </c>
      <c r="G10" s="31">
        <v>0.22916666666666666</v>
      </c>
      <c r="H10" s="31">
        <v>0.14583333333333334</v>
      </c>
      <c r="I10" s="32">
        <v>10354.545454545454</v>
      </c>
      <c r="J10" s="32">
        <v>-6914.2857142857147</v>
      </c>
      <c r="K10" s="31">
        <v>0.14285714285714285</v>
      </c>
      <c r="L10" s="31">
        <v>6.25E-2</v>
      </c>
      <c r="M10" s="31">
        <v>0.47916666666666669</v>
      </c>
      <c r="N10" s="31">
        <v>0.33333333333333331</v>
      </c>
      <c r="O10" s="31">
        <v>0.43478260869565216</v>
      </c>
      <c r="P10" s="31">
        <v>9.0909090909090912E-2</v>
      </c>
    </row>
    <row r="11" spans="1:17" x14ac:dyDescent="0.4">
      <c r="A11" s="33">
        <v>8</v>
      </c>
      <c r="B11" s="30">
        <v>-4.4999999999999964</v>
      </c>
      <c r="C11" s="30">
        <v>-0.56249999999999956</v>
      </c>
      <c r="D11" s="35">
        <v>2.25</v>
      </c>
      <c r="E11" s="31">
        <v>0.125</v>
      </c>
      <c r="F11" s="31">
        <v>0.375</v>
      </c>
      <c r="G11" s="31">
        <v>0.21052631578947367</v>
      </c>
      <c r="H11" s="31">
        <v>0.17543859649122806</v>
      </c>
      <c r="I11" s="32">
        <v>10158.333333333334</v>
      </c>
      <c r="J11" s="32">
        <v>-6560</v>
      </c>
      <c r="K11" s="31">
        <v>0.125</v>
      </c>
      <c r="L11" s="31">
        <v>7.0175438596491224E-2</v>
      </c>
      <c r="M11" s="31">
        <v>0.43859649122807015</v>
      </c>
      <c r="N11" s="31">
        <v>0.25</v>
      </c>
      <c r="O11" s="31">
        <v>0.4</v>
      </c>
      <c r="P11" s="31">
        <v>8.3333333333333329E-2</v>
      </c>
    </row>
    <row r="12" spans="1:17" x14ac:dyDescent="0.4">
      <c r="A12" s="33">
        <v>9</v>
      </c>
      <c r="B12" s="30">
        <v>-9.3999999999999968</v>
      </c>
      <c r="C12" s="30">
        <v>-1.0444444444444441</v>
      </c>
      <c r="D12" s="35">
        <v>2.2222222222222223</v>
      </c>
      <c r="E12" s="31">
        <v>0.1111111111111111</v>
      </c>
      <c r="F12" s="31">
        <v>0.33333333333333331</v>
      </c>
      <c r="G12" s="31">
        <v>0.22727272727272727</v>
      </c>
      <c r="H12" s="31">
        <v>0.16666666666666666</v>
      </c>
      <c r="I12" s="32">
        <v>9073.3333333333339</v>
      </c>
      <c r="J12" s="32">
        <v>-6200</v>
      </c>
      <c r="K12" s="31">
        <v>0.1111111111111111</v>
      </c>
      <c r="L12" s="31">
        <v>7.575757575757576E-2</v>
      </c>
      <c r="M12" s="31">
        <v>0.46969696969696972</v>
      </c>
      <c r="N12" s="31">
        <v>0.4</v>
      </c>
      <c r="O12" s="31">
        <v>0.38709677419354838</v>
      </c>
      <c r="P12" s="31">
        <v>6.6666666666666666E-2</v>
      </c>
    </row>
    <row r="13" spans="1:17" x14ac:dyDescent="0.4">
      <c r="A13" s="33">
        <v>10</v>
      </c>
      <c r="B13" s="30">
        <v>-24.299999999999997</v>
      </c>
      <c r="C13" s="30">
        <v>-2.4299999999999997</v>
      </c>
      <c r="D13" s="35">
        <v>2.2999999999999998</v>
      </c>
      <c r="E13" s="31">
        <v>0.1</v>
      </c>
      <c r="F13" s="31">
        <v>0.4</v>
      </c>
      <c r="G13" s="31">
        <v>0.23076923076923078</v>
      </c>
      <c r="H13" s="31">
        <v>0.15384615384615385</v>
      </c>
      <c r="I13" s="32">
        <v>8566.6666666666661</v>
      </c>
      <c r="J13" s="32">
        <v>-6350</v>
      </c>
      <c r="K13" s="31">
        <v>0.1</v>
      </c>
      <c r="L13" s="31">
        <v>0.10256410256410256</v>
      </c>
      <c r="M13" s="31">
        <v>0.47435897435897434</v>
      </c>
      <c r="N13" s="31">
        <v>0.5</v>
      </c>
      <c r="O13" s="31">
        <v>0.32432432432432434</v>
      </c>
      <c r="P13" s="31">
        <v>0.16666666666666666</v>
      </c>
    </row>
    <row r="14" spans="1:17" x14ac:dyDescent="0.4">
      <c r="A14" s="33">
        <v>11</v>
      </c>
      <c r="B14" s="30">
        <v>-70</v>
      </c>
      <c r="C14" s="30">
        <v>-6.3636363636363633</v>
      </c>
      <c r="D14" s="35">
        <v>2.3636363636363638</v>
      </c>
      <c r="E14" s="31">
        <v>9.0909090909090912E-2</v>
      </c>
      <c r="F14" s="31">
        <v>0.45454545454545453</v>
      </c>
      <c r="G14" s="31">
        <v>0.21176470588235294</v>
      </c>
      <c r="H14" s="31">
        <v>0.17647058823529413</v>
      </c>
      <c r="I14" s="32">
        <v>8566.6666666666661</v>
      </c>
      <c r="J14" s="32">
        <v>-7726.666666666667</v>
      </c>
      <c r="K14" s="31">
        <v>0.18181818181818182</v>
      </c>
      <c r="L14" s="31">
        <v>9.4117647058823528E-2</v>
      </c>
      <c r="M14" s="31">
        <v>0.47058823529411764</v>
      </c>
      <c r="N14" s="31">
        <v>0.5</v>
      </c>
      <c r="O14" s="31">
        <v>0.3</v>
      </c>
      <c r="P14" s="31">
        <v>0.16666666666666666</v>
      </c>
    </row>
    <row r="15" spans="1:17" x14ac:dyDescent="0.4">
      <c r="A15" s="33">
        <v>12</v>
      </c>
      <c r="B15" s="30">
        <v>-43.8</v>
      </c>
      <c r="C15" s="30">
        <v>-3.65</v>
      </c>
      <c r="D15" s="35">
        <v>2.25</v>
      </c>
      <c r="E15" s="31">
        <v>0.16666666666666666</v>
      </c>
      <c r="F15" s="31">
        <v>0.41666666666666669</v>
      </c>
      <c r="G15" s="31">
        <v>0.23404255319148937</v>
      </c>
      <c r="H15" s="31">
        <v>0.15957446808510639</v>
      </c>
      <c r="I15" s="32">
        <v>8427.2727272727279</v>
      </c>
      <c r="J15" s="32">
        <v>-7726.666666666667</v>
      </c>
      <c r="K15" s="31">
        <v>0.16666666666666666</v>
      </c>
      <c r="L15" s="31">
        <v>0.11702127659574468</v>
      </c>
      <c r="M15" s="31">
        <v>0.43617021276595747</v>
      </c>
      <c r="N15" s="31">
        <v>0.54545454545454541</v>
      </c>
      <c r="O15" s="31">
        <v>0.31707317073170732</v>
      </c>
      <c r="P15" s="31">
        <v>0.18181818181818182</v>
      </c>
    </row>
    <row r="16" spans="1:17" x14ac:dyDescent="0.4">
      <c r="A16" s="33">
        <v>13</v>
      </c>
      <c r="B16" s="30">
        <v>-11.099999999999994</v>
      </c>
      <c r="C16" s="30">
        <v>-0.85384615384615337</v>
      </c>
      <c r="D16" s="35">
        <v>2.1538461538461537</v>
      </c>
      <c r="E16" s="31">
        <v>0.23076923076923078</v>
      </c>
      <c r="F16" s="31">
        <v>0.38461538461538464</v>
      </c>
      <c r="G16" s="31">
        <v>0.25714285714285712</v>
      </c>
      <c r="H16" s="31">
        <v>0.16190476190476191</v>
      </c>
      <c r="I16" s="32">
        <v>9088.8888888888887</v>
      </c>
      <c r="J16" s="32">
        <v>-7364.7058823529414</v>
      </c>
      <c r="K16" s="31">
        <v>0.15384615384615385</v>
      </c>
      <c r="L16" s="31">
        <v>0.16190476190476191</v>
      </c>
      <c r="M16" s="31">
        <v>0.40952380952380951</v>
      </c>
      <c r="N16" s="31">
        <v>0.58823529411764708</v>
      </c>
      <c r="O16" s="31">
        <v>0.32558139534883723</v>
      </c>
      <c r="P16" s="31">
        <v>0.22222222222222221</v>
      </c>
    </row>
    <row r="17" spans="1:16" x14ac:dyDescent="0.4">
      <c r="A17" s="33">
        <v>14</v>
      </c>
      <c r="B17" s="30">
        <v>-5.7999999999999945</v>
      </c>
      <c r="C17" s="30">
        <v>-0.41428571428571387</v>
      </c>
      <c r="D17" s="35">
        <v>2.0714285714285716</v>
      </c>
      <c r="E17" s="31">
        <v>0.2857142857142857</v>
      </c>
      <c r="F17" s="31">
        <v>0.35714285714285715</v>
      </c>
      <c r="G17" s="31">
        <v>0.25438596491228072</v>
      </c>
      <c r="H17" s="31">
        <v>0.16666666666666666</v>
      </c>
      <c r="I17" s="32">
        <v>9703.4482758620688</v>
      </c>
      <c r="J17" s="32">
        <v>-7494.7368421052633</v>
      </c>
      <c r="K17" s="31">
        <v>0.14285714285714285</v>
      </c>
      <c r="L17" s="31">
        <v>0.17543859649122806</v>
      </c>
      <c r="M17" s="31">
        <v>0.41228070175438597</v>
      </c>
      <c r="N17" s="31">
        <v>0.6</v>
      </c>
      <c r="O17" s="31">
        <v>0.2978723404255319</v>
      </c>
      <c r="P17" s="31">
        <v>0.2413793103448276</v>
      </c>
    </row>
    <row r="18" spans="1:16" x14ac:dyDescent="0.4">
      <c r="A18" s="33">
        <v>15</v>
      </c>
      <c r="B18" s="30">
        <v>-44.199999999999996</v>
      </c>
      <c r="C18" s="30">
        <v>-2.9466666666666663</v>
      </c>
      <c r="D18" s="35">
        <v>2.1333333333333333</v>
      </c>
      <c r="E18" s="31">
        <v>0.26666666666666666</v>
      </c>
      <c r="F18" s="31">
        <v>0.4</v>
      </c>
      <c r="G18" s="31">
        <v>0.24576271186440679</v>
      </c>
      <c r="H18" s="31">
        <v>0.17796610169491525</v>
      </c>
      <c r="I18" s="32">
        <v>9703.4482758620688</v>
      </c>
      <c r="J18" s="32">
        <v>-8109.5238095238092</v>
      </c>
      <c r="K18" s="31">
        <v>0.2</v>
      </c>
      <c r="L18" s="31">
        <v>0.1864406779661017</v>
      </c>
      <c r="M18" s="31">
        <v>0.39830508474576271</v>
      </c>
      <c r="N18" s="31">
        <v>0.54545454545454541</v>
      </c>
      <c r="O18" s="31">
        <v>0.2978723404255319</v>
      </c>
      <c r="P18" s="31">
        <v>0.2413793103448276</v>
      </c>
    </row>
    <row r="19" spans="1:16" x14ac:dyDescent="0.4">
      <c r="A19" s="33">
        <v>16</v>
      </c>
      <c r="B19" s="30">
        <v>-25.599999999999994</v>
      </c>
      <c r="C19" s="30">
        <v>-1.5999999999999996</v>
      </c>
      <c r="D19" s="35">
        <v>2.0625</v>
      </c>
      <c r="E19" s="31">
        <v>0.3125</v>
      </c>
      <c r="F19" s="31">
        <v>0.375</v>
      </c>
      <c r="G19" s="31">
        <v>0.26400000000000001</v>
      </c>
      <c r="H19" s="31">
        <v>0.192</v>
      </c>
      <c r="I19" s="32">
        <v>10090.90909090909</v>
      </c>
      <c r="J19" s="32">
        <v>-8429.1666666666661</v>
      </c>
      <c r="K19" s="31">
        <v>0.1875</v>
      </c>
      <c r="L19" s="31">
        <v>0.2</v>
      </c>
      <c r="M19" s="31">
        <v>0.39200000000000002</v>
      </c>
      <c r="N19" s="31">
        <v>0.56000000000000005</v>
      </c>
      <c r="O19" s="31">
        <v>0.30612244897959184</v>
      </c>
      <c r="P19" s="31">
        <v>0.24242424242424243</v>
      </c>
    </row>
    <row r="20" spans="1:16" x14ac:dyDescent="0.4">
      <c r="A20" s="33">
        <v>17</v>
      </c>
      <c r="B20" s="30">
        <v>-39.799999999999997</v>
      </c>
      <c r="C20" s="30">
        <v>-2.341176470588235</v>
      </c>
      <c r="D20" s="35">
        <v>2.1176470588235294</v>
      </c>
      <c r="E20" s="31">
        <v>0.29411764705882354</v>
      </c>
      <c r="F20" s="31">
        <v>0.41176470588235292</v>
      </c>
      <c r="G20" s="31">
        <v>0.26119402985074625</v>
      </c>
      <c r="H20" s="31">
        <v>0.17910447761194029</v>
      </c>
      <c r="I20" s="32">
        <v>10022.857142857143</v>
      </c>
      <c r="J20" s="32">
        <v>-8429.1666666666661</v>
      </c>
      <c r="K20" s="31">
        <v>0.17647058823529413</v>
      </c>
      <c r="L20" s="31">
        <v>0.19402985074626866</v>
      </c>
      <c r="M20" s="31">
        <v>0.38059701492537312</v>
      </c>
      <c r="N20" s="31">
        <v>0.53846153846153844</v>
      </c>
      <c r="O20" s="31">
        <v>0.33333333333333331</v>
      </c>
      <c r="P20" s="31">
        <v>0.25714285714285712</v>
      </c>
    </row>
    <row r="21" spans="1:16" x14ac:dyDescent="0.4">
      <c r="A21" s="33">
        <v>18</v>
      </c>
      <c r="B21" s="30">
        <v>-60.4</v>
      </c>
      <c r="C21" s="30">
        <v>-3.3555555555555556</v>
      </c>
      <c r="D21" s="35">
        <v>2.1666666666666665</v>
      </c>
      <c r="E21" s="31">
        <v>0.27777777777777779</v>
      </c>
      <c r="F21" s="31">
        <v>0.44444444444444442</v>
      </c>
      <c r="G21" s="31">
        <v>0.25874125874125875</v>
      </c>
      <c r="H21" s="31">
        <v>0.16783216783216784</v>
      </c>
      <c r="I21" s="32">
        <v>9729.72972972973</v>
      </c>
      <c r="J21" s="32">
        <v>-8429.1666666666661</v>
      </c>
      <c r="K21" s="31">
        <v>0.16666666666666666</v>
      </c>
      <c r="L21" s="31">
        <v>0.18181818181818182</v>
      </c>
      <c r="M21" s="31">
        <v>0.3776223776223776</v>
      </c>
      <c r="N21" s="31">
        <v>0.53846153846153844</v>
      </c>
      <c r="O21" s="31">
        <v>0.33333333333333331</v>
      </c>
      <c r="P21" s="31">
        <v>0.29729729729729731</v>
      </c>
    </row>
    <row r="22" spans="1:16" x14ac:dyDescent="0.4">
      <c r="A22" s="33">
        <v>19</v>
      </c>
      <c r="B22" s="30">
        <v>-60</v>
      </c>
      <c r="C22" s="30">
        <v>-3.1578947368421053</v>
      </c>
      <c r="D22" s="35">
        <v>2.1578947368421053</v>
      </c>
      <c r="E22" s="31">
        <v>0.26315789473684209</v>
      </c>
      <c r="F22" s="31">
        <v>0.42105263157894735</v>
      </c>
      <c r="G22" s="31">
        <v>0.26490066225165565</v>
      </c>
      <c r="H22" s="31">
        <v>0.17218543046357615</v>
      </c>
      <c r="I22" s="32">
        <v>9597.5</v>
      </c>
      <c r="J22" s="32">
        <v>-8165.3846153846152</v>
      </c>
      <c r="K22" s="31">
        <v>0.15789473684210525</v>
      </c>
      <c r="L22" s="31">
        <v>0.17880794701986755</v>
      </c>
      <c r="M22" s="31">
        <v>0.38410596026490068</v>
      </c>
      <c r="N22" s="31">
        <v>0.51851851851851849</v>
      </c>
      <c r="O22" s="31">
        <v>0.36206896551724138</v>
      </c>
      <c r="P22" s="31">
        <v>0.27500000000000002</v>
      </c>
    </row>
    <row r="23" spans="1:16" x14ac:dyDescent="0.4">
      <c r="A23" s="33">
        <v>20</v>
      </c>
      <c r="B23" s="30">
        <v>-88.2</v>
      </c>
      <c r="C23" s="30">
        <v>-4.41</v>
      </c>
      <c r="D23" s="35">
        <v>2.2000000000000002</v>
      </c>
      <c r="E23" s="31">
        <v>0.25</v>
      </c>
      <c r="F23" s="31">
        <v>0.45</v>
      </c>
      <c r="G23" s="31">
        <v>0.25308641975308643</v>
      </c>
      <c r="H23" s="31">
        <v>0.1728395061728395</v>
      </c>
      <c r="I23" s="32">
        <v>9509.7560975609758</v>
      </c>
      <c r="J23" s="32">
        <v>-7839.2857142857147</v>
      </c>
      <c r="K23" s="31">
        <v>0.15</v>
      </c>
      <c r="L23" s="31">
        <v>0.16666666666666666</v>
      </c>
      <c r="M23" s="31">
        <v>0.3888888888888889</v>
      </c>
      <c r="N23" s="31">
        <v>0.51851851851851849</v>
      </c>
      <c r="O23" s="31">
        <v>0.33333333333333331</v>
      </c>
      <c r="P23" s="31">
        <v>0.29268292682926828</v>
      </c>
    </row>
    <row r="24" spans="1:16" x14ac:dyDescent="0.4">
      <c r="A24" s="33">
        <v>21</v>
      </c>
      <c r="B24" s="30">
        <v>-125.80000000000001</v>
      </c>
      <c r="C24" s="30">
        <v>-5.9904761904761914</v>
      </c>
      <c r="D24" s="35">
        <v>2.2380952380952381</v>
      </c>
      <c r="E24" s="31">
        <v>0.23809523809523808</v>
      </c>
      <c r="F24" s="31">
        <v>0.47619047619047616</v>
      </c>
      <c r="G24" s="31">
        <v>0.24260355029585798</v>
      </c>
      <c r="H24" s="31">
        <v>0.17751479289940827</v>
      </c>
      <c r="I24" s="32">
        <v>9509.7560975609758</v>
      </c>
      <c r="J24" s="32">
        <v>-7703.333333333333</v>
      </c>
      <c r="K24" s="31">
        <v>0.19047619047619047</v>
      </c>
      <c r="L24" s="31">
        <v>0.15976331360946747</v>
      </c>
      <c r="M24" s="31">
        <v>0.38461538461538464</v>
      </c>
      <c r="N24" s="31">
        <v>0.51851851851851849</v>
      </c>
      <c r="O24" s="31">
        <v>0.32307692307692309</v>
      </c>
      <c r="P24" s="31">
        <v>0.29268292682926828</v>
      </c>
    </row>
    <row r="25" spans="1:16" x14ac:dyDescent="0.4">
      <c r="A25" s="33">
        <v>22</v>
      </c>
      <c r="B25" s="30">
        <v>-149.30000000000001</v>
      </c>
      <c r="C25" s="30">
        <v>-6.786363636363637</v>
      </c>
      <c r="D25" s="35">
        <v>2.2727272727272729</v>
      </c>
      <c r="E25" s="31">
        <v>0.22727272727272727</v>
      </c>
      <c r="F25" s="31">
        <v>0.5</v>
      </c>
      <c r="G25" s="31">
        <v>0.23728813559322035</v>
      </c>
      <c r="H25" s="31">
        <v>0.1751412429378531</v>
      </c>
      <c r="I25" s="32">
        <v>9473.8095238095229</v>
      </c>
      <c r="J25" s="32">
        <v>-7712.9032258064517</v>
      </c>
      <c r="K25" s="31">
        <v>0.18181818181818182</v>
      </c>
      <c r="L25" s="31">
        <v>0.15819209039548024</v>
      </c>
      <c r="M25" s="31">
        <v>0.38983050847457629</v>
      </c>
      <c r="N25" s="31">
        <v>0.5</v>
      </c>
      <c r="O25" s="31">
        <v>0.3188405797101449</v>
      </c>
      <c r="P25" s="31">
        <v>0.2857142857142857</v>
      </c>
    </row>
    <row r="26" spans="1:16" x14ac:dyDescent="0.4">
      <c r="A26" s="33">
        <v>23</v>
      </c>
      <c r="B26" s="30">
        <v>-150.30000000000001</v>
      </c>
      <c r="C26" s="30">
        <v>-6.5347826086956529</v>
      </c>
      <c r="D26" s="35">
        <v>2.2608695652173911</v>
      </c>
      <c r="E26" s="31">
        <v>0.21739130434782608</v>
      </c>
      <c r="F26" s="31">
        <v>0.47826086956521741</v>
      </c>
      <c r="G26" s="31">
        <v>0.23243243243243245</v>
      </c>
      <c r="H26" s="31">
        <v>0.16756756756756758</v>
      </c>
      <c r="I26" s="32">
        <v>9532.5581395348836</v>
      </c>
      <c r="J26" s="32">
        <v>-7712.9032258064517</v>
      </c>
      <c r="K26" s="31">
        <v>0.17391304347826086</v>
      </c>
      <c r="L26" s="31">
        <v>0.15135135135135136</v>
      </c>
      <c r="M26" s="31">
        <v>0.38918918918918921</v>
      </c>
      <c r="N26" s="31">
        <v>0.5</v>
      </c>
      <c r="O26" s="31">
        <v>0.31944444444444442</v>
      </c>
      <c r="P26" s="31">
        <v>0.27906976744186046</v>
      </c>
    </row>
    <row r="27" spans="1:16" x14ac:dyDescent="0.4">
      <c r="A27" s="33">
        <v>24</v>
      </c>
      <c r="B27" s="30">
        <v>-196.10000000000002</v>
      </c>
      <c r="C27" s="30">
        <v>-8.1708333333333343</v>
      </c>
      <c r="D27" s="35">
        <v>2.2916666666666665</v>
      </c>
      <c r="E27" s="31">
        <v>0.20833333333333334</v>
      </c>
      <c r="F27" s="31">
        <v>0.5</v>
      </c>
      <c r="G27" s="31">
        <v>0.23036649214659685</v>
      </c>
      <c r="H27" s="31">
        <v>0.16753926701570682</v>
      </c>
      <c r="I27" s="32">
        <v>9343.181818181818</v>
      </c>
      <c r="J27" s="32">
        <v>-8221.875</v>
      </c>
      <c r="K27" s="31">
        <v>0.20833333333333334</v>
      </c>
      <c r="L27" s="31">
        <v>0.15183246073298429</v>
      </c>
      <c r="M27" s="31">
        <v>0.39267015706806285</v>
      </c>
      <c r="N27" s="31">
        <v>0.48275862068965519</v>
      </c>
      <c r="O27" s="31">
        <v>0.32</v>
      </c>
      <c r="P27" s="31">
        <v>0.29545454545454547</v>
      </c>
    </row>
    <row r="28" spans="1:16" x14ac:dyDescent="0.4">
      <c r="A28" s="33">
        <v>25</v>
      </c>
      <c r="B28" s="30">
        <v>-240.00000000000003</v>
      </c>
      <c r="C28" s="30">
        <v>-9.6000000000000014</v>
      </c>
      <c r="D28" s="35">
        <v>2.3199999999999998</v>
      </c>
      <c r="E28" s="31">
        <v>0.2</v>
      </c>
      <c r="F28" s="31">
        <v>0.52</v>
      </c>
      <c r="G28" s="31">
        <v>0.22448979591836735</v>
      </c>
      <c r="H28" s="31">
        <v>0.17346938775510204</v>
      </c>
      <c r="I28" s="32">
        <v>9343.181818181818</v>
      </c>
      <c r="J28" s="32">
        <v>-8441.176470588236</v>
      </c>
      <c r="K28" s="31">
        <v>0.24</v>
      </c>
      <c r="L28" s="31">
        <v>0.15306122448979592</v>
      </c>
      <c r="M28" s="31">
        <v>0.38775510204081631</v>
      </c>
      <c r="N28" s="31">
        <v>0.46666666666666667</v>
      </c>
      <c r="O28" s="31">
        <v>0.31578947368421051</v>
      </c>
      <c r="P28" s="31">
        <v>0.29545454545454547</v>
      </c>
    </row>
    <row r="29" spans="1:16" x14ac:dyDescent="0.4">
      <c r="A29" s="33">
        <v>26</v>
      </c>
      <c r="B29" s="30">
        <v>-277</v>
      </c>
      <c r="C29" s="30">
        <v>-10.653846153846153</v>
      </c>
      <c r="D29" s="35">
        <v>2.3461538461538463</v>
      </c>
      <c r="E29" s="31">
        <v>0.19230769230769232</v>
      </c>
      <c r="F29" s="31">
        <v>0.53846153846153844</v>
      </c>
      <c r="G29" s="31">
        <v>0.21463414634146341</v>
      </c>
      <c r="H29" s="31">
        <v>0.17560975609756097</v>
      </c>
      <c r="I29" s="32">
        <v>9343.181818181818</v>
      </c>
      <c r="J29" s="32">
        <v>-8750</v>
      </c>
      <c r="K29" s="31">
        <v>0.26923076923076922</v>
      </c>
      <c r="L29" s="31">
        <v>0.15121951219512195</v>
      </c>
      <c r="M29" s="31">
        <v>0.38536585365853659</v>
      </c>
      <c r="N29" s="31">
        <v>0.45161290322580644</v>
      </c>
      <c r="O29" s="31">
        <v>0.30379746835443039</v>
      </c>
      <c r="P29" s="31">
        <v>0.29545454545454547</v>
      </c>
    </row>
    <row r="30" spans="1:16" x14ac:dyDescent="0.4">
      <c r="A30" s="33">
        <v>27</v>
      </c>
      <c r="B30" s="30">
        <v>-266.7</v>
      </c>
      <c r="C30" s="30">
        <v>-9.8777777777777782</v>
      </c>
      <c r="D30" s="35">
        <v>2.2962962962962963</v>
      </c>
      <c r="E30" s="31">
        <v>0.22222222222222221</v>
      </c>
      <c r="F30" s="31">
        <v>0.51851851851851849</v>
      </c>
      <c r="G30" s="31">
        <v>0.22169811320754718</v>
      </c>
      <c r="H30" s="31">
        <v>0.17924528301886791</v>
      </c>
      <c r="I30" s="32">
        <v>9342.5531914893618</v>
      </c>
      <c r="J30" s="32">
        <v>-8636.8421052631584</v>
      </c>
      <c r="K30" s="31">
        <v>0.25925925925925924</v>
      </c>
      <c r="L30" s="31">
        <v>0.15094339622641509</v>
      </c>
      <c r="M30" s="31">
        <v>0.39150943396226418</v>
      </c>
      <c r="N30" s="31">
        <v>0.46875</v>
      </c>
      <c r="O30" s="31">
        <v>0.31325301204819278</v>
      </c>
      <c r="P30" s="31">
        <v>0.2978723404255319</v>
      </c>
    </row>
    <row r="31" spans="1:16" x14ac:dyDescent="0.4">
      <c r="A31" s="33">
        <v>28</v>
      </c>
      <c r="B31" s="30">
        <v>-283.7</v>
      </c>
      <c r="C31" s="30">
        <v>-10.132142857142856</v>
      </c>
      <c r="D31" s="35">
        <v>2.3214285714285716</v>
      </c>
      <c r="E31" s="31">
        <v>0.21428571428571427</v>
      </c>
      <c r="F31" s="31">
        <v>0.5357142857142857</v>
      </c>
      <c r="G31" s="31">
        <v>0.22272727272727272</v>
      </c>
      <c r="H31" s="31">
        <v>0.18181818181818182</v>
      </c>
      <c r="I31" s="32">
        <v>9085.7142857142862</v>
      </c>
      <c r="J31" s="32">
        <v>-8570</v>
      </c>
      <c r="K31" s="31">
        <v>0.25</v>
      </c>
      <c r="L31" s="31">
        <v>0.15</v>
      </c>
      <c r="M31" s="31">
        <v>0.39545454545454545</v>
      </c>
      <c r="N31" s="31">
        <v>0.45454545454545453</v>
      </c>
      <c r="O31" s="31">
        <v>0.32183908045977011</v>
      </c>
      <c r="P31" s="31">
        <v>0.32653061224489793</v>
      </c>
    </row>
    <row r="32" spans="1:16" x14ac:dyDescent="0.4">
      <c r="A32" s="33">
        <v>29</v>
      </c>
      <c r="B32" s="30">
        <v>-251.2</v>
      </c>
      <c r="C32" s="30">
        <v>-8.6620689655172409</v>
      </c>
      <c r="D32" s="35">
        <v>2.2758620689655173</v>
      </c>
      <c r="E32" s="31">
        <v>0.2413793103448276</v>
      </c>
      <c r="F32" s="31">
        <v>0.51724137931034486</v>
      </c>
      <c r="G32" s="31">
        <v>0.22421524663677131</v>
      </c>
      <c r="H32" s="31">
        <v>0.17937219730941703</v>
      </c>
      <c r="I32" s="32">
        <v>9544</v>
      </c>
      <c r="J32" s="32">
        <v>-8570</v>
      </c>
      <c r="K32" s="31">
        <v>0.2413793103448276</v>
      </c>
      <c r="L32" s="31">
        <v>0.14798206278026907</v>
      </c>
      <c r="M32" s="31">
        <v>0.39461883408071746</v>
      </c>
      <c r="N32" s="31">
        <v>0.45454545454545453</v>
      </c>
      <c r="O32" s="31">
        <v>0.31818181818181818</v>
      </c>
      <c r="P32" s="31">
        <v>0.32</v>
      </c>
    </row>
    <row r="33" spans="1:16" x14ac:dyDescent="0.4">
      <c r="A33" s="33">
        <v>30</v>
      </c>
      <c r="B33" s="30">
        <v>-287.89999999999998</v>
      </c>
      <c r="C33" s="30">
        <v>-9.5966666666666658</v>
      </c>
      <c r="D33" s="35">
        <v>2.2999999999999998</v>
      </c>
      <c r="E33" s="31">
        <v>0.23333333333333334</v>
      </c>
      <c r="F33" s="31">
        <v>0.53333333333333333</v>
      </c>
      <c r="G33" s="31">
        <v>0.2183406113537118</v>
      </c>
      <c r="H33" s="31">
        <v>0.18340611353711792</v>
      </c>
      <c r="I33" s="32">
        <v>9544</v>
      </c>
      <c r="J33" s="32">
        <v>-8714.2857142857138</v>
      </c>
      <c r="K33" s="31">
        <v>0.26666666666666666</v>
      </c>
      <c r="L33" s="31">
        <v>0.14847161572052403</v>
      </c>
      <c r="M33" s="31">
        <v>0.3930131004366812</v>
      </c>
      <c r="N33" s="31">
        <v>0.44117647058823528</v>
      </c>
      <c r="O33" s="31">
        <v>0.31111111111111112</v>
      </c>
      <c r="P33" s="31">
        <v>0.32</v>
      </c>
    </row>
    <row r="34" spans="1:16" x14ac:dyDescent="0.4">
      <c r="A34" s="33">
        <v>31</v>
      </c>
      <c r="B34" s="30">
        <v>-334.9</v>
      </c>
      <c r="C34" s="30">
        <v>-10.803225806451612</v>
      </c>
      <c r="D34" s="35">
        <v>2.3225806451612905</v>
      </c>
      <c r="E34" s="31">
        <v>0.22580645161290322</v>
      </c>
      <c r="F34" s="31">
        <v>0.54838709677419351</v>
      </c>
      <c r="G34" s="31">
        <v>0.21008403361344538</v>
      </c>
      <c r="H34" s="31">
        <v>0.19327731092436976</v>
      </c>
      <c r="I34" s="32">
        <v>9544</v>
      </c>
      <c r="J34" s="32">
        <v>-8586.95652173913</v>
      </c>
      <c r="K34" s="31">
        <v>0.29032258064516131</v>
      </c>
      <c r="L34" s="31">
        <v>0.14285714285714285</v>
      </c>
      <c r="M34" s="31">
        <v>0.40336134453781514</v>
      </c>
      <c r="N34" s="31">
        <v>0.44117647058823528</v>
      </c>
      <c r="O34" s="31">
        <v>0.29166666666666669</v>
      </c>
      <c r="P34" s="31">
        <v>0.32</v>
      </c>
    </row>
    <row r="35" spans="1:16" x14ac:dyDescent="0.4">
      <c r="A35" s="33">
        <v>32</v>
      </c>
      <c r="B35" s="30">
        <v>-360.79999999999995</v>
      </c>
      <c r="C35" s="30">
        <v>-11.274999999999999</v>
      </c>
      <c r="D35" s="35">
        <v>2.34375</v>
      </c>
      <c r="E35" s="31">
        <v>0.21875</v>
      </c>
      <c r="F35" s="31">
        <v>0.5625</v>
      </c>
      <c r="G35" s="31">
        <v>0.20491803278688525</v>
      </c>
      <c r="H35" s="31">
        <v>0.19672131147540983</v>
      </c>
      <c r="I35" s="32">
        <v>9544</v>
      </c>
      <c r="J35" s="32">
        <v>-8533.3333333333339</v>
      </c>
      <c r="K35" s="31">
        <v>0.28125</v>
      </c>
      <c r="L35" s="31">
        <v>0.13934426229508196</v>
      </c>
      <c r="M35" s="31">
        <v>0.39344262295081966</v>
      </c>
      <c r="N35" s="31">
        <v>0.44117647058823528</v>
      </c>
      <c r="O35" s="31">
        <v>0.29166666666666669</v>
      </c>
      <c r="P35" s="31">
        <v>0.32</v>
      </c>
    </row>
    <row r="36" spans="1:16" x14ac:dyDescent="0.4">
      <c r="A36" s="33">
        <v>33</v>
      </c>
      <c r="B36" s="30">
        <v>-386.69999999999993</v>
      </c>
      <c r="C36" s="30">
        <v>-11.718181818181817</v>
      </c>
      <c r="D36" s="35">
        <v>2.3636363636363638</v>
      </c>
      <c r="E36" s="31">
        <v>0.21212121212121213</v>
      </c>
      <c r="F36" s="31">
        <v>0.5757575757575758</v>
      </c>
      <c r="G36" s="31">
        <v>0.20078740157480315</v>
      </c>
      <c r="H36" s="31">
        <v>0.19685039370078741</v>
      </c>
      <c r="I36" s="32">
        <v>9827.4509803921574</v>
      </c>
      <c r="J36" s="32">
        <v>-8630</v>
      </c>
      <c r="K36" s="31">
        <v>0.27272727272727271</v>
      </c>
      <c r="L36" s="31">
        <v>0.13779527559055119</v>
      </c>
      <c r="M36" s="31">
        <v>0.37795275590551181</v>
      </c>
      <c r="N36" s="31">
        <v>0.45714285714285713</v>
      </c>
      <c r="O36" s="31">
        <v>0.29166666666666669</v>
      </c>
      <c r="P36" s="31">
        <v>0.33333333333333331</v>
      </c>
    </row>
    <row r="37" spans="1:16" x14ac:dyDescent="0.4">
      <c r="A37" s="33">
        <v>34</v>
      </c>
      <c r="B37" s="30">
        <v>-412.99999999999994</v>
      </c>
      <c r="C37" s="30">
        <v>-12.147058823529409</v>
      </c>
      <c r="D37" s="35">
        <v>2.3823529411764706</v>
      </c>
      <c r="E37" s="31">
        <v>0.20588235294117646</v>
      </c>
      <c r="F37" s="31">
        <v>0.58823529411764708</v>
      </c>
      <c r="G37" s="31">
        <v>0.2</v>
      </c>
      <c r="H37" s="31">
        <v>0.19245283018867926</v>
      </c>
      <c r="I37" s="32">
        <v>9637.7358490566039</v>
      </c>
      <c r="J37" s="32">
        <v>-8617.6470588235297</v>
      </c>
      <c r="K37" s="31">
        <v>0.26470588235294118</v>
      </c>
      <c r="L37" s="31">
        <v>0.13962264150943396</v>
      </c>
      <c r="M37" s="31">
        <v>0.37358490566037733</v>
      </c>
      <c r="N37" s="31">
        <v>0.45945945945945948</v>
      </c>
      <c r="O37" s="31">
        <v>0.28282828282828282</v>
      </c>
      <c r="P37" s="31">
        <v>0.33962264150943394</v>
      </c>
    </row>
    <row r="38" spans="1:16" x14ac:dyDescent="0.4">
      <c r="A38" s="33">
        <v>35</v>
      </c>
      <c r="B38" s="30">
        <v>-448.39999999999992</v>
      </c>
      <c r="C38" s="30">
        <v>-12.81142857142857</v>
      </c>
      <c r="D38" s="35">
        <v>2.4</v>
      </c>
      <c r="E38" s="31">
        <v>0.2</v>
      </c>
      <c r="F38" s="31">
        <v>0.6</v>
      </c>
      <c r="G38" s="31">
        <v>0.19926199261992619</v>
      </c>
      <c r="H38" s="31">
        <v>0.1918819188191882</v>
      </c>
      <c r="I38" s="32">
        <v>9498.1481481481478</v>
      </c>
      <c r="J38" s="32">
        <v>-8605.7692307692305</v>
      </c>
      <c r="K38" s="31">
        <v>0.2857142857142857</v>
      </c>
      <c r="L38" s="31">
        <v>0.13653136531365315</v>
      </c>
      <c r="M38" s="31">
        <v>0.36531365313653136</v>
      </c>
      <c r="N38" s="31">
        <v>0.45945945945945948</v>
      </c>
      <c r="O38" s="31">
        <v>0.28282828282828282</v>
      </c>
      <c r="P38" s="31">
        <v>0.35185185185185186</v>
      </c>
    </row>
    <row r="39" spans="1:16" x14ac:dyDescent="0.4">
      <c r="A39" s="33">
        <v>36</v>
      </c>
      <c r="B39" s="30">
        <v>-454.89999999999992</v>
      </c>
      <c r="C39" s="30">
        <v>-12.636111111111109</v>
      </c>
      <c r="D39" s="35">
        <v>2.3888888888888888</v>
      </c>
      <c r="E39" s="31">
        <v>0.19444444444444445</v>
      </c>
      <c r="F39" s="31">
        <v>0.58333333333333337</v>
      </c>
      <c r="G39" s="31">
        <v>0.20071684587813621</v>
      </c>
      <c r="H39" s="31">
        <v>0.18996415770609318</v>
      </c>
      <c r="I39" s="32">
        <v>9373.2142857142862</v>
      </c>
      <c r="J39" s="32">
        <v>-8745.2830188679254</v>
      </c>
      <c r="K39" s="31">
        <v>0.27777777777777779</v>
      </c>
      <c r="L39" s="31">
        <v>0.13978494623655913</v>
      </c>
      <c r="M39" s="31">
        <v>0.35483870967741937</v>
      </c>
      <c r="N39" s="31">
        <v>0.46153846153846156</v>
      </c>
      <c r="O39" s="31">
        <v>0.28282828282828282</v>
      </c>
      <c r="P39" s="31">
        <v>0.375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B8B06-5969-4612-AA3F-F5742628E71F}">
  <sheetPr codeName="Sheet28"/>
  <dimension ref="A1:Q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246</v>
      </c>
      <c r="B1" s="34" t="s">
        <v>246</v>
      </c>
      <c r="C1" s="34" t="s">
        <v>246</v>
      </c>
      <c r="D1" s="35" t="s">
        <v>246</v>
      </c>
      <c r="E1" s="34" t="s">
        <v>246</v>
      </c>
      <c r="F1" s="34" t="s">
        <v>246</v>
      </c>
      <c r="G1" s="34" t="s">
        <v>246</v>
      </c>
      <c r="H1" s="34" t="s">
        <v>246</v>
      </c>
      <c r="I1" s="34" t="s">
        <v>246</v>
      </c>
      <c r="J1" s="34" t="s">
        <v>246</v>
      </c>
      <c r="K1" s="34" t="s">
        <v>246</v>
      </c>
      <c r="L1" s="34" t="s">
        <v>246</v>
      </c>
      <c r="M1" s="34" t="s">
        <v>246</v>
      </c>
      <c r="N1" s="34" t="s">
        <v>246</v>
      </c>
      <c r="O1" s="34" t="s">
        <v>246</v>
      </c>
      <c r="P1" s="34" t="s">
        <v>246</v>
      </c>
      <c r="Q1" s="34" t="s">
        <v>246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28.3</v>
      </c>
      <c r="C4" s="30">
        <v>28.3</v>
      </c>
      <c r="D4" s="35">
        <v>1</v>
      </c>
      <c r="E4" s="31">
        <v>1</v>
      </c>
      <c r="F4" s="31">
        <v>0</v>
      </c>
      <c r="G4" s="31">
        <v>0.54545454545454541</v>
      </c>
      <c r="H4" s="31">
        <v>9.0909090909090912E-2</v>
      </c>
      <c r="I4" s="32">
        <v>7133.333333333333</v>
      </c>
      <c r="J4" s="32">
        <v>-8000</v>
      </c>
      <c r="K4" s="31">
        <v>0</v>
      </c>
      <c r="L4" s="31">
        <v>0.45454545454545453</v>
      </c>
      <c r="M4" s="31">
        <v>0.18181818181818182</v>
      </c>
      <c r="N4" s="31">
        <v>0.8</v>
      </c>
      <c r="O4" s="31">
        <v>0.5</v>
      </c>
      <c r="P4" s="31">
        <v>0.16666666666666666</v>
      </c>
    </row>
    <row r="5" spans="1:17" x14ac:dyDescent="0.4">
      <c r="A5" s="33">
        <v>2</v>
      </c>
      <c r="B5" s="30">
        <v>71.3</v>
      </c>
      <c r="C5" s="30">
        <v>35.65</v>
      </c>
      <c r="D5" s="35">
        <v>1</v>
      </c>
      <c r="E5" s="31">
        <v>1</v>
      </c>
      <c r="F5" s="31">
        <v>0</v>
      </c>
      <c r="G5" s="31">
        <v>0.5714285714285714</v>
      </c>
      <c r="H5" s="31">
        <v>7.1428571428571425E-2</v>
      </c>
      <c r="I5" s="32">
        <v>10850</v>
      </c>
      <c r="J5" s="32">
        <v>-8000</v>
      </c>
      <c r="K5" s="31">
        <v>0</v>
      </c>
      <c r="L5" s="31">
        <v>0.5714285714285714</v>
      </c>
      <c r="M5" s="31">
        <v>0.14285714285714285</v>
      </c>
      <c r="N5" s="31">
        <v>0.75</v>
      </c>
      <c r="O5" s="31">
        <v>0.5</v>
      </c>
      <c r="P5" s="31">
        <v>0.125</v>
      </c>
    </row>
    <row r="6" spans="1:17" x14ac:dyDescent="0.4">
      <c r="A6" s="33">
        <v>3</v>
      </c>
      <c r="B6" s="30">
        <v>57.3</v>
      </c>
      <c r="C6" s="30">
        <v>19.099999999999998</v>
      </c>
      <c r="D6" s="35">
        <v>1.6666666666666667</v>
      </c>
      <c r="E6" s="31">
        <v>0.66666666666666663</v>
      </c>
      <c r="F6" s="31">
        <v>0.33333333333333331</v>
      </c>
      <c r="G6" s="31">
        <v>0.40740740740740738</v>
      </c>
      <c r="H6" s="31">
        <v>7.407407407407407E-2</v>
      </c>
      <c r="I6" s="32">
        <v>10181.818181818182</v>
      </c>
      <c r="J6" s="32">
        <v>-6600</v>
      </c>
      <c r="K6" s="31">
        <v>0</v>
      </c>
      <c r="L6" s="31">
        <v>0.48148148148148145</v>
      </c>
      <c r="M6" s="31">
        <v>0.14814814814814814</v>
      </c>
      <c r="N6" s="31">
        <v>0.69230769230769229</v>
      </c>
      <c r="O6" s="31">
        <v>0.25</v>
      </c>
      <c r="P6" s="31">
        <v>0.18181818181818182</v>
      </c>
    </row>
    <row r="7" spans="1:17" x14ac:dyDescent="0.4">
      <c r="A7" s="33">
        <v>4</v>
      </c>
      <c r="B7" s="30">
        <v>65.5</v>
      </c>
      <c r="C7" s="30">
        <v>16.375</v>
      </c>
      <c r="D7" s="35">
        <v>1.75</v>
      </c>
      <c r="E7" s="31">
        <v>0.5</v>
      </c>
      <c r="F7" s="31">
        <v>0.25</v>
      </c>
      <c r="G7" s="31">
        <v>0.40540540540540543</v>
      </c>
      <c r="H7" s="31">
        <v>5.4054054054054057E-2</v>
      </c>
      <c r="I7" s="32">
        <v>9013.3333333333339</v>
      </c>
      <c r="J7" s="32">
        <v>-6600</v>
      </c>
      <c r="K7" s="31">
        <v>0</v>
      </c>
      <c r="L7" s="31">
        <v>0.43243243243243246</v>
      </c>
      <c r="M7" s="31">
        <v>0.13513513513513514</v>
      </c>
      <c r="N7" s="31">
        <v>0.6875</v>
      </c>
      <c r="O7" s="31">
        <v>0.4</v>
      </c>
      <c r="P7" s="31">
        <v>0.26666666666666666</v>
      </c>
    </row>
    <row r="8" spans="1:17" x14ac:dyDescent="0.4">
      <c r="A8" s="33">
        <v>5</v>
      </c>
      <c r="B8" s="30">
        <v>90</v>
      </c>
      <c r="C8" s="30">
        <v>18</v>
      </c>
      <c r="D8" s="35">
        <v>1.6</v>
      </c>
      <c r="E8" s="31">
        <v>0.6</v>
      </c>
      <c r="F8" s="31">
        <v>0.2</v>
      </c>
      <c r="G8" s="31">
        <v>0.39130434782608697</v>
      </c>
      <c r="H8" s="31">
        <v>6.5217391304347824E-2</v>
      </c>
      <c r="I8" s="32">
        <v>9227.7777777777774</v>
      </c>
      <c r="J8" s="32">
        <v>-5366.666666666667</v>
      </c>
      <c r="K8" s="31">
        <v>0</v>
      </c>
      <c r="L8" s="31">
        <v>0.43478260869565216</v>
      </c>
      <c r="M8" s="31">
        <v>0.13043478260869565</v>
      </c>
      <c r="N8" s="31">
        <v>0.6</v>
      </c>
      <c r="O8" s="31">
        <v>0.5</v>
      </c>
      <c r="P8" s="31">
        <v>0.27777777777777779</v>
      </c>
    </row>
    <row r="9" spans="1:17" x14ac:dyDescent="0.4">
      <c r="A9" s="33">
        <v>6</v>
      </c>
      <c r="B9" s="30">
        <v>48</v>
      </c>
      <c r="C9" s="30">
        <v>8</v>
      </c>
      <c r="D9" s="35">
        <v>1.8333333333333333</v>
      </c>
      <c r="E9" s="31">
        <v>0.5</v>
      </c>
      <c r="F9" s="31">
        <v>0.33333333333333331</v>
      </c>
      <c r="G9" s="31">
        <v>0.38</v>
      </c>
      <c r="H9" s="31">
        <v>0.08</v>
      </c>
      <c r="I9" s="32">
        <v>9163.1578947368416</v>
      </c>
      <c r="J9" s="32">
        <v>-10025</v>
      </c>
      <c r="K9" s="31">
        <v>0.16666666666666666</v>
      </c>
      <c r="L9" s="31">
        <v>0.42</v>
      </c>
      <c r="M9" s="31">
        <v>0.12</v>
      </c>
      <c r="N9" s="31">
        <v>0.61904761904761907</v>
      </c>
      <c r="O9" s="31">
        <v>0.5</v>
      </c>
      <c r="P9" s="31">
        <v>0.31578947368421051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CF57B-6D65-43A7-BDC5-D329CD8882C5}">
  <sheetPr codeName="Sheet26"/>
  <dimension ref="A1:Q13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164</v>
      </c>
      <c r="B1" s="34" t="s">
        <v>164</v>
      </c>
      <c r="C1" s="34" t="s">
        <v>164</v>
      </c>
      <c r="D1" s="35" t="s">
        <v>164</v>
      </c>
      <c r="E1" s="34" t="s">
        <v>164</v>
      </c>
      <c r="F1" s="34" t="s">
        <v>164</v>
      </c>
      <c r="G1" s="34" t="s">
        <v>164</v>
      </c>
      <c r="H1" s="34" t="s">
        <v>164</v>
      </c>
      <c r="I1" s="34" t="s">
        <v>164</v>
      </c>
      <c r="J1" s="34" t="s">
        <v>164</v>
      </c>
      <c r="K1" s="34" t="s">
        <v>164</v>
      </c>
      <c r="L1" s="34" t="s">
        <v>164</v>
      </c>
      <c r="M1" s="34" t="s">
        <v>164</v>
      </c>
      <c r="N1" s="34" t="s">
        <v>164</v>
      </c>
      <c r="O1" s="34" t="s">
        <v>164</v>
      </c>
      <c r="P1" s="34" t="s">
        <v>164</v>
      </c>
      <c r="Q1" s="34" t="s">
        <v>164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3.9</v>
      </c>
      <c r="C4" s="30">
        <v>3.9</v>
      </c>
      <c r="D4" s="35">
        <v>2</v>
      </c>
      <c r="E4" s="31">
        <v>0</v>
      </c>
      <c r="F4" s="31">
        <v>0</v>
      </c>
      <c r="G4" s="31">
        <v>0.41666666666666669</v>
      </c>
      <c r="H4" s="31">
        <v>0.16666666666666666</v>
      </c>
      <c r="I4" s="32">
        <v>8600</v>
      </c>
      <c r="J4" s="32">
        <v>-18000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0.4</v>
      </c>
    </row>
    <row r="5" spans="1:17" x14ac:dyDescent="0.4">
      <c r="A5" s="33">
        <v>2</v>
      </c>
      <c r="B5" s="30">
        <v>-33.9</v>
      </c>
      <c r="C5" s="30">
        <v>-16.95</v>
      </c>
      <c r="D5" s="35">
        <v>2.5</v>
      </c>
      <c r="E5" s="31">
        <v>0</v>
      </c>
      <c r="F5" s="31">
        <v>0.5</v>
      </c>
      <c r="G5" s="31">
        <v>0.2857142857142857</v>
      </c>
      <c r="H5" s="31">
        <v>0.19047619047619047</v>
      </c>
      <c r="I5" s="32">
        <v>8233.3333333333339</v>
      </c>
      <c r="J5" s="32">
        <v>-13300</v>
      </c>
      <c r="K5" s="31">
        <v>0.5</v>
      </c>
      <c r="L5" s="31">
        <v>0</v>
      </c>
      <c r="M5" s="31">
        <v>0</v>
      </c>
      <c r="N5" s="31">
        <v>0</v>
      </c>
      <c r="O5" s="31">
        <v>0</v>
      </c>
      <c r="P5" s="31">
        <v>0.5</v>
      </c>
    </row>
    <row r="6" spans="1:17" x14ac:dyDescent="0.4">
      <c r="A6" s="33">
        <v>3</v>
      </c>
      <c r="B6" s="30">
        <v>-70.099999999999994</v>
      </c>
      <c r="C6" s="30">
        <v>-23.366666666666664</v>
      </c>
      <c r="D6" s="35">
        <v>2.6666666666666665</v>
      </c>
      <c r="E6" s="31">
        <v>0</v>
      </c>
      <c r="F6" s="31">
        <v>0.66666666666666663</v>
      </c>
      <c r="G6" s="31">
        <v>0.2413793103448276</v>
      </c>
      <c r="H6" s="31">
        <v>0.2413793103448276</v>
      </c>
      <c r="I6" s="32">
        <v>8200</v>
      </c>
      <c r="J6" s="32">
        <v>-12985.714285714286</v>
      </c>
      <c r="K6" s="31">
        <v>0.66666666666666663</v>
      </c>
      <c r="L6" s="31">
        <v>0</v>
      </c>
      <c r="M6" s="31">
        <v>0</v>
      </c>
      <c r="N6" s="31">
        <v>0</v>
      </c>
      <c r="O6" s="31">
        <v>0</v>
      </c>
      <c r="P6" s="31">
        <v>0.42857142857142855</v>
      </c>
    </row>
    <row r="7" spans="1:17" x14ac:dyDescent="0.4">
      <c r="A7" s="33">
        <v>4</v>
      </c>
      <c r="B7" s="30">
        <v>-35.099999999999994</v>
      </c>
      <c r="C7" s="30">
        <v>-8.7749999999999986</v>
      </c>
      <c r="D7" s="35">
        <v>2.25</v>
      </c>
      <c r="E7" s="31">
        <v>0.25</v>
      </c>
      <c r="F7" s="31">
        <v>0.5</v>
      </c>
      <c r="G7" s="31">
        <v>0.27027027027027029</v>
      </c>
      <c r="H7" s="31">
        <v>0.1891891891891892</v>
      </c>
      <c r="I7" s="32">
        <v>10540</v>
      </c>
      <c r="J7" s="32">
        <v>-12985.714285714286</v>
      </c>
      <c r="K7" s="31">
        <v>0.5</v>
      </c>
      <c r="L7" s="31">
        <v>0</v>
      </c>
      <c r="M7" s="31">
        <v>0</v>
      </c>
      <c r="N7" s="31">
        <v>0</v>
      </c>
      <c r="O7" s="31">
        <v>0</v>
      </c>
      <c r="P7" s="31">
        <v>0.5</v>
      </c>
    </row>
    <row r="8" spans="1:17" x14ac:dyDescent="0.4">
      <c r="A8" s="33">
        <v>5</v>
      </c>
      <c r="B8" s="30">
        <v>-80.099999999999994</v>
      </c>
      <c r="C8" s="30">
        <v>-16.02</v>
      </c>
      <c r="D8" s="35">
        <v>2.4</v>
      </c>
      <c r="E8" s="31">
        <v>0.2</v>
      </c>
      <c r="F8" s="31">
        <v>0.6</v>
      </c>
      <c r="G8" s="31">
        <v>0.27027027027027029</v>
      </c>
      <c r="H8" s="31">
        <v>0.1891891891891892</v>
      </c>
      <c r="I8" s="32">
        <v>10540</v>
      </c>
      <c r="J8" s="32">
        <v>-12985.714285714286</v>
      </c>
      <c r="K8" s="31">
        <v>0.6</v>
      </c>
      <c r="L8" s="31">
        <v>0</v>
      </c>
      <c r="M8" s="31">
        <v>0</v>
      </c>
      <c r="N8" s="31">
        <v>0</v>
      </c>
      <c r="O8" s="31">
        <v>0</v>
      </c>
      <c r="P8" s="31">
        <v>0.5</v>
      </c>
    </row>
    <row r="9" spans="1:17" x14ac:dyDescent="0.4">
      <c r="A9" s="33">
        <v>6</v>
      </c>
      <c r="B9" s="30">
        <v>-116.1</v>
      </c>
      <c r="C9" s="30">
        <v>-19.349999999999998</v>
      </c>
      <c r="D9" s="35">
        <v>2.5</v>
      </c>
      <c r="E9" s="31">
        <v>0.16666666666666666</v>
      </c>
      <c r="F9" s="31">
        <v>0.66666666666666663</v>
      </c>
      <c r="G9" s="31">
        <v>0.27027027027027029</v>
      </c>
      <c r="H9" s="31">
        <v>0.1891891891891892</v>
      </c>
      <c r="I9" s="32">
        <v>10540</v>
      </c>
      <c r="J9" s="32">
        <v>-12985.714285714286</v>
      </c>
      <c r="K9" s="31">
        <v>0.66666666666666663</v>
      </c>
      <c r="L9" s="31">
        <v>0</v>
      </c>
      <c r="M9" s="31">
        <v>0</v>
      </c>
      <c r="N9" s="31">
        <v>0</v>
      </c>
      <c r="O9" s="31">
        <v>0</v>
      </c>
      <c r="P9" s="31">
        <v>0.5</v>
      </c>
    </row>
    <row r="10" spans="1:17" x14ac:dyDescent="0.4">
      <c r="A10" s="33">
        <v>7</v>
      </c>
      <c r="B10" s="30">
        <v>-147.4</v>
      </c>
      <c r="C10" s="30">
        <v>-21.057142857142857</v>
      </c>
      <c r="D10" s="35">
        <v>2.5714285714285716</v>
      </c>
      <c r="E10" s="31">
        <v>0.14285714285714285</v>
      </c>
      <c r="F10" s="31">
        <v>0.7142857142857143</v>
      </c>
      <c r="G10" s="31">
        <v>0.27027027027027029</v>
      </c>
      <c r="H10" s="31">
        <v>0.1891891891891892</v>
      </c>
      <c r="I10" s="32">
        <v>10540</v>
      </c>
      <c r="J10" s="32">
        <v>-12985.714285714286</v>
      </c>
      <c r="K10" s="31">
        <v>0.5714285714285714</v>
      </c>
      <c r="L10" s="31">
        <v>0</v>
      </c>
      <c r="M10" s="31">
        <v>0</v>
      </c>
      <c r="N10" s="31">
        <v>0</v>
      </c>
      <c r="O10" s="31">
        <v>0</v>
      </c>
      <c r="P10" s="31">
        <v>0.5</v>
      </c>
    </row>
    <row r="11" spans="1:17" x14ac:dyDescent="0.4">
      <c r="A11" s="33">
        <v>8</v>
      </c>
      <c r="B11" s="30">
        <v>-146</v>
      </c>
      <c r="C11" s="30">
        <v>-18.25</v>
      </c>
      <c r="D11" s="35">
        <v>2.5</v>
      </c>
      <c r="E11" s="31">
        <v>0.125</v>
      </c>
      <c r="F11" s="31">
        <v>0.625</v>
      </c>
      <c r="G11" s="31">
        <v>0.27272727272727271</v>
      </c>
      <c r="H11" s="31">
        <v>0.20454545454545456</v>
      </c>
      <c r="I11" s="32">
        <v>10283.333333333334</v>
      </c>
      <c r="J11" s="32">
        <v>-11000</v>
      </c>
      <c r="K11" s="31">
        <v>0.5</v>
      </c>
      <c r="L11" s="31">
        <v>0.42857142857142855</v>
      </c>
      <c r="M11" s="31">
        <v>0.14285714285714285</v>
      </c>
      <c r="N11" s="31">
        <v>0.33333333333333331</v>
      </c>
      <c r="O11" s="31">
        <v>0</v>
      </c>
      <c r="P11" s="31">
        <v>0.5</v>
      </c>
    </row>
    <row r="12" spans="1:17" x14ac:dyDescent="0.4">
      <c r="A12" s="33">
        <v>9</v>
      </c>
      <c r="B12" s="30">
        <v>-173</v>
      </c>
      <c r="C12" s="30">
        <v>-19.222222222222221</v>
      </c>
      <c r="D12" s="35">
        <v>2.5555555555555554</v>
      </c>
      <c r="E12" s="31">
        <v>0.1111111111111111</v>
      </c>
      <c r="F12" s="31">
        <v>0.66666666666666663</v>
      </c>
      <c r="G12" s="31">
        <v>0.28846153846153844</v>
      </c>
      <c r="H12" s="31">
        <v>0.19230769230769232</v>
      </c>
      <c r="I12" s="32">
        <v>9813.3333333333339</v>
      </c>
      <c r="J12" s="32">
        <v>-13100</v>
      </c>
      <c r="K12" s="31">
        <v>0.44444444444444442</v>
      </c>
      <c r="L12" s="31">
        <v>0.33333333333333331</v>
      </c>
      <c r="M12" s="31">
        <v>0.13333333333333333</v>
      </c>
      <c r="N12" s="31">
        <v>0.6</v>
      </c>
      <c r="O12" s="31">
        <v>0.5</v>
      </c>
      <c r="P12" s="31">
        <v>0.53333333333333333</v>
      </c>
    </row>
    <row r="13" spans="1:17" x14ac:dyDescent="0.4">
      <c r="A13" s="33">
        <v>10</v>
      </c>
      <c r="B13" s="30">
        <v>-206.1</v>
      </c>
      <c r="C13" s="30">
        <v>-20.61</v>
      </c>
      <c r="D13" s="35">
        <v>2.6</v>
      </c>
      <c r="E13" s="31">
        <v>0.1</v>
      </c>
      <c r="F13" s="31">
        <v>0.7</v>
      </c>
      <c r="G13" s="31">
        <v>0.25</v>
      </c>
      <c r="H13" s="31">
        <v>0.21666666666666667</v>
      </c>
      <c r="I13" s="32">
        <v>9813.3333333333339</v>
      </c>
      <c r="J13" s="32">
        <v>-12000</v>
      </c>
      <c r="K13" s="31">
        <v>0.4</v>
      </c>
      <c r="L13" s="31">
        <v>0.2608695652173913</v>
      </c>
      <c r="M13" s="31">
        <v>0.21739130434782608</v>
      </c>
      <c r="N13" s="31">
        <v>0.5</v>
      </c>
      <c r="O13" s="31">
        <v>0.2</v>
      </c>
      <c r="P13" s="31">
        <v>0.53333333333333333</v>
      </c>
    </row>
    <row r="14" spans="1:17" x14ac:dyDescent="0.4">
      <c r="A14" s="33">
        <v>11</v>
      </c>
      <c r="B14" s="30">
        <v>-174</v>
      </c>
      <c r="C14" s="30">
        <v>-15.818181818181818</v>
      </c>
      <c r="D14" s="35">
        <v>2.4545454545454546</v>
      </c>
      <c r="E14" s="31">
        <v>0.18181818181818182</v>
      </c>
      <c r="F14" s="31">
        <v>0.63636363636363635</v>
      </c>
      <c r="G14" s="31">
        <v>0.25</v>
      </c>
      <c r="H14" s="31">
        <v>0.22058823529411764</v>
      </c>
      <c r="I14" s="32">
        <v>11600</v>
      </c>
      <c r="J14" s="32">
        <v>-10960</v>
      </c>
      <c r="K14" s="31">
        <v>0.36363636363636365</v>
      </c>
      <c r="L14" s="31">
        <v>0.25806451612903225</v>
      </c>
      <c r="M14" s="31">
        <v>0.22580645161290322</v>
      </c>
      <c r="N14" s="31">
        <v>0.5</v>
      </c>
      <c r="O14" s="31">
        <v>0.14285714285714285</v>
      </c>
      <c r="P14" s="31">
        <v>0.58823529411764708</v>
      </c>
    </row>
    <row r="15" spans="1:17" x14ac:dyDescent="0.4">
      <c r="A15" s="33">
        <v>12</v>
      </c>
      <c r="B15" s="30">
        <v>-197</v>
      </c>
      <c r="C15" s="30">
        <v>-16.416666666666668</v>
      </c>
      <c r="D15" s="35">
        <v>2.5</v>
      </c>
      <c r="E15" s="31">
        <v>0.16666666666666666</v>
      </c>
      <c r="F15" s="31">
        <v>0.66666666666666663</v>
      </c>
      <c r="G15" s="31">
        <v>0.22500000000000001</v>
      </c>
      <c r="H15" s="31">
        <v>0.2</v>
      </c>
      <c r="I15" s="32">
        <v>11955.555555555555</v>
      </c>
      <c r="J15" s="32">
        <v>-11025</v>
      </c>
      <c r="K15" s="31">
        <v>0.33333333333333331</v>
      </c>
      <c r="L15" s="31">
        <v>0.27906976744186046</v>
      </c>
      <c r="M15" s="31">
        <v>0.20930232558139536</v>
      </c>
      <c r="N15" s="31">
        <v>0.41666666666666669</v>
      </c>
      <c r="O15" s="31">
        <v>0.1111111111111111</v>
      </c>
      <c r="P15" s="31">
        <v>0.61111111111111116</v>
      </c>
    </row>
    <row r="16" spans="1:17" x14ac:dyDescent="0.4">
      <c r="A16" s="33">
        <v>13</v>
      </c>
      <c r="B16" s="30">
        <v>-235</v>
      </c>
      <c r="C16" s="30">
        <v>-18.076923076923077</v>
      </c>
      <c r="D16" s="35">
        <v>2.5384615384615383</v>
      </c>
      <c r="E16" s="31">
        <v>0.15384615384615385</v>
      </c>
      <c r="F16" s="31">
        <v>0.69230769230769229</v>
      </c>
      <c r="G16" s="31">
        <v>0.22580645161290322</v>
      </c>
      <c r="H16" s="31">
        <v>0.21505376344086022</v>
      </c>
      <c r="I16" s="32">
        <v>10671.428571428571</v>
      </c>
      <c r="J16" s="32">
        <v>-10800</v>
      </c>
      <c r="K16" s="31">
        <v>0.38461538461538464</v>
      </c>
      <c r="L16" s="31">
        <v>0.2857142857142857</v>
      </c>
      <c r="M16" s="31">
        <v>0.19642857142857142</v>
      </c>
      <c r="N16" s="31">
        <v>0.375</v>
      </c>
      <c r="O16" s="31">
        <v>0.18181818181818182</v>
      </c>
      <c r="P16" s="31">
        <v>0.5714285714285714</v>
      </c>
    </row>
    <row r="17" spans="1:16" x14ac:dyDescent="0.4">
      <c r="A17" s="33">
        <v>14</v>
      </c>
      <c r="B17" s="30">
        <v>-231</v>
      </c>
      <c r="C17" s="30">
        <v>-16.5</v>
      </c>
      <c r="D17" s="35">
        <v>2.5</v>
      </c>
      <c r="E17" s="31">
        <v>0.14285714285714285</v>
      </c>
      <c r="F17" s="31">
        <v>0.6428571428571429</v>
      </c>
      <c r="G17" s="31">
        <v>0.22448979591836735</v>
      </c>
      <c r="H17" s="31">
        <v>0.21428571428571427</v>
      </c>
      <c r="I17" s="32">
        <v>11004.545454545454</v>
      </c>
      <c r="J17" s="32">
        <v>-10857.142857142857</v>
      </c>
      <c r="K17" s="31">
        <v>0.35714285714285715</v>
      </c>
      <c r="L17" s="31">
        <v>0.27868852459016391</v>
      </c>
      <c r="M17" s="31">
        <v>0.21311475409836064</v>
      </c>
      <c r="N17" s="31">
        <v>0.41176470588235292</v>
      </c>
      <c r="O17" s="31">
        <v>0.15384615384615385</v>
      </c>
      <c r="P17" s="31">
        <v>0.59090909090909094</v>
      </c>
    </row>
    <row r="18" spans="1:16" x14ac:dyDescent="0.4">
      <c r="A18" s="33">
        <v>15</v>
      </c>
      <c r="B18" s="30">
        <v>-212.5</v>
      </c>
      <c r="C18" s="30">
        <v>-14.166666666666666</v>
      </c>
      <c r="D18" s="35">
        <v>2.4666666666666668</v>
      </c>
      <c r="E18" s="31">
        <v>0.13333333333333333</v>
      </c>
      <c r="F18" s="31">
        <v>0.6</v>
      </c>
      <c r="G18" s="31">
        <v>0.23584905660377359</v>
      </c>
      <c r="H18" s="31">
        <v>0.21698113207547171</v>
      </c>
      <c r="I18" s="32">
        <v>11284</v>
      </c>
      <c r="J18" s="32">
        <v>-10573.91304347826</v>
      </c>
      <c r="K18" s="31">
        <v>0.33333333333333331</v>
      </c>
      <c r="L18" s="31">
        <v>0.28985507246376813</v>
      </c>
      <c r="M18" s="31">
        <v>0.21739130434782608</v>
      </c>
      <c r="N18" s="31">
        <v>0.5</v>
      </c>
      <c r="O18" s="31">
        <v>0.13333333333333333</v>
      </c>
      <c r="P18" s="31">
        <v>0.6</v>
      </c>
    </row>
    <row r="19" spans="1:16" x14ac:dyDescent="0.4">
      <c r="A19" s="33">
        <v>16</v>
      </c>
      <c r="B19" s="30">
        <v>-233.2</v>
      </c>
      <c r="C19" s="30">
        <v>-14.574999999999999</v>
      </c>
      <c r="D19" s="35">
        <v>2.5</v>
      </c>
      <c r="E19" s="31">
        <v>0.125</v>
      </c>
      <c r="F19" s="31">
        <v>0.625</v>
      </c>
      <c r="G19" s="31">
        <v>0.22807017543859648</v>
      </c>
      <c r="H19" s="31">
        <v>0.21929824561403508</v>
      </c>
      <c r="I19" s="32">
        <v>11157.692307692309</v>
      </c>
      <c r="J19" s="32">
        <v>-10256</v>
      </c>
      <c r="K19" s="31">
        <v>0.3125</v>
      </c>
      <c r="L19" s="31">
        <v>0.27272727272727271</v>
      </c>
      <c r="M19" s="31">
        <v>0.20779220779220781</v>
      </c>
      <c r="N19" s="31">
        <v>0.52380952380952384</v>
      </c>
      <c r="O19" s="31">
        <v>0.125</v>
      </c>
      <c r="P19" s="31">
        <v>0.57692307692307687</v>
      </c>
    </row>
    <row r="20" spans="1:16" x14ac:dyDescent="0.4">
      <c r="A20" s="33">
        <v>17</v>
      </c>
      <c r="B20" s="30">
        <v>-268.7</v>
      </c>
      <c r="C20" s="30">
        <v>-15.805882352941175</v>
      </c>
      <c r="D20" s="35">
        <v>2.5294117647058822</v>
      </c>
      <c r="E20" s="31">
        <v>0.11764705882352941</v>
      </c>
      <c r="F20" s="31">
        <v>0.6470588235294118</v>
      </c>
      <c r="G20" s="31">
        <v>0.22689075630252101</v>
      </c>
      <c r="H20" s="31">
        <v>0.21008403361344538</v>
      </c>
      <c r="I20" s="32">
        <v>11188.888888888889</v>
      </c>
      <c r="J20" s="32">
        <v>-10256</v>
      </c>
      <c r="K20" s="31">
        <v>0.35294117647058826</v>
      </c>
      <c r="L20" s="31">
        <v>0.25609756097560976</v>
      </c>
      <c r="M20" s="31">
        <v>0.21951219512195122</v>
      </c>
      <c r="N20" s="31">
        <v>0.52380952380952384</v>
      </c>
      <c r="O20" s="31">
        <v>0.1111111111111111</v>
      </c>
      <c r="P20" s="31">
        <v>0.59259259259259256</v>
      </c>
    </row>
    <row r="21" spans="1:16" x14ac:dyDescent="0.4">
      <c r="A21" s="33">
        <v>18</v>
      </c>
      <c r="B21" s="30">
        <v>-295.8</v>
      </c>
      <c r="C21" s="30">
        <v>-16.433333333333334</v>
      </c>
      <c r="D21" s="35">
        <v>2.5555555555555554</v>
      </c>
      <c r="E21" s="31">
        <v>0.1111111111111111</v>
      </c>
      <c r="F21" s="31">
        <v>0.66666666666666663</v>
      </c>
      <c r="G21" s="31">
        <v>0.21804511278195488</v>
      </c>
      <c r="H21" s="31">
        <v>0.20300751879699247</v>
      </c>
      <c r="I21" s="32">
        <v>11013.793103448275</v>
      </c>
      <c r="J21" s="32">
        <v>-10066.666666666666</v>
      </c>
      <c r="K21" s="31">
        <v>0.33333333333333331</v>
      </c>
      <c r="L21" s="31">
        <v>0.23958333333333334</v>
      </c>
      <c r="M21" s="31">
        <v>0.21875</v>
      </c>
      <c r="N21" s="31">
        <v>0.52173913043478259</v>
      </c>
      <c r="O21" s="31">
        <v>0.14285714285714285</v>
      </c>
      <c r="P21" s="31">
        <v>0.58620689655172409</v>
      </c>
    </row>
    <row r="22" spans="1:16" x14ac:dyDescent="0.4">
      <c r="A22" s="33">
        <v>19</v>
      </c>
      <c r="B22" s="30">
        <v>-273.2</v>
      </c>
      <c r="C22" s="30">
        <v>-14.378947368421052</v>
      </c>
      <c r="D22" s="35">
        <v>2.4736842105263159</v>
      </c>
      <c r="E22" s="31">
        <v>0.15789473684210525</v>
      </c>
      <c r="F22" s="31">
        <v>0.63157894736842102</v>
      </c>
      <c r="G22" s="31">
        <v>0.23404255319148937</v>
      </c>
      <c r="H22" s="31">
        <v>0.19858156028368795</v>
      </c>
      <c r="I22" s="32">
        <v>10466.666666666666</v>
      </c>
      <c r="J22" s="32">
        <v>-9846.4285714285706</v>
      </c>
      <c r="K22" s="31">
        <v>0.31578947368421051</v>
      </c>
      <c r="L22" s="31">
        <v>0.24038461538461539</v>
      </c>
      <c r="M22" s="31">
        <v>0.22115384615384615</v>
      </c>
      <c r="N22" s="31">
        <v>0.56000000000000005</v>
      </c>
      <c r="O22" s="31">
        <v>0.21739130434782608</v>
      </c>
      <c r="P22" s="31">
        <v>0.5757575757575758</v>
      </c>
    </row>
    <row r="23" spans="1:16" x14ac:dyDescent="0.4">
      <c r="A23" s="33">
        <v>20</v>
      </c>
      <c r="B23" s="30">
        <v>-270</v>
      </c>
      <c r="C23" s="30">
        <v>-13.5</v>
      </c>
      <c r="D23" s="35">
        <v>2.4500000000000002</v>
      </c>
      <c r="E23" s="31">
        <v>0.15</v>
      </c>
      <c r="F23" s="31">
        <v>0.6</v>
      </c>
      <c r="G23" s="31">
        <v>0.24183006535947713</v>
      </c>
      <c r="H23" s="31">
        <v>0.20261437908496732</v>
      </c>
      <c r="I23" s="32">
        <v>10740.54054054054</v>
      </c>
      <c r="J23" s="32">
        <v>-10506.451612903225</v>
      </c>
      <c r="K23" s="31">
        <v>0.3</v>
      </c>
      <c r="L23" s="31">
        <v>0.22413793103448276</v>
      </c>
      <c r="M23" s="31">
        <v>0.23275862068965517</v>
      </c>
      <c r="N23" s="31">
        <v>0.53846153846153844</v>
      </c>
      <c r="O23" s="31">
        <v>0.29629629629629628</v>
      </c>
      <c r="P23" s="31">
        <v>0.56756756756756754</v>
      </c>
    </row>
    <row r="24" spans="1:16" x14ac:dyDescent="0.4">
      <c r="A24" s="33">
        <v>21</v>
      </c>
      <c r="B24" s="30">
        <v>-242</v>
      </c>
      <c r="C24" s="30">
        <v>-11.523809523809524</v>
      </c>
      <c r="D24" s="35">
        <v>2.3809523809523809</v>
      </c>
      <c r="E24" s="31">
        <v>0.19047619047619047</v>
      </c>
      <c r="F24" s="31">
        <v>0.5714285714285714</v>
      </c>
      <c r="G24" s="31">
        <v>0.25</v>
      </c>
      <c r="H24" s="31">
        <v>0.2</v>
      </c>
      <c r="I24" s="32">
        <v>10885</v>
      </c>
      <c r="J24" s="32">
        <v>-10428.125</v>
      </c>
      <c r="K24" s="31">
        <v>0.2857142857142857</v>
      </c>
      <c r="L24" s="31">
        <v>0.22764227642276422</v>
      </c>
      <c r="M24" s="31">
        <v>0.22764227642276422</v>
      </c>
      <c r="N24" s="31">
        <v>0.5714285714285714</v>
      </c>
      <c r="O24" s="31">
        <v>0.32142857142857145</v>
      </c>
      <c r="P24" s="31">
        <v>0.52500000000000002</v>
      </c>
    </row>
    <row r="25" spans="1:16" x14ac:dyDescent="0.4">
      <c r="A25" s="33">
        <v>22</v>
      </c>
      <c r="B25" s="30">
        <v>-202.9</v>
      </c>
      <c r="C25" s="30">
        <v>-9.2227272727272727</v>
      </c>
      <c r="D25" s="35">
        <v>2.3181818181818183</v>
      </c>
      <c r="E25" s="31">
        <v>0.22727272727272727</v>
      </c>
      <c r="F25" s="31">
        <v>0.54545454545454541</v>
      </c>
      <c r="G25" s="31">
        <v>0.26627218934911245</v>
      </c>
      <c r="H25" s="31">
        <v>0.20118343195266272</v>
      </c>
      <c r="I25" s="32">
        <v>10808.888888888889</v>
      </c>
      <c r="J25" s="32">
        <v>-10135.294117647059</v>
      </c>
      <c r="K25" s="31">
        <v>0.27272727272727271</v>
      </c>
      <c r="L25" s="31">
        <v>0.22727272727272727</v>
      </c>
      <c r="M25" s="31">
        <v>0.23484848484848486</v>
      </c>
      <c r="N25" s="31">
        <v>0.6</v>
      </c>
      <c r="O25" s="31">
        <v>0.35483870967741937</v>
      </c>
      <c r="P25" s="31">
        <v>0.53333333333333333</v>
      </c>
    </row>
    <row r="26" spans="1:16" x14ac:dyDescent="0.4">
      <c r="A26" s="33">
        <v>23</v>
      </c>
      <c r="B26" s="30">
        <v>-200.9</v>
      </c>
      <c r="C26" s="30">
        <v>-8.734782608695653</v>
      </c>
      <c r="D26" s="35">
        <v>2.3043478260869565</v>
      </c>
      <c r="E26" s="31">
        <v>0.21739130434782608</v>
      </c>
      <c r="F26" s="31">
        <v>0.52173913043478259</v>
      </c>
      <c r="G26" s="31">
        <v>0.2655367231638418</v>
      </c>
      <c r="H26" s="31">
        <v>0.19774011299435029</v>
      </c>
      <c r="I26" s="32">
        <v>10944.680851063829</v>
      </c>
      <c r="J26" s="32">
        <v>-9902.8571428571431</v>
      </c>
      <c r="K26" s="31">
        <v>0.2608695652173913</v>
      </c>
      <c r="L26" s="31">
        <v>0.23571428571428571</v>
      </c>
      <c r="M26" s="31">
        <v>0.24285714285714285</v>
      </c>
      <c r="N26" s="31">
        <v>0.5757575757575758</v>
      </c>
      <c r="O26" s="31">
        <v>0.35294117647058826</v>
      </c>
      <c r="P26" s="31">
        <v>0.53191489361702127</v>
      </c>
    </row>
    <row r="27" spans="1:16" x14ac:dyDescent="0.4">
      <c r="A27" s="33">
        <v>24</v>
      </c>
      <c r="B27" s="30">
        <v>-168.2</v>
      </c>
      <c r="C27" s="30">
        <v>-7.0083333333333329</v>
      </c>
      <c r="D27" s="35">
        <v>2.25</v>
      </c>
      <c r="E27" s="31">
        <v>0.25</v>
      </c>
      <c r="F27" s="31">
        <v>0.5</v>
      </c>
      <c r="G27" s="31">
        <v>0.27659574468085107</v>
      </c>
      <c r="H27" s="31">
        <v>0.20212765957446807</v>
      </c>
      <c r="I27" s="32">
        <v>11084.615384615385</v>
      </c>
      <c r="J27" s="32">
        <v>-9642.105263157895</v>
      </c>
      <c r="K27" s="31">
        <v>0.25</v>
      </c>
      <c r="L27" s="31">
        <v>0.25827814569536423</v>
      </c>
      <c r="M27" s="31">
        <v>0.2251655629139073</v>
      </c>
      <c r="N27" s="31">
        <v>0.61538461538461542</v>
      </c>
      <c r="O27" s="31">
        <v>0.35294117647058826</v>
      </c>
      <c r="P27" s="31">
        <v>0.51923076923076927</v>
      </c>
    </row>
    <row r="28" spans="1:16" x14ac:dyDescent="0.4">
      <c r="A28" s="33">
        <v>25</v>
      </c>
      <c r="B28" s="30">
        <v>-216.89999999999998</v>
      </c>
      <c r="C28" s="30">
        <v>-8.6759999999999984</v>
      </c>
      <c r="D28" s="35">
        <v>2.2799999999999998</v>
      </c>
      <c r="E28" s="31">
        <v>0.24</v>
      </c>
      <c r="F28" s="31">
        <v>0.52</v>
      </c>
      <c r="G28" s="31">
        <v>0.27272727272727271</v>
      </c>
      <c r="H28" s="31">
        <v>0.20707070707070707</v>
      </c>
      <c r="I28" s="32">
        <v>10729.62962962963</v>
      </c>
      <c r="J28" s="32">
        <v>-9697.5609756097565</v>
      </c>
      <c r="K28" s="31">
        <v>0.28000000000000003</v>
      </c>
      <c r="L28" s="31">
        <v>0.24223602484472051</v>
      </c>
      <c r="M28" s="31">
        <v>0.22981366459627328</v>
      </c>
      <c r="N28" s="31">
        <v>0.61538461538461542</v>
      </c>
      <c r="O28" s="31">
        <v>0.3783783783783784</v>
      </c>
      <c r="P28" s="31">
        <v>0.5</v>
      </c>
    </row>
    <row r="29" spans="1:16" x14ac:dyDescent="0.4">
      <c r="A29" s="33">
        <v>26</v>
      </c>
      <c r="B29" s="30">
        <v>-256.29999999999995</v>
      </c>
      <c r="C29" s="30">
        <v>-9.8576923076923055</v>
      </c>
      <c r="D29" s="35">
        <v>2.3076923076923075</v>
      </c>
      <c r="E29" s="31">
        <v>0.23076923076923078</v>
      </c>
      <c r="F29" s="31">
        <v>0.53846153846153844</v>
      </c>
      <c r="G29" s="31">
        <v>0.26829268292682928</v>
      </c>
      <c r="H29" s="31">
        <v>0.21463414634146341</v>
      </c>
      <c r="I29" s="32">
        <v>10825.454545454546</v>
      </c>
      <c r="J29" s="32">
        <v>-9990.9090909090901</v>
      </c>
      <c r="K29" s="31">
        <v>0.30769230769230771</v>
      </c>
      <c r="L29" s="31">
        <v>0.23809523809523808</v>
      </c>
      <c r="M29" s="31">
        <v>0.23214285714285715</v>
      </c>
      <c r="N29" s="31">
        <v>0.625</v>
      </c>
      <c r="O29" s="31">
        <v>0.35897435897435898</v>
      </c>
      <c r="P29" s="31">
        <v>0.49090909090909091</v>
      </c>
    </row>
    <row r="30" spans="1:16" x14ac:dyDescent="0.4">
      <c r="A30" s="33">
        <v>27</v>
      </c>
      <c r="B30" s="30">
        <v>-296.29999999999995</v>
      </c>
      <c r="C30" s="30">
        <v>-10.974074074074073</v>
      </c>
      <c r="D30" s="35">
        <v>2.3333333333333335</v>
      </c>
      <c r="E30" s="31">
        <v>0.22222222222222221</v>
      </c>
      <c r="F30" s="31">
        <v>0.55555555555555558</v>
      </c>
      <c r="G30" s="31">
        <v>0.26442307692307693</v>
      </c>
      <c r="H30" s="31">
        <v>0.22115384615384615</v>
      </c>
      <c r="I30" s="32">
        <v>10825.454545454546</v>
      </c>
      <c r="J30" s="32">
        <v>-10339.130434782608</v>
      </c>
      <c r="K30" s="31">
        <v>0.33333333333333331</v>
      </c>
      <c r="L30" s="31">
        <v>0.23976608187134502</v>
      </c>
      <c r="M30" s="31">
        <v>0.22807017543859648</v>
      </c>
      <c r="N30" s="31">
        <v>0.6097560975609756</v>
      </c>
      <c r="O30" s="31">
        <v>0.35897435897435898</v>
      </c>
      <c r="P30" s="31">
        <v>0.49090909090909091</v>
      </c>
    </row>
    <row r="31" spans="1:16" x14ac:dyDescent="0.4">
      <c r="A31" s="33">
        <v>28</v>
      </c>
      <c r="B31" s="30">
        <v>-290.19999999999993</v>
      </c>
      <c r="C31" s="30">
        <v>-10.364285714285712</v>
      </c>
      <c r="D31" s="35">
        <v>2.2857142857142856</v>
      </c>
      <c r="E31" s="31">
        <v>0.25</v>
      </c>
      <c r="F31" s="31">
        <v>0.5357142857142857</v>
      </c>
      <c r="G31" s="31">
        <v>0.26851851851851855</v>
      </c>
      <c r="H31" s="31">
        <v>0.22685185185185186</v>
      </c>
      <c r="I31" s="32">
        <v>10817.241379310344</v>
      </c>
      <c r="J31" s="32">
        <v>-10040.816326530612</v>
      </c>
      <c r="K31" s="31">
        <v>0.32142857142857145</v>
      </c>
      <c r="L31" s="31">
        <v>0.25139664804469275</v>
      </c>
      <c r="M31" s="31">
        <v>0.24022346368715083</v>
      </c>
      <c r="N31" s="31">
        <v>0.6</v>
      </c>
      <c r="O31" s="31">
        <v>0.34883720930232559</v>
      </c>
      <c r="P31" s="31">
        <v>0.48275862068965519</v>
      </c>
    </row>
    <row r="32" spans="1:16" x14ac:dyDescent="0.4">
      <c r="A32" s="33">
        <v>29</v>
      </c>
      <c r="B32" s="30">
        <v>-239.19999999999993</v>
      </c>
      <c r="C32" s="30">
        <v>-8.2482758620689633</v>
      </c>
      <c r="D32" s="35">
        <v>2.2413793103448274</v>
      </c>
      <c r="E32" s="31">
        <v>0.27586206896551724</v>
      </c>
      <c r="F32" s="31">
        <v>0.51724137931034486</v>
      </c>
      <c r="G32" s="31">
        <v>0.27927927927927926</v>
      </c>
      <c r="H32" s="31">
        <v>0.22072072072072071</v>
      </c>
      <c r="I32" s="32">
        <v>11087.096774193549</v>
      </c>
      <c r="J32" s="32">
        <v>-10040.816326530612</v>
      </c>
      <c r="K32" s="31">
        <v>0.31034482758620691</v>
      </c>
      <c r="L32" s="31">
        <v>0.26486486486486488</v>
      </c>
      <c r="M32" s="31">
        <v>0.23243243243243245</v>
      </c>
      <c r="N32" s="31">
        <v>0.63265306122448983</v>
      </c>
      <c r="O32" s="31">
        <v>0.34883720930232559</v>
      </c>
      <c r="P32" s="31">
        <v>0.5</v>
      </c>
    </row>
    <row r="33" spans="1:16" x14ac:dyDescent="0.4">
      <c r="A33" s="33">
        <v>30</v>
      </c>
      <c r="B33" s="30">
        <v>-257.29999999999995</v>
      </c>
      <c r="C33" s="30">
        <v>-8.5766666666666644</v>
      </c>
      <c r="D33" s="35">
        <v>2.2666666666666666</v>
      </c>
      <c r="E33" s="31">
        <v>0.26666666666666666</v>
      </c>
      <c r="F33" s="31">
        <v>0.53333333333333333</v>
      </c>
      <c r="G33" s="31">
        <v>0.27192982456140352</v>
      </c>
      <c r="H33" s="31">
        <v>0.22368421052631579</v>
      </c>
      <c r="I33" s="32">
        <v>11087.096774193549</v>
      </c>
      <c r="J33" s="32">
        <v>-9854.9019607843129</v>
      </c>
      <c r="K33" s="31">
        <v>0.3</v>
      </c>
      <c r="L33" s="31">
        <v>0.26178010471204188</v>
      </c>
      <c r="M33" s="31">
        <v>0.22513089005235601</v>
      </c>
      <c r="N33" s="31">
        <v>0.62</v>
      </c>
      <c r="O33" s="31">
        <v>0.34883720930232559</v>
      </c>
      <c r="P33" s="31">
        <v>0.5</v>
      </c>
    </row>
    <row r="34" spans="1:16" x14ac:dyDescent="0.4">
      <c r="A34" s="33">
        <v>31</v>
      </c>
      <c r="B34" s="30">
        <v>-265.39999999999998</v>
      </c>
      <c r="C34" s="30">
        <v>-8.5612903225806445</v>
      </c>
      <c r="D34" s="35">
        <v>2.2580645161290325</v>
      </c>
      <c r="E34" s="31">
        <v>0.25806451612903225</v>
      </c>
      <c r="F34" s="31">
        <v>0.5161290322580645</v>
      </c>
      <c r="G34" s="31">
        <v>0.27196652719665271</v>
      </c>
      <c r="H34" s="31">
        <v>0.22594142259414227</v>
      </c>
      <c r="I34" s="32">
        <v>11006.153846153846</v>
      </c>
      <c r="J34" s="32">
        <v>-9892.5925925925931</v>
      </c>
      <c r="K34" s="31">
        <v>0.29032258064516131</v>
      </c>
      <c r="L34" s="31">
        <v>0.25742574257425743</v>
      </c>
      <c r="M34" s="31">
        <v>0.21782178217821782</v>
      </c>
      <c r="N34" s="31">
        <v>0.63461538461538458</v>
      </c>
      <c r="O34" s="31">
        <v>0.36363636363636365</v>
      </c>
      <c r="P34" s="31">
        <v>0.49230769230769234</v>
      </c>
    </row>
    <row r="35" spans="1:16" x14ac:dyDescent="0.4">
      <c r="A35" s="33">
        <v>32</v>
      </c>
      <c r="B35" s="30">
        <v>-283.89999999999998</v>
      </c>
      <c r="C35" s="30">
        <v>-8.8718749999999993</v>
      </c>
      <c r="D35" s="35">
        <v>2.25</v>
      </c>
      <c r="E35" s="31">
        <v>0.25</v>
      </c>
      <c r="F35" s="31">
        <v>0.5</v>
      </c>
      <c r="G35" s="31">
        <v>0.26970954356846472</v>
      </c>
      <c r="H35" s="31">
        <v>0.22406639004149378</v>
      </c>
      <c r="I35" s="32">
        <v>11006.153846153846</v>
      </c>
      <c r="J35" s="32">
        <v>-9892.5925925925931</v>
      </c>
      <c r="K35" s="31">
        <v>0.28125</v>
      </c>
      <c r="L35" s="31">
        <v>0.25490196078431371</v>
      </c>
      <c r="M35" s="31">
        <v>0.21568627450980393</v>
      </c>
      <c r="N35" s="31">
        <v>0.63461538461538458</v>
      </c>
      <c r="O35" s="31">
        <v>0.36363636363636365</v>
      </c>
      <c r="P35" s="31">
        <v>0.49230769230769234</v>
      </c>
    </row>
    <row r="36" spans="1:16" x14ac:dyDescent="0.4">
      <c r="A36" s="33">
        <v>33</v>
      </c>
      <c r="B36" s="30">
        <v>-291.29999999999995</v>
      </c>
      <c r="C36" s="30">
        <v>-8.8272727272727263</v>
      </c>
      <c r="D36" s="35">
        <v>2.2424242424242422</v>
      </c>
      <c r="E36" s="31">
        <v>0.24242424242424243</v>
      </c>
      <c r="F36" s="31">
        <v>0.48484848484848486</v>
      </c>
      <c r="G36" s="31">
        <v>0.2661290322580645</v>
      </c>
      <c r="H36" s="31">
        <v>0.22177419354838709</v>
      </c>
      <c r="I36" s="32">
        <v>11021.212121212122</v>
      </c>
      <c r="J36" s="32">
        <v>-9783.636363636364</v>
      </c>
      <c r="K36" s="31">
        <v>0.27272727272727271</v>
      </c>
      <c r="L36" s="31">
        <v>0.25592417061611372</v>
      </c>
      <c r="M36" s="31">
        <v>0.2132701421800948</v>
      </c>
      <c r="N36" s="31">
        <v>0.62962962962962965</v>
      </c>
      <c r="O36" s="31">
        <v>0.35555555555555557</v>
      </c>
      <c r="P36" s="31">
        <v>0.5</v>
      </c>
    </row>
    <row r="37" spans="1:16" x14ac:dyDescent="0.4">
      <c r="A37" s="33">
        <v>34</v>
      </c>
      <c r="B37" s="30">
        <v>-301.69999999999993</v>
      </c>
      <c r="C37" s="30">
        <v>-8.8735294117647037</v>
      </c>
      <c r="D37" s="35">
        <v>2.2647058823529411</v>
      </c>
      <c r="E37" s="31">
        <v>0.23529411764705882</v>
      </c>
      <c r="F37" s="31">
        <v>0.5</v>
      </c>
      <c r="G37" s="31">
        <v>0.26459143968871596</v>
      </c>
      <c r="H37" s="31">
        <v>0.22178988326848248</v>
      </c>
      <c r="I37" s="32">
        <v>11108.823529411764</v>
      </c>
      <c r="J37" s="32">
        <v>-9649.1228070175439</v>
      </c>
      <c r="K37" s="31">
        <v>0.26470588235294118</v>
      </c>
      <c r="L37" s="31">
        <v>0.26363636363636361</v>
      </c>
      <c r="M37" s="31">
        <v>0.20909090909090908</v>
      </c>
      <c r="N37" s="31">
        <v>0.60344827586206895</v>
      </c>
      <c r="O37" s="31">
        <v>0.34782608695652173</v>
      </c>
      <c r="P37" s="31">
        <v>0.48529411764705882</v>
      </c>
    </row>
    <row r="38" spans="1:16" x14ac:dyDescent="0.4">
      <c r="A38" s="33">
        <v>35</v>
      </c>
      <c r="B38" s="30">
        <v>-339.69999999999993</v>
      </c>
      <c r="C38" s="30">
        <v>-9.7057142857142846</v>
      </c>
      <c r="D38" s="35">
        <v>2.2857142857142856</v>
      </c>
      <c r="E38" s="31">
        <v>0.22857142857142856</v>
      </c>
      <c r="F38" s="31">
        <v>0.51428571428571423</v>
      </c>
      <c r="G38" s="31">
        <v>0.26235741444866922</v>
      </c>
      <c r="H38" s="31">
        <v>0.22813688212927757</v>
      </c>
      <c r="I38" s="32">
        <v>11179.710144927536</v>
      </c>
      <c r="J38" s="32">
        <v>-9966.6666666666661</v>
      </c>
      <c r="K38" s="31">
        <v>0.2857142857142857</v>
      </c>
      <c r="L38" s="31">
        <v>0.26106194690265488</v>
      </c>
      <c r="M38" s="31">
        <v>0.21238938053097345</v>
      </c>
      <c r="N38" s="31">
        <v>0.61016949152542377</v>
      </c>
      <c r="O38" s="31">
        <v>0.33333333333333331</v>
      </c>
      <c r="P38" s="31">
        <v>0.47826086956521741</v>
      </c>
    </row>
    <row r="39" spans="1:16" x14ac:dyDescent="0.4">
      <c r="A39" s="33">
        <v>36</v>
      </c>
      <c r="B39" s="30">
        <v>-328.09999999999991</v>
      </c>
      <c r="C39" s="30">
        <v>-9.1138888888888872</v>
      </c>
      <c r="D39" s="35">
        <v>2.25</v>
      </c>
      <c r="E39" s="31">
        <v>0.25</v>
      </c>
      <c r="F39" s="31">
        <v>0.5</v>
      </c>
      <c r="G39" s="31">
        <v>0.26373626373626374</v>
      </c>
      <c r="H39" s="31">
        <v>0.23443223443223443</v>
      </c>
      <c r="I39" s="32">
        <v>11380.555555555555</v>
      </c>
      <c r="J39" s="32">
        <v>-9904.6875</v>
      </c>
      <c r="K39" s="31">
        <v>0.27777777777777779</v>
      </c>
      <c r="L39" s="31">
        <v>0.25847457627118642</v>
      </c>
      <c r="M39" s="31">
        <v>0.22033898305084745</v>
      </c>
      <c r="N39" s="31">
        <v>0.5901639344262295</v>
      </c>
      <c r="O39" s="31">
        <v>0.34615384615384615</v>
      </c>
      <c r="P39" s="31">
        <v>0.47222222222222221</v>
      </c>
    </row>
    <row r="40" spans="1:16" x14ac:dyDescent="0.4">
      <c r="A40" s="33">
        <v>37</v>
      </c>
      <c r="B40" s="30">
        <v>-371.59999999999991</v>
      </c>
      <c r="C40" s="30">
        <v>-10.043243243243241</v>
      </c>
      <c r="D40" s="35">
        <v>2.2702702702702702</v>
      </c>
      <c r="E40" s="31">
        <v>0.24324324324324326</v>
      </c>
      <c r="F40" s="31">
        <v>0.51351351351351349</v>
      </c>
      <c r="G40" s="31">
        <v>0.25899280575539568</v>
      </c>
      <c r="H40" s="31">
        <v>0.24100719424460432</v>
      </c>
      <c r="I40" s="32">
        <v>11380.555555555555</v>
      </c>
      <c r="J40" s="32">
        <v>-9998.507462686568</v>
      </c>
      <c r="K40" s="31">
        <v>0.29729729729729731</v>
      </c>
      <c r="L40" s="31">
        <v>0.26141078838174275</v>
      </c>
      <c r="M40" s="31">
        <v>0.21576763485477179</v>
      </c>
      <c r="N40" s="31">
        <v>0.5714285714285714</v>
      </c>
      <c r="O40" s="31">
        <v>0.34615384615384615</v>
      </c>
      <c r="P40" s="31">
        <v>0.47222222222222221</v>
      </c>
    </row>
    <row r="41" spans="1:16" x14ac:dyDescent="0.4">
      <c r="A41" s="33">
        <v>38</v>
      </c>
      <c r="B41" s="30">
        <v>-380.09999999999991</v>
      </c>
      <c r="C41" s="30">
        <v>-10.002631578947366</v>
      </c>
      <c r="D41" s="35">
        <v>2.2894736842105261</v>
      </c>
      <c r="E41" s="31">
        <v>0.23684210526315788</v>
      </c>
      <c r="F41" s="31">
        <v>0.52631578947368418</v>
      </c>
      <c r="G41" s="31">
        <v>0.26132404181184671</v>
      </c>
      <c r="H41" s="31">
        <v>0.25087108013937282</v>
      </c>
      <c r="I41" s="32">
        <v>11528</v>
      </c>
      <c r="J41" s="32">
        <v>-10098.611111111111</v>
      </c>
      <c r="K41" s="31">
        <v>0.28947368421052633</v>
      </c>
      <c r="L41" s="31">
        <v>0.26400000000000001</v>
      </c>
      <c r="M41" s="31">
        <v>0.20799999999999999</v>
      </c>
      <c r="N41" s="31">
        <v>0.59090909090909094</v>
      </c>
      <c r="O41" s="31">
        <v>0.34615384615384615</v>
      </c>
      <c r="P41" s="31">
        <v>0.48</v>
      </c>
    </row>
    <row r="42" spans="1:16" x14ac:dyDescent="0.4">
      <c r="A42" s="33">
        <v>39</v>
      </c>
      <c r="B42" s="30">
        <v>-360.49999999999989</v>
      </c>
      <c r="C42" s="30">
        <v>-9.2435897435897409</v>
      </c>
      <c r="D42" s="35">
        <v>2.2564102564102564</v>
      </c>
      <c r="E42" s="31">
        <v>0.25641025641025639</v>
      </c>
      <c r="F42" s="31">
        <v>0.51282051282051277</v>
      </c>
      <c r="G42" s="31">
        <v>0.26621160409556316</v>
      </c>
      <c r="H42" s="31">
        <v>0.24914675767918087</v>
      </c>
      <c r="I42" s="32">
        <v>11458.974358974359</v>
      </c>
      <c r="J42" s="32">
        <v>-9995.8904109589039</v>
      </c>
      <c r="K42" s="31">
        <v>0.28205128205128205</v>
      </c>
      <c r="L42" s="31">
        <v>0.2734375</v>
      </c>
      <c r="M42" s="31">
        <v>0.20703125</v>
      </c>
      <c r="N42" s="31">
        <v>0.6</v>
      </c>
      <c r="O42" s="31">
        <v>0.33962264150943394</v>
      </c>
      <c r="P42" s="31">
        <v>0.46153846153846156</v>
      </c>
    </row>
    <row r="43" spans="1:16" x14ac:dyDescent="0.4">
      <c r="A43" s="33">
        <v>40</v>
      </c>
      <c r="B43" s="30">
        <v>-378.59999999999991</v>
      </c>
      <c r="C43" s="30">
        <v>-9.4649999999999981</v>
      </c>
      <c r="D43" s="35">
        <v>2.2749999999999999</v>
      </c>
      <c r="E43" s="31">
        <v>0.25</v>
      </c>
      <c r="F43" s="31">
        <v>0.52500000000000002</v>
      </c>
      <c r="G43" s="31">
        <v>0.26821192052980131</v>
      </c>
      <c r="H43" s="31">
        <v>0.25165562913907286</v>
      </c>
      <c r="I43" s="32">
        <v>11392.592592592593</v>
      </c>
      <c r="J43" s="32">
        <v>-9786.8421052631584</v>
      </c>
      <c r="K43" s="31">
        <v>0.27500000000000002</v>
      </c>
      <c r="L43" s="31">
        <v>0.27547169811320754</v>
      </c>
      <c r="M43" s="31">
        <v>0.21509433962264152</v>
      </c>
      <c r="N43" s="31">
        <v>0.60273972602739723</v>
      </c>
      <c r="O43" s="31">
        <v>0.33333333333333331</v>
      </c>
      <c r="P43" s="31">
        <v>0.46913580246913578</v>
      </c>
    </row>
    <row r="44" spans="1:16" x14ac:dyDescent="0.4">
      <c r="A44" s="33">
        <v>41</v>
      </c>
      <c r="B44" s="30">
        <v>-366.59999999999991</v>
      </c>
      <c r="C44" s="30">
        <v>-8.9414634146341445</v>
      </c>
      <c r="D44" s="35">
        <v>2.2682926829268291</v>
      </c>
      <c r="E44" s="31">
        <v>0.24390243902439024</v>
      </c>
      <c r="F44" s="31">
        <v>0.51219512195121952</v>
      </c>
      <c r="G44" s="31">
        <v>0.27035830618892509</v>
      </c>
      <c r="H44" s="31">
        <v>0.24755700325732899</v>
      </c>
      <c r="I44" s="32">
        <v>11359.036144578313</v>
      </c>
      <c r="J44" s="32">
        <v>-9786.8421052631584</v>
      </c>
      <c r="K44" s="31">
        <v>0.26829268292682928</v>
      </c>
      <c r="L44" s="31">
        <v>0.27407407407407408</v>
      </c>
      <c r="M44" s="31">
        <v>0.21481481481481482</v>
      </c>
      <c r="N44" s="31">
        <v>0.60810810810810811</v>
      </c>
      <c r="O44" s="31">
        <v>0.32758620689655171</v>
      </c>
      <c r="P44" s="31">
        <v>0.46987951807228917</v>
      </c>
    </row>
    <row r="45" spans="1:16" x14ac:dyDescent="0.4">
      <c r="A45" s="33">
        <v>42</v>
      </c>
      <c r="B45" s="30">
        <v>-367.09999999999991</v>
      </c>
      <c r="C45" s="30">
        <v>-8.7404761904761887</v>
      </c>
      <c r="D45" s="35">
        <v>2.2619047619047619</v>
      </c>
      <c r="E45" s="31">
        <v>0.23809523809523808</v>
      </c>
      <c r="F45" s="31">
        <v>0.5</v>
      </c>
      <c r="G45" s="31">
        <v>0.26923076923076922</v>
      </c>
      <c r="H45" s="31">
        <v>0.24679487179487181</v>
      </c>
      <c r="I45" s="32">
        <v>11414.285714285714</v>
      </c>
      <c r="J45" s="32">
        <v>-9815.5844155844152</v>
      </c>
      <c r="K45" s="31">
        <v>0.26190476190476192</v>
      </c>
      <c r="L45" s="31">
        <v>0.27272727272727271</v>
      </c>
      <c r="M45" s="31">
        <v>0.21454545454545454</v>
      </c>
      <c r="N45" s="31">
        <v>0.61333333333333329</v>
      </c>
      <c r="O45" s="31">
        <v>0.32203389830508472</v>
      </c>
      <c r="P45" s="31">
        <v>0.47619047619047616</v>
      </c>
    </row>
    <row r="46" spans="1:16" x14ac:dyDescent="0.4">
      <c r="A46" s="33">
        <v>43</v>
      </c>
      <c r="B46" s="30">
        <v>-325.09999999999991</v>
      </c>
      <c r="C46" s="30">
        <v>-7.5604651162790679</v>
      </c>
      <c r="D46" s="35">
        <v>2.2325581395348837</v>
      </c>
      <c r="E46" s="31">
        <v>0.2558139534883721</v>
      </c>
      <c r="F46" s="31">
        <v>0.48837209302325579</v>
      </c>
      <c r="G46" s="31">
        <v>0.27848101265822783</v>
      </c>
      <c r="H46" s="31">
        <v>0.24367088607594936</v>
      </c>
      <c r="I46" s="32">
        <v>11361.363636363636</v>
      </c>
      <c r="J46" s="32">
        <v>-9815.5844155844152</v>
      </c>
      <c r="K46" s="31">
        <v>0.2558139534883721</v>
      </c>
      <c r="L46" s="31">
        <v>0.27598566308243727</v>
      </c>
      <c r="M46" s="31">
        <v>0.21863799283154123</v>
      </c>
      <c r="N46" s="31">
        <v>0.62337662337662336</v>
      </c>
      <c r="O46" s="31">
        <v>0.34426229508196721</v>
      </c>
      <c r="P46" s="31">
        <v>0.47727272727272729</v>
      </c>
    </row>
    <row r="47" spans="1:16" x14ac:dyDescent="0.4">
      <c r="A47" s="33">
        <v>44</v>
      </c>
      <c r="B47" s="30">
        <v>-330.89999999999992</v>
      </c>
      <c r="C47" s="30">
        <v>-7.5204545454545437</v>
      </c>
      <c r="D47" s="35">
        <v>2.2272727272727271</v>
      </c>
      <c r="E47" s="31">
        <v>0.25</v>
      </c>
      <c r="F47" s="31">
        <v>0.47727272727272729</v>
      </c>
      <c r="G47" s="31">
        <v>0.28834355828220859</v>
      </c>
      <c r="H47" s="31">
        <v>0.2392638036809816</v>
      </c>
      <c r="I47" s="32">
        <v>11053.191489361701</v>
      </c>
      <c r="J47" s="32">
        <v>-10100</v>
      </c>
      <c r="K47" s="31">
        <v>0.25</v>
      </c>
      <c r="L47" s="31">
        <v>0.28027681660899656</v>
      </c>
      <c r="M47" s="31">
        <v>0.22491349480968859</v>
      </c>
      <c r="N47" s="31">
        <v>0.62962962962962965</v>
      </c>
      <c r="O47" s="31">
        <v>0.36923076923076925</v>
      </c>
      <c r="P47" s="31">
        <v>0.45744680851063829</v>
      </c>
    </row>
    <row r="48" spans="1:16" x14ac:dyDescent="0.4">
      <c r="A48" s="33">
        <v>45</v>
      </c>
      <c r="B48" s="30">
        <v>-329.19999999999993</v>
      </c>
      <c r="C48" s="30">
        <v>-7.3155555555555543</v>
      </c>
      <c r="D48" s="35">
        <v>2.2222222222222223</v>
      </c>
      <c r="E48" s="31">
        <v>0.24444444444444444</v>
      </c>
      <c r="F48" s="31">
        <v>0.46666666666666667</v>
      </c>
      <c r="G48" s="31">
        <v>0.29376854599406527</v>
      </c>
      <c r="H48" s="31">
        <v>0.23738872403560832</v>
      </c>
      <c r="I48" s="32">
        <v>10793.939393939394</v>
      </c>
      <c r="J48" s="32">
        <v>-10196.25</v>
      </c>
      <c r="K48" s="31">
        <v>0.24444444444444444</v>
      </c>
      <c r="L48" s="31">
        <v>0.28000000000000003</v>
      </c>
      <c r="M48" s="31">
        <v>0.22666666666666666</v>
      </c>
      <c r="N48" s="31">
        <v>0.6428571428571429</v>
      </c>
      <c r="O48" s="31">
        <v>0.38235294117647056</v>
      </c>
      <c r="P48" s="31">
        <v>0.45454545454545453</v>
      </c>
    </row>
    <row r="49" spans="1:16" x14ac:dyDescent="0.4">
      <c r="A49" s="33">
        <v>46</v>
      </c>
      <c r="B49" s="30">
        <v>-363.39999999999992</v>
      </c>
      <c r="C49" s="30">
        <v>-7.8999999999999986</v>
      </c>
      <c r="D49" s="35">
        <v>2.2391304347826089</v>
      </c>
      <c r="E49" s="31">
        <v>0.2391304347826087</v>
      </c>
      <c r="F49" s="31">
        <v>0.47826086956521741</v>
      </c>
      <c r="G49" s="31">
        <v>0.28901734104046245</v>
      </c>
      <c r="H49" s="31">
        <v>0.23699421965317918</v>
      </c>
      <c r="I49" s="32">
        <v>10766</v>
      </c>
      <c r="J49" s="32">
        <v>-10035.365853658537</v>
      </c>
      <c r="K49" s="31">
        <v>0.2391304347826087</v>
      </c>
      <c r="L49" s="31">
        <v>0.28155339805825241</v>
      </c>
      <c r="M49" s="31">
        <v>0.22653721682847897</v>
      </c>
      <c r="N49" s="31">
        <v>0.62068965517241381</v>
      </c>
      <c r="O49" s="31">
        <v>0.38571428571428573</v>
      </c>
      <c r="P49" s="31">
        <v>0.46</v>
      </c>
    </row>
    <row r="50" spans="1:16" x14ac:dyDescent="0.4">
      <c r="A50" s="33">
        <v>47</v>
      </c>
      <c r="B50" s="30">
        <v>-351.39999999999992</v>
      </c>
      <c r="C50" s="30">
        <v>-7.4765957446808491</v>
      </c>
      <c r="D50" s="35">
        <v>2.2127659574468086</v>
      </c>
      <c r="E50" s="31">
        <v>0.25531914893617019</v>
      </c>
      <c r="F50" s="31">
        <v>0.46808510638297873</v>
      </c>
      <c r="G50" s="31">
        <v>0.2893258426966292</v>
      </c>
      <c r="H50" s="31">
        <v>0.23595505617977527</v>
      </c>
      <c r="I50" s="32">
        <v>10674.757281553399</v>
      </c>
      <c r="J50" s="32">
        <v>-9866.6666666666661</v>
      </c>
      <c r="K50" s="31">
        <v>0.23404255319148937</v>
      </c>
      <c r="L50" s="31">
        <v>0.29153605015673983</v>
      </c>
      <c r="M50" s="31">
        <v>0.21943573667711599</v>
      </c>
      <c r="N50" s="31">
        <v>0.60215053763440862</v>
      </c>
      <c r="O50" s="31">
        <v>0.38571428571428573</v>
      </c>
      <c r="P50" s="31">
        <v>0.44660194174757284</v>
      </c>
    </row>
    <row r="51" spans="1:16" x14ac:dyDescent="0.4">
      <c r="A51" s="33">
        <v>48</v>
      </c>
      <c r="B51" s="30">
        <v>-359.19999999999993</v>
      </c>
      <c r="C51" s="30">
        <v>-7.4833333333333316</v>
      </c>
      <c r="D51" s="35">
        <v>2.2083333333333335</v>
      </c>
      <c r="E51" s="31">
        <v>0.25</v>
      </c>
      <c r="F51" s="31">
        <v>0.45833333333333331</v>
      </c>
      <c r="G51" s="31">
        <v>0.28846153846153844</v>
      </c>
      <c r="H51" s="31">
        <v>0.23076923076923078</v>
      </c>
      <c r="I51" s="32">
        <v>10635.238095238095</v>
      </c>
      <c r="J51" s="32">
        <v>-9866.6666666666661</v>
      </c>
      <c r="K51" s="31">
        <v>0.22916666666666666</v>
      </c>
      <c r="L51" s="31">
        <v>0.29357798165137616</v>
      </c>
      <c r="M51" s="31">
        <v>0.22018348623853212</v>
      </c>
      <c r="N51" s="31">
        <v>0.59375</v>
      </c>
      <c r="O51" s="31">
        <v>0.3888888888888889</v>
      </c>
      <c r="P51" s="31">
        <v>0.44761904761904764</v>
      </c>
    </row>
    <row r="52" spans="1:16" x14ac:dyDescent="0.4">
      <c r="A52" s="33">
        <v>49</v>
      </c>
      <c r="B52" s="30">
        <v>-364.49999999999994</v>
      </c>
      <c r="C52" s="30">
        <v>-7.4387755102040805</v>
      </c>
      <c r="D52" s="35">
        <v>2.204081632653061</v>
      </c>
      <c r="E52" s="31">
        <v>0.24489795918367346</v>
      </c>
      <c r="F52" s="31">
        <v>0.44897959183673469</v>
      </c>
      <c r="G52" s="31">
        <v>0.29032258064516131</v>
      </c>
      <c r="H52" s="31">
        <v>0.23387096774193547</v>
      </c>
      <c r="I52" s="32">
        <v>10728.703703703704</v>
      </c>
      <c r="J52" s="32">
        <v>-9742.5287356321842</v>
      </c>
      <c r="K52" s="31">
        <v>0.22448979591836735</v>
      </c>
      <c r="L52" s="31">
        <v>0.29850746268656714</v>
      </c>
      <c r="M52" s="31">
        <v>0.22089552238805971</v>
      </c>
      <c r="N52" s="31">
        <v>0.57999999999999996</v>
      </c>
      <c r="O52" s="31">
        <v>0.39189189189189189</v>
      </c>
      <c r="P52" s="31">
        <v>0.46296296296296297</v>
      </c>
    </row>
    <row r="53" spans="1:16" x14ac:dyDescent="0.4">
      <c r="A53" s="33">
        <v>50</v>
      </c>
      <c r="B53" s="30">
        <v>-399.99999999999994</v>
      </c>
      <c r="C53" s="30">
        <v>-7.9999999999999991</v>
      </c>
      <c r="D53" s="35">
        <v>2.2200000000000002</v>
      </c>
      <c r="E53" s="31">
        <v>0.24</v>
      </c>
      <c r="F53" s="31">
        <v>0.46</v>
      </c>
      <c r="G53" s="31">
        <v>0.28647214854111408</v>
      </c>
      <c r="H53" s="31">
        <v>0.23607427055702918</v>
      </c>
      <c r="I53" s="32">
        <v>10728.703703703704</v>
      </c>
      <c r="J53" s="32">
        <v>-9793.258426966293</v>
      </c>
      <c r="K53" s="31">
        <v>0.24</v>
      </c>
      <c r="L53" s="31">
        <v>0.29705882352941176</v>
      </c>
      <c r="M53" s="31">
        <v>0.22058823529411764</v>
      </c>
      <c r="N53" s="31">
        <v>0.57425742574257421</v>
      </c>
      <c r="O53" s="31">
        <v>0.38666666666666666</v>
      </c>
      <c r="P53" s="31">
        <v>0.46296296296296297</v>
      </c>
    </row>
    <row r="54" spans="1:16" x14ac:dyDescent="0.4">
      <c r="A54" s="33">
        <v>51</v>
      </c>
      <c r="B54" s="30">
        <v>-409.99999999999994</v>
      </c>
      <c r="C54" s="30">
        <v>-8.0392156862745079</v>
      </c>
      <c r="D54" s="35">
        <v>2.215686274509804</v>
      </c>
      <c r="E54" s="31">
        <v>0.23529411764705882</v>
      </c>
      <c r="F54" s="31">
        <v>0.45098039215686275</v>
      </c>
      <c r="G54" s="31">
        <v>0.2890625</v>
      </c>
      <c r="H54" s="31">
        <v>0.234375</v>
      </c>
      <c r="I54" s="32">
        <v>10654.954954954956</v>
      </c>
      <c r="J54" s="32">
        <v>-10040</v>
      </c>
      <c r="K54" s="31">
        <v>0.23529411764705882</v>
      </c>
      <c r="L54" s="31">
        <v>0.29682997118155618</v>
      </c>
      <c r="M54" s="31">
        <v>0.21902017291066284</v>
      </c>
      <c r="N54" s="31">
        <v>0.58252427184466016</v>
      </c>
      <c r="O54" s="31">
        <v>0.39473684210526316</v>
      </c>
      <c r="P54" s="31">
        <v>0.45945945945945948</v>
      </c>
    </row>
    <row r="55" spans="1:16" x14ac:dyDescent="0.4">
      <c r="A55" s="33">
        <v>52</v>
      </c>
      <c r="B55" s="30">
        <v>-426.39999999999992</v>
      </c>
      <c r="C55" s="30">
        <v>-8.1999999999999993</v>
      </c>
      <c r="D55" s="35">
        <v>2.2307692307692308</v>
      </c>
      <c r="E55" s="31">
        <v>0.23076923076923078</v>
      </c>
      <c r="F55" s="31">
        <v>0.46153846153846156</v>
      </c>
      <c r="G55" s="31">
        <v>0.2875318066157761</v>
      </c>
      <c r="H55" s="31">
        <v>0.23918575063613232</v>
      </c>
      <c r="I55" s="32">
        <v>10749.557522123894</v>
      </c>
      <c r="J55" s="32">
        <v>-10037.234042553191</v>
      </c>
      <c r="K55" s="31">
        <v>0.23076923076923078</v>
      </c>
      <c r="L55" s="31">
        <v>0.29775280898876405</v>
      </c>
      <c r="M55" s="31">
        <v>0.21629213483146068</v>
      </c>
      <c r="N55" s="31">
        <v>0.58490566037735847</v>
      </c>
      <c r="O55" s="31">
        <v>0.38961038961038963</v>
      </c>
      <c r="P55" s="31">
        <v>0.45132743362831856</v>
      </c>
    </row>
    <row r="56" spans="1:16" x14ac:dyDescent="0.4">
      <c r="A56" s="33">
        <v>53</v>
      </c>
      <c r="B56" s="30">
        <v>-399.89999999999992</v>
      </c>
      <c r="C56" s="30">
        <v>-7.5452830188679227</v>
      </c>
      <c r="D56" s="35">
        <v>2.2075471698113209</v>
      </c>
      <c r="E56" s="31">
        <v>0.24528301886792453</v>
      </c>
      <c r="F56" s="31">
        <v>0.45283018867924529</v>
      </c>
      <c r="G56" s="31">
        <v>0.29104477611940299</v>
      </c>
      <c r="H56" s="31">
        <v>0.23880597014925373</v>
      </c>
      <c r="I56" s="32">
        <v>10792.307692307691</v>
      </c>
      <c r="J56" s="32">
        <v>-10036.458333333334</v>
      </c>
      <c r="K56" s="31">
        <v>0.22641509433962265</v>
      </c>
      <c r="L56" s="31">
        <v>0.29863013698630136</v>
      </c>
      <c r="M56" s="31">
        <v>0.21369863013698631</v>
      </c>
      <c r="N56" s="31">
        <v>0.59633027522935778</v>
      </c>
      <c r="O56" s="31">
        <v>0.39743589743589741</v>
      </c>
      <c r="P56" s="31">
        <v>0.46153846153846156</v>
      </c>
    </row>
    <row r="57" spans="1:16" x14ac:dyDescent="0.4">
      <c r="A57" s="33">
        <v>54</v>
      </c>
      <c r="B57" s="30">
        <v>-411.19999999999993</v>
      </c>
      <c r="C57" s="30">
        <v>-7.6148148148148138</v>
      </c>
      <c r="D57" s="35">
        <v>2.2222222222222223</v>
      </c>
      <c r="E57" s="31">
        <v>0.24074074074074073</v>
      </c>
      <c r="F57" s="31">
        <v>0.46296296296296297</v>
      </c>
      <c r="G57" s="31">
        <v>0.28953771289537711</v>
      </c>
      <c r="H57" s="31">
        <v>0.24087591240875914</v>
      </c>
      <c r="I57" s="32">
        <v>10689.0756302521</v>
      </c>
      <c r="J57" s="32">
        <v>-9869.69696969697</v>
      </c>
      <c r="K57" s="31">
        <v>0.22222222222222221</v>
      </c>
      <c r="L57" s="31">
        <v>0.30213903743315507</v>
      </c>
      <c r="M57" s="31">
        <v>0.21390374331550802</v>
      </c>
      <c r="N57" s="31">
        <v>0.59292035398230092</v>
      </c>
      <c r="O57" s="31">
        <v>0.38750000000000001</v>
      </c>
      <c r="P57" s="31">
        <v>0.46218487394957986</v>
      </c>
    </row>
    <row r="58" spans="1:16" x14ac:dyDescent="0.4">
      <c r="A58" s="33">
        <v>55</v>
      </c>
      <c r="B58" s="30">
        <v>-420.49999999999994</v>
      </c>
      <c r="C58" s="30">
        <v>-7.6454545454545446</v>
      </c>
      <c r="D58" s="35">
        <v>2.2181818181818183</v>
      </c>
      <c r="E58" s="31">
        <v>0.23636363636363636</v>
      </c>
      <c r="F58" s="31">
        <v>0.45454545454545453</v>
      </c>
      <c r="G58" s="31">
        <v>0.2860520094562648</v>
      </c>
      <c r="H58" s="31">
        <v>0.24113475177304963</v>
      </c>
      <c r="I58" s="32">
        <v>10842.975206611571</v>
      </c>
      <c r="J58" s="32">
        <v>-9790.1960784313724</v>
      </c>
      <c r="K58" s="31">
        <v>0.21818181818181817</v>
      </c>
      <c r="L58" s="31">
        <v>0.29792746113989638</v>
      </c>
      <c r="M58" s="31">
        <v>0.21502590673575128</v>
      </c>
      <c r="N58" s="31">
        <v>0.59130434782608698</v>
      </c>
      <c r="O58" s="31">
        <v>0.38554216867469882</v>
      </c>
      <c r="P58" s="31">
        <v>0.47107438016528924</v>
      </c>
    </row>
    <row r="59" spans="1:16" x14ac:dyDescent="0.4">
      <c r="A59" s="33">
        <v>56</v>
      </c>
      <c r="B59" s="30">
        <v>-395.39999999999992</v>
      </c>
      <c r="C59" s="30">
        <v>-7.0607142857142842</v>
      </c>
      <c r="D59" s="35">
        <v>2.1964285714285716</v>
      </c>
      <c r="E59" s="31">
        <v>0.25</v>
      </c>
      <c r="F59" s="31">
        <v>0.44642857142857145</v>
      </c>
      <c r="G59" s="31">
        <v>0.28837209302325584</v>
      </c>
      <c r="H59" s="31">
        <v>0.23953488372093024</v>
      </c>
      <c r="I59" s="32">
        <v>10838.709677419354</v>
      </c>
      <c r="J59" s="32">
        <v>-9733.0097087378635</v>
      </c>
      <c r="K59" s="31">
        <v>0.21428571428571427</v>
      </c>
      <c r="L59" s="31">
        <v>0.2951653944020356</v>
      </c>
      <c r="M59" s="31">
        <v>0.21882951653944022</v>
      </c>
      <c r="N59" s="31">
        <v>0.59482758620689657</v>
      </c>
      <c r="O59" s="31">
        <v>0.39534883720930231</v>
      </c>
      <c r="P59" s="31">
        <v>0.46774193548387094</v>
      </c>
    </row>
    <row r="60" spans="1:16" x14ac:dyDescent="0.4">
      <c r="A60" s="33">
        <v>57</v>
      </c>
      <c r="B60" s="30">
        <v>-428.89999999999992</v>
      </c>
      <c r="C60" s="30">
        <v>-7.5245614035087707</v>
      </c>
      <c r="D60" s="35">
        <v>2.2105263157894739</v>
      </c>
      <c r="E60" s="31">
        <v>0.24561403508771928</v>
      </c>
      <c r="F60" s="31">
        <v>0.45614035087719296</v>
      </c>
      <c r="G60" s="31">
        <v>0.2847380410022779</v>
      </c>
      <c r="H60" s="31">
        <v>0.24373576309794989</v>
      </c>
      <c r="I60" s="32">
        <v>10784</v>
      </c>
      <c r="J60" s="32">
        <v>-9642.9906542056069</v>
      </c>
      <c r="K60" s="31">
        <v>0.21052631578947367</v>
      </c>
      <c r="L60" s="31">
        <v>0.29104477611940299</v>
      </c>
      <c r="M60" s="31">
        <v>0.22139303482587064</v>
      </c>
      <c r="N60" s="31">
        <v>0.58974358974358976</v>
      </c>
      <c r="O60" s="31">
        <v>0.39325842696629215</v>
      </c>
      <c r="P60" s="31">
        <v>0.47199999999999998</v>
      </c>
    </row>
    <row r="61" spans="1:16" x14ac:dyDescent="0.4">
      <c r="A61" s="33">
        <v>58</v>
      </c>
      <c r="B61" s="30">
        <v>-466.39999999999992</v>
      </c>
      <c r="C61" s="30">
        <v>-8.0413793103448263</v>
      </c>
      <c r="D61" s="35">
        <v>2.2241379310344827</v>
      </c>
      <c r="E61" s="31">
        <v>0.2413793103448276</v>
      </c>
      <c r="F61" s="31">
        <v>0.46551724137931033</v>
      </c>
      <c r="G61" s="31">
        <v>0.28000000000000003</v>
      </c>
      <c r="H61" s="31">
        <v>0.24</v>
      </c>
      <c r="I61" s="32">
        <v>10761.904761904761</v>
      </c>
      <c r="J61" s="32">
        <v>-9664.8148148148157</v>
      </c>
      <c r="K61" s="31">
        <v>0.22413793103448276</v>
      </c>
      <c r="L61" s="31">
        <v>0.29055690072639223</v>
      </c>
      <c r="M61" s="31">
        <v>0.21791767554479419</v>
      </c>
      <c r="N61" s="31">
        <v>0.58333333333333337</v>
      </c>
      <c r="O61" s="31">
        <v>0.3888888888888889</v>
      </c>
      <c r="P61" s="31">
        <v>0.46825396825396826</v>
      </c>
    </row>
    <row r="62" spans="1:16" x14ac:dyDescent="0.4">
      <c r="A62" s="33">
        <v>59</v>
      </c>
      <c r="B62" s="30">
        <v>-475.7999999999999</v>
      </c>
      <c r="C62" s="30">
        <v>-8.0644067796610148</v>
      </c>
      <c r="D62" s="35">
        <v>2.2372881355932202</v>
      </c>
      <c r="E62" s="31">
        <v>0.23728813559322035</v>
      </c>
      <c r="F62" s="31">
        <v>0.47457627118644069</v>
      </c>
      <c r="G62" s="31">
        <v>0.28104575163398693</v>
      </c>
      <c r="H62" s="31">
        <v>0.23965141612200436</v>
      </c>
      <c r="I62" s="32">
        <v>10663.565891472868</v>
      </c>
      <c r="J62" s="32">
        <v>-9670.9090909090901</v>
      </c>
      <c r="K62" s="31">
        <v>0.22033898305084745</v>
      </c>
      <c r="L62" s="31">
        <v>0.29146919431279622</v>
      </c>
      <c r="M62" s="31">
        <v>0.21800947867298578</v>
      </c>
      <c r="N62" s="31">
        <v>0.5934959349593496</v>
      </c>
      <c r="O62" s="31">
        <v>0.38043478260869568</v>
      </c>
      <c r="P62" s="31">
        <v>0.47286821705426357</v>
      </c>
    </row>
    <row r="63" spans="1:16" x14ac:dyDescent="0.4">
      <c r="A63" s="33">
        <v>60</v>
      </c>
      <c r="B63" s="30">
        <v>-475.2999999999999</v>
      </c>
      <c r="C63" s="30">
        <v>-7.9216666666666651</v>
      </c>
      <c r="D63" s="35">
        <v>2.2333333333333334</v>
      </c>
      <c r="E63" s="31">
        <v>0.23333333333333334</v>
      </c>
      <c r="F63" s="31">
        <v>0.46666666666666667</v>
      </c>
      <c r="G63" s="31">
        <v>0.28265524625267668</v>
      </c>
      <c r="H63" s="31">
        <v>0.23768736616702354</v>
      </c>
      <c r="I63" s="32">
        <v>10678.787878787878</v>
      </c>
      <c r="J63" s="32">
        <v>-9691.8918918918916</v>
      </c>
      <c r="K63" s="31">
        <v>0.21666666666666667</v>
      </c>
      <c r="L63" s="31">
        <v>0.29534883720930233</v>
      </c>
      <c r="M63" s="31">
        <v>0.21860465116279071</v>
      </c>
      <c r="N63" s="31">
        <v>0.59055118110236215</v>
      </c>
      <c r="O63" s="31">
        <v>0.38297872340425532</v>
      </c>
      <c r="P63" s="31">
        <v>0.4621212121212121</v>
      </c>
    </row>
    <row r="64" spans="1:16" x14ac:dyDescent="0.4">
      <c r="A64" s="33">
        <v>61</v>
      </c>
      <c r="B64" s="30">
        <v>-487.39999999999992</v>
      </c>
      <c r="C64" s="30">
        <v>-7.9901639344262279</v>
      </c>
      <c r="D64" s="35">
        <v>2.2459016393442623</v>
      </c>
      <c r="E64" s="31">
        <v>0.22950819672131148</v>
      </c>
      <c r="F64" s="31">
        <v>0.47540983606557374</v>
      </c>
      <c r="G64" s="31">
        <v>0.28000000000000003</v>
      </c>
      <c r="H64" s="31">
        <v>0.23789473684210527</v>
      </c>
      <c r="I64" s="32">
        <v>10658.646616541353</v>
      </c>
      <c r="J64" s="32">
        <v>-9614.1592920353978</v>
      </c>
      <c r="K64" s="31">
        <v>0.21311475409836064</v>
      </c>
      <c r="L64" s="31">
        <v>0.29680365296803651</v>
      </c>
      <c r="M64" s="31">
        <v>0.21917808219178081</v>
      </c>
      <c r="N64" s="31">
        <v>0.57692307692307687</v>
      </c>
      <c r="O64" s="31">
        <v>0.375</v>
      </c>
      <c r="P64" s="31">
        <v>0.46616541353383456</v>
      </c>
    </row>
    <row r="65" spans="1:16" x14ac:dyDescent="0.4">
      <c r="A65" s="33">
        <v>62</v>
      </c>
      <c r="B65" s="30">
        <v>-492.59999999999991</v>
      </c>
      <c r="C65" s="30">
        <v>-7.945161290322579</v>
      </c>
      <c r="D65" s="35">
        <v>2.2419354838709675</v>
      </c>
      <c r="E65" s="31">
        <v>0.22580645161290322</v>
      </c>
      <c r="F65" s="31">
        <v>0.46774193548387094</v>
      </c>
      <c r="G65" s="31">
        <v>0.28041237113402062</v>
      </c>
      <c r="H65" s="31">
        <v>0.23711340206185566</v>
      </c>
      <c r="I65" s="32">
        <v>10600</v>
      </c>
      <c r="J65" s="32">
        <v>-9648.6956521739139</v>
      </c>
      <c r="K65" s="31">
        <v>0.20967741935483872</v>
      </c>
      <c r="L65" s="31">
        <v>0.29464285714285715</v>
      </c>
      <c r="M65" s="31">
        <v>0.21651785714285715</v>
      </c>
      <c r="N65" s="31">
        <v>0.58333333333333337</v>
      </c>
      <c r="O65" s="31">
        <v>0.38144329896907214</v>
      </c>
      <c r="P65" s="31">
        <v>0.47058823529411764</v>
      </c>
    </row>
    <row r="66" spans="1:16" x14ac:dyDescent="0.4">
      <c r="A66" s="33">
        <v>63</v>
      </c>
      <c r="B66" s="30">
        <v>-416.09999999999991</v>
      </c>
      <c r="C66" s="30">
        <v>-6.6047619047619035</v>
      </c>
      <c r="D66" s="35">
        <v>2.2222222222222223</v>
      </c>
      <c r="E66" s="31">
        <v>0.23809523809523808</v>
      </c>
      <c r="F66" s="31">
        <v>0.46031746031746029</v>
      </c>
      <c r="G66" s="31">
        <v>0.28973843058350102</v>
      </c>
      <c r="H66" s="31">
        <v>0.23340040241448692</v>
      </c>
      <c r="I66" s="32">
        <v>10589.583333333334</v>
      </c>
      <c r="J66" s="32">
        <v>-9620.689655172413</v>
      </c>
      <c r="K66" s="31">
        <v>0.20634920634920634</v>
      </c>
      <c r="L66" s="31">
        <v>0.30434782608695654</v>
      </c>
      <c r="M66" s="31">
        <v>0.21304347826086956</v>
      </c>
      <c r="N66" s="31">
        <v>0.6</v>
      </c>
      <c r="O66" s="31">
        <v>0.37755102040816324</v>
      </c>
      <c r="P66" s="31">
        <v>0.46527777777777779</v>
      </c>
    </row>
    <row r="67" spans="1:16" x14ac:dyDescent="0.4">
      <c r="A67" s="33">
        <v>64</v>
      </c>
      <c r="B67" s="30">
        <v>-451.89999999999992</v>
      </c>
      <c r="C67" s="30">
        <v>-7.0609374999999988</v>
      </c>
      <c r="D67" s="35">
        <v>2.234375</v>
      </c>
      <c r="E67" s="31">
        <v>0.234375</v>
      </c>
      <c r="F67" s="31">
        <v>0.46875</v>
      </c>
      <c r="G67" s="31">
        <v>0.28827037773359843</v>
      </c>
      <c r="H67" s="31">
        <v>0.23459244532803181</v>
      </c>
      <c r="I67" s="32">
        <v>10552.413793103447</v>
      </c>
      <c r="J67" s="32">
        <v>-9705.0847457627115</v>
      </c>
      <c r="K67" s="31">
        <v>0.21875</v>
      </c>
      <c r="L67" s="31">
        <v>0.30472103004291845</v>
      </c>
      <c r="M67" s="31">
        <v>0.21030042918454936</v>
      </c>
      <c r="N67" s="31">
        <v>0.59859154929577463</v>
      </c>
      <c r="O67" s="31">
        <v>0.37755102040816324</v>
      </c>
      <c r="P67" s="31">
        <v>0.46206896551724136</v>
      </c>
    </row>
    <row r="68" spans="1:16" x14ac:dyDescent="0.4">
      <c r="A68" s="33">
        <v>65</v>
      </c>
      <c r="B68" s="30">
        <v>-454.09999999999991</v>
      </c>
      <c r="C68" s="30">
        <v>-6.9861538461538446</v>
      </c>
      <c r="D68" s="35">
        <v>2.2307692307692308</v>
      </c>
      <c r="E68" s="31">
        <v>0.23076923076923078</v>
      </c>
      <c r="F68" s="31">
        <v>0.46153846153846156</v>
      </c>
      <c r="G68" s="31">
        <v>0.2874015748031496</v>
      </c>
      <c r="H68" s="31">
        <v>0.23425196850393701</v>
      </c>
      <c r="I68" s="32">
        <v>10562.328767123288</v>
      </c>
      <c r="J68" s="32">
        <v>-9650.4201680672268</v>
      </c>
      <c r="K68" s="31">
        <v>0.2153846153846154</v>
      </c>
      <c r="L68" s="31">
        <v>0.30360934182590232</v>
      </c>
      <c r="M68" s="31">
        <v>0.21019108280254778</v>
      </c>
      <c r="N68" s="31">
        <v>0.59440559440559437</v>
      </c>
      <c r="O68" s="31">
        <v>0.37373737373737376</v>
      </c>
      <c r="P68" s="31">
        <v>0.46575342465753422</v>
      </c>
    </row>
    <row r="69" spans="1:16" x14ac:dyDescent="0.4">
      <c r="A69" s="33">
        <v>66</v>
      </c>
      <c r="B69" s="30">
        <v>-470.99999999999989</v>
      </c>
      <c r="C69" s="30">
        <v>-7.1363636363636349</v>
      </c>
      <c r="D69" s="35">
        <v>2.2424242424242422</v>
      </c>
      <c r="E69" s="31">
        <v>0.22727272727272727</v>
      </c>
      <c r="F69" s="31">
        <v>0.46969696969696972</v>
      </c>
      <c r="G69" s="31">
        <v>0.28294573643410853</v>
      </c>
      <c r="H69" s="31">
        <v>0.23255813953488372</v>
      </c>
      <c r="I69" s="32">
        <v>10562.328767123288</v>
      </c>
      <c r="J69" s="32">
        <v>-9602.5</v>
      </c>
      <c r="K69" s="31">
        <v>0.21212121212121213</v>
      </c>
      <c r="L69" s="31">
        <v>0.30062630480167013</v>
      </c>
      <c r="M69" s="31">
        <v>0.21085594989561587</v>
      </c>
      <c r="N69" s="31">
        <v>0.59027777777777779</v>
      </c>
      <c r="O69" s="31">
        <v>0.36633663366336633</v>
      </c>
      <c r="P69" s="31">
        <v>0.46575342465753422</v>
      </c>
    </row>
    <row r="70" spans="1:16" x14ac:dyDescent="0.4">
      <c r="A70" s="33">
        <v>67</v>
      </c>
      <c r="B70" s="30">
        <v>-508.39999999999986</v>
      </c>
      <c r="C70" s="30">
        <v>-7.5880597014925355</v>
      </c>
      <c r="D70" s="35">
        <v>2.2537313432835822</v>
      </c>
      <c r="E70" s="31">
        <v>0.22388059701492538</v>
      </c>
      <c r="F70" s="31">
        <v>0.47761194029850745</v>
      </c>
      <c r="G70" s="31">
        <v>0.28000000000000003</v>
      </c>
      <c r="H70" s="31">
        <v>0.23428571428571429</v>
      </c>
      <c r="I70" s="32">
        <v>10599.319727891156</v>
      </c>
      <c r="J70" s="32">
        <v>-9550.4065040650403</v>
      </c>
      <c r="K70" s="31">
        <v>0.22388059701492538</v>
      </c>
      <c r="L70" s="31">
        <v>0.29713114754098363</v>
      </c>
      <c r="M70" s="31">
        <v>0.21106557377049182</v>
      </c>
      <c r="N70" s="31">
        <v>0.59310344827586203</v>
      </c>
      <c r="O70" s="31">
        <v>0.35922330097087379</v>
      </c>
      <c r="P70" s="31">
        <v>0.46938775510204084</v>
      </c>
    </row>
    <row r="71" spans="1:16" x14ac:dyDescent="0.4">
      <c r="A71" s="33">
        <v>68</v>
      </c>
      <c r="B71" s="30">
        <v>-418.69999999999987</v>
      </c>
      <c r="C71" s="30">
        <v>-6.1573529411764687</v>
      </c>
      <c r="D71" s="35">
        <v>2.2352941176470589</v>
      </c>
      <c r="E71" s="31">
        <v>0.23529411764705882</v>
      </c>
      <c r="F71" s="31">
        <v>0.47058823529411764</v>
      </c>
      <c r="G71" s="31">
        <v>0.28625235404896421</v>
      </c>
      <c r="H71" s="31">
        <v>0.23163841807909605</v>
      </c>
      <c r="I71" s="32">
        <v>10788.157894736842</v>
      </c>
      <c r="J71" s="32">
        <v>-9550.4065040650403</v>
      </c>
      <c r="K71" s="31">
        <v>0.22058823529411764</v>
      </c>
      <c r="L71" s="31">
        <v>0.29959514170040485</v>
      </c>
      <c r="M71" s="31">
        <v>0.20850202429149797</v>
      </c>
      <c r="N71" s="31">
        <v>0.60135135135135132</v>
      </c>
      <c r="O71" s="31">
        <v>0.35922330097087379</v>
      </c>
      <c r="P71" s="31">
        <v>0.46052631578947367</v>
      </c>
    </row>
    <row r="72" spans="1:16" x14ac:dyDescent="0.4">
      <c r="A72" s="33">
        <v>69</v>
      </c>
      <c r="B72" s="30">
        <v>-387.49999999999989</v>
      </c>
      <c r="C72" s="30">
        <v>-5.615942028985506</v>
      </c>
      <c r="D72" s="35">
        <v>2.2173913043478262</v>
      </c>
      <c r="E72" s="31">
        <v>0.24637681159420291</v>
      </c>
      <c r="F72" s="31">
        <v>0.46376811594202899</v>
      </c>
      <c r="G72" s="31">
        <v>0.29151291512915128</v>
      </c>
      <c r="H72" s="31">
        <v>0.22878228782287824</v>
      </c>
      <c r="I72" s="32">
        <v>10778.481012658227</v>
      </c>
      <c r="J72" s="32">
        <v>-9570.1612903225814</v>
      </c>
      <c r="K72" s="31">
        <v>0.21739130434782608</v>
      </c>
      <c r="L72" s="31">
        <v>0.30297029702970296</v>
      </c>
      <c r="M72" s="31">
        <v>0.20594059405940593</v>
      </c>
      <c r="N72" s="31">
        <v>0.6143790849673203</v>
      </c>
      <c r="O72" s="31">
        <v>0.36538461538461536</v>
      </c>
      <c r="P72" s="31">
        <v>0.46202531645569622</v>
      </c>
    </row>
    <row r="73" spans="1:16" x14ac:dyDescent="0.4">
      <c r="A73" s="33">
        <v>70</v>
      </c>
      <c r="B73" s="30">
        <v>-347.2999999999999</v>
      </c>
      <c r="C73" s="30">
        <v>-4.96142857142857</v>
      </c>
      <c r="D73" s="35">
        <v>2.2000000000000002</v>
      </c>
      <c r="E73" s="31">
        <v>0.25714285714285712</v>
      </c>
      <c r="F73" s="31">
        <v>0.45714285714285713</v>
      </c>
      <c r="G73" s="31">
        <v>0.29690346083788705</v>
      </c>
      <c r="H73" s="31">
        <v>0.22586520947176686</v>
      </c>
      <c r="I73" s="32">
        <v>10755.828220858895</v>
      </c>
      <c r="J73" s="32">
        <v>-9570.1612903225814</v>
      </c>
      <c r="K73" s="31">
        <v>0.21428571428571427</v>
      </c>
      <c r="L73" s="31">
        <v>0.3046875</v>
      </c>
      <c r="M73" s="31">
        <v>0.205078125</v>
      </c>
      <c r="N73" s="31">
        <v>0.62179487179487181</v>
      </c>
      <c r="O73" s="31">
        <v>0.37142857142857144</v>
      </c>
      <c r="P73" s="31">
        <v>0.46012269938650308</v>
      </c>
    </row>
    <row r="74" spans="1:16" x14ac:dyDescent="0.4">
      <c r="A74" s="33">
        <v>71</v>
      </c>
      <c r="B74" s="30">
        <v>-368.2999999999999</v>
      </c>
      <c r="C74" s="30">
        <v>-5.18732394366197</v>
      </c>
      <c r="D74" s="35">
        <v>2.1971830985915495</v>
      </c>
      <c r="E74" s="31">
        <v>0.25352112676056338</v>
      </c>
      <c r="F74" s="31">
        <v>0.45070422535211269</v>
      </c>
      <c r="G74" s="31">
        <v>0.29475587703435807</v>
      </c>
      <c r="H74" s="31">
        <v>0.22784810126582278</v>
      </c>
      <c r="I74" s="32">
        <v>10755.828220858895</v>
      </c>
      <c r="J74" s="32">
        <v>-9576.9841269841272</v>
      </c>
      <c r="K74" s="31">
        <v>0.21126760563380281</v>
      </c>
      <c r="L74" s="31">
        <v>0.30426356589147285</v>
      </c>
      <c r="M74" s="31">
        <v>0.20348837209302326</v>
      </c>
      <c r="N74" s="31">
        <v>0.61783439490445857</v>
      </c>
      <c r="O74" s="31">
        <v>0.37142857142857144</v>
      </c>
      <c r="P74" s="31">
        <v>0.46012269938650308</v>
      </c>
    </row>
    <row r="75" spans="1:16" x14ac:dyDescent="0.4">
      <c r="A75" s="33">
        <v>72</v>
      </c>
      <c r="B75" s="30">
        <v>-404.2999999999999</v>
      </c>
      <c r="C75" s="30">
        <v>-5.6152777777777763</v>
      </c>
      <c r="D75" s="35">
        <v>2.2083333333333335</v>
      </c>
      <c r="E75" s="31">
        <v>0.25</v>
      </c>
      <c r="F75" s="31">
        <v>0.45833333333333331</v>
      </c>
      <c r="G75" s="31">
        <v>0.29422382671480146</v>
      </c>
      <c r="H75" s="31">
        <v>0.2292418772563177</v>
      </c>
      <c r="I75" s="32">
        <v>10755.828220858895</v>
      </c>
      <c r="J75" s="32">
        <v>-9785.0393700787408</v>
      </c>
      <c r="K75" s="31">
        <v>0.22222222222222221</v>
      </c>
      <c r="L75" s="31">
        <v>0.30367504835589942</v>
      </c>
      <c r="M75" s="31">
        <v>0.20502901353965183</v>
      </c>
      <c r="N75" s="31">
        <v>0.61783439490445857</v>
      </c>
      <c r="O75" s="31">
        <v>0.36792452830188677</v>
      </c>
      <c r="P75" s="31">
        <v>0.46012269938650308</v>
      </c>
    </row>
    <row r="76" spans="1:16" x14ac:dyDescent="0.4">
      <c r="A76" s="33">
        <v>73</v>
      </c>
      <c r="B76" s="30">
        <v>-413.69999999999987</v>
      </c>
      <c r="C76" s="30">
        <v>-5.667123287671231</v>
      </c>
      <c r="D76" s="35">
        <v>2.2054794520547945</v>
      </c>
      <c r="E76" s="31">
        <v>0.24657534246575341</v>
      </c>
      <c r="F76" s="31">
        <v>0.45205479452054792</v>
      </c>
      <c r="G76" s="31">
        <v>0.29484902309058614</v>
      </c>
      <c r="H76" s="31">
        <v>0.22912966252220249</v>
      </c>
      <c r="I76" s="32">
        <v>10793.975903614459</v>
      </c>
      <c r="J76" s="32">
        <v>-9834.8837209302328</v>
      </c>
      <c r="K76" s="31">
        <v>0.21917808219178081</v>
      </c>
      <c r="L76" s="31">
        <v>0.30418250950570341</v>
      </c>
      <c r="M76" s="31">
        <v>0.20532319391634982</v>
      </c>
      <c r="N76" s="31">
        <v>0.625</v>
      </c>
      <c r="O76" s="31">
        <v>0.3611111111111111</v>
      </c>
      <c r="P76" s="31">
        <v>0.46385542168674698</v>
      </c>
    </row>
    <row r="77" spans="1:16" x14ac:dyDescent="0.4">
      <c r="A77" s="33">
        <v>74</v>
      </c>
      <c r="B77" s="30">
        <v>-399.19999999999987</v>
      </c>
      <c r="C77" s="30">
        <v>-5.3945945945945928</v>
      </c>
      <c r="D77" s="35">
        <v>2.189189189189189</v>
      </c>
      <c r="E77" s="31">
        <v>0.25675675675675674</v>
      </c>
      <c r="F77" s="31">
        <v>0.44594594594594594</v>
      </c>
      <c r="G77" s="31">
        <v>0.29597197898423816</v>
      </c>
      <c r="H77" s="31">
        <v>0.22591943957968477</v>
      </c>
      <c r="I77" s="32">
        <v>10751.479289940828</v>
      </c>
      <c r="J77" s="32">
        <v>-9834.8837209302328</v>
      </c>
      <c r="K77" s="31">
        <v>0.21621621621621623</v>
      </c>
      <c r="L77" s="31">
        <v>0.30524344569288392</v>
      </c>
      <c r="M77" s="31">
        <v>0.20411985018726592</v>
      </c>
      <c r="N77" s="31">
        <v>0.62576687116564422</v>
      </c>
      <c r="O77" s="31">
        <v>0.3669724770642202</v>
      </c>
      <c r="P77" s="31">
        <v>0.46153846153846156</v>
      </c>
    </row>
    <row r="78" spans="1:16" x14ac:dyDescent="0.4">
      <c r="A78" s="33">
        <v>75</v>
      </c>
      <c r="B78" s="30">
        <v>-438.59999999999985</v>
      </c>
      <c r="C78" s="30">
        <v>-5.8479999999999981</v>
      </c>
      <c r="D78" s="35">
        <v>2.2000000000000002</v>
      </c>
      <c r="E78" s="31">
        <v>0.25333333333333335</v>
      </c>
      <c r="F78" s="31">
        <v>0.45333333333333331</v>
      </c>
      <c r="G78" s="31">
        <v>0.29411764705882354</v>
      </c>
      <c r="H78" s="31">
        <v>0.22664359861591696</v>
      </c>
      <c r="I78" s="32">
        <v>10718.823529411764</v>
      </c>
      <c r="J78" s="32">
        <v>-9944.2748091603062</v>
      </c>
      <c r="K78" s="31">
        <v>0.22666666666666666</v>
      </c>
      <c r="L78" s="31">
        <v>0.30868761552680224</v>
      </c>
      <c r="M78" s="31">
        <v>0.20517560073937152</v>
      </c>
      <c r="N78" s="31">
        <v>0.61676646706586824</v>
      </c>
      <c r="O78" s="31">
        <v>0.36036036036036034</v>
      </c>
      <c r="P78" s="31">
        <v>0.45882352941176469</v>
      </c>
    </row>
    <row r="79" spans="1:16" x14ac:dyDescent="0.4">
      <c r="A79" s="33">
        <v>76</v>
      </c>
      <c r="B79" s="30">
        <v>-437.19999999999987</v>
      </c>
      <c r="C79" s="30">
        <v>-5.7526315789473665</v>
      </c>
      <c r="D79" s="35">
        <v>2.1973684210526314</v>
      </c>
      <c r="E79" s="31">
        <v>0.25</v>
      </c>
      <c r="F79" s="31">
        <v>0.44736842105263158</v>
      </c>
      <c r="G79" s="31">
        <v>0.29761904761904762</v>
      </c>
      <c r="H79" s="31">
        <v>0.22619047619047619</v>
      </c>
      <c r="I79" s="32">
        <v>10608.571428571429</v>
      </c>
      <c r="J79" s="32">
        <v>-9914.2857142857138</v>
      </c>
      <c r="K79" s="31">
        <v>0.22368421052631579</v>
      </c>
      <c r="L79" s="31">
        <v>0.31034482758620691</v>
      </c>
      <c r="M79" s="31">
        <v>0.20689655172413793</v>
      </c>
      <c r="N79" s="31">
        <v>0.6257309941520468</v>
      </c>
      <c r="O79" s="31">
        <v>0.35964912280701755</v>
      </c>
      <c r="P79" s="31">
        <v>0.45714285714285713</v>
      </c>
    </row>
    <row r="80" spans="1:16" x14ac:dyDescent="0.4">
      <c r="A80" s="33">
        <v>77</v>
      </c>
      <c r="B80" s="30">
        <v>-439.99999999999989</v>
      </c>
      <c r="C80" s="30">
        <v>-5.7142857142857126</v>
      </c>
      <c r="D80" s="35">
        <v>2.1948051948051948</v>
      </c>
      <c r="E80" s="31">
        <v>0.24675324675324675</v>
      </c>
      <c r="F80" s="31">
        <v>0.44155844155844154</v>
      </c>
      <c r="G80" s="31">
        <v>0.29530201342281881</v>
      </c>
      <c r="H80" s="31">
        <v>0.22483221476510068</v>
      </c>
      <c r="I80" s="32">
        <v>10577.84090909091</v>
      </c>
      <c r="J80" s="32">
        <v>-9855.2238805970155</v>
      </c>
      <c r="K80" s="31">
        <v>0.22077922077922077</v>
      </c>
      <c r="L80" s="31">
        <v>0.30948121645796062</v>
      </c>
      <c r="M80" s="31">
        <v>0.2075134168157424</v>
      </c>
      <c r="N80" s="31">
        <v>0.62427745664739887</v>
      </c>
      <c r="O80" s="31">
        <v>0.35344827586206895</v>
      </c>
      <c r="P80" s="31">
        <v>0.45454545454545453</v>
      </c>
    </row>
    <row r="81" spans="1:16" x14ac:dyDescent="0.4">
      <c r="A81" s="33">
        <v>78</v>
      </c>
      <c r="B81" s="30">
        <v>-428.19999999999987</v>
      </c>
      <c r="C81" s="30">
        <v>-5.489743589743588</v>
      </c>
      <c r="D81" s="35">
        <v>2.1794871794871793</v>
      </c>
      <c r="E81" s="31">
        <v>0.25641025641025639</v>
      </c>
      <c r="F81" s="31">
        <v>0.4358974358974359</v>
      </c>
      <c r="G81" s="31">
        <v>0.29470198675496689</v>
      </c>
      <c r="H81" s="31">
        <v>0.22682119205298013</v>
      </c>
      <c r="I81" s="32">
        <v>10661.23595505618</v>
      </c>
      <c r="J81" s="32">
        <v>-9823.3576642335775</v>
      </c>
      <c r="K81" s="31">
        <v>0.21794871794871795</v>
      </c>
      <c r="L81" s="31">
        <v>0.31040564373897706</v>
      </c>
      <c r="M81" s="31">
        <v>0.20987654320987653</v>
      </c>
      <c r="N81" s="31">
        <v>0.61931818181818177</v>
      </c>
      <c r="O81" s="31">
        <v>0.35294117647058826</v>
      </c>
      <c r="P81" s="31">
        <v>0.4606741573033708</v>
      </c>
    </row>
    <row r="82" spans="1:16" x14ac:dyDescent="0.4">
      <c r="A82" s="33">
        <v>79</v>
      </c>
      <c r="B82" s="30">
        <v>-443.2999999999999</v>
      </c>
      <c r="C82" s="30">
        <v>-5.61139240506329</v>
      </c>
      <c r="D82" s="35">
        <v>2.1898734177215191</v>
      </c>
      <c r="E82" s="31">
        <v>0.25316455696202533</v>
      </c>
      <c r="F82" s="31">
        <v>0.44303797468354428</v>
      </c>
      <c r="G82" s="31">
        <v>0.29411764705882354</v>
      </c>
      <c r="H82" s="31">
        <v>0.22712418300653595</v>
      </c>
      <c r="I82" s="32">
        <v>10603.888888888889</v>
      </c>
      <c r="J82" s="32">
        <v>-9765.4676258992804</v>
      </c>
      <c r="K82" s="31">
        <v>0.21518987341772153</v>
      </c>
      <c r="L82" s="31">
        <v>0.30608695652173912</v>
      </c>
      <c r="M82" s="31">
        <v>0.20869565217391303</v>
      </c>
      <c r="N82" s="31">
        <v>0.61931818181818177</v>
      </c>
      <c r="O82" s="31">
        <v>0.35833333333333334</v>
      </c>
      <c r="P82" s="31">
        <v>0.46666666666666667</v>
      </c>
    </row>
    <row r="83" spans="1:16" x14ac:dyDescent="0.4">
      <c r="A83" s="33">
        <v>80</v>
      </c>
      <c r="B83" s="30">
        <v>-454.99999999999989</v>
      </c>
      <c r="C83" s="30">
        <v>-5.6874999999999982</v>
      </c>
      <c r="D83" s="35">
        <v>2.1875</v>
      </c>
      <c r="E83" s="31">
        <v>0.25</v>
      </c>
      <c r="F83" s="31">
        <v>0.4375</v>
      </c>
      <c r="G83" s="31">
        <v>0.29288025889967639</v>
      </c>
      <c r="H83" s="31">
        <v>0.22491909385113268</v>
      </c>
      <c r="I83" s="32">
        <v>10611.602209944751</v>
      </c>
      <c r="J83" s="32">
        <v>-9765.4676258992804</v>
      </c>
      <c r="K83" s="31">
        <v>0.21249999999999999</v>
      </c>
      <c r="L83" s="31">
        <v>0.30636833046471601</v>
      </c>
      <c r="M83" s="31">
        <v>0.20826161790017211</v>
      </c>
      <c r="N83" s="31">
        <v>0.61235955056179781</v>
      </c>
      <c r="O83" s="31">
        <v>0.35537190082644626</v>
      </c>
      <c r="P83" s="31">
        <v>0.46961325966850831</v>
      </c>
    </row>
    <row r="84" spans="1:16" x14ac:dyDescent="0.4">
      <c r="A84" s="33">
        <v>81</v>
      </c>
      <c r="B84" s="30">
        <v>-398.59999999999991</v>
      </c>
      <c r="C84" s="30">
        <v>-4.9209876543209869</v>
      </c>
      <c r="D84" s="35">
        <v>2.1728395061728394</v>
      </c>
      <c r="E84" s="31">
        <v>0.25925925925925924</v>
      </c>
      <c r="F84" s="31">
        <v>0.43209876543209874</v>
      </c>
      <c r="G84" s="31">
        <v>0.2969502407704655</v>
      </c>
      <c r="H84" s="31">
        <v>0.2231139646869984</v>
      </c>
      <c r="I84" s="32">
        <v>10651.891891891892</v>
      </c>
      <c r="J84" s="32">
        <v>-9765.4676258992804</v>
      </c>
      <c r="K84" s="31">
        <v>0.20987654320987653</v>
      </c>
      <c r="L84" s="31">
        <v>0.30716723549488056</v>
      </c>
      <c r="M84" s="31">
        <v>0.20989761092150169</v>
      </c>
      <c r="N84" s="31">
        <v>0.6166666666666667</v>
      </c>
      <c r="O84" s="31">
        <v>0.36585365853658536</v>
      </c>
      <c r="P84" s="31">
        <v>0.4702702702702703</v>
      </c>
    </row>
    <row r="85" spans="1:16" x14ac:dyDescent="0.4">
      <c r="A85" s="33">
        <v>82</v>
      </c>
      <c r="B85" s="30">
        <v>-353.59999999999991</v>
      </c>
      <c r="C85" s="30">
        <v>-4.312195121951218</v>
      </c>
      <c r="D85" s="35">
        <v>2.1585365853658538</v>
      </c>
      <c r="E85" s="31">
        <v>0.26829268292682928</v>
      </c>
      <c r="F85" s="31">
        <v>0.42682926829268292</v>
      </c>
      <c r="G85" s="31">
        <v>0.29665071770334928</v>
      </c>
      <c r="H85" s="31">
        <v>0.22169059011164274</v>
      </c>
      <c r="I85" s="32">
        <v>10852.68817204301</v>
      </c>
      <c r="J85" s="32">
        <v>-9765.4676258992804</v>
      </c>
      <c r="K85" s="31">
        <v>0.2073170731707317</v>
      </c>
      <c r="L85" s="31">
        <v>0.30847457627118646</v>
      </c>
      <c r="M85" s="31">
        <v>0.20847457627118643</v>
      </c>
      <c r="N85" s="31">
        <v>0.61538461538461542</v>
      </c>
      <c r="O85" s="31">
        <v>0.36585365853658536</v>
      </c>
      <c r="P85" s="31">
        <v>0.4731182795698925</v>
      </c>
    </row>
    <row r="86" spans="1:16" x14ac:dyDescent="0.4">
      <c r="A86" s="33">
        <v>83</v>
      </c>
      <c r="B86" s="30">
        <v>-354.2999999999999</v>
      </c>
      <c r="C86" s="30">
        <v>-4.2686746987951798</v>
      </c>
      <c r="D86" s="35">
        <v>2.1566265060240966</v>
      </c>
      <c r="E86" s="31">
        <v>0.26506024096385544</v>
      </c>
      <c r="F86" s="31">
        <v>0.42168674698795183</v>
      </c>
      <c r="G86" s="31">
        <v>0.29577464788732394</v>
      </c>
      <c r="H86" s="31">
        <v>0.22065727699530516</v>
      </c>
      <c r="I86" s="32">
        <v>10849.73544973545</v>
      </c>
      <c r="J86" s="32">
        <v>-9724.8226950354601</v>
      </c>
      <c r="K86" s="31">
        <v>0.20481927710843373</v>
      </c>
      <c r="L86" s="31">
        <v>0.30897009966777411</v>
      </c>
      <c r="M86" s="31">
        <v>0.20764119601328904</v>
      </c>
      <c r="N86" s="31">
        <v>0.60752688172043012</v>
      </c>
      <c r="O86" s="31">
        <v>0.376</v>
      </c>
      <c r="P86" s="31">
        <v>0.46560846560846558</v>
      </c>
    </row>
    <row r="87" spans="1:16" x14ac:dyDescent="0.4">
      <c r="A87" s="33">
        <v>84</v>
      </c>
      <c r="B87" s="30">
        <v>-344.19999999999987</v>
      </c>
      <c r="C87" s="30">
        <v>-4.0976190476190464</v>
      </c>
      <c r="D87" s="35">
        <v>2.1547619047619047</v>
      </c>
      <c r="E87" s="31">
        <v>0.26190476190476192</v>
      </c>
      <c r="F87" s="31">
        <v>0.41666666666666669</v>
      </c>
      <c r="G87" s="31">
        <v>0.29721362229102166</v>
      </c>
      <c r="H87" s="31">
        <v>0.21826625386996903</v>
      </c>
      <c r="I87" s="32">
        <v>10795.3125</v>
      </c>
      <c r="J87" s="32">
        <v>-9724.8226950354601</v>
      </c>
      <c r="K87" s="31">
        <v>0.20238095238095238</v>
      </c>
      <c r="L87" s="31">
        <v>0.31198686371100165</v>
      </c>
      <c r="M87" s="31">
        <v>0.20689655172413793</v>
      </c>
      <c r="N87" s="31">
        <v>0.60526315789473684</v>
      </c>
      <c r="O87" s="31">
        <v>0.38095238095238093</v>
      </c>
      <c r="P87" s="31">
        <v>0.46354166666666669</v>
      </c>
    </row>
    <row r="88" spans="1:16" x14ac:dyDescent="0.4">
      <c r="A88" s="33">
        <v>85</v>
      </c>
      <c r="B88" s="30">
        <v>-379.99999999999989</v>
      </c>
      <c r="C88" s="30">
        <v>-4.470588235294116</v>
      </c>
      <c r="D88" s="35">
        <v>2.164705882352941</v>
      </c>
      <c r="E88" s="31">
        <v>0.25882352941176473</v>
      </c>
      <c r="F88" s="31">
        <v>0.42352941176470588</v>
      </c>
      <c r="G88" s="31">
        <v>0.29555895865237364</v>
      </c>
      <c r="H88" s="31">
        <v>0.21898928024502298</v>
      </c>
      <c r="I88" s="32">
        <v>10822.279792746114</v>
      </c>
      <c r="J88" s="32">
        <v>-9798.6013986013986</v>
      </c>
      <c r="K88" s="31">
        <v>0.21176470588235294</v>
      </c>
      <c r="L88" s="31">
        <v>0.31168831168831168</v>
      </c>
      <c r="M88" s="31">
        <v>0.20779220779220781</v>
      </c>
      <c r="N88" s="31">
        <v>0.59895833333333337</v>
      </c>
      <c r="O88" s="31">
        <v>0.3828125</v>
      </c>
      <c r="P88" s="31">
        <v>0.46113989637305697</v>
      </c>
    </row>
    <row r="89" spans="1:16" x14ac:dyDescent="0.4">
      <c r="A89" s="33">
        <v>86</v>
      </c>
      <c r="B89" s="30">
        <v>-383.7999999999999</v>
      </c>
      <c r="C89" s="30">
        <v>-4.4627906976744178</v>
      </c>
      <c r="D89" s="35">
        <v>2.1744186046511627</v>
      </c>
      <c r="E89" s="31">
        <v>0.2558139534883721</v>
      </c>
      <c r="F89" s="31">
        <v>0.43023255813953487</v>
      </c>
      <c r="G89" s="31">
        <v>0.29349470499243568</v>
      </c>
      <c r="H89" s="31">
        <v>0.21936459909228442</v>
      </c>
      <c r="I89" s="32">
        <v>10793.298969072164</v>
      </c>
      <c r="J89" s="32">
        <v>-9739.310344827587</v>
      </c>
      <c r="K89" s="31">
        <v>0.20930232558139536</v>
      </c>
      <c r="L89" s="31">
        <v>0.3108974358974359</v>
      </c>
      <c r="M89" s="31">
        <v>0.20673076923076922</v>
      </c>
      <c r="N89" s="31">
        <v>0.59793814432989689</v>
      </c>
      <c r="O89" s="31">
        <v>0.37984496124031009</v>
      </c>
      <c r="P89" s="31">
        <v>0.45876288659793812</v>
      </c>
    </row>
    <row r="90" spans="1:16" x14ac:dyDescent="0.4">
      <c r="A90" s="33">
        <v>87</v>
      </c>
      <c r="B90" s="30">
        <v>-397.49999999999989</v>
      </c>
      <c r="C90" s="30">
        <v>-4.5689655172413781</v>
      </c>
      <c r="D90" s="35">
        <v>2.1839080459770117</v>
      </c>
      <c r="E90" s="31">
        <v>0.25287356321839083</v>
      </c>
      <c r="F90" s="31">
        <v>0.43678160919540232</v>
      </c>
      <c r="G90" s="31">
        <v>0.2914798206278027</v>
      </c>
      <c r="H90" s="31">
        <v>0.21973094170403587</v>
      </c>
      <c r="I90" s="32">
        <v>10830.25641025641</v>
      </c>
      <c r="J90" s="32">
        <v>-9696.5986394557822</v>
      </c>
      <c r="K90" s="31">
        <v>0.20689655172413793</v>
      </c>
      <c r="L90" s="31">
        <v>0.310126582278481</v>
      </c>
      <c r="M90" s="31">
        <v>0.20886075949367089</v>
      </c>
      <c r="N90" s="31">
        <v>0.59693877551020413</v>
      </c>
      <c r="O90" s="31">
        <v>0.37121212121212122</v>
      </c>
      <c r="P90" s="31">
        <v>0.46153846153846156</v>
      </c>
    </row>
    <row r="91" spans="1:16" x14ac:dyDescent="0.4">
      <c r="A91" s="33">
        <v>88</v>
      </c>
      <c r="B91" s="30">
        <v>-438.49999999999989</v>
      </c>
      <c r="C91" s="30">
        <v>-4.9829545454545441</v>
      </c>
      <c r="D91" s="35">
        <v>2.1931818181818183</v>
      </c>
      <c r="E91" s="31">
        <v>0.25</v>
      </c>
      <c r="F91" s="31">
        <v>0.44318181818181818</v>
      </c>
      <c r="G91" s="31">
        <v>0.29017857142857145</v>
      </c>
      <c r="H91" s="31">
        <v>0.22172619047619047</v>
      </c>
      <c r="I91" s="32">
        <v>10830.25641025641</v>
      </c>
      <c r="J91" s="32">
        <v>-9794.6308724832215</v>
      </c>
      <c r="K91" s="31">
        <v>0.21590909090909091</v>
      </c>
      <c r="L91" s="31">
        <v>0.30866141732283464</v>
      </c>
      <c r="M91" s="31">
        <v>0.20787401574803149</v>
      </c>
      <c r="N91" s="31">
        <v>0.59693877551020413</v>
      </c>
      <c r="O91" s="31">
        <v>0.37121212121212122</v>
      </c>
      <c r="P91" s="31">
        <v>0.46153846153846156</v>
      </c>
    </row>
    <row r="92" spans="1:16" x14ac:dyDescent="0.4">
      <c r="A92" s="33">
        <v>89</v>
      </c>
      <c r="B92" s="30">
        <v>-481.59999999999991</v>
      </c>
      <c r="C92" s="30">
        <v>-5.4112359550561786</v>
      </c>
      <c r="D92" s="35">
        <v>2.202247191011236</v>
      </c>
      <c r="E92" s="31">
        <v>0.24719101123595505</v>
      </c>
      <c r="F92" s="31">
        <v>0.449438202247191</v>
      </c>
      <c r="G92" s="31">
        <v>0.28592375366568917</v>
      </c>
      <c r="H92" s="31">
        <v>0.22140762463343108</v>
      </c>
      <c r="I92" s="32">
        <v>10830.25641025641</v>
      </c>
      <c r="J92" s="32">
        <v>-9781.4569536423842</v>
      </c>
      <c r="K92" s="31">
        <v>0.2247191011235955</v>
      </c>
      <c r="L92" s="31">
        <v>0.30697674418604654</v>
      </c>
      <c r="M92" s="31">
        <v>0.20775193798449612</v>
      </c>
      <c r="N92" s="31">
        <v>0.59090909090909094</v>
      </c>
      <c r="O92" s="31">
        <v>0.36567164179104478</v>
      </c>
      <c r="P92" s="31">
        <v>0.46153846153846156</v>
      </c>
    </row>
    <row r="93" spans="1:16" x14ac:dyDescent="0.4">
      <c r="A93" s="33">
        <v>90</v>
      </c>
      <c r="B93" s="30">
        <v>-481.59999999999991</v>
      </c>
      <c r="C93" s="30">
        <v>-5.35111111111111</v>
      </c>
      <c r="D93" s="35">
        <v>2.2000000000000002</v>
      </c>
      <c r="E93" s="31">
        <v>0.24444444444444444</v>
      </c>
      <c r="F93" s="31">
        <v>0.44444444444444442</v>
      </c>
      <c r="G93" s="31">
        <v>0.28840579710144926</v>
      </c>
      <c r="H93" s="31">
        <v>0.22173913043478261</v>
      </c>
      <c r="I93" s="32">
        <v>10833.668341708542</v>
      </c>
      <c r="J93" s="32">
        <v>-9810.4575163398695</v>
      </c>
      <c r="K93" s="31">
        <v>0.22222222222222221</v>
      </c>
      <c r="L93" s="31">
        <v>0.30934150076569678</v>
      </c>
      <c r="M93" s="31">
        <v>0.20826952526799389</v>
      </c>
      <c r="N93" s="31">
        <v>0.58910891089108908</v>
      </c>
      <c r="O93" s="31">
        <v>0.36764705882352944</v>
      </c>
      <c r="P93" s="31">
        <v>0.457286432160804</v>
      </c>
    </row>
    <row r="94" spans="1:16" x14ac:dyDescent="0.4">
      <c r="A94" s="33">
        <v>91</v>
      </c>
      <c r="B94" s="30">
        <v>-485.2999999999999</v>
      </c>
      <c r="C94" s="30">
        <v>-5.3329670329670318</v>
      </c>
      <c r="D94" s="35">
        <v>2.197802197802198</v>
      </c>
      <c r="E94" s="31">
        <v>0.24175824175824176</v>
      </c>
      <c r="F94" s="31">
        <v>0.43956043956043955</v>
      </c>
      <c r="G94" s="31">
        <v>0.28898426323319026</v>
      </c>
      <c r="H94" s="31">
        <v>0.22031473533619456</v>
      </c>
      <c r="I94" s="32">
        <v>10747.029702970298</v>
      </c>
      <c r="J94" s="32">
        <v>-9824.6753246753251</v>
      </c>
      <c r="K94" s="31">
        <v>0.21978021978021978</v>
      </c>
      <c r="L94" s="31">
        <v>0.30664652567975831</v>
      </c>
      <c r="M94" s="31">
        <v>0.20845921450151059</v>
      </c>
      <c r="N94" s="31">
        <v>0.58620689655172409</v>
      </c>
      <c r="O94" s="31">
        <v>0.37681159420289856</v>
      </c>
      <c r="P94" s="31">
        <v>0.45049504950495051</v>
      </c>
    </row>
    <row r="95" spans="1:16" x14ac:dyDescent="0.4">
      <c r="A95" s="33">
        <v>92</v>
      </c>
      <c r="B95" s="30">
        <v>-521.79999999999995</v>
      </c>
      <c r="C95" s="30">
        <v>-5.6717391304347817</v>
      </c>
      <c r="D95" s="35">
        <v>2.2065217391304346</v>
      </c>
      <c r="E95" s="31">
        <v>0.2391304347826087</v>
      </c>
      <c r="F95" s="31">
        <v>0.44565217391304346</v>
      </c>
      <c r="G95" s="31">
        <v>0.28490832157968971</v>
      </c>
      <c r="H95" s="31">
        <v>0.21861777150916784</v>
      </c>
      <c r="I95" s="32">
        <v>10747.029702970298</v>
      </c>
      <c r="J95" s="32">
        <v>-9767.7419354838712</v>
      </c>
      <c r="K95" s="31">
        <v>0.22826086956521738</v>
      </c>
      <c r="L95" s="31">
        <v>0.30505952380952384</v>
      </c>
      <c r="M95" s="31">
        <v>0.20684523809523808</v>
      </c>
      <c r="N95" s="31">
        <v>0.58048780487804874</v>
      </c>
      <c r="O95" s="31">
        <v>0.37410071942446044</v>
      </c>
      <c r="P95" s="31">
        <v>0.45049504950495051</v>
      </c>
    </row>
    <row r="96" spans="1:16" x14ac:dyDescent="0.4">
      <c r="A96" s="33">
        <v>93</v>
      </c>
      <c r="B96" s="30">
        <v>-563.19999999999993</v>
      </c>
      <c r="C96" s="30">
        <v>-6.0559139784946225</v>
      </c>
      <c r="D96" s="35">
        <v>2.21505376344086</v>
      </c>
      <c r="E96" s="31">
        <v>0.23655913978494625</v>
      </c>
      <c r="F96" s="31">
        <v>0.45161290322580644</v>
      </c>
      <c r="G96" s="31">
        <v>0.28133704735376047</v>
      </c>
      <c r="H96" s="31">
        <v>0.21866295264623956</v>
      </c>
      <c r="I96" s="32">
        <v>10747.029702970298</v>
      </c>
      <c r="J96" s="32">
        <v>-9776.4331210191085</v>
      </c>
      <c r="K96" s="31">
        <v>0.23655913978494625</v>
      </c>
      <c r="L96" s="31">
        <v>0.30396475770925108</v>
      </c>
      <c r="M96" s="31">
        <v>0.20851688693098386</v>
      </c>
      <c r="N96" s="31">
        <v>0.5748792270531401</v>
      </c>
      <c r="O96" s="31">
        <v>0.36619718309859156</v>
      </c>
      <c r="P96" s="31">
        <v>0.45049504950495051</v>
      </c>
    </row>
    <row r="97" spans="1:16" x14ac:dyDescent="0.4">
      <c r="A97" s="33">
        <v>94</v>
      </c>
      <c r="B97" s="30">
        <v>-560.99999999999989</v>
      </c>
      <c r="C97" s="30">
        <v>-5.9680851063829774</v>
      </c>
      <c r="D97" s="35">
        <v>2.2127659574468086</v>
      </c>
      <c r="E97" s="31">
        <v>0.23404255319148937</v>
      </c>
      <c r="F97" s="31">
        <v>0.44680851063829785</v>
      </c>
      <c r="G97" s="31">
        <v>0.28219178082191781</v>
      </c>
      <c r="H97" s="31">
        <v>0.21643835616438356</v>
      </c>
      <c r="I97" s="32">
        <v>10687.378640776698</v>
      </c>
      <c r="J97" s="32">
        <v>-9739.2405063291135</v>
      </c>
      <c r="K97" s="31">
        <v>0.23404255319148937</v>
      </c>
      <c r="L97" s="31">
        <v>0.30303030303030304</v>
      </c>
      <c r="M97" s="31">
        <v>0.20779220779220781</v>
      </c>
      <c r="N97" s="31">
        <v>0.57619047619047614</v>
      </c>
      <c r="O97" s="31">
        <v>0.375</v>
      </c>
      <c r="P97" s="31">
        <v>0.4563106796116505</v>
      </c>
    </row>
    <row r="98" spans="1:16" x14ac:dyDescent="0.4">
      <c r="A98" s="33">
        <v>95</v>
      </c>
      <c r="B98" s="30">
        <v>-544.39999999999986</v>
      </c>
      <c r="C98" s="30">
        <v>-5.7305263157894721</v>
      </c>
      <c r="D98" s="35">
        <v>2.2000000000000002</v>
      </c>
      <c r="E98" s="31">
        <v>0.24210526315789474</v>
      </c>
      <c r="F98" s="31">
        <v>0.44210526315789472</v>
      </c>
      <c r="G98" s="31">
        <v>0.28416779431664413</v>
      </c>
      <c r="H98" s="31">
        <v>0.21650879566982409</v>
      </c>
      <c r="I98" s="32">
        <v>10653.809523809523</v>
      </c>
      <c r="J98" s="32">
        <v>-9746.25</v>
      </c>
      <c r="K98" s="31">
        <v>0.23157894736842105</v>
      </c>
      <c r="L98" s="31">
        <v>0.30199430199430199</v>
      </c>
      <c r="M98" s="31">
        <v>0.20797720797720798</v>
      </c>
      <c r="N98" s="31">
        <v>0.58018867924528306</v>
      </c>
      <c r="O98" s="31">
        <v>0.37671232876712329</v>
      </c>
      <c r="P98" s="31">
        <v>0.45238095238095238</v>
      </c>
    </row>
    <row r="99" spans="1:16" x14ac:dyDescent="0.4">
      <c r="A99" s="33">
        <v>96</v>
      </c>
      <c r="B99" s="30">
        <v>-513.59999999999991</v>
      </c>
      <c r="C99" s="30">
        <v>-5.3499999999999988</v>
      </c>
      <c r="D99" s="35">
        <v>2.1875</v>
      </c>
      <c r="E99" s="31">
        <v>0.25</v>
      </c>
      <c r="F99" s="31">
        <v>0.4375</v>
      </c>
      <c r="G99" s="31">
        <v>0.2857142857142857</v>
      </c>
      <c r="H99" s="31">
        <v>0.21628838451268359</v>
      </c>
      <c r="I99" s="32">
        <v>10696.728971962617</v>
      </c>
      <c r="J99" s="32">
        <v>-9706.1728395061727</v>
      </c>
      <c r="K99" s="31">
        <v>0.22916666666666666</v>
      </c>
      <c r="L99" s="31">
        <v>0.30337078651685395</v>
      </c>
      <c r="M99" s="31">
        <v>0.20646067415730338</v>
      </c>
      <c r="N99" s="31">
        <v>0.58796296296296291</v>
      </c>
      <c r="O99" s="31">
        <v>0.37414965986394561</v>
      </c>
      <c r="P99" s="31">
        <v>0.45794392523364486</v>
      </c>
    </row>
    <row r="100" spans="1:16" x14ac:dyDescent="0.4">
      <c r="A100" s="33">
        <v>97</v>
      </c>
      <c r="B100" s="30">
        <v>-449.89999999999992</v>
      </c>
      <c r="C100" s="30">
        <v>-4.6381443298969067</v>
      </c>
      <c r="D100" s="35">
        <v>2.1752577319587627</v>
      </c>
      <c r="E100" s="31">
        <v>0.25773195876288657</v>
      </c>
      <c r="F100" s="31">
        <v>0.4329896907216495</v>
      </c>
      <c r="G100" s="31">
        <v>0.28741721854304636</v>
      </c>
      <c r="H100" s="31">
        <v>0.21456953642384105</v>
      </c>
      <c r="I100" s="32">
        <v>10867.741935483871</v>
      </c>
      <c r="J100" s="32">
        <v>-9706.1728395061727</v>
      </c>
      <c r="K100" s="31">
        <v>0.22680412371134021</v>
      </c>
      <c r="L100" s="31">
        <v>0.30362116991643456</v>
      </c>
      <c r="M100" s="31">
        <v>0.20473537604456823</v>
      </c>
      <c r="N100" s="31">
        <v>0.59174311926605505</v>
      </c>
      <c r="O100" s="31">
        <v>0.37414965986394561</v>
      </c>
      <c r="P100" s="31">
        <v>0.46082949308755761</v>
      </c>
    </row>
    <row r="101" spans="1:16" x14ac:dyDescent="0.4">
      <c r="A101" s="33">
        <v>98</v>
      </c>
      <c r="B101" s="30">
        <v>-478.69999999999993</v>
      </c>
      <c r="C101" s="30">
        <v>-4.8846938775510198</v>
      </c>
      <c r="D101" s="35">
        <v>2.1836734693877551</v>
      </c>
      <c r="E101" s="31">
        <v>0.25510204081632654</v>
      </c>
      <c r="F101" s="31">
        <v>0.43877551020408162</v>
      </c>
      <c r="G101" s="31">
        <v>0.28758169934640521</v>
      </c>
      <c r="H101" s="31">
        <v>0.21307189542483659</v>
      </c>
      <c r="I101" s="32">
        <v>10815.90909090909</v>
      </c>
      <c r="J101" s="32">
        <v>-9695.7055214723932</v>
      </c>
      <c r="K101" s="31">
        <v>0.22448979591836735</v>
      </c>
      <c r="L101" s="31">
        <v>0.30769230769230771</v>
      </c>
      <c r="M101" s="31">
        <v>0.2032967032967033</v>
      </c>
      <c r="N101" s="31">
        <v>0.5892857142857143</v>
      </c>
      <c r="O101" s="31">
        <v>0.3716216216216216</v>
      </c>
      <c r="P101" s="31">
        <v>0.45909090909090911</v>
      </c>
    </row>
    <row r="102" spans="1:16" x14ac:dyDescent="0.4">
      <c r="A102" s="33">
        <v>99</v>
      </c>
      <c r="B102" s="30">
        <v>-455.19999999999993</v>
      </c>
      <c r="C102" s="30">
        <v>-4.5979797979797974</v>
      </c>
      <c r="D102" s="35">
        <v>2.1717171717171717</v>
      </c>
      <c r="E102" s="31">
        <v>0.26262626262626265</v>
      </c>
      <c r="F102" s="31">
        <v>0.43434343434343436</v>
      </c>
      <c r="G102" s="31">
        <v>0.28756476683937826</v>
      </c>
      <c r="H102" s="31">
        <v>0.21243523316062177</v>
      </c>
      <c r="I102" s="32">
        <v>10826.576576576577</v>
      </c>
      <c r="J102" s="32">
        <v>-9642.6829268292677</v>
      </c>
      <c r="K102" s="31">
        <v>0.22222222222222221</v>
      </c>
      <c r="L102" s="31">
        <v>0.30884353741496601</v>
      </c>
      <c r="M102" s="31">
        <v>0.20272108843537415</v>
      </c>
      <c r="N102" s="31">
        <v>0.5903083700440529</v>
      </c>
      <c r="O102" s="31">
        <v>0.36912751677852351</v>
      </c>
      <c r="P102" s="31">
        <v>0.45945945945945948</v>
      </c>
    </row>
    <row r="103" spans="1:16" x14ac:dyDescent="0.4">
      <c r="A103" s="33">
        <v>100</v>
      </c>
      <c r="B103" s="30">
        <v>-505.69999999999993</v>
      </c>
      <c r="C103" s="30">
        <v>-5.0569999999999995</v>
      </c>
      <c r="D103" s="35">
        <v>2.1800000000000002</v>
      </c>
      <c r="E103" s="31">
        <v>0.26</v>
      </c>
      <c r="F103" s="31">
        <v>0.44</v>
      </c>
      <c r="G103" s="31">
        <v>0.28645161290322579</v>
      </c>
      <c r="H103" s="31">
        <v>0.21419354838709678</v>
      </c>
      <c r="I103" s="32">
        <v>10826.576576576577</v>
      </c>
      <c r="J103" s="32">
        <v>-9779.5180722891564</v>
      </c>
      <c r="K103" s="31">
        <v>0.23</v>
      </c>
      <c r="L103" s="31">
        <v>0.30758807588075882</v>
      </c>
      <c r="M103" s="31">
        <v>0.2032520325203252</v>
      </c>
      <c r="N103" s="31">
        <v>0.5903083700440529</v>
      </c>
      <c r="O103" s="31">
        <v>0.36666666666666664</v>
      </c>
      <c r="P103" s="31">
        <v>0.45945945945945948</v>
      </c>
    </row>
    <row r="104" spans="1:16" x14ac:dyDescent="0.4">
      <c r="A104" s="33">
        <v>101</v>
      </c>
      <c r="B104" s="30">
        <v>-503.89999999999992</v>
      </c>
      <c r="C104" s="30">
        <v>-4.9891089108910887</v>
      </c>
      <c r="D104" s="35">
        <v>2.1782178217821784</v>
      </c>
      <c r="E104" s="31">
        <v>0.25742574257425743</v>
      </c>
      <c r="F104" s="31">
        <v>0.43564356435643564</v>
      </c>
      <c r="G104" s="31">
        <v>0.28735632183908044</v>
      </c>
      <c r="H104" s="31">
        <v>0.21455938697318008</v>
      </c>
      <c r="I104" s="32">
        <v>10788.888888888889</v>
      </c>
      <c r="J104" s="32">
        <v>-9748.8095238095229</v>
      </c>
      <c r="K104" s="31">
        <v>0.22772277227722773</v>
      </c>
      <c r="L104" s="31">
        <v>0.30831099195710454</v>
      </c>
      <c r="M104" s="31">
        <v>0.20375335120643431</v>
      </c>
      <c r="N104" s="31">
        <v>0.59130434782608698</v>
      </c>
      <c r="O104" s="31">
        <v>0.36842105263157893</v>
      </c>
      <c r="P104" s="31">
        <v>0.45777777777777778</v>
      </c>
    </row>
    <row r="105" spans="1:16" x14ac:dyDescent="0.4">
      <c r="A105" s="33">
        <v>102</v>
      </c>
      <c r="B105" s="30">
        <v>-452.59999999999991</v>
      </c>
      <c r="C105" s="30">
        <v>-4.4372549019607836</v>
      </c>
      <c r="D105" s="35">
        <v>2.1666666666666665</v>
      </c>
      <c r="E105" s="31">
        <v>0.26470588235294118</v>
      </c>
      <c r="F105" s="31">
        <v>0.43137254901960786</v>
      </c>
      <c r="G105" s="31">
        <v>0.29255989911727615</v>
      </c>
      <c r="H105" s="31">
        <v>0.21311475409836064</v>
      </c>
      <c r="I105" s="32">
        <v>10694.396551724138</v>
      </c>
      <c r="J105" s="32">
        <v>-9698.8165680473376</v>
      </c>
      <c r="K105" s="31">
        <v>0.22549019607843138</v>
      </c>
      <c r="L105" s="31">
        <v>0.3082010582010582</v>
      </c>
      <c r="M105" s="31">
        <v>0.20634920634920634</v>
      </c>
      <c r="N105" s="31">
        <v>0.59656652360515017</v>
      </c>
      <c r="O105" s="31">
        <v>0.37820512820512819</v>
      </c>
      <c r="P105" s="31">
        <v>0.45258620689655171</v>
      </c>
    </row>
    <row r="106" spans="1:16" x14ac:dyDescent="0.4">
      <c r="A106" s="33">
        <v>103</v>
      </c>
      <c r="B106" s="30">
        <v>-477.69999999999993</v>
      </c>
      <c r="C106" s="30">
        <v>-4.6378640776699021</v>
      </c>
      <c r="D106" s="35">
        <v>2.174757281553398</v>
      </c>
      <c r="E106" s="31">
        <v>0.26213592233009708</v>
      </c>
      <c r="F106" s="31">
        <v>0.43689320388349512</v>
      </c>
      <c r="G106" s="31">
        <v>0.29249999999999998</v>
      </c>
      <c r="H106" s="31">
        <v>0.21375</v>
      </c>
      <c r="I106" s="32">
        <v>10650.854700854701</v>
      </c>
      <c r="J106" s="32">
        <v>-9702.3391812865502</v>
      </c>
      <c r="K106" s="31">
        <v>0.22330097087378642</v>
      </c>
      <c r="L106" s="31">
        <v>0.30668414154652685</v>
      </c>
      <c r="M106" s="31">
        <v>0.20445609436435125</v>
      </c>
      <c r="N106" s="31">
        <v>0.59829059829059827</v>
      </c>
      <c r="O106" s="31">
        <v>0.37820512820512819</v>
      </c>
      <c r="P106" s="31">
        <v>0.45299145299145299</v>
      </c>
    </row>
    <row r="107" spans="1:16" x14ac:dyDescent="0.4">
      <c r="A107" s="33">
        <v>104</v>
      </c>
      <c r="B107" s="30">
        <v>-477.19999999999993</v>
      </c>
      <c r="C107" s="30">
        <v>-4.5884615384615381</v>
      </c>
      <c r="D107" s="35">
        <v>2.1730769230769229</v>
      </c>
      <c r="E107" s="31">
        <v>0.25961538461538464</v>
      </c>
      <c r="F107" s="31">
        <v>0.43269230769230771</v>
      </c>
      <c r="G107" s="31">
        <v>0.2933168316831683</v>
      </c>
      <c r="H107" s="31">
        <v>0.21287128712871287</v>
      </c>
      <c r="I107" s="32">
        <v>10684.810126582279</v>
      </c>
      <c r="J107" s="32">
        <v>-9750.5813953488378</v>
      </c>
      <c r="K107" s="31">
        <v>0.22115384615384615</v>
      </c>
      <c r="L107" s="31">
        <v>0.30998702983138782</v>
      </c>
      <c r="M107" s="31">
        <v>0.20233463035019456</v>
      </c>
      <c r="N107" s="31">
        <v>0.59832635983263593</v>
      </c>
      <c r="O107" s="31">
        <v>0.37820512820512819</v>
      </c>
      <c r="P107" s="31">
        <v>0.45569620253164556</v>
      </c>
    </row>
    <row r="108" spans="1:16" x14ac:dyDescent="0.4">
      <c r="A108" s="33">
        <v>105</v>
      </c>
      <c r="B108" s="30">
        <v>-478.09999999999991</v>
      </c>
      <c r="C108" s="30">
        <v>-4.5533333333333328</v>
      </c>
      <c r="D108" s="35">
        <v>2.1714285714285713</v>
      </c>
      <c r="E108" s="31">
        <v>0.25714285714285712</v>
      </c>
      <c r="F108" s="31">
        <v>0.42857142857142855</v>
      </c>
      <c r="G108" s="31">
        <v>0.29339853300733498</v>
      </c>
      <c r="H108" s="31">
        <v>0.21149144254278729</v>
      </c>
      <c r="I108" s="32">
        <v>10684.583333333334</v>
      </c>
      <c r="J108" s="32">
        <v>-9740.4624277456642</v>
      </c>
      <c r="K108" s="31">
        <v>0.21904761904761905</v>
      </c>
      <c r="L108" s="31">
        <v>0.30985915492957744</v>
      </c>
      <c r="M108" s="31">
        <v>0.20230473751600511</v>
      </c>
      <c r="N108" s="31">
        <v>0.5950413223140496</v>
      </c>
      <c r="O108" s="31">
        <v>0.379746835443038</v>
      </c>
      <c r="P108" s="31">
        <v>0.45833333333333331</v>
      </c>
    </row>
    <row r="109" spans="1:16" x14ac:dyDescent="0.4">
      <c r="A109" s="33">
        <v>106</v>
      </c>
      <c r="B109" s="30">
        <v>-419.89999999999992</v>
      </c>
      <c r="C109" s="30">
        <v>-3.9613207547169802</v>
      </c>
      <c r="D109" s="35">
        <v>2.1603773584905661</v>
      </c>
      <c r="E109" s="31">
        <v>0.26415094339622641</v>
      </c>
      <c r="F109" s="31">
        <v>0.42452830188679247</v>
      </c>
      <c r="G109" s="31">
        <v>0.2976913730255164</v>
      </c>
      <c r="H109" s="31">
        <v>0.21020656136087484</v>
      </c>
      <c r="I109" s="32">
        <v>10679.591836734693</v>
      </c>
      <c r="J109" s="32">
        <v>-9740.4624277456642</v>
      </c>
      <c r="K109" s="31">
        <v>0.21698113207547171</v>
      </c>
      <c r="L109" s="31">
        <v>0.31170483460559795</v>
      </c>
      <c r="M109" s="31">
        <v>0.20229007633587787</v>
      </c>
      <c r="N109" s="31">
        <v>0.6</v>
      </c>
      <c r="O109" s="31">
        <v>0.38364779874213839</v>
      </c>
      <c r="P109" s="31">
        <v>0.45714285714285713</v>
      </c>
    </row>
    <row r="110" spans="1:16" x14ac:dyDescent="0.4">
      <c r="A110" s="33">
        <v>107</v>
      </c>
      <c r="B110" s="30">
        <v>-436.69999999999993</v>
      </c>
      <c r="C110" s="30">
        <v>-4.0813084112149527</v>
      </c>
      <c r="D110" s="35">
        <v>2.1682242990654204</v>
      </c>
      <c r="E110" s="31">
        <v>0.26168224299065418</v>
      </c>
      <c r="F110" s="31">
        <v>0.42990654205607476</v>
      </c>
      <c r="G110" s="31">
        <v>0.29638554216867469</v>
      </c>
      <c r="H110" s="31">
        <v>0.20843373493975903</v>
      </c>
      <c r="I110" s="32">
        <v>10684.959349593495</v>
      </c>
      <c r="J110" s="32">
        <v>-9740.4624277456642</v>
      </c>
      <c r="K110" s="31">
        <v>0.21495327102803738</v>
      </c>
      <c r="L110" s="31">
        <v>0.31147540983606559</v>
      </c>
      <c r="M110" s="31">
        <v>0.20302648171500631</v>
      </c>
      <c r="N110" s="31">
        <v>0.59919028340080971</v>
      </c>
      <c r="O110" s="31">
        <v>0.37888198757763975</v>
      </c>
      <c r="P110" s="31">
        <v>0.45528455284552843</v>
      </c>
    </row>
    <row r="111" spans="1:16" x14ac:dyDescent="0.4">
      <c r="A111" s="33">
        <v>108</v>
      </c>
      <c r="B111" s="30">
        <v>-453.29999999999995</v>
      </c>
      <c r="C111" s="30">
        <v>-4.197222222222222</v>
      </c>
      <c r="D111" s="35">
        <v>2.175925925925926</v>
      </c>
      <c r="E111" s="31">
        <v>0.25925925925925924</v>
      </c>
      <c r="F111" s="31">
        <v>0.43518518518518517</v>
      </c>
      <c r="G111" s="31">
        <v>0.2935560859188544</v>
      </c>
      <c r="H111" s="31">
        <v>0.20763723150357996</v>
      </c>
      <c r="I111" s="32">
        <v>10684.959349593495</v>
      </c>
      <c r="J111" s="32">
        <v>-9699.4252873563219</v>
      </c>
      <c r="K111" s="31">
        <v>0.21296296296296297</v>
      </c>
      <c r="L111" s="31">
        <v>0.30836454431960048</v>
      </c>
      <c r="M111" s="31">
        <v>0.20224719101123595</v>
      </c>
      <c r="N111" s="31">
        <v>0.59919028340080971</v>
      </c>
      <c r="O111" s="31">
        <v>0.37654320987654322</v>
      </c>
      <c r="P111" s="31">
        <v>0.45528455284552843</v>
      </c>
    </row>
    <row r="112" spans="1:16" x14ac:dyDescent="0.4">
      <c r="A112" s="33">
        <v>109</v>
      </c>
      <c r="B112" s="30">
        <v>-448.79999999999995</v>
      </c>
      <c r="C112" s="30">
        <v>-4.1174311926605505</v>
      </c>
      <c r="D112" s="35">
        <v>2.1743119266055047</v>
      </c>
      <c r="E112" s="31">
        <v>0.25688073394495414</v>
      </c>
      <c r="F112" s="31">
        <v>0.43119266055045874</v>
      </c>
      <c r="G112" s="31">
        <v>0.29349112426035501</v>
      </c>
      <c r="H112" s="31">
        <v>0.20710059171597633</v>
      </c>
      <c r="I112" s="32">
        <v>10679.435483870968</v>
      </c>
      <c r="J112" s="32">
        <v>-9649.7142857142862</v>
      </c>
      <c r="K112" s="31">
        <v>0.21100917431192662</v>
      </c>
      <c r="L112" s="31">
        <v>0.30569306930693069</v>
      </c>
      <c r="M112" s="31">
        <v>0.20297029702970298</v>
      </c>
      <c r="N112" s="31">
        <v>0.59919028340080971</v>
      </c>
      <c r="O112" s="31">
        <v>0.37804878048780488</v>
      </c>
      <c r="P112" s="31">
        <v>0.45161290322580644</v>
      </c>
    </row>
    <row r="113" spans="1:16" x14ac:dyDescent="0.4">
      <c r="A113" s="33">
        <v>110</v>
      </c>
      <c r="B113" s="30">
        <v>-447.99999999999994</v>
      </c>
      <c r="C113" s="30">
        <v>-4.0727272727272723</v>
      </c>
      <c r="D113" s="35">
        <v>2.1727272727272728</v>
      </c>
      <c r="E113" s="31">
        <v>0.25454545454545452</v>
      </c>
      <c r="F113" s="31">
        <v>0.42727272727272725</v>
      </c>
      <c r="G113" s="31">
        <v>0.29308323563892147</v>
      </c>
      <c r="H113" s="31">
        <v>0.20750293083235638</v>
      </c>
      <c r="I113" s="32">
        <v>10658</v>
      </c>
      <c r="J113" s="32">
        <v>-9602.2598870056499</v>
      </c>
      <c r="K113" s="31">
        <v>0.20909090909090908</v>
      </c>
      <c r="L113" s="31">
        <v>0.30514705882352944</v>
      </c>
      <c r="M113" s="31">
        <v>0.20220588235294118</v>
      </c>
      <c r="N113" s="31">
        <v>0.59839357429718876</v>
      </c>
      <c r="O113" s="31">
        <v>0.38181818181818183</v>
      </c>
      <c r="P113" s="31">
        <v>0.44800000000000001</v>
      </c>
    </row>
    <row r="114" spans="1:16" x14ac:dyDescent="0.4">
      <c r="A114" s="33">
        <v>111</v>
      </c>
      <c r="B114" s="30">
        <v>-470.39999999999992</v>
      </c>
      <c r="C114" s="30">
        <v>-4.2378378378378372</v>
      </c>
      <c r="D114" s="35">
        <v>2.1801801801801801</v>
      </c>
      <c r="E114" s="31">
        <v>0.25225225225225223</v>
      </c>
      <c r="F114" s="31">
        <v>0.43243243243243246</v>
      </c>
      <c r="G114" s="31">
        <v>0.29152148664343785</v>
      </c>
      <c r="H114" s="31">
        <v>0.20905923344947736</v>
      </c>
      <c r="I114" s="32">
        <v>10663.346613545817</v>
      </c>
      <c r="J114" s="32">
        <v>-9608.3333333333339</v>
      </c>
      <c r="K114" s="31">
        <v>0.2072072072072072</v>
      </c>
      <c r="L114" s="31">
        <v>0.30461165048543687</v>
      </c>
      <c r="M114" s="31">
        <v>0.20024271844660194</v>
      </c>
      <c r="N114" s="31">
        <v>0.59760956175298807</v>
      </c>
      <c r="O114" s="31">
        <v>0.38181818181818183</v>
      </c>
      <c r="P114" s="31">
        <v>0.45019920318725098</v>
      </c>
    </row>
    <row r="115" spans="1:16" x14ac:dyDescent="0.4">
      <c r="A115" s="33">
        <v>112</v>
      </c>
      <c r="B115" s="30">
        <v>-471.19999999999993</v>
      </c>
      <c r="C115" s="30">
        <v>-4.2071428571428564</v>
      </c>
      <c r="D115" s="35">
        <v>2.1785714285714284</v>
      </c>
      <c r="E115" s="31">
        <v>0.25</v>
      </c>
      <c r="F115" s="31">
        <v>0.42857142857142855</v>
      </c>
      <c r="G115" s="31">
        <v>0.29065743944636679</v>
      </c>
      <c r="H115" s="31">
        <v>0.20761245674740483</v>
      </c>
      <c r="I115" s="32">
        <v>10652.777777777777</v>
      </c>
      <c r="J115" s="32">
        <v>-9608.3333333333339</v>
      </c>
      <c r="K115" s="31">
        <v>0.20535714285714285</v>
      </c>
      <c r="L115" s="31">
        <v>0.30361445783132529</v>
      </c>
      <c r="M115" s="31">
        <v>0.19879518072289157</v>
      </c>
      <c r="N115" s="31">
        <v>0.59920634920634919</v>
      </c>
      <c r="O115" s="31">
        <v>0.38181818181818183</v>
      </c>
      <c r="P115" s="31">
        <v>0.44841269841269843</v>
      </c>
    </row>
    <row r="116" spans="1:16" x14ac:dyDescent="0.4">
      <c r="A116" s="33">
        <v>113</v>
      </c>
      <c r="B116" s="30">
        <v>-469.39999999999992</v>
      </c>
      <c r="C116" s="30">
        <v>-4.1539823008849552</v>
      </c>
      <c r="D116" s="35">
        <v>2.1769911504424777</v>
      </c>
      <c r="E116" s="31">
        <v>0.24778761061946902</v>
      </c>
      <c r="F116" s="31">
        <v>0.4247787610619469</v>
      </c>
      <c r="G116" s="31">
        <v>0.28848346636259975</v>
      </c>
      <c r="H116" s="31">
        <v>0.20638540478905359</v>
      </c>
      <c r="I116" s="32">
        <v>10658.102766798418</v>
      </c>
      <c r="J116" s="32">
        <v>-9597.790055248619</v>
      </c>
      <c r="K116" s="31">
        <v>0.20353982300884957</v>
      </c>
      <c r="L116" s="31">
        <v>0.30357142857142855</v>
      </c>
      <c r="M116" s="31">
        <v>0.19761904761904761</v>
      </c>
      <c r="N116" s="31">
        <v>0.59215686274509804</v>
      </c>
      <c r="O116" s="31">
        <v>0.38554216867469882</v>
      </c>
      <c r="P116" s="31">
        <v>0.44664031620553357</v>
      </c>
    </row>
    <row r="117" spans="1:16" x14ac:dyDescent="0.4">
      <c r="A117" s="33">
        <v>114</v>
      </c>
      <c r="B117" s="30">
        <v>-475.09999999999991</v>
      </c>
      <c r="C117" s="30">
        <v>-4.1675438596491219</v>
      </c>
      <c r="D117" s="35">
        <v>2.1842105263157894</v>
      </c>
      <c r="E117" s="31">
        <v>0.24561403508771928</v>
      </c>
      <c r="F117" s="31">
        <v>0.42982456140350878</v>
      </c>
      <c r="G117" s="31">
        <v>0.28926553672316385</v>
      </c>
      <c r="H117" s="31">
        <v>0.20564971751412428</v>
      </c>
      <c r="I117" s="32">
        <v>10594.921875</v>
      </c>
      <c r="J117" s="32">
        <v>-9587.3626373626375</v>
      </c>
      <c r="K117" s="31">
        <v>0.20175438596491227</v>
      </c>
      <c r="L117" s="31">
        <v>0.30424528301886794</v>
      </c>
      <c r="M117" s="31">
        <v>0.19811320754716982</v>
      </c>
      <c r="N117" s="31">
        <v>0.59302325581395354</v>
      </c>
      <c r="O117" s="31">
        <v>0.38095238095238093</v>
      </c>
      <c r="P117" s="31">
        <v>0.44140625</v>
      </c>
    </row>
    <row r="118" spans="1:16" x14ac:dyDescent="0.4">
      <c r="A118" s="33">
        <v>115</v>
      </c>
      <c r="B118" s="30">
        <v>-443.39999999999992</v>
      </c>
      <c r="C118" s="30">
        <v>-3.8556521739130427</v>
      </c>
      <c r="D118" s="35">
        <v>2.1739130434782608</v>
      </c>
      <c r="E118" s="31">
        <v>0.25217391304347825</v>
      </c>
      <c r="F118" s="31">
        <v>0.42608695652173911</v>
      </c>
      <c r="G118" s="31">
        <v>0.29133858267716534</v>
      </c>
      <c r="H118" s="31">
        <v>0.20472440944881889</v>
      </c>
      <c r="I118" s="32">
        <v>10605.791505791505</v>
      </c>
      <c r="J118" s="32">
        <v>-9587.3626373626375</v>
      </c>
      <c r="K118" s="31">
        <v>0.2</v>
      </c>
      <c r="L118" s="31">
        <v>0.30516431924882631</v>
      </c>
      <c r="M118" s="31">
        <v>0.19835680751173709</v>
      </c>
      <c r="N118" s="31">
        <v>0.59615384615384615</v>
      </c>
      <c r="O118" s="31">
        <v>0.38461538461538464</v>
      </c>
      <c r="P118" s="31">
        <v>0.43629343629343631</v>
      </c>
    </row>
    <row r="119" spans="1:16" x14ac:dyDescent="0.4">
      <c r="A119" s="33">
        <v>116</v>
      </c>
      <c r="B119" s="30">
        <v>-440.39999999999992</v>
      </c>
      <c r="C119" s="30">
        <v>-3.7965517241379305</v>
      </c>
      <c r="D119" s="35">
        <v>2.1724137931034484</v>
      </c>
      <c r="E119" s="31">
        <v>0.25</v>
      </c>
      <c r="F119" s="31">
        <v>0.42241379310344829</v>
      </c>
      <c r="G119" s="31">
        <v>0.29115341545352741</v>
      </c>
      <c r="H119" s="31">
        <v>0.20380739081746921</v>
      </c>
      <c r="I119" s="32">
        <v>10580.384615384615</v>
      </c>
      <c r="J119" s="32">
        <v>-9587.3626373626375</v>
      </c>
      <c r="K119" s="31">
        <v>0.19827586206896552</v>
      </c>
      <c r="L119" s="31">
        <v>0.30490654205607476</v>
      </c>
      <c r="M119" s="31">
        <v>0.19859813084112149</v>
      </c>
      <c r="N119" s="31">
        <v>0.5938697318007663</v>
      </c>
      <c r="O119" s="31">
        <v>0.38235294117647056</v>
      </c>
      <c r="P119" s="31">
        <v>0.43846153846153846</v>
      </c>
    </row>
    <row r="120" spans="1:16" x14ac:dyDescent="0.4">
      <c r="A120" s="33">
        <v>117</v>
      </c>
      <c r="B120" s="30">
        <v>-453.39999999999992</v>
      </c>
      <c r="C120" s="30">
        <v>-3.8752136752136743</v>
      </c>
      <c r="D120" s="35">
        <v>2.1709401709401708</v>
      </c>
      <c r="E120" s="31">
        <v>0.24786324786324787</v>
      </c>
      <c r="F120" s="31">
        <v>0.41880341880341881</v>
      </c>
      <c r="G120" s="31">
        <v>0.29046563192904656</v>
      </c>
      <c r="H120" s="31">
        <v>0.2039911308203991</v>
      </c>
      <c r="I120" s="32">
        <v>10541.221374045801</v>
      </c>
      <c r="J120" s="32">
        <v>-9569.565217391304</v>
      </c>
      <c r="K120" s="31">
        <v>0.19658119658119658</v>
      </c>
      <c r="L120" s="31">
        <v>0.30289017341040464</v>
      </c>
      <c r="M120" s="31">
        <v>0.19768786127167631</v>
      </c>
      <c r="N120" s="31">
        <v>0.59160305343511455</v>
      </c>
      <c r="O120" s="31">
        <v>0.38596491228070173</v>
      </c>
      <c r="P120" s="31">
        <v>0.43893129770992367</v>
      </c>
    </row>
    <row r="121" spans="1:16" x14ac:dyDescent="0.4">
      <c r="A121" s="33">
        <v>118</v>
      </c>
      <c r="B121" s="30">
        <v>-470.2999999999999</v>
      </c>
      <c r="C121" s="30">
        <v>-3.9855932203389823</v>
      </c>
      <c r="D121" s="35">
        <v>2.1779661016949152</v>
      </c>
      <c r="E121" s="31">
        <v>0.24576271186440679</v>
      </c>
      <c r="F121" s="31">
        <v>0.42372881355932202</v>
      </c>
      <c r="G121" s="31">
        <v>0.28806133625410735</v>
      </c>
      <c r="H121" s="31">
        <v>0.20481927710843373</v>
      </c>
      <c r="I121" s="32">
        <v>10569.58174904943</v>
      </c>
      <c r="J121" s="32">
        <v>-9504.8128342245982</v>
      </c>
      <c r="K121" s="31">
        <v>0.19491525423728814</v>
      </c>
      <c r="L121" s="31">
        <v>0.30136986301369861</v>
      </c>
      <c r="M121" s="31">
        <v>0.19634703196347031</v>
      </c>
      <c r="N121" s="31">
        <v>0.59090909090909094</v>
      </c>
      <c r="O121" s="31">
        <v>0.38372093023255816</v>
      </c>
      <c r="P121" s="31">
        <v>0.44106463878326996</v>
      </c>
    </row>
    <row r="122" spans="1:16" x14ac:dyDescent="0.4">
      <c r="A122" s="33">
        <v>119</v>
      </c>
      <c r="B122" s="30">
        <v>-469.19999999999987</v>
      </c>
      <c r="C122" s="30">
        <v>-3.9428571428571417</v>
      </c>
      <c r="D122" s="35">
        <v>2.1764705882352939</v>
      </c>
      <c r="E122" s="31">
        <v>0.24369747899159663</v>
      </c>
      <c r="F122" s="31">
        <v>0.42016806722689076</v>
      </c>
      <c r="G122" s="31">
        <v>0.28773072747014117</v>
      </c>
      <c r="H122" s="31">
        <v>0.20304017372421282</v>
      </c>
      <c r="I122" s="32">
        <v>10527.547169811322</v>
      </c>
      <c r="J122" s="32">
        <v>-9504.8128342245982</v>
      </c>
      <c r="K122" s="31">
        <v>0.19327731092436976</v>
      </c>
      <c r="L122" s="31">
        <v>0.30203619909502261</v>
      </c>
      <c r="M122" s="31">
        <v>0.19570135746606335</v>
      </c>
      <c r="N122" s="31">
        <v>0.58801498127340823</v>
      </c>
      <c r="O122" s="31">
        <v>0.38728323699421963</v>
      </c>
      <c r="P122" s="31">
        <v>0.44150943396226416</v>
      </c>
    </row>
    <row r="123" spans="1:16" x14ac:dyDescent="0.4">
      <c r="A123" s="33">
        <v>120</v>
      </c>
      <c r="B123" s="30">
        <v>-502.19999999999987</v>
      </c>
      <c r="C123" s="30">
        <v>-4.1849999999999987</v>
      </c>
      <c r="D123" s="35">
        <v>2.1833333333333331</v>
      </c>
      <c r="E123" s="31">
        <v>0.24166666666666667</v>
      </c>
      <c r="F123" s="31">
        <v>0.42499999999999999</v>
      </c>
      <c r="G123" s="31">
        <v>0.28540772532188841</v>
      </c>
      <c r="H123" s="31">
        <v>0.20171673819742489</v>
      </c>
      <c r="I123" s="32">
        <v>10495.488721804511</v>
      </c>
      <c r="J123" s="32">
        <v>-9518.0851063829796</v>
      </c>
      <c r="K123" s="31">
        <v>0.19166666666666668</v>
      </c>
      <c r="L123" s="31">
        <v>0.29944134078212292</v>
      </c>
      <c r="M123" s="31">
        <v>0.19441340782122904</v>
      </c>
      <c r="N123" s="31">
        <v>0.58582089552238803</v>
      </c>
      <c r="O123" s="31">
        <v>0.39080459770114945</v>
      </c>
      <c r="P123" s="31">
        <v>0.43984962406015038</v>
      </c>
    </row>
    <row r="124" spans="1:16" x14ac:dyDescent="0.4">
      <c r="A124" s="33">
        <v>121</v>
      </c>
      <c r="B124" s="30">
        <v>-509.69999999999987</v>
      </c>
      <c r="C124" s="30">
        <v>-4.2123966942148749</v>
      </c>
      <c r="D124" s="35">
        <v>2.1818181818181817</v>
      </c>
      <c r="E124" s="31">
        <v>0.23966942148760331</v>
      </c>
      <c r="F124" s="31">
        <v>0.42148760330578511</v>
      </c>
      <c r="G124" s="31">
        <v>0.28434504792332266</v>
      </c>
      <c r="H124" s="31">
        <v>0.2012779552715655</v>
      </c>
      <c r="I124" s="32">
        <v>10486.142322097377</v>
      </c>
      <c r="J124" s="32">
        <v>-9495.2380952380954</v>
      </c>
      <c r="K124" s="31">
        <v>0.19008264462809918</v>
      </c>
      <c r="L124" s="31">
        <v>0.29822616407982261</v>
      </c>
      <c r="M124" s="31">
        <v>0.19401330376940132</v>
      </c>
      <c r="N124" s="31">
        <v>0.58736059479553904</v>
      </c>
      <c r="O124" s="31">
        <v>0.38857142857142857</v>
      </c>
      <c r="P124" s="31">
        <v>0.43820224719101125</v>
      </c>
    </row>
    <row r="125" spans="1:16" x14ac:dyDescent="0.4">
      <c r="A125" s="33">
        <v>122</v>
      </c>
      <c r="B125" s="30">
        <v>-492.09999999999985</v>
      </c>
      <c r="C125" s="30">
        <v>-4.0336065573770483</v>
      </c>
      <c r="D125" s="35">
        <v>2.1721311475409837</v>
      </c>
      <c r="E125" s="31">
        <v>0.24590163934426229</v>
      </c>
      <c r="F125" s="31">
        <v>0.41803278688524592</v>
      </c>
      <c r="G125" s="31">
        <v>0.28405491024287222</v>
      </c>
      <c r="H125" s="31">
        <v>0.19957761351636746</v>
      </c>
      <c r="I125" s="32">
        <v>10497.397769516729</v>
      </c>
      <c r="J125" s="32">
        <v>-9495.2380952380954</v>
      </c>
      <c r="K125" s="31">
        <v>0.18852459016393441</v>
      </c>
      <c r="L125" s="31">
        <v>0.30109890109890108</v>
      </c>
      <c r="M125" s="31">
        <v>0.19230769230769232</v>
      </c>
      <c r="N125" s="31">
        <v>0.58394160583941601</v>
      </c>
      <c r="O125" s="31">
        <v>0.38857142857142857</v>
      </c>
      <c r="P125" s="31">
        <v>0.43494423791821563</v>
      </c>
    </row>
    <row r="126" spans="1:16" x14ac:dyDescent="0.4">
      <c r="A126" s="33">
        <v>123</v>
      </c>
      <c r="B126" s="30">
        <v>-500.09999999999985</v>
      </c>
      <c r="C126" s="30">
        <v>-4.0658536585365841</v>
      </c>
      <c r="D126" s="35">
        <v>2.1707317073170733</v>
      </c>
      <c r="E126" s="31">
        <v>0.24390243902439024</v>
      </c>
      <c r="F126" s="31">
        <v>0.41463414634146339</v>
      </c>
      <c r="G126" s="31">
        <v>0.28376963350785339</v>
      </c>
      <c r="H126" s="31">
        <v>0.19895287958115182</v>
      </c>
      <c r="I126" s="32">
        <v>10471.586715867159</v>
      </c>
      <c r="J126" s="32">
        <v>-9508.4210526315783</v>
      </c>
      <c r="K126" s="31">
        <v>0.18699186991869918</v>
      </c>
      <c r="L126" s="31">
        <v>0.30174291938997821</v>
      </c>
      <c r="M126" s="31">
        <v>0.19063180827886711</v>
      </c>
      <c r="N126" s="31">
        <v>0.58122743682310474</v>
      </c>
      <c r="O126" s="31">
        <v>0.38857142857142857</v>
      </c>
      <c r="P126" s="31">
        <v>0.43542435424354242</v>
      </c>
    </row>
    <row r="127" spans="1:16" x14ac:dyDescent="0.4">
      <c r="A127" s="33">
        <v>124</v>
      </c>
      <c r="B127" s="30">
        <v>-493.49999999999983</v>
      </c>
      <c r="C127" s="30">
        <v>-3.9798387096774182</v>
      </c>
      <c r="D127" s="35">
        <v>2.1693548387096775</v>
      </c>
      <c r="E127" s="31">
        <v>0.24193548387096775</v>
      </c>
      <c r="F127" s="31">
        <v>0.41129032258064518</v>
      </c>
      <c r="G127" s="31">
        <v>0.2834890965732087</v>
      </c>
      <c r="H127" s="31">
        <v>0.19833852544132918</v>
      </c>
      <c r="I127" s="32">
        <v>10492.307692307691</v>
      </c>
      <c r="J127" s="32">
        <v>-9500.5235602094235</v>
      </c>
      <c r="K127" s="31">
        <v>0.18548387096774194</v>
      </c>
      <c r="L127" s="31">
        <v>0.30129589632829373</v>
      </c>
      <c r="M127" s="31">
        <v>0.19006479481641469</v>
      </c>
      <c r="N127" s="31">
        <v>0.58064516129032262</v>
      </c>
      <c r="O127" s="31">
        <v>0.38636363636363635</v>
      </c>
      <c r="P127" s="31">
        <v>0.4358974358974359</v>
      </c>
    </row>
    <row r="128" spans="1:16" x14ac:dyDescent="0.4">
      <c r="A128" s="33">
        <v>125</v>
      </c>
      <c r="B128" s="30">
        <v>-500.99999999999983</v>
      </c>
      <c r="C128" s="30">
        <v>-4.0079999999999982</v>
      </c>
      <c r="D128" s="35">
        <v>2.1680000000000001</v>
      </c>
      <c r="E128" s="31">
        <v>0.24</v>
      </c>
      <c r="F128" s="31">
        <v>0.40799999999999997</v>
      </c>
      <c r="G128" s="31">
        <v>0.28305785123966942</v>
      </c>
      <c r="H128" s="31">
        <v>0.19731404958677687</v>
      </c>
      <c r="I128" s="32">
        <v>10541.605839416059</v>
      </c>
      <c r="J128" s="32">
        <v>-9500.5235602094235</v>
      </c>
      <c r="K128" s="31">
        <v>0.184</v>
      </c>
      <c r="L128" s="31">
        <v>0.3007518796992481</v>
      </c>
      <c r="M128" s="31">
        <v>0.19011815252416756</v>
      </c>
      <c r="N128" s="31">
        <v>0.58214285714285718</v>
      </c>
      <c r="O128" s="31">
        <v>0.38418079096045199</v>
      </c>
      <c r="P128" s="31">
        <v>0.43795620437956206</v>
      </c>
    </row>
    <row r="129" spans="1:16" x14ac:dyDescent="0.4">
      <c r="A129" s="33">
        <v>126</v>
      </c>
      <c r="B129" s="30">
        <v>-456.29999999999984</v>
      </c>
      <c r="C129" s="30">
        <v>-3.6214285714285701</v>
      </c>
      <c r="D129" s="35">
        <v>2.1587301587301586</v>
      </c>
      <c r="E129" s="31">
        <v>0.24603174603174602</v>
      </c>
      <c r="F129" s="31">
        <v>0.40476190476190477</v>
      </c>
      <c r="G129" s="31">
        <v>0.28469387755102044</v>
      </c>
      <c r="H129" s="31">
        <v>0.19489795918367347</v>
      </c>
      <c r="I129" s="32">
        <v>10550.537634408602</v>
      </c>
      <c r="J129" s="32">
        <v>-9500.5235602094235</v>
      </c>
      <c r="K129" s="31">
        <v>0.18253968253968253</v>
      </c>
      <c r="L129" s="31">
        <v>0.3022269353128314</v>
      </c>
      <c r="M129" s="31">
        <v>0.18875927889713678</v>
      </c>
      <c r="N129" s="31">
        <v>0.5859649122807018</v>
      </c>
      <c r="O129" s="31">
        <v>0.38764044943820225</v>
      </c>
      <c r="P129" s="31">
        <v>0.44086021505376344</v>
      </c>
    </row>
    <row r="130" spans="1:16" x14ac:dyDescent="0.4">
      <c r="A130" s="33">
        <v>127</v>
      </c>
      <c r="B130" s="30">
        <v>-412.09999999999985</v>
      </c>
      <c r="C130" s="30">
        <v>-3.2448818897637786</v>
      </c>
      <c r="D130" s="35">
        <v>2.1496062992125986</v>
      </c>
      <c r="E130" s="31">
        <v>0.25196850393700787</v>
      </c>
      <c r="F130" s="31">
        <v>0.40157480314960631</v>
      </c>
      <c r="G130" s="31">
        <v>0.28600405679513186</v>
      </c>
      <c r="H130" s="31">
        <v>0.19371196754563894</v>
      </c>
      <c r="I130" s="32">
        <v>10608.510638297872</v>
      </c>
      <c r="J130" s="32">
        <v>-9500.5235602094235</v>
      </c>
      <c r="K130" s="31">
        <v>0.18110236220472442</v>
      </c>
      <c r="L130" s="31">
        <v>0.30242360379346683</v>
      </c>
      <c r="M130" s="31">
        <v>0.18861959957850369</v>
      </c>
      <c r="N130" s="31">
        <v>0.58885017421602792</v>
      </c>
      <c r="O130" s="31">
        <v>0.39106145251396646</v>
      </c>
      <c r="P130" s="31">
        <v>0.4432624113475177</v>
      </c>
    </row>
    <row r="131" spans="1:16" x14ac:dyDescent="0.4">
      <c r="A131" s="33">
        <v>128</v>
      </c>
      <c r="B131" s="30">
        <v>-424.09999999999985</v>
      </c>
      <c r="C131" s="30">
        <v>-3.3132812499999988</v>
      </c>
      <c r="D131" s="35">
        <v>2.15625</v>
      </c>
      <c r="E131" s="31">
        <v>0.25</v>
      </c>
      <c r="F131" s="31">
        <v>0.40625</v>
      </c>
      <c r="G131" s="31">
        <v>0.28470824949698187</v>
      </c>
      <c r="H131" s="31">
        <v>0.19315895372233399</v>
      </c>
      <c r="I131" s="32">
        <v>10627.561837455831</v>
      </c>
      <c r="J131" s="32">
        <v>-9513.5416666666661</v>
      </c>
      <c r="K131" s="31">
        <v>0.1796875</v>
      </c>
      <c r="L131" s="31">
        <v>0.30407523510971785</v>
      </c>
      <c r="M131" s="31">
        <v>0.18704284221525602</v>
      </c>
      <c r="N131" s="31">
        <v>0.58419243986254299</v>
      </c>
      <c r="O131" s="31">
        <v>0.39106145251396646</v>
      </c>
      <c r="P131" s="31">
        <v>0.44169611307420492</v>
      </c>
    </row>
    <row r="132" spans="1:16" x14ac:dyDescent="0.4">
      <c r="A132" s="33">
        <v>129</v>
      </c>
      <c r="B132" s="30">
        <v>-448.69999999999987</v>
      </c>
      <c r="C132" s="30">
        <v>-3.4782945736434101</v>
      </c>
      <c r="D132" s="35">
        <v>2.1627906976744184</v>
      </c>
      <c r="E132" s="31">
        <v>0.24806201550387597</v>
      </c>
      <c r="F132" s="31">
        <v>0.41085271317829458</v>
      </c>
      <c r="G132" s="31">
        <v>0.28414755732801594</v>
      </c>
      <c r="H132" s="31">
        <v>0.19541375872382852</v>
      </c>
      <c r="I132" s="32">
        <v>10623.157894736842</v>
      </c>
      <c r="J132" s="32">
        <v>-9480.6122448979586</v>
      </c>
      <c r="K132" s="31">
        <v>0.17829457364341086</v>
      </c>
      <c r="L132" s="31">
        <v>0.30331262939958592</v>
      </c>
      <c r="M132" s="31">
        <v>0.18530020703933747</v>
      </c>
      <c r="N132" s="31">
        <v>0.58361774744027306</v>
      </c>
      <c r="O132" s="31">
        <v>0.39106145251396646</v>
      </c>
      <c r="P132" s="31">
        <v>0.44210526315789472</v>
      </c>
    </row>
    <row r="133" spans="1:16" x14ac:dyDescent="0.4">
      <c r="A133" s="33">
        <v>130</v>
      </c>
      <c r="B133" s="30">
        <v>-468.69999999999987</v>
      </c>
      <c r="C133" s="30">
        <v>-3.6053846153846143</v>
      </c>
      <c r="D133" s="35">
        <v>2.1615384615384614</v>
      </c>
      <c r="E133" s="31">
        <v>0.24615384615384617</v>
      </c>
      <c r="F133" s="31">
        <v>0.40769230769230769</v>
      </c>
      <c r="G133" s="31">
        <v>0.28273809523809523</v>
      </c>
      <c r="H133" s="31">
        <v>0.19543650793650794</v>
      </c>
      <c r="I133" s="32">
        <v>10623.157894736842</v>
      </c>
      <c r="J133" s="32">
        <v>-9493.4010152284263</v>
      </c>
      <c r="K133" s="31">
        <v>0.17692307692307693</v>
      </c>
      <c r="L133" s="31">
        <v>0.30175077239958803</v>
      </c>
      <c r="M133" s="31">
        <v>0.18537590113285274</v>
      </c>
      <c r="N133" s="31">
        <v>0.58361774744027306</v>
      </c>
      <c r="O133" s="31">
        <v>0.3888888888888889</v>
      </c>
      <c r="P133" s="31">
        <v>0.44210526315789472</v>
      </c>
    </row>
    <row r="134" spans="1:16" x14ac:dyDescent="0.4">
      <c r="A134" s="33">
        <v>131</v>
      </c>
      <c r="B134" s="30">
        <v>-461.2999999999999</v>
      </c>
      <c r="C134" s="30">
        <v>-3.5213740458015259</v>
      </c>
      <c r="D134" s="35">
        <v>2.1603053435114505</v>
      </c>
      <c r="E134" s="31">
        <v>0.24427480916030533</v>
      </c>
      <c r="F134" s="31">
        <v>0.40458015267175573</v>
      </c>
      <c r="G134" s="31">
        <v>0.28346456692913385</v>
      </c>
      <c r="H134" s="31">
        <v>0.19389763779527558</v>
      </c>
      <c r="I134" s="32">
        <v>10578.125</v>
      </c>
      <c r="J134" s="32">
        <v>-9493.4010152284263</v>
      </c>
      <c r="K134" s="31">
        <v>0.17557251908396945</v>
      </c>
      <c r="L134" s="31">
        <v>0.30234933605720121</v>
      </c>
      <c r="M134" s="31">
        <v>0.18488253319713993</v>
      </c>
      <c r="N134" s="31">
        <v>0.58445945945945943</v>
      </c>
      <c r="O134" s="31">
        <v>0.39226519337016574</v>
      </c>
      <c r="P134" s="31">
        <v>0.4375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29AE4-8719-4D75-9380-E1DBD8D4696E}">
  <sheetPr codeName="Sheet24"/>
  <dimension ref="A1:Q3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223</v>
      </c>
      <c r="B1" s="34" t="s">
        <v>223</v>
      </c>
      <c r="C1" s="34" t="s">
        <v>223</v>
      </c>
      <c r="D1" s="35" t="s">
        <v>223</v>
      </c>
      <c r="E1" s="34" t="s">
        <v>223</v>
      </c>
      <c r="F1" s="34" t="s">
        <v>223</v>
      </c>
      <c r="G1" s="34" t="s">
        <v>223</v>
      </c>
      <c r="H1" s="34" t="s">
        <v>223</v>
      </c>
      <c r="I1" s="34" t="s">
        <v>223</v>
      </c>
      <c r="J1" s="34" t="s">
        <v>223</v>
      </c>
      <c r="K1" s="34" t="s">
        <v>223</v>
      </c>
      <c r="L1" s="34" t="s">
        <v>223</v>
      </c>
      <c r="M1" s="34" t="s">
        <v>223</v>
      </c>
      <c r="N1" s="34" t="s">
        <v>223</v>
      </c>
      <c r="O1" s="34" t="s">
        <v>223</v>
      </c>
      <c r="P1" s="34" t="s">
        <v>223</v>
      </c>
      <c r="Q1" s="34" t="s">
        <v>223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-14.4</v>
      </c>
      <c r="C4" s="30">
        <v>-14.4</v>
      </c>
      <c r="D4" s="35">
        <v>2</v>
      </c>
      <c r="E4" s="31">
        <v>0</v>
      </c>
      <c r="F4" s="31">
        <v>0</v>
      </c>
      <c r="G4" s="31">
        <v>0.1111111111111111</v>
      </c>
      <c r="H4" s="31">
        <v>0.22222222222222221</v>
      </c>
      <c r="I4" s="32">
        <v>16000</v>
      </c>
      <c r="J4" s="32">
        <v>-12850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1</v>
      </c>
    </row>
    <row r="5" spans="1:17" x14ac:dyDescent="0.4">
      <c r="A5" s="33">
        <v>2</v>
      </c>
      <c r="B5" s="30">
        <v>37.6</v>
      </c>
      <c r="C5" s="30">
        <v>18.8</v>
      </c>
      <c r="D5" s="35">
        <v>1.5</v>
      </c>
      <c r="E5" s="31">
        <v>0.5</v>
      </c>
      <c r="F5" s="31">
        <v>0</v>
      </c>
      <c r="G5" s="31">
        <v>0.23076923076923078</v>
      </c>
      <c r="H5" s="31">
        <v>0.15384615384615385</v>
      </c>
      <c r="I5" s="32">
        <v>23333.333333333332</v>
      </c>
      <c r="J5" s="32">
        <v>-12850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1</v>
      </c>
    </row>
    <row r="6" spans="1:17" x14ac:dyDescent="0.4">
      <c r="A6" s="33">
        <v>3</v>
      </c>
      <c r="B6" s="30">
        <v>-2.7999999999999972</v>
      </c>
      <c r="C6" s="30">
        <v>-0.93333333333333235</v>
      </c>
      <c r="D6" s="35">
        <v>2</v>
      </c>
      <c r="E6" s="31">
        <v>0.33333333333333331</v>
      </c>
      <c r="F6" s="31">
        <v>0.33333333333333331</v>
      </c>
      <c r="G6" s="31">
        <v>0.21739130434782608</v>
      </c>
      <c r="H6" s="31">
        <v>0.21739130434782608</v>
      </c>
      <c r="I6" s="32">
        <v>16800</v>
      </c>
      <c r="J6" s="32">
        <v>-9720</v>
      </c>
      <c r="K6" s="31">
        <v>0.33333333333333331</v>
      </c>
      <c r="L6" s="31">
        <v>0</v>
      </c>
      <c r="M6" s="31">
        <v>0</v>
      </c>
      <c r="N6" s="31">
        <v>0</v>
      </c>
      <c r="O6" s="31">
        <v>0</v>
      </c>
      <c r="P6" s="31">
        <v>0.8</v>
      </c>
    </row>
    <row r="7" spans="1:17" x14ac:dyDescent="0.4">
      <c r="A7" s="33">
        <v>4</v>
      </c>
      <c r="B7" s="30">
        <v>-44.3</v>
      </c>
      <c r="C7" s="30">
        <v>-11.074999999999999</v>
      </c>
      <c r="D7" s="35">
        <v>2.25</v>
      </c>
      <c r="E7" s="31">
        <v>0.25</v>
      </c>
      <c r="F7" s="31">
        <v>0.5</v>
      </c>
      <c r="G7" s="31">
        <v>0.18518518518518517</v>
      </c>
      <c r="H7" s="31">
        <v>0.25925925925925924</v>
      </c>
      <c r="I7" s="32">
        <v>16800</v>
      </c>
      <c r="J7" s="32">
        <v>-11228.571428571429</v>
      </c>
      <c r="K7" s="31">
        <v>0.5</v>
      </c>
      <c r="L7" s="31">
        <v>0</v>
      </c>
      <c r="M7" s="31">
        <v>0</v>
      </c>
      <c r="N7" s="31">
        <v>0</v>
      </c>
      <c r="O7" s="31">
        <v>0</v>
      </c>
      <c r="P7" s="31">
        <v>0.8</v>
      </c>
    </row>
    <row r="8" spans="1:17" x14ac:dyDescent="0.4">
      <c r="A8" s="33">
        <v>5</v>
      </c>
      <c r="B8" s="30">
        <v>8.2000000000000028</v>
      </c>
      <c r="C8" s="30">
        <v>1.6400000000000006</v>
      </c>
      <c r="D8" s="35">
        <v>2</v>
      </c>
      <c r="E8" s="31">
        <v>0.4</v>
      </c>
      <c r="F8" s="31">
        <v>0.4</v>
      </c>
      <c r="G8" s="31">
        <v>0.2857142857142857</v>
      </c>
      <c r="H8" s="31">
        <v>0.22857142857142856</v>
      </c>
      <c r="I8" s="32">
        <v>15800</v>
      </c>
      <c r="J8" s="32">
        <v>-12075</v>
      </c>
      <c r="K8" s="31">
        <v>0.4</v>
      </c>
      <c r="L8" s="31">
        <v>0</v>
      </c>
      <c r="M8" s="31">
        <v>0</v>
      </c>
      <c r="N8" s="31">
        <v>0</v>
      </c>
      <c r="O8" s="31">
        <v>0</v>
      </c>
      <c r="P8" s="31">
        <v>0.8</v>
      </c>
    </row>
    <row r="9" spans="1:17" x14ac:dyDescent="0.4">
      <c r="A9" s="33">
        <v>6</v>
      </c>
      <c r="B9" s="30">
        <v>23.200000000000003</v>
      </c>
      <c r="C9" s="30">
        <v>3.8666666666666671</v>
      </c>
      <c r="D9" s="35">
        <v>1.8333333333333333</v>
      </c>
      <c r="E9" s="31">
        <v>0.5</v>
      </c>
      <c r="F9" s="31">
        <v>0.33333333333333331</v>
      </c>
      <c r="G9" s="31">
        <v>0.30952380952380953</v>
      </c>
      <c r="H9" s="31">
        <v>0.21428571428571427</v>
      </c>
      <c r="I9" s="32">
        <v>14430.76923076923</v>
      </c>
      <c r="J9" s="32">
        <v>-11022.222222222223</v>
      </c>
      <c r="K9" s="31">
        <v>0.33333333333333331</v>
      </c>
      <c r="L9" s="31">
        <v>0</v>
      </c>
      <c r="M9" s="31">
        <v>0</v>
      </c>
      <c r="N9" s="31">
        <v>0</v>
      </c>
      <c r="O9" s="31">
        <v>0</v>
      </c>
      <c r="P9" s="31">
        <v>0.69230769230769229</v>
      </c>
    </row>
    <row r="10" spans="1:17" x14ac:dyDescent="0.4">
      <c r="A10" s="33">
        <v>7</v>
      </c>
      <c r="B10" s="30">
        <v>40</v>
      </c>
      <c r="C10" s="30">
        <v>5.7142857142857144</v>
      </c>
      <c r="D10" s="35">
        <v>1.7142857142857142</v>
      </c>
      <c r="E10" s="31">
        <v>0.5714285714285714</v>
      </c>
      <c r="F10" s="31">
        <v>0.2857142857142857</v>
      </c>
      <c r="G10" s="31">
        <v>0.32</v>
      </c>
      <c r="H10" s="31">
        <v>0.18</v>
      </c>
      <c r="I10" s="32">
        <v>13056.25</v>
      </c>
      <c r="J10" s="32">
        <v>-11022.222222222223</v>
      </c>
      <c r="K10" s="31">
        <v>0.2857142857142857</v>
      </c>
      <c r="L10" s="31">
        <v>0</v>
      </c>
      <c r="M10" s="31">
        <v>0</v>
      </c>
      <c r="N10" s="31">
        <v>0</v>
      </c>
      <c r="O10" s="31">
        <v>0</v>
      </c>
      <c r="P10" s="31">
        <v>0.625</v>
      </c>
    </row>
    <row r="11" spans="1:17" x14ac:dyDescent="0.4">
      <c r="A11" s="33">
        <v>8</v>
      </c>
      <c r="B11" s="30">
        <v>4.2000000000000028</v>
      </c>
      <c r="C11" s="30">
        <v>0.52500000000000036</v>
      </c>
      <c r="D11" s="35">
        <v>1.875</v>
      </c>
      <c r="E11" s="31">
        <v>0.5</v>
      </c>
      <c r="F11" s="31">
        <v>0.375</v>
      </c>
      <c r="G11" s="31">
        <v>0.28333333333333333</v>
      </c>
      <c r="H11" s="31">
        <v>0.18333333333333332</v>
      </c>
      <c r="I11" s="32">
        <v>12741.176470588236</v>
      </c>
      <c r="J11" s="32">
        <v>-9927.2727272727279</v>
      </c>
      <c r="K11" s="31">
        <v>0.375</v>
      </c>
      <c r="L11" s="31">
        <v>0</v>
      </c>
      <c r="M11" s="31">
        <v>0</v>
      </c>
      <c r="N11" s="31">
        <v>0</v>
      </c>
      <c r="O11" s="31">
        <v>0</v>
      </c>
      <c r="P11" s="31">
        <v>0.58823529411764708</v>
      </c>
    </row>
    <row r="12" spans="1:17" x14ac:dyDescent="0.4">
      <c r="A12" s="33">
        <v>9</v>
      </c>
      <c r="B12" s="30">
        <v>6.8000000000000025</v>
      </c>
      <c r="C12" s="30">
        <v>0.75555555555555587</v>
      </c>
      <c r="D12" s="35">
        <v>1.8888888888888888</v>
      </c>
      <c r="E12" s="31">
        <v>0.44444444444444442</v>
      </c>
      <c r="F12" s="31">
        <v>0.33333333333333331</v>
      </c>
      <c r="G12" s="31">
        <v>0.29508196721311475</v>
      </c>
      <c r="H12" s="31">
        <v>0.18032786885245902</v>
      </c>
      <c r="I12" s="32">
        <v>12177.777777777777</v>
      </c>
      <c r="J12" s="32">
        <v>-9927.2727272727279</v>
      </c>
      <c r="K12" s="31">
        <v>0.33333333333333331</v>
      </c>
      <c r="L12" s="31">
        <v>0</v>
      </c>
      <c r="M12" s="31">
        <v>0</v>
      </c>
      <c r="N12" s="31">
        <v>0</v>
      </c>
      <c r="O12" s="31">
        <v>0</v>
      </c>
      <c r="P12" s="31">
        <v>0.55555555555555558</v>
      </c>
    </row>
    <row r="13" spans="1:17" x14ac:dyDescent="0.4">
      <c r="A13" s="33">
        <v>10</v>
      </c>
      <c r="B13" s="30">
        <v>56.800000000000004</v>
      </c>
      <c r="C13" s="30">
        <v>5.6800000000000006</v>
      </c>
      <c r="D13" s="35">
        <v>1.8</v>
      </c>
      <c r="E13" s="31">
        <v>0.5</v>
      </c>
      <c r="F13" s="31">
        <v>0.3</v>
      </c>
      <c r="G13" s="31">
        <v>0.33333333333333331</v>
      </c>
      <c r="H13" s="31">
        <v>0.16666666666666666</v>
      </c>
      <c r="I13" s="32">
        <v>12168.181818181818</v>
      </c>
      <c r="J13" s="32">
        <v>-9927.2727272727279</v>
      </c>
      <c r="K13" s="31">
        <v>0.3</v>
      </c>
      <c r="L13" s="31">
        <v>0</v>
      </c>
      <c r="M13" s="31">
        <v>0</v>
      </c>
      <c r="N13" s="31">
        <v>0</v>
      </c>
      <c r="O13" s="31">
        <v>0</v>
      </c>
      <c r="P13" s="31">
        <v>0.5</v>
      </c>
    </row>
    <row r="14" spans="1:17" x14ac:dyDescent="0.4">
      <c r="A14" s="33">
        <v>11</v>
      </c>
      <c r="B14" s="30">
        <v>69.300000000000011</v>
      </c>
      <c r="C14" s="30">
        <v>6.3000000000000007</v>
      </c>
      <c r="D14" s="35">
        <v>1.7272727272727273</v>
      </c>
      <c r="E14" s="31">
        <v>0.54545454545454541</v>
      </c>
      <c r="F14" s="31">
        <v>0.27272727272727271</v>
      </c>
      <c r="G14" s="31">
        <v>0.34722222222222221</v>
      </c>
      <c r="H14" s="31">
        <v>0.15277777777777779</v>
      </c>
      <c r="I14" s="32">
        <v>11396</v>
      </c>
      <c r="J14" s="32">
        <v>-9927.2727272727279</v>
      </c>
      <c r="K14" s="31">
        <v>0.27272727272727271</v>
      </c>
      <c r="L14" s="31">
        <v>0</v>
      </c>
      <c r="M14" s="31">
        <v>0</v>
      </c>
      <c r="N14" s="31">
        <v>0</v>
      </c>
      <c r="O14" s="31">
        <v>0</v>
      </c>
      <c r="P14" s="31">
        <v>0.48</v>
      </c>
    </row>
    <row r="15" spans="1:17" x14ac:dyDescent="0.4">
      <c r="A15" s="33">
        <v>12</v>
      </c>
      <c r="B15" s="30">
        <v>80.800000000000011</v>
      </c>
      <c r="C15" s="30">
        <v>6.7333333333333343</v>
      </c>
      <c r="D15" s="35">
        <v>1.75</v>
      </c>
      <c r="E15" s="31">
        <v>0.5</v>
      </c>
      <c r="F15" s="31">
        <v>0.25</v>
      </c>
      <c r="G15" s="31">
        <v>0.34146341463414637</v>
      </c>
      <c r="H15" s="31">
        <v>0.13414634146341464</v>
      </c>
      <c r="I15" s="32">
        <v>10857.142857142857</v>
      </c>
      <c r="J15" s="32">
        <v>-9927.2727272727279</v>
      </c>
      <c r="K15" s="31">
        <v>0.25</v>
      </c>
      <c r="L15" s="31">
        <v>0</v>
      </c>
      <c r="M15" s="31">
        <v>0</v>
      </c>
      <c r="N15" s="31">
        <v>0</v>
      </c>
      <c r="O15" s="31">
        <v>0</v>
      </c>
      <c r="P15" s="31">
        <v>0.4642857142857143</v>
      </c>
    </row>
    <row r="16" spans="1:17" x14ac:dyDescent="0.4">
      <c r="A16" s="33">
        <v>13</v>
      </c>
      <c r="B16" s="30">
        <v>155.10000000000002</v>
      </c>
      <c r="C16" s="30">
        <v>11.930769230769233</v>
      </c>
      <c r="D16" s="35">
        <v>1.6923076923076923</v>
      </c>
      <c r="E16" s="31">
        <v>0.53846153846153844</v>
      </c>
      <c r="F16" s="31">
        <v>0.23076923076923078</v>
      </c>
      <c r="G16" s="31">
        <v>0.36363636363636365</v>
      </c>
      <c r="H16" s="31">
        <v>0.13636363636363635</v>
      </c>
      <c r="I16" s="32">
        <v>11843.75</v>
      </c>
      <c r="J16" s="32">
        <v>-9741.6666666666661</v>
      </c>
      <c r="K16" s="31">
        <v>0.23076923076923078</v>
      </c>
      <c r="L16" s="31">
        <v>0.33333333333333331</v>
      </c>
      <c r="M16" s="31">
        <v>0.16666666666666666</v>
      </c>
      <c r="N16" s="31">
        <v>1</v>
      </c>
      <c r="O16" s="31">
        <v>1</v>
      </c>
      <c r="P16" s="31">
        <v>0.46875</v>
      </c>
    </row>
    <row r="17" spans="1:16" x14ac:dyDescent="0.4">
      <c r="A17" s="33">
        <v>14</v>
      </c>
      <c r="B17" s="30">
        <v>147.10000000000002</v>
      </c>
      <c r="C17" s="30">
        <v>10.507142857142858</v>
      </c>
      <c r="D17" s="35">
        <v>1.7857142857142858</v>
      </c>
      <c r="E17" s="31">
        <v>0.5</v>
      </c>
      <c r="F17" s="31">
        <v>0.2857142857142857</v>
      </c>
      <c r="G17" s="31">
        <v>0.34693877551020408</v>
      </c>
      <c r="H17" s="31">
        <v>0.1326530612244898</v>
      </c>
      <c r="I17" s="32">
        <v>11467.64705882353</v>
      </c>
      <c r="J17" s="32">
        <v>-9915.3846153846152</v>
      </c>
      <c r="K17" s="31">
        <v>0.21428571428571427</v>
      </c>
      <c r="L17" s="31">
        <v>0.25</v>
      </c>
      <c r="M17" s="31">
        <v>0.375</v>
      </c>
      <c r="N17" s="31">
        <v>0.5</v>
      </c>
      <c r="O17" s="31">
        <v>0.33333333333333331</v>
      </c>
      <c r="P17" s="31">
        <v>0.47058823529411764</v>
      </c>
    </row>
    <row r="18" spans="1:16" x14ac:dyDescent="0.4">
      <c r="A18" s="33">
        <v>15</v>
      </c>
      <c r="B18" s="30">
        <v>148.80000000000001</v>
      </c>
      <c r="C18" s="30">
        <v>9.92</v>
      </c>
      <c r="D18" s="35">
        <v>1.8</v>
      </c>
      <c r="E18" s="31">
        <v>0.46666666666666667</v>
      </c>
      <c r="F18" s="31">
        <v>0.26666666666666666</v>
      </c>
      <c r="G18" s="31">
        <v>0.33333333333333331</v>
      </c>
      <c r="H18" s="31">
        <v>0.14285714285714285</v>
      </c>
      <c r="I18" s="32">
        <v>11654.285714285714</v>
      </c>
      <c r="J18" s="32">
        <v>-9113.3333333333339</v>
      </c>
      <c r="K18" s="31">
        <v>0.2</v>
      </c>
      <c r="L18" s="31">
        <v>0.2608695652173913</v>
      </c>
      <c r="M18" s="31">
        <v>0.30434782608695654</v>
      </c>
      <c r="N18" s="31">
        <v>0.5</v>
      </c>
      <c r="O18" s="31">
        <v>0.2857142857142857</v>
      </c>
      <c r="P18" s="31">
        <v>0.45714285714285713</v>
      </c>
    </row>
    <row r="19" spans="1:16" x14ac:dyDescent="0.4">
      <c r="A19" s="33">
        <v>16</v>
      </c>
      <c r="B19" s="30">
        <v>152.30000000000001</v>
      </c>
      <c r="C19" s="30">
        <v>9.5187500000000007</v>
      </c>
      <c r="D19" s="35">
        <v>1.8125</v>
      </c>
      <c r="E19" s="31">
        <v>0.4375</v>
      </c>
      <c r="F19" s="31">
        <v>0.25</v>
      </c>
      <c r="G19" s="31">
        <v>0.33913043478260868</v>
      </c>
      <c r="H19" s="31">
        <v>0.15652173913043479</v>
      </c>
      <c r="I19" s="32">
        <v>11484.615384615385</v>
      </c>
      <c r="J19" s="32">
        <v>-9150</v>
      </c>
      <c r="K19" s="31">
        <v>0.1875</v>
      </c>
      <c r="L19" s="31">
        <v>0.30303030303030304</v>
      </c>
      <c r="M19" s="31">
        <v>0.24242424242424243</v>
      </c>
      <c r="N19" s="31">
        <v>0.7</v>
      </c>
      <c r="O19" s="31">
        <v>0.25</v>
      </c>
      <c r="P19" s="31">
        <v>0.48717948717948717</v>
      </c>
    </row>
    <row r="20" spans="1:16" x14ac:dyDescent="0.4">
      <c r="A20" s="33">
        <v>17</v>
      </c>
      <c r="B20" s="30">
        <v>178.10000000000002</v>
      </c>
      <c r="C20" s="30">
        <v>10.476470588235296</v>
      </c>
      <c r="D20" s="35">
        <v>1.7647058823529411</v>
      </c>
      <c r="E20" s="31">
        <v>0.47058823529411764</v>
      </c>
      <c r="F20" s="31">
        <v>0.23529411764705882</v>
      </c>
      <c r="G20" s="31">
        <v>0.34399999999999997</v>
      </c>
      <c r="H20" s="31">
        <v>0.16</v>
      </c>
      <c r="I20" s="32">
        <v>11341.860465116279</v>
      </c>
      <c r="J20" s="32">
        <v>-8895</v>
      </c>
      <c r="K20" s="31">
        <v>0.17647058823529413</v>
      </c>
      <c r="L20" s="31">
        <v>0.30232558139534882</v>
      </c>
      <c r="M20" s="31">
        <v>0.27906976744186046</v>
      </c>
      <c r="N20" s="31">
        <v>0.76923076923076927</v>
      </c>
      <c r="O20" s="31">
        <v>0.25</v>
      </c>
      <c r="P20" s="31">
        <v>0.46511627906976744</v>
      </c>
    </row>
    <row r="21" spans="1:16" x14ac:dyDescent="0.4">
      <c r="A21" s="33">
        <v>18</v>
      </c>
      <c r="B21" s="30">
        <v>155.00000000000003</v>
      </c>
      <c r="C21" s="30">
        <v>8.6111111111111125</v>
      </c>
      <c r="D21" s="35">
        <v>1.8333333333333333</v>
      </c>
      <c r="E21" s="31">
        <v>0.44444444444444442</v>
      </c>
      <c r="F21" s="31">
        <v>0.27777777777777779</v>
      </c>
      <c r="G21" s="31">
        <v>0.33088235294117646</v>
      </c>
      <c r="H21" s="31">
        <v>0.15441176470588236</v>
      </c>
      <c r="I21" s="32">
        <v>11131.111111111111</v>
      </c>
      <c r="J21" s="32">
        <v>-8747.6190476190477</v>
      </c>
      <c r="K21" s="31">
        <v>0.16666666666666666</v>
      </c>
      <c r="L21" s="31">
        <v>0.33333333333333331</v>
      </c>
      <c r="M21" s="31">
        <v>0.25925925925925924</v>
      </c>
      <c r="N21" s="31">
        <v>0.66666666666666663</v>
      </c>
      <c r="O21" s="31">
        <v>0.21428571428571427</v>
      </c>
      <c r="P21" s="31">
        <v>0.44444444444444442</v>
      </c>
    </row>
    <row r="22" spans="1:16" x14ac:dyDescent="0.4">
      <c r="A22" s="33">
        <v>19</v>
      </c>
      <c r="B22" s="30">
        <v>143.60000000000002</v>
      </c>
      <c r="C22" s="30">
        <v>7.5578947368421066</v>
      </c>
      <c r="D22" s="35">
        <v>1.8421052631578947</v>
      </c>
      <c r="E22" s="31">
        <v>0.42105263157894735</v>
      </c>
      <c r="F22" s="31">
        <v>0.26315789473684209</v>
      </c>
      <c r="G22" s="31">
        <v>0.32214765100671139</v>
      </c>
      <c r="H22" s="31">
        <v>0.16107382550335569</v>
      </c>
      <c r="I22" s="32">
        <v>11364.583333333334</v>
      </c>
      <c r="J22" s="32">
        <v>-8883.3333333333339</v>
      </c>
      <c r="K22" s="31">
        <v>0.15789473684210525</v>
      </c>
      <c r="L22" s="31">
        <v>0.38805970149253732</v>
      </c>
      <c r="M22" s="31">
        <v>0.20895522388059701</v>
      </c>
      <c r="N22" s="31">
        <v>0.57692307692307687</v>
      </c>
      <c r="O22" s="31">
        <v>0.21428571428571427</v>
      </c>
      <c r="P22" s="31">
        <v>0.4375</v>
      </c>
    </row>
    <row r="23" spans="1:16" x14ac:dyDescent="0.4">
      <c r="A23" s="33">
        <v>20</v>
      </c>
      <c r="B23" s="30">
        <v>152.50000000000003</v>
      </c>
      <c r="C23" s="30">
        <v>7.6250000000000018</v>
      </c>
      <c r="D23" s="35">
        <v>1.85</v>
      </c>
      <c r="E23" s="31">
        <v>0.4</v>
      </c>
      <c r="F23" s="31">
        <v>0.25</v>
      </c>
      <c r="G23" s="31">
        <v>0.31847133757961782</v>
      </c>
      <c r="H23" s="31">
        <v>0.15923566878980891</v>
      </c>
      <c r="I23" s="32">
        <v>11416</v>
      </c>
      <c r="J23" s="32">
        <v>-8760</v>
      </c>
      <c r="K23" s="31">
        <v>0.15</v>
      </c>
      <c r="L23" s="31">
        <v>0.36</v>
      </c>
      <c r="M23" s="31">
        <v>0.21333333333333335</v>
      </c>
      <c r="N23" s="31">
        <v>0.59259259259259256</v>
      </c>
      <c r="O23" s="31">
        <v>0.1875</v>
      </c>
      <c r="P23" s="31">
        <v>0.44</v>
      </c>
    </row>
    <row r="24" spans="1:16" x14ac:dyDescent="0.4">
      <c r="A24" s="33">
        <v>21</v>
      </c>
      <c r="B24" s="30">
        <v>138.00000000000003</v>
      </c>
      <c r="C24" s="30">
        <v>6.571428571428573</v>
      </c>
      <c r="D24" s="35">
        <v>1.9047619047619047</v>
      </c>
      <c r="E24" s="31">
        <v>0.38095238095238093</v>
      </c>
      <c r="F24" s="31">
        <v>0.2857142857142857</v>
      </c>
      <c r="G24" s="31">
        <v>0.30538922155688625</v>
      </c>
      <c r="H24" s="31">
        <v>0.15568862275449102</v>
      </c>
      <c r="I24" s="32">
        <v>11427.450980392157</v>
      </c>
      <c r="J24" s="32">
        <v>-8730.7692307692305</v>
      </c>
      <c r="K24" s="31">
        <v>0.14285714285714285</v>
      </c>
      <c r="L24" s="31">
        <v>0.37647058823529411</v>
      </c>
      <c r="M24" s="31">
        <v>0.21176470588235294</v>
      </c>
      <c r="N24" s="31">
        <v>0.53125</v>
      </c>
      <c r="O24" s="31">
        <v>0.16666666666666666</v>
      </c>
      <c r="P24" s="31">
        <v>0.45098039215686275</v>
      </c>
    </row>
    <row r="25" spans="1:16" x14ac:dyDescent="0.4">
      <c r="A25" s="33">
        <v>22</v>
      </c>
      <c r="B25" s="30">
        <v>101.30000000000003</v>
      </c>
      <c r="C25" s="30">
        <v>4.6045454545454554</v>
      </c>
      <c r="D25" s="35">
        <v>1.9545454545454546</v>
      </c>
      <c r="E25" s="31">
        <v>0.36363636363636365</v>
      </c>
      <c r="F25" s="31">
        <v>0.31818181818181818</v>
      </c>
      <c r="G25" s="31">
        <v>0.29142857142857143</v>
      </c>
      <c r="H25" s="31">
        <v>0.1657142857142857</v>
      </c>
      <c r="I25" s="32">
        <v>11427.450980392157</v>
      </c>
      <c r="J25" s="32">
        <v>-8713.7931034482754</v>
      </c>
      <c r="K25" s="31">
        <v>0.18181818181818182</v>
      </c>
      <c r="L25" s="31">
        <v>0.34408602150537637</v>
      </c>
      <c r="M25" s="31">
        <v>0.21505376344086022</v>
      </c>
      <c r="N25" s="31">
        <v>0.53125</v>
      </c>
      <c r="O25" s="31">
        <v>0.15</v>
      </c>
      <c r="P25" s="31">
        <v>0.45098039215686275</v>
      </c>
    </row>
    <row r="26" spans="1:16" x14ac:dyDescent="0.4">
      <c r="A26" s="33">
        <v>23</v>
      </c>
      <c r="B26" s="30">
        <v>53.800000000000026</v>
      </c>
      <c r="C26" s="30">
        <v>2.3391304347826098</v>
      </c>
      <c r="D26" s="35">
        <v>2</v>
      </c>
      <c r="E26" s="31">
        <v>0.34782608695652173</v>
      </c>
      <c r="F26" s="31">
        <v>0.34782608695652173</v>
      </c>
      <c r="G26" s="31">
        <v>0.27868852459016391</v>
      </c>
      <c r="H26" s="31">
        <v>0.16393442622950818</v>
      </c>
      <c r="I26" s="32">
        <v>11427.450980392157</v>
      </c>
      <c r="J26" s="32">
        <v>-9023.3333333333339</v>
      </c>
      <c r="K26" s="31">
        <v>0.21739130434782608</v>
      </c>
      <c r="L26" s="31">
        <v>0.33663366336633666</v>
      </c>
      <c r="M26" s="31">
        <v>0.21782178217821782</v>
      </c>
      <c r="N26" s="31">
        <v>0.5</v>
      </c>
      <c r="O26" s="31">
        <v>0.13636363636363635</v>
      </c>
      <c r="P26" s="31">
        <v>0.45098039215686275</v>
      </c>
    </row>
    <row r="27" spans="1:16" x14ac:dyDescent="0.4">
      <c r="A27" s="33">
        <v>24</v>
      </c>
      <c r="B27" s="30">
        <v>81.500000000000028</v>
      </c>
      <c r="C27" s="30">
        <v>3.3958333333333344</v>
      </c>
      <c r="D27" s="35">
        <v>1.9583333333333333</v>
      </c>
      <c r="E27" s="31">
        <v>0.375</v>
      </c>
      <c r="F27" s="31">
        <v>0.33333333333333331</v>
      </c>
      <c r="G27" s="31">
        <v>0.29166666666666669</v>
      </c>
      <c r="H27" s="31">
        <v>0.16666666666666666</v>
      </c>
      <c r="I27" s="32">
        <v>11258.928571428571</v>
      </c>
      <c r="J27" s="32">
        <v>-9209.375</v>
      </c>
      <c r="K27" s="31">
        <v>0.20833333333333334</v>
      </c>
      <c r="L27" s="31">
        <v>0.32727272727272727</v>
      </c>
      <c r="M27" s="31">
        <v>0.24545454545454545</v>
      </c>
      <c r="N27" s="31">
        <v>0.52777777777777779</v>
      </c>
      <c r="O27" s="31">
        <v>0.18518518518518517</v>
      </c>
      <c r="P27" s="31">
        <v>0.44642857142857145</v>
      </c>
    </row>
    <row r="28" spans="1:16" x14ac:dyDescent="0.4">
      <c r="A28" s="33">
        <v>25</v>
      </c>
      <c r="B28" s="30">
        <v>79.500000000000028</v>
      </c>
      <c r="C28" s="30">
        <v>3.180000000000001</v>
      </c>
      <c r="D28" s="35">
        <v>1.96</v>
      </c>
      <c r="E28" s="31">
        <v>0.36</v>
      </c>
      <c r="F28" s="31">
        <v>0.32</v>
      </c>
      <c r="G28" s="31">
        <v>0.29064039408866993</v>
      </c>
      <c r="H28" s="31">
        <v>0.16748768472906403</v>
      </c>
      <c r="I28" s="32">
        <v>11137.28813559322</v>
      </c>
      <c r="J28" s="32">
        <v>-8979.4117647058829</v>
      </c>
      <c r="K28" s="31">
        <v>0.2</v>
      </c>
      <c r="L28" s="31">
        <v>0.32231404958677684</v>
      </c>
      <c r="M28" s="31">
        <v>0.23966942148760331</v>
      </c>
      <c r="N28" s="31">
        <v>0.51282051282051277</v>
      </c>
      <c r="O28" s="31">
        <v>0.17241379310344829</v>
      </c>
      <c r="P28" s="31">
        <v>0.44067796610169491</v>
      </c>
    </row>
    <row r="29" spans="1:16" x14ac:dyDescent="0.4">
      <c r="A29" s="33">
        <v>26</v>
      </c>
      <c r="B29" s="30">
        <v>51.10000000000003</v>
      </c>
      <c r="C29" s="30">
        <v>1.9653846153846166</v>
      </c>
      <c r="D29" s="35">
        <v>2</v>
      </c>
      <c r="E29" s="31">
        <v>0.34615384615384615</v>
      </c>
      <c r="F29" s="31">
        <v>0.34615384615384615</v>
      </c>
      <c r="G29" s="31">
        <v>0.27906976744186046</v>
      </c>
      <c r="H29" s="31">
        <v>0.16279069767441862</v>
      </c>
      <c r="I29" s="32">
        <v>11218.333333333334</v>
      </c>
      <c r="J29" s="32">
        <v>-8805.7142857142862</v>
      </c>
      <c r="K29" s="31">
        <v>0.19230769230769232</v>
      </c>
      <c r="L29" s="31">
        <v>0.30827067669172931</v>
      </c>
      <c r="M29" s="31">
        <v>0.23308270676691728</v>
      </c>
      <c r="N29" s="31">
        <v>0.51219512195121952</v>
      </c>
      <c r="O29" s="31">
        <v>0.16129032258064516</v>
      </c>
      <c r="P29" s="31">
        <v>0.45</v>
      </c>
    </row>
    <row r="30" spans="1:16" x14ac:dyDescent="0.4">
      <c r="A30" s="33">
        <v>27</v>
      </c>
      <c r="B30" s="30">
        <v>64.700000000000031</v>
      </c>
      <c r="C30" s="30">
        <v>2.3962962962962973</v>
      </c>
      <c r="D30" s="35">
        <v>1.962962962962963</v>
      </c>
      <c r="E30" s="31">
        <v>0.37037037037037035</v>
      </c>
      <c r="F30" s="31">
        <v>0.33333333333333331</v>
      </c>
      <c r="G30" s="31">
        <v>0.28828828828828829</v>
      </c>
      <c r="H30" s="31">
        <v>0.16666666666666666</v>
      </c>
      <c r="I30" s="32">
        <v>10957.8125</v>
      </c>
      <c r="J30" s="32">
        <v>-8454.0540540540533</v>
      </c>
      <c r="K30" s="31">
        <v>0.18518518518518517</v>
      </c>
      <c r="L30" s="31">
        <v>0.32142857142857145</v>
      </c>
      <c r="M30" s="31">
        <v>0.22857142857142856</v>
      </c>
      <c r="N30" s="31">
        <v>0.53333333333333333</v>
      </c>
      <c r="O30" s="31">
        <v>0.1875</v>
      </c>
      <c r="P30" s="31">
        <v>0.453125</v>
      </c>
    </row>
    <row r="31" spans="1:16" x14ac:dyDescent="0.4">
      <c r="A31" s="33">
        <v>28</v>
      </c>
      <c r="B31" s="30">
        <v>49.60000000000003</v>
      </c>
      <c r="C31" s="30">
        <v>1.7714285714285725</v>
      </c>
      <c r="D31" s="35">
        <v>2</v>
      </c>
      <c r="E31" s="31">
        <v>0.35714285714285715</v>
      </c>
      <c r="F31" s="31">
        <v>0.35714285714285715</v>
      </c>
      <c r="G31" s="31">
        <v>0.2813852813852814</v>
      </c>
      <c r="H31" s="31">
        <v>0.16450216450216451</v>
      </c>
      <c r="I31" s="32">
        <v>10849.23076923077</v>
      </c>
      <c r="J31" s="32">
        <v>-8257.894736842105</v>
      </c>
      <c r="K31" s="31">
        <v>0.17857142857142858</v>
      </c>
      <c r="L31" s="31">
        <v>0.31543624161073824</v>
      </c>
      <c r="M31" s="31">
        <v>0.22147651006711411</v>
      </c>
      <c r="N31" s="31">
        <v>0.53191489361702127</v>
      </c>
      <c r="O31" s="31">
        <v>0.18181818181818182</v>
      </c>
      <c r="P31" s="31">
        <v>0.44615384615384618</v>
      </c>
    </row>
    <row r="32" spans="1:16" x14ac:dyDescent="0.4">
      <c r="A32" s="33">
        <v>29</v>
      </c>
      <c r="B32" s="30">
        <v>15.400000000000027</v>
      </c>
      <c r="C32" s="30">
        <v>0.53103448275862164</v>
      </c>
      <c r="D32" s="35">
        <v>2.0344827586206895</v>
      </c>
      <c r="E32" s="31">
        <v>0.34482758620689657</v>
      </c>
      <c r="F32" s="31">
        <v>0.37931034482758619</v>
      </c>
      <c r="G32" s="31">
        <v>0.27196652719665271</v>
      </c>
      <c r="H32" s="31">
        <v>0.16736401673640167</v>
      </c>
      <c r="I32" s="32">
        <v>10849.23076923077</v>
      </c>
      <c r="J32" s="32">
        <v>-8245</v>
      </c>
      <c r="K32" s="31">
        <v>0.17241379310344829</v>
      </c>
      <c r="L32" s="31">
        <v>0.30573248407643311</v>
      </c>
      <c r="M32" s="31">
        <v>0.21656050955414013</v>
      </c>
      <c r="N32" s="31">
        <v>0.52083333333333337</v>
      </c>
      <c r="O32" s="31">
        <v>0.17647058823529413</v>
      </c>
      <c r="P32" s="31">
        <v>0.44615384615384618</v>
      </c>
    </row>
    <row r="33" spans="1:16" x14ac:dyDescent="0.4">
      <c r="A33" s="33">
        <v>30</v>
      </c>
      <c r="B33" s="30">
        <v>-30.799999999999976</v>
      </c>
      <c r="C33" s="30">
        <v>-1.026666666666666</v>
      </c>
      <c r="D33" s="35">
        <v>2.0666666666666669</v>
      </c>
      <c r="E33" s="31">
        <v>0.33333333333333331</v>
      </c>
      <c r="F33" s="31">
        <v>0.4</v>
      </c>
      <c r="G33" s="31">
        <v>0.26720647773279355</v>
      </c>
      <c r="H33" s="31">
        <v>0.17408906882591094</v>
      </c>
      <c r="I33" s="32">
        <v>10772.727272727272</v>
      </c>
      <c r="J33" s="32">
        <v>-8739.5348837209294</v>
      </c>
      <c r="K33" s="31">
        <v>0.2</v>
      </c>
      <c r="L33" s="31">
        <v>0.30303030303030304</v>
      </c>
      <c r="M33" s="31">
        <v>0.21212121212121213</v>
      </c>
      <c r="N33" s="31">
        <v>0.5</v>
      </c>
      <c r="O33" s="31">
        <v>0.2</v>
      </c>
      <c r="P33" s="31">
        <v>0.43939393939393939</v>
      </c>
    </row>
    <row r="34" spans="1:16" x14ac:dyDescent="0.4">
      <c r="A34" s="33">
        <v>31</v>
      </c>
      <c r="B34" s="30">
        <v>-26.799999999999976</v>
      </c>
      <c r="C34" s="30">
        <v>-0.86451612903225727</v>
      </c>
      <c r="D34" s="35">
        <v>2.064516129032258</v>
      </c>
      <c r="E34" s="31">
        <v>0.32258064516129031</v>
      </c>
      <c r="F34" s="31">
        <v>0.38709677419354838</v>
      </c>
      <c r="G34" s="31">
        <v>0.26744186046511625</v>
      </c>
      <c r="H34" s="31">
        <v>0.1744186046511628</v>
      </c>
      <c r="I34" s="32">
        <v>11057.971014492754</v>
      </c>
      <c r="J34" s="32">
        <v>-8928.8888888888887</v>
      </c>
      <c r="K34" s="31">
        <v>0.19354838709677419</v>
      </c>
      <c r="L34" s="31">
        <v>0.30113636363636365</v>
      </c>
      <c r="M34" s="31">
        <v>0.20454545454545456</v>
      </c>
      <c r="N34" s="31">
        <v>0.50943396226415094</v>
      </c>
      <c r="O34" s="31">
        <v>0.22222222222222221</v>
      </c>
      <c r="P34" s="31">
        <v>0.44927536231884058</v>
      </c>
    </row>
    <row r="35" spans="1:16" x14ac:dyDescent="0.4">
      <c r="A35" s="33">
        <v>32</v>
      </c>
      <c r="B35" s="30">
        <v>8.2000000000000242</v>
      </c>
      <c r="C35" s="30">
        <v>0.25625000000000075</v>
      </c>
      <c r="D35" s="35">
        <v>2.03125</v>
      </c>
      <c r="E35" s="31">
        <v>0.34375</v>
      </c>
      <c r="F35" s="31">
        <v>0.375</v>
      </c>
      <c r="G35" s="31">
        <v>0.27480916030534353</v>
      </c>
      <c r="H35" s="31">
        <v>0.1717557251908397</v>
      </c>
      <c r="I35" s="32">
        <v>11041.666666666666</v>
      </c>
      <c r="J35" s="32">
        <v>-8928.8888888888887</v>
      </c>
      <c r="K35" s="31">
        <v>0.1875</v>
      </c>
      <c r="L35" s="31">
        <v>0.31111111111111112</v>
      </c>
      <c r="M35" s="31">
        <v>0.2</v>
      </c>
      <c r="N35" s="31">
        <v>0.5357142857142857</v>
      </c>
      <c r="O35" s="31">
        <v>0.22222222222222221</v>
      </c>
      <c r="P35" s="31">
        <v>0.45833333333333331</v>
      </c>
    </row>
    <row r="36" spans="1:16" x14ac:dyDescent="0.4">
      <c r="A36" s="33">
        <v>33</v>
      </c>
      <c r="B36" s="30">
        <v>-9.3999999999999773</v>
      </c>
      <c r="C36" s="30">
        <v>-0.28484848484848418</v>
      </c>
      <c r="D36" s="35">
        <v>2.0606060606060606</v>
      </c>
      <c r="E36" s="31">
        <v>0.33333333333333331</v>
      </c>
      <c r="F36" s="31">
        <v>0.39393939393939392</v>
      </c>
      <c r="G36" s="31">
        <v>0.27037037037037037</v>
      </c>
      <c r="H36" s="31">
        <v>0.17407407407407408</v>
      </c>
      <c r="I36" s="32">
        <v>11054.794520547945</v>
      </c>
      <c r="J36" s="32">
        <v>-8859.5744680851058</v>
      </c>
      <c r="K36" s="31">
        <v>0.18181818181818182</v>
      </c>
      <c r="L36" s="31">
        <v>0.30851063829787234</v>
      </c>
      <c r="M36" s="31">
        <v>0.20744680851063829</v>
      </c>
      <c r="N36" s="31">
        <v>0.51724137931034486</v>
      </c>
      <c r="O36" s="31">
        <v>0.23076923076923078</v>
      </c>
      <c r="P36" s="31">
        <v>0.45205479452054792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896CE-0AE5-4689-BD4D-D4BBAAFE17E0}">
  <sheetPr codeName="Sheet22"/>
  <dimension ref="A1:Q12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-36.700000000000003</v>
      </c>
      <c r="C4" s="30">
        <v>-36.700000000000003</v>
      </c>
      <c r="D4" s="35">
        <v>3</v>
      </c>
      <c r="E4" s="31">
        <v>0</v>
      </c>
      <c r="F4" s="31">
        <v>1</v>
      </c>
      <c r="G4" s="31">
        <v>0</v>
      </c>
      <c r="H4" s="31">
        <v>0.42857142857142855</v>
      </c>
      <c r="I4" s="32">
        <v>0</v>
      </c>
      <c r="J4" s="32">
        <v>-12400</v>
      </c>
      <c r="K4" s="31">
        <v>1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-45.300000000000004</v>
      </c>
      <c r="C5" s="30">
        <v>-22.650000000000002</v>
      </c>
      <c r="D5" s="35">
        <v>2.5</v>
      </c>
      <c r="E5" s="31">
        <v>0</v>
      </c>
      <c r="F5" s="31">
        <v>0.5</v>
      </c>
      <c r="G5" s="31">
        <v>0.2</v>
      </c>
      <c r="H5" s="31">
        <v>0.2</v>
      </c>
      <c r="I5" s="32">
        <v>12975</v>
      </c>
      <c r="J5" s="32">
        <v>-12300</v>
      </c>
      <c r="K5" s="31">
        <v>0.5</v>
      </c>
      <c r="L5" s="31">
        <v>0</v>
      </c>
      <c r="M5" s="31">
        <v>0</v>
      </c>
      <c r="N5" s="31">
        <v>0</v>
      </c>
      <c r="O5" s="31">
        <v>0</v>
      </c>
      <c r="P5" s="31">
        <v>0.5</v>
      </c>
    </row>
    <row r="6" spans="1:17" x14ac:dyDescent="0.4">
      <c r="A6" s="33">
        <v>3</v>
      </c>
      <c r="B6" s="30">
        <v>-81.7</v>
      </c>
      <c r="C6" s="30">
        <v>-27.233333333333334</v>
      </c>
      <c r="D6" s="35">
        <v>2.6666666666666665</v>
      </c>
      <c r="E6" s="31">
        <v>0</v>
      </c>
      <c r="F6" s="31">
        <v>0.66666666666666663</v>
      </c>
      <c r="G6" s="31">
        <v>0.16</v>
      </c>
      <c r="H6" s="31">
        <v>0.2</v>
      </c>
      <c r="I6" s="32">
        <v>12975</v>
      </c>
      <c r="J6" s="32">
        <v>-13440</v>
      </c>
      <c r="K6" s="31">
        <v>0.66666666666666663</v>
      </c>
      <c r="L6" s="31">
        <v>0</v>
      </c>
      <c r="M6" s="31">
        <v>0</v>
      </c>
      <c r="N6" s="31">
        <v>0</v>
      </c>
      <c r="O6" s="31">
        <v>0</v>
      </c>
      <c r="P6" s="31">
        <v>0.5</v>
      </c>
    </row>
    <row r="7" spans="1:17" x14ac:dyDescent="0.4">
      <c r="A7" s="33">
        <v>4</v>
      </c>
      <c r="B7" s="30">
        <v>-114.30000000000001</v>
      </c>
      <c r="C7" s="30">
        <v>-28.575000000000003</v>
      </c>
      <c r="D7" s="35">
        <v>2.75</v>
      </c>
      <c r="E7" s="31">
        <v>0</v>
      </c>
      <c r="F7" s="31">
        <v>0.75</v>
      </c>
      <c r="G7" s="31">
        <v>0.18421052631578946</v>
      </c>
      <c r="H7" s="31">
        <v>0.18421052631578946</v>
      </c>
      <c r="I7" s="32">
        <v>10257.142857142857</v>
      </c>
      <c r="J7" s="32">
        <v>-13028.571428571429</v>
      </c>
      <c r="K7" s="31">
        <v>0.5</v>
      </c>
      <c r="L7" s="31">
        <v>0</v>
      </c>
      <c r="M7" s="31">
        <v>0</v>
      </c>
      <c r="N7" s="31">
        <v>0</v>
      </c>
      <c r="O7" s="31">
        <v>0</v>
      </c>
      <c r="P7" s="31">
        <v>0.42857142857142855</v>
      </c>
    </row>
    <row r="8" spans="1:17" x14ac:dyDescent="0.4">
      <c r="A8" s="33">
        <v>5</v>
      </c>
      <c r="B8" s="30">
        <v>-136.30000000000001</v>
      </c>
      <c r="C8" s="30">
        <v>-27.26</v>
      </c>
      <c r="D8" s="35">
        <v>2.6</v>
      </c>
      <c r="E8" s="31">
        <v>0</v>
      </c>
      <c r="F8" s="31">
        <v>0.6</v>
      </c>
      <c r="G8" s="31">
        <v>0.20930232558139536</v>
      </c>
      <c r="H8" s="31">
        <v>0.16279069767441862</v>
      </c>
      <c r="I8" s="32">
        <v>9755.5555555555547</v>
      </c>
      <c r="J8" s="32">
        <v>-13028.571428571429</v>
      </c>
      <c r="K8" s="31">
        <v>0.4</v>
      </c>
      <c r="L8" s="31">
        <v>0</v>
      </c>
      <c r="M8" s="31">
        <v>0</v>
      </c>
      <c r="N8" s="31">
        <v>0</v>
      </c>
      <c r="O8" s="31">
        <v>0</v>
      </c>
      <c r="P8" s="31">
        <v>0.33333333333333331</v>
      </c>
    </row>
    <row r="9" spans="1:17" x14ac:dyDescent="0.4">
      <c r="A9" s="33">
        <v>6</v>
      </c>
      <c r="B9" s="30">
        <v>-100.80000000000001</v>
      </c>
      <c r="C9" s="30">
        <v>-16.8</v>
      </c>
      <c r="D9" s="35">
        <v>2.3333333333333335</v>
      </c>
      <c r="E9" s="31">
        <v>0.16666666666666666</v>
      </c>
      <c r="F9" s="31">
        <v>0.5</v>
      </c>
      <c r="G9" s="31">
        <v>0.2391304347826087</v>
      </c>
      <c r="H9" s="31">
        <v>0.15217391304347827</v>
      </c>
      <c r="I9" s="32">
        <v>10709.09090909091</v>
      </c>
      <c r="J9" s="32">
        <v>-13028.571428571429</v>
      </c>
      <c r="K9" s="31">
        <v>0.33333333333333331</v>
      </c>
      <c r="L9" s="31">
        <v>0</v>
      </c>
      <c r="M9" s="31">
        <v>0</v>
      </c>
      <c r="N9" s="31">
        <v>0</v>
      </c>
      <c r="O9" s="31">
        <v>0</v>
      </c>
      <c r="P9" s="31">
        <v>0.27272727272727271</v>
      </c>
    </row>
    <row r="10" spans="1:17" x14ac:dyDescent="0.4">
      <c r="A10" s="33">
        <v>7</v>
      </c>
      <c r="B10" s="30">
        <v>-106.20000000000002</v>
      </c>
      <c r="C10" s="30">
        <v>-15.171428571428574</v>
      </c>
      <c r="D10" s="35">
        <v>2.4285714285714284</v>
      </c>
      <c r="E10" s="31">
        <v>0.14285714285714285</v>
      </c>
      <c r="F10" s="31">
        <v>0.5714285714285714</v>
      </c>
      <c r="G10" s="31">
        <v>0.24074074074074073</v>
      </c>
      <c r="H10" s="31">
        <v>0.12962962962962962</v>
      </c>
      <c r="I10" s="32">
        <v>9738.461538461539</v>
      </c>
      <c r="J10" s="32">
        <v>-13028.571428571429</v>
      </c>
      <c r="K10" s="31">
        <v>0.2857142857142857</v>
      </c>
      <c r="L10" s="31">
        <v>0</v>
      </c>
      <c r="M10" s="31">
        <v>0</v>
      </c>
      <c r="N10" s="31">
        <v>0</v>
      </c>
      <c r="O10" s="31">
        <v>0</v>
      </c>
      <c r="P10" s="31">
        <v>0.30769230769230771</v>
      </c>
    </row>
    <row r="11" spans="1:17" x14ac:dyDescent="0.4">
      <c r="A11" s="33">
        <v>8</v>
      </c>
      <c r="B11" s="30">
        <v>-52.300000000000018</v>
      </c>
      <c r="C11" s="30">
        <v>-6.5375000000000023</v>
      </c>
      <c r="D11" s="35">
        <v>2.25</v>
      </c>
      <c r="E11" s="31">
        <v>0.25</v>
      </c>
      <c r="F11" s="31">
        <v>0.5</v>
      </c>
      <c r="G11" s="31">
        <v>0.30508474576271188</v>
      </c>
      <c r="H11" s="31">
        <v>0.11864406779661017</v>
      </c>
      <c r="I11" s="32">
        <v>9694.4444444444453</v>
      </c>
      <c r="J11" s="32">
        <v>-13028.571428571429</v>
      </c>
      <c r="K11" s="31">
        <v>0.25</v>
      </c>
      <c r="L11" s="31">
        <v>0</v>
      </c>
      <c r="M11" s="31">
        <v>0</v>
      </c>
      <c r="N11" s="31">
        <v>0</v>
      </c>
      <c r="O11" s="31">
        <v>0</v>
      </c>
      <c r="P11" s="31">
        <v>0.3888888888888889</v>
      </c>
    </row>
    <row r="12" spans="1:17" x14ac:dyDescent="0.4">
      <c r="A12" s="33">
        <v>9</v>
      </c>
      <c r="B12" s="30">
        <v>-53.500000000000021</v>
      </c>
      <c r="C12" s="30">
        <v>-5.9444444444444464</v>
      </c>
      <c r="D12" s="35">
        <v>2.2222222222222223</v>
      </c>
      <c r="E12" s="31">
        <v>0.22222222222222221</v>
      </c>
      <c r="F12" s="31">
        <v>0.44444444444444442</v>
      </c>
      <c r="G12" s="31">
        <v>0.2857142857142857</v>
      </c>
      <c r="H12" s="31">
        <v>0.12857142857142856</v>
      </c>
      <c r="I12" s="32">
        <v>9270</v>
      </c>
      <c r="J12" s="32">
        <v>-10777.777777777777</v>
      </c>
      <c r="K12" s="31">
        <v>0.22222222222222221</v>
      </c>
      <c r="L12" s="31">
        <v>0</v>
      </c>
      <c r="M12" s="31">
        <v>0</v>
      </c>
      <c r="N12" s="31">
        <v>0</v>
      </c>
      <c r="O12" s="31">
        <v>0</v>
      </c>
      <c r="P12" s="31">
        <v>0.35</v>
      </c>
    </row>
    <row r="13" spans="1:17" x14ac:dyDescent="0.4">
      <c r="A13" s="33">
        <v>10</v>
      </c>
      <c r="B13" s="30">
        <v>-72.800000000000026</v>
      </c>
      <c r="C13" s="30">
        <v>-7.2800000000000029</v>
      </c>
      <c r="D13" s="35">
        <v>2.2999999999999998</v>
      </c>
      <c r="E13" s="31">
        <v>0.2</v>
      </c>
      <c r="F13" s="31">
        <v>0.5</v>
      </c>
      <c r="G13" s="31">
        <v>0.27272727272727271</v>
      </c>
      <c r="H13" s="31">
        <v>0.12987012987012986</v>
      </c>
      <c r="I13" s="32">
        <v>9209.5238095238092</v>
      </c>
      <c r="J13" s="32">
        <v>-10900</v>
      </c>
      <c r="K13" s="31">
        <v>0.2</v>
      </c>
      <c r="L13" s="31">
        <v>0</v>
      </c>
      <c r="M13" s="31">
        <v>0</v>
      </c>
      <c r="N13" s="31">
        <v>0</v>
      </c>
      <c r="O13" s="31">
        <v>0</v>
      </c>
      <c r="P13" s="31">
        <v>0.33333333333333331</v>
      </c>
    </row>
    <row r="14" spans="1:17" x14ac:dyDescent="0.4">
      <c r="A14" s="33">
        <v>11</v>
      </c>
      <c r="B14" s="30">
        <v>-69.800000000000026</v>
      </c>
      <c r="C14" s="30">
        <v>-6.3454545454545475</v>
      </c>
      <c r="D14" s="35">
        <v>2.2727272727272729</v>
      </c>
      <c r="E14" s="31">
        <v>0.18181818181818182</v>
      </c>
      <c r="F14" s="31">
        <v>0.45454545454545453</v>
      </c>
      <c r="G14" s="31">
        <v>0.27906976744186046</v>
      </c>
      <c r="H14" s="31">
        <v>0.11627906976744186</v>
      </c>
      <c r="I14" s="32">
        <v>9141.6666666666661</v>
      </c>
      <c r="J14" s="32">
        <v>-10900</v>
      </c>
      <c r="K14" s="31">
        <v>0.18181818181818182</v>
      </c>
      <c r="L14" s="31">
        <v>0</v>
      </c>
      <c r="M14" s="31">
        <v>0</v>
      </c>
      <c r="N14" s="31">
        <v>0</v>
      </c>
      <c r="O14" s="31">
        <v>0</v>
      </c>
      <c r="P14" s="31">
        <v>0.375</v>
      </c>
    </row>
    <row r="15" spans="1:17" x14ac:dyDescent="0.4">
      <c r="A15" s="33">
        <v>12</v>
      </c>
      <c r="B15" s="30">
        <v>-54.300000000000026</v>
      </c>
      <c r="C15" s="30">
        <v>-4.5250000000000021</v>
      </c>
      <c r="D15" s="35">
        <v>2.1666666666666665</v>
      </c>
      <c r="E15" s="31">
        <v>0.25</v>
      </c>
      <c r="F15" s="31">
        <v>0.41666666666666669</v>
      </c>
      <c r="G15" s="31">
        <v>0.29896907216494845</v>
      </c>
      <c r="H15" s="31">
        <v>0.13402061855670103</v>
      </c>
      <c r="I15" s="32">
        <v>9217.2413793103442</v>
      </c>
      <c r="J15" s="32">
        <v>-9723.0769230769238</v>
      </c>
      <c r="K15" s="31">
        <v>0.16666666666666666</v>
      </c>
      <c r="L15" s="31">
        <v>0</v>
      </c>
      <c r="M15" s="31">
        <v>0</v>
      </c>
      <c r="N15" s="31">
        <v>0</v>
      </c>
      <c r="O15" s="31">
        <v>0</v>
      </c>
      <c r="P15" s="31">
        <v>0.37931034482758619</v>
      </c>
    </row>
    <row r="16" spans="1:17" x14ac:dyDescent="0.4">
      <c r="A16" s="33">
        <v>13</v>
      </c>
      <c r="B16" s="30">
        <v>-43.200000000000024</v>
      </c>
      <c r="C16" s="30">
        <v>-3.323076923076925</v>
      </c>
      <c r="D16" s="35">
        <v>2.0769230769230771</v>
      </c>
      <c r="E16" s="31">
        <v>0.30769230769230771</v>
      </c>
      <c r="F16" s="31">
        <v>0.38461538461538464</v>
      </c>
      <c r="G16" s="31">
        <v>0.29523809523809524</v>
      </c>
      <c r="H16" s="31">
        <v>0.12380952380952381</v>
      </c>
      <c r="I16" s="32">
        <v>9222.5806451612898</v>
      </c>
      <c r="J16" s="32">
        <v>-9723.0769230769238</v>
      </c>
      <c r="K16" s="31">
        <v>0.15384615384615385</v>
      </c>
      <c r="L16" s="31">
        <v>0</v>
      </c>
      <c r="M16" s="31">
        <v>0</v>
      </c>
      <c r="N16" s="31">
        <v>0</v>
      </c>
      <c r="O16" s="31">
        <v>0</v>
      </c>
      <c r="P16" s="31">
        <v>0.38709677419354838</v>
      </c>
    </row>
    <row r="17" spans="1:16" x14ac:dyDescent="0.4">
      <c r="A17" s="33">
        <v>14</v>
      </c>
      <c r="B17" s="30">
        <v>-50.400000000000027</v>
      </c>
      <c r="C17" s="30">
        <v>-3.6000000000000019</v>
      </c>
      <c r="D17" s="35">
        <v>2.0714285714285716</v>
      </c>
      <c r="E17" s="31">
        <v>0.2857142857142857</v>
      </c>
      <c r="F17" s="31">
        <v>0.35714285714285715</v>
      </c>
      <c r="G17" s="31">
        <v>0.28448275862068967</v>
      </c>
      <c r="H17" s="31">
        <v>0.13793103448275862</v>
      </c>
      <c r="I17" s="32">
        <v>9451.515151515152</v>
      </c>
      <c r="J17" s="32">
        <v>-9350</v>
      </c>
      <c r="K17" s="31">
        <v>0.14285714285714285</v>
      </c>
      <c r="L17" s="31">
        <v>0</v>
      </c>
      <c r="M17" s="31">
        <v>0</v>
      </c>
      <c r="N17" s="31">
        <v>0</v>
      </c>
      <c r="O17" s="31">
        <v>0</v>
      </c>
      <c r="P17" s="31">
        <v>0.36363636363636365</v>
      </c>
    </row>
    <row r="18" spans="1:16" x14ac:dyDescent="0.4">
      <c r="A18" s="33">
        <v>15</v>
      </c>
      <c r="B18" s="30">
        <v>23.89999999999997</v>
      </c>
      <c r="C18" s="30">
        <v>1.5933333333333313</v>
      </c>
      <c r="D18" s="35">
        <v>2</v>
      </c>
      <c r="E18" s="31">
        <v>0.33333333333333331</v>
      </c>
      <c r="F18" s="31">
        <v>0.33333333333333331</v>
      </c>
      <c r="G18" s="31">
        <v>0.29365079365079366</v>
      </c>
      <c r="H18" s="31">
        <v>0.14285714285714285</v>
      </c>
      <c r="I18" s="32">
        <v>10948.648648648648</v>
      </c>
      <c r="J18" s="32">
        <v>-9111.1111111111113</v>
      </c>
      <c r="K18" s="31">
        <v>0.13333333333333333</v>
      </c>
      <c r="L18" s="31">
        <v>0</v>
      </c>
      <c r="M18" s="31">
        <v>0</v>
      </c>
      <c r="N18" s="31">
        <v>0</v>
      </c>
      <c r="O18" s="31">
        <v>0</v>
      </c>
      <c r="P18" s="31">
        <v>0.3783783783783784</v>
      </c>
    </row>
    <row r="19" spans="1:16" x14ac:dyDescent="0.4">
      <c r="A19" s="33">
        <v>16</v>
      </c>
      <c r="B19" s="30">
        <v>58.89999999999997</v>
      </c>
      <c r="C19" s="30">
        <v>3.6812499999999981</v>
      </c>
      <c r="D19" s="35">
        <v>1.9375</v>
      </c>
      <c r="E19" s="31">
        <v>0.375</v>
      </c>
      <c r="F19" s="31">
        <v>0.3125</v>
      </c>
      <c r="G19" s="31">
        <v>0.29365079365079366</v>
      </c>
      <c r="H19" s="31">
        <v>0.14285714285714285</v>
      </c>
      <c r="I19" s="32">
        <v>10948.648648648648</v>
      </c>
      <c r="J19" s="32">
        <v>-9111.1111111111113</v>
      </c>
      <c r="K19" s="31">
        <v>0.125</v>
      </c>
      <c r="L19" s="31">
        <v>0</v>
      </c>
      <c r="M19" s="31">
        <v>0</v>
      </c>
      <c r="N19" s="31">
        <v>0</v>
      </c>
      <c r="O19" s="31">
        <v>0</v>
      </c>
      <c r="P19" s="31">
        <v>0.3783783783783784</v>
      </c>
    </row>
    <row r="20" spans="1:16" x14ac:dyDescent="0.4">
      <c r="A20" s="33">
        <v>17</v>
      </c>
      <c r="B20" s="30">
        <v>58.599999999999973</v>
      </c>
      <c r="C20" s="30">
        <v>3.4470588235294102</v>
      </c>
      <c r="D20" s="35">
        <v>1.9411764705882353</v>
      </c>
      <c r="E20" s="31">
        <v>0.35294117647058826</v>
      </c>
      <c r="F20" s="31">
        <v>0.29411764705882354</v>
      </c>
      <c r="G20" s="31">
        <v>0.29365079365079366</v>
      </c>
      <c r="H20" s="31">
        <v>0.14285714285714285</v>
      </c>
      <c r="I20" s="32">
        <v>10948.648648648648</v>
      </c>
      <c r="J20" s="32">
        <v>-9111.1111111111113</v>
      </c>
      <c r="K20" s="31">
        <v>0.11764705882352941</v>
      </c>
      <c r="L20" s="31">
        <v>0</v>
      </c>
      <c r="M20" s="31">
        <v>0</v>
      </c>
      <c r="N20" s="31">
        <v>0</v>
      </c>
      <c r="O20" s="31">
        <v>0</v>
      </c>
      <c r="P20" s="31">
        <v>0.3783783783783784</v>
      </c>
    </row>
    <row r="21" spans="1:16" x14ac:dyDescent="0.4">
      <c r="A21" s="33">
        <v>18</v>
      </c>
      <c r="B21" s="30">
        <v>122.59999999999997</v>
      </c>
      <c r="C21" s="30">
        <v>6.8111111111111091</v>
      </c>
      <c r="D21" s="35">
        <v>1.8888888888888888</v>
      </c>
      <c r="E21" s="31">
        <v>0.3888888888888889</v>
      </c>
      <c r="F21" s="31">
        <v>0.27777777777777779</v>
      </c>
      <c r="G21" s="31">
        <v>0.31007751937984496</v>
      </c>
      <c r="H21" s="31">
        <v>0.13953488372093023</v>
      </c>
      <c r="I21" s="32">
        <v>11627.5</v>
      </c>
      <c r="J21" s="32">
        <v>-9111.1111111111113</v>
      </c>
      <c r="K21" s="31">
        <v>0.1111111111111111</v>
      </c>
      <c r="L21" s="31">
        <v>1</v>
      </c>
      <c r="M21" s="31">
        <v>0</v>
      </c>
      <c r="N21" s="31">
        <v>1</v>
      </c>
      <c r="O21" s="31">
        <v>0</v>
      </c>
      <c r="P21" s="31">
        <v>0.4</v>
      </c>
    </row>
    <row r="22" spans="1:16" x14ac:dyDescent="0.4">
      <c r="A22" s="33">
        <v>19</v>
      </c>
      <c r="B22" s="30">
        <v>125.69999999999996</v>
      </c>
      <c r="C22" s="30">
        <v>6.6157894736842087</v>
      </c>
      <c r="D22" s="35">
        <v>1.8947368421052631</v>
      </c>
      <c r="E22" s="31">
        <v>0.36842105263157893</v>
      </c>
      <c r="F22" s="31">
        <v>0.26315789473684209</v>
      </c>
      <c r="G22" s="31">
        <v>0.32116788321167883</v>
      </c>
      <c r="H22" s="31">
        <v>0.145985401459854</v>
      </c>
      <c r="I22" s="32">
        <v>11361.363636363636</v>
      </c>
      <c r="J22" s="32">
        <v>-9485</v>
      </c>
      <c r="K22" s="31">
        <v>0.10526315789473684</v>
      </c>
      <c r="L22" s="31">
        <v>0.45454545454545453</v>
      </c>
      <c r="M22" s="31">
        <v>9.0909090909090912E-2</v>
      </c>
      <c r="N22" s="31">
        <v>1</v>
      </c>
      <c r="O22" s="31">
        <v>0</v>
      </c>
      <c r="P22" s="31">
        <v>0.36363636363636365</v>
      </c>
    </row>
    <row r="23" spans="1:16" x14ac:dyDescent="0.4">
      <c r="A23" s="33">
        <v>20</v>
      </c>
      <c r="B23" s="30">
        <v>126.89999999999996</v>
      </c>
      <c r="C23" s="30">
        <v>6.344999999999998</v>
      </c>
      <c r="D23" s="35">
        <v>1.85</v>
      </c>
      <c r="E23" s="31">
        <v>0.4</v>
      </c>
      <c r="F23" s="31">
        <v>0.25</v>
      </c>
      <c r="G23" s="31">
        <v>0.32413793103448274</v>
      </c>
      <c r="H23" s="31">
        <v>0.15862068965517243</v>
      </c>
      <c r="I23" s="32">
        <v>11302.127659574468</v>
      </c>
      <c r="J23" s="32">
        <v>-9330.434782608696</v>
      </c>
      <c r="K23" s="31">
        <v>0.1</v>
      </c>
      <c r="L23" s="31">
        <v>0.47368421052631576</v>
      </c>
      <c r="M23" s="31">
        <v>0.10526315789473684</v>
      </c>
      <c r="N23" s="31">
        <v>0.88888888888888884</v>
      </c>
      <c r="O23" s="31">
        <v>0</v>
      </c>
      <c r="P23" s="31">
        <v>0.38297872340425532</v>
      </c>
    </row>
    <row r="24" spans="1:16" x14ac:dyDescent="0.4">
      <c r="A24" s="33">
        <v>21</v>
      </c>
      <c r="B24" s="30">
        <v>129.69999999999996</v>
      </c>
      <c r="C24" s="30">
        <v>6.1761904761904747</v>
      </c>
      <c r="D24" s="35">
        <v>1.8571428571428572</v>
      </c>
      <c r="E24" s="31">
        <v>0.38095238095238093</v>
      </c>
      <c r="F24" s="31">
        <v>0.23809523809523808</v>
      </c>
      <c r="G24" s="31">
        <v>0.32450331125827814</v>
      </c>
      <c r="H24" s="31">
        <v>0.15231788079470199</v>
      </c>
      <c r="I24" s="32">
        <v>11324.489795918367</v>
      </c>
      <c r="J24" s="32">
        <v>-9330.434782608696</v>
      </c>
      <c r="K24" s="31">
        <v>9.5238095238095233E-2</v>
      </c>
      <c r="L24" s="31">
        <v>0.48</v>
      </c>
      <c r="M24" s="31">
        <v>0.12</v>
      </c>
      <c r="N24" s="31">
        <v>0.75</v>
      </c>
      <c r="O24" s="31">
        <v>0.33333333333333331</v>
      </c>
      <c r="P24" s="31">
        <v>0.36734693877551022</v>
      </c>
    </row>
    <row r="25" spans="1:16" x14ac:dyDescent="0.4">
      <c r="A25" s="33">
        <v>22</v>
      </c>
      <c r="B25" s="30">
        <v>174.29999999999995</v>
      </c>
      <c r="C25" s="30">
        <v>7.9227272727272711</v>
      </c>
      <c r="D25" s="35">
        <v>1.8181818181818181</v>
      </c>
      <c r="E25" s="31">
        <v>0.40909090909090912</v>
      </c>
      <c r="F25" s="31">
        <v>0.22727272727272727</v>
      </c>
      <c r="G25" s="31">
        <v>0.33544303797468356</v>
      </c>
      <c r="H25" s="31">
        <v>0.15189873417721519</v>
      </c>
      <c r="I25" s="32">
        <v>11528.301886792453</v>
      </c>
      <c r="J25" s="32">
        <v>-9025</v>
      </c>
      <c r="K25" s="31">
        <v>9.0909090909090912E-2</v>
      </c>
      <c r="L25" s="31">
        <v>0.46875</v>
      </c>
      <c r="M25" s="31">
        <v>0.21875</v>
      </c>
      <c r="N25" s="31">
        <v>0.8</v>
      </c>
      <c r="O25" s="31">
        <v>0.2857142857142857</v>
      </c>
      <c r="P25" s="31">
        <v>0.35849056603773582</v>
      </c>
    </row>
    <row r="26" spans="1:16" x14ac:dyDescent="0.4">
      <c r="A26" s="33">
        <v>23</v>
      </c>
      <c r="B26" s="30">
        <v>172.89999999999995</v>
      </c>
      <c r="C26" s="30">
        <v>7.5173913043478242</v>
      </c>
      <c r="D26" s="35">
        <v>1.826086956521739</v>
      </c>
      <c r="E26" s="31">
        <v>0.39130434782608697</v>
      </c>
      <c r="F26" s="31">
        <v>0.21739130434782608</v>
      </c>
      <c r="G26" s="31">
        <v>0.3253012048192771</v>
      </c>
      <c r="H26" s="31">
        <v>0.14457831325301204</v>
      </c>
      <c r="I26" s="32">
        <v>11412.962962962964</v>
      </c>
      <c r="J26" s="32">
        <v>-9025</v>
      </c>
      <c r="K26" s="31">
        <v>8.6956521739130432E-2</v>
      </c>
      <c r="L26" s="31">
        <v>0.42499999999999999</v>
      </c>
      <c r="M26" s="31">
        <v>0.22500000000000001</v>
      </c>
      <c r="N26" s="31">
        <v>0.70588235294117652</v>
      </c>
      <c r="O26" s="31">
        <v>0.22222222222222221</v>
      </c>
      <c r="P26" s="31">
        <v>0.37037037037037035</v>
      </c>
    </row>
    <row r="27" spans="1:16" x14ac:dyDescent="0.4">
      <c r="A27" s="33">
        <v>24</v>
      </c>
      <c r="B27" s="30">
        <v>133.19999999999993</v>
      </c>
      <c r="C27" s="30">
        <v>5.5499999999999972</v>
      </c>
      <c r="D27" s="35">
        <v>1.875</v>
      </c>
      <c r="E27" s="31">
        <v>0.375</v>
      </c>
      <c r="F27" s="31">
        <v>0.25</v>
      </c>
      <c r="G27" s="31">
        <v>0.31395348837209303</v>
      </c>
      <c r="H27" s="31">
        <v>0.15116279069767441</v>
      </c>
      <c r="I27" s="32">
        <v>11412.962962962964</v>
      </c>
      <c r="J27" s="32">
        <v>-9403.8461538461543</v>
      </c>
      <c r="K27" s="31">
        <v>0.125</v>
      </c>
      <c r="L27" s="31">
        <v>0.43478260869565216</v>
      </c>
      <c r="M27" s="31">
        <v>0.21739130434782608</v>
      </c>
      <c r="N27" s="31">
        <v>0.6</v>
      </c>
      <c r="O27" s="31">
        <v>0.2</v>
      </c>
      <c r="P27" s="31">
        <v>0.37037037037037035</v>
      </c>
    </row>
    <row r="28" spans="1:16" x14ac:dyDescent="0.4">
      <c r="A28" s="33">
        <v>25</v>
      </c>
      <c r="B28" s="30">
        <v>117.39999999999993</v>
      </c>
      <c r="C28" s="30">
        <v>4.6959999999999971</v>
      </c>
      <c r="D28" s="35">
        <v>1.92</v>
      </c>
      <c r="E28" s="31">
        <v>0.36</v>
      </c>
      <c r="F28" s="31">
        <v>0.28000000000000003</v>
      </c>
      <c r="G28" s="31">
        <v>0.3089887640449438</v>
      </c>
      <c r="H28" s="31">
        <v>0.14606741573033707</v>
      </c>
      <c r="I28" s="32">
        <v>11300</v>
      </c>
      <c r="J28" s="32">
        <v>-9403.8461538461543</v>
      </c>
      <c r="K28" s="31">
        <v>0.12</v>
      </c>
      <c r="L28" s="31">
        <v>0.42307692307692307</v>
      </c>
      <c r="M28" s="31">
        <v>0.19230769230769232</v>
      </c>
      <c r="N28" s="31">
        <v>0.59090909090909094</v>
      </c>
      <c r="O28" s="31">
        <v>0.2</v>
      </c>
      <c r="P28" s="31">
        <v>0.36363636363636365</v>
      </c>
    </row>
    <row r="29" spans="1:16" x14ac:dyDescent="0.4">
      <c r="A29" s="33">
        <v>26</v>
      </c>
      <c r="B29" s="30">
        <v>128.69999999999993</v>
      </c>
      <c r="C29" s="30">
        <v>4.9499999999999975</v>
      </c>
      <c r="D29" s="35">
        <v>1.8846153846153846</v>
      </c>
      <c r="E29" s="31">
        <v>0.38461538461538464</v>
      </c>
      <c r="F29" s="31">
        <v>0.26923076923076922</v>
      </c>
      <c r="G29" s="31">
        <v>0.31351351351351353</v>
      </c>
      <c r="H29" s="31">
        <v>0.14594594594594595</v>
      </c>
      <c r="I29" s="32">
        <v>11198.275862068966</v>
      </c>
      <c r="J29" s="32">
        <v>-9340.7407407407409</v>
      </c>
      <c r="K29" s="31">
        <v>0.11538461538461539</v>
      </c>
      <c r="L29" s="31">
        <v>0.40677966101694918</v>
      </c>
      <c r="M29" s="31">
        <v>0.1864406779661017</v>
      </c>
      <c r="N29" s="31">
        <v>0.625</v>
      </c>
      <c r="O29" s="31">
        <v>0.27272727272727271</v>
      </c>
      <c r="P29" s="31">
        <v>0.36206896551724138</v>
      </c>
    </row>
    <row r="30" spans="1:16" x14ac:dyDescent="0.4">
      <c r="A30" s="33">
        <v>27</v>
      </c>
      <c r="B30" s="30">
        <v>84.699999999999932</v>
      </c>
      <c r="C30" s="30">
        <v>3.1370370370370346</v>
      </c>
      <c r="D30" s="35">
        <v>1.9259259259259258</v>
      </c>
      <c r="E30" s="31">
        <v>0.37037037037037035</v>
      </c>
      <c r="F30" s="31">
        <v>0.29629629629629628</v>
      </c>
      <c r="G30" s="31">
        <v>0.30526315789473685</v>
      </c>
      <c r="H30" s="31">
        <v>0.15263157894736842</v>
      </c>
      <c r="I30" s="32">
        <v>11198.275862068966</v>
      </c>
      <c r="J30" s="32">
        <v>-9868.9655172413786</v>
      </c>
      <c r="K30" s="31">
        <v>0.14814814814814814</v>
      </c>
      <c r="L30" s="31">
        <v>0.390625</v>
      </c>
      <c r="M30" s="31">
        <v>0.1875</v>
      </c>
      <c r="N30" s="31">
        <v>0.6</v>
      </c>
      <c r="O30" s="31">
        <v>0.25</v>
      </c>
      <c r="P30" s="31">
        <v>0.36206896551724138</v>
      </c>
    </row>
    <row r="31" spans="1:16" x14ac:dyDescent="0.4">
      <c r="A31" s="33">
        <v>28</v>
      </c>
      <c r="B31" s="30">
        <v>43.699999999999932</v>
      </c>
      <c r="C31" s="30">
        <v>1.5607142857142833</v>
      </c>
      <c r="D31" s="35">
        <v>1.9642857142857142</v>
      </c>
      <c r="E31" s="31">
        <v>0.35714285714285715</v>
      </c>
      <c r="F31" s="31">
        <v>0.32142857142857145</v>
      </c>
      <c r="G31" s="31">
        <v>0.29292929292929293</v>
      </c>
      <c r="H31" s="31">
        <v>0.15656565656565657</v>
      </c>
      <c r="I31" s="32">
        <v>11198.275862068966</v>
      </c>
      <c r="J31" s="32">
        <v>-9812.9032258064508</v>
      </c>
      <c r="K31" s="31">
        <v>0.17857142857142858</v>
      </c>
      <c r="L31" s="31">
        <v>0.3888888888888889</v>
      </c>
      <c r="M31" s="31">
        <v>0.20833333333333334</v>
      </c>
      <c r="N31" s="31">
        <v>0.5357142857142857</v>
      </c>
      <c r="O31" s="31">
        <v>0.2</v>
      </c>
      <c r="P31" s="31">
        <v>0.36206896551724138</v>
      </c>
    </row>
    <row r="32" spans="1:16" x14ac:dyDescent="0.4">
      <c r="A32" s="33">
        <v>29</v>
      </c>
      <c r="B32" s="30">
        <v>32.899999999999935</v>
      </c>
      <c r="C32" s="30">
        <v>1.1344827586206874</v>
      </c>
      <c r="D32" s="35">
        <v>1.9655172413793103</v>
      </c>
      <c r="E32" s="31">
        <v>0.34482758620689657</v>
      </c>
      <c r="F32" s="31">
        <v>0.31034482758620691</v>
      </c>
      <c r="G32" s="31">
        <v>0.29126213592233008</v>
      </c>
      <c r="H32" s="31">
        <v>0.1553398058252427</v>
      </c>
      <c r="I32" s="32">
        <v>11045</v>
      </c>
      <c r="J32" s="32">
        <v>-9756.25</v>
      </c>
      <c r="K32" s="31">
        <v>0.17241379310344829</v>
      </c>
      <c r="L32" s="31">
        <v>0.375</v>
      </c>
      <c r="M32" s="31">
        <v>0.21249999999999999</v>
      </c>
      <c r="N32" s="31">
        <v>0.56666666666666665</v>
      </c>
      <c r="O32" s="31">
        <v>0.17647058823529413</v>
      </c>
      <c r="P32" s="31">
        <v>0.35</v>
      </c>
    </row>
    <row r="33" spans="1:16" x14ac:dyDescent="0.4">
      <c r="A33" s="33">
        <v>30</v>
      </c>
      <c r="B33" s="30">
        <v>48.499999999999936</v>
      </c>
      <c r="C33" s="30">
        <v>1.6166666666666645</v>
      </c>
      <c r="D33" s="35">
        <v>1.9333333333333333</v>
      </c>
      <c r="E33" s="31">
        <v>0.36666666666666664</v>
      </c>
      <c r="F33" s="31">
        <v>0.3</v>
      </c>
      <c r="G33" s="31">
        <v>0.29906542056074764</v>
      </c>
      <c r="H33" s="31">
        <v>0.1542056074766355</v>
      </c>
      <c r="I33" s="32">
        <v>10989.0625</v>
      </c>
      <c r="J33" s="32">
        <v>-9824.242424242424</v>
      </c>
      <c r="K33" s="31">
        <v>0.16666666666666666</v>
      </c>
      <c r="L33" s="31">
        <v>0.38636363636363635</v>
      </c>
      <c r="M33" s="31">
        <v>0.20454545454545456</v>
      </c>
      <c r="N33" s="31">
        <v>0.61764705882352944</v>
      </c>
      <c r="O33" s="31">
        <v>0.16666666666666666</v>
      </c>
      <c r="P33" s="31">
        <v>0.359375</v>
      </c>
    </row>
    <row r="34" spans="1:16" x14ac:dyDescent="0.4">
      <c r="A34" s="33">
        <v>31</v>
      </c>
      <c r="B34" s="30">
        <v>5.0999999999999375</v>
      </c>
      <c r="C34" s="30">
        <v>0.16451612903225604</v>
      </c>
      <c r="D34" s="35">
        <v>1.967741935483871</v>
      </c>
      <c r="E34" s="31">
        <v>0.35483870967741937</v>
      </c>
      <c r="F34" s="31">
        <v>0.32258064516129031</v>
      </c>
      <c r="G34" s="31">
        <v>0.29646017699115046</v>
      </c>
      <c r="H34" s="31">
        <v>0.15929203539823009</v>
      </c>
      <c r="I34" s="32">
        <v>10817.910447761195</v>
      </c>
      <c r="J34" s="32">
        <v>-10116.666666666666</v>
      </c>
      <c r="K34" s="31">
        <v>0.19354838709677419</v>
      </c>
      <c r="L34" s="31">
        <v>0.36</v>
      </c>
      <c r="M34" s="31">
        <v>0.21</v>
      </c>
      <c r="N34" s="31">
        <v>0.61111111111111116</v>
      </c>
      <c r="O34" s="31">
        <v>0.23809523809523808</v>
      </c>
      <c r="P34" s="31">
        <v>0.35820895522388058</v>
      </c>
    </row>
    <row r="35" spans="1:16" x14ac:dyDescent="0.4">
      <c r="A35" s="33">
        <v>32</v>
      </c>
      <c r="B35" s="30">
        <v>5.7999999999999376</v>
      </c>
      <c r="C35" s="30">
        <v>0.18124999999999805</v>
      </c>
      <c r="D35" s="35">
        <v>1.96875</v>
      </c>
      <c r="E35" s="31">
        <v>0.34375</v>
      </c>
      <c r="F35" s="31">
        <v>0.3125</v>
      </c>
      <c r="G35" s="31">
        <v>0.29661016949152541</v>
      </c>
      <c r="H35" s="31">
        <v>0.16101694915254236</v>
      </c>
      <c r="I35" s="32">
        <v>10800</v>
      </c>
      <c r="J35" s="32">
        <v>-9952.6315789473683</v>
      </c>
      <c r="K35" s="31">
        <v>0.1875</v>
      </c>
      <c r="L35" s="31">
        <v>0.35454545454545455</v>
      </c>
      <c r="M35" s="31">
        <v>0.21818181818181817</v>
      </c>
      <c r="N35" s="31">
        <v>0.61538461538461542</v>
      </c>
      <c r="O35" s="31">
        <v>0.25</v>
      </c>
      <c r="P35" s="31">
        <v>0.34285714285714286</v>
      </c>
    </row>
    <row r="36" spans="1:16" x14ac:dyDescent="0.4">
      <c r="A36" s="33">
        <v>33</v>
      </c>
      <c r="B36" s="30">
        <v>17.999999999999936</v>
      </c>
      <c r="C36" s="30">
        <v>0.54545454545454353</v>
      </c>
      <c r="D36" s="35">
        <v>1.9393939393939394</v>
      </c>
      <c r="E36" s="31">
        <v>0.36363636363636365</v>
      </c>
      <c r="F36" s="31">
        <v>0.30303030303030304</v>
      </c>
      <c r="G36" s="31">
        <v>0.30204081632653063</v>
      </c>
      <c r="H36" s="31">
        <v>0.16326530612244897</v>
      </c>
      <c r="I36" s="32">
        <v>10535.135135135135</v>
      </c>
      <c r="J36" s="32">
        <v>-9715</v>
      </c>
      <c r="K36" s="31">
        <v>0.18181818181818182</v>
      </c>
      <c r="L36" s="31">
        <v>0.33613445378151263</v>
      </c>
      <c r="M36" s="31">
        <v>0.25210084033613445</v>
      </c>
      <c r="N36" s="31">
        <v>0.625</v>
      </c>
      <c r="O36" s="31">
        <v>0.3</v>
      </c>
      <c r="P36" s="31">
        <v>0.35135135135135137</v>
      </c>
    </row>
    <row r="37" spans="1:16" x14ac:dyDescent="0.4">
      <c r="A37" s="33">
        <v>34</v>
      </c>
      <c r="B37" s="30">
        <v>-19.300000000000061</v>
      </c>
      <c r="C37" s="30">
        <v>-0.56764705882353117</v>
      </c>
      <c r="D37" s="35">
        <v>1.9705882352941178</v>
      </c>
      <c r="E37" s="31">
        <v>0.35294117647058826</v>
      </c>
      <c r="F37" s="31">
        <v>0.3235294117647059</v>
      </c>
      <c r="G37" s="31">
        <v>0.29761904761904762</v>
      </c>
      <c r="H37" s="31">
        <v>0.16666666666666666</v>
      </c>
      <c r="I37" s="32">
        <v>10474.666666666666</v>
      </c>
      <c r="J37" s="32">
        <v>-9854.7619047619046</v>
      </c>
      <c r="K37" s="31">
        <v>0.20588235294117646</v>
      </c>
      <c r="L37" s="31">
        <v>0.33333333333333331</v>
      </c>
      <c r="M37" s="31">
        <v>0.26190476190476192</v>
      </c>
      <c r="N37" s="31">
        <v>0.59523809523809523</v>
      </c>
      <c r="O37" s="31">
        <v>0.30303030303030304</v>
      </c>
      <c r="P37" s="31">
        <v>0.36</v>
      </c>
    </row>
    <row r="38" spans="1:16" x14ac:dyDescent="0.4">
      <c r="A38" s="33">
        <v>35</v>
      </c>
      <c r="B38" s="30">
        <v>29.699999999999939</v>
      </c>
      <c r="C38" s="30">
        <v>0.84857142857142687</v>
      </c>
      <c r="D38" s="35">
        <v>1.9428571428571428</v>
      </c>
      <c r="E38" s="31">
        <v>0.37142857142857144</v>
      </c>
      <c r="F38" s="31">
        <v>0.31428571428571428</v>
      </c>
      <c r="G38" s="31">
        <v>0.30196078431372547</v>
      </c>
      <c r="H38" s="31">
        <v>0.16470588235294117</v>
      </c>
      <c r="I38" s="32">
        <v>10825.974025974027</v>
      </c>
      <c r="J38" s="32">
        <v>-9854.7619047619046</v>
      </c>
      <c r="K38" s="31">
        <v>0.2</v>
      </c>
      <c r="L38" s="31">
        <v>0.34108527131782945</v>
      </c>
      <c r="M38" s="31">
        <v>0.2558139534883721</v>
      </c>
      <c r="N38" s="31">
        <v>0.61363636363636365</v>
      </c>
      <c r="O38" s="31">
        <v>0.30303030303030304</v>
      </c>
      <c r="P38" s="31">
        <v>0.37662337662337664</v>
      </c>
    </row>
    <row r="39" spans="1:16" x14ac:dyDescent="0.4">
      <c r="A39" s="33">
        <v>36</v>
      </c>
      <c r="B39" s="30">
        <v>15.899999999999938</v>
      </c>
      <c r="C39" s="30">
        <v>0.44166666666666493</v>
      </c>
      <c r="D39" s="35">
        <v>1.9722222222222223</v>
      </c>
      <c r="E39" s="31">
        <v>0.3611111111111111</v>
      </c>
      <c r="F39" s="31">
        <v>0.33333333333333331</v>
      </c>
      <c r="G39" s="31">
        <v>0.29770992366412213</v>
      </c>
      <c r="H39" s="31">
        <v>0.16793893129770993</v>
      </c>
      <c r="I39" s="32">
        <v>10789.74358974359</v>
      </c>
      <c r="J39" s="32">
        <v>-9770.454545454546</v>
      </c>
      <c r="K39" s="31">
        <v>0.19444444444444445</v>
      </c>
      <c r="L39" s="31">
        <v>0.33823529411764708</v>
      </c>
      <c r="M39" s="31">
        <v>0.25735294117647056</v>
      </c>
      <c r="N39" s="31">
        <v>0.58695652173913049</v>
      </c>
      <c r="O39" s="31">
        <v>0.31428571428571428</v>
      </c>
      <c r="P39" s="31">
        <v>0.38461538461538464</v>
      </c>
    </row>
    <row r="40" spans="1:16" x14ac:dyDescent="0.4">
      <c r="A40" s="33">
        <v>37</v>
      </c>
      <c r="B40" s="30">
        <v>56.899999999999935</v>
      </c>
      <c r="C40" s="30">
        <v>1.5378378378378361</v>
      </c>
      <c r="D40" s="35">
        <v>1.9459459459459461</v>
      </c>
      <c r="E40" s="31">
        <v>0.3783783783783784</v>
      </c>
      <c r="F40" s="31">
        <v>0.32432432432432434</v>
      </c>
      <c r="G40" s="31">
        <v>0.30740740740740741</v>
      </c>
      <c r="H40" s="31">
        <v>0.16296296296296298</v>
      </c>
      <c r="I40" s="32">
        <v>10657.831325301206</v>
      </c>
      <c r="J40" s="32">
        <v>-9770.454545454546</v>
      </c>
      <c r="K40" s="31">
        <v>0.1891891891891892</v>
      </c>
      <c r="L40" s="31">
        <v>0.34722222222222221</v>
      </c>
      <c r="M40" s="31">
        <v>0.2638888888888889</v>
      </c>
      <c r="N40" s="31">
        <v>0.6</v>
      </c>
      <c r="O40" s="31">
        <v>0.34210526315789475</v>
      </c>
      <c r="P40" s="31">
        <v>0.42168674698795183</v>
      </c>
    </row>
    <row r="41" spans="1:16" x14ac:dyDescent="0.4">
      <c r="A41" s="33">
        <v>38</v>
      </c>
      <c r="B41" s="30">
        <v>53.499999999999936</v>
      </c>
      <c r="C41" s="30">
        <v>1.4078947368421035</v>
      </c>
      <c r="D41" s="35">
        <v>1.9473684210526316</v>
      </c>
      <c r="E41" s="31">
        <v>0.36842105263157893</v>
      </c>
      <c r="F41" s="31">
        <v>0.31578947368421051</v>
      </c>
      <c r="G41" s="31">
        <v>0.30714285714285716</v>
      </c>
      <c r="H41" s="31">
        <v>0.16428571428571428</v>
      </c>
      <c r="I41" s="32">
        <v>10656.976744186046</v>
      </c>
      <c r="J41" s="32">
        <v>-9710.8695652173919</v>
      </c>
      <c r="K41" s="31">
        <v>0.18421052631578946</v>
      </c>
      <c r="L41" s="31">
        <v>0.33766233766233766</v>
      </c>
      <c r="M41" s="31">
        <v>0.26623376623376621</v>
      </c>
      <c r="N41" s="31">
        <v>0.59615384615384615</v>
      </c>
      <c r="O41" s="31">
        <v>0.36585365853658536</v>
      </c>
      <c r="P41" s="31">
        <v>0.41860465116279072</v>
      </c>
    </row>
    <row r="42" spans="1:16" x14ac:dyDescent="0.4">
      <c r="A42" s="33">
        <v>39</v>
      </c>
      <c r="B42" s="30">
        <v>125.09999999999994</v>
      </c>
      <c r="C42" s="30">
        <v>3.2076923076923061</v>
      </c>
      <c r="D42" s="35">
        <v>1.9230769230769231</v>
      </c>
      <c r="E42" s="31">
        <v>0.38461538461538464</v>
      </c>
      <c r="F42" s="31">
        <v>0.30769230769230771</v>
      </c>
      <c r="G42" s="31">
        <v>0.31468531468531469</v>
      </c>
      <c r="H42" s="31">
        <v>0.16083916083916083</v>
      </c>
      <c r="I42" s="32">
        <v>10934.444444444445</v>
      </c>
      <c r="J42" s="32">
        <v>-9710.8695652173919</v>
      </c>
      <c r="K42" s="31">
        <v>0.17948717948717949</v>
      </c>
      <c r="L42" s="31">
        <v>0.33750000000000002</v>
      </c>
      <c r="M42" s="31">
        <v>0.26250000000000001</v>
      </c>
      <c r="N42" s="31">
        <v>0.61111111111111116</v>
      </c>
      <c r="O42" s="31">
        <v>0.38095238095238093</v>
      </c>
      <c r="P42" s="31">
        <v>0.43333333333333335</v>
      </c>
    </row>
    <row r="43" spans="1:16" x14ac:dyDescent="0.4">
      <c r="A43" s="33">
        <v>40</v>
      </c>
      <c r="B43" s="30">
        <v>156.59999999999994</v>
      </c>
      <c r="C43" s="30">
        <v>3.9149999999999983</v>
      </c>
      <c r="D43" s="35">
        <v>1.9</v>
      </c>
      <c r="E43" s="31">
        <v>0.4</v>
      </c>
      <c r="F43" s="31">
        <v>0.3</v>
      </c>
      <c r="G43" s="31">
        <v>0.31615120274914088</v>
      </c>
      <c r="H43" s="31">
        <v>0.15807560137457044</v>
      </c>
      <c r="I43" s="32">
        <v>11088.04347826087</v>
      </c>
      <c r="J43" s="32">
        <v>-9710.8695652173919</v>
      </c>
      <c r="K43" s="31">
        <v>0.17499999999999999</v>
      </c>
      <c r="L43" s="31">
        <v>0.34545454545454546</v>
      </c>
      <c r="M43" s="31">
        <v>0.25454545454545452</v>
      </c>
      <c r="N43" s="31">
        <v>0.61403508771929827</v>
      </c>
      <c r="O43" s="31">
        <v>0.38095238095238093</v>
      </c>
      <c r="P43" s="31">
        <v>0.43478260869565216</v>
      </c>
    </row>
    <row r="44" spans="1:16" x14ac:dyDescent="0.4">
      <c r="A44" s="33">
        <v>41</v>
      </c>
      <c r="B44" s="30">
        <v>191.99999999999994</v>
      </c>
      <c r="C44" s="30">
        <v>4.6829268292682915</v>
      </c>
      <c r="D44" s="35">
        <v>1.8780487804878048</v>
      </c>
      <c r="E44" s="31">
        <v>0.41463414634146339</v>
      </c>
      <c r="F44" s="31">
        <v>0.29268292682926828</v>
      </c>
      <c r="G44" s="31">
        <v>0.31578947368421051</v>
      </c>
      <c r="H44" s="31">
        <v>0.15460526315789475</v>
      </c>
      <c r="I44" s="32">
        <v>11228.125</v>
      </c>
      <c r="J44" s="32">
        <v>-10014.893617021276</v>
      </c>
      <c r="K44" s="31">
        <v>0.17073170731707318</v>
      </c>
      <c r="L44" s="31">
        <v>0.33707865168539325</v>
      </c>
      <c r="M44" s="31">
        <v>0.25842696629213485</v>
      </c>
      <c r="N44" s="31">
        <v>0.6</v>
      </c>
      <c r="O44" s="31">
        <v>0.39130434782608697</v>
      </c>
      <c r="P44" s="31">
        <v>0.42708333333333331</v>
      </c>
    </row>
    <row r="45" spans="1:16" x14ac:dyDescent="0.4">
      <c r="A45" s="33">
        <v>42</v>
      </c>
      <c r="B45" s="30">
        <v>203.49999999999994</v>
      </c>
      <c r="C45" s="30">
        <v>4.845238095238094</v>
      </c>
      <c r="D45" s="35">
        <v>1.8571428571428572</v>
      </c>
      <c r="E45" s="31">
        <v>0.42857142857142855</v>
      </c>
      <c r="F45" s="31">
        <v>0.2857142857142857</v>
      </c>
      <c r="G45" s="31">
        <v>0.31629392971246006</v>
      </c>
      <c r="H45" s="31">
        <v>0.15335463258785942</v>
      </c>
      <c r="I45" s="32">
        <v>11211.111111111111</v>
      </c>
      <c r="J45" s="32">
        <v>-9847.9166666666661</v>
      </c>
      <c r="K45" s="31">
        <v>0.16666666666666666</v>
      </c>
      <c r="L45" s="31">
        <v>0.33689839572192515</v>
      </c>
      <c r="M45" s="31">
        <v>0.24598930481283424</v>
      </c>
      <c r="N45" s="31">
        <v>0.61904761904761907</v>
      </c>
      <c r="O45" s="31">
        <v>0.39130434782608697</v>
      </c>
      <c r="P45" s="31">
        <v>0.42424242424242425</v>
      </c>
    </row>
    <row r="46" spans="1:16" x14ac:dyDescent="0.4">
      <c r="A46" s="33">
        <v>43</v>
      </c>
      <c r="B46" s="30">
        <v>212.59999999999994</v>
      </c>
      <c r="C46" s="30">
        <v>4.9441860465116267</v>
      </c>
      <c r="D46" s="35">
        <v>1.8604651162790697</v>
      </c>
      <c r="E46" s="31">
        <v>0.41860465116279072</v>
      </c>
      <c r="F46" s="31">
        <v>0.27906976744186046</v>
      </c>
      <c r="G46" s="31">
        <v>0.31790123456790126</v>
      </c>
      <c r="H46" s="31">
        <v>0.15740740740740741</v>
      </c>
      <c r="I46" s="32">
        <v>11261.165048543689</v>
      </c>
      <c r="J46" s="32">
        <v>-9619.6078431372553</v>
      </c>
      <c r="K46" s="31">
        <v>0.16279069767441862</v>
      </c>
      <c r="L46" s="31">
        <v>0.3383838383838384</v>
      </c>
      <c r="M46" s="31">
        <v>0.25252525252525254</v>
      </c>
      <c r="N46" s="31">
        <v>0.61194029850746268</v>
      </c>
      <c r="O46" s="31">
        <v>0.38</v>
      </c>
      <c r="P46" s="31">
        <v>0.40776699029126212</v>
      </c>
    </row>
    <row r="47" spans="1:16" x14ac:dyDescent="0.4">
      <c r="A47" s="33">
        <v>44</v>
      </c>
      <c r="B47" s="30">
        <v>164.19999999999993</v>
      </c>
      <c r="C47" s="30">
        <v>3.7318181818181801</v>
      </c>
      <c r="D47" s="35">
        <v>1.8863636363636365</v>
      </c>
      <c r="E47" s="31">
        <v>0.40909090909090912</v>
      </c>
      <c r="F47" s="31">
        <v>0.29545454545454547</v>
      </c>
      <c r="G47" s="31">
        <v>0.31419939577039274</v>
      </c>
      <c r="H47" s="31">
        <v>0.16314199395770393</v>
      </c>
      <c r="I47" s="32">
        <v>11173.076923076924</v>
      </c>
      <c r="J47" s="32">
        <v>-9788.8888888888887</v>
      </c>
      <c r="K47" s="31">
        <v>0.18181818181818182</v>
      </c>
      <c r="L47" s="31">
        <v>0.33658536585365856</v>
      </c>
      <c r="M47" s="31">
        <v>0.24390243902439024</v>
      </c>
      <c r="N47" s="31">
        <v>0.59420289855072461</v>
      </c>
      <c r="O47" s="31">
        <v>0.38</v>
      </c>
      <c r="P47" s="31">
        <v>0.41346153846153844</v>
      </c>
    </row>
    <row r="48" spans="1:16" x14ac:dyDescent="0.4">
      <c r="A48" s="33">
        <v>45</v>
      </c>
      <c r="B48" s="30">
        <v>209.09999999999994</v>
      </c>
      <c r="C48" s="30">
        <v>4.6466666666666656</v>
      </c>
      <c r="D48" s="35">
        <v>1.8666666666666667</v>
      </c>
      <c r="E48" s="31">
        <v>0.42222222222222222</v>
      </c>
      <c r="F48" s="31">
        <v>0.28888888888888886</v>
      </c>
      <c r="G48" s="31">
        <v>0.3224852071005917</v>
      </c>
      <c r="H48" s="31">
        <v>0.15976331360946747</v>
      </c>
      <c r="I48" s="32">
        <v>11056.880733944954</v>
      </c>
      <c r="J48" s="32">
        <v>-9788.8888888888887</v>
      </c>
      <c r="K48" s="31">
        <v>0.17777777777777778</v>
      </c>
      <c r="L48" s="31">
        <v>0.34433962264150941</v>
      </c>
      <c r="M48" s="31">
        <v>0.24056603773584906</v>
      </c>
      <c r="N48" s="31">
        <v>0.61643835616438358</v>
      </c>
      <c r="O48" s="31">
        <v>0.39215686274509803</v>
      </c>
      <c r="P48" s="31">
        <v>0.41284403669724773</v>
      </c>
    </row>
    <row r="49" spans="1:16" x14ac:dyDescent="0.4">
      <c r="A49" s="33">
        <v>46</v>
      </c>
      <c r="B49" s="30">
        <v>218.99999999999994</v>
      </c>
      <c r="C49" s="30">
        <v>4.7608695652173898</v>
      </c>
      <c r="D49" s="35">
        <v>1.8695652173913044</v>
      </c>
      <c r="E49" s="31">
        <v>0.41304347826086957</v>
      </c>
      <c r="F49" s="31">
        <v>0.28260869565217389</v>
      </c>
      <c r="G49" s="31">
        <v>0.32369942196531792</v>
      </c>
      <c r="H49" s="31">
        <v>0.16184971098265896</v>
      </c>
      <c r="I49" s="32">
        <v>11046.428571428571</v>
      </c>
      <c r="J49" s="32">
        <v>-9700</v>
      </c>
      <c r="K49" s="31">
        <v>0.17391304347826086</v>
      </c>
      <c r="L49" s="31">
        <v>0.35</v>
      </c>
      <c r="M49" s="31">
        <v>0.23181818181818181</v>
      </c>
      <c r="N49" s="31">
        <v>0.62337662337662336</v>
      </c>
      <c r="O49" s="31">
        <v>0.39215686274509803</v>
      </c>
      <c r="P49" s="31">
        <v>0.41964285714285715</v>
      </c>
    </row>
    <row r="50" spans="1:16" x14ac:dyDescent="0.4">
      <c r="A50" s="33">
        <v>47</v>
      </c>
      <c r="B50" s="30">
        <v>198.99999999999994</v>
      </c>
      <c r="C50" s="30">
        <v>4.2340425531914878</v>
      </c>
      <c r="D50" s="35">
        <v>1.8936170212765957</v>
      </c>
      <c r="E50" s="31">
        <v>0.40425531914893614</v>
      </c>
      <c r="F50" s="31">
        <v>0.2978723404255319</v>
      </c>
      <c r="G50" s="31">
        <v>0.32303370786516855</v>
      </c>
      <c r="H50" s="31">
        <v>0.16292134831460675</v>
      </c>
      <c r="I50" s="32">
        <v>10940.869565217392</v>
      </c>
      <c r="J50" s="32">
        <v>-9813.7931034482754</v>
      </c>
      <c r="K50" s="31">
        <v>0.1702127659574468</v>
      </c>
      <c r="L50" s="31">
        <v>0.34782608695652173</v>
      </c>
      <c r="M50" s="31">
        <v>0.23043478260869565</v>
      </c>
      <c r="N50" s="31">
        <v>0.625</v>
      </c>
      <c r="O50" s="31">
        <v>0.39622641509433965</v>
      </c>
      <c r="P50" s="31">
        <v>0.41739130434782606</v>
      </c>
    </row>
    <row r="51" spans="1:16" x14ac:dyDescent="0.4">
      <c r="A51" s="33">
        <v>48</v>
      </c>
      <c r="B51" s="30">
        <v>194.09999999999994</v>
      </c>
      <c r="C51" s="30">
        <v>4.0437499999999984</v>
      </c>
      <c r="D51" s="35">
        <v>1.8958333333333333</v>
      </c>
      <c r="E51" s="31">
        <v>0.39583333333333331</v>
      </c>
      <c r="F51" s="31">
        <v>0.29166666666666669</v>
      </c>
      <c r="G51" s="31">
        <v>0.32328767123287672</v>
      </c>
      <c r="H51" s="31">
        <v>0.16164383561643836</v>
      </c>
      <c r="I51" s="32">
        <v>10866.949152542373</v>
      </c>
      <c r="J51" s="32">
        <v>-9850.8474576271183</v>
      </c>
      <c r="K51" s="31">
        <v>0.16666666666666666</v>
      </c>
      <c r="L51" s="31">
        <v>0.34728033472803349</v>
      </c>
      <c r="M51" s="31">
        <v>0.2384937238493724</v>
      </c>
      <c r="N51" s="31">
        <v>0.61445783132530118</v>
      </c>
      <c r="O51" s="31">
        <v>0.40350877192982454</v>
      </c>
      <c r="P51" s="31">
        <v>0.40677966101694918</v>
      </c>
    </row>
    <row r="52" spans="1:16" x14ac:dyDescent="0.4">
      <c r="A52" s="33">
        <v>49</v>
      </c>
      <c r="B52" s="30">
        <v>211.89999999999995</v>
      </c>
      <c r="C52" s="30">
        <v>4.3244897959183666</v>
      </c>
      <c r="D52" s="35">
        <v>1.8775510204081634</v>
      </c>
      <c r="E52" s="31">
        <v>0.40816326530612246</v>
      </c>
      <c r="F52" s="31">
        <v>0.2857142857142857</v>
      </c>
      <c r="G52" s="31">
        <v>0.32180851063829785</v>
      </c>
      <c r="H52" s="31">
        <v>0.16223404255319149</v>
      </c>
      <c r="I52" s="32">
        <v>10927.272727272728</v>
      </c>
      <c r="J52" s="32">
        <v>-9701.6393442622957</v>
      </c>
      <c r="K52" s="31">
        <v>0.16326530612244897</v>
      </c>
      <c r="L52" s="31">
        <v>0.34399999999999997</v>
      </c>
      <c r="M52" s="31">
        <v>0.23599999999999999</v>
      </c>
      <c r="N52" s="31">
        <v>0.61627906976744184</v>
      </c>
      <c r="O52" s="31">
        <v>0.38983050847457629</v>
      </c>
      <c r="P52" s="31">
        <v>0.4049586776859504</v>
      </c>
    </row>
    <row r="53" spans="1:16" x14ac:dyDescent="0.4">
      <c r="A53" s="33">
        <v>50</v>
      </c>
      <c r="B53" s="30">
        <v>185.49999999999994</v>
      </c>
      <c r="C53" s="30">
        <v>3.7099999999999991</v>
      </c>
      <c r="D53" s="35">
        <v>1.9</v>
      </c>
      <c r="E53" s="31">
        <v>0.4</v>
      </c>
      <c r="F53" s="31">
        <v>0.3</v>
      </c>
      <c r="G53" s="31">
        <v>0.31592689295039167</v>
      </c>
      <c r="H53" s="31">
        <v>0.16449086161879894</v>
      </c>
      <c r="I53" s="32">
        <v>10927.272727272728</v>
      </c>
      <c r="J53" s="32">
        <v>-9774.6031746031749</v>
      </c>
      <c r="K53" s="31">
        <v>0.16</v>
      </c>
      <c r="L53" s="31">
        <v>0.33852140077821014</v>
      </c>
      <c r="M53" s="31">
        <v>0.23346303501945526</v>
      </c>
      <c r="N53" s="31">
        <v>0.60919540229885061</v>
      </c>
      <c r="O53" s="31">
        <v>0.38333333333333336</v>
      </c>
      <c r="P53" s="31">
        <v>0.4049586776859504</v>
      </c>
    </row>
    <row r="54" spans="1:16" x14ac:dyDescent="0.4">
      <c r="A54" s="33">
        <v>51</v>
      </c>
      <c r="B54" s="30">
        <v>196.99999999999994</v>
      </c>
      <c r="C54" s="30">
        <v>3.8627450980392144</v>
      </c>
      <c r="D54" s="35">
        <v>1.8823529411764706</v>
      </c>
      <c r="E54" s="31">
        <v>0.41176470588235292</v>
      </c>
      <c r="F54" s="31">
        <v>0.29411764705882354</v>
      </c>
      <c r="G54" s="31">
        <v>0.31457800511508949</v>
      </c>
      <c r="H54" s="31">
        <v>0.16624040920716113</v>
      </c>
      <c r="I54" s="32">
        <v>10969.105691056911</v>
      </c>
      <c r="J54" s="32">
        <v>-9720</v>
      </c>
      <c r="K54" s="31">
        <v>0.15686274509803921</v>
      </c>
      <c r="L54" s="31">
        <v>0.33962264150943394</v>
      </c>
      <c r="M54" s="31">
        <v>0.23018867924528302</v>
      </c>
      <c r="N54" s="31">
        <v>0.61111111111111116</v>
      </c>
      <c r="O54" s="31">
        <v>0.37704918032786883</v>
      </c>
      <c r="P54" s="31">
        <v>0.41463414634146339</v>
      </c>
    </row>
    <row r="55" spans="1:16" x14ac:dyDescent="0.4">
      <c r="A55" s="33">
        <v>52</v>
      </c>
      <c r="B55" s="30">
        <v>196.59999999999994</v>
      </c>
      <c r="C55" s="30">
        <v>3.7807692307692298</v>
      </c>
      <c r="D55" s="35">
        <v>1.8846153846153846</v>
      </c>
      <c r="E55" s="31">
        <v>0.40384615384615385</v>
      </c>
      <c r="F55" s="31">
        <v>0.28846153846153844</v>
      </c>
      <c r="G55" s="31">
        <v>0.32080200501253131</v>
      </c>
      <c r="H55" s="31">
        <v>0.16791979949874686</v>
      </c>
      <c r="I55" s="32">
        <v>10795.3125</v>
      </c>
      <c r="J55" s="32">
        <v>-9877.6119402985078</v>
      </c>
      <c r="K55" s="31">
        <v>0.15384615384615385</v>
      </c>
      <c r="L55" s="31">
        <v>0.33699633699633702</v>
      </c>
      <c r="M55" s="31">
        <v>0.23809523809523808</v>
      </c>
      <c r="N55" s="31">
        <v>0.61956521739130432</v>
      </c>
      <c r="O55" s="31">
        <v>0.38461538461538464</v>
      </c>
      <c r="P55" s="31">
        <v>0.4140625</v>
      </c>
    </row>
    <row r="56" spans="1:16" x14ac:dyDescent="0.4">
      <c r="A56" s="33">
        <v>53</v>
      </c>
      <c r="B56" s="30">
        <v>214.69999999999993</v>
      </c>
      <c r="C56" s="30">
        <v>4.0509433962264136</v>
      </c>
      <c r="D56" s="35">
        <v>1.8679245283018868</v>
      </c>
      <c r="E56" s="31">
        <v>0.41509433962264153</v>
      </c>
      <c r="F56" s="31">
        <v>0.28301886792452829</v>
      </c>
      <c r="G56" s="31">
        <v>0.32273838630806845</v>
      </c>
      <c r="H56" s="31">
        <v>0.16381418092909536</v>
      </c>
      <c r="I56" s="32">
        <v>10658.333333333334</v>
      </c>
      <c r="J56" s="32">
        <v>-9877.6119402985078</v>
      </c>
      <c r="K56" s="31">
        <v>0.15094339622641509</v>
      </c>
      <c r="L56" s="31">
        <v>0.33922261484098942</v>
      </c>
      <c r="M56" s="31">
        <v>0.22968197879858657</v>
      </c>
      <c r="N56" s="31">
        <v>0.63541666666666663</v>
      </c>
      <c r="O56" s="31">
        <v>0.38461538461538464</v>
      </c>
      <c r="P56" s="31">
        <v>0.40909090909090912</v>
      </c>
    </row>
    <row r="57" spans="1:16" x14ac:dyDescent="0.4">
      <c r="A57" s="33">
        <v>54</v>
      </c>
      <c r="B57" s="30">
        <v>237.49999999999994</v>
      </c>
      <c r="C57" s="30">
        <v>4.398148148148147</v>
      </c>
      <c r="D57" s="35">
        <v>1.8518518518518519</v>
      </c>
      <c r="E57" s="31">
        <v>0.42592592592592593</v>
      </c>
      <c r="F57" s="31">
        <v>0.27777777777777779</v>
      </c>
      <c r="G57" s="31">
        <v>0.32687651331719131</v>
      </c>
      <c r="H57" s="31">
        <v>0.16222760290556901</v>
      </c>
      <c r="I57" s="32">
        <v>10568.148148148148</v>
      </c>
      <c r="J57" s="32">
        <v>-9877.6119402985078</v>
      </c>
      <c r="K57" s="31">
        <v>0.14814814814814814</v>
      </c>
      <c r="L57" s="31">
        <v>0.34146341463414637</v>
      </c>
      <c r="M57" s="31">
        <v>0.2264808362369338</v>
      </c>
      <c r="N57" s="31">
        <v>0.6428571428571429</v>
      </c>
      <c r="O57" s="31">
        <v>0.38461538461538464</v>
      </c>
      <c r="P57" s="31">
        <v>0.40740740740740738</v>
      </c>
    </row>
    <row r="58" spans="1:16" x14ac:dyDescent="0.4">
      <c r="A58" s="33">
        <v>55</v>
      </c>
      <c r="B58" s="30">
        <v>224.69999999999993</v>
      </c>
      <c r="C58" s="30">
        <v>4.0854545454545441</v>
      </c>
      <c r="D58" s="35">
        <v>1.8727272727272728</v>
      </c>
      <c r="E58" s="31">
        <v>0.41818181818181815</v>
      </c>
      <c r="F58" s="31">
        <v>0.29090909090909089</v>
      </c>
      <c r="G58" s="31">
        <v>0.32380952380952382</v>
      </c>
      <c r="H58" s="31">
        <v>0.16428571428571428</v>
      </c>
      <c r="I58" s="32">
        <v>10578.676470588236</v>
      </c>
      <c r="J58" s="32">
        <v>-9704.347826086956</v>
      </c>
      <c r="K58" s="31">
        <v>0.14545454545454545</v>
      </c>
      <c r="L58" s="31">
        <v>0.33333333333333331</v>
      </c>
      <c r="M58" s="31">
        <v>0.22448979591836735</v>
      </c>
      <c r="N58" s="31">
        <v>0.6428571428571429</v>
      </c>
      <c r="O58" s="31">
        <v>0.39393939393939392</v>
      </c>
      <c r="P58" s="31">
        <v>0.40441176470588236</v>
      </c>
    </row>
    <row r="59" spans="1:16" x14ac:dyDescent="0.4">
      <c r="A59" s="33">
        <v>56</v>
      </c>
      <c r="B59" s="30">
        <v>260.69999999999993</v>
      </c>
      <c r="C59" s="30">
        <v>4.6553571428571416</v>
      </c>
      <c r="D59" s="35">
        <v>1.8571428571428572</v>
      </c>
      <c r="E59" s="31">
        <v>0.42857142857142855</v>
      </c>
      <c r="F59" s="31">
        <v>0.2857142857142857</v>
      </c>
      <c r="G59" s="31">
        <v>0.32541567695961993</v>
      </c>
      <c r="H59" s="31">
        <v>0.16389548693586697</v>
      </c>
      <c r="I59" s="32">
        <v>10764.233576642337</v>
      </c>
      <c r="J59" s="32">
        <v>-9704.347826086956</v>
      </c>
      <c r="K59" s="31">
        <v>0.14285714285714285</v>
      </c>
      <c r="L59" s="31">
        <v>0.33559322033898303</v>
      </c>
      <c r="M59" s="31">
        <v>0.22372881355932203</v>
      </c>
      <c r="N59" s="31">
        <v>0.64646464646464652</v>
      </c>
      <c r="O59" s="31">
        <v>0.39393939393939392</v>
      </c>
      <c r="P59" s="31">
        <v>0.40145985401459855</v>
      </c>
    </row>
    <row r="60" spans="1:16" x14ac:dyDescent="0.4">
      <c r="A60" s="33">
        <v>57</v>
      </c>
      <c r="B60" s="30">
        <v>211.59999999999994</v>
      </c>
      <c r="C60" s="30">
        <v>3.7122807017543851</v>
      </c>
      <c r="D60" s="35">
        <v>1.8771929824561404</v>
      </c>
      <c r="E60" s="31">
        <v>0.42105263157894735</v>
      </c>
      <c r="F60" s="31">
        <v>0.2982456140350877</v>
      </c>
      <c r="G60" s="31">
        <v>0.32093023255813952</v>
      </c>
      <c r="H60" s="31">
        <v>0.16046511627906976</v>
      </c>
      <c r="I60" s="32">
        <v>10700.72463768116</v>
      </c>
      <c r="J60" s="32">
        <v>-9704.347826086956</v>
      </c>
      <c r="K60" s="31">
        <v>0.15789473684210525</v>
      </c>
      <c r="L60" s="31">
        <v>0.33223684210526316</v>
      </c>
      <c r="M60" s="31">
        <v>0.22368421052631579</v>
      </c>
      <c r="N60" s="31">
        <v>0.63366336633663367</v>
      </c>
      <c r="O60" s="31">
        <v>0.39705882352941174</v>
      </c>
      <c r="P60" s="31">
        <v>0.39855072463768115</v>
      </c>
    </row>
    <row r="61" spans="1:16" x14ac:dyDescent="0.4">
      <c r="A61" s="33">
        <v>58</v>
      </c>
      <c r="B61" s="30">
        <v>208.99999999999994</v>
      </c>
      <c r="C61" s="30">
        <v>3.6034482758620681</v>
      </c>
      <c r="D61" s="35">
        <v>1.8793103448275863</v>
      </c>
      <c r="E61" s="31">
        <v>0.41379310344827586</v>
      </c>
      <c r="F61" s="31">
        <v>0.29310344827586204</v>
      </c>
      <c r="G61" s="31">
        <v>0.32118451025056949</v>
      </c>
      <c r="H61" s="31">
        <v>0.16400911161731208</v>
      </c>
      <c r="I61" s="32">
        <v>10593.617021276596</v>
      </c>
      <c r="J61" s="32">
        <v>-9593.0555555555547</v>
      </c>
      <c r="K61" s="31">
        <v>0.15517241379310345</v>
      </c>
      <c r="L61" s="31">
        <v>0.33546325878594252</v>
      </c>
      <c r="M61" s="31">
        <v>0.22044728434504793</v>
      </c>
      <c r="N61" s="31">
        <v>0.62857142857142856</v>
      </c>
      <c r="O61" s="31">
        <v>0.39130434782608697</v>
      </c>
      <c r="P61" s="31">
        <v>0.3971631205673759</v>
      </c>
    </row>
    <row r="62" spans="1:16" x14ac:dyDescent="0.4">
      <c r="A62" s="33">
        <v>59</v>
      </c>
      <c r="B62" s="30">
        <v>221.49999999999994</v>
      </c>
      <c r="C62" s="30">
        <v>3.7542372881355921</v>
      </c>
      <c r="D62" s="35">
        <v>1.8644067796610169</v>
      </c>
      <c r="E62" s="31">
        <v>0.42372881355932202</v>
      </c>
      <c r="F62" s="31">
        <v>0.28813559322033899</v>
      </c>
      <c r="G62" s="31">
        <v>0.3236607142857143</v>
      </c>
      <c r="H62" s="31">
        <v>0.16071428571428573</v>
      </c>
      <c r="I62" s="32">
        <v>10549.655172413793</v>
      </c>
      <c r="J62" s="32">
        <v>-9593.0555555555547</v>
      </c>
      <c r="K62" s="31">
        <v>0.15254237288135594</v>
      </c>
      <c r="L62" s="31">
        <v>0.32919254658385094</v>
      </c>
      <c r="M62" s="31">
        <v>0.2267080745341615</v>
      </c>
      <c r="N62" s="31">
        <v>0.63207547169811318</v>
      </c>
      <c r="O62" s="31">
        <v>0.38356164383561642</v>
      </c>
      <c r="P62" s="31">
        <v>0.40689655172413791</v>
      </c>
    </row>
    <row r="63" spans="1:16" x14ac:dyDescent="0.4">
      <c r="A63" s="33">
        <v>60</v>
      </c>
      <c r="B63" s="30">
        <v>233.79999999999995</v>
      </c>
      <c r="C63" s="30">
        <v>3.8966666666666661</v>
      </c>
      <c r="D63" s="35">
        <v>1.8666666666666667</v>
      </c>
      <c r="E63" s="31">
        <v>0.41666666666666669</v>
      </c>
      <c r="F63" s="31">
        <v>0.28333333333333333</v>
      </c>
      <c r="G63" s="31">
        <v>0.32307692307692309</v>
      </c>
      <c r="H63" s="31">
        <v>0.16043956043956045</v>
      </c>
      <c r="I63" s="32">
        <v>10569.387755102041</v>
      </c>
      <c r="J63" s="32">
        <v>-9532.8767123287671</v>
      </c>
      <c r="K63" s="31">
        <v>0.15</v>
      </c>
      <c r="L63" s="31">
        <v>0.32826747720364741</v>
      </c>
      <c r="M63" s="31">
        <v>0.22492401215805471</v>
      </c>
      <c r="N63" s="31">
        <v>0.62962962962962965</v>
      </c>
      <c r="O63" s="31">
        <v>0.39189189189189189</v>
      </c>
      <c r="P63" s="31">
        <v>0.40816326530612246</v>
      </c>
    </row>
    <row r="64" spans="1:16" x14ac:dyDescent="0.4">
      <c r="A64" s="33">
        <v>61</v>
      </c>
      <c r="B64" s="30">
        <v>234.69999999999996</v>
      </c>
      <c r="C64" s="30">
        <v>3.8475409836065566</v>
      </c>
      <c r="D64" s="35">
        <v>1.8688524590163935</v>
      </c>
      <c r="E64" s="31">
        <v>0.4098360655737705</v>
      </c>
      <c r="F64" s="31">
        <v>0.27868852459016391</v>
      </c>
      <c r="G64" s="31">
        <v>0.3247311827956989</v>
      </c>
      <c r="H64" s="31">
        <v>0.16344086021505377</v>
      </c>
      <c r="I64" s="32">
        <v>10526.490066225166</v>
      </c>
      <c r="J64" s="32">
        <v>-9563.1578947368416</v>
      </c>
      <c r="K64" s="31">
        <v>0.14754098360655737</v>
      </c>
      <c r="L64" s="31">
        <v>0.3303834808259587</v>
      </c>
      <c r="M64" s="31">
        <v>0.22418879056047197</v>
      </c>
      <c r="N64" s="31">
        <v>0.6428571428571429</v>
      </c>
      <c r="O64" s="31">
        <v>0.38157894736842107</v>
      </c>
      <c r="P64" s="31">
        <v>0.41059602649006621</v>
      </c>
    </row>
    <row r="65" spans="1:16" x14ac:dyDescent="0.4">
      <c r="A65" s="33">
        <v>62</v>
      </c>
      <c r="B65" s="30">
        <v>230.89999999999995</v>
      </c>
      <c r="C65" s="30">
        <v>3.7241935483870958</v>
      </c>
      <c r="D65" s="35">
        <v>1.8709677419354838</v>
      </c>
      <c r="E65" s="31">
        <v>0.40322580645161288</v>
      </c>
      <c r="F65" s="31">
        <v>0.27419354838709675</v>
      </c>
      <c r="G65" s="31">
        <v>0.32558139534883723</v>
      </c>
      <c r="H65" s="31">
        <v>0.16279069767441862</v>
      </c>
      <c r="I65" s="32">
        <v>10516.883116883117</v>
      </c>
      <c r="J65" s="32">
        <v>-9476.6233766233763</v>
      </c>
      <c r="K65" s="31">
        <v>0.14516129032258066</v>
      </c>
      <c r="L65" s="31">
        <v>0.32853025936599423</v>
      </c>
      <c r="M65" s="31">
        <v>0.22478386167146974</v>
      </c>
      <c r="N65" s="31">
        <v>0.64035087719298245</v>
      </c>
      <c r="O65" s="31">
        <v>0.37179487179487181</v>
      </c>
      <c r="P65" s="31">
        <v>0.42207792207792205</v>
      </c>
    </row>
    <row r="66" spans="1:16" x14ac:dyDescent="0.4">
      <c r="A66" s="33">
        <v>63</v>
      </c>
      <c r="B66" s="30">
        <v>218.99999999999994</v>
      </c>
      <c r="C66" s="30">
        <v>3.4761904761904754</v>
      </c>
      <c r="D66" s="35">
        <v>1.873015873015873</v>
      </c>
      <c r="E66" s="31">
        <v>0.3968253968253968</v>
      </c>
      <c r="F66" s="31">
        <v>0.26984126984126983</v>
      </c>
      <c r="G66" s="31">
        <v>0.32572614107883818</v>
      </c>
      <c r="H66" s="31">
        <v>0.16182572614107885</v>
      </c>
      <c r="I66" s="32">
        <v>10456.687898089172</v>
      </c>
      <c r="J66" s="32">
        <v>-9457.6923076923085</v>
      </c>
      <c r="K66" s="31">
        <v>0.14285714285714285</v>
      </c>
      <c r="L66" s="31">
        <v>0.3342696629213483</v>
      </c>
      <c r="M66" s="31">
        <v>0.2247191011235955</v>
      </c>
      <c r="N66" s="31">
        <v>0.63025210084033612</v>
      </c>
      <c r="O66" s="31">
        <v>0.375</v>
      </c>
      <c r="P66" s="31">
        <v>0.43312101910828027</v>
      </c>
    </row>
    <row r="67" spans="1:16" x14ac:dyDescent="0.4">
      <c r="A67" s="33">
        <v>64</v>
      </c>
      <c r="B67" s="30">
        <v>201.49999999999994</v>
      </c>
      <c r="C67" s="30">
        <v>3.1484374999999991</v>
      </c>
      <c r="D67" s="35">
        <v>1.890625</v>
      </c>
      <c r="E67" s="31">
        <v>0.390625</v>
      </c>
      <c r="F67" s="31">
        <v>0.28125</v>
      </c>
      <c r="G67" s="31">
        <v>0.32244897959183672</v>
      </c>
      <c r="H67" s="31">
        <v>0.15918367346938775</v>
      </c>
      <c r="I67" s="32">
        <v>10403.164556962025</v>
      </c>
      <c r="J67" s="32">
        <v>-9457.6923076923085</v>
      </c>
      <c r="K67" s="31">
        <v>0.140625</v>
      </c>
      <c r="L67" s="31">
        <v>0.3324175824175824</v>
      </c>
      <c r="M67" s="31">
        <v>0.23076923076923078</v>
      </c>
      <c r="N67" s="31">
        <v>0.6198347107438017</v>
      </c>
      <c r="O67" s="31">
        <v>0.36904761904761907</v>
      </c>
      <c r="P67" s="31">
        <v>0.43037974683544306</v>
      </c>
    </row>
    <row r="68" spans="1:16" x14ac:dyDescent="0.4">
      <c r="A68" s="33">
        <v>65</v>
      </c>
      <c r="B68" s="30">
        <v>208.79999999999995</v>
      </c>
      <c r="C68" s="30">
        <v>3.2123076923076916</v>
      </c>
      <c r="D68" s="35">
        <v>1.8769230769230769</v>
      </c>
      <c r="E68" s="31">
        <v>0.4</v>
      </c>
      <c r="F68" s="31">
        <v>0.27692307692307694</v>
      </c>
      <c r="G68" s="31">
        <v>0.32661290322580644</v>
      </c>
      <c r="H68" s="31">
        <v>0.15725806451612903</v>
      </c>
      <c r="I68" s="32">
        <v>10257.407407407407</v>
      </c>
      <c r="J68" s="32">
        <v>-9457.6923076923085</v>
      </c>
      <c r="K68" s="31">
        <v>0.13846153846153847</v>
      </c>
      <c r="L68" s="31">
        <v>0.33243243243243242</v>
      </c>
      <c r="M68" s="31">
        <v>0.23243243243243245</v>
      </c>
      <c r="N68" s="31">
        <v>0.62601626016260159</v>
      </c>
      <c r="O68" s="31">
        <v>0.38372093023255816</v>
      </c>
      <c r="P68" s="31">
        <v>0.41975308641975306</v>
      </c>
    </row>
    <row r="69" spans="1:16" x14ac:dyDescent="0.4">
      <c r="A69" s="33">
        <v>66</v>
      </c>
      <c r="B69" s="30">
        <v>204.19999999999996</v>
      </c>
      <c r="C69" s="30">
        <v>3.0939393939393933</v>
      </c>
      <c r="D69" s="35">
        <v>1.893939393939394</v>
      </c>
      <c r="E69" s="31">
        <v>0.39393939393939392</v>
      </c>
      <c r="F69" s="31">
        <v>0.2878787878787879</v>
      </c>
      <c r="G69" s="31">
        <v>0.32738095238095238</v>
      </c>
      <c r="H69" s="31">
        <v>0.15873015873015872</v>
      </c>
      <c r="I69" s="32">
        <v>10240.60606060606</v>
      </c>
      <c r="J69" s="32">
        <v>-9403.75</v>
      </c>
      <c r="K69" s="31">
        <v>0.13636363636363635</v>
      </c>
      <c r="L69" s="31">
        <v>0.33333333333333331</v>
      </c>
      <c r="M69" s="31">
        <v>0.23280423280423279</v>
      </c>
      <c r="N69" s="31">
        <v>0.62698412698412698</v>
      </c>
      <c r="O69" s="31">
        <v>0.38636363636363635</v>
      </c>
      <c r="P69" s="31">
        <v>0.42424242424242425</v>
      </c>
    </row>
    <row r="70" spans="1:16" x14ac:dyDescent="0.4">
      <c r="A70" s="33">
        <v>67</v>
      </c>
      <c r="B70" s="30">
        <v>218.29999999999995</v>
      </c>
      <c r="C70" s="30">
        <v>3.2582089552238798</v>
      </c>
      <c r="D70" s="35">
        <v>1.8955223880597014</v>
      </c>
      <c r="E70" s="31">
        <v>0.38805970149253732</v>
      </c>
      <c r="F70" s="31">
        <v>0.28358208955223879</v>
      </c>
      <c r="G70" s="31">
        <v>0.32745098039215687</v>
      </c>
      <c r="H70" s="31">
        <v>0.15686274509803921</v>
      </c>
      <c r="I70" s="32">
        <v>10202.395209580838</v>
      </c>
      <c r="J70" s="32">
        <v>-9403.75</v>
      </c>
      <c r="K70" s="31">
        <v>0.13432835820895522</v>
      </c>
      <c r="L70" s="31">
        <v>0.328125</v>
      </c>
      <c r="M70" s="31">
        <v>0.234375</v>
      </c>
      <c r="N70" s="31">
        <v>0.62698412698412698</v>
      </c>
      <c r="O70" s="31">
        <v>0.4</v>
      </c>
      <c r="P70" s="31">
        <v>0.43113772455089822</v>
      </c>
    </row>
    <row r="71" spans="1:16" x14ac:dyDescent="0.4">
      <c r="A71" s="33">
        <v>68</v>
      </c>
      <c r="B71" s="30">
        <v>179.79999999999995</v>
      </c>
      <c r="C71" s="30">
        <v>2.644117647058823</v>
      </c>
      <c r="D71" s="35">
        <v>1.911764705882353</v>
      </c>
      <c r="E71" s="31">
        <v>0.38235294117647056</v>
      </c>
      <c r="F71" s="31">
        <v>0.29411764705882354</v>
      </c>
      <c r="G71" s="31">
        <v>0.32427184466019415</v>
      </c>
      <c r="H71" s="31">
        <v>0.15922330097087378</v>
      </c>
      <c r="I71" s="32">
        <v>10202.395209580838</v>
      </c>
      <c r="J71" s="32">
        <v>-9540.2439024390242</v>
      </c>
      <c r="K71" s="31">
        <v>0.14705882352941177</v>
      </c>
      <c r="L71" s="31">
        <v>0.32647814910025708</v>
      </c>
      <c r="M71" s="31">
        <v>0.23393316195372751</v>
      </c>
      <c r="N71" s="31">
        <v>0.62204724409448819</v>
      </c>
      <c r="O71" s="31">
        <v>0.39560439560439559</v>
      </c>
      <c r="P71" s="31">
        <v>0.43113772455089822</v>
      </c>
    </row>
    <row r="72" spans="1:16" x14ac:dyDescent="0.4">
      <c r="A72" s="33">
        <v>69</v>
      </c>
      <c r="B72" s="30">
        <v>188.69999999999996</v>
      </c>
      <c r="C72" s="30">
        <v>2.7347826086956517</v>
      </c>
      <c r="D72" s="35">
        <v>1.8985507246376812</v>
      </c>
      <c r="E72" s="31">
        <v>0.39130434782608697</v>
      </c>
      <c r="F72" s="31">
        <v>0.28985507246376813</v>
      </c>
      <c r="G72" s="31">
        <v>0.32313575525812621</v>
      </c>
      <c r="H72" s="31">
        <v>0.1586998087954111</v>
      </c>
      <c r="I72" s="32">
        <v>10199.408284023668</v>
      </c>
      <c r="J72" s="32">
        <v>-9437.3493975903621</v>
      </c>
      <c r="K72" s="31">
        <v>0.14492753623188406</v>
      </c>
      <c r="L72" s="31">
        <v>0.32241813602015112</v>
      </c>
      <c r="M72" s="31">
        <v>0.23425692695214106</v>
      </c>
      <c r="N72" s="31">
        <v>0.625</v>
      </c>
      <c r="O72" s="31">
        <v>0.39784946236559138</v>
      </c>
      <c r="P72" s="31">
        <v>0.42603550295857989</v>
      </c>
    </row>
    <row r="73" spans="1:16" x14ac:dyDescent="0.4">
      <c r="A73" s="33">
        <v>70</v>
      </c>
      <c r="B73" s="30">
        <v>218.39999999999995</v>
      </c>
      <c r="C73" s="30">
        <v>3.1199999999999992</v>
      </c>
      <c r="D73" s="35">
        <v>1.8857142857142857</v>
      </c>
      <c r="E73" s="31">
        <v>0.4</v>
      </c>
      <c r="F73" s="31">
        <v>0.2857142857142857</v>
      </c>
      <c r="G73" s="31">
        <v>0.32518796992481203</v>
      </c>
      <c r="H73" s="31">
        <v>0.15601503759398497</v>
      </c>
      <c r="I73" s="32">
        <v>10224.855491329479</v>
      </c>
      <c r="J73" s="32">
        <v>-9437.3493975903621</v>
      </c>
      <c r="K73" s="31">
        <v>0.14285714285714285</v>
      </c>
      <c r="L73" s="31">
        <v>0.32758620689655171</v>
      </c>
      <c r="M73" s="31">
        <v>0.23399014778325122</v>
      </c>
      <c r="N73" s="31">
        <v>0.62406015037593987</v>
      </c>
      <c r="O73" s="31">
        <v>0.38947368421052631</v>
      </c>
      <c r="P73" s="31">
        <v>0.43352601156069365</v>
      </c>
    </row>
    <row r="74" spans="1:16" x14ac:dyDescent="0.4">
      <c r="A74" s="33">
        <v>71</v>
      </c>
      <c r="B74" s="30">
        <v>197.69999999999996</v>
      </c>
      <c r="C74" s="30">
        <v>2.7845070422535207</v>
      </c>
      <c r="D74" s="35">
        <v>1.8873239436619718</v>
      </c>
      <c r="E74" s="31">
        <v>0.39436619718309857</v>
      </c>
      <c r="F74" s="31">
        <v>0.28169014084507044</v>
      </c>
      <c r="G74" s="31">
        <v>0.32156133828996281</v>
      </c>
      <c r="H74" s="31">
        <v>0.15613382899628253</v>
      </c>
      <c r="I74" s="32">
        <v>10224.855491329479</v>
      </c>
      <c r="J74" s="32">
        <v>-9416.6666666666661</v>
      </c>
      <c r="K74" s="31">
        <v>0.14084507042253522</v>
      </c>
      <c r="L74" s="31">
        <v>0.32524271844660196</v>
      </c>
      <c r="M74" s="31">
        <v>0.2354368932038835</v>
      </c>
      <c r="N74" s="31">
        <v>0.61940298507462688</v>
      </c>
      <c r="O74" s="31">
        <v>0.38144329896907214</v>
      </c>
      <c r="P74" s="31">
        <v>0.43352601156069365</v>
      </c>
    </row>
    <row r="75" spans="1:16" x14ac:dyDescent="0.4">
      <c r="A75" s="33">
        <v>72</v>
      </c>
      <c r="B75" s="30">
        <v>159.69999999999996</v>
      </c>
      <c r="C75" s="30">
        <v>2.218055555555555</v>
      </c>
      <c r="D75" s="35">
        <v>1.9027777777777777</v>
      </c>
      <c r="E75" s="31">
        <v>0.3888888888888889</v>
      </c>
      <c r="F75" s="31">
        <v>0.29166666666666669</v>
      </c>
      <c r="G75" s="31">
        <v>0.31918819188191883</v>
      </c>
      <c r="H75" s="31">
        <v>0.15867158671586715</v>
      </c>
      <c r="I75" s="32">
        <v>10224.855491329479</v>
      </c>
      <c r="J75" s="32">
        <v>-9616.2790697674427</v>
      </c>
      <c r="K75" s="31">
        <v>0.15277777777777779</v>
      </c>
      <c r="L75" s="31">
        <v>0.32451923076923078</v>
      </c>
      <c r="M75" s="31">
        <v>0.23557692307692307</v>
      </c>
      <c r="N75" s="31">
        <v>0.61481481481481481</v>
      </c>
      <c r="O75" s="31">
        <v>0.37755102040816324</v>
      </c>
      <c r="P75" s="31">
        <v>0.43352601156069365</v>
      </c>
    </row>
    <row r="76" spans="1:16" x14ac:dyDescent="0.4">
      <c r="A76" s="33">
        <v>73</v>
      </c>
      <c r="B76" s="30">
        <v>195.69999999999996</v>
      </c>
      <c r="C76" s="30">
        <v>2.6808219178082187</v>
      </c>
      <c r="D76" s="35">
        <v>1.8904109589041096</v>
      </c>
      <c r="E76" s="31">
        <v>0.39726027397260272</v>
      </c>
      <c r="F76" s="31">
        <v>0.28767123287671231</v>
      </c>
      <c r="G76" s="31">
        <v>0.32044198895027626</v>
      </c>
      <c r="H76" s="31">
        <v>0.15837937384898712</v>
      </c>
      <c r="I76" s="32">
        <v>10372.988505747126</v>
      </c>
      <c r="J76" s="32">
        <v>-9616.2790697674427</v>
      </c>
      <c r="K76" s="31">
        <v>0.15068493150684931</v>
      </c>
      <c r="L76" s="31">
        <v>0.32613908872901681</v>
      </c>
      <c r="M76" s="31">
        <v>0.23501199040767387</v>
      </c>
      <c r="N76" s="31">
        <v>0.61764705882352944</v>
      </c>
      <c r="O76" s="31">
        <v>0.37755102040816324</v>
      </c>
      <c r="P76" s="31">
        <v>0.43103448275862066</v>
      </c>
    </row>
    <row r="77" spans="1:16" x14ac:dyDescent="0.4">
      <c r="A77" s="33">
        <v>74</v>
      </c>
      <c r="B77" s="30">
        <v>225.59999999999997</v>
      </c>
      <c r="C77" s="30">
        <v>3.0486486486486482</v>
      </c>
      <c r="D77" s="35">
        <v>1.8783783783783783</v>
      </c>
      <c r="E77" s="31">
        <v>0.40540540540540543</v>
      </c>
      <c r="F77" s="31">
        <v>0.28378378378378377</v>
      </c>
      <c r="G77" s="31">
        <v>0.32427536231884058</v>
      </c>
      <c r="H77" s="31">
        <v>0.15760869565217392</v>
      </c>
      <c r="I77" s="32">
        <v>10396.089385474861</v>
      </c>
      <c r="J77" s="32">
        <v>-9535.6321839080465</v>
      </c>
      <c r="K77" s="31">
        <v>0.14864864864864866</v>
      </c>
      <c r="L77" s="31">
        <v>0.32629107981220656</v>
      </c>
      <c r="M77" s="31">
        <v>0.23708920187793428</v>
      </c>
      <c r="N77" s="31">
        <v>0.62589928057553956</v>
      </c>
      <c r="O77" s="31">
        <v>0.38613861386138615</v>
      </c>
      <c r="P77" s="31">
        <v>0.44134078212290501</v>
      </c>
    </row>
    <row r="78" spans="1:16" x14ac:dyDescent="0.4">
      <c r="A78" s="33">
        <v>75</v>
      </c>
      <c r="B78" s="30">
        <v>249.09999999999997</v>
      </c>
      <c r="C78" s="30">
        <v>3.321333333333333</v>
      </c>
      <c r="D78" s="35">
        <v>1.8666666666666667</v>
      </c>
      <c r="E78" s="31">
        <v>0.41333333333333333</v>
      </c>
      <c r="F78" s="31">
        <v>0.28000000000000003</v>
      </c>
      <c r="G78" s="31">
        <v>0.32379248658318427</v>
      </c>
      <c r="H78" s="31">
        <v>0.15921288014311269</v>
      </c>
      <c r="I78" s="32">
        <v>10487.292817679558</v>
      </c>
      <c r="J78" s="32">
        <v>-9415.7303370786522</v>
      </c>
      <c r="K78" s="31">
        <v>0.14666666666666667</v>
      </c>
      <c r="L78" s="31">
        <v>0.32563510392609701</v>
      </c>
      <c r="M78" s="31">
        <v>0.24018475750577367</v>
      </c>
      <c r="N78" s="31">
        <v>0.62411347517730498</v>
      </c>
      <c r="O78" s="31">
        <v>0.375</v>
      </c>
      <c r="P78" s="31">
        <v>0.44198895027624308</v>
      </c>
    </row>
    <row r="79" spans="1:16" x14ac:dyDescent="0.4">
      <c r="A79" s="33">
        <v>76</v>
      </c>
      <c r="B79" s="30">
        <v>243.29999999999995</v>
      </c>
      <c r="C79" s="30">
        <v>3.2013157894736834</v>
      </c>
      <c r="D79" s="35">
        <v>1.881578947368421</v>
      </c>
      <c r="E79" s="31">
        <v>0.40789473684210525</v>
      </c>
      <c r="F79" s="31">
        <v>0.28947368421052633</v>
      </c>
      <c r="G79" s="31">
        <v>0.32337434094903339</v>
      </c>
      <c r="H79" s="31">
        <v>0.15817223198594024</v>
      </c>
      <c r="I79" s="32">
        <v>10446.195652173914</v>
      </c>
      <c r="J79" s="32">
        <v>-9396.6666666666661</v>
      </c>
      <c r="K79" s="31">
        <v>0.14473684210526316</v>
      </c>
      <c r="L79" s="31">
        <v>0.31828442437923249</v>
      </c>
      <c r="M79" s="31">
        <v>0.24153498871331827</v>
      </c>
      <c r="N79" s="31">
        <v>0.62411347517730498</v>
      </c>
      <c r="O79" s="31">
        <v>0.38317757009345793</v>
      </c>
      <c r="P79" s="31">
        <v>0.43478260869565216</v>
      </c>
    </row>
    <row r="80" spans="1:16" x14ac:dyDescent="0.4">
      <c r="A80" s="33">
        <v>77</v>
      </c>
      <c r="B80" s="30">
        <v>240.29999999999995</v>
      </c>
      <c r="C80" s="30">
        <v>3.12077922077922</v>
      </c>
      <c r="D80" s="35">
        <v>1.8831168831168832</v>
      </c>
      <c r="E80" s="31">
        <v>0.40259740259740262</v>
      </c>
      <c r="F80" s="31">
        <v>0.2857142857142857</v>
      </c>
      <c r="G80" s="31">
        <v>0.32286212914485168</v>
      </c>
      <c r="H80" s="31">
        <v>0.15706806282722513</v>
      </c>
      <c r="I80" s="32">
        <v>10519.45945945946</v>
      </c>
      <c r="J80" s="32">
        <v>-9396.6666666666661</v>
      </c>
      <c r="K80" s="31">
        <v>0.14285714285714285</v>
      </c>
      <c r="L80" s="31">
        <v>0.31767337807606266</v>
      </c>
      <c r="M80" s="31">
        <v>0.24161073825503357</v>
      </c>
      <c r="N80" s="31">
        <v>0.61971830985915488</v>
      </c>
      <c r="O80" s="31">
        <v>0.3888888888888889</v>
      </c>
      <c r="P80" s="31">
        <v>0.43243243243243246</v>
      </c>
    </row>
    <row r="81" spans="1:16" x14ac:dyDescent="0.4">
      <c r="A81" s="33">
        <v>78</v>
      </c>
      <c r="B81" s="30">
        <v>233.59999999999997</v>
      </c>
      <c r="C81" s="30">
        <v>2.9948717948717944</v>
      </c>
      <c r="D81" s="35">
        <v>1.8974358974358974</v>
      </c>
      <c r="E81" s="31">
        <v>0.39743589743589741</v>
      </c>
      <c r="F81" s="31">
        <v>0.29487179487179488</v>
      </c>
      <c r="G81" s="31">
        <v>0.32068965517241377</v>
      </c>
      <c r="H81" s="31">
        <v>0.16034482758620688</v>
      </c>
      <c r="I81" s="32">
        <v>10548.924731182795</v>
      </c>
      <c r="J81" s="32">
        <v>-9246.2365591397847</v>
      </c>
      <c r="K81" s="31">
        <v>0.14102564102564102</v>
      </c>
      <c r="L81" s="31">
        <v>0.31277533039647576</v>
      </c>
      <c r="M81" s="31">
        <v>0.24008810572687225</v>
      </c>
      <c r="N81" s="31">
        <v>0.61971830985915488</v>
      </c>
      <c r="O81" s="31">
        <v>0.38532110091743121</v>
      </c>
      <c r="P81" s="31">
        <v>0.43548387096774194</v>
      </c>
    </row>
    <row r="82" spans="1:16" x14ac:dyDescent="0.4">
      <c r="A82" s="33">
        <v>79</v>
      </c>
      <c r="B82" s="30">
        <v>213.29999999999995</v>
      </c>
      <c r="C82" s="30">
        <v>2.6999999999999993</v>
      </c>
      <c r="D82" s="35">
        <v>1.9113924050632911</v>
      </c>
      <c r="E82" s="31">
        <v>0.39240506329113922</v>
      </c>
      <c r="F82" s="31">
        <v>0.30379746835443039</v>
      </c>
      <c r="G82" s="31">
        <v>0.31686541737649065</v>
      </c>
      <c r="H82" s="31">
        <v>0.16013628620102216</v>
      </c>
      <c r="I82" s="32">
        <v>10548.924731182795</v>
      </c>
      <c r="J82" s="32">
        <v>-9232.978723404256</v>
      </c>
      <c r="K82" s="31">
        <v>0.13924050632911392</v>
      </c>
      <c r="L82" s="31">
        <v>0.31019522776572667</v>
      </c>
      <c r="M82" s="31">
        <v>0.24078091106290672</v>
      </c>
      <c r="N82" s="31">
        <v>0.61538461538461542</v>
      </c>
      <c r="O82" s="31">
        <v>0.3783783783783784</v>
      </c>
      <c r="P82" s="31">
        <v>0.43548387096774194</v>
      </c>
    </row>
    <row r="83" spans="1:16" x14ac:dyDescent="0.4">
      <c r="A83" s="33">
        <v>80</v>
      </c>
      <c r="B83" s="30">
        <v>240.79999999999995</v>
      </c>
      <c r="C83" s="30">
        <v>3.0099999999999993</v>
      </c>
      <c r="D83" s="35">
        <v>1.9</v>
      </c>
      <c r="E83" s="31">
        <v>0.4</v>
      </c>
      <c r="F83" s="31">
        <v>0.3</v>
      </c>
      <c r="G83" s="31">
        <v>0.31818181818181818</v>
      </c>
      <c r="H83" s="31">
        <v>0.16161616161616163</v>
      </c>
      <c r="I83" s="32">
        <v>10635.449735449736</v>
      </c>
      <c r="J83" s="32">
        <v>-9240.625</v>
      </c>
      <c r="K83" s="31">
        <v>0.13750000000000001</v>
      </c>
      <c r="L83" s="31">
        <v>0.31196581196581197</v>
      </c>
      <c r="M83" s="31">
        <v>0.23931623931623933</v>
      </c>
      <c r="N83" s="31">
        <v>0.62328767123287676</v>
      </c>
      <c r="O83" s="31">
        <v>0.375</v>
      </c>
      <c r="P83" s="31">
        <v>0.43915343915343913</v>
      </c>
    </row>
    <row r="84" spans="1:16" x14ac:dyDescent="0.4">
      <c r="A84" s="33">
        <v>81</v>
      </c>
      <c r="B84" s="30">
        <v>246.49999999999994</v>
      </c>
      <c r="C84" s="30">
        <v>3.0432098765432092</v>
      </c>
      <c r="D84" s="35">
        <v>1.8888888888888888</v>
      </c>
      <c r="E84" s="31">
        <v>0.40740740740740738</v>
      </c>
      <c r="F84" s="31">
        <v>0.29629629629629628</v>
      </c>
      <c r="G84" s="31">
        <v>0.31893687707641194</v>
      </c>
      <c r="H84" s="31">
        <v>0.16279069767441862</v>
      </c>
      <c r="I84" s="32">
        <v>10533.854166666666</v>
      </c>
      <c r="J84" s="32">
        <v>-9227.5510204081638</v>
      </c>
      <c r="K84" s="31">
        <v>0.13580246913580246</v>
      </c>
      <c r="L84" s="31">
        <v>0.31512605042016806</v>
      </c>
      <c r="M84" s="31">
        <v>0.23949579831932774</v>
      </c>
      <c r="N84" s="31">
        <v>0.62</v>
      </c>
      <c r="O84" s="31">
        <v>0.37719298245614036</v>
      </c>
      <c r="P84" s="31">
        <v>0.4375</v>
      </c>
    </row>
    <row r="85" spans="1:16" x14ac:dyDescent="0.4">
      <c r="A85" s="33">
        <v>82</v>
      </c>
      <c r="B85" s="30">
        <v>259.69999999999993</v>
      </c>
      <c r="C85" s="30">
        <v>3.1670731707317064</v>
      </c>
      <c r="D85" s="35">
        <v>1.8780487804878048</v>
      </c>
      <c r="E85" s="31">
        <v>0.41463414634146339</v>
      </c>
      <c r="F85" s="31">
        <v>0.29268292682926828</v>
      </c>
      <c r="G85" s="31">
        <v>0.31967213114754101</v>
      </c>
      <c r="H85" s="31">
        <v>0.16229508196721312</v>
      </c>
      <c r="I85" s="32">
        <v>10501.025641025641</v>
      </c>
      <c r="J85" s="32">
        <v>-9186.8686868686873</v>
      </c>
      <c r="K85" s="31">
        <v>0.13414634146341464</v>
      </c>
      <c r="L85" s="31">
        <v>0.31198347107438018</v>
      </c>
      <c r="M85" s="31">
        <v>0.23966942148760331</v>
      </c>
      <c r="N85" s="31">
        <v>0.62251655629139069</v>
      </c>
      <c r="O85" s="31">
        <v>0.37068965517241381</v>
      </c>
      <c r="P85" s="31">
        <v>0.44102564102564101</v>
      </c>
    </row>
    <row r="86" spans="1:16" x14ac:dyDescent="0.4">
      <c r="A86" s="33">
        <v>83</v>
      </c>
      <c r="B86" s="30">
        <v>252.69999999999993</v>
      </c>
      <c r="C86" s="30">
        <v>3.0445783132530111</v>
      </c>
      <c r="D86" s="35">
        <v>1.8795180722891567</v>
      </c>
      <c r="E86" s="31">
        <v>0.40963855421686746</v>
      </c>
      <c r="F86" s="31">
        <v>0.28915662650602408</v>
      </c>
      <c r="G86" s="31">
        <v>0.31810766721044048</v>
      </c>
      <c r="H86" s="31">
        <v>0.16150081566068517</v>
      </c>
      <c r="I86" s="32">
        <v>10501.025641025641</v>
      </c>
      <c r="J86" s="32">
        <v>-9186.8686868686873</v>
      </c>
      <c r="K86" s="31">
        <v>0.13253012048192772</v>
      </c>
      <c r="L86" s="31">
        <v>0.31211498973305957</v>
      </c>
      <c r="M86" s="31">
        <v>0.2402464065708419</v>
      </c>
      <c r="N86" s="31">
        <v>0.61842105263157898</v>
      </c>
      <c r="O86" s="31">
        <v>0.36752136752136755</v>
      </c>
      <c r="P86" s="31">
        <v>0.44102564102564101</v>
      </c>
    </row>
    <row r="87" spans="1:16" x14ac:dyDescent="0.4">
      <c r="A87" s="33">
        <v>84</v>
      </c>
      <c r="B87" s="30">
        <v>272.99999999999994</v>
      </c>
      <c r="C87" s="30">
        <v>3.2499999999999991</v>
      </c>
      <c r="D87" s="35">
        <v>1.8809523809523809</v>
      </c>
      <c r="E87" s="31">
        <v>0.40476190476190477</v>
      </c>
      <c r="F87" s="31">
        <v>0.2857142857142857</v>
      </c>
      <c r="G87" s="31">
        <v>0.31781701444622795</v>
      </c>
      <c r="H87" s="31">
        <v>0.16051364365971107</v>
      </c>
      <c r="I87" s="32">
        <v>10479.797979797981</v>
      </c>
      <c r="J87" s="32">
        <v>-9215</v>
      </c>
      <c r="K87" s="31">
        <v>0.13095238095238096</v>
      </c>
      <c r="L87" s="31">
        <v>0.31991951710261568</v>
      </c>
      <c r="M87" s="31">
        <v>0.23742454728370221</v>
      </c>
      <c r="N87" s="31">
        <v>0.60377358490566035</v>
      </c>
      <c r="O87" s="31">
        <v>0.3728813559322034</v>
      </c>
      <c r="P87" s="31">
        <v>0.4494949494949495</v>
      </c>
    </row>
    <row r="88" spans="1:16" x14ac:dyDescent="0.4">
      <c r="A88" s="33">
        <v>85</v>
      </c>
      <c r="B88" s="30">
        <v>266.99999999999994</v>
      </c>
      <c r="C88" s="30">
        <v>3.1411764705882348</v>
      </c>
      <c r="D88" s="35">
        <v>1.8941176470588235</v>
      </c>
      <c r="E88" s="31">
        <v>0.4</v>
      </c>
      <c r="F88" s="31">
        <v>0.29411764705882354</v>
      </c>
      <c r="G88" s="31">
        <v>0.31537242472266241</v>
      </c>
      <c r="H88" s="31">
        <v>0.16006339144215531</v>
      </c>
      <c r="I88" s="32">
        <v>10507.537688442211</v>
      </c>
      <c r="J88" s="32">
        <v>-9242.574257425742</v>
      </c>
      <c r="K88" s="31">
        <v>0.12941176470588237</v>
      </c>
      <c r="L88" s="31">
        <v>0.31683168316831684</v>
      </c>
      <c r="M88" s="31">
        <v>0.23564356435643563</v>
      </c>
      <c r="N88" s="31">
        <v>0.60624999999999996</v>
      </c>
      <c r="O88" s="31">
        <v>0.36974789915966388</v>
      </c>
      <c r="P88" s="31">
        <v>0.45226130653266333</v>
      </c>
    </row>
    <row r="89" spans="1:16" x14ac:dyDescent="0.4">
      <c r="A89" s="33">
        <v>86</v>
      </c>
      <c r="B89" s="30">
        <v>240.79999999999995</v>
      </c>
      <c r="C89" s="30">
        <v>2.7999999999999994</v>
      </c>
      <c r="D89" s="35">
        <v>1.8953488372093024</v>
      </c>
      <c r="E89" s="31">
        <v>0.39534883720930231</v>
      </c>
      <c r="F89" s="31">
        <v>0.29069767441860467</v>
      </c>
      <c r="G89" s="31">
        <v>0.31357254290171604</v>
      </c>
      <c r="H89" s="31">
        <v>0.1606864274570983</v>
      </c>
      <c r="I89" s="32">
        <v>10467.661691542289</v>
      </c>
      <c r="J89" s="32">
        <v>-9230.0970873786409</v>
      </c>
      <c r="K89" s="31">
        <v>0.12790697674418605</v>
      </c>
      <c r="L89" s="31">
        <v>0.32038834951456313</v>
      </c>
      <c r="M89" s="31">
        <v>0.23300970873786409</v>
      </c>
      <c r="N89" s="31">
        <v>0.59393939393939399</v>
      </c>
      <c r="O89" s="31">
        <v>0.375</v>
      </c>
      <c r="P89" s="31">
        <v>0.45273631840796019</v>
      </c>
    </row>
    <row r="90" spans="1:16" x14ac:dyDescent="0.4">
      <c r="A90" s="33">
        <v>87</v>
      </c>
      <c r="B90" s="30">
        <v>276.79999999999995</v>
      </c>
      <c r="C90" s="30">
        <v>3.1816091954022983</v>
      </c>
      <c r="D90" s="35">
        <v>1.8850574712643677</v>
      </c>
      <c r="E90" s="31">
        <v>0.40229885057471265</v>
      </c>
      <c r="F90" s="31">
        <v>0.28735632183908044</v>
      </c>
      <c r="G90" s="31">
        <v>0.31327160493827161</v>
      </c>
      <c r="H90" s="31">
        <v>0.15895061728395063</v>
      </c>
      <c r="I90" s="32">
        <v>10561.576354679803</v>
      </c>
      <c r="J90" s="32">
        <v>-9230.0970873786409</v>
      </c>
      <c r="K90" s="31">
        <v>0.12643678160919541</v>
      </c>
      <c r="L90" s="31">
        <v>0.32183908045977011</v>
      </c>
      <c r="M90" s="31">
        <v>0.22988505747126436</v>
      </c>
      <c r="N90" s="31">
        <v>0.59523809523809523</v>
      </c>
      <c r="O90" s="31">
        <v>0.375</v>
      </c>
      <c r="P90" s="31">
        <v>0.45812807881773399</v>
      </c>
    </row>
    <row r="91" spans="1:16" x14ac:dyDescent="0.4">
      <c r="A91" s="33">
        <v>88</v>
      </c>
      <c r="B91" s="30">
        <v>277.09999999999997</v>
      </c>
      <c r="C91" s="30">
        <v>3.148863636363636</v>
      </c>
      <c r="D91" s="35">
        <v>1.8863636363636365</v>
      </c>
      <c r="E91" s="31">
        <v>0.39772727272727271</v>
      </c>
      <c r="F91" s="31">
        <v>0.28409090909090912</v>
      </c>
      <c r="G91" s="31">
        <v>0.31393568147013784</v>
      </c>
      <c r="H91" s="31">
        <v>0.15926493108728942</v>
      </c>
      <c r="I91" s="32">
        <v>10536.585365853658</v>
      </c>
      <c r="J91" s="32">
        <v>-9215.3846153846152</v>
      </c>
      <c r="K91" s="31">
        <v>0.125</v>
      </c>
      <c r="L91" s="31">
        <v>0.3206831119544592</v>
      </c>
      <c r="M91" s="31">
        <v>0.23339658444022771</v>
      </c>
      <c r="N91" s="31">
        <v>0.59171597633136097</v>
      </c>
      <c r="O91" s="31">
        <v>0.38211382113821141</v>
      </c>
      <c r="P91" s="31">
        <v>0.45853658536585368</v>
      </c>
    </row>
    <row r="92" spans="1:16" x14ac:dyDescent="0.4">
      <c r="A92" s="33">
        <v>89</v>
      </c>
      <c r="B92" s="30">
        <v>260.49999999999994</v>
      </c>
      <c r="C92" s="30">
        <v>2.9269662921348307</v>
      </c>
      <c r="D92" s="35">
        <v>1.898876404494382</v>
      </c>
      <c r="E92" s="31">
        <v>0.39325842696629215</v>
      </c>
      <c r="F92" s="31">
        <v>0.29213483146067415</v>
      </c>
      <c r="G92" s="31">
        <v>0.31316187594553707</v>
      </c>
      <c r="H92" s="31">
        <v>0.16187594553706505</v>
      </c>
      <c r="I92" s="32">
        <v>10512.077294685991</v>
      </c>
      <c r="J92" s="32">
        <v>-9065.4205607476633</v>
      </c>
      <c r="K92" s="31">
        <v>0.12359550561797752</v>
      </c>
      <c r="L92" s="31">
        <v>0.3252336448598131</v>
      </c>
      <c r="M92" s="31">
        <v>0.23177570093457944</v>
      </c>
      <c r="N92" s="31">
        <v>0.58620689655172409</v>
      </c>
      <c r="O92" s="31">
        <v>0.37903225806451613</v>
      </c>
      <c r="P92" s="31">
        <v>0.45410628019323673</v>
      </c>
    </row>
    <row r="93" spans="1:16" x14ac:dyDescent="0.4">
      <c r="A93" s="33">
        <v>90</v>
      </c>
      <c r="B93" s="30">
        <v>287.89999999999992</v>
      </c>
      <c r="C93" s="30">
        <v>3.198888888888888</v>
      </c>
      <c r="D93" s="35">
        <v>1.8888888888888888</v>
      </c>
      <c r="E93" s="31">
        <v>0.4</v>
      </c>
      <c r="F93" s="31">
        <v>0.28888888888888886</v>
      </c>
      <c r="G93" s="31">
        <v>0.31492537313432833</v>
      </c>
      <c r="H93" s="31">
        <v>0.16119402985074627</v>
      </c>
      <c r="I93" s="32">
        <v>10525.592417061611</v>
      </c>
      <c r="J93" s="32">
        <v>-9055.5555555555547</v>
      </c>
      <c r="K93" s="31">
        <v>0.12222222222222222</v>
      </c>
      <c r="L93" s="31">
        <v>0.32536764705882354</v>
      </c>
      <c r="M93" s="31">
        <v>0.23345588235294118</v>
      </c>
      <c r="N93" s="31">
        <v>0.58757062146892658</v>
      </c>
      <c r="O93" s="31">
        <v>0.38582677165354329</v>
      </c>
      <c r="P93" s="31">
        <v>0.45023696682464454</v>
      </c>
    </row>
    <row r="94" spans="1:16" x14ac:dyDescent="0.4">
      <c r="A94" s="33">
        <v>91</v>
      </c>
      <c r="B94" s="30">
        <v>253.39999999999992</v>
      </c>
      <c r="C94" s="30">
        <v>2.7846153846153836</v>
      </c>
      <c r="D94" s="35">
        <v>1.901098901098901</v>
      </c>
      <c r="E94" s="31">
        <v>0.39560439560439559</v>
      </c>
      <c r="F94" s="31">
        <v>0.2967032967032967</v>
      </c>
      <c r="G94" s="31">
        <v>0.31075110456553756</v>
      </c>
      <c r="H94" s="31">
        <v>0.16200294550810015</v>
      </c>
      <c r="I94" s="32">
        <v>10525.592417061611</v>
      </c>
      <c r="J94" s="32">
        <v>-9109.0909090909099</v>
      </c>
      <c r="K94" s="31">
        <v>0.12087912087912088</v>
      </c>
      <c r="L94" s="31">
        <v>0.32549728752260398</v>
      </c>
      <c r="M94" s="31">
        <v>0.22965641952983726</v>
      </c>
      <c r="N94" s="31">
        <v>0.57777777777777772</v>
      </c>
      <c r="O94" s="31">
        <v>0.38582677165354329</v>
      </c>
      <c r="P94" s="31">
        <v>0.45023696682464454</v>
      </c>
    </row>
    <row r="95" spans="1:16" x14ac:dyDescent="0.4">
      <c r="A95" s="33">
        <v>92</v>
      </c>
      <c r="B95" s="30">
        <v>279.59999999999991</v>
      </c>
      <c r="C95" s="30">
        <v>3.0391304347826078</v>
      </c>
      <c r="D95" s="35">
        <v>1.8913043478260869</v>
      </c>
      <c r="E95" s="31">
        <v>0.40217391304347827</v>
      </c>
      <c r="F95" s="31">
        <v>0.29347826086956524</v>
      </c>
      <c r="G95" s="31">
        <v>0.31259044862518087</v>
      </c>
      <c r="H95" s="31">
        <v>0.15918958031837915</v>
      </c>
      <c r="I95" s="32">
        <v>10476.851851851852</v>
      </c>
      <c r="J95" s="32">
        <v>-9109.0909090909099</v>
      </c>
      <c r="K95" s="31">
        <v>0.11956521739130435</v>
      </c>
      <c r="L95" s="31">
        <v>0.32035398230088497</v>
      </c>
      <c r="M95" s="31">
        <v>0.23185840707964603</v>
      </c>
      <c r="N95" s="31">
        <v>0.58011049723756902</v>
      </c>
      <c r="O95" s="31">
        <v>0.39694656488549618</v>
      </c>
      <c r="P95" s="31">
        <v>0.45833333333333331</v>
      </c>
    </row>
    <row r="96" spans="1:16" x14ac:dyDescent="0.4">
      <c r="A96" s="33">
        <v>93</v>
      </c>
      <c r="B96" s="30">
        <v>265.7999999999999</v>
      </c>
      <c r="C96" s="30">
        <v>2.8580645161290312</v>
      </c>
      <c r="D96" s="35">
        <v>1.903225806451613</v>
      </c>
      <c r="E96" s="31">
        <v>0.39784946236559138</v>
      </c>
      <c r="F96" s="31">
        <v>0.30107526881720431</v>
      </c>
      <c r="G96" s="31">
        <v>0.31196581196581197</v>
      </c>
      <c r="H96" s="31">
        <v>0.15954415954415954</v>
      </c>
      <c r="I96" s="32">
        <v>10417.808219178081</v>
      </c>
      <c r="J96" s="32">
        <v>-9088.3928571428569</v>
      </c>
      <c r="K96" s="31">
        <v>0.11827956989247312</v>
      </c>
      <c r="L96" s="31">
        <v>0.32291666666666669</v>
      </c>
      <c r="M96" s="31">
        <v>0.22916666666666666</v>
      </c>
      <c r="N96" s="31">
        <v>0.57526881720430112</v>
      </c>
      <c r="O96" s="31">
        <v>0.39393939393939392</v>
      </c>
      <c r="P96" s="31">
        <v>0.45662100456621002</v>
      </c>
    </row>
    <row r="97" spans="1:16" x14ac:dyDescent="0.4">
      <c r="A97" s="33">
        <v>94</v>
      </c>
      <c r="B97" s="30">
        <v>248.89999999999989</v>
      </c>
      <c r="C97" s="30">
        <v>2.6478723404255309</v>
      </c>
      <c r="D97" s="35">
        <v>1.9148936170212767</v>
      </c>
      <c r="E97" s="31">
        <v>0.39361702127659576</v>
      </c>
      <c r="F97" s="31">
        <v>0.30851063829787234</v>
      </c>
      <c r="G97" s="31">
        <v>0.3108298171589311</v>
      </c>
      <c r="H97" s="31">
        <v>0.16033755274261605</v>
      </c>
      <c r="I97" s="32">
        <v>10416.742081447965</v>
      </c>
      <c r="J97" s="32">
        <v>-9139.4736842105267</v>
      </c>
      <c r="K97" s="31">
        <v>0.11702127659574468</v>
      </c>
      <c r="L97" s="31">
        <v>0.31965811965811963</v>
      </c>
      <c r="M97" s="31">
        <v>0.22564102564102564</v>
      </c>
      <c r="N97" s="31">
        <v>0.57754010695187163</v>
      </c>
      <c r="O97" s="31">
        <v>0.39393939393939392</v>
      </c>
      <c r="P97" s="31">
        <v>0.45248868778280543</v>
      </c>
    </row>
    <row r="98" spans="1:16" x14ac:dyDescent="0.4">
      <c r="A98" s="33">
        <v>95</v>
      </c>
      <c r="B98" s="30">
        <v>223.49999999999989</v>
      </c>
      <c r="C98" s="30">
        <v>2.3526315789473671</v>
      </c>
      <c r="D98" s="35">
        <v>1.9263157894736842</v>
      </c>
      <c r="E98" s="31">
        <v>0.38947368421052631</v>
      </c>
      <c r="F98" s="31">
        <v>0.31578947368421051</v>
      </c>
      <c r="G98" s="31">
        <v>0.30929264909847431</v>
      </c>
      <c r="H98" s="31">
        <v>0.16088765603328711</v>
      </c>
      <c r="I98" s="32">
        <v>10395.067264573991</v>
      </c>
      <c r="J98" s="32">
        <v>-9154.310344827587</v>
      </c>
      <c r="K98" s="31">
        <v>0.11578947368421053</v>
      </c>
      <c r="L98" s="31">
        <v>0.31764705882352939</v>
      </c>
      <c r="M98" s="31">
        <v>0.22184873949579831</v>
      </c>
      <c r="N98" s="31">
        <v>0.57671957671957674</v>
      </c>
      <c r="O98" s="31">
        <v>0.39393939393939392</v>
      </c>
      <c r="P98" s="31">
        <v>0.45739910313901344</v>
      </c>
    </row>
    <row r="99" spans="1:16" x14ac:dyDescent="0.4">
      <c r="A99" s="33">
        <v>96</v>
      </c>
      <c r="B99" s="30">
        <v>235.99999999999989</v>
      </c>
      <c r="C99" s="30">
        <v>2.4583333333333321</v>
      </c>
      <c r="D99" s="35">
        <v>1.9270833333333333</v>
      </c>
      <c r="E99" s="31">
        <v>0.38541666666666669</v>
      </c>
      <c r="F99" s="31">
        <v>0.3125</v>
      </c>
      <c r="G99" s="31">
        <v>0.30727023319615915</v>
      </c>
      <c r="H99" s="31">
        <v>0.16186556927297668</v>
      </c>
      <c r="I99" s="32">
        <v>10509.375</v>
      </c>
      <c r="J99" s="32">
        <v>-9117.796610169491</v>
      </c>
      <c r="K99" s="31">
        <v>0.11458333333333333</v>
      </c>
      <c r="L99" s="31">
        <v>0.31509121061359868</v>
      </c>
      <c r="M99" s="31">
        <v>0.22222222222222221</v>
      </c>
      <c r="N99" s="31">
        <v>0.5736842105263158</v>
      </c>
      <c r="O99" s="31">
        <v>0.38805970149253732</v>
      </c>
      <c r="P99" s="31">
        <v>0.45535714285714285</v>
      </c>
    </row>
    <row r="100" spans="1:16" x14ac:dyDescent="0.4">
      <c r="A100" s="33">
        <v>97</v>
      </c>
      <c r="B100" s="30">
        <v>253.19999999999987</v>
      </c>
      <c r="C100" s="30">
        <v>2.6103092783505142</v>
      </c>
      <c r="D100" s="35">
        <v>1.9278350515463918</v>
      </c>
      <c r="E100" s="31">
        <v>0.38144329896907214</v>
      </c>
      <c r="F100" s="31">
        <v>0.30927835051546393</v>
      </c>
      <c r="G100" s="31">
        <v>0.30653950953678472</v>
      </c>
      <c r="H100" s="31">
        <v>0.16076294277929154</v>
      </c>
      <c r="I100" s="32">
        <v>10533.777777777777</v>
      </c>
      <c r="J100" s="32">
        <v>-9117.796610169491</v>
      </c>
      <c r="K100" s="31">
        <v>0.1134020618556701</v>
      </c>
      <c r="L100" s="31">
        <v>0.3125</v>
      </c>
      <c r="M100" s="31">
        <v>0.22368421052631579</v>
      </c>
      <c r="N100" s="31">
        <v>0.5736842105263158</v>
      </c>
      <c r="O100" s="31">
        <v>0.38235294117647056</v>
      </c>
      <c r="P100" s="31">
        <v>0.45777777777777778</v>
      </c>
    </row>
    <row r="101" spans="1:16" x14ac:dyDescent="0.4">
      <c r="A101" s="33">
        <v>98</v>
      </c>
      <c r="B101" s="30">
        <v>222.59999999999988</v>
      </c>
      <c r="C101" s="30">
        <v>2.27142857142857</v>
      </c>
      <c r="D101" s="35">
        <v>1.9387755102040816</v>
      </c>
      <c r="E101" s="31">
        <v>0.37755102040816324</v>
      </c>
      <c r="F101" s="31">
        <v>0.31632653061224492</v>
      </c>
      <c r="G101" s="31">
        <v>0.30364372469635625</v>
      </c>
      <c r="H101" s="31">
        <v>0.16194331983805668</v>
      </c>
      <c r="I101" s="32">
        <v>10533.777777777777</v>
      </c>
      <c r="J101" s="32">
        <v>-9120.8333333333339</v>
      </c>
      <c r="K101" s="31">
        <v>0.11224489795918367</v>
      </c>
      <c r="L101" s="31">
        <v>0.31382113821138213</v>
      </c>
      <c r="M101" s="31">
        <v>0.22276422764227644</v>
      </c>
      <c r="N101" s="31">
        <v>0.56476683937823835</v>
      </c>
      <c r="O101" s="31">
        <v>0.37956204379562042</v>
      </c>
      <c r="P101" s="31">
        <v>0.45777777777777778</v>
      </c>
    </row>
    <row r="102" spans="1:16" x14ac:dyDescent="0.4">
      <c r="A102" s="33">
        <v>99</v>
      </c>
      <c r="B102" s="30">
        <v>246.39999999999989</v>
      </c>
      <c r="C102" s="30">
        <v>2.4888888888888876</v>
      </c>
      <c r="D102" s="35">
        <v>1.9292929292929293</v>
      </c>
      <c r="E102" s="31">
        <v>0.38383838383838381</v>
      </c>
      <c r="F102" s="31">
        <v>0.31313131313131315</v>
      </c>
      <c r="G102" s="31">
        <v>0.3022636484687084</v>
      </c>
      <c r="H102" s="31">
        <v>0.16245006657789615</v>
      </c>
      <c r="I102" s="32">
        <v>10687.665198237886</v>
      </c>
      <c r="J102" s="32">
        <v>-9101.6393442622957</v>
      </c>
      <c r="K102" s="31">
        <v>0.1111111111111111</v>
      </c>
      <c r="L102" s="31">
        <v>0.31519999999999998</v>
      </c>
      <c r="M102" s="31">
        <v>0.2208</v>
      </c>
      <c r="N102" s="31">
        <v>0.56345177664974622</v>
      </c>
      <c r="O102" s="31">
        <v>0.37681159420289856</v>
      </c>
      <c r="P102" s="31">
        <v>0.46255506607929514</v>
      </c>
    </row>
    <row r="103" spans="1:16" x14ac:dyDescent="0.4">
      <c r="A103" s="33">
        <v>100</v>
      </c>
      <c r="B103" s="30">
        <v>253.89999999999989</v>
      </c>
      <c r="C103" s="30">
        <v>2.5389999999999988</v>
      </c>
      <c r="D103" s="35">
        <v>1.93</v>
      </c>
      <c r="E103" s="31">
        <v>0.38</v>
      </c>
      <c r="F103" s="31">
        <v>0.31</v>
      </c>
      <c r="G103" s="31">
        <v>0.30238726790450926</v>
      </c>
      <c r="H103" s="31">
        <v>0.16180371352785147</v>
      </c>
      <c r="I103" s="32">
        <v>10693.421052631578</v>
      </c>
      <c r="J103" s="32">
        <v>-9101.6393442622957</v>
      </c>
      <c r="K103" s="31">
        <v>0.11</v>
      </c>
      <c r="L103" s="31">
        <v>0.31528662420382164</v>
      </c>
      <c r="M103" s="31">
        <v>0.21974522292993631</v>
      </c>
      <c r="N103" s="31">
        <v>0.56565656565656564</v>
      </c>
      <c r="O103" s="31">
        <v>0.37681159420289856</v>
      </c>
      <c r="P103" s="31">
        <v>0.46052631578947367</v>
      </c>
    </row>
    <row r="104" spans="1:16" x14ac:dyDescent="0.4">
      <c r="A104" s="33">
        <v>101</v>
      </c>
      <c r="B104" s="30">
        <v>271.69999999999987</v>
      </c>
      <c r="C104" s="30">
        <v>2.6900990099009889</v>
      </c>
      <c r="D104" s="35">
        <v>1.9207920792079207</v>
      </c>
      <c r="E104" s="31">
        <v>0.38613861386138615</v>
      </c>
      <c r="F104" s="31">
        <v>0.30693069306930693</v>
      </c>
      <c r="G104" s="31">
        <v>0.30446194225721784</v>
      </c>
      <c r="H104" s="31">
        <v>0.16141732283464566</v>
      </c>
      <c r="I104" s="32">
        <v>10631.896551724138</v>
      </c>
      <c r="J104" s="32">
        <v>-9059.3495934959356</v>
      </c>
      <c r="K104" s="31">
        <v>0.10891089108910891</v>
      </c>
      <c r="L104" s="31">
        <v>0.31603773584905659</v>
      </c>
      <c r="M104" s="31">
        <v>0.22012578616352202</v>
      </c>
      <c r="N104" s="31">
        <v>0.56218905472636815</v>
      </c>
      <c r="O104" s="31">
        <v>0.38571428571428573</v>
      </c>
      <c r="P104" s="31">
        <v>0.45689655172413796</v>
      </c>
    </row>
    <row r="105" spans="1:16" x14ac:dyDescent="0.4">
      <c r="A105" s="33">
        <v>102</v>
      </c>
      <c r="B105" s="30">
        <v>249.89999999999986</v>
      </c>
      <c r="C105" s="30">
        <v>2.4499999999999988</v>
      </c>
      <c r="D105" s="35">
        <v>1.9313725490196079</v>
      </c>
      <c r="E105" s="31">
        <v>0.38235294117647056</v>
      </c>
      <c r="F105" s="31">
        <v>0.31372549019607843</v>
      </c>
      <c r="G105" s="31">
        <v>0.30429128738621586</v>
      </c>
      <c r="H105" s="31">
        <v>0.1625487646293888</v>
      </c>
      <c r="I105" s="32">
        <v>10560.68376068376</v>
      </c>
      <c r="J105" s="32">
        <v>-9063.2000000000007</v>
      </c>
      <c r="K105" s="31">
        <v>0.10784313725490197</v>
      </c>
      <c r="L105" s="31">
        <v>0.31259720062208396</v>
      </c>
      <c r="M105" s="31">
        <v>0.21928460342146189</v>
      </c>
      <c r="N105" s="31">
        <v>0.56218905472636815</v>
      </c>
      <c r="O105" s="31">
        <v>0.39007092198581561</v>
      </c>
      <c r="P105" s="31">
        <v>0.45299145299145299</v>
      </c>
    </row>
    <row r="106" spans="1:16" x14ac:dyDescent="0.4">
      <c r="A106" s="33">
        <v>103</v>
      </c>
      <c r="B106" s="30">
        <v>251.99999999999986</v>
      </c>
      <c r="C106" s="30">
        <v>2.4466019417475713</v>
      </c>
      <c r="D106" s="35">
        <v>1.9320388349514563</v>
      </c>
      <c r="E106" s="31">
        <v>0.37864077669902912</v>
      </c>
      <c r="F106" s="31">
        <v>0.31067961165048541</v>
      </c>
      <c r="G106" s="31">
        <v>0.30334190231362468</v>
      </c>
      <c r="H106" s="31">
        <v>0.16323907455012854</v>
      </c>
      <c r="I106" s="32">
        <v>10572.881355932202</v>
      </c>
      <c r="J106" s="32">
        <v>-9045.6692913385832</v>
      </c>
      <c r="K106" s="31">
        <v>0.10679611650485436</v>
      </c>
      <c r="L106" s="31">
        <v>0.31441717791411045</v>
      </c>
      <c r="M106" s="31">
        <v>0.21932515337423314</v>
      </c>
      <c r="N106" s="31">
        <v>0.55609756097560981</v>
      </c>
      <c r="O106" s="31">
        <v>0.38461538461538464</v>
      </c>
      <c r="P106" s="31">
        <v>0.45338983050847459</v>
      </c>
    </row>
    <row r="107" spans="1:16" x14ac:dyDescent="0.4">
      <c r="A107" s="33">
        <v>104</v>
      </c>
      <c r="B107" s="30">
        <v>257.59999999999985</v>
      </c>
      <c r="C107" s="30">
        <v>2.4769230769230757</v>
      </c>
      <c r="D107" s="35">
        <v>1.9326923076923077</v>
      </c>
      <c r="E107" s="31">
        <v>0.375</v>
      </c>
      <c r="F107" s="31">
        <v>0.30769230769230771</v>
      </c>
      <c r="G107" s="31">
        <v>0.30279898218829515</v>
      </c>
      <c r="H107" s="31">
        <v>0.16284987277353691</v>
      </c>
      <c r="I107" s="32">
        <v>10568.067226890757</v>
      </c>
      <c r="J107" s="32">
        <v>-9020.3125</v>
      </c>
      <c r="K107" s="31">
        <v>0.10576923076923077</v>
      </c>
      <c r="L107" s="31">
        <v>0.31515151515151513</v>
      </c>
      <c r="M107" s="31">
        <v>0.21666666666666667</v>
      </c>
      <c r="N107" s="31">
        <v>0.55769230769230771</v>
      </c>
      <c r="O107" s="31">
        <v>0.38461538461538464</v>
      </c>
      <c r="P107" s="31">
        <v>0.45378151260504201</v>
      </c>
    </row>
    <row r="108" spans="1:16" x14ac:dyDescent="0.4">
      <c r="A108" s="33">
        <v>105</v>
      </c>
      <c r="B108" s="30">
        <v>208.59999999999985</v>
      </c>
      <c r="C108" s="30">
        <v>1.9866666666666652</v>
      </c>
      <c r="D108" s="35">
        <v>1.9428571428571428</v>
      </c>
      <c r="E108" s="31">
        <v>0.37142857142857144</v>
      </c>
      <c r="F108" s="31">
        <v>0.31428571428571428</v>
      </c>
      <c r="G108" s="31">
        <v>0.30164765525982257</v>
      </c>
      <c r="H108" s="31">
        <v>0.16476552598225602</v>
      </c>
      <c r="I108" s="32">
        <v>10568.067226890757</v>
      </c>
      <c r="J108" s="32">
        <v>-9266.1538461538457</v>
      </c>
      <c r="K108" s="31">
        <v>0.11428571428571428</v>
      </c>
      <c r="L108" s="31">
        <v>0.31523378582202111</v>
      </c>
      <c r="M108" s="31">
        <v>0.21568627450980393</v>
      </c>
      <c r="N108" s="31">
        <v>0.55502392344497609</v>
      </c>
      <c r="O108" s="31">
        <v>0.38461538461538464</v>
      </c>
      <c r="P108" s="31">
        <v>0.45378151260504201</v>
      </c>
    </row>
    <row r="109" spans="1:16" x14ac:dyDescent="0.4">
      <c r="A109" s="33">
        <v>106</v>
      </c>
      <c r="B109" s="30">
        <v>193.19999999999985</v>
      </c>
      <c r="C109" s="30">
        <v>1.8226415094339607</v>
      </c>
      <c r="D109" s="35">
        <v>1.9433962264150944</v>
      </c>
      <c r="E109" s="31">
        <v>0.36792452830188677</v>
      </c>
      <c r="F109" s="31">
        <v>0.31132075471698112</v>
      </c>
      <c r="G109" s="31">
        <v>0.29937106918238993</v>
      </c>
      <c r="H109" s="31">
        <v>0.16477987421383647</v>
      </c>
      <c r="I109" s="32">
        <v>10568.067226890757</v>
      </c>
      <c r="J109" s="32">
        <v>-9217.5572519083962</v>
      </c>
      <c r="K109" s="31">
        <v>0.11320754716981132</v>
      </c>
      <c r="L109" s="31">
        <v>0.31390134529147984</v>
      </c>
      <c r="M109" s="31">
        <v>0.21674140508221226</v>
      </c>
      <c r="N109" s="31">
        <v>0.55238095238095242</v>
      </c>
      <c r="O109" s="31">
        <v>0.37931034482758619</v>
      </c>
      <c r="P109" s="31">
        <v>0.45378151260504201</v>
      </c>
    </row>
    <row r="110" spans="1:16" x14ac:dyDescent="0.4">
      <c r="A110" s="33">
        <v>107</v>
      </c>
      <c r="B110" s="30">
        <v>235.69999999999985</v>
      </c>
      <c r="C110" s="30">
        <v>2.2028037383177557</v>
      </c>
      <c r="D110" s="35">
        <v>1.9345794392523366</v>
      </c>
      <c r="E110" s="31">
        <v>0.37383177570093457</v>
      </c>
      <c r="F110" s="31">
        <v>0.30841121495327101</v>
      </c>
      <c r="G110" s="31">
        <v>0.30099502487562191</v>
      </c>
      <c r="H110" s="31">
        <v>0.16293532338308458</v>
      </c>
      <c r="I110" s="32">
        <v>10558.677685950413</v>
      </c>
      <c r="J110" s="32">
        <v>-9217.5572519083962</v>
      </c>
      <c r="K110" s="31">
        <v>0.11214953271028037</v>
      </c>
      <c r="L110" s="31">
        <v>0.3112094395280236</v>
      </c>
      <c r="M110" s="31">
        <v>0.21828908554572271</v>
      </c>
      <c r="N110" s="31">
        <v>0.5545023696682464</v>
      </c>
      <c r="O110" s="31">
        <v>0.38513513513513514</v>
      </c>
      <c r="P110" s="31">
        <v>0.4462809917355372</v>
      </c>
    </row>
    <row r="111" spans="1:16" x14ac:dyDescent="0.4">
      <c r="A111" s="33">
        <v>108</v>
      </c>
      <c r="B111" s="30">
        <v>244.69999999999985</v>
      </c>
      <c r="C111" s="30">
        <v>2.2657407407407395</v>
      </c>
      <c r="D111" s="35">
        <v>1.9351851851851851</v>
      </c>
      <c r="E111" s="31">
        <v>0.37037037037037035</v>
      </c>
      <c r="F111" s="31">
        <v>0.30555555555555558</v>
      </c>
      <c r="G111" s="31">
        <v>0.30172413793103448</v>
      </c>
      <c r="H111" s="31">
        <v>0.1625615763546798</v>
      </c>
      <c r="I111" s="32">
        <v>10495.510204081633</v>
      </c>
      <c r="J111" s="32">
        <v>-9171.9696969696961</v>
      </c>
      <c r="K111" s="31">
        <v>0.1111111111111111</v>
      </c>
      <c r="L111" s="31">
        <v>0.30903790087463556</v>
      </c>
      <c r="M111" s="31">
        <v>0.21865889212827988</v>
      </c>
      <c r="N111" s="31">
        <v>0.55660377358490565</v>
      </c>
      <c r="O111" s="31">
        <v>0.38</v>
      </c>
      <c r="P111" s="31">
        <v>0.44897959183673469</v>
      </c>
    </row>
    <row r="112" spans="1:16" x14ac:dyDescent="0.4">
      <c r="A112" s="33">
        <v>109</v>
      </c>
      <c r="B112" s="30">
        <v>185.79999999999984</v>
      </c>
      <c r="C112" s="30">
        <v>1.7045871559633012</v>
      </c>
      <c r="D112" s="35">
        <v>1.9449541284403671</v>
      </c>
      <c r="E112" s="31">
        <v>0.3669724770642202</v>
      </c>
      <c r="F112" s="31">
        <v>0.31192660550458717</v>
      </c>
      <c r="G112" s="31">
        <v>0.30121951219512194</v>
      </c>
      <c r="H112" s="31">
        <v>0.16219512195121952</v>
      </c>
      <c r="I112" s="32">
        <v>10437.246963562753</v>
      </c>
      <c r="J112" s="32">
        <v>-9283.458646616542</v>
      </c>
      <c r="K112" s="31">
        <v>0.11926605504587157</v>
      </c>
      <c r="L112" s="31">
        <v>0.3069164265129683</v>
      </c>
      <c r="M112" s="31">
        <v>0.21757925072046108</v>
      </c>
      <c r="N112" s="31">
        <v>0.5539906103286385</v>
      </c>
      <c r="O112" s="31">
        <v>0.37748344370860926</v>
      </c>
      <c r="P112" s="31">
        <v>0.44939271255060731</v>
      </c>
    </row>
    <row r="113" spans="1:16" x14ac:dyDescent="0.4">
      <c r="A113" s="33">
        <v>110</v>
      </c>
      <c r="B113" s="30">
        <v>226.49999999999983</v>
      </c>
      <c r="C113" s="30">
        <v>2.0590909090909078</v>
      </c>
      <c r="D113" s="35">
        <v>1.9363636363636363</v>
      </c>
      <c r="E113" s="31">
        <v>0.37272727272727274</v>
      </c>
      <c r="F113" s="31">
        <v>0.30909090909090908</v>
      </c>
      <c r="G113" s="31">
        <v>0.30240963855421688</v>
      </c>
      <c r="H113" s="31">
        <v>0.16144578313253011</v>
      </c>
      <c r="I113" s="32">
        <v>10457.768924302789</v>
      </c>
      <c r="J113" s="32">
        <v>-9252.9850746268658</v>
      </c>
      <c r="K113" s="31">
        <v>0.11818181818181818</v>
      </c>
      <c r="L113" s="31">
        <v>0.30539772727272729</v>
      </c>
      <c r="M113" s="31">
        <v>0.21875</v>
      </c>
      <c r="N113" s="31">
        <v>0.55813953488372092</v>
      </c>
      <c r="O113" s="31">
        <v>0.38311688311688313</v>
      </c>
      <c r="P113" s="31">
        <v>0.45019920318725098</v>
      </c>
    </row>
    <row r="114" spans="1:16" x14ac:dyDescent="0.4">
      <c r="A114" s="33">
        <v>111</v>
      </c>
      <c r="B114" s="30">
        <v>217.99999999999983</v>
      </c>
      <c r="C114" s="30">
        <v>1.9639639639639623</v>
      </c>
      <c r="D114" s="35">
        <v>1.9369369369369369</v>
      </c>
      <c r="E114" s="31">
        <v>0.36936936936936937</v>
      </c>
      <c r="F114" s="31">
        <v>0.30630630630630629</v>
      </c>
      <c r="G114" s="31">
        <v>0.30071599045346065</v>
      </c>
      <c r="H114" s="31">
        <v>0.16348448687350836</v>
      </c>
      <c r="I114" s="32">
        <v>10511.507936507936</v>
      </c>
      <c r="J114" s="32">
        <v>-9275.9124087591244</v>
      </c>
      <c r="K114" s="31">
        <v>0.11711711711711711</v>
      </c>
      <c r="L114" s="31">
        <v>0.3061797752808989</v>
      </c>
      <c r="M114" s="31">
        <v>0.21629213483146068</v>
      </c>
      <c r="N114" s="31">
        <v>0.55504587155963303</v>
      </c>
      <c r="O114" s="31">
        <v>0.38311688311688313</v>
      </c>
      <c r="P114" s="31">
        <v>0.44841269841269843</v>
      </c>
    </row>
    <row r="115" spans="1:16" x14ac:dyDescent="0.4">
      <c r="A115" s="33">
        <v>112</v>
      </c>
      <c r="B115" s="30">
        <v>226.49999999999983</v>
      </c>
      <c r="C115" s="30">
        <v>2.022321428571427</v>
      </c>
      <c r="D115" s="35">
        <v>1.9285714285714286</v>
      </c>
      <c r="E115" s="31">
        <v>0.375</v>
      </c>
      <c r="F115" s="31">
        <v>0.30357142857142855</v>
      </c>
      <c r="G115" s="31">
        <v>0.30106257378984652</v>
      </c>
      <c r="H115" s="31">
        <v>0.16292798110979928</v>
      </c>
      <c r="I115" s="32">
        <v>10497.64705882353</v>
      </c>
      <c r="J115" s="32">
        <v>-9266.6666666666661</v>
      </c>
      <c r="K115" s="31">
        <v>0.11607142857142858</v>
      </c>
      <c r="L115" s="31">
        <v>0.30651872399445212</v>
      </c>
      <c r="M115" s="31">
        <v>0.21359223300970873</v>
      </c>
      <c r="N115" s="31">
        <v>0.56108597285067874</v>
      </c>
      <c r="O115" s="31">
        <v>0.38311688311688313</v>
      </c>
      <c r="P115" s="31">
        <v>0.44313725490196076</v>
      </c>
    </row>
    <row r="116" spans="1:16" x14ac:dyDescent="0.4">
      <c r="A116" s="33">
        <v>113</v>
      </c>
      <c r="B116" s="30">
        <v>252.09999999999982</v>
      </c>
      <c r="C116" s="30">
        <v>2.230973451327432</v>
      </c>
      <c r="D116" s="35">
        <v>1.9203539823008851</v>
      </c>
      <c r="E116" s="31">
        <v>0.38053097345132741</v>
      </c>
      <c r="F116" s="31">
        <v>0.30088495575221241</v>
      </c>
      <c r="G116" s="31">
        <v>0.30292397660818715</v>
      </c>
      <c r="H116" s="31">
        <v>0.16257309941520467</v>
      </c>
      <c r="I116" s="32">
        <v>10469.111969111969</v>
      </c>
      <c r="J116" s="32">
        <v>-9257.5539568345321</v>
      </c>
      <c r="K116" s="31">
        <v>0.11504424778761062</v>
      </c>
      <c r="L116" s="31">
        <v>0.30452674897119342</v>
      </c>
      <c r="M116" s="31">
        <v>0.21536351165980797</v>
      </c>
      <c r="N116" s="31">
        <v>0.56306306306306309</v>
      </c>
      <c r="O116" s="31">
        <v>0.38216560509554143</v>
      </c>
      <c r="P116" s="31">
        <v>0.44401544401544402</v>
      </c>
    </row>
    <row r="117" spans="1:16" x14ac:dyDescent="0.4">
      <c r="A117" s="33">
        <v>114</v>
      </c>
      <c r="B117" s="30">
        <v>273.99999999999983</v>
      </c>
      <c r="C117" s="30">
        <v>2.4035087719298232</v>
      </c>
      <c r="D117" s="35">
        <v>1.9122807017543859</v>
      </c>
      <c r="E117" s="31">
        <v>0.38596491228070173</v>
      </c>
      <c r="F117" s="31">
        <v>0.2982456140350877</v>
      </c>
      <c r="G117" s="31">
        <v>0.30545876887340301</v>
      </c>
      <c r="H117" s="31">
        <v>0.16144018583042974</v>
      </c>
      <c r="I117" s="32">
        <v>10393.155893536121</v>
      </c>
      <c r="J117" s="32">
        <v>-9257.5539568345321</v>
      </c>
      <c r="K117" s="31">
        <v>0.11403508771929824</v>
      </c>
      <c r="L117" s="31">
        <v>0.30476190476190479</v>
      </c>
      <c r="M117" s="31">
        <v>0.21632653061224491</v>
      </c>
      <c r="N117" s="31">
        <v>0.5669642857142857</v>
      </c>
      <c r="O117" s="31">
        <v>0.38993710691823902</v>
      </c>
      <c r="P117" s="31">
        <v>0.44486692015209123</v>
      </c>
    </row>
    <row r="118" spans="1:16" x14ac:dyDescent="0.4">
      <c r="A118" s="33">
        <v>115</v>
      </c>
      <c r="B118" s="30">
        <v>264.69999999999982</v>
      </c>
      <c r="C118" s="30">
        <v>2.3017391304347812</v>
      </c>
      <c r="D118" s="35">
        <v>1.9130434782608696</v>
      </c>
      <c r="E118" s="31">
        <v>0.38260869565217392</v>
      </c>
      <c r="F118" s="31">
        <v>0.29565217391304349</v>
      </c>
      <c r="G118" s="31">
        <v>0.30334486735870819</v>
      </c>
      <c r="H118" s="31">
        <v>0.16032295271049596</v>
      </c>
      <c r="I118" s="32">
        <v>10393.155893536121</v>
      </c>
      <c r="J118" s="32">
        <v>-9257.5539568345321</v>
      </c>
      <c r="K118" s="31">
        <v>0.11304347826086956</v>
      </c>
      <c r="L118" s="31">
        <v>0.30364372469635625</v>
      </c>
      <c r="M118" s="31">
        <v>0.21592442645074225</v>
      </c>
      <c r="N118" s="31">
        <v>0.56444444444444442</v>
      </c>
      <c r="O118" s="31">
        <v>0.38750000000000001</v>
      </c>
      <c r="P118" s="31">
        <v>0.44486692015209123</v>
      </c>
    </row>
    <row r="119" spans="1:16" x14ac:dyDescent="0.4">
      <c r="A119" s="33">
        <v>116</v>
      </c>
      <c r="B119" s="30">
        <v>247.69999999999982</v>
      </c>
      <c r="C119" s="30">
        <v>2.1353448275862053</v>
      </c>
      <c r="D119" s="35">
        <v>1.9224137931034482</v>
      </c>
      <c r="E119" s="31">
        <v>0.37931034482758619</v>
      </c>
      <c r="F119" s="31">
        <v>0.30172413793103448</v>
      </c>
      <c r="G119" s="31">
        <v>0.30057142857142854</v>
      </c>
      <c r="H119" s="31">
        <v>0.16</v>
      </c>
      <c r="I119" s="32">
        <v>10393.155893536121</v>
      </c>
      <c r="J119" s="32">
        <v>-9198.5714285714294</v>
      </c>
      <c r="K119" s="31">
        <v>0.11206896551724138</v>
      </c>
      <c r="L119" s="31">
        <v>0.30307076101468627</v>
      </c>
      <c r="M119" s="31">
        <v>0.21495327102803738</v>
      </c>
      <c r="N119" s="31">
        <v>0.55947136563876654</v>
      </c>
      <c r="O119" s="31">
        <v>0.38509316770186336</v>
      </c>
      <c r="P119" s="31">
        <v>0.44486692015209123</v>
      </c>
    </row>
    <row r="120" spans="1:16" x14ac:dyDescent="0.4">
      <c r="A120" s="33">
        <v>117</v>
      </c>
      <c r="B120" s="30">
        <v>269.39999999999981</v>
      </c>
      <c r="C120" s="30">
        <v>2.302564102564101</v>
      </c>
      <c r="D120" s="35">
        <v>1.9145299145299146</v>
      </c>
      <c r="E120" s="31">
        <v>0.38461538461538464</v>
      </c>
      <c r="F120" s="31">
        <v>0.29914529914529914</v>
      </c>
      <c r="G120" s="31">
        <v>0.3009049773755656</v>
      </c>
      <c r="H120" s="31">
        <v>0.15837104072398189</v>
      </c>
      <c r="I120" s="32">
        <v>10393.233082706767</v>
      </c>
      <c r="J120" s="32">
        <v>-9198.5714285714294</v>
      </c>
      <c r="K120" s="31">
        <v>0.1111111111111111</v>
      </c>
      <c r="L120" s="31">
        <v>0.30211081794195249</v>
      </c>
      <c r="M120" s="31">
        <v>0.21240105540897097</v>
      </c>
      <c r="N120" s="31">
        <v>0.55895196506550215</v>
      </c>
      <c r="O120" s="31">
        <v>0.38509316770186336</v>
      </c>
      <c r="P120" s="31">
        <v>0.43984962406015038</v>
      </c>
    </row>
    <row r="121" spans="1:16" x14ac:dyDescent="0.4">
      <c r="A121" s="33">
        <v>118</v>
      </c>
      <c r="B121" s="30">
        <v>223.89999999999981</v>
      </c>
      <c r="C121" s="30">
        <v>1.8974576271186425</v>
      </c>
      <c r="D121" s="35">
        <v>1.923728813559322</v>
      </c>
      <c r="E121" s="31">
        <v>0.38135593220338981</v>
      </c>
      <c r="F121" s="31">
        <v>0.30508474576271188</v>
      </c>
      <c r="G121" s="31">
        <v>0.29988726042841035</v>
      </c>
      <c r="H121" s="31">
        <v>0.1600901916572717</v>
      </c>
      <c r="I121" s="32">
        <v>10393.233082706767</v>
      </c>
      <c r="J121" s="32">
        <v>-9322.5352112676064</v>
      </c>
      <c r="K121" s="31">
        <v>0.11864406779661017</v>
      </c>
      <c r="L121" s="31">
        <v>0.30223390275952694</v>
      </c>
      <c r="M121" s="31">
        <v>0.21156373193166886</v>
      </c>
      <c r="N121" s="31">
        <v>0.55652173913043479</v>
      </c>
      <c r="O121" s="31">
        <v>0.38509316770186336</v>
      </c>
      <c r="P121" s="31">
        <v>0.43984962406015038</v>
      </c>
    </row>
    <row r="122" spans="1:16" x14ac:dyDescent="0.4">
      <c r="A122" s="33">
        <v>119</v>
      </c>
      <c r="B122" s="30">
        <v>218.29999999999981</v>
      </c>
      <c r="C122" s="30">
        <v>1.8344537815126034</v>
      </c>
      <c r="D122" s="35">
        <v>1.9243697478991597</v>
      </c>
      <c r="E122" s="31">
        <v>0.37815126050420167</v>
      </c>
      <c r="F122" s="31">
        <v>0.30252100840336132</v>
      </c>
      <c r="G122" s="31">
        <v>0.30100334448160537</v>
      </c>
      <c r="H122" s="31">
        <v>0.15830546265328874</v>
      </c>
      <c r="I122" s="32">
        <v>10364.814814814816</v>
      </c>
      <c r="J122" s="32">
        <v>-9322.5352112676064</v>
      </c>
      <c r="K122" s="31">
        <v>0.11764705882352941</v>
      </c>
      <c r="L122" s="31">
        <v>0.29961089494163423</v>
      </c>
      <c r="M122" s="31">
        <v>0.21271076523994811</v>
      </c>
      <c r="N122" s="31">
        <v>0.55844155844155841</v>
      </c>
      <c r="O122" s="31">
        <v>0.3902439024390244</v>
      </c>
      <c r="P122" s="31">
        <v>0.43703703703703706</v>
      </c>
    </row>
    <row r="123" spans="1:16" x14ac:dyDescent="0.4">
      <c r="A123" s="33">
        <v>120</v>
      </c>
      <c r="B123" s="30">
        <v>197.79999999999981</v>
      </c>
      <c r="C123" s="30">
        <v>1.6483333333333319</v>
      </c>
      <c r="D123" s="35">
        <v>1.925</v>
      </c>
      <c r="E123" s="31">
        <v>0.375</v>
      </c>
      <c r="F123" s="31">
        <v>0.3</v>
      </c>
      <c r="G123" s="31">
        <v>0.29955947136563876</v>
      </c>
      <c r="H123" s="31">
        <v>0.16079295154185022</v>
      </c>
      <c r="I123" s="32">
        <v>10391.176470588236</v>
      </c>
      <c r="J123" s="32">
        <v>-9234.9315068493142</v>
      </c>
      <c r="K123" s="31">
        <v>0.11666666666666667</v>
      </c>
      <c r="L123" s="31">
        <v>0.29795396419437342</v>
      </c>
      <c r="M123" s="31">
        <v>0.21227621483375958</v>
      </c>
      <c r="N123" s="31">
        <v>0.5622317596566524</v>
      </c>
      <c r="O123" s="31">
        <v>0.38554216867469882</v>
      </c>
      <c r="P123" s="31">
        <v>0.4375</v>
      </c>
    </row>
    <row r="124" spans="1:16" x14ac:dyDescent="0.4">
      <c r="A124" s="33">
        <v>121</v>
      </c>
      <c r="B124" s="30">
        <v>171.59999999999982</v>
      </c>
      <c r="C124" s="30">
        <v>1.4181818181818167</v>
      </c>
      <c r="D124" s="35">
        <v>1.9338842975206612</v>
      </c>
      <c r="E124" s="31">
        <v>0.37190082644628097</v>
      </c>
      <c r="F124" s="31">
        <v>0.30578512396694213</v>
      </c>
      <c r="G124" s="31">
        <v>0.29803493449781659</v>
      </c>
      <c r="H124" s="31">
        <v>0.16157205240174671</v>
      </c>
      <c r="I124" s="32">
        <v>10360.439560439561</v>
      </c>
      <c r="J124" s="32">
        <v>-9226.3513513513517</v>
      </c>
      <c r="K124" s="31">
        <v>0.11570247933884298</v>
      </c>
      <c r="L124" s="31">
        <v>0.29620253164556964</v>
      </c>
      <c r="M124" s="31">
        <v>0.21518987341772153</v>
      </c>
      <c r="N124" s="31">
        <v>0.55982905982905984</v>
      </c>
      <c r="O124" s="31">
        <v>0.38235294117647056</v>
      </c>
      <c r="P124" s="31">
        <v>0.4358974358974359</v>
      </c>
    </row>
    <row r="125" spans="1:16" x14ac:dyDescent="0.4">
      <c r="A125" s="33">
        <v>122</v>
      </c>
      <c r="B125" s="30">
        <v>163.89999999999984</v>
      </c>
      <c r="C125" s="30">
        <v>1.3434426229508183</v>
      </c>
      <c r="D125" s="35">
        <v>1.9344262295081966</v>
      </c>
      <c r="E125" s="31">
        <v>0.36885245901639346</v>
      </c>
      <c r="F125" s="31">
        <v>0.30327868852459017</v>
      </c>
      <c r="G125" s="31">
        <v>0.29653679653679654</v>
      </c>
      <c r="H125" s="31">
        <v>0.16125541125541126</v>
      </c>
      <c r="I125" s="32">
        <v>10351.824817518249</v>
      </c>
      <c r="J125" s="32">
        <v>-9190.6040268456381</v>
      </c>
      <c r="K125" s="31">
        <v>0.11475409836065574</v>
      </c>
      <c r="L125" s="31">
        <v>0.29448621553884713</v>
      </c>
      <c r="M125" s="31">
        <v>0.21679197994987467</v>
      </c>
      <c r="N125" s="31">
        <v>0.55744680851063833</v>
      </c>
      <c r="O125" s="31">
        <v>0.38150289017341038</v>
      </c>
      <c r="P125" s="31">
        <v>0.43430656934306572</v>
      </c>
    </row>
    <row r="126" spans="1:16" x14ac:dyDescent="0.4">
      <c r="A126" s="33">
        <v>123</v>
      </c>
      <c r="B126" s="30">
        <v>203.39999999999984</v>
      </c>
      <c r="C126" s="30">
        <v>1.6536585365853644</v>
      </c>
      <c r="D126" s="35">
        <v>1.9268292682926829</v>
      </c>
      <c r="E126" s="31">
        <v>0.37398373983739835</v>
      </c>
      <c r="F126" s="31">
        <v>0.30081300813008133</v>
      </c>
      <c r="G126" s="31">
        <v>0.29871520342612418</v>
      </c>
      <c r="H126" s="31">
        <v>0.16059957173447537</v>
      </c>
      <c r="I126" s="32">
        <v>10381.362007168458</v>
      </c>
      <c r="J126" s="32">
        <v>-9180.6666666666661</v>
      </c>
      <c r="K126" s="31">
        <v>0.11382113821138211</v>
      </c>
      <c r="L126" s="31">
        <v>0.29702970297029702</v>
      </c>
      <c r="M126" s="31">
        <v>0.21534653465346534</v>
      </c>
      <c r="N126" s="31">
        <v>0.55833333333333335</v>
      </c>
      <c r="O126" s="31">
        <v>0.37931034482758619</v>
      </c>
      <c r="P126" s="31">
        <v>0.43727598566308246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71017-1D14-4B4B-A939-32F4BE9FE60A}">
  <sheetPr codeName="Sheet20"/>
  <dimension ref="A1:Q8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68.2</v>
      </c>
      <c r="C4" s="30">
        <v>68.2</v>
      </c>
      <c r="D4" s="35">
        <v>1</v>
      </c>
      <c r="E4" s="31">
        <v>1</v>
      </c>
      <c r="F4" s="31">
        <v>0</v>
      </c>
      <c r="G4" s="31">
        <v>0.5714285714285714</v>
      </c>
      <c r="H4" s="31">
        <v>0</v>
      </c>
      <c r="I4" s="32">
        <v>15300</v>
      </c>
      <c r="J4" s="32">
        <v>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58.5</v>
      </c>
      <c r="C5" s="30">
        <v>29.25</v>
      </c>
      <c r="D5" s="35">
        <v>2</v>
      </c>
      <c r="E5" s="31">
        <v>0.5</v>
      </c>
      <c r="F5" s="31">
        <v>0.5</v>
      </c>
      <c r="G5" s="31">
        <v>0.3</v>
      </c>
      <c r="H5" s="31">
        <v>0.15</v>
      </c>
      <c r="I5" s="32">
        <v>17533.333333333332</v>
      </c>
      <c r="J5" s="32">
        <v>-5733.333333333333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0.33333333333333331</v>
      </c>
    </row>
    <row r="6" spans="1:17" x14ac:dyDescent="0.4">
      <c r="A6" s="33">
        <v>3</v>
      </c>
      <c r="B6" s="30">
        <v>82.1</v>
      </c>
      <c r="C6" s="30">
        <v>27.366666666666664</v>
      </c>
      <c r="D6" s="35">
        <v>1.6666666666666667</v>
      </c>
      <c r="E6" s="31">
        <v>0.66666666666666663</v>
      </c>
      <c r="F6" s="31">
        <v>0.33333333333333331</v>
      </c>
      <c r="G6" s="31">
        <v>0.32</v>
      </c>
      <c r="H6" s="31">
        <v>0.12</v>
      </c>
      <c r="I6" s="32">
        <v>16400</v>
      </c>
      <c r="J6" s="32">
        <v>-5733.333333333333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0.375</v>
      </c>
    </row>
    <row r="7" spans="1:17" x14ac:dyDescent="0.4">
      <c r="A7" s="33">
        <v>4</v>
      </c>
      <c r="B7" s="30">
        <v>57.699999999999996</v>
      </c>
      <c r="C7" s="30">
        <v>14.424999999999999</v>
      </c>
      <c r="D7" s="35">
        <v>1.75</v>
      </c>
      <c r="E7" s="31">
        <v>0.5</v>
      </c>
      <c r="F7" s="31">
        <v>0.25</v>
      </c>
      <c r="G7" s="31">
        <v>0.28947368421052633</v>
      </c>
      <c r="H7" s="31">
        <v>0.21052631578947367</v>
      </c>
      <c r="I7" s="32">
        <v>14372.727272727272</v>
      </c>
      <c r="J7" s="32">
        <v>-7337.5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0.45454545454545453</v>
      </c>
    </row>
    <row r="8" spans="1:17" x14ac:dyDescent="0.4">
      <c r="A8" s="33">
        <v>5</v>
      </c>
      <c r="B8" s="30">
        <v>123.69999999999999</v>
      </c>
      <c r="C8" s="30">
        <v>24.74</v>
      </c>
      <c r="D8" s="35">
        <v>1.6</v>
      </c>
      <c r="E8" s="31">
        <v>0.6</v>
      </c>
      <c r="F8" s="31">
        <v>0.2</v>
      </c>
      <c r="G8" s="31">
        <v>0.32558139534883723</v>
      </c>
      <c r="H8" s="31">
        <v>0.20930232558139536</v>
      </c>
      <c r="I8" s="32">
        <v>16721.428571428572</v>
      </c>
      <c r="J8" s="32">
        <v>-7411.1111111111113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0.5</v>
      </c>
    </row>
    <row r="9" spans="1:17" x14ac:dyDescent="0.4">
      <c r="A9" s="33">
        <v>6</v>
      </c>
      <c r="B9" s="30">
        <v>125.19999999999999</v>
      </c>
      <c r="C9" s="30">
        <v>20.866666666666664</v>
      </c>
      <c r="D9" s="35">
        <v>1.6666666666666667</v>
      </c>
      <c r="E9" s="31">
        <v>0.5</v>
      </c>
      <c r="F9" s="31">
        <v>0.16666666666666666</v>
      </c>
      <c r="G9" s="31">
        <v>0.30434782608695654</v>
      </c>
      <c r="H9" s="31">
        <v>0.19565217391304349</v>
      </c>
      <c r="I9" s="32">
        <v>16721.428571428572</v>
      </c>
      <c r="J9" s="32">
        <v>-7411.1111111111113</v>
      </c>
      <c r="K9" s="31">
        <v>0</v>
      </c>
      <c r="L9" s="31">
        <v>0</v>
      </c>
      <c r="M9" s="31">
        <v>0</v>
      </c>
      <c r="N9" s="31">
        <v>0</v>
      </c>
      <c r="O9" s="31">
        <v>0</v>
      </c>
      <c r="P9" s="31">
        <v>0.5</v>
      </c>
    </row>
    <row r="10" spans="1:17" x14ac:dyDescent="0.4">
      <c r="A10" s="33">
        <v>7</v>
      </c>
      <c r="B10" s="30">
        <v>129</v>
      </c>
      <c r="C10" s="30">
        <v>18.428571428571427</v>
      </c>
      <c r="D10" s="35">
        <v>1.5714285714285714</v>
      </c>
      <c r="E10" s="31">
        <v>0.5714285714285714</v>
      </c>
      <c r="F10" s="31">
        <v>0.14285714285714285</v>
      </c>
      <c r="G10" s="31">
        <v>0.33333333333333331</v>
      </c>
      <c r="H10" s="31">
        <v>0.18518518518518517</v>
      </c>
      <c r="I10" s="32">
        <v>14777.777777777777</v>
      </c>
      <c r="J10" s="32">
        <v>-8270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0.55555555555555558</v>
      </c>
    </row>
    <row r="11" spans="1:17" x14ac:dyDescent="0.4">
      <c r="A11" s="33">
        <v>8</v>
      </c>
      <c r="B11" s="30">
        <v>96.5</v>
      </c>
      <c r="C11" s="30">
        <v>12.0625</v>
      </c>
      <c r="D11" s="35">
        <v>1.75</v>
      </c>
      <c r="E11" s="31">
        <v>0.5</v>
      </c>
      <c r="F11" s="31">
        <v>0.25</v>
      </c>
      <c r="G11" s="31">
        <v>0.30508474576271188</v>
      </c>
      <c r="H11" s="31">
        <v>0.1864406779661017</v>
      </c>
      <c r="I11" s="32">
        <v>14777.777777777777</v>
      </c>
      <c r="J11" s="32">
        <v>-8609.0909090909099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0.55555555555555558</v>
      </c>
    </row>
    <row r="12" spans="1:17" x14ac:dyDescent="0.4">
      <c r="A12" s="33">
        <v>9</v>
      </c>
      <c r="B12" s="30">
        <v>82.8</v>
      </c>
      <c r="C12" s="30">
        <v>9.1999999999999993</v>
      </c>
      <c r="D12" s="35">
        <v>1.8888888888888888</v>
      </c>
      <c r="E12" s="31">
        <v>0.44444444444444442</v>
      </c>
      <c r="F12" s="31">
        <v>0.33333333333333331</v>
      </c>
      <c r="G12" s="31">
        <v>0.2857142857142857</v>
      </c>
      <c r="H12" s="31">
        <v>0.21428571428571427</v>
      </c>
      <c r="I12" s="32">
        <v>14005</v>
      </c>
      <c r="J12" s="32">
        <v>-7466.666666666667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0.55000000000000004</v>
      </c>
    </row>
    <row r="13" spans="1:17" x14ac:dyDescent="0.4">
      <c r="A13" s="33">
        <v>10</v>
      </c>
      <c r="B13" s="30">
        <v>110.5</v>
      </c>
      <c r="C13" s="30">
        <v>11.05</v>
      </c>
      <c r="D13" s="35">
        <v>1.8</v>
      </c>
      <c r="E13" s="31">
        <v>0.5</v>
      </c>
      <c r="F13" s="31">
        <v>0.3</v>
      </c>
      <c r="G13" s="31">
        <v>0.29870129870129869</v>
      </c>
      <c r="H13" s="31">
        <v>0.20779220779220781</v>
      </c>
      <c r="I13" s="32">
        <v>14004.347826086956</v>
      </c>
      <c r="J13" s="32">
        <v>-7125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0.52173913043478259</v>
      </c>
    </row>
    <row r="14" spans="1:17" x14ac:dyDescent="0.4">
      <c r="A14" s="33">
        <v>11</v>
      </c>
      <c r="B14" s="30">
        <v>71.599999999999994</v>
      </c>
      <c r="C14" s="30">
        <v>6.5090909090909088</v>
      </c>
      <c r="D14" s="35">
        <v>1.9090909090909092</v>
      </c>
      <c r="E14" s="31">
        <v>0.45454545454545453</v>
      </c>
      <c r="F14" s="31">
        <v>0.36363636363636365</v>
      </c>
      <c r="G14" s="31">
        <v>0.27906976744186046</v>
      </c>
      <c r="H14" s="31">
        <v>0.22093023255813954</v>
      </c>
      <c r="I14" s="32">
        <v>13508.333333333334</v>
      </c>
      <c r="J14" s="32">
        <v>-7557.894736842105</v>
      </c>
      <c r="K14" s="31">
        <v>9.0909090909090912E-2</v>
      </c>
      <c r="L14" s="31">
        <v>0</v>
      </c>
      <c r="M14" s="31">
        <v>0</v>
      </c>
      <c r="N14" s="31">
        <v>0</v>
      </c>
      <c r="O14" s="31">
        <v>0</v>
      </c>
      <c r="P14" s="31">
        <v>0.54166666666666663</v>
      </c>
    </row>
    <row r="15" spans="1:17" x14ac:dyDescent="0.4">
      <c r="A15" s="33">
        <v>12</v>
      </c>
      <c r="B15" s="30">
        <v>33.599999999999994</v>
      </c>
      <c r="C15" s="30">
        <v>2.7999999999999994</v>
      </c>
      <c r="D15" s="35">
        <v>2</v>
      </c>
      <c r="E15" s="31">
        <v>0.41666666666666669</v>
      </c>
      <c r="F15" s="31">
        <v>0.41666666666666669</v>
      </c>
      <c r="G15" s="31">
        <v>0.26666666666666666</v>
      </c>
      <c r="H15" s="31">
        <v>0.22222222222222221</v>
      </c>
      <c r="I15" s="32">
        <v>13508.333333333334</v>
      </c>
      <c r="J15" s="32">
        <v>-7780</v>
      </c>
      <c r="K15" s="31">
        <v>0.16666666666666666</v>
      </c>
      <c r="L15" s="31">
        <v>0</v>
      </c>
      <c r="M15" s="31">
        <v>0</v>
      </c>
      <c r="N15" s="31">
        <v>0</v>
      </c>
      <c r="O15" s="31">
        <v>0</v>
      </c>
      <c r="P15" s="31">
        <v>0.54166666666666663</v>
      </c>
    </row>
    <row r="16" spans="1:17" x14ac:dyDescent="0.4">
      <c r="A16" s="33">
        <v>13</v>
      </c>
      <c r="B16" s="30">
        <v>13.299999999999994</v>
      </c>
      <c r="C16" s="30">
        <v>1.0230769230769226</v>
      </c>
      <c r="D16" s="35">
        <v>2</v>
      </c>
      <c r="E16" s="31">
        <v>0.38461538461538464</v>
      </c>
      <c r="F16" s="31">
        <v>0.38461538461538464</v>
      </c>
      <c r="G16" s="31">
        <v>0.27</v>
      </c>
      <c r="H16" s="31">
        <v>0.22</v>
      </c>
      <c r="I16" s="32">
        <v>12940.740740740741</v>
      </c>
      <c r="J16" s="32">
        <v>-7709.090909090909</v>
      </c>
      <c r="K16" s="31">
        <v>0.15384615384615385</v>
      </c>
      <c r="L16" s="31">
        <v>0</v>
      </c>
      <c r="M16" s="31">
        <v>0</v>
      </c>
      <c r="N16" s="31">
        <v>0</v>
      </c>
      <c r="O16" s="31">
        <v>0</v>
      </c>
      <c r="P16" s="31">
        <v>0.48148148148148145</v>
      </c>
    </row>
    <row r="17" spans="1:16" x14ac:dyDescent="0.4">
      <c r="A17" s="33">
        <v>14</v>
      </c>
      <c r="B17" s="30">
        <v>4.7999999999999936</v>
      </c>
      <c r="C17" s="30">
        <v>0.34285714285714242</v>
      </c>
      <c r="D17" s="35">
        <v>2</v>
      </c>
      <c r="E17" s="31">
        <v>0.35714285714285715</v>
      </c>
      <c r="F17" s="31">
        <v>0.35714285714285715</v>
      </c>
      <c r="G17" s="31">
        <v>0.25961538461538464</v>
      </c>
      <c r="H17" s="31">
        <v>0.21153846153846154</v>
      </c>
      <c r="I17" s="32">
        <v>12940.740740740741</v>
      </c>
      <c r="J17" s="32">
        <v>-7709.090909090909</v>
      </c>
      <c r="K17" s="31">
        <v>0.14285714285714285</v>
      </c>
      <c r="L17" s="31">
        <v>0</v>
      </c>
      <c r="M17" s="31">
        <v>0</v>
      </c>
      <c r="N17" s="31">
        <v>0</v>
      </c>
      <c r="O17" s="31">
        <v>0</v>
      </c>
      <c r="P17" s="31">
        <v>0.48148148148148145</v>
      </c>
    </row>
    <row r="18" spans="1:16" x14ac:dyDescent="0.4">
      <c r="A18" s="33">
        <v>15</v>
      </c>
      <c r="B18" s="30">
        <v>-33.700000000000003</v>
      </c>
      <c r="C18" s="30">
        <v>-2.246666666666667</v>
      </c>
      <c r="D18" s="35">
        <v>2.0666666666666669</v>
      </c>
      <c r="E18" s="31">
        <v>0.33333333333333331</v>
      </c>
      <c r="F18" s="31">
        <v>0.4</v>
      </c>
      <c r="G18" s="31">
        <v>0.25</v>
      </c>
      <c r="H18" s="31">
        <v>0.20535714285714285</v>
      </c>
      <c r="I18" s="32">
        <v>12764.285714285714</v>
      </c>
      <c r="J18" s="32">
        <v>-7895.652173913043</v>
      </c>
      <c r="K18" s="31">
        <v>0.2</v>
      </c>
      <c r="L18" s="31">
        <v>0</v>
      </c>
      <c r="M18" s="31">
        <v>0</v>
      </c>
      <c r="N18" s="31">
        <v>0</v>
      </c>
      <c r="O18" s="31">
        <v>0</v>
      </c>
      <c r="P18" s="31">
        <v>0.4642857142857143</v>
      </c>
    </row>
    <row r="19" spans="1:16" x14ac:dyDescent="0.4">
      <c r="A19" s="33">
        <v>16</v>
      </c>
      <c r="B19" s="30">
        <v>-45.300000000000004</v>
      </c>
      <c r="C19" s="30">
        <v>-2.8312500000000003</v>
      </c>
      <c r="D19" s="35">
        <v>2.125</v>
      </c>
      <c r="E19" s="31">
        <v>0.3125</v>
      </c>
      <c r="F19" s="31">
        <v>0.4375</v>
      </c>
      <c r="G19" s="31">
        <v>0.25210084033613445</v>
      </c>
      <c r="H19" s="31">
        <v>0.21848739495798319</v>
      </c>
      <c r="I19" s="32">
        <v>12580</v>
      </c>
      <c r="J19" s="32">
        <v>-8123.0769230769229</v>
      </c>
      <c r="K19" s="31">
        <v>0.1875</v>
      </c>
      <c r="L19" s="31">
        <v>0</v>
      </c>
      <c r="M19" s="31">
        <v>0</v>
      </c>
      <c r="N19" s="31">
        <v>0</v>
      </c>
      <c r="O19" s="31">
        <v>0</v>
      </c>
      <c r="P19" s="31">
        <v>0.5</v>
      </c>
    </row>
    <row r="20" spans="1:16" x14ac:dyDescent="0.4">
      <c r="A20" s="33">
        <v>17</v>
      </c>
      <c r="B20" s="30">
        <v>-45.000000000000007</v>
      </c>
      <c r="C20" s="30">
        <v>-2.6470588235294121</v>
      </c>
      <c r="D20" s="35">
        <v>2.1176470588235294</v>
      </c>
      <c r="E20" s="31">
        <v>0.29411764705882354</v>
      </c>
      <c r="F20" s="31">
        <v>0.41176470588235292</v>
      </c>
      <c r="G20" s="31">
        <v>0.25196850393700787</v>
      </c>
      <c r="H20" s="31">
        <v>0.22047244094488189</v>
      </c>
      <c r="I20" s="32">
        <v>12206.25</v>
      </c>
      <c r="J20" s="32">
        <v>-7682.1428571428569</v>
      </c>
      <c r="K20" s="31">
        <v>0.17647058823529413</v>
      </c>
      <c r="L20" s="31">
        <v>0</v>
      </c>
      <c r="M20" s="31">
        <v>0</v>
      </c>
      <c r="N20" s="31">
        <v>0</v>
      </c>
      <c r="O20" s="31">
        <v>0</v>
      </c>
      <c r="P20" s="31">
        <v>0.46875</v>
      </c>
    </row>
    <row r="21" spans="1:16" x14ac:dyDescent="0.4">
      <c r="A21" s="33">
        <v>18</v>
      </c>
      <c r="B21" s="30">
        <v>-30.300000000000008</v>
      </c>
      <c r="C21" s="30">
        <v>-1.6833333333333338</v>
      </c>
      <c r="D21" s="35">
        <v>2.1111111111111112</v>
      </c>
      <c r="E21" s="31">
        <v>0.27777777777777779</v>
      </c>
      <c r="F21" s="31">
        <v>0.3888888888888889</v>
      </c>
      <c r="G21" s="31">
        <v>0.27007299270072993</v>
      </c>
      <c r="H21" s="31">
        <v>0.20437956204379562</v>
      </c>
      <c r="I21" s="32">
        <v>11521.621621621622</v>
      </c>
      <c r="J21" s="32">
        <v>-7682.1428571428569</v>
      </c>
      <c r="K21" s="31">
        <v>0.16666666666666666</v>
      </c>
      <c r="L21" s="31">
        <v>0</v>
      </c>
      <c r="M21" s="31">
        <v>0</v>
      </c>
      <c r="N21" s="31">
        <v>0</v>
      </c>
      <c r="O21" s="31">
        <v>0</v>
      </c>
      <c r="P21" s="31">
        <v>0.45945945945945948</v>
      </c>
    </row>
    <row r="22" spans="1:16" x14ac:dyDescent="0.4">
      <c r="A22" s="33">
        <v>19</v>
      </c>
      <c r="B22" s="30">
        <v>17.699999999999992</v>
      </c>
      <c r="C22" s="30">
        <v>0.93157894736842062</v>
      </c>
      <c r="D22" s="35">
        <v>2.0526315789473686</v>
      </c>
      <c r="E22" s="31">
        <v>0.31578947368421051</v>
      </c>
      <c r="F22" s="31">
        <v>0.36842105263157893</v>
      </c>
      <c r="G22" s="31">
        <v>0.27536231884057971</v>
      </c>
      <c r="H22" s="31">
        <v>0.20289855072463769</v>
      </c>
      <c r="I22" s="32">
        <v>12481.578947368422</v>
      </c>
      <c r="J22" s="32">
        <v>-7682.1428571428569</v>
      </c>
      <c r="K22" s="31">
        <v>0.15789473684210525</v>
      </c>
      <c r="L22" s="31">
        <v>0</v>
      </c>
      <c r="M22" s="31">
        <v>0</v>
      </c>
      <c r="N22" s="31">
        <v>0</v>
      </c>
      <c r="O22" s="31">
        <v>0</v>
      </c>
      <c r="P22" s="31">
        <v>0.44736842105263158</v>
      </c>
    </row>
    <row r="23" spans="1:16" x14ac:dyDescent="0.4">
      <c r="A23" s="33">
        <v>20</v>
      </c>
      <c r="B23" s="30">
        <v>-24.100000000000005</v>
      </c>
      <c r="C23" s="30">
        <v>-1.2050000000000003</v>
      </c>
      <c r="D23" s="35">
        <v>2.1</v>
      </c>
      <c r="E23" s="31">
        <v>0.3</v>
      </c>
      <c r="F23" s="31">
        <v>0.4</v>
      </c>
      <c r="G23" s="31">
        <v>0.26573426573426573</v>
      </c>
      <c r="H23" s="31">
        <v>0.20979020979020979</v>
      </c>
      <c r="I23" s="32">
        <v>12481.578947368422</v>
      </c>
      <c r="J23" s="32">
        <v>-7930</v>
      </c>
      <c r="K23" s="31">
        <v>0.2</v>
      </c>
      <c r="L23" s="31">
        <v>0</v>
      </c>
      <c r="M23" s="31">
        <v>0</v>
      </c>
      <c r="N23" s="31">
        <v>0</v>
      </c>
      <c r="O23" s="31">
        <v>0</v>
      </c>
      <c r="P23" s="31">
        <v>0.44736842105263158</v>
      </c>
    </row>
    <row r="24" spans="1:16" x14ac:dyDescent="0.4">
      <c r="A24" s="33">
        <v>21</v>
      </c>
      <c r="B24" s="30">
        <v>-29.600000000000005</v>
      </c>
      <c r="C24" s="30">
        <v>-1.4095238095238098</v>
      </c>
      <c r="D24" s="35">
        <v>2.0952380952380953</v>
      </c>
      <c r="E24" s="31">
        <v>0.2857142857142857</v>
      </c>
      <c r="F24" s="31">
        <v>0.38095238095238093</v>
      </c>
      <c r="G24" s="31">
        <v>0.26845637583892618</v>
      </c>
      <c r="H24" s="31">
        <v>0.20805369127516779</v>
      </c>
      <c r="I24" s="32">
        <v>12057.5</v>
      </c>
      <c r="J24" s="32">
        <v>-7932.2580645161288</v>
      </c>
      <c r="K24" s="31">
        <v>0.19047619047619047</v>
      </c>
      <c r="L24" s="31">
        <v>0</v>
      </c>
      <c r="M24" s="31">
        <v>0</v>
      </c>
      <c r="N24" s="31">
        <v>0</v>
      </c>
      <c r="O24" s="31">
        <v>0</v>
      </c>
      <c r="P24" s="31">
        <v>0.45</v>
      </c>
    </row>
    <row r="25" spans="1:16" x14ac:dyDescent="0.4">
      <c r="A25" s="33">
        <v>22</v>
      </c>
      <c r="B25" s="30">
        <v>-4.7000000000000064</v>
      </c>
      <c r="C25" s="30">
        <v>-0.21363636363636393</v>
      </c>
      <c r="D25" s="35">
        <v>2.0454545454545454</v>
      </c>
      <c r="E25" s="31">
        <v>0.31818181818181818</v>
      </c>
      <c r="F25" s="31">
        <v>0.36363636363636365</v>
      </c>
      <c r="G25" s="31">
        <v>0.28301886792452829</v>
      </c>
      <c r="H25" s="31">
        <v>0.20754716981132076</v>
      </c>
      <c r="I25" s="32">
        <v>11426.666666666666</v>
      </c>
      <c r="J25" s="32">
        <v>-7648.484848484848</v>
      </c>
      <c r="K25" s="31">
        <v>0.18181818181818182</v>
      </c>
      <c r="L25" s="31">
        <v>0</v>
      </c>
      <c r="M25" s="31">
        <v>0</v>
      </c>
      <c r="N25" s="31">
        <v>0</v>
      </c>
      <c r="O25" s="31">
        <v>0</v>
      </c>
      <c r="P25" s="31">
        <v>0.46666666666666667</v>
      </c>
    </row>
    <row r="26" spans="1:16" x14ac:dyDescent="0.4">
      <c r="A26" s="33">
        <v>23</v>
      </c>
      <c r="B26" s="30">
        <v>-18.600000000000009</v>
      </c>
      <c r="C26" s="30">
        <v>-0.80869565217391337</v>
      </c>
      <c r="D26" s="35">
        <v>2.0869565217391304</v>
      </c>
      <c r="E26" s="31">
        <v>0.30434782608695654</v>
      </c>
      <c r="F26" s="31">
        <v>0.39130434782608697</v>
      </c>
      <c r="G26" s="31">
        <v>0.28823529411764703</v>
      </c>
      <c r="H26" s="31">
        <v>0.21764705882352942</v>
      </c>
      <c r="I26" s="32">
        <v>11310.204081632653</v>
      </c>
      <c r="J26" s="32">
        <v>-8305.405405405405</v>
      </c>
      <c r="K26" s="31">
        <v>0.17391304347826086</v>
      </c>
      <c r="L26" s="31">
        <v>0</v>
      </c>
      <c r="M26" s="31">
        <v>0</v>
      </c>
      <c r="N26" s="31">
        <v>0</v>
      </c>
      <c r="O26" s="31">
        <v>0</v>
      </c>
      <c r="P26" s="31">
        <v>0.46938775510204084</v>
      </c>
    </row>
    <row r="27" spans="1:16" x14ac:dyDescent="0.4">
      <c r="A27" s="33">
        <v>24</v>
      </c>
      <c r="B27" s="30">
        <v>-26.900000000000009</v>
      </c>
      <c r="C27" s="30">
        <v>-1.1208333333333338</v>
      </c>
      <c r="D27" s="35">
        <v>2.0833333333333335</v>
      </c>
      <c r="E27" s="31">
        <v>0.29166666666666669</v>
      </c>
      <c r="F27" s="31">
        <v>0.375</v>
      </c>
      <c r="G27" s="31">
        <v>0.28333333333333333</v>
      </c>
      <c r="H27" s="31">
        <v>0.21111111111111111</v>
      </c>
      <c r="I27" s="32">
        <v>11141.176470588236</v>
      </c>
      <c r="J27" s="32">
        <v>-8121.0526315789475</v>
      </c>
      <c r="K27" s="31">
        <v>0.16666666666666666</v>
      </c>
      <c r="L27" s="31">
        <v>0</v>
      </c>
      <c r="M27" s="31">
        <v>0</v>
      </c>
      <c r="N27" s="31">
        <v>0</v>
      </c>
      <c r="O27" s="31">
        <v>0</v>
      </c>
      <c r="P27" s="31">
        <v>0.45098039215686275</v>
      </c>
    </row>
    <row r="28" spans="1:16" x14ac:dyDescent="0.4">
      <c r="A28" s="33">
        <v>25</v>
      </c>
      <c r="B28" s="30">
        <v>-37.900000000000006</v>
      </c>
      <c r="C28" s="30">
        <v>-1.5160000000000002</v>
      </c>
      <c r="D28" s="35">
        <v>2.12</v>
      </c>
      <c r="E28" s="31">
        <v>0.28000000000000003</v>
      </c>
      <c r="F28" s="31">
        <v>0.4</v>
      </c>
      <c r="G28" s="31">
        <v>0.27956989247311825</v>
      </c>
      <c r="H28" s="31">
        <v>0.20967741935483872</v>
      </c>
      <c r="I28" s="32">
        <v>11080.76923076923</v>
      </c>
      <c r="J28" s="32">
        <v>-8012.8205128205127</v>
      </c>
      <c r="K28" s="31">
        <v>0.16</v>
      </c>
      <c r="L28" s="31">
        <v>0</v>
      </c>
      <c r="M28" s="31">
        <v>0.33333333333333331</v>
      </c>
      <c r="N28" s="31">
        <v>0</v>
      </c>
      <c r="O28" s="31">
        <v>0.5</v>
      </c>
      <c r="P28" s="31">
        <v>0.44230769230769229</v>
      </c>
    </row>
    <row r="29" spans="1:16" x14ac:dyDescent="0.4">
      <c r="A29" s="33">
        <v>26</v>
      </c>
      <c r="B29" s="30">
        <v>-59.800000000000004</v>
      </c>
      <c r="C29" s="30">
        <v>-2.3000000000000003</v>
      </c>
      <c r="D29" s="35">
        <v>2.1153846153846154</v>
      </c>
      <c r="E29" s="31">
        <v>0.26923076923076922</v>
      </c>
      <c r="F29" s="31">
        <v>0.38461538461538464</v>
      </c>
      <c r="G29" s="31">
        <v>0.27777777777777779</v>
      </c>
      <c r="H29" s="31">
        <v>0.20707070707070707</v>
      </c>
      <c r="I29" s="32">
        <v>10870.90909090909</v>
      </c>
      <c r="J29" s="32">
        <v>-8041.4634146341459</v>
      </c>
      <c r="K29" s="31">
        <v>0.15384615384615385</v>
      </c>
      <c r="L29" s="31">
        <v>0.1111111111111111</v>
      </c>
      <c r="M29" s="31">
        <v>0.33333333333333331</v>
      </c>
      <c r="N29" s="31">
        <v>0.5</v>
      </c>
      <c r="O29" s="31">
        <v>0.5</v>
      </c>
      <c r="P29" s="31">
        <v>0.45454545454545453</v>
      </c>
    </row>
    <row r="30" spans="1:16" x14ac:dyDescent="0.4">
      <c r="A30" s="33">
        <v>27</v>
      </c>
      <c r="B30" s="30">
        <v>-53.7</v>
      </c>
      <c r="C30" s="30">
        <v>-1.9888888888888889</v>
      </c>
      <c r="D30" s="35">
        <v>2.1111111111111112</v>
      </c>
      <c r="E30" s="31">
        <v>0.25925925925925924</v>
      </c>
      <c r="F30" s="31">
        <v>0.37037037037037035</v>
      </c>
      <c r="G30" s="31">
        <v>0.27962085308056872</v>
      </c>
      <c r="H30" s="31">
        <v>0.20853080568720378</v>
      </c>
      <c r="I30" s="32">
        <v>10566.101694915254</v>
      </c>
      <c r="J30" s="32">
        <v>-7672.727272727273</v>
      </c>
      <c r="K30" s="31">
        <v>0.14814814814814814</v>
      </c>
      <c r="L30" s="31">
        <v>0.16129032258064516</v>
      </c>
      <c r="M30" s="31">
        <v>0.35483870967741937</v>
      </c>
      <c r="N30" s="31">
        <v>0.4</v>
      </c>
      <c r="O30" s="31">
        <v>0.45454545454545453</v>
      </c>
      <c r="P30" s="31">
        <v>0.4576271186440678</v>
      </c>
    </row>
    <row r="31" spans="1:16" x14ac:dyDescent="0.4">
      <c r="A31" s="33">
        <v>28</v>
      </c>
      <c r="B31" s="30">
        <v>-53.1</v>
      </c>
      <c r="C31" s="30">
        <v>-1.8964285714285716</v>
      </c>
      <c r="D31" s="35">
        <v>2.1071428571428572</v>
      </c>
      <c r="E31" s="31">
        <v>0.25</v>
      </c>
      <c r="F31" s="31">
        <v>0.35714285714285715</v>
      </c>
      <c r="G31" s="31">
        <v>0.28310502283105021</v>
      </c>
      <c r="H31" s="31">
        <v>0.21461187214611871</v>
      </c>
      <c r="I31" s="32">
        <v>10324.193548387097</v>
      </c>
      <c r="J31" s="32">
        <v>-7546.8085106382978</v>
      </c>
      <c r="K31" s="31">
        <v>0.14285714285714285</v>
      </c>
      <c r="L31" s="31">
        <v>0.15384615384615385</v>
      </c>
      <c r="M31" s="31">
        <v>0.38461538461538464</v>
      </c>
      <c r="N31" s="31">
        <v>0.5</v>
      </c>
      <c r="O31" s="31">
        <v>0.46666666666666667</v>
      </c>
      <c r="P31" s="31">
        <v>0.45161290322580644</v>
      </c>
    </row>
    <row r="32" spans="1:16" x14ac:dyDescent="0.4">
      <c r="A32" s="33">
        <v>29</v>
      </c>
      <c r="B32" s="30">
        <v>-12.899999999999999</v>
      </c>
      <c r="C32" s="30">
        <v>-0.4448275862068965</v>
      </c>
      <c r="D32" s="35">
        <v>2.0689655172413794</v>
      </c>
      <c r="E32" s="31">
        <v>0.27586206896551724</v>
      </c>
      <c r="F32" s="31">
        <v>0.34482758620689657</v>
      </c>
      <c r="G32" s="31">
        <v>0.29004329004329005</v>
      </c>
      <c r="H32" s="31">
        <v>0.20346320346320346</v>
      </c>
      <c r="I32" s="32">
        <v>10416.417910447761</v>
      </c>
      <c r="J32" s="32">
        <v>-7546.8085106382978</v>
      </c>
      <c r="K32" s="31">
        <v>0.13793103448275862</v>
      </c>
      <c r="L32" s="31">
        <v>0.17647058823529413</v>
      </c>
      <c r="M32" s="31">
        <v>0.37254901960784315</v>
      </c>
      <c r="N32" s="31">
        <v>0.44444444444444442</v>
      </c>
      <c r="O32" s="31">
        <v>0.47368421052631576</v>
      </c>
      <c r="P32" s="31">
        <v>0.43283582089552236</v>
      </c>
    </row>
    <row r="33" spans="1:16" x14ac:dyDescent="0.4">
      <c r="A33" s="33">
        <v>30</v>
      </c>
      <c r="B33" s="30">
        <v>-48.6</v>
      </c>
      <c r="C33" s="30">
        <v>-1.62</v>
      </c>
      <c r="D33" s="35">
        <v>2.1</v>
      </c>
      <c r="E33" s="31">
        <v>0.26666666666666666</v>
      </c>
      <c r="F33" s="31">
        <v>0.36666666666666664</v>
      </c>
      <c r="G33" s="31">
        <v>0.28691983122362869</v>
      </c>
      <c r="H33" s="31">
        <v>0.20675105485232068</v>
      </c>
      <c r="I33" s="32">
        <v>10294.117647058823</v>
      </c>
      <c r="J33" s="32">
        <v>-7724.4897959183672</v>
      </c>
      <c r="K33" s="31">
        <v>0.16666666666666666</v>
      </c>
      <c r="L33" s="31">
        <v>0.21052631578947367</v>
      </c>
      <c r="M33" s="31">
        <v>0.35087719298245612</v>
      </c>
      <c r="N33" s="31">
        <v>0.33333333333333331</v>
      </c>
      <c r="O33" s="31">
        <v>0.45</v>
      </c>
      <c r="P33" s="31">
        <v>0.44117647058823528</v>
      </c>
    </row>
    <row r="34" spans="1:16" x14ac:dyDescent="0.4">
      <c r="A34" s="33">
        <v>31</v>
      </c>
      <c r="B34" s="30">
        <v>-64.599999999999994</v>
      </c>
      <c r="C34" s="30">
        <v>-2.0838709677419351</v>
      </c>
      <c r="D34" s="35">
        <v>2.129032258064516</v>
      </c>
      <c r="E34" s="31">
        <v>0.25806451612903225</v>
      </c>
      <c r="F34" s="31">
        <v>0.38709677419354838</v>
      </c>
      <c r="G34" s="31">
        <v>0.28048780487804881</v>
      </c>
      <c r="H34" s="31">
        <v>0.2032520325203252</v>
      </c>
      <c r="I34" s="32">
        <v>10220.289855072464</v>
      </c>
      <c r="J34" s="32">
        <v>-7724</v>
      </c>
      <c r="K34" s="31">
        <v>0.16129032258064516</v>
      </c>
      <c r="L34" s="31">
        <v>0.19696969696969696</v>
      </c>
      <c r="M34" s="31">
        <v>0.30303030303030304</v>
      </c>
      <c r="N34" s="31">
        <v>0.38461538461538464</v>
      </c>
      <c r="O34" s="31">
        <v>0.45</v>
      </c>
      <c r="P34" s="31">
        <v>0.43478260869565216</v>
      </c>
    </row>
    <row r="35" spans="1:16" x14ac:dyDescent="0.4">
      <c r="A35" s="33">
        <v>32</v>
      </c>
      <c r="B35" s="30">
        <v>-70.399999999999991</v>
      </c>
      <c r="C35" s="30">
        <v>-2.1999999999999997</v>
      </c>
      <c r="D35" s="35">
        <v>2.125</v>
      </c>
      <c r="E35" s="31">
        <v>0.25</v>
      </c>
      <c r="F35" s="31">
        <v>0.375</v>
      </c>
      <c r="G35" s="31">
        <v>0.28063241106719367</v>
      </c>
      <c r="H35" s="31">
        <v>0.20158102766798419</v>
      </c>
      <c r="I35" s="32">
        <v>10176.056338028169</v>
      </c>
      <c r="J35" s="32">
        <v>-7760.7843137254904</v>
      </c>
      <c r="K35" s="31">
        <v>0.15625</v>
      </c>
      <c r="L35" s="31">
        <v>0.20547945205479451</v>
      </c>
      <c r="M35" s="31">
        <v>0.28767123287671231</v>
      </c>
      <c r="N35" s="31">
        <v>0.4</v>
      </c>
      <c r="O35" s="31">
        <v>0.42857142857142855</v>
      </c>
      <c r="P35" s="31">
        <v>0.42253521126760563</v>
      </c>
    </row>
    <row r="36" spans="1:16" x14ac:dyDescent="0.4">
      <c r="A36" s="33">
        <v>33</v>
      </c>
      <c r="B36" s="30">
        <v>-122.29999999999998</v>
      </c>
      <c r="C36" s="30">
        <v>-3.7060606060606056</v>
      </c>
      <c r="D36" s="35">
        <v>2.1515151515151514</v>
      </c>
      <c r="E36" s="31">
        <v>0.24242424242424243</v>
      </c>
      <c r="F36" s="31">
        <v>0.39393939393939392</v>
      </c>
      <c r="G36" s="31">
        <v>0.27586206896551724</v>
      </c>
      <c r="H36" s="31">
        <v>0.20306513409961685</v>
      </c>
      <c r="I36" s="32">
        <v>10145.833333333334</v>
      </c>
      <c r="J36" s="32">
        <v>-8260.3773584905666</v>
      </c>
      <c r="K36" s="31">
        <v>0.18181818181818182</v>
      </c>
      <c r="L36" s="31">
        <v>0.19753086419753085</v>
      </c>
      <c r="M36" s="31">
        <v>0.27160493827160492</v>
      </c>
      <c r="N36" s="31">
        <v>0.375</v>
      </c>
      <c r="O36" s="31">
        <v>0.40909090909090912</v>
      </c>
      <c r="P36" s="31">
        <v>0.41666666666666669</v>
      </c>
    </row>
    <row r="37" spans="1:16" x14ac:dyDescent="0.4">
      <c r="A37" s="33">
        <v>34</v>
      </c>
      <c r="B37" s="30">
        <v>-134.29999999999998</v>
      </c>
      <c r="C37" s="30">
        <v>-3.9499999999999993</v>
      </c>
      <c r="D37" s="35">
        <v>2.1470588235294117</v>
      </c>
      <c r="E37" s="31">
        <v>0.23529411764705882</v>
      </c>
      <c r="F37" s="31">
        <v>0.38235294117647056</v>
      </c>
      <c r="G37" s="31">
        <v>0.27715355805243447</v>
      </c>
      <c r="H37" s="31">
        <v>0.20224719101123595</v>
      </c>
      <c r="I37" s="32">
        <v>10087.837837837838</v>
      </c>
      <c r="J37" s="32">
        <v>-8403.7037037037044</v>
      </c>
      <c r="K37" s="31">
        <v>0.17647058823529413</v>
      </c>
      <c r="L37" s="31">
        <v>0.19540229885057472</v>
      </c>
      <c r="M37" s="31">
        <v>0.28735632183908044</v>
      </c>
      <c r="N37" s="31">
        <v>0.41176470588235292</v>
      </c>
      <c r="O37" s="31">
        <v>0.4</v>
      </c>
      <c r="P37" s="31">
        <v>0.40540540540540543</v>
      </c>
    </row>
    <row r="38" spans="1:16" x14ac:dyDescent="0.4">
      <c r="A38" s="33">
        <v>35</v>
      </c>
      <c r="B38" s="30">
        <v>-100.89999999999998</v>
      </c>
      <c r="C38" s="30">
        <v>-2.8828571428571421</v>
      </c>
      <c r="D38" s="35">
        <v>2.1142857142857143</v>
      </c>
      <c r="E38" s="31">
        <v>0.25714285714285712</v>
      </c>
      <c r="F38" s="31">
        <v>0.37142857142857144</v>
      </c>
      <c r="G38" s="31">
        <v>0.28467153284671531</v>
      </c>
      <c r="H38" s="31">
        <v>0.19708029197080293</v>
      </c>
      <c r="I38" s="32">
        <v>10008.974358974359</v>
      </c>
      <c r="J38" s="32">
        <v>-8403.7037037037044</v>
      </c>
      <c r="K38" s="31">
        <v>0.17142857142857143</v>
      </c>
      <c r="L38" s="31">
        <v>0.22340425531914893</v>
      </c>
      <c r="M38" s="31">
        <v>0.2978723404255319</v>
      </c>
      <c r="N38" s="31">
        <v>0.42857142857142855</v>
      </c>
      <c r="O38" s="31">
        <v>0.42857142857142855</v>
      </c>
      <c r="P38" s="31">
        <v>0.42307692307692307</v>
      </c>
    </row>
    <row r="39" spans="1:16" x14ac:dyDescent="0.4">
      <c r="A39" s="33">
        <v>36</v>
      </c>
      <c r="B39" s="30">
        <v>-106.49999999999997</v>
      </c>
      <c r="C39" s="30">
        <v>-2.9583333333333326</v>
      </c>
      <c r="D39" s="35">
        <v>2.1111111111111112</v>
      </c>
      <c r="E39" s="31">
        <v>0.25</v>
      </c>
      <c r="F39" s="31">
        <v>0.3611111111111111</v>
      </c>
      <c r="G39" s="31">
        <v>0.28825622775800713</v>
      </c>
      <c r="H39" s="31">
        <v>0.19572953736654805</v>
      </c>
      <c r="I39" s="32">
        <v>9748.1481481481478</v>
      </c>
      <c r="J39" s="32">
        <v>-8287.2727272727279</v>
      </c>
      <c r="K39" s="31">
        <v>0.16666666666666666</v>
      </c>
      <c r="L39" s="31">
        <v>0.22772277227722773</v>
      </c>
      <c r="M39" s="31">
        <v>0.30693069306930693</v>
      </c>
      <c r="N39" s="31">
        <v>0.39130434782608697</v>
      </c>
      <c r="O39" s="31">
        <v>0.4838709677419355</v>
      </c>
      <c r="P39" s="31">
        <v>0.41975308641975306</v>
      </c>
    </row>
    <row r="40" spans="1:16" x14ac:dyDescent="0.4">
      <c r="A40" s="33">
        <v>37</v>
      </c>
      <c r="B40" s="30">
        <v>-133.49999999999997</v>
      </c>
      <c r="C40" s="30">
        <v>-3.6081081081081074</v>
      </c>
      <c r="D40" s="35">
        <v>2.1351351351351351</v>
      </c>
      <c r="E40" s="31">
        <v>0.24324324324324326</v>
      </c>
      <c r="F40" s="31">
        <v>0.3783783783783784</v>
      </c>
      <c r="G40" s="31">
        <v>0.28027681660899656</v>
      </c>
      <c r="H40" s="31">
        <v>0.19377162629757785</v>
      </c>
      <c r="I40" s="32">
        <v>9748.1481481481478</v>
      </c>
      <c r="J40" s="32">
        <v>-8353.5714285714294</v>
      </c>
      <c r="K40" s="31">
        <v>0.16216216216216217</v>
      </c>
      <c r="L40" s="31">
        <v>0.21100917431192662</v>
      </c>
      <c r="M40" s="31">
        <v>0.31192660550458717</v>
      </c>
      <c r="N40" s="31">
        <v>0.39130434782608697</v>
      </c>
      <c r="O40" s="31">
        <v>0.44117647058823528</v>
      </c>
      <c r="P40" s="31">
        <v>0.41975308641975306</v>
      </c>
    </row>
    <row r="41" spans="1:16" x14ac:dyDescent="0.4">
      <c r="A41" s="33">
        <v>38</v>
      </c>
      <c r="B41" s="30">
        <v>-128.29999999999998</v>
      </c>
      <c r="C41" s="30">
        <v>-3.3763157894736837</v>
      </c>
      <c r="D41" s="35">
        <v>2.1315789473684212</v>
      </c>
      <c r="E41" s="31">
        <v>0.23684210526315788</v>
      </c>
      <c r="F41" s="31">
        <v>0.36842105263157893</v>
      </c>
      <c r="G41" s="31">
        <v>0.27986348122866894</v>
      </c>
      <c r="H41" s="31">
        <v>0.19112627986348124</v>
      </c>
      <c r="I41" s="32">
        <v>9692.6829268292677</v>
      </c>
      <c r="J41" s="32">
        <v>-8353.5714285714294</v>
      </c>
      <c r="K41" s="31">
        <v>0.15789473684210525</v>
      </c>
      <c r="L41" s="31">
        <v>0.21238938053097345</v>
      </c>
      <c r="M41" s="31">
        <v>0.30973451327433627</v>
      </c>
      <c r="N41" s="31">
        <v>0.41666666666666669</v>
      </c>
      <c r="O41" s="31">
        <v>0.42857142857142855</v>
      </c>
      <c r="P41" s="31">
        <v>0.41463414634146339</v>
      </c>
    </row>
    <row r="42" spans="1:16" x14ac:dyDescent="0.4">
      <c r="A42" s="33">
        <v>39</v>
      </c>
      <c r="B42" s="30">
        <v>-135.99999999999997</v>
      </c>
      <c r="C42" s="30">
        <v>-3.4871794871794863</v>
      </c>
      <c r="D42" s="35">
        <v>2.1282051282051282</v>
      </c>
      <c r="E42" s="31">
        <v>0.23076923076923078</v>
      </c>
      <c r="F42" s="31">
        <v>0.35897435897435898</v>
      </c>
      <c r="G42" s="31">
        <v>0.27666666666666667</v>
      </c>
      <c r="H42" s="31">
        <v>0.2</v>
      </c>
      <c r="I42" s="32">
        <v>9720.4819277108436</v>
      </c>
      <c r="J42" s="32">
        <v>-8125</v>
      </c>
      <c r="K42" s="31">
        <v>0.15384615384615385</v>
      </c>
      <c r="L42" s="31">
        <v>0.21666666666666667</v>
      </c>
      <c r="M42" s="31">
        <v>0.31666666666666665</v>
      </c>
      <c r="N42" s="31">
        <v>0.38461538461538464</v>
      </c>
      <c r="O42" s="31">
        <v>0.42105263157894735</v>
      </c>
      <c r="P42" s="31">
        <v>0.40963855421686746</v>
      </c>
    </row>
    <row r="43" spans="1:16" x14ac:dyDescent="0.4">
      <c r="A43" s="33">
        <v>40</v>
      </c>
      <c r="B43" s="30">
        <v>-150.99999999999997</v>
      </c>
      <c r="C43" s="30">
        <v>-3.7749999999999995</v>
      </c>
      <c r="D43" s="35">
        <v>2.125</v>
      </c>
      <c r="E43" s="31">
        <v>0.22500000000000001</v>
      </c>
      <c r="F43" s="31">
        <v>0.35</v>
      </c>
      <c r="G43" s="31">
        <v>0.27035830618892509</v>
      </c>
      <c r="H43" s="31">
        <v>0.1986970684039088</v>
      </c>
      <c r="I43" s="32">
        <v>9720.4819277108436</v>
      </c>
      <c r="J43" s="32">
        <v>-8188.5245901639346</v>
      </c>
      <c r="K43" s="31">
        <v>0.15</v>
      </c>
      <c r="L43" s="31">
        <v>0.20472440944881889</v>
      </c>
      <c r="M43" s="31">
        <v>0.30708661417322836</v>
      </c>
      <c r="N43" s="31">
        <v>0.38461538461538464</v>
      </c>
      <c r="O43" s="31">
        <v>0.41025641025641024</v>
      </c>
      <c r="P43" s="31">
        <v>0.40963855421686746</v>
      </c>
    </row>
    <row r="44" spans="1:16" x14ac:dyDescent="0.4">
      <c r="A44" s="33">
        <v>41</v>
      </c>
      <c r="B44" s="30">
        <v>-201.59999999999997</v>
      </c>
      <c r="C44" s="30">
        <v>-4.9170731707317064</v>
      </c>
      <c r="D44" s="35">
        <v>2.1463414634146343</v>
      </c>
      <c r="E44" s="31">
        <v>0.21951219512195122</v>
      </c>
      <c r="F44" s="31">
        <v>0.36585365853658536</v>
      </c>
      <c r="G44" s="31">
        <v>0.2634920634920635</v>
      </c>
      <c r="H44" s="31">
        <v>0.20317460317460317</v>
      </c>
      <c r="I44" s="32">
        <v>9720.4819277108436</v>
      </c>
      <c r="J44" s="32">
        <v>-8228.125</v>
      </c>
      <c r="K44" s="31">
        <v>0.17073170731707318</v>
      </c>
      <c r="L44" s="31">
        <v>0.21481481481481482</v>
      </c>
      <c r="M44" s="31">
        <v>0.3037037037037037</v>
      </c>
      <c r="N44" s="31">
        <v>0.34482758620689657</v>
      </c>
      <c r="O44" s="31">
        <v>0.3902439024390244</v>
      </c>
      <c r="P44" s="31">
        <v>0.40963855421686746</v>
      </c>
    </row>
    <row r="45" spans="1:16" x14ac:dyDescent="0.4">
      <c r="A45" s="33">
        <v>42</v>
      </c>
      <c r="B45" s="30">
        <v>-196.79999999999995</v>
      </c>
      <c r="C45" s="30">
        <v>-4.6857142857142851</v>
      </c>
      <c r="D45" s="35">
        <v>2.1428571428571428</v>
      </c>
      <c r="E45" s="31">
        <v>0.21428571428571427</v>
      </c>
      <c r="F45" s="31">
        <v>0.35714285714285715</v>
      </c>
      <c r="G45" s="31">
        <v>0.26153846153846155</v>
      </c>
      <c r="H45" s="31">
        <v>0.2</v>
      </c>
      <c r="I45" s="32">
        <v>9727.0588235294126</v>
      </c>
      <c r="J45" s="32">
        <v>-8220</v>
      </c>
      <c r="K45" s="31">
        <v>0.16666666666666666</v>
      </c>
      <c r="L45" s="31">
        <v>0.21379310344827587</v>
      </c>
      <c r="M45" s="31">
        <v>0.30344827586206896</v>
      </c>
      <c r="N45" s="31">
        <v>0.35483870967741937</v>
      </c>
      <c r="O45" s="31">
        <v>0.38636363636363635</v>
      </c>
      <c r="P45" s="31">
        <v>0.4</v>
      </c>
    </row>
    <row r="46" spans="1:16" x14ac:dyDescent="0.4">
      <c r="A46" s="33">
        <v>43</v>
      </c>
      <c r="B46" s="30">
        <v>-242.29999999999995</v>
      </c>
      <c r="C46" s="30">
        <v>-5.6348837209302314</v>
      </c>
      <c r="D46" s="35">
        <v>2.1627906976744184</v>
      </c>
      <c r="E46" s="31">
        <v>0.20930232558139536</v>
      </c>
      <c r="F46" s="31">
        <v>0.37209302325581395</v>
      </c>
      <c r="G46" s="31">
        <v>0.25981873111782477</v>
      </c>
      <c r="H46" s="31">
        <v>0.20241691842900303</v>
      </c>
      <c r="I46" s="32">
        <v>9753.4883720930229</v>
      </c>
      <c r="J46" s="32">
        <v>-8422.3880597014922</v>
      </c>
      <c r="K46" s="31">
        <v>0.18604651162790697</v>
      </c>
      <c r="L46" s="31">
        <v>0.2251655629139073</v>
      </c>
      <c r="M46" s="31">
        <v>0.29139072847682118</v>
      </c>
      <c r="N46" s="31">
        <v>0.35294117647058826</v>
      </c>
      <c r="O46" s="31">
        <v>0.38636363636363635</v>
      </c>
      <c r="P46" s="31">
        <v>0.40697674418604651</v>
      </c>
    </row>
    <row r="47" spans="1:16" x14ac:dyDescent="0.4">
      <c r="A47" s="33">
        <v>44</v>
      </c>
      <c r="B47" s="30">
        <v>-243.39999999999995</v>
      </c>
      <c r="C47" s="30">
        <v>-5.5318181818181804</v>
      </c>
      <c r="D47" s="35">
        <v>2.1590909090909092</v>
      </c>
      <c r="E47" s="31">
        <v>0.20454545454545456</v>
      </c>
      <c r="F47" s="31">
        <v>0.36363636363636365</v>
      </c>
      <c r="G47" s="31">
        <v>0.25730994152046782</v>
      </c>
      <c r="H47" s="31">
        <v>0.20175438596491227</v>
      </c>
      <c r="I47" s="32">
        <v>9692.045454545454</v>
      </c>
      <c r="J47" s="32">
        <v>-8394.2028985507241</v>
      </c>
      <c r="K47" s="31">
        <v>0.18181818181818182</v>
      </c>
      <c r="L47" s="31">
        <v>0.22839506172839505</v>
      </c>
      <c r="M47" s="31">
        <v>0.2839506172839506</v>
      </c>
      <c r="N47" s="31">
        <v>0.35135135135135137</v>
      </c>
      <c r="O47" s="31">
        <v>0.39130434782608697</v>
      </c>
      <c r="P47" s="31">
        <v>0.42045454545454547</v>
      </c>
    </row>
    <row r="48" spans="1:16" x14ac:dyDescent="0.4">
      <c r="A48" s="33">
        <v>45</v>
      </c>
      <c r="B48" s="30">
        <v>-280.59999999999997</v>
      </c>
      <c r="C48" s="30">
        <v>-6.2355555555555551</v>
      </c>
      <c r="D48" s="35">
        <v>2.1777777777777776</v>
      </c>
      <c r="E48" s="31">
        <v>0.2</v>
      </c>
      <c r="F48" s="31">
        <v>0.37777777777777777</v>
      </c>
      <c r="G48" s="31">
        <v>0.25360230547550433</v>
      </c>
      <c r="H48" s="31">
        <v>0.20461095100864554</v>
      </c>
      <c r="I48" s="32">
        <v>9692.045454545454</v>
      </c>
      <c r="J48" s="32">
        <v>-8664.7887323943669</v>
      </c>
      <c r="K48" s="31">
        <v>0.2</v>
      </c>
      <c r="L48" s="31">
        <v>0.22754491017964071</v>
      </c>
      <c r="M48" s="31">
        <v>0.28143712574850299</v>
      </c>
      <c r="N48" s="31">
        <v>0.34210526315789475</v>
      </c>
      <c r="O48" s="31">
        <v>0.38297872340425532</v>
      </c>
      <c r="P48" s="31">
        <v>0.42045454545454547</v>
      </c>
    </row>
    <row r="49" spans="1:16" x14ac:dyDescent="0.4">
      <c r="A49" s="33">
        <v>46</v>
      </c>
      <c r="B49" s="30">
        <v>-321.89999999999998</v>
      </c>
      <c r="C49" s="30">
        <v>-6.997826086956521</v>
      </c>
      <c r="D49" s="35">
        <v>2.1956521739130435</v>
      </c>
      <c r="E49" s="31">
        <v>0.19565217391304349</v>
      </c>
      <c r="F49" s="31">
        <v>0.39130434782608697</v>
      </c>
      <c r="G49" s="31">
        <v>0.25070422535211268</v>
      </c>
      <c r="H49" s="31">
        <v>0.20845070422535211</v>
      </c>
      <c r="I49" s="32">
        <v>9673.0337078651683</v>
      </c>
      <c r="J49" s="32">
        <v>-8668.9189189189183</v>
      </c>
      <c r="K49" s="31">
        <v>0.21739130434782608</v>
      </c>
      <c r="L49" s="31">
        <v>0.22285714285714286</v>
      </c>
      <c r="M49" s="31">
        <v>0.28000000000000003</v>
      </c>
      <c r="N49" s="31">
        <v>0.35897435897435898</v>
      </c>
      <c r="O49" s="31">
        <v>0.36734693877551022</v>
      </c>
      <c r="P49" s="31">
        <v>0.42696629213483145</v>
      </c>
    </row>
    <row r="50" spans="1:16" x14ac:dyDescent="0.4">
      <c r="A50" s="33">
        <v>47</v>
      </c>
      <c r="B50" s="30">
        <v>-326.09999999999997</v>
      </c>
      <c r="C50" s="30">
        <v>-6.9382978723404252</v>
      </c>
      <c r="D50" s="35">
        <v>2.2127659574468086</v>
      </c>
      <c r="E50" s="31">
        <v>0.19148936170212766</v>
      </c>
      <c r="F50" s="31">
        <v>0.40425531914893614</v>
      </c>
      <c r="G50" s="31">
        <v>0.25</v>
      </c>
      <c r="H50" s="31">
        <v>0.20604395604395603</v>
      </c>
      <c r="I50" s="32">
        <v>9581.3186813186821</v>
      </c>
      <c r="J50" s="32">
        <v>-8596</v>
      </c>
      <c r="K50" s="31">
        <v>0.21276595744680851</v>
      </c>
      <c r="L50" s="31">
        <v>0.22826086956521738</v>
      </c>
      <c r="M50" s="31">
        <v>0.27717391304347827</v>
      </c>
      <c r="N50" s="31">
        <v>0.35714285714285715</v>
      </c>
      <c r="O50" s="31">
        <v>0.37254901960784315</v>
      </c>
      <c r="P50" s="31">
        <v>0.42857142857142855</v>
      </c>
    </row>
    <row r="51" spans="1:16" x14ac:dyDescent="0.4">
      <c r="A51" s="33">
        <v>48</v>
      </c>
      <c r="B51" s="30">
        <v>-386.4</v>
      </c>
      <c r="C51" s="30">
        <v>-8.0499999999999989</v>
      </c>
      <c r="D51" s="35">
        <v>2.2291666666666665</v>
      </c>
      <c r="E51" s="31">
        <v>0.1875</v>
      </c>
      <c r="F51" s="31">
        <v>0.41666666666666669</v>
      </c>
      <c r="G51" s="31">
        <v>0.24864864864864866</v>
      </c>
      <c r="H51" s="31">
        <v>0.20810810810810812</v>
      </c>
      <c r="I51" s="32">
        <v>9560.8695652173919</v>
      </c>
      <c r="J51" s="32">
        <v>-9100</v>
      </c>
      <c r="K51" s="31">
        <v>0.22916666666666666</v>
      </c>
      <c r="L51" s="31">
        <v>0.22631578947368422</v>
      </c>
      <c r="M51" s="31">
        <v>0.27368421052631581</v>
      </c>
      <c r="N51" s="31">
        <v>0.37209302325581395</v>
      </c>
      <c r="O51" s="31">
        <v>0.36538461538461536</v>
      </c>
      <c r="P51" s="31">
        <v>0.42391304347826086</v>
      </c>
    </row>
    <row r="52" spans="1:16" x14ac:dyDescent="0.4">
      <c r="A52" s="33">
        <v>49</v>
      </c>
      <c r="B52" s="30">
        <v>-402.29999999999995</v>
      </c>
      <c r="C52" s="30">
        <v>-8.2102040816326518</v>
      </c>
      <c r="D52" s="35">
        <v>2.2448979591836733</v>
      </c>
      <c r="E52" s="31">
        <v>0.18367346938775511</v>
      </c>
      <c r="F52" s="31">
        <v>0.42857142857142855</v>
      </c>
      <c r="G52" s="31">
        <v>0.25132275132275134</v>
      </c>
      <c r="H52" s="31">
        <v>0.20370370370370369</v>
      </c>
      <c r="I52" s="32">
        <v>9500</v>
      </c>
      <c r="J52" s="32">
        <v>-9100</v>
      </c>
      <c r="K52" s="31">
        <v>0.22448979591836735</v>
      </c>
      <c r="L52" s="31">
        <v>0.22222222222222221</v>
      </c>
      <c r="M52" s="31">
        <v>0.27777777777777779</v>
      </c>
      <c r="N52" s="31">
        <v>0.38636363636363635</v>
      </c>
      <c r="O52" s="31">
        <v>0.38181818181818183</v>
      </c>
      <c r="P52" s="31">
        <v>0.43157894736842106</v>
      </c>
    </row>
    <row r="53" spans="1:16" x14ac:dyDescent="0.4">
      <c r="A53" s="33">
        <v>50</v>
      </c>
      <c r="B53" s="30">
        <v>-396.29999999999995</v>
      </c>
      <c r="C53" s="30">
        <v>-7.9259999999999993</v>
      </c>
      <c r="D53" s="35">
        <v>2.2200000000000002</v>
      </c>
      <c r="E53" s="31">
        <v>0.2</v>
      </c>
      <c r="F53" s="31">
        <v>0.42</v>
      </c>
      <c r="G53" s="31">
        <v>0.25257731958762886</v>
      </c>
      <c r="H53" s="31">
        <v>0.19845360824742267</v>
      </c>
      <c r="I53" s="32">
        <v>9433.6734693877552</v>
      </c>
      <c r="J53" s="32">
        <v>-9100</v>
      </c>
      <c r="K53" s="31">
        <v>0.22</v>
      </c>
      <c r="L53" s="31">
        <v>0.23076923076923078</v>
      </c>
      <c r="M53" s="31">
        <v>0.27403846153846156</v>
      </c>
      <c r="N53" s="31">
        <v>0.41666666666666669</v>
      </c>
      <c r="O53" s="31">
        <v>0.36842105263157893</v>
      </c>
      <c r="P53" s="31">
        <v>0.43877551020408162</v>
      </c>
    </row>
    <row r="54" spans="1:16" x14ac:dyDescent="0.4">
      <c r="A54" s="33">
        <v>51</v>
      </c>
      <c r="B54" s="30">
        <v>-417.29999999999995</v>
      </c>
      <c r="C54" s="30">
        <v>-8.1823529411764699</v>
      </c>
      <c r="D54" s="35">
        <v>2.2352941176470589</v>
      </c>
      <c r="E54" s="31">
        <v>0.19607843137254902</v>
      </c>
      <c r="F54" s="31">
        <v>0.43137254901960786</v>
      </c>
      <c r="G54" s="31">
        <v>0.25376884422110552</v>
      </c>
      <c r="H54" s="31">
        <v>0.20100502512562815</v>
      </c>
      <c r="I54" s="32">
        <v>9332.6732673267325</v>
      </c>
      <c r="J54" s="32">
        <v>-9206.25</v>
      </c>
      <c r="K54" s="31">
        <v>0.21568627450980393</v>
      </c>
      <c r="L54" s="31">
        <v>0.23853211009174313</v>
      </c>
      <c r="M54" s="31">
        <v>0.27064220183486237</v>
      </c>
      <c r="N54" s="31">
        <v>0.40384615384615385</v>
      </c>
      <c r="O54" s="31">
        <v>0.3728813559322034</v>
      </c>
      <c r="P54" s="31">
        <v>0.44554455445544555</v>
      </c>
    </row>
    <row r="55" spans="1:16" x14ac:dyDescent="0.4">
      <c r="A55" s="33">
        <v>52</v>
      </c>
      <c r="B55" s="30">
        <v>-421.29999999999995</v>
      </c>
      <c r="C55" s="30">
        <v>-8.1019230769230752</v>
      </c>
      <c r="D55" s="35">
        <v>2.2307692307692308</v>
      </c>
      <c r="E55" s="31">
        <v>0.19230769230769232</v>
      </c>
      <c r="F55" s="31">
        <v>0.42307692307692307</v>
      </c>
      <c r="G55" s="31">
        <v>0.25185185185185183</v>
      </c>
      <c r="H55" s="31">
        <v>0.19753086419753085</v>
      </c>
      <c r="I55" s="32">
        <v>9300</v>
      </c>
      <c r="J55" s="32">
        <v>-9206.25</v>
      </c>
      <c r="K55" s="31">
        <v>0.21153846153846154</v>
      </c>
      <c r="L55" s="31">
        <v>0.24</v>
      </c>
      <c r="M55" s="31">
        <v>0.27111111111111114</v>
      </c>
      <c r="N55" s="31">
        <v>0.3888888888888889</v>
      </c>
      <c r="O55" s="31">
        <v>0.37704918032786883</v>
      </c>
      <c r="P55" s="31">
        <v>0.45098039215686275</v>
      </c>
    </row>
    <row r="56" spans="1:16" x14ac:dyDescent="0.4">
      <c r="A56" s="33">
        <v>53</v>
      </c>
      <c r="B56" s="30">
        <v>-451.69999999999993</v>
      </c>
      <c r="C56" s="30">
        <v>-8.5226415094339618</v>
      </c>
      <c r="D56" s="35">
        <v>2.2452830188679247</v>
      </c>
      <c r="E56" s="31">
        <v>0.18867924528301888</v>
      </c>
      <c r="F56" s="31">
        <v>0.43396226415094341</v>
      </c>
      <c r="G56" s="31">
        <v>0.25419664268585129</v>
      </c>
      <c r="H56" s="31">
        <v>0.19904076738609114</v>
      </c>
      <c r="I56" s="32">
        <v>9230.1886792452824</v>
      </c>
      <c r="J56" s="32">
        <v>-9473.4939759036151</v>
      </c>
      <c r="K56" s="31">
        <v>0.20754716981132076</v>
      </c>
      <c r="L56" s="31">
        <v>0.24050632911392406</v>
      </c>
      <c r="M56" s="31">
        <v>0.27004219409282698</v>
      </c>
      <c r="N56" s="31">
        <v>0.40350877192982454</v>
      </c>
      <c r="O56" s="31">
        <v>0.375</v>
      </c>
      <c r="P56" s="31">
        <v>0.45283018867924529</v>
      </c>
    </row>
    <row r="57" spans="1:16" x14ac:dyDescent="0.4">
      <c r="A57" s="33">
        <v>54</v>
      </c>
      <c r="B57" s="30">
        <v>-445.09999999999991</v>
      </c>
      <c r="C57" s="30">
        <v>-8.2425925925925903</v>
      </c>
      <c r="D57" s="35">
        <v>2.2407407407407409</v>
      </c>
      <c r="E57" s="31">
        <v>0.18518518518518517</v>
      </c>
      <c r="F57" s="31">
        <v>0.42592592592592593</v>
      </c>
      <c r="G57" s="31">
        <v>0.25882352941176473</v>
      </c>
      <c r="H57" s="31">
        <v>0.19529411764705881</v>
      </c>
      <c r="I57" s="32">
        <v>9090.9090909090901</v>
      </c>
      <c r="J57" s="32">
        <v>-9473.4939759036151</v>
      </c>
      <c r="K57" s="31">
        <v>0.20370370370370369</v>
      </c>
      <c r="L57" s="31">
        <v>0.24897959183673468</v>
      </c>
      <c r="M57" s="31">
        <v>0.26938775510204083</v>
      </c>
      <c r="N57" s="31">
        <v>0.42622950819672129</v>
      </c>
      <c r="O57" s="31">
        <v>0.36363636363636365</v>
      </c>
      <c r="P57" s="31">
        <v>0.45454545454545453</v>
      </c>
    </row>
    <row r="58" spans="1:16" x14ac:dyDescent="0.4">
      <c r="A58" s="33">
        <v>55</v>
      </c>
      <c r="B58" s="30">
        <v>-465.59999999999991</v>
      </c>
      <c r="C58" s="30">
        <v>-8.4654545454545431</v>
      </c>
      <c r="D58" s="35">
        <v>2.2545454545454544</v>
      </c>
      <c r="E58" s="31">
        <v>0.18181818181818182</v>
      </c>
      <c r="F58" s="31">
        <v>0.43636363636363634</v>
      </c>
      <c r="G58" s="31">
        <v>0.25925925925925924</v>
      </c>
      <c r="H58" s="31">
        <v>0.19444444444444445</v>
      </c>
      <c r="I58" s="32">
        <v>9053.5714285714294</v>
      </c>
      <c r="J58" s="32">
        <v>-9551.1904761904771</v>
      </c>
      <c r="K58" s="31">
        <v>0.2</v>
      </c>
      <c r="L58" s="31">
        <v>0.24603174603174602</v>
      </c>
      <c r="M58" s="31">
        <v>0.26587301587301587</v>
      </c>
      <c r="N58" s="31">
        <v>0.43548387096774194</v>
      </c>
      <c r="O58" s="31">
        <v>0.37313432835820898</v>
      </c>
      <c r="P58" s="31">
        <v>0.45535714285714285</v>
      </c>
    </row>
    <row r="59" spans="1:16" x14ac:dyDescent="0.4">
      <c r="A59" s="33">
        <v>56</v>
      </c>
      <c r="B59" s="30">
        <v>-502.59999999999991</v>
      </c>
      <c r="C59" s="30">
        <v>-8.9749999999999979</v>
      </c>
      <c r="D59" s="35">
        <v>2.2678571428571428</v>
      </c>
      <c r="E59" s="31">
        <v>0.17857142857142858</v>
      </c>
      <c r="F59" s="31">
        <v>0.44642857142857145</v>
      </c>
      <c r="G59" s="31">
        <v>0.25629290617848971</v>
      </c>
      <c r="H59" s="31">
        <v>0.19679633867276888</v>
      </c>
      <c r="I59" s="32">
        <v>9053.5714285714294</v>
      </c>
      <c r="J59" s="32">
        <v>-9515.1162790697672</v>
      </c>
      <c r="K59" s="31">
        <v>0.21428571428571427</v>
      </c>
      <c r="L59" s="31">
        <v>0.24124513618677043</v>
      </c>
      <c r="M59" s="31">
        <v>0.26459143968871596</v>
      </c>
      <c r="N59" s="31">
        <v>0.43548387096774194</v>
      </c>
      <c r="O59" s="31">
        <v>0.36764705882352944</v>
      </c>
      <c r="P59" s="31">
        <v>0.45535714285714285</v>
      </c>
    </row>
    <row r="60" spans="1:16" x14ac:dyDescent="0.4">
      <c r="A60" s="33">
        <v>57</v>
      </c>
      <c r="B60" s="30">
        <v>-533.29999999999995</v>
      </c>
      <c r="C60" s="30">
        <v>-9.3561403508771921</v>
      </c>
      <c r="D60" s="35">
        <v>2.2807017543859649</v>
      </c>
      <c r="E60" s="31">
        <v>0.17543859649122806</v>
      </c>
      <c r="F60" s="31">
        <v>0.45614035087719296</v>
      </c>
      <c r="G60" s="31">
        <v>0.25842696629213485</v>
      </c>
      <c r="H60" s="31">
        <v>0.19775280898876405</v>
      </c>
      <c r="I60" s="32">
        <v>8973.9130434782601</v>
      </c>
      <c r="J60" s="32">
        <v>-9767.045454545454</v>
      </c>
      <c r="K60" s="31">
        <v>0.21052631578947367</v>
      </c>
      <c r="L60" s="31">
        <v>0.24150943396226415</v>
      </c>
      <c r="M60" s="31">
        <v>0.26792452830188679</v>
      </c>
      <c r="N60" s="31">
        <v>0.453125</v>
      </c>
      <c r="O60" s="31">
        <v>0.36619718309859156</v>
      </c>
      <c r="P60" s="31">
        <v>0.46086956521739131</v>
      </c>
    </row>
    <row r="61" spans="1:16" x14ac:dyDescent="0.4">
      <c r="A61" s="33">
        <v>58</v>
      </c>
      <c r="B61" s="30">
        <v>-573.29999999999995</v>
      </c>
      <c r="C61" s="30">
        <v>-9.8844827586206883</v>
      </c>
      <c r="D61" s="35">
        <v>2.2931034482758621</v>
      </c>
      <c r="E61" s="31">
        <v>0.17241379310344829</v>
      </c>
      <c r="F61" s="31">
        <v>0.46551724137931033</v>
      </c>
      <c r="G61" s="31">
        <v>0.25555555555555554</v>
      </c>
      <c r="H61" s="31">
        <v>0.2</v>
      </c>
      <c r="I61" s="32">
        <v>8973.9130434782601</v>
      </c>
      <c r="J61" s="32">
        <v>-9838.8888888888887</v>
      </c>
      <c r="K61" s="31">
        <v>0.22413793103448276</v>
      </c>
      <c r="L61" s="31">
        <v>0.24814814814814815</v>
      </c>
      <c r="M61" s="31">
        <v>0.26666666666666666</v>
      </c>
      <c r="N61" s="31">
        <v>0.43283582089552236</v>
      </c>
      <c r="O61" s="31">
        <v>0.3611111111111111</v>
      </c>
      <c r="P61" s="31">
        <v>0.46086956521739131</v>
      </c>
    </row>
    <row r="62" spans="1:16" x14ac:dyDescent="0.4">
      <c r="A62" s="33">
        <v>59</v>
      </c>
      <c r="B62" s="30">
        <v>-550.79999999999995</v>
      </c>
      <c r="C62" s="30">
        <v>-9.335593220338982</v>
      </c>
      <c r="D62" s="35">
        <v>2.2711864406779663</v>
      </c>
      <c r="E62" s="31">
        <v>0.1864406779661017</v>
      </c>
      <c r="F62" s="31">
        <v>0.4576271186440678</v>
      </c>
      <c r="G62" s="31">
        <v>0.25820568927789933</v>
      </c>
      <c r="H62" s="31">
        <v>0.19693654266958424</v>
      </c>
      <c r="I62" s="32">
        <v>8983.0508474576272</v>
      </c>
      <c r="J62" s="32">
        <v>-9838.8888888888887</v>
      </c>
      <c r="K62" s="31">
        <v>0.22033898305084745</v>
      </c>
      <c r="L62" s="31">
        <v>0.25992779783393499</v>
      </c>
      <c r="M62" s="31">
        <v>0.25992779783393499</v>
      </c>
      <c r="N62" s="31">
        <v>0.44444444444444442</v>
      </c>
      <c r="O62" s="31">
        <v>0.3611111111111111</v>
      </c>
      <c r="P62" s="31">
        <v>0.4576271186440678</v>
      </c>
    </row>
    <row r="63" spans="1:16" x14ac:dyDescent="0.4">
      <c r="A63" s="33">
        <v>60</v>
      </c>
      <c r="B63" s="30">
        <v>-535.29999999999995</v>
      </c>
      <c r="C63" s="30">
        <v>-8.9216666666666651</v>
      </c>
      <c r="D63" s="35">
        <v>2.2666666666666666</v>
      </c>
      <c r="E63" s="31">
        <v>0.18333333333333332</v>
      </c>
      <c r="F63" s="31">
        <v>0.45</v>
      </c>
      <c r="G63" s="31">
        <v>0.25862068965517243</v>
      </c>
      <c r="H63" s="31">
        <v>0.19396551724137931</v>
      </c>
      <c r="I63" s="32">
        <v>9050</v>
      </c>
      <c r="J63" s="32">
        <v>-9838.8888888888887</v>
      </c>
      <c r="K63" s="31">
        <v>0.21666666666666667</v>
      </c>
      <c r="L63" s="31">
        <v>0.25352112676056338</v>
      </c>
      <c r="M63" s="31">
        <v>0.26760563380281688</v>
      </c>
      <c r="N63" s="31">
        <v>0.44444444444444442</v>
      </c>
      <c r="O63" s="31">
        <v>0.36842105263157893</v>
      </c>
      <c r="P63" s="31">
        <v>0.45</v>
      </c>
    </row>
    <row r="64" spans="1:16" x14ac:dyDescent="0.4">
      <c r="A64" s="33">
        <v>61</v>
      </c>
      <c r="B64" s="30">
        <v>-492.29999999999995</v>
      </c>
      <c r="C64" s="30">
        <v>-8.0704918032786885</v>
      </c>
      <c r="D64" s="35">
        <v>2.2459016393442623</v>
      </c>
      <c r="E64" s="31">
        <v>0.19672131147540983</v>
      </c>
      <c r="F64" s="31">
        <v>0.44262295081967212</v>
      </c>
      <c r="G64" s="31">
        <v>0.2633832976445396</v>
      </c>
      <c r="H64" s="31">
        <v>0.19271948608137046</v>
      </c>
      <c r="I64" s="32">
        <v>9170.7317073170725</v>
      </c>
      <c r="J64" s="32">
        <v>-9838.8888888888887</v>
      </c>
      <c r="K64" s="31">
        <v>0.21311475409836064</v>
      </c>
      <c r="L64" s="31">
        <v>0.25783972125435539</v>
      </c>
      <c r="M64" s="31">
        <v>0.26829268292682928</v>
      </c>
      <c r="N64" s="31">
        <v>0.45945945945945948</v>
      </c>
      <c r="O64" s="31">
        <v>0.37662337662337664</v>
      </c>
      <c r="P64" s="31">
        <v>0.44715447154471544</v>
      </c>
    </row>
    <row r="65" spans="1:16" x14ac:dyDescent="0.4">
      <c r="A65" s="33">
        <v>62</v>
      </c>
      <c r="B65" s="30">
        <v>-511.9</v>
      </c>
      <c r="C65" s="30">
        <v>-8.2564516129032253</v>
      </c>
      <c r="D65" s="35">
        <v>2.2580645161290325</v>
      </c>
      <c r="E65" s="31">
        <v>0.19354838709677419</v>
      </c>
      <c r="F65" s="31">
        <v>0.45161290322580644</v>
      </c>
      <c r="G65" s="31">
        <v>0.26105263157894737</v>
      </c>
      <c r="H65" s="31">
        <v>0.19157894736842104</v>
      </c>
      <c r="I65" s="32">
        <v>9193.5483870967746</v>
      </c>
      <c r="J65" s="32">
        <v>-10060.439560439561</v>
      </c>
      <c r="K65" s="31">
        <v>0.20967741935483872</v>
      </c>
      <c r="L65" s="31">
        <v>0.26101694915254237</v>
      </c>
      <c r="M65" s="31">
        <v>0.26779661016949152</v>
      </c>
      <c r="N65" s="31">
        <v>0.44155844155844154</v>
      </c>
      <c r="O65" s="31">
        <v>0.379746835443038</v>
      </c>
      <c r="P65" s="31">
        <v>0.45161290322580644</v>
      </c>
    </row>
    <row r="66" spans="1:16" x14ac:dyDescent="0.4">
      <c r="A66" s="33">
        <v>63</v>
      </c>
      <c r="B66" s="30">
        <v>-524.1</v>
      </c>
      <c r="C66" s="30">
        <v>-8.3190476190476197</v>
      </c>
      <c r="D66" s="35">
        <v>2.253968253968254</v>
      </c>
      <c r="E66" s="31">
        <v>0.19047619047619047</v>
      </c>
      <c r="F66" s="31">
        <v>0.44444444444444442</v>
      </c>
      <c r="G66" s="31">
        <v>0.25979381443298971</v>
      </c>
      <c r="H66" s="31">
        <v>0.19175257731958764</v>
      </c>
      <c r="I66" s="32">
        <v>9238.0952380952385</v>
      </c>
      <c r="J66" s="32">
        <v>-10029.032258064517</v>
      </c>
      <c r="K66" s="31">
        <v>0.20634920634920634</v>
      </c>
      <c r="L66" s="31">
        <v>0.26229508196721313</v>
      </c>
      <c r="M66" s="31">
        <v>0.26885245901639343</v>
      </c>
      <c r="N66" s="31">
        <v>0.45</v>
      </c>
      <c r="O66" s="31">
        <v>0.36585365853658536</v>
      </c>
      <c r="P66" s="31">
        <v>0.45238095238095238</v>
      </c>
    </row>
    <row r="67" spans="1:16" x14ac:dyDescent="0.4">
      <c r="A67" s="33">
        <v>64</v>
      </c>
      <c r="B67" s="30">
        <v>-535.9</v>
      </c>
      <c r="C67" s="30">
        <v>-8.3734374999999996</v>
      </c>
      <c r="D67" s="35">
        <v>2.25</v>
      </c>
      <c r="E67" s="31">
        <v>0.1875</v>
      </c>
      <c r="F67" s="31">
        <v>0.4375</v>
      </c>
      <c r="G67" s="31">
        <v>0.258130081300813</v>
      </c>
      <c r="H67" s="31">
        <v>0.18902439024390244</v>
      </c>
      <c r="I67" s="32">
        <v>9228.3464566929142</v>
      </c>
      <c r="J67" s="32">
        <v>-10029.032258064517</v>
      </c>
      <c r="K67" s="31">
        <v>0.203125</v>
      </c>
      <c r="L67" s="31">
        <v>0.25641025641025639</v>
      </c>
      <c r="M67" s="31">
        <v>0.26923076923076922</v>
      </c>
      <c r="N67" s="31">
        <v>0.45</v>
      </c>
      <c r="O67" s="31">
        <v>0.36904761904761907</v>
      </c>
      <c r="P67" s="31">
        <v>0.44881889763779526</v>
      </c>
    </row>
    <row r="68" spans="1:16" x14ac:dyDescent="0.4">
      <c r="A68" s="33">
        <v>65</v>
      </c>
      <c r="B68" s="30">
        <v>-494.59999999999997</v>
      </c>
      <c r="C68" s="30">
        <v>-7.609230769230769</v>
      </c>
      <c r="D68" s="35">
        <v>2.2307692307692308</v>
      </c>
      <c r="E68" s="31">
        <v>0.2</v>
      </c>
      <c r="F68" s="31">
        <v>0.43076923076923079</v>
      </c>
      <c r="G68" s="31">
        <v>0.25896414342629481</v>
      </c>
      <c r="H68" s="31">
        <v>0.1852589641434263</v>
      </c>
      <c r="I68" s="32">
        <v>9352.3076923076915</v>
      </c>
      <c r="J68" s="32">
        <v>-10029.032258064517</v>
      </c>
      <c r="K68" s="31">
        <v>0.2</v>
      </c>
      <c r="L68" s="31">
        <v>0.2639751552795031</v>
      </c>
      <c r="M68" s="31">
        <v>0.2639751552795031</v>
      </c>
      <c r="N68" s="31">
        <v>0.45882352941176469</v>
      </c>
      <c r="O68" s="31">
        <v>0.36470588235294116</v>
      </c>
      <c r="P68" s="31">
        <v>0.46153846153846156</v>
      </c>
    </row>
    <row r="69" spans="1:16" x14ac:dyDescent="0.4">
      <c r="A69" s="33">
        <v>66</v>
      </c>
      <c r="B69" s="30">
        <v>-483.2</v>
      </c>
      <c r="C69" s="30">
        <v>-7.3212121212121213</v>
      </c>
      <c r="D69" s="35">
        <v>2.2121212121212119</v>
      </c>
      <c r="E69" s="31">
        <v>0.21212121212121213</v>
      </c>
      <c r="F69" s="31">
        <v>0.42424242424242425</v>
      </c>
      <c r="G69" s="31">
        <v>0.2627450980392157</v>
      </c>
      <c r="H69" s="31">
        <v>0.18431372549019609</v>
      </c>
      <c r="I69" s="32">
        <v>9264.9253731343288</v>
      </c>
      <c r="J69" s="32">
        <v>-10007.446808510638</v>
      </c>
      <c r="K69" s="31">
        <v>0.19696969696969696</v>
      </c>
      <c r="L69" s="31">
        <v>0.26060606060606062</v>
      </c>
      <c r="M69" s="31">
        <v>0.26969696969696971</v>
      </c>
      <c r="N69" s="31">
        <v>0.46511627906976744</v>
      </c>
      <c r="O69" s="31">
        <v>0.3707865168539326</v>
      </c>
      <c r="P69" s="31">
        <v>0.45522388059701491</v>
      </c>
    </row>
    <row r="70" spans="1:16" x14ac:dyDescent="0.4">
      <c r="A70" s="33">
        <v>67</v>
      </c>
      <c r="B70" s="30">
        <v>-466.7</v>
      </c>
      <c r="C70" s="30">
        <v>-6.9656716417910447</v>
      </c>
      <c r="D70" s="35">
        <v>2.2089552238805972</v>
      </c>
      <c r="E70" s="31">
        <v>0.20895522388059701</v>
      </c>
      <c r="F70" s="31">
        <v>0.41791044776119401</v>
      </c>
      <c r="G70" s="31">
        <v>0.26315789473684209</v>
      </c>
      <c r="H70" s="31">
        <v>0.18323586744639375</v>
      </c>
      <c r="I70" s="32">
        <v>9329.6296296296296</v>
      </c>
      <c r="J70" s="32">
        <v>-10007.446808510638</v>
      </c>
      <c r="K70" s="31">
        <v>0.19402985074626866</v>
      </c>
      <c r="L70" s="31">
        <v>0.26126126126126126</v>
      </c>
      <c r="M70" s="31">
        <v>0.26726726726726729</v>
      </c>
      <c r="N70" s="31">
        <v>0.47126436781609193</v>
      </c>
      <c r="O70" s="31">
        <v>0.3707865168539326</v>
      </c>
      <c r="P70" s="31">
        <v>0.45185185185185184</v>
      </c>
    </row>
    <row r="71" spans="1:16" x14ac:dyDescent="0.4">
      <c r="A71" s="33">
        <v>68</v>
      </c>
      <c r="B71" s="30">
        <v>-462</v>
      </c>
      <c r="C71" s="30">
        <v>-6.7941176470588234</v>
      </c>
      <c r="D71" s="35">
        <v>2.2058823529411766</v>
      </c>
      <c r="E71" s="31">
        <v>0.20588235294117646</v>
      </c>
      <c r="F71" s="31">
        <v>0.41176470588235292</v>
      </c>
      <c r="G71" s="31">
        <v>0.26717557251908397</v>
      </c>
      <c r="H71" s="31">
        <v>0.18129770992366412</v>
      </c>
      <c r="I71" s="32">
        <v>9169.2857142857138</v>
      </c>
      <c r="J71" s="32">
        <v>-9986.3157894736851</v>
      </c>
      <c r="K71" s="31">
        <v>0.19117647058823528</v>
      </c>
      <c r="L71" s="31">
        <v>0.27034883720930231</v>
      </c>
      <c r="M71" s="31">
        <v>0.26744186046511625</v>
      </c>
      <c r="N71" s="31">
        <v>0.4731182795698925</v>
      </c>
      <c r="O71" s="31">
        <v>0.38043478260869568</v>
      </c>
      <c r="P71" s="31">
        <v>0.45</v>
      </c>
    </row>
    <row r="72" spans="1:16" x14ac:dyDescent="0.4">
      <c r="A72" s="33">
        <v>69</v>
      </c>
      <c r="B72" s="30">
        <v>-472.6</v>
      </c>
      <c r="C72" s="30">
        <v>-6.8492753623188412</v>
      </c>
      <c r="D72" s="35">
        <v>2.2173913043478262</v>
      </c>
      <c r="E72" s="31">
        <v>0.20289855072463769</v>
      </c>
      <c r="F72" s="31">
        <v>0.42028985507246375</v>
      </c>
      <c r="G72" s="31">
        <v>0.26503759398496241</v>
      </c>
      <c r="H72" s="31">
        <v>0.18233082706766918</v>
      </c>
      <c r="I72" s="32">
        <v>9138.2978723404249</v>
      </c>
      <c r="J72" s="32">
        <v>-9841.2371134020614</v>
      </c>
      <c r="K72" s="31">
        <v>0.18840579710144928</v>
      </c>
      <c r="L72" s="31">
        <v>0.26704545454545453</v>
      </c>
      <c r="M72" s="31">
        <v>0.26988636363636365</v>
      </c>
      <c r="N72" s="31">
        <v>0.46808510638297873</v>
      </c>
      <c r="O72" s="31">
        <v>0.36842105263157893</v>
      </c>
      <c r="P72" s="31">
        <v>0.45390070921985815</v>
      </c>
    </row>
    <row r="73" spans="1:16" x14ac:dyDescent="0.4">
      <c r="A73" s="33">
        <v>70</v>
      </c>
      <c r="B73" s="30">
        <v>-466.8</v>
      </c>
      <c r="C73" s="30">
        <v>-6.668571428571429</v>
      </c>
      <c r="D73" s="35">
        <v>2.2142857142857144</v>
      </c>
      <c r="E73" s="31">
        <v>0.2</v>
      </c>
      <c r="F73" s="31">
        <v>0.41428571428571431</v>
      </c>
      <c r="G73" s="31">
        <v>0.26519337016574585</v>
      </c>
      <c r="H73" s="31">
        <v>0.18416206261510129</v>
      </c>
      <c r="I73" s="32">
        <v>9156.25</v>
      </c>
      <c r="J73" s="32">
        <v>-9718</v>
      </c>
      <c r="K73" s="31">
        <v>0.18571428571428572</v>
      </c>
      <c r="L73" s="31">
        <v>0.26721763085399447</v>
      </c>
      <c r="M73" s="31">
        <v>0.27548209366391185</v>
      </c>
      <c r="N73" s="31">
        <v>0.47422680412371132</v>
      </c>
      <c r="O73" s="31">
        <v>0.36</v>
      </c>
      <c r="P73" s="31">
        <v>0.45833333333333331</v>
      </c>
    </row>
    <row r="74" spans="1:16" x14ac:dyDescent="0.4">
      <c r="A74" s="33">
        <v>71</v>
      </c>
      <c r="B74" s="30">
        <v>-446.7</v>
      </c>
      <c r="C74" s="30">
        <v>-6.2915492957746482</v>
      </c>
      <c r="D74" s="35">
        <v>2.1971830985915495</v>
      </c>
      <c r="E74" s="31">
        <v>0.21126760563380281</v>
      </c>
      <c r="F74" s="31">
        <v>0.40845070422535212</v>
      </c>
      <c r="G74" s="31">
        <v>0.26727272727272727</v>
      </c>
      <c r="H74" s="31">
        <v>0.18181818181818182</v>
      </c>
      <c r="I74" s="32">
        <v>9092.5170068027219</v>
      </c>
      <c r="J74" s="32">
        <v>-9718</v>
      </c>
      <c r="K74" s="31">
        <v>0.18309859154929578</v>
      </c>
      <c r="L74" s="31">
        <v>0.27027027027027029</v>
      </c>
      <c r="M74" s="31">
        <v>0.27567567567567569</v>
      </c>
      <c r="N74" s="31">
        <v>0.48</v>
      </c>
      <c r="O74" s="31">
        <v>0.36274509803921567</v>
      </c>
      <c r="P74" s="31">
        <v>0.46938775510204084</v>
      </c>
    </row>
    <row r="75" spans="1:16" x14ac:dyDescent="0.4">
      <c r="A75" s="33">
        <v>72</v>
      </c>
      <c r="B75" s="30">
        <v>-471.8</v>
      </c>
      <c r="C75" s="30">
        <v>-6.552777777777778</v>
      </c>
      <c r="D75" s="35">
        <v>2.2083333333333335</v>
      </c>
      <c r="E75" s="31">
        <v>0.20833333333333334</v>
      </c>
      <c r="F75" s="31">
        <v>0.41666666666666669</v>
      </c>
      <c r="G75" s="31">
        <v>0.26523297491039427</v>
      </c>
      <c r="H75" s="31">
        <v>0.18458781362007168</v>
      </c>
      <c r="I75" s="32">
        <v>9085.135135135135</v>
      </c>
      <c r="J75" s="32">
        <v>-9679.6116504854363</v>
      </c>
      <c r="K75" s="31">
        <v>0.18055555555555555</v>
      </c>
      <c r="L75" s="31">
        <v>0.26455026455026454</v>
      </c>
      <c r="M75" s="31">
        <v>0.28306878306878308</v>
      </c>
      <c r="N75" s="31">
        <v>0.48</v>
      </c>
      <c r="O75" s="31">
        <v>0.35514018691588783</v>
      </c>
      <c r="P75" s="31">
        <v>0.47297297297297297</v>
      </c>
    </row>
    <row r="76" spans="1:16" x14ac:dyDescent="0.4">
      <c r="A76" s="33">
        <v>73</v>
      </c>
      <c r="B76" s="30">
        <v>-486.2</v>
      </c>
      <c r="C76" s="30">
        <v>-6.6602739726027398</v>
      </c>
      <c r="D76" s="35">
        <v>2.2191780821917808</v>
      </c>
      <c r="E76" s="31">
        <v>0.20547945205479451</v>
      </c>
      <c r="F76" s="31">
        <v>0.42465753424657532</v>
      </c>
      <c r="G76" s="31">
        <v>0.2667844522968198</v>
      </c>
      <c r="H76" s="31">
        <v>0.18551236749116609</v>
      </c>
      <c r="I76" s="32">
        <v>9090.0662251655631</v>
      </c>
      <c r="J76" s="32">
        <v>-9751.4285714285706</v>
      </c>
      <c r="K76" s="31">
        <v>0.17808219178082191</v>
      </c>
      <c r="L76" s="31">
        <v>0.27202072538860106</v>
      </c>
      <c r="M76" s="31">
        <v>0.27979274611398963</v>
      </c>
      <c r="N76" s="31">
        <v>0.48571428571428571</v>
      </c>
      <c r="O76" s="31">
        <v>0.35185185185185186</v>
      </c>
      <c r="P76" s="31">
        <v>0.47682119205298013</v>
      </c>
    </row>
    <row r="77" spans="1:16" x14ac:dyDescent="0.4">
      <c r="A77" s="33">
        <v>74</v>
      </c>
      <c r="B77" s="30">
        <v>-520.20000000000005</v>
      </c>
      <c r="C77" s="30">
        <v>-7.0297297297297305</v>
      </c>
      <c r="D77" s="35">
        <v>2.2297297297297298</v>
      </c>
      <c r="E77" s="31">
        <v>0.20270270270270271</v>
      </c>
      <c r="F77" s="31">
        <v>0.43243243243243246</v>
      </c>
      <c r="G77" s="31">
        <v>0.26398601398601401</v>
      </c>
      <c r="H77" s="31">
        <v>0.18706293706293706</v>
      </c>
      <c r="I77" s="32">
        <v>9090.0662251655631</v>
      </c>
      <c r="J77" s="32">
        <v>-9756.074766355141</v>
      </c>
      <c r="K77" s="31">
        <v>0.17567567567567569</v>
      </c>
      <c r="L77" s="31">
        <v>0.27295918367346939</v>
      </c>
      <c r="M77" s="31">
        <v>0.27551020408163263</v>
      </c>
      <c r="N77" s="31">
        <v>0.47663551401869159</v>
      </c>
      <c r="O77" s="31">
        <v>0.35185185185185186</v>
      </c>
      <c r="P77" s="31">
        <v>0.47682119205298013</v>
      </c>
    </row>
    <row r="78" spans="1:16" x14ac:dyDescent="0.4">
      <c r="A78" s="33">
        <v>75</v>
      </c>
      <c r="B78" s="30">
        <v>-493.70000000000005</v>
      </c>
      <c r="C78" s="30">
        <v>-6.5826666666666673</v>
      </c>
      <c r="D78" s="35">
        <v>2.2133333333333334</v>
      </c>
      <c r="E78" s="31">
        <v>0.21333333333333335</v>
      </c>
      <c r="F78" s="31">
        <v>0.42666666666666669</v>
      </c>
      <c r="G78" s="31">
        <v>0.26816608996539792</v>
      </c>
      <c r="H78" s="31">
        <v>0.18685121107266436</v>
      </c>
      <c r="I78" s="32">
        <v>9070.967741935483</v>
      </c>
      <c r="J78" s="32">
        <v>-9701.8518518518522</v>
      </c>
      <c r="K78" s="31">
        <v>0.17333333333333334</v>
      </c>
      <c r="L78" s="31">
        <v>0.271356783919598</v>
      </c>
      <c r="M78" s="31">
        <v>0.27889447236180903</v>
      </c>
      <c r="N78" s="31">
        <v>0.48148148148148145</v>
      </c>
      <c r="O78" s="31">
        <v>0.36036036036036034</v>
      </c>
      <c r="P78" s="31">
        <v>0.47741935483870968</v>
      </c>
    </row>
    <row r="79" spans="1:16" x14ac:dyDescent="0.4">
      <c r="A79" s="33">
        <v>76</v>
      </c>
      <c r="B79" s="30">
        <v>-475.70000000000005</v>
      </c>
      <c r="C79" s="30">
        <v>-6.2592105263157904</v>
      </c>
      <c r="D79" s="35">
        <v>2.1973684210526314</v>
      </c>
      <c r="E79" s="31">
        <v>0.22368421052631579</v>
      </c>
      <c r="F79" s="31">
        <v>0.42105263157894735</v>
      </c>
      <c r="G79" s="31">
        <v>0.2713310580204778</v>
      </c>
      <c r="H79" s="31">
        <v>0.18941979522184299</v>
      </c>
      <c r="I79" s="32">
        <v>9125.7861635220124</v>
      </c>
      <c r="J79" s="32">
        <v>-9637.8378378378384</v>
      </c>
      <c r="K79" s="31">
        <v>0.17105263157894737</v>
      </c>
      <c r="L79" s="31">
        <v>0.27093596059113301</v>
      </c>
      <c r="M79" s="31">
        <v>0.27832512315270935</v>
      </c>
      <c r="N79" s="31">
        <v>0.49090909090909091</v>
      </c>
      <c r="O79" s="31">
        <v>0.36283185840707965</v>
      </c>
      <c r="P79" s="31">
        <v>0.4779874213836478</v>
      </c>
    </row>
    <row r="80" spans="1:16" x14ac:dyDescent="0.4">
      <c r="A80" s="33">
        <v>77</v>
      </c>
      <c r="B80" s="30">
        <v>-517.20000000000005</v>
      </c>
      <c r="C80" s="30">
        <v>-6.7168831168831176</v>
      </c>
      <c r="D80" s="35">
        <v>2.2077922077922079</v>
      </c>
      <c r="E80" s="31">
        <v>0.22077922077922077</v>
      </c>
      <c r="F80" s="31">
        <v>0.42857142857142855</v>
      </c>
      <c r="G80" s="31">
        <v>0.26890756302521007</v>
      </c>
      <c r="H80" s="31">
        <v>0.19327731092436976</v>
      </c>
      <c r="I80" s="32">
        <v>9118.75</v>
      </c>
      <c r="J80" s="32">
        <v>-9637.391304347826</v>
      </c>
      <c r="K80" s="31">
        <v>0.18181818181818182</v>
      </c>
      <c r="L80" s="31">
        <v>0.26746987951807227</v>
      </c>
      <c r="M80" s="31">
        <v>0.27710843373493976</v>
      </c>
      <c r="N80" s="31">
        <v>0.48648648648648651</v>
      </c>
      <c r="O80" s="31">
        <v>0.35652173913043478</v>
      </c>
      <c r="P80" s="31">
        <v>0.48125000000000001</v>
      </c>
    </row>
    <row r="81" spans="1:16" x14ac:dyDescent="0.4">
      <c r="A81" s="33">
        <v>78</v>
      </c>
      <c r="B81" s="30">
        <v>-519</v>
      </c>
      <c r="C81" s="30">
        <v>-6.6538461538461542</v>
      </c>
      <c r="D81" s="35">
        <v>2.2051282051282053</v>
      </c>
      <c r="E81" s="31">
        <v>0.21794871794871795</v>
      </c>
      <c r="F81" s="31">
        <v>0.42307692307692307</v>
      </c>
      <c r="G81" s="31">
        <v>0.27121464226289516</v>
      </c>
      <c r="H81" s="31">
        <v>0.1913477537437604</v>
      </c>
      <c r="I81" s="32">
        <v>9028.8343558282213</v>
      </c>
      <c r="J81" s="32">
        <v>-9637.391304347826</v>
      </c>
      <c r="K81" s="31">
        <v>0.17948717948717949</v>
      </c>
      <c r="L81" s="31">
        <v>0.26840855106888362</v>
      </c>
      <c r="M81" s="31">
        <v>0.27553444180522563</v>
      </c>
      <c r="N81" s="31">
        <v>0.48672566371681414</v>
      </c>
      <c r="O81" s="31">
        <v>0.35344827586206895</v>
      </c>
      <c r="P81" s="31">
        <v>0.4785276073619632</v>
      </c>
    </row>
    <row r="82" spans="1:16" x14ac:dyDescent="0.4">
      <c r="A82" s="33">
        <v>79</v>
      </c>
      <c r="B82" s="30">
        <v>-481</v>
      </c>
      <c r="C82" s="30">
        <v>-6.0886075949367084</v>
      </c>
      <c r="D82" s="35">
        <v>2.1898734177215191</v>
      </c>
      <c r="E82" s="31">
        <v>0.22784810126582278</v>
      </c>
      <c r="F82" s="31">
        <v>0.41772151898734178</v>
      </c>
      <c r="G82" s="31">
        <v>0.27317880794701987</v>
      </c>
      <c r="H82" s="31">
        <v>0.19039735099337748</v>
      </c>
      <c r="I82" s="32">
        <v>9137.575757575758</v>
      </c>
      <c r="J82" s="32">
        <v>-9637.391304347826</v>
      </c>
      <c r="K82" s="31">
        <v>0.17721518987341772</v>
      </c>
      <c r="L82" s="31">
        <v>0.26650943396226418</v>
      </c>
      <c r="M82" s="31">
        <v>0.27594339622641512</v>
      </c>
      <c r="N82" s="31">
        <v>0.48672566371681414</v>
      </c>
      <c r="O82" s="31">
        <v>0.35897435897435898</v>
      </c>
      <c r="P82" s="31">
        <v>0.47878787878787876</v>
      </c>
    </row>
    <row r="83" spans="1:16" x14ac:dyDescent="0.4">
      <c r="A83" s="33">
        <v>80</v>
      </c>
      <c r="B83" s="30">
        <v>-434.2</v>
      </c>
      <c r="C83" s="30">
        <v>-5.4275000000000002</v>
      </c>
      <c r="D83" s="35">
        <v>2.1749999999999998</v>
      </c>
      <c r="E83" s="31">
        <v>0.23749999999999999</v>
      </c>
      <c r="F83" s="31">
        <v>0.41249999999999998</v>
      </c>
      <c r="G83" s="31">
        <v>0.2780487804878049</v>
      </c>
      <c r="H83" s="31">
        <v>0.1886178861788618</v>
      </c>
      <c r="I83" s="32">
        <v>9183.625730994152</v>
      </c>
      <c r="J83" s="32">
        <v>-9587.9310344827591</v>
      </c>
      <c r="K83" s="31">
        <v>0.17499999999999999</v>
      </c>
      <c r="L83" s="31">
        <v>0.26666666666666666</v>
      </c>
      <c r="M83" s="31">
        <v>0.27816091954022987</v>
      </c>
      <c r="N83" s="31">
        <v>0.49137931034482757</v>
      </c>
      <c r="O83" s="31">
        <v>0.37190082644628097</v>
      </c>
      <c r="P83" s="31">
        <v>0.47368421052631576</v>
      </c>
    </row>
    <row r="84" spans="1:16" x14ac:dyDescent="0.4">
      <c r="A84" s="33">
        <v>81</v>
      </c>
      <c r="B84" s="30">
        <v>-479.2</v>
      </c>
      <c r="C84" s="30">
        <v>-5.9160493827160492</v>
      </c>
      <c r="D84" s="35">
        <v>2.1851851851851851</v>
      </c>
      <c r="E84" s="31">
        <v>0.23456790123456789</v>
      </c>
      <c r="F84" s="31">
        <v>0.41975308641975306</v>
      </c>
      <c r="G84" s="31">
        <v>0.27741935483870966</v>
      </c>
      <c r="H84" s="31">
        <v>0.18870967741935485</v>
      </c>
      <c r="I84" s="32">
        <v>9176.7441860465115</v>
      </c>
      <c r="J84" s="32">
        <v>-9642.735042735043</v>
      </c>
      <c r="K84" s="31">
        <v>0.18518518518518517</v>
      </c>
      <c r="L84" s="31">
        <v>0.26818181818181819</v>
      </c>
      <c r="M84" s="31">
        <v>0.27727272727272728</v>
      </c>
      <c r="N84" s="31">
        <v>0.49152542372881358</v>
      </c>
      <c r="O84" s="31">
        <v>0.36885245901639346</v>
      </c>
      <c r="P84" s="31">
        <v>0.47674418604651164</v>
      </c>
    </row>
    <row r="85" spans="1:16" x14ac:dyDescent="0.4">
      <c r="A85" s="33">
        <v>82</v>
      </c>
      <c r="B85" s="30">
        <v>-517.70000000000005</v>
      </c>
      <c r="C85" s="30">
        <v>-6.3134146341463424</v>
      </c>
      <c r="D85" s="35">
        <v>2.1951219512195124</v>
      </c>
      <c r="E85" s="31">
        <v>0.23170731707317074</v>
      </c>
      <c r="F85" s="31">
        <v>0.42682926829268292</v>
      </c>
      <c r="G85" s="31">
        <v>0.27531645569620256</v>
      </c>
      <c r="H85" s="31">
        <v>0.189873417721519</v>
      </c>
      <c r="I85" s="32">
        <v>9163.2183908045972</v>
      </c>
      <c r="J85" s="32">
        <v>-9668.3333333333339</v>
      </c>
      <c r="K85" s="31">
        <v>0.1951219512195122</v>
      </c>
      <c r="L85" s="31">
        <v>0.27433628318584069</v>
      </c>
      <c r="M85" s="31">
        <v>0.27654867256637167</v>
      </c>
      <c r="N85" s="31">
        <v>0.4838709677419355</v>
      </c>
      <c r="O85" s="31">
        <v>0.36</v>
      </c>
      <c r="P85" s="31">
        <v>0.47701149425287354</v>
      </c>
    </row>
    <row r="86" spans="1:16" x14ac:dyDescent="0.4">
      <c r="A86" s="33">
        <v>83</v>
      </c>
      <c r="B86" s="30">
        <v>-521.5</v>
      </c>
      <c r="C86" s="30">
        <v>-6.2831325301204819</v>
      </c>
      <c r="D86" s="35">
        <v>2.1927710843373496</v>
      </c>
      <c r="E86" s="31">
        <v>0.2289156626506024</v>
      </c>
      <c r="F86" s="31">
        <v>0.42168674698795183</v>
      </c>
      <c r="G86" s="31">
        <v>0.27925117004680189</v>
      </c>
      <c r="H86" s="31">
        <v>0.19032761310452417</v>
      </c>
      <c r="I86" s="32">
        <v>9018.4357541899444</v>
      </c>
      <c r="J86" s="32">
        <v>-9640.1639344262294</v>
      </c>
      <c r="K86" s="31">
        <v>0.19277108433734941</v>
      </c>
      <c r="L86" s="31">
        <v>0.27331887201735355</v>
      </c>
      <c r="M86" s="31">
        <v>0.28199566160520606</v>
      </c>
      <c r="N86" s="31">
        <v>0.48412698412698413</v>
      </c>
      <c r="O86" s="31">
        <v>0.37692307692307692</v>
      </c>
      <c r="P86" s="31">
        <v>0.47486033519553073</v>
      </c>
    </row>
    <row r="87" spans="1:16" x14ac:dyDescent="0.4">
      <c r="A87" s="33">
        <v>84</v>
      </c>
      <c r="B87" s="30">
        <v>-540.4</v>
      </c>
      <c r="C87" s="30">
        <v>-6.4333333333333327</v>
      </c>
      <c r="D87" s="35">
        <v>2.2023809523809526</v>
      </c>
      <c r="E87" s="31">
        <v>0.22619047619047619</v>
      </c>
      <c r="F87" s="31">
        <v>0.42857142857142855</v>
      </c>
      <c r="G87" s="31">
        <v>0.27889060092449924</v>
      </c>
      <c r="H87" s="31">
        <v>0.19106317411402157</v>
      </c>
      <c r="I87" s="32">
        <v>8984.5303867403309</v>
      </c>
      <c r="J87" s="32">
        <v>-9645.967741935483</v>
      </c>
      <c r="K87" s="31">
        <v>0.19047619047619047</v>
      </c>
      <c r="L87" s="31">
        <v>0.27505330490405117</v>
      </c>
      <c r="M87" s="31">
        <v>0.28144989339019189</v>
      </c>
      <c r="N87" s="31">
        <v>0.48062015503875971</v>
      </c>
      <c r="O87" s="31">
        <v>0.37878787878787878</v>
      </c>
      <c r="P87" s="31">
        <v>0.47513812154696133</v>
      </c>
    </row>
    <row r="88" spans="1:16" x14ac:dyDescent="0.4">
      <c r="A88" s="33">
        <v>85</v>
      </c>
      <c r="B88" s="30">
        <v>-559</v>
      </c>
      <c r="C88" s="30">
        <v>-6.5764705882352938</v>
      </c>
      <c r="D88" s="35">
        <v>2.2117647058823531</v>
      </c>
      <c r="E88" s="31">
        <v>0.22352941176470589</v>
      </c>
      <c r="F88" s="31">
        <v>0.43529411764705883</v>
      </c>
      <c r="G88" s="31">
        <v>0.27878787878787881</v>
      </c>
      <c r="H88" s="31">
        <v>0.19090909090909092</v>
      </c>
      <c r="I88" s="32">
        <v>8946.1956521739139</v>
      </c>
      <c r="J88" s="32">
        <v>-9651.5873015873021</v>
      </c>
      <c r="K88" s="31">
        <v>0.18823529411764706</v>
      </c>
      <c r="L88" s="31">
        <v>0.27291666666666664</v>
      </c>
      <c r="M88" s="31">
        <v>0.28333333333333333</v>
      </c>
      <c r="N88" s="31">
        <v>0.48091603053435117</v>
      </c>
      <c r="O88" s="31">
        <v>0.36764705882352944</v>
      </c>
      <c r="P88" s="31">
        <v>0.47826086956521741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2D02A-7A24-4943-ADF4-F209DA6D61B8}">
  <sheetPr codeName="Sheet18"/>
  <dimension ref="A1:Q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214</v>
      </c>
      <c r="B1" s="34" t="s">
        <v>214</v>
      </c>
      <c r="C1" s="34" t="s">
        <v>214</v>
      </c>
      <c r="D1" s="35" t="s">
        <v>214</v>
      </c>
      <c r="E1" s="34" t="s">
        <v>214</v>
      </c>
      <c r="F1" s="34" t="s">
        <v>214</v>
      </c>
      <c r="G1" s="34" t="s">
        <v>214</v>
      </c>
      <c r="H1" s="34" t="s">
        <v>214</v>
      </c>
      <c r="I1" s="34" t="s">
        <v>214</v>
      </c>
      <c r="J1" s="34" t="s">
        <v>214</v>
      </c>
      <c r="K1" s="34" t="s">
        <v>214</v>
      </c>
      <c r="L1" s="34" t="s">
        <v>214</v>
      </c>
      <c r="M1" s="34" t="s">
        <v>214</v>
      </c>
      <c r="N1" s="34" t="s">
        <v>214</v>
      </c>
      <c r="O1" s="34" t="s">
        <v>214</v>
      </c>
      <c r="P1" s="34" t="s">
        <v>214</v>
      </c>
      <c r="Q1" s="34" t="s">
        <v>214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-40.700000000000003</v>
      </c>
      <c r="C4" s="30">
        <v>-40.700000000000003</v>
      </c>
      <c r="D4" s="35">
        <v>2</v>
      </c>
      <c r="E4" s="31">
        <v>0</v>
      </c>
      <c r="F4" s="31">
        <v>0</v>
      </c>
      <c r="G4" s="31">
        <v>0.16666666666666666</v>
      </c>
      <c r="H4" s="31">
        <v>0.33333333333333331</v>
      </c>
      <c r="I4" s="32">
        <v>1300</v>
      </c>
      <c r="J4" s="32">
        <v>-8500</v>
      </c>
      <c r="K4" s="31">
        <v>1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-81.7</v>
      </c>
      <c r="C5" s="30">
        <v>-40.85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0.44444444444444442</v>
      </c>
      <c r="I5" s="32">
        <v>1650</v>
      </c>
      <c r="J5" s="32">
        <v>-15250</v>
      </c>
      <c r="K5" s="31">
        <v>1</v>
      </c>
      <c r="L5" s="31">
        <v>0</v>
      </c>
      <c r="M5" s="31">
        <v>0.33333333333333331</v>
      </c>
      <c r="N5" s="31">
        <v>0</v>
      </c>
      <c r="O5" s="31">
        <v>1</v>
      </c>
      <c r="P5" s="31">
        <v>0</v>
      </c>
    </row>
    <row r="6" spans="1:17" x14ac:dyDescent="0.4">
      <c r="A6" s="33">
        <v>3</v>
      </c>
      <c r="B6" s="30">
        <v>-88.9</v>
      </c>
      <c r="C6" s="30">
        <v>-29.633333333333336</v>
      </c>
      <c r="D6" s="35">
        <v>2.3333333333333335</v>
      </c>
      <c r="E6" s="31">
        <v>0</v>
      </c>
      <c r="F6" s="31">
        <v>0.33333333333333331</v>
      </c>
      <c r="G6" s="31">
        <v>0.22727272727272727</v>
      </c>
      <c r="H6" s="31">
        <v>0.27272727272727271</v>
      </c>
      <c r="I6" s="32">
        <v>6100</v>
      </c>
      <c r="J6" s="32">
        <v>-12650</v>
      </c>
      <c r="K6" s="31">
        <v>0.66666666666666663</v>
      </c>
      <c r="L6" s="31">
        <v>0.25</v>
      </c>
      <c r="M6" s="31">
        <v>0.25</v>
      </c>
      <c r="N6" s="31">
        <v>0.75</v>
      </c>
      <c r="O6" s="31">
        <v>0.25</v>
      </c>
      <c r="P6" s="31">
        <v>0.4</v>
      </c>
    </row>
    <row r="7" spans="1:17" x14ac:dyDescent="0.4">
      <c r="A7" s="33">
        <v>4</v>
      </c>
      <c r="B7" s="30">
        <v>-109.2</v>
      </c>
      <c r="C7" s="30">
        <v>-27.3</v>
      </c>
      <c r="D7" s="35">
        <v>2.5</v>
      </c>
      <c r="E7" s="31">
        <v>0</v>
      </c>
      <c r="F7" s="31">
        <v>0.5</v>
      </c>
      <c r="G7" s="31">
        <v>0.21875</v>
      </c>
      <c r="H7" s="31">
        <v>0.25</v>
      </c>
      <c r="I7" s="32">
        <v>7171.4285714285716</v>
      </c>
      <c r="J7" s="32">
        <v>-12487.5</v>
      </c>
      <c r="K7" s="31">
        <v>0.5</v>
      </c>
      <c r="L7" s="31">
        <v>0.23076923076923078</v>
      </c>
      <c r="M7" s="31">
        <v>0.19230769230769232</v>
      </c>
      <c r="N7" s="31">
        <v>0.83333333333333337</v>
      </c>
      <c r="O7" s="31">
        <v>0.2</v>
      </c>
      <c r="P7" s="31">
        <v>0.2857142857142857</v>
      </c>
    </row>
    <row r="8" spans="1:17" x14ac:dyDescent="0.4">
      <c r="A8" s="33">
        <v>5</v>
      </c>
      <c r="B8" s="30">
        <v>-86.4</v>
      </c>
      <c r="C8" s="30">
        <v>-17.28</v>
      </c>
      <c r="D8" s="35">
        <v>2.2000000000000002</v>
      </c>
      <c r="E8" s="31">
        <v>0.2</v>
      </c>
      <c r="F8" s="31">
        <v>0.4</v>
      </c>
      <c r="G8" s="31">
        <v>0.27027027027027029</v>
      </c>
      <c r="H8" s="31">
        <v>0.21621621621621623</v>
      </c>
      <c r="I8" s="32">
        <v>7100</v>
      </c>
      <c r="J8" s="32">
        <v>-12487.5</v>
      </c>
      <c r="K8" s="31">
        <v>0.4</v>
      </c>
      <c r="L8" s="31">
        <v>0.25806451612903225</v>
      </c>
      <c r="M8" s="31">
        <v>0.16129032258064516</v>
      </c>
      <c r="N8" s="31">
        <v>0.75</v>
      </c>
      <c r="O8" s="31">
        <v>0.2</v>
      </c>
      <c r="P8" s="31">
        <v>0.3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7591D-1DD7-4299-8062-F11E4E26980B}">
  <sheetPr codeName="Sheet16"/>
  <dimension ref="A1:Q6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-39.9</v>
      </c>
      <c r="C4" s="30">
        <v>-39.9</v>
      </c>
      <c r="D4" s="35">
        <v>3</v>
      </c>
      <c r="E4" s="31">
        <v>0</v>
      </c>
      <c r="F4" s="31">
        <v>1</v>
      </c>
      <c r="G4" s="31">
        <v>0</v>
      </c>
      <c r="H4" s="31">
        <v>0.66666666666666663</v>
      </c>
      <c r="I4" s="32">
        <v>0</v>
      </c>
      <c r="J4" s="32">
        <v>0</v>
      </c>
      <c r="K4" s="31">
        <v>1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-13.2</v>
      </c>
      <c r="C5" s="30">
        <v>-6.6</v>
      </c>
      <c r="D5" s="35">
        <v>2</v>
      </c>
      <c r="E5" s="31">
        <v>0.5</v>
      </c>
      <c r="F5" s="31">
        <v>0.5</v>
      </c>
      <c r="G5" s="31">
        <v>0.25</v>
      </c>
      <c r="H5" s="31">
        <v>0.25</v>
      </c>
      <c r="I5" s="32">
        <v>16000</v>
      </c>
      <c r="J5" s="32">
        <v>0</v>
      </c>
      <c r="K5" s="31">
        <v>0.5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</row>
    <row r="6" spans="1:17" x14ac:dyDescent="0.4">
      <c r="A6" s="33">
        <v>3</v>
      </c>
      <c r="B6" s="30">
        <v>-57.7</v>
      </c>
      <c r="C6" s="30">
        <v>-19.233333333333334</v>
      </c>
      <c r="D6" s="35">
        <v>2.3333333333333335</v>
      </c>
      <c r="E6" s="31">
        <v>0.33333333333333331</v>
      </c>
      <c r="F6" s="31">
        <v>0.66666666666666663</v>
      </c>
      <c r="G6" s="31">
        <v>0.14285714285714285</v>
      </c>
      <c r="H6" s="31">
        <v>0.21428571428571427</v>
      </c>
      <c r="I6" s="32">
        <v>16000</v>
      </c>
      <c r="J6" s="32">
        <v>-6000</v>
      </c>
      <c r="K6" s="31">
        <v>0.66666666666666663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</row>
    <row r="7" spans="1:17" x14ac:dyDescent="0.4">
      <c r="A7" s="33">
        <v>4</v>
      </c>
      <c r="B7" s="30">
        <v>-53.7</v>
      </c>
      <c r="C7" s="30">
        <v>-13.425000000000001</v>
      </c>
      <c r="D7" s="35">
        <v>2.25</v>
      </c>
      <c r="E7" s="31">
        <v>0.25</v>
      </c>
      <c r="F7" s="31">
        <v>0.5</v>
      </c>
      <c r="G7" s="31">
        <v>0.2857142857142857</v>
      </c>
      <c r="H7" s="31">
        <v>0.19047619047619047</v>
      </c>
      <c r="I7" s="32">
        <v>9666.6666666666661</v>
      </c>
      <c r="J7" s="32">
        <v>-9000</v>
      </c>
      <c r="K7" s="31">
        <v>0.5</v>
      </c>
      <c r="L7" s="31">
        <v>0</v>
      </c>
      <c r="M7" s="31">
        <v>0</v>
      </c>
      <c r="N7" s="31">
        <v>0</v>
      </c>
      <c r="O7" s="31">
        <v>0</v>
      </c>
      <c r="P7" s="31">
        <v>0.16666666666666666</v>
      </c>
    </row>
    <row r="8" spans="1:17" x14ac:dyDescent="0.4">
      <c r="A8" s="33">
        <v>5</v>
      </c>
      <c r="B8" s="30">
        <v>-45.7</v>
      </c>
      <c r="C8" s="30">
        <v>-9.14</v>
      </c>
      <c r="D8" s="35">
        <v>2.2000000000000002</v>
      </c>
      <c r="E8" s="31">
        <v>0.2</v>
      </c>
      <c r="F8" s="31">
        <v>0.4</v>
      </c>
      <c r="G8" s="31">
        <v>0.30434782608695654</v>
      </c>
      <c r="H8" s="31">
        <v>0.17391304347826086</v>
      </c>
      <c r="I8" s="32">
        <v>9428.5714285714294</v>
      </c>
      <c r="J8" s="32">
        <v>-9000</v>
      </c>
      <c r="K8" s="31">
        <v>0.4</v>
      </c>
      <c r="L8" s="31">
        <v>0</v>
      </c>
      <c r="M8" s="31">
        <v>0</v>
      </c>
      <c r="N8" s="31">
        <v>0</v>
      </c>
      <c r="O8" s="31">
        <v>0</v>
      </c>
      <c r="P8" s="31">
        <v>0.14285714285714285</v>
      </c>
    </row>
    <row r="9" spans="1:17" x14ac:dyDescent="0.4">
      <c r="A9" s="33">
        <v>6</v>
      </c>
      <c r="B9" s="30">
        <v>-50.6</v>
      </c>
      <c r="C9" s="30">
        <v>-8.4333333333333336</v>
      </c>
      <c r="D9" s="35">
        <v>2.1666666666666665</v>
      </c>
      <c r="E9" s="31">
        <v>0.16666666666666666</v>
      </c>
      <c r="F9" s="31">
        <v>0.33333333333333331</v>
      </c>
      <c r="G9" s="31">
        <v>0.3</v>
      </c>
      <c r="H9" s="31">
        <v>0.2</v>
      </c>
      <c r="I9" s="32">
        <v>8333.3333333333339</v>
      </c>
      <c r="J9" s="32">
        <v>-7816.666666666667</v>
      </c>
      <c r="K9" s="31">
        <v>0.33333333333333331</v>
      </c>
      <c r="L9" s="31">
        <v>0</v>
      </c>
      <c r="M9" s="31">
        <v>0</v>
      </c>
      <c r="N9" s="31">
        <v>0</v>
      </c>
      <c r="O9" s="31">
        <v>0</v>
      </c>
      <c r="P9" s="31">
        <v>0.1111111111111111</v>
      </c>
    </row>
    <row r="10" spans="1:17" x14ac:dyDescent="0.4">
      <c r="A10" s="33">
        <v>7</v>
      </c>
      <c r="B10" s="30">
        <v>-47.6</v>
      </c>
      <c r="C10" s="30">
        <v>-6.8</v>
      </c>
      <c r="D10" s="35">
        <v>2.1428571428571428</v>
      </c>
      <c r="E10" s="31">
        <v>0.14285714285714285</v>
      </c>
      <c r="F10" s="31">
        <v>0.2857142857142857</v>
      </c>
      <c r="G10" s="31">
        <v>0.28947368421052633</v>
      </c>
      <c r="H10" s="31">
        <v>0.18421052631578946</v>
      </c>
      <c r="I10" s="32">
        <v>7909.090909090909</v>
      </c>
      <c r="J10" s="32">
        <v>-8414.2857142857138</v>
      </c>
      <c r="K10" s="31">
        <v>0.2857142857142857</v>
      </c>
      <c r="L10" s="31">
        <v>0</v>
      </c>
      <c r="M10" s="31">
        <v>0</v>
      </c>
      <c r="N10" s="31">
        <v>0</v>
      </c>
      <c r="O10" s="31">
        <v>0</v>
      </c>
      <c r="P10" s="31">
        <v>0.27272727272727271</v>
      </c>
    </row>
    <row r="11" spans="1:17" x14ac:dyDescent="0.4">
      <c r="A11" s="33">
        <v>8</v>
      </c>
      <c r="B11" s="30">
        <v>-59.1</v>
      </c>
      <c r="C11" s="30">
        <v>-7.3875000000000002</v>
      </c>
      <c r="D11" s="35">
        <v>2.125</v>
      </c>
      <c r="E11" s="31">
        <v>0.125</v>
      </c>
      <c r="F11" s="31">
        <v>0.25</v>
      </c>
      <c r="G11" s="31">
        <v>0.2608695652173913</v>
      </c>
      <c r="H11" s="31">
        <v>0.17391304347826086</v>
      </c>
      <c r="I11" s="32">
        <v>7916.666666666667</v>
      </c>
      <c r="J11" s="32">
        <v>-9612.5</v>
      </c>
      <c r="K11" s="31">
        <v>0.25</v>
      </c>
      <c r="L11" s="31">
        <v>0</v>
      </c>
      <c r="M11" s="31">
        <v>0</v>
      </c>
      <c r="N11" s="31">
        <v>0</v>
      </c>
      <c r="O11" s="31">
        <v>0</v>
      </c>
      <c r="P11" s="31">
        <v>0.25</v>
      </c>
    </row>
    <row r="12" spans="1:17" x14ac:dyDescent="0.4">
      <c r="A12" s="33">
        <v>9</v>
      </c>
      <c r="B12" s="30">
        <v>-77.900000000000006</v>
      </c>
      <c r="C12" s="30">
        <v>-8.6555555555555568</v>
      </c>
      <c r="D12" s="35">
        <v>2.1111111111111112</v>
      </c>
      <c r="E12" s="31">
        <v>0.1111111111111111</v>
      </c>
      <c r="F12" s="31">
        <v>0.22222222222222221</v>
      </c>
      <c r="G12" s="31">
        <v>0.27777777777777779</v>
      </c>
      <c r="H12" s="31">
        <v>0.16666666666666666</v>
      </c>
      <c r="I12" s="32">
        <v>7473.333333333333</v>
      </c>
      <c r="J12" s="32">
        <v>-11211.111111111111</v>
      </c>
      <c r="K12" s="31">
        <v>0.22222222222222221</v>
      </c>
      <c r="L12" s="31">
        <v>0</v>
      </c>
      <c r="M12" s="31">
        <v>0</v>
      </c>
      <c r="N12" s="31">
        <v>0</v>
      </c>
      <c r="O12" s="31">
        <v>0</v>
      </c>
      <c r="P12" s="31">
        <v>0.26666666666666666</v>
      </c>
    </row>
    <row r="13" spans="1:17" x14ac:dyDescent="0.4">
      <c r="A13" s="33">
        <v>10</v>
      </c>
      <c r="B13" s="30">
        <v>-78.900000000000006</v>
      </c>
      <c r="C13" s="30">
        <v>-7.8900000000000006</v>
      </c>
      <c r="D13" s="35">
        <v>2.1</v>
      </c>
      <c r="E13" s="31">
        <v>0.1</v>
      </c>
      <c r="F13" s="31">
        <v>0.2</v>
      </c>
      <c r="G13" s="31">
        <v>0.29032258064516131</v>
      </c>
      <c r="H13" s="31">
        <v>0.17741935483870969</v>
      </c>
      <c r="I13" s="32">
        <v>7616.666666666667</v>
      </c>
      <c r="J13" s="32">
        <v>-11354.545454545454</v>
      </c>
      <c r="K13" s="31">
        <v>0.2</v>
      </c>
      <c r="L13" s="31">
        <v>0</v>
      </c>
      <c r="M13" s="31">
        <v>0</v>
      </c>
      <c r="N13" s="31">
        <v>0</v>
      </c>
      <c r="O13" s="31">
        <v>0</v>
      </c>
      <c r="P13" s="31">
        <v>0.27777777777777779</v>
      </c>
    </row>
    <row r="14" spans="1:17" x14ac:dyDescent="0.4">
      <c r="A14" s="33">
        <v>11</v>
      </c>
      <c r="B14" s="30">
        <v>-88.9</v>
      </c>
      <c r="C14" s="30">
        <v>-8.081818181818182</v>
      </c>
      <c r="D14" s="35">
        <v>2.0909090909090908</v>
      </c>
      <c r="E14" s="31">
        <v>9.0909090909090912E-2</v>
      </c>
      <c r="F14" s="31">
        <v>0.18181818181818182</v>
      </c>
      <c r="G14" s="31">
        <v>0.2878787878787879</v>
      </c>
      <c r="H14" s="31">
        <v>0.16666666666666666</v>
      </c>
      <c r="I14" s="32">
        <v>7847.3684210526317</v>
      </c>
      <c r="J14" s="32">
        <v>-11354.545454545454</v>
      </c>
      <c r="K14" s="31">
        <v>0.18181818181818182</v>
      </c>
      <c r="L14" s="31">
        <v>0</v>
      </c>
      <c r="M14" s="31">
        <v>0</v>
      </c>
      <c r="N14" s="31">
        <v>0</v>
      </c>
      <c r="O14" s="31">
        <v>0</v>
      </c>
      <c r="P14" s="31">
        <v>0.26315789473684209</v>
      </c>
    </row>
    <row r="15" spans="1:17" x14ac:dyDescent="0.4">
      <c r="A15" s="33">
        <v>12</v>
      </c>
      <c r="B15" s="30">
        <v>-23.5</v>
      </c>
      <c r="C15" s="30">
        <v>-1.9583333333333333</v>
      </c>
      <c r="D15" s="35">
        <v>2</v>
      </c>
      <c r="E15" s="31">
        <v>0.16666666666666666</v>
      </c>
      <c r="F15" s="31">
        <v>0.16666666666666666</v>
      </c>
      <c r="G15" s="31">
        <v>0.35064935064935066</v>
      </c>
      <c r="H15" s="31">
        <v>0.16883116883116883</v>
      </c>
      <c r="I15" s="32">
        <v>8444.4444444444453</v>
      </c>
      <c r="J15" s="32">
        <v>-11146.153846153846</v>
      </c>
      <c r="K15" s="31">
        <v>0.16666666666666666</v>
      </c>
      <c r="L15" s="31">
        <v>0</v>
      </c>
      <c r="M15" s="31">
        <v>0</v>
      </c>
      <c r="N15" s="31">
        <v>0</v>
      </c>
      <c r="O15" s="31">
        <v>0</v>
      </c>
      <c r="P15" s="31">
        <v>0.22222222222222221</v>
      </c>
    </row>
    <row r="16" spans="1:17" x14ac:dyDescent="0.4">
      <c r="A16" s="33">
        <v>13</v>
      </c>
      <c r="B16" s="30">
        <v>-12.4</v>
      </c>
      <c r="C16" s="30">
        <v>-0.9538461538461539</v>
      </c>
      <c r="D16" s="35">
        <v>2</v>
      </c>
      <c r="E16" s="31">
        <v>0.15384615384615385</v>
      </c>
      <c r="F16" s="31">
        <v>0.15384615384615385</v>
      </c>
      <c r="G16" s="31">
        <v>0.35294117647058826</v>
      </c>
      <c r="H16" s="31">
        <v>0.15294117647058825</v>
      </c>
      <c r="I16" s="32">
        <v>8453.3333333333339</v>
      </c>
      <c r="J16" s="32">
        <v>-11146.153846153846</v>
      </c>
      <c r="K16" s="31">
        <v>0.15384615384615385</v>
      </c>
      <c r="L16" s="31">
        <v>0</v>
      </c>
      <c r="M16" s="31">
        <v>0</v>
      </c>
      <c r="N16" s="31">
        <v>0</v>
      </c>
      <c r="O16" s="31">
        <v>0</v>
      </c>
      <c r="P16" s="31">
        <v>0.26666666666666666</v>
      </c>
    </row>
    <row r="17" spans="1:16" x14ac:dyDescent="0.4">
      <c r="A17" s="33">
        <v>14</v>
      </c>
      <c r="B17" s="30">
        <v>38.6</v>
      </c>
      <c r="C17" s="30">
        <v>2.7571428571428571</v>
      </c>
      <c r="D17" s="35">
        <v>1.9285714285714286</v>
      </c>
      <c r="E17" s="31">
        <v>0.21428571428571427</v>
      </c>
      <c r="F17" s="31">
        <v>0.14285714285714285</v>
      </c>
      <c r="G17" s="31">
        <v>0.3707865168539326</v>
      </c>
      <c r="H17" s="31">
        <v>0.14606741573033707</v>
      </c>
      <c r="I17" s="32">
        <v>9200</v>
      </c>
      <c r="J17" s="32">
        <v>-11146.153846153846</v>
      </c>
      <c r="K17" s="31">
        <v>0.14285714285714285</v>
      </c>
      <c r="L17" s="31">
        <v>0</v>
      </c>
      <c r="M17" s="31">
        <v>0</v>
      </c>
      <c r="N17" s="31">
        <v>0</v>
      </c>
      <c r="O17" s="31">
        <v>0</v>
      </c>
      <c r="P17" s="31">
        <v>0.27272727272727271</v>
      </c>
    </row>
    <row r="18" spans="1:16" x14ac:dyDescent="0.4">
      <c r="A18" s="33">
        <v>15</v>
      </c>
      <c r="B18" s="30">
        <v>55.8</v>
      </c>
      <c r="C18" s="30">
        <v>3.7199999999999998</v>
      </c>
      <c r="D18" s="35">
        <v>1.8666666666666667</v>
      </c>
      <c r="E18" s="31">
        <v>0.26666666666666666</v>
      </c>
      <c r="F18" s="31">
        <v>0.13333333333333333</v>
      </c>
      <c r="G18" s="31">
        <v>0.38775510204081631</v>
      </c>
      <c r="H18" s="31">
        <v>0.15306122448979592</v>
      </c>
      <c r="I18" s="32">
        <v>9410.5263157894733</v>
      </c>
      <c r="J18" s="32">
        <v>-11646.666666666666</v>
      </c>
      <c r="K18" s="31">
        <v>0.13333333333333333</v>
      </c>
      <c r="L18" s="31">
        <v>0</v>
      </c>
      <c r="M18" s="31">
        <v>0</v>
      </c>
      <c r="N18" s="31">
        <v>0</v>
      </c>
      <c r="O18" s="31">
        <v>0</v>
      </c>
      <c r="P18" s="31">
        <v>0.34210526315789475</v>
      </c>
    </row>
    <row r="19" spans="1:16" x14ac:dyDescent="0.4">
      <c r="A19" s="33">
        <v>16</v>
      </c>
      <c r="B19" s="30">
        <v>40.299999999999997</v>
      </c>
      <c r="C19" s="30">
        <v>2.5187499999999998</v>
      </c>
      <c r="D19" s="35">
        <v>1.9375</v>
      </c>
      <c r="E19" s="31">
        <v>0.25</v>
      </c>
      <c r="F19" s="31">
        <v>0.1875</v>
      </c>
      <c r="G19" s="31">
        <v>0.3867924528301887</v>
      </c>
      <c r="H19" s="31">
        <v>0.16981132075471697</v>
      </c>
      <c r="I19" s="32">
        <v>9051.2195121951227</v>
      </c>
      <c r="J19" s="32">
        <v>-10983.333333333334</v>
      </c>
      <c r="K19" s="31">
        <v>0.125</v>
      </c>
      <c r="L19" s="31">
        <v>0</v>
      </c>
      <c r="M19" s="31">
        <v>0</v>
      </c>
      <c r="N19" s="31">
        <v>0</v>
      </c>
      <c r="O19" s="31">
        <v>0</v>
      </c>
      <c r="P19" s="31">
        <v>0.36585365853658536</v>
      </c>
    </row>
    <row r="20" spans="1:16" x14ac:dyDescent="0.4">
      <c r="A20" s="33">
        <v>17</v>
      </c>
      <c r="B20" s="30">
        <v>15.799999999999997</v>
      </c>
      <c r="C20" s="30">
        <v>0.92941176470588216</v>
      </c>
      <c r="D20" s="35">
        <v>1.9411764705882353</v>
      </c>
      <c r="E20" s="31">
        <v>0.23529411764705882</v>
      </c>
      <c r="F20" s="31">
        <v>0.17647058823529413</v>
      </c>
      <c r="G20" s="31">
        <v>0.3783783783783784</v>
      </c>
      <c r="H20" s="31">
        <v>0.16216216216216217</v>
      </c>
      <c r="I20" s="32">
        <v>9026.1904761904771</v>
      </c>
      <c r="J20" s="32">
        <v>-10983.333333333334</v>
      </c>
      <c r="K20" s="31">
        <v>0.11764705882352941</v>
      </c>
      <c r="L20" s="31">
        <v>0</v>
      </c>
      <c r="M20" s="31">
        <v>0</v>
      </c>
      <c r="N20" s="31">
        <v>0</v>
      </c>
      <c r="O20" s="31">
        <v>0</v>
      </c>
      <c r="P20" s="31">
        <v>0.38095238095238093</v>
      </c>
    </row>
    <row r="21" spans="1:16" x14ac:dyDescent="0.4">
      <c r="A21" s="33">
        <v>18</v>
      </c>
      <c r="B21" s="30">
        <v>-25.700000000000003</v>
      </c>
      <c r="C21" s="30">
        <v>-1.427777777777778</v>
      </c>
      <c r="D21" s="35">
        <v>2</v>
      </c>
      <c r="E21" s="31">
        <v>0.22222222222222221</v>
      </c>
      <c r="F21" s="31">
        <v>0.22222222222222221</v>
      </c>
      <c r="G21" s="31">
        <v>0.36134453781512604</v>
      </c>
      <c r="H21" s="31">
        <v>0.15966386554621848</v>
      </c>
      <c r="I21" s="32">
        <v>9002.3255813953492</v>
      </c>
      <c r="J21" s="32">
        <v>-10826.315789473685</v>
      </c>
      <c r="K21" s="31">
        <v>0.16666666666666666</v>
      </c>
      <c r="L21" s="31">
        <v>0</v>
      </c>
      <c r="M21" s="31">
        <v>0</v>
      </c>
      <c r="N21" s="31">
        <v>0</v>
      </c>
      <c r="O21" s="31">
        <v>0</v>
      </c>
      <c r="P21" s="31">
        <v>0.37209302325581395</v>
      </c>
    </row>
    <row r="22" spans="1:16" x14ac:dyDescent="0.4">
      <c r="A22" s="33">
        <v>19</v>
      </c>
      <c r="B22" s="30">
        <v>-17.700000000000003</v>
      </c>
      <c r="C22" s="30">
        <v>-0.93157894736842117</v>
      </c>
      <c r="D22" s="35">
        <v>2</v>
      </c>
      <c r="E22" s="31">
        <v>0.21052631578947367</v>
      </c>
      <c r="F22" s="31">
        <v>0.21052631578947367</v>
      </c>
      <c r="G22" s="31">
        <v>0.35483870967741937</v>
      </c>
      <c r="H22" s="31">
        <v>0.15322580645161291</v>
      </c>
      <c r="I22" s="32">
        <v>8979.545454545454</v>
      </c>
      <c r="J22" s="32">
        <v>-10826.315789473685</v>
      </c>
      <c r="K22" s="31">
        <v>0.15789473684210525</v>
      </c>
      <c r="L22" s="31">
        <v>0</v>
      </c>
      <c r="M22" s="31">
        <v>0</v>
      </c>
      <c r="N22" s="31">
        <v>0</v>
      </c>
      <c r="O22" s="31">
        <v>0</v>
      </c>
      <c r="P22" s="31">
        <v>0.38636363636363635</v>
      </c>
    </row>
    <row r="23" spans="1:16" x14ac:dyDescent="0.4">
      <c r="A23" s="33">
        <v>20</v>
      </c>
      <c r="B23" s="30">
        <v>7.4999999999999964</v>
      </c>
      <c r="C23" s="30">
        <v>0.37499999999999983</v>
      </c>
      <c r="D23" s="35">
        <v>1.95</v>
      </c>
      <c r="E23" s="31">
        <v>0.25</v>
      </c>
      <c r="F23" s="31">
        <v>0.2</v>
      </c>
      <c r="G23" s="31">
        <v>0.36496350364963503</v>
      </c>
      <c r="H23" s="31">
        <v>0.15328467153284672</v>
      </c>
      <c r="I23" s="32">
        <v>8946</v>
      </c>
      <c r="J23" s="32">
        <v>-10747.619047619048</v>
      </c>
      <c r="K23" s="31">
        <v>0.15</v>
      </c>
      <c r="L23" s="31">
        <v>0</v>
      </c>
      <c r="M23" s="31">
        <v>0</v>
      </c>
      <c r="N23" s="31">
        <v>0</v>
      </c>
      <c r="O23" s="31">
        <v>0</v>
      </c>
      <c r="P23" s="31">
        <v>0.38</v>
      </c>
    </row>
    <row r="24" spans="1:16" x14ac:dyDescent="0.4">
      <c r="A24" s="33">
        <v>21</v>
      </c>
      <c r="B24" s="30">
        <v>69.8</v>
      </c>
      <c r="C24" s="30">
        <v>3.3238095238095235</v>
      </c>
      <c r="D24" s="35">
        <v>1.9047619047619047</v>
      </c>
      <c r="E24" s="31">
        <v>0.2857142857142857</v>
      </c>
      <c r="F24" s="31">
        <v>0.19047619047619047</v>
      </c>
      <c r="G24" s="31">
        <v>0.38194444444444442</v>
      </c>
      <c r="H24" s="31">
        <v>0.14583333333333334</v>
      </c>
      <c r="I24" s="32">
        <v>9296.363636363636</v>
      </c>
      <c r="J24" s="32">
        <v>-10747.619047619048</v>
      </c>
      <c r="K24" s="31">
        <v>0.14285714285714285</v>
      </c>
      <c r="L24" s="31">
        <v>0</v>
      </c>
      <c r="M24" s="31">
        <v>0</v>
      </c>
      <c r="N24" s="31">
        <v>0</v>
      </c>
      <c r="O24" s="31">
        <v>0</v>
      </c>
      <c r="P24" s="31">
        <v>0.41818181818181815</v>
      </c>
    </row>
    <row r="25" spans="1:16" x14ac:dyDescent="0.4">
      <c r="A25" s="33">
        <v>22</v>
      </c>
      <c r="B25" s="30">
        <v>78.399999999999991</v>
      </c>
      <c r="C25" s="30">
        <v>3.563636363636363</v>
      </c>
      <c r="D25" s="35">
        <v>1.9090909090909092</v>
      </c>
      <c r="E25" s="31">
        <v>0.27272727272727271</v>
      </c>
      <c r="F25" s="31">
        <v>0.18181818181818182</v>
      </c>
      <c r="G25" s="31">
        <v>0.37748344370860926</v>
      </c>
      <c r="H25" s="31">
        <v>0.14569536423841059</v>
      </c>
      <c r="I25" s="32">
        <v>9307.0175438596489</v>
      </c>
      <c r="J25" s="32">
        <v>-10377.272727272728</v>
      </c>
      <c r="K25" s="31">
        <v>0.13636363636363635</v>
      </c>
      <c r="L25" s="31">
        <v>0</v>
      </c>
      <c r="M25" s="31">
        <v>0</v>
      </c>
      <c r="N25" s="31">
        <v>0</v>
      </c>
      <c r="O25" s="31">
        <v>0</v>
      </c>
      <c r="P25" s="31">
        <v>0.43859649122807015</v>
      </c>
    </row>
    <row r="26" spans="1:16" x14ac:dyDescent="0.4">
      <c r="A26" s="33">
        <v>23</v>
      </c>
      <c r="B26" s="30">
        <v>95.199999999999989</v>
      </c>
      <c r="C26" s="30">
        <v>4.1391304347826079</v>
      </c>
      <c r="D26" s="35">
        <v>1.8695652173913044</v>
      </c>
      <c r="E26" s="31">
        <v>0.30434782608695654</v>
      </c>
      <c r="F26" s="31">
        <v>0.17391304347826086</v>
      </c>
      <c r="G26" s="31">
        <v>0.37888198757763975</v>
      </c>
      <c r="H26" s="31">
        <v>0.15527950310559005</v>
      </c>
      <c r="I26" s="32">
        <v>9503.2786885245896</v>
      </c>
      <c r="J26" s="32">
        <v>-10348</v>
      </c>
      <c r="K26" s="31">
        <v>0.13043478260869565</v>
      </c>
      <c r="L26" s="31">
        <v>0</v>
      </c>
      <c r="M26" s="31">
        <v>0</v>
      </c>
      <c r="N26" s="31">
        <v>0</v>
      </c>
      <c r="O26" s="31">
        <v>0</v>
      </c>
      <c r="P26" s="31">
        <v>0.42622950819672129</v>
      </c>
    </row>
    <row r="27" spans="1:16" x14ac:dyDescent="0.4">
      <c r="A27" s="33">
        <v>24</v>
      </c>
      <c r="B27" s="30">
        <v>51.29999999999999</v>
      </c>
      <c r="C27" s="30">
        <v>2.1374999999999997</v>
      </c>
      <c r="D27" s="35">
        <v>1.9166666666666667</v>
      </c>
      <c r="E27" s="31">
        <v>0.29166666666666669</v>
      </c>
      <c r="F27" s="31">
        <v>0.20833333333333334</v>
      </c>
      <c r="G27" s="31">
        <v>0.36904761904761907</v>
      </c>
      <c r="H27" s="31">
        <v>0.16071428571428573</v>
      </c>
      <c r="I27" s="32">
        <v>9479.032258064517</v>
      </c>
      <c r="J27" s="32">
        <v>-10755.555555555555</v>
      </c>
      <c r="K27" s="31">
        <v>0.16666666666666666</v>
      </c>
      <c r="L27" s="31">
        <v>0</v>
      </c>
      <c r="M27" s="31">
        <v>0</v>
      </c>
      <c r="N27" s="31">
        <v>0</v>
      </c>
      <c r="O27" s="31">
        <v>0</v>
      </c>
      <c r="P27" s="31">
        <v>0.41935483870967744</v>
      </c>
    </row>
    <row r="28" spans="1:16" x14ac:dyDescent="0.4">
      <c r="A28" s="33">
        <v>25</v>
      </c>
      <c r="B28" s="30">
        <v>60.79999999999999</v>
      </c>
      <c r="C28" s="30">
        <v>2.4319999999999995</v>
      </c>
      <c r="D28" s="35">
        <v>1.88</v>
      </c>
      <c r="E28" s="31">
        <v>0.32</v>
      </c>
      <c r="F28" s="31">
        <v>0.2</v>
      </c>
      <c r="G28" s="31">
        <v>0.36571428571428571</v>
      </c>
      <c r="H28" s="31">
        <v>0.15428571428571428</v>
      </c>
      <c r="I28" s="32">
        <v>9401.5625</v>
      </c>
      <c r="J28" s="32">
        <v>-10755.555555555555</v>
      </c>
      <c r="K28" s="31">
        <v>0.16</v>
      </c>
      <c r="L28" s="31">
        <v>0</v>
      </c>
      <c r="M28" s="31">
        <v>0</v>
      </c>
      <c r="N28" s="31">
        <v>0</v>
      </c>
      <c r="O28" s="31">
        <v>0</v>
      </c>
      <c r="P28" s="31">
        <v>0.4375</v>
      </c>
    </row>
    <row r="29" spans="1:16" x14ac:dyDescent="0.4">
      <c r="A29" s="33">
        <v>26</v>
      </c>
      <c r="B29" s="30">
        <v>143.79999999999998</v>
      </c>
      <c r="C29" s="30">
        <v>5.5307692307692298</v>
      </c>
      <c r="D29" s="35">
        <v>1.8461538461538463</v>
      </c>
      <c r="E29" s="31">
        <v>0.34615384615384615</v>
      </c>
      <c r="F29" s="31">
        <v>0.19230769230769232</v>
      </c>
      <c r="G29" s="31">
        <v>0.37912087912087911</v>
      </c>
      <c r="H29" s="31">
        <v>0.14835164835164835</v>
      </c>
      <c r="I29" s="32">
        <v>9850.7246376811599</v>
      </c>
      <c r="J29" s="32">
        <v>-10755.555555555555</v>
      </c>
      <c r="K29" s="31">
        <v>0.15384615384615385</v>
      </c>
      <c r="L29" s="31">
        <v>0</v>
      </c>
      <c r="M29" s="31">
        <v>0</v>
      </c>
      <c r="N29" s="31">
        <v>0</v>
      </c>
      <c r="O29" s="31">
        <v>0</v>
      </c>
      <c r="P29" s="31">
        <v>0.44927536231884058</v>
      </c>
    </row>
    <row r="30" spans="1:16" x14ac:dyDescent="0.4">
      <c r="A30" s="33">
        <v>27</v>
      </c>
      <c r="B30" s="30">
        <v>164.79999999999998</v>
      </c>
      <c r="C30" s="30">
        <v>6.1037037037037027</v>
      </c>
      <c r="D30" s="35">
        <v>1.8148148148148149</v>
      </c>
      <c r="E30" s="31">
        <v>0.37037037037037035</v>
      </c>
      <c r="F30" s="31">
        <v>0.18518518518518517</v>
      </c>
      <c r="G30" s="31">
        <v>0.37765957446808512</v>
      </c>
      <c r="H30" s="31">
        <v>0.14361702127659576</v>
      </c>
      <c r="I30" s="32">
        <v>9995.7746478873232</v>
      </c>
      <c r="J30" s="32">
        <v>-10755.555555555555</v>
      </c>
      <c r="K30" s="31">
        <v>0.14814814814814814</v>
      </c>
      <c r="L30" s="31">
        <v>0</v>
      </c>
      <c r="M30" s="31">
        <v>0</v>
      </c>
      <c r="N30" s="31">
        <v>0</v>
      </c>
      <c r="O30" s="31">
        <v>0</v>
      </c>
      <c r="P30" s="31">
        <v>0.45070422535211269</v>
      </c>
    </row>
    <row r="31" spans="1:16" x14ac:dyDescent="0.4">
      <c r="A31" s="33">
        <v>28</v>
      </c>
      <c r="B31" s="30">
        <v>177.7</v>
      </c>
      <c r="C31" s="30">
        <v>6.3464285714285706</v>
      </c>
      <c r="D31" s="35">
        <v>1.7857142857142858</v>
      </c>
      <c r="E31" s="31">
        <v>0.39285714285714285</v>
      </c>
      <c r="F31" s="31">
        <v>0.17857142857142858</v>
      </c>
      <c r="G31" s="31">
        <v>0.37435897435897436</v>
      </c>
      <c r="H31" s="31">
        <v>0.13846153846153847</v>
      </c>
      <c r="I31" s="32">
        <v>9919.17808219178</v>
      </c>
      <c r="J31" s="32">
        <v>-10755.555555555555</v>
      </c>
      <c r="K31" s="31">
        <v>0.14285714285714285</v>
      </c>
      <c r="L31" s="31">
        <v>0</v>
      </c>
      <c r="M31" s="31">
        <v>0</v>
      </c>
      <c r="N31" s="31">
        <v>0</v>
      </c>
      <c r="O31" s="31">
        <v>0</v>
      </c>
      <c r="P31" s="31">
        <v>0.43835616438356162</v>
      </c>
    </row>
    <row r="32" spans="1:16" x14ac:dyDescent="0.4">
      <c r="A32" s="33">
        <v>29</v>
      </c>
      <c r="B32" s="30">
        <v>208</v>
      </c>
      <c r="C32" s="30">
        <v>7.1724137931034484</v>
      </c>
      <c r="D32" s="35">
        <v>1.7586206896551724</v>
      </c>
      <c r="E32" s="31">
        <v>0.41379310344827586</v>
      </c>
      <c r="F32" s="31">
        <v>0.17241379310344829</v>
      </c>
      <c r="G32" s="31">
        <v>0.38308457711442784</v>
      </c>
      <c r="H32" s="31">
        <v>0.13930348258706468</v>
      </c>
      <c r="I32" s="32">
        <v>9866.2337662337668</v>
      </c>
      <c r="J32" s="32">
        <v>-10417.857142857143</v>
      </c>
      <c r="K32" s="31">
        <v>0.13793103448275862</v>
      </c>
      <c r="L32" s="31">
        <v>0</v>
      </c>
      <c r="M32" s="31">
        <v>0</v>
      </c>
      <c r="N32" s="31">
        <v>0</v>
      </c>
      <c r="O32" s="31">
        <v>0</v>
      </c>
      <c r="P32" s="31">
        <v>0.41558441558441561</v>
      </c>
    </row>
    <row r="33" spans="1:16" x14ac:dyDescent="0.4">
      <c r="A33" s="33">
        <v>30</v>
      </c>
      <c r="B33" s="30">
        <v>201.5</v>
      </c>
      <c r="C33" s="30">
        <v>6.7166666666666668</v>
      </c>
      <c r="D33" s="35">
        <v>1.7666666666666666</v>
      </c>
      <c r="E33" s="31">
        <v>0.4</v>
      </c>
      <c r="F33" s="31">
        <v>0.16666666666666666</v>
      </c>
      <c r="G33" s="31">
        <v>0.37745098039215685</v>
      </c>
      <c r="H33" s="31">
        <v>0.13725490196078433</v>
      </c>
      <c r="I33" s="32">
        <v>9866.2337662337668</v>
      </c>
      <c r="J33" s="32">
        <v>-10417.857142857143</v>
      </c>
      <c r="K33" s="31">
        <v>0.13333333333333333</v>
      </c>
      <c r="L33" s="31">
        <v>0</v>
      </c>
      <c r="M33" s="31">
        <v>0</v>
      </c>
      <c r="N33" s="31">
        <v>0</v>
      </c>
      <c r="O33" s="31">
        <v>0</v>
      </c>
      <c r="P33" s="31">
        <v>0.41558441558441561</v>
      </c>
    </row>
    <row r="34" spans="1:16" x14ac:dyDescent="0.4">
      <c r="A34" s="33">
        <v>31</v>
      </c>
      <c r="B34" s="30">
        <v>189.9</v>
      </c>
      <c r="C34" s="30">
        <v>6.1258064516129034</v>
      </c>
      <c r="D34" s="35">
        <v>1.8064516129032258</v>
      </c>
      <c r="E34" s="31">
        <v>0.38709677419354838</v>
      </c>
      <c r="F34" s="31">
        <v>0.19354838709677419</v>
      </c>
      <c r="G34" s="31">
        <v>0.3644859813084112</v>
      </c>
      <c r="H34" s="31">
        <v>0.14018691588785046</v>
      </c>
      <c r="I34" s="32">
        <v>9766.6666666666661</v>
      </c>
      <c r="J34" s="32">
        <v>-9963.3333333333339</v>
      </c>
      <c r="K34" s="31">
        <v>0.12903225806451613</v>
      </c>
      <c r="L34" s="31">
        <v>0</v>
      </c>
      <c r="M34" s="31">
        <v>0</v>
      </c>
      <c r="N34" s="31">
        <v>0</v>
      </c>
      <c r="O34" s="31">
        <v>0</v>
      </c>
      <c r="P34" s="31">
        <v>0.42307692307692307</v>
      </c>
    </row>
    <row r="35" spans="1:16" x14ac:dyDescent="0.4">
      <c r="A35" s="33">
        <v>32</v>
      </c>
      <c r="B35" s="30">
        <v>207.4</v>
      </c>
      <c r="C35" s="30">
        <v>6.4812500000000002</v>
      </c>
      <c r="D35" s="35">
        <v>1.8125</v>
      </c>
      <c r="E35" s="31">
        <v>0.375</v>
      </c>
      <c r="F35" s="31">
        <v>0.1875</v>
      </c>
      <c r="G35" s="31">
        <v>0.36486486486486486</v>
      </c>
      <c r="H35" s="31">
        <v>0.14864864864864866</v>
      </c>
      <c r="I35" s="32">
        <v>9870.3703703703704</v>
      </c>
      <c r="J35" s="32">
        <v>-9639.3939393939399</v>
      </c>
      <c r="K35" s="31">
        <v>0.125</v>
      </c>
      <c r="L35" s="31">
        <v>0</v>
      </c>
      <c r="M35" s="31">
        <v>0</v>
      </c>
      <c r="N35" s="31">
        <v>0</v>
      </c>
      <c r="O35" s="31">
        <v>0</v>
      </c>
      <c r="P35" s="31">
        <v>0.41975308641975306</v>
      </c>
    </row>
    <row r="36" spans="1:16" x14ac:dyDescent="0.4">
      <c r="A36" s="33">
        <v>33</v>
      </c>
      <c r="B36" s="30">
        <v>248.4</v>
      </c>
      <c r="C36" s="30">
        <v>7.5272727272727273</v>
      </c>
      <c r="D36" s="35">
        <v>1.7878787878787878</v>
      </c>
      <c r="E36" s="31">
        <v>0.39393939393939392</v>
      </c>
      <c r="F36" s="31">
        <v>0.18181818181818182</v>
      </c>
      <c r="G36" s="31">
        <v>0.36956521739130432</v>
      </c>
      <c r="H36" s="31">
        <v>0.14347826086956522</v>
      </c>
      <c r="I36" s="32">
        <v>9888.2352941176468</v>
      </c>
      <c r="J36" s="32">
        <v>-9639.3939393939399</v>
      </c>
      <c r="K36" s="31">
        <v>0.12121212121212122</v>
      </c>
      <c r="L36" s="31">
        <v>0</v>
      </c>
      <c r="M36" s="31">
        <v>0</v>
      </c>
      <c r="N36" s="31">
        <v>0</v>
      </c>
      <c r="O36" s="31">
        <v>0</v>
      </c>
      <c r="P36" s="31">
        <v>0.43529411764705883</v>
      </c>
    </row>
    <row r="37" spans="1:16" x14ac:dyDescent="0.4">
      <c r="A37" s="33">
        <v>34</v>
      </c>
      <c r="B37" s="30">
        <v>237.9</v>
      </c>
      <c r="C37" s="30">
        <v>6.9970588235294118</v>
      </c>
      <c r="D37" s="35">
        <v>1.7941176470588236</v>
      </c>
      <c r="E37" s="31">
        <v>0.38235294117647056</v>
      </c>
      <c r="F37" s="31">
        <v>0.17647058823529413</v>
      </c>
      <c r="G37" s="31">
        <v>0.36554621848739494</v>
      </c>
      <c r="H37" s="31">
        <v>0.13865546218487396</v>
      </c>
      <c r="I37" s="32">
        <v>9844.8275862068967</v>
      </c>
      <c r="J37" s="32">
        <v>-9639.3939393939399</v>
      </c>
      <c r="K37" s="31">
        <v>0.11764705882352941</v>
      </c>
      <c r="L37" s="31">
        <v>0</v>
      </c>
      <c r="M37" s="31">
        <v>0</v>
      </c>
      <c r="N37" s="31">
        <v>0</v>
      </c>
      <c r="O37" s="31">
        <v>0</v>
      </c>
      <c r="P37" s="31">
        <v>0.43678160919540232</v>
      </c>
    </row>
    <row r="38" spans="1:16" x14ac:dyDescent="0.4">
      <c r="A38" s="33">
        <v>35</v>
      </c>
      <c r="B38" s="30">
        <v>191.9</v>
      </c>
      <c r="C38" s="30">
        <v>5.4828571428571431</v>
      </c>
      <c r="D38" s="35">
        <v>1.8285714285714285</v>
      </c>
      <c r="E38" s="31">
        <v>0.37142857142857144</v>
      </c>
      <c r="F38" s="31">
        <v>0.2</v>
      </c>
      <c r="G38" s="31">
        <v>0.35510204081632651</v>
      </c>
      <c r="H38" s="31">
        <v>0.13877551020408163</v>
      </c>
      <c r="I38" s="32">
        <v>9844.8275862068967</v>
      </c>
      <c r="J38" s="32">
        <v>-10061.764705882353</v>
      </c>
      <c r="K38" s="31">
        <v>0.14285714285714285</v>
      </c>
      <c r="L38" s="31">
        <v>0.14285714285714285</v>
      </c>
      <c r="M38" s="31">
        <v>0.42857142857142855</v>
      </c>
      <c r="N38" s="31">
        <v>0</v>
      </c>
      <c r="O38" s="31">
        <v>0</v>
      </c>
      <c r="P38" s="31">
        <v>0.43678160919540232</v>
      </c>
    </row>
    <row r="39" spans="1:16" x14ac:dyDescent="0.4">
      <c r="A39" s="33">
        <v>36</v>
      </c>
      <c r="B39" s="30">
        <v>239</v>
      </c>
      <c r="C39" s="30">
        <v>6.6388888888888893</v>
      </c>
      <c r="D39" s="35">
        <v>1.8055555555555556</v>
      </c>
      <c r="E39" s="31">
        <v>0.3888888888888889</v>
      </c>
      <c r="F39" s="31">
        <v>0.19444444444444445</v>
      </c>
      <c r="G39" s="31">
        <v>0.36254980079681276</v>
      </c>
      <c r="H39" s="31">
        <v>0.1394422310756972</v>
      </c>
      <c r="I39" s="32">
        <v>9908.7912087912082</v>
      </c>
      <c r="J39" s="32">
        <v>-9820</v>
      </c>
      <c r="K39" s="31">
        <v>0.1388888888888889</v>
      </c>
      <c r="L39" s="31">
        <v>0.30769230769230771</v>
      </c>
      <c r="M39" s="31">
        <v>0.38461538461538464</v>
      </c>
      <c r="N39" s="31">
        <v>0.5</v>
      </c>
      <c r="O39" s="31">
        <v>0.2</v>
      </c>
      <c r="P39" s="31">
        <v>0.43956043956043955</v>
      </c>
    </row>
    <row r="40" spans="1:16" x14ac:dyDescent="0.4">
      <c r="A40" s="33">
        <v>37</v>
      </c>
      <c r="B40" s="30">
        <v>253.8</v>
      </c>
      <c r="C40" s="30">
        <v>6.85945945945946</v>
      </c>
      <c r="D40" s="35">
        <v>1.8108108108108107</v>
      </c>
      <c r="E40" s="31">
        <v>0.3783783783783784</v>
      </c>
      <c r="F40" s="31">
        <v>0.1891891891891892</v>
      </c>
      <c r="G40" s="31">
        <v>0.36679536679536678</v>
      </c>
      <c r="H40" s="31">
        <v>0.138996138996139</v>
      </c>
      <c r="I40" s="32">
        <v>9667.3684210526317</v>
      </c>
      <c r="J40" s="32">
        <v>-9613.8888888888887</v>
      </c>
      <c r="K40" s="31">
        <v>0.13513513513513514</v>
      </c>
      <c r="L40" s="31">
        <v>0.23809523809523808</v>
      </c>
      <c r="M40" s="31">
        <v>0.38095238095238093</v>
      </c>
      <c r="N40" s="31">
        <v>0.4</v>
      </c>
      <c r="O40" s="31">
        <v>0.375</v>
      </c>
      <c r="P40" s="31">
        <v>0.45263157894736844</v>
      </c>
    </row>
    <row r="41" spans="1:16" x14ac:dyDescent="0.4">
      <c r="A41" s="33">
        <v>38</v>
      </c>
      <c r="B41" s="30">
        <v>235.60000000000002</v>
      </c>
      <c r="C41" s="30">
        <v>6.2</v>
      </c>
      <c r="D41" s="35">
        <v>1.8421052631578947</v>
      </c>
      <c r="E41" s="31">
        <v>0.36842105263157893</v>
      </c>
      <c r="F41" s="31">
        <v>0.21052631578947367</v>
      </c>
      <c r="G41" s="31">
        <v>0.3595505617977528</v>
      </c>
      <c r="H41" s="31">
        <v>0.1348314606741573</v>
      </c>
      <c r="I41" s="32">
        <v>9691.6666666666661</v>
      </c>
      <c r="J41" s="32">
        <v>-9613.8888888888887</v>
      </c>
      <c r="K41" s="31">
        <v>0.13157894736842105</v>
      </c>
      <c r="L41" s="31">
        <v>0.20689655172413793</v>
      </c>
      <c r="M41" s="31">
        <v>0.37931034482758619</v>
      </c>
      <c r="N41" s="31">
        <v>0.33333333333333331</v>
      </c>
      <c r="O41" s="31">
        <v>0.36363636363636365</v>
      </c>
      <c r="P41" s="31">
        <v>0.45833333333333331</v>
      </c>
    </row>
    <row r="42" spans="1:16" x14ac:dyDescent="0.4">
      <c r="A42" s="33">
        <v>39</v>
      </c>
      <c r="B42" s="30">
        <v>236.00000000000003</v>
      </c>
      <c r="C42" s="30">
        <v>6.051282051282052</v>
      </c>
      <c r="D42" s="35">
        <v>1.8461538461538463</v>
      </c>
      <c r="E42" s="31">
        <v>0.35897435897435898</v>
      </c>
      <c r="F42" s="31">
        <v>0.20512820512820512</v>
      </c>
      <c r="G42" s="31">
        <v>0.35793357933579334</v>
      </c>
      <c r="H42" s="31">
        <v>0.13284132841328414</v>
      </c>
      <c r="I42" s="32">
        <v>9631.9587628865975</v>
      </c>
      <c r="J42" s="32">
        <v>-9613.8888888888887</v>
      </c>
      <c r="K42" s="31">
        <v>0.12820512820512819</v>
      </c>
      <c r="L42" s="31">
        <v>0.21212121212121213</v>
      </c>
      <c r="M42" s="31">
        <v>0.33333333333333331</v>
      </c>
      <c r="N42" s="31">
        <v>0.42857142857142855</v>
      </c>
      <c r="O42" s="31">
        <v>0.36363636363636365</v>
      </c>
      <c r="P42" s="31">
        <v>0.45360824742268041</v>
      </c>
    </row>
    <row r="43" spans="1:16" x14ac:dyDescent="0.4">
      <c r="A43" s="33">
        <v>40</v>
      </c>
      <c r="B43" s="30">
        <v>239.10000000000002</v>
      </c>
      <c r="C43" s="30">
        <v>5.9775000000000009</v>
      </c>
      <c r="D43" s="35">
        <v>1.85</v>
      </c>
      <c r="E43" s="31">
        <v>0.35</v>
      </c>
      <c r="F43" s="31">
        <v>0.2</v>
      </c>
      <c r="G43" s="31">
        <v>0.352112676056338</v>
      </c>
      <c r="H43" s="31">
        <v>0.14084507042253522</v>
      </c>
      <c r="I43" s="32">
        <v>9943</v>
      </c>
      <c r="J43" s="32">
        <v>-9747.5</v>
      </c>
      <c r="K43" s="31">
        <v>0.125</v>
      </c>
      <c r="L43" s="31">
        <v>0.17391304347826086</v>
      </c>
      <c r="M43" s="31">
        <v>0.34782608695652173</v>
      </c>
      <c r="N43" s="31">
        <v>0.5</v>
      </c>
      <c r="O43" s="31">
        <v>0.375</v>
      </c>
      <c r="P43" s="31">
        <v>0.47</v>
      </c>
    </row>
    <row r="44" spans="1:16" x14ac:dyDescent="0.4">
      <c r="A44" s="33">
        <v>41</v>
      </c>
      <c r="B44" s="30">
        <v>237.10000000000002</v>
      </c>
      <c r="C44" s="30">
        <v>5.7829268292682929</v>
      </c>
      <c r="D44" s="35">
        <v>1.8536585365853659</v>
      </c>
      <c r="E44" s="31">
        <v>0.34146341463414637</v>
      </c>
      <c r="F44" s="31">
        <v>0.1951219512195122</v>
      </c>
      <c r="G44" s="31">
        <v>0.34843205574912894</v>
      </c>
      <c r="H44" s="31">
        <v>0.14285714285714285</v>
      </c>
      <c r="I44" s="32">
        <v>9943</v>
      </c>
      <c r="J44" s="32">
        <v>-9558.5365853658532</v>
      </c>
      <c r="K44" s="31">
        <v>0.12195121951219512</v>
      </c>
      <c r="L44" s="31">
        <v>0.16326530612244897</v>
      </c>
      <c r="M44" s="31">
        <v>0.34693877551020408</v>
      </c>
      <c r="N44" s="31">
        <v>0.5</v>
      </c>
      <c r="O44" s="31">
        <v>0.35294117647058826</v>
      </c>
      <c r="P44" s="31">
        <v>0.47</v>
      </c>
    </row>
    <row r="45" spans="1:16" x14ac:dyDescent="0.4">
      <c r="A45" s="33">
        <v>42</v>
      </c>
      <c r="B45" s="30">
        <v>258.3</v>
      </c>
      <c r="C45" s="30">
        <v>6.15</v>
      </c>
      <c r="D45" s="35">
        <v>1.8333333333333333</v>
      </c>
      <c r="E45" s="31">
        <v>0.35714285714285715</v>
      </c>
      <c r="F45" s="31">
        <v>0.19047619047619047</v>
      </c>
      <c r="G45" s="31">
        <v>0.35</v>
      </c>
      <c r="H45" s="31">
        <v>0.14333333333333334</v>
      </c>
      <c r="I45" s="32">
        <v>9973.3333333333339</v>
      </c>
      <c r="J45" s="32">
        <v>-9420.9302325581393</v>
      </c>
      <c r="K45" s="31">
        <v>0.11904761904761904</v>
      </c>
      <c r="L45" s="31">
        <v>0.20967741935483872</v>
      </c>
      <c r="M45" s="31">
        <v>0.32258064516129031</v>
      </c>
      <c r="N45" s="31">
        <v>0.53846153846153844</v>
      </c>
      <c r="O45" s="31">
        <v>0.35</v>
      </c>
      <c r="P45" s="31">
        <v>0.47619047619047616</v>
      </c>
    </row>
    <row r="46" spans="1:16" x14ac:dyDescent="0.4">
      <c r="A46" s="33">
        <v>43</v>
      </c>
      <c r="B46" s="30">
        <v>291.10000000000002</v>
      </c>
      <c r="C46" s="30">
        <v>6.7697674418604654</v>
      </c>
      <c r="D46" s="35">
        <v>1.8139534883720929</v>
      </c>
      <c r="E46" s="31">
        <v>0.37209302325581395</v>
      </c>
      <c r="F46" s="31">
        <v>0.18604651162790697</v>
      </c>
      <c r="G46" s="31">
        <v>0.35526315789473684</v>
      </c>
      <c r="H46" s="31">
        <v>0.14144736842105263</v>
      </c>
      <c r="I46" s="32">
        <v>9990.7407407407409</v>
      </c>
      <c r="J46" s="32">
        <v>-9420.9302325581393</v>
      </c>
      <c r="K46" s="31">
        <v>0.11627906976744186</v>
      </c>
      <c r="L46" s="31">
        <v>0.21212121212121213</v>
      </c>
      <c r="M46" s="31">
        <v>0.34848484848484851</v>
      </c>
      <c r="N46" s="31">
        <v>0.5714285714285714</v>
      </c>
      <c r="O46" s="31">
        <v>0.39130434782608697</v>
      </c>
      <c r="P46" s="31">
        <v>0.46296296296296297</v>
      </c>
    </row>
    <row r="47" spans="1:16" x14ac:dyDescent="0.4">
      <c r="A47" s="33">
        <v>44</v>
      </c>
      <c r="B47" s="30">
        <v>282.3</v>
      </c>
      <c r="C47" s="30">
        <v>6.415909090909091</v>
      </c>
      <c r="D47" s="35">
        <v>1.8409090909090908</v>
      </c>
      <c r="E47" s="31">
        <v>0.36363636363636365</v>
      </c>
      <c r="F47" s="31">
        <v>0.20454545454545456</v>
      </c>
      <c r="G47" s="31">
        <v>0.3536977491961415</v>
      </c>
      <c r="H47" s="31">
        <v>0.14790996784565916</v>
      </c>
      <c r="I47" s="32">
        <v>9917.2727272727279</v>
      </c>
      <c r="J47" s="32">
        <v>-9213.04347826087</v>
      </c>
      <c r="K47" s="31">
        <v>0.11363636363636363</v>
      </c>
      <c r="L47" s="31">
        <v>0.20547945205479451</v>
      </c>
      <c r="M47" s="31">
        <v>0.35616438356164382</v>
      </c>
      <c r="N47" s="31">
        <v>0.53333333333333333</v>
      </c>
      <c r="O47" s="31">
        <v>0.38461538461538464</v>
      </c>
      <c r="P47" s="31">
        <v>0.45454545454545453</v>
      </c>
    </row>
    <row r="48" spans="1:16" x14ac:dyDescent="0.4">
      <c r="A48" s="33">
        <v>45</v>
      </c>
      <c r="B48" s="30">
        <v>251.10000000000002</v>
      </c>
      <c r="C48" s="30">
        <v>5.58</v>
      </c>
      <c r="D48" s="35">
        <v>1.8666666666666667</v>
      </c>
      <c r="E48" s="31">
        <v>0.35555555555555557</v>
      </c>
      <c r="F48" s="31">
        <v>0.22222222222222221</v>
      </c>
      <c r="G48" s="31">
        <v>0.35015772870662459</v>
      </c>
      <c r="H48" s="31">
        <v>0.15457413249211358</v>
      </c>
      <c r="I48" s="32">
        <v>9851.3513513513517</v>
      </c>
      <c r="J48" s="32">
        <v>-9134.6938775510207</v>
      </c>
      <c r="K48" s="31">
        <v>0.1111111111111111</v>
      </c>
      <c r="L48" s="31">
        <v>0.20253164556962025</v>
      </c>
      <c r="M48" s="31">
        <v>0.35443037974683544</v>
      </c>
      <c r="N48" s="31">
        <v>0.5625</v>
      </c>
      <c r="O48" s="31">
        <v>0.35714285714285715</v>
      </c>
      <c r="P48" s="31">
        <v>0.45045045045045046</v>
      </c>
    </row>
    <row r="49" spans="1:16" x14ac:dyDescent="0.4">
      <c r="A49" s="33">
        <v>46</v>
      </c>
      <c r="B49" s="30">
        <v>215.60000000000002</v>
      </c>
      <c r="C49" s="30">
        <v>4.6869565217391314</v>
      </c>
      <c r="D49" s="35">
        <v>1.8913043478260869</v>
      </c>
      <c r="E49" s="31">
        <v>0.34782608695652173</v>
      </c>
      <c r="F49" s="31">
        <v>0.2391304347826087</v>
      </c>
      <c r="G49" s="31">
        <v>0.34153846153846151</v>
      </c>
      <c r="H49" s="31">
        <v>0.16</v>
      </c>
      <c r="I49" s="32">
        <v>9851.3513513513517</v>
      </c>
      <c r="J49" s="32">
        <v>-8665.3846153846152</v>
      </c>
      <c r="K49" s="31">
        <v>0.13043478260869565</v>
      </c>
      <c r="L49" s="31">
        <v>0.18390804597701149</v>
      </c>
      <c r="M49" s="31">
        <v>0.34482758620689657</v>
      </c>
      <c r="N49" s="31">
        <v>0.5625</v>
      </c>
      <c r="O49" s="31">
        <v>0.33333333333333331</v>
      </c>
      <c r="P49" s="31">
        <v>0.45045045045045046</v>
      </c>
    </row>
    <row r="50" spans="1:16" x14ac:dyDescent="0.4">
      <c r="A50" s="33">
        <v>47</v>
      </c>
      <c r="B50" s="30">
        <v>194.90000000000003</v>
      </c>
      <c r="C50" s="30">
        <v>4.1468085106382988</v>
      </c>
      <c r="D50" s="35">
        <v>1.9148936170212767</v>
      </c>
      <c r="E50" s="31">
        <v>0.34042553191489361</v>
      </c>
      <c r="F50" s="31">
        <v>0.25531914893617019</v>
      </c>
      <c r="G50" s="31">
        <v>0.34234234234234234</v>
      </c>
      <c r="H50" s="31">
        <v>0.15615615615615616</v>
      </c>
      <c r="I50" s="32">
        <v>9757.0175438596489</v>
      </c>
      <c r="J50" s="32">
        <v>-8665.3846153846152</v>
      </c>
      <c r="K50" s="31">
        <v>0.1276595744680851</v>
      </c>
      <c r="L50" s="31">
        <v>0.17894736842105263</v>
      </c>
      <c r="M50" s="31">
        <v>0.33684210526315789</v>
      </c>
      <c r="N50" s="31">
        <v>0.58823529411764708</v>
      </c>
      <c r="O50" s="31">
        <v>0.375</v>
      </c>
      <c r="P50" s="31">
        <v>0.43859649122807015</v>
      </c>
    </row>
    <row r="51" spans="1:16" x14ac:dyDescent="0.4">
      <c r="A51" s="33">
        <v>48</v>
      </c>
      <c r="B51" s="30">
        <v>216.70000000000005</v>
      </c>
      <c r="C51" s="30">
        <v>4.5145833333333343</v>
      </c>
      <c r="D51" s="35">
        <v>1.8958333333333333</v>
      </c>
      <c r="E51" s="31">
        <v>0.35416666666666669</v>
      </c>
      <c r="F51" s="31">
        <v>0.25</v>
      </c>
      <c r="G51" s="31">
        <v>0.35276967930029157</v>
      </c>
      <c r="H51" s="31">
        <v>0.15451895043731778</v>
      </c>
      <c r="I51" s="32">
        <v>9616.5289256198339</v>
      </c>
      <c r="J51" s="32">
        <v>-8954.7169811320746</v>
      </c>
      <c r="K51" s="31">
        <v>0.125</v>
      </c>
      <c r="L51" s="31">
        <v>0.20952380952380953</v>
      </c>
      <c r="M51" s="31">
        <v>0.32380952380952382</v>
      </c>
      <c r="N51" s="31">
        <v>0.68181818181818177</v>
      </c>
      <c r="O51" s="31">
        <v>0.38235294117647056</v>
      </c>
      <c r="P51" s="31">
        <v>0.42148760330578511</v>
      </c>
    </row>
    <row r="52" spans="1:16" x14ac:dyDescent="0.4">
      <c r="A52" s="33">
        <v>49</v>
      </c>
      <c r="B52" s="30">
        <v>213.90000000000003</v>
      </c>
      <c r="C52" s="30">
        <v>4.3653061224489802</v>
      </c>
      <c r="D52" s="35">
        <v>1.8979591836734695</v>
      </c>
      <c r="E52" s="31">
        <v>0.34693877551020408</v>
      </c>
      <c r="F52" s="31">
        <v>0.24489795918367346</v>
      </c>
      <c r="G52" s="31">
        <v>0.35142857142857142</v>
      </c>
      <c r="H52" s="31">
        <v>0.16</v>
      </c>
      <c r="I52" s="32">
        <v>9687.8048780487807</v>
      </c>
      <c r="J52" s="32">
        <v>-9007.1428571428569</v>
      </c>
      <c r="K52" s="31">
        <v>0.12244897959183673</v>
      </c>
      <c r="L52" s="31">
        <v>0.22321428571428573</v>
      </c>
      <c r="M52" s="31">
        <v>0.33035714285714285</v>
      </c>
      <c r="N52" s="31">
        <v>0.68</v>
      </c>
      <c r="O52" s="31">
        <v>0.35135135135135137</v>
      </c>
      <c r="P52" s="31">
        <v>0.43089430894308944</v>
      </c>
    </row>
    <row r="53" spans="1:16" x14ac:dyDescent="0.4">
      <c r="A53" s="33">
        <v>50</v>
      </c>
      <c r="B53" s="30">
        <v>213.90000000000003</v>
      </c>
      <c r="C53" s="30">
        <v>4.2780000000000005</v>
      </c>
      <c r="D53" s="35">
        <v>1.9</v>
      </c>
      <c r="E53" s="31">
        <v>0.34</v>
      </c>
      <c r="F53" s="31">
        <v>0.24</v>
      </c>
      <c r="G53" s="31">
        <v>0.3504273504273504</v>
      </c>
      <c r="H53" s="31">
        <v>0.15954415954415954</v>
      </c>
      <c r="I53" s="32">
        <v>9687.8048780487807</v>
      </c>
      <c r="J53" s="32">
        <v>-9007.1428571428569</v>
      </c>
      <c r="K53" s="31">
        <v>0.12</v>
      </c>
      <c r="L53" s="31">
        <v>0.22123893805309736</v>
      </c>
      <c r="M53" s="31">
        <v>0.32743362831858408</v>
      </c>
      <c r="N53" s="31">
        <v>0.68</v>
      </c>
      <c r="O53" s="31">
        <v>0.35135135135135137</v>
      </c>
      <c r="P53" s="31">
        <v>0.43089430894308944</v>
      </c>
    </row>
    <row r="54" spans="1:16" x14ac:dyDescent="0.4">
      <c r="A54" s="33">
        <v>51</v>
      </c>
      <c r="B54" s="30">
        <v>292.60000000000002</v>
      </c>
      <c r="C54" s="30">
        <v>5.7372549019607844</v>
      </c>
      <c r="D54" s="35">
        <v>1.8823529411764706</v>
      </c>
      <c r="E54" s="31">
        <v>0.35294117647058826</v>
      </c>
      <c r="F54" s="31">
        <v>0.23529411764705882</v>
      </c>
      <c r="G54" s="31">
        <v>0.35833333333333334</v>
      </c>
      <c r="H54" s="31">
        <v>0.15833333333333333</v>
      </c>
      <c r="I54" s="32">
        <v>9901.5503875968989</v>
      </c>
      <c r="J54" s="32">
        <v>-8884.21052631579</v>
      </c>
      <c r="K54" s="31">
        <v>0.11764705882352941</v>
      </c>
      <c r="L54" s="31">
        <v>0.22131147540983606</v>
      </c>
      <c r="M54" s="31">
        <v>0.31147540983606559</v>
      </c>
      <c r="N54" s="31">
        <v>0.66666666666666663</v>
      </c>
      <c r="O54" s="31">
        <v>0.36842105263157893</v>
      </c>
      <c r="P54" s="31">
        <v>0.4573643410852713</v>
      </c>
    </row>
    <row r="55" spans="1:16" x14ac:dyDescent="0.4">
      <c r="A55" s="33">
        <v>52</v>
      </c>
      <c r="B55" s="30">
        <v>319.10000000000002</v>
      </c>
      <c r="C55" s="30">
        <v>6.1365384615384624</v>
      </c>
      <c r="D55" s="35">
        <v>1.8653846153846154</v>
      </c>
      <c r="E55" s="31">
        <v>0.36538461538461536</v>
      </c>
      <c r="F55" s="31">
        <v>0.23076923076923078</v>
      </c>
      <c r="G55" s="31">
        <v>0.36043360433604338</v>
      </c>
      <c r="H55" s="31">
        <v>0.15989159891598917</v>
      </c>
      <c r="I55" s="32">
        <v>10024.812030075187</v>
      </c>
      <c r="J55" s="32">
        <v>-9023.7288135593226</v>
      </c>
      <c r="K55" s="31">
        <v>0.11538461538461539</v>
      </c>
      <c r="L55" s="31">
        <v>0.22900763358778625</v>
      </c>
      <c r="M55" s="31">
        <v>0.29770992366412213</v>
      </c>
      <c r="N55" s="31">
        <v>0.66666666666666663</v>
      </c>
      <c r="O55" s="31">
        <v>0.38461538461538464</v>
      </c>
      <c r="P55" s="31">
        <v>0.46616541353383456</v>
      </c>
    </row>
    <row r="56" spans="1:16" x14ac:dyDescent="0.4">
      <c r="A56" s="33">
        <v>53</v>
      </c>
      <c r="B56" s="30">
        <v>268.60000000000002</v>
      </c>
      <c r="C56" s="30">
        <v>5.0679245283018872</v>
      </c>
      <c r="D56" s="35">
        <v>1.8867924528301887</v>
      </c>
      <c r="E56" s="31">
        <v>0.35849056603773582</v>
      </c>
      <c r="F56" s="31">
        <v>0.24528301886792453</v>
      </c>
      <c r="G56" s="31">
        <v>0.35561497326203206</v>
      </c>
      <c r="H56" s="31">
        <v>0.16042780748663102</v>
      </c>
      <c r="I56" s="32">
        <v>10024.812030075187</v>
      </c>
      <c r="J56" s="32">
        <v>-9273.3333333333339</v>
      </c>
      <c r="K56" s="31">
        <v>0.13207547169811321</v>
      </c>
      <c r="L56" s="31">
        <v>0.22058823529411764</v>
      </c>
      <c r="M56" s="31">
        <v>0.3014705882352941</v>
      </c>
      <c r="N56" s="31">
        <v>0.66666666666666663</v>
      </c>
      <c r="O56" s="31">
        <v>0.36585365853658536</v>
      </c>
      <c r="P56" s="31">
        <v>0.46616541353383456</v>
      </c>
    </row>
    <row r="57" spans="1:16" x14ac:dyDescent="0.4">
      <c r="A57" s="33">
        <v>54</v>
      </c>
      <c r="B57" s="30">
        <v>253.50000000000003</v>
      </c>
      <c r="C57" s="30">
        <v>4.6944444444444446</v>
      </c>
      <c r="D57" s="35">
        <v>1.8888888888888888</v>
      </c>
      <c r="E57" s="31">
        <v>0.35185185185185186</v>
      </c>
      <c r="F57" s="31">
        <v>0.24074074074074073</v>
      </c>
      <c r="G57" s="31">
        <v>0.35584415584415585</v>
      </c>
      <c r="H57" s="31">
        <v>0.15844155844155844</v>
      </c>
      <c r="I57" s="32">
        <v>9855.4744525547449</v>
      </c>
      <c r="J57" s="32">
        <v>-9145.9016393442616</v>
      </c>
      <c r="K57" s="31">
        <v>0.12962962962962962</v>
      </c>
      <c r="L57" s="31">
        <v>0.22448979591836735</v>
      </c>
      <c r="M57" s="31">
        <v>0.32653061224489793</v>
      </c>
      <c r="N57" s="31">
        <v>0.66666666666666663</v>
      </c>
      <c r="O57" s="31">
        <v>0.35416666666666669</v>
      </c>
      <c r="P57" s="31">
        <v>0.45985401459854014</v>
      </c>
    </row>
    <row r="58" spans="1:16" x14ac:dyDescent="0.4">
      <c r="A58" s="33">
        <v>55</v>
      </c>
      <c r="B58" s="30">
        <v>269.40000000000003</v>
      </c>
      <c r="C58" s="30">
        <v>4.8981818181818184</v>
      </c>
      <c r="D58" s="35">
        <v>1.8909090909090909</v>
      </c>
      <c r="E58" s="31">
        <v>0.34545454545454546</v>
      </c>
      <c r="F58" s="31">
        <v>0.23636363636363636</v>
      </c>
      <c r="G58" s="31">
        <v>0.35969387755102039</v>
      </c>
      <c r="H58" s="31">
        <v>0.15561224489795919</v>
      </c>
      <c r="I58" s="32">
        <v>9708.510638297872</v>
      </c>
      <c r="J58" s="32">
        <v>-9145.9016393442616</v>
      </c>
      <c r="K58" s="31">
        <v>0.12727272727272726</v>
      </c>
      <c r="L58" s="31">
        <v>0.23376623376623376</v>
      </c>
      <c r="M58" s="31">
        <v>0.32467532467532467</v>
      </c>
      <c r="N58" s="31">
        <v>0.63888888888888884</v>
      </c>
      <c r="O58" s="31">
        <v>0.38</v>
      </c>
      <c r="P58" s="31">
        <v>0.46099290780141844</v>
      </c>
    </row>
    <row r="59" spans="1:16" x14ac:dyDescent="0.4">
      <c r="A59" s="33">
        <v>56</v>
      </c>
      <c r="B59" s="30">
        <v>273.8</v>
      </c>
      <c r="C59" s="30">
        <v>4.8892857142857142</v>
      </c>
      <c r="D59" s="35">
        <v>1.875</v>
      </c>
      <c r="E59" s="31">
        <v>0.35714285714285715</v>
      </c>
      <c r="F59" s="31">
        <v>0.23214285714285715</v>
      </c>
      <c r="G59" s="31">
        <v>0.35572139303482586</v>
      </c>
      <c r="H59" s="31">
        <v>0.15920398009950248</v>
      </c>
      <c r="I59" s="32">
        <v>9810.4895104895113</v>
      </c>
      <c r="J59" s="32">
        <v>-9007.8125</v>
      </c>
      <c r="K59" s="31">
        <v>0.125</v>
      </c>
      <c r="L59" s="31">
        <v>0.23170731707317074</v>
      </c>
      <c r="M59" s="31">
        <v>0.31707317073170732</v>
      </c>
      <c r="N59" s="31">
        <v>0.63157894736842102</v>
      </c>
      <c r="O59" s="31">
        <v>0.38461538461538464</v>
      </c>
      <c r="P59" s="31">
        <v>0.46853146853146854</v>
      </c>
    </row>
    <row r="60" spans="1:16" x14ac:dyDescent="0.4">
      <c r="A60" s="33">
        <v>57</v>
      </c>
      <c r="B60" s="30">
        <v>260.3</v>
      </c>
      <c r="C60" s="30">
        <v>4.5666666666666664</v>
      </c>
      <c r="D60" s="35">
        <v>1.8771929824561404</v>
      </c>
      <c r="E60" s="31">
        <v>0.35087719298245612</v>
      </c>
      <c r="F60" s="31">
        <v>0.22807017543859648</v>
      </c>
      <c r="G60" s="31">
        <v>0.35121951219512193</v>
      </c>
      <c r="H60" s="31">
        <v>0.15609756097560976</v>
      </c>
      <c r="I60" s="32">
        <v>9825.6944444444453</v>
      </c>
      <c r="J60" s="32">
        <v>-9007.8125</v>
      </c>
      <c r="K60" s="31">
        <v>0.12280701754385964</v>
      </c>
      <c r="L60" s="31">
        <v>0.22674418604651161</v>
      </c>
      <c r="M60" s="31">
        <v>0.31976744186046513</v>
      </c>
      <c r="N60" s="31">
        <v>0.61538461538461542</v>
      </c>
      <c r="O60" s="31">
        <v>0.38181818181818183</v>
      </c>
      <c r="P60" s="31">
        <v>0.46527777777777779</v>
      </c>
    </row>
    <row r="61" spans="1:16" x14ac:dyDescent="0.4">
      <c r="A61" s="33">
        <v>58</v>
      </c>
      <c r="B61" s="30">
        <v>293.3</v>
      </c>
      <c r="C61" s="30">
        <v>5.0568965517241384</v>
      </c>
      <c r="D61" s="35">
        <v>1.8620689655172413</v>
      </c>
      <c r="E61" s="31">
        <v>0.36206896551724138</v>
      </c>
      <c r="F61" s="31">
        <v>0.22413793103448276</v>
      </c>
      <c r="G61" s="31">
        <v>0.3532219570405728</v>
      </c>
      <c r="H61" s="31">
        <v>0.15513126491646778</v>
      </c>
      <c r="I61" s="32">
        <v>9884.45945945946</v>
      </c>
      <c r="J61" s="32">
        <v>-9053.8461538461543</v>
      </c>
      <c r="K61" s="31">
        <v>0.1206896551724138</v>
      </c>
      <c r="L61" s="31">
        <v>0.22651933701657459</v>
      </c>
      <c r="M61" s="31">
        <v>0.32596685082872928</v>
      </c>
      <c r="N61" s="31">
        <v>0.63414634146341464</v>
      </c>
      <c r="O61" s="31">
        <v>0.38983050847457629</v>
      </c>
      <c r="P61" s="31">
        <v>0.45945945945945948</v>
      </c>
    </row>
    <row r="62" spans="1:16" x14ac:dyDescent="0.4">
      <c r="A62" s="33">
        <v>59</v>
      </c>
      <c r="B62" s="30">
        <v>283.3</v>
      </c>
      <c r="C62" s="30">
        <v>4.8016949152542372</v>
      </c>
      <c r="D62" s="35">
        <v>1.8813559322033899</v>
      </c>
      <c r="E62" s="31">
        <v>0.3559322033898305</v>
      </c>
      <c r="F62" s="31">
        <v>0.23728813559322035</v>
      </c>
      <c r="G62" s="31">
        <v>0.34976525821596244</v>
      </c>
      <c r="H62" s="31">
        <v>0.15492957746478872</v>
      </c>
      <c r="I62" s="32">
        <v>9871.8120805369126</v>
      </c>
      <c r="J62" s="32">
        <v>-9037.878787878788</v>
      </c>
      <c r="K62" s="31">
        <v>0.11864406779661017</v>
      </c>
      <c r="L62" s="31">
        <v>0.22872340425531915</v>
      </c>
      <c r="M62" s="31">
        <v>0.31914893617021278</v>
      </c>
      <c r="N62" s="31">
        <v>0.62790697674418605</v>
      </c>
      <c r="O62" s="31">
        <v>0.38333333333333336</v>
      </c>
      <c r="P62" s="31">
        <v>0.4563758389261745</v>
      </c>
    </row>
    <row r="63" spans="1:16" x14ac:dyDescent="0.4">
      <c r="A63" s="33">
        <v>60</v>
      </c>
      <c r="B63" s="30">
        <v>272.60000000000002</v>
      </c>
      <c r="C63" s="30">
        <v>4.5433333333333339</v>
      </c>
      <c r="D63" s="35">
        <v>1.9</v>
      </c>
      <c r="E63" s="31">
        <v>0.35</v>
      </c>
      <c r="F63" s="31">
        <v>0.25</v>
      </c>
      <c r="G63" s="31">
        <v>0.34872979214780603</v>
      </c>
      <c r="H63" s="31">
        <v>0.15242494226327943</v>
      </c>
      <c r="I63" s="32">
        <v>9756.2913907284765</v>
      </c>
      <c r="J63" s="32">
        <v>-9037.878787878788</v>
      </c>
      <c r="K63" s="31">
        <v>0.11666666666666667</v>
      </c>
      <c r="L63" s="31">
        <v>0.23076923076923078</v>
      </c>
      <c r="M63" s="31">
        <v>0.31794871794871793</v>
      </c>
      <c r="N63" s="31">
        <v>0.62222222222222223</v>
      </c>
      <c r="O63" s="31">
        <v>0.38709677419354838</v>
      </c>
      <c r="P63" s="31">
        <v>0.45033112582781459</v>
      </c>
    </row>
    <row r="64" spans="1:16" x14ac:dyDescent="0.4">
      <c r="A64" s="33">
        <v>61</v>
      </c>
      <c r="B64" s="30">
        <v>259.20000000000005</v>
      </c>
      <c r="C64" s="30">
        <v>4.2491803278688529</v>
      </c>
      <c r="D64" s="35">
        <v>1.9180327868852458</v>
      </c>
      <c r="E64" s="31">
        <v>0.34426229508196721</v>
      </c>
      <c r="F64" s="31">
        <v>0.26229508196721313</v>
      </c>
      <c r="G64" s="31">
        <v>0.34693877551020408</v>
      </c>
      <c r="H64" s="31">
        <v>0.15646258503401361</v>
      </c>
      <c r="I64" s="32">
        <v>9726.1437908496737</v>
      </c>
      <c r="J64" s="32">
        <v>-8992.753623188406</v>
      </c>
      <c r="K64" s="31">
        <v>0.11475409836065574</v>
      </c>
      <c r="L64" s="31">
        <v>0.23645320197044334</v>
      </c>
      <c r="M64" s="31">
        <v>0.31527093596059114</v>
      </c>
      <c r="N64" s="31">
        <v>0.58333333333333337</v>
      </c>
      <c r="O64" s="31">
        <v>0.40625</v>
      </c>
      <c r="P64" s="31">
        <v>0.44444444444444442</v>
      </c>
    </row>
    <row r="65" spans="1:16" x14ac:dyDescent="0.4">
      <c r="A65" s="33">
        <v>62</v>
      </c>
      <c r="B65" s="30">
        <v>252.20000000000005</v>
      </c>
      <c r="C65" s="30">
        <v>4.0677419354838715</v>
      </c>
      <c r="D65" s="35">
        <v>1.9193548387096775</v>
      </c>
      <c r="E65" s="31">
        <v>0.33870967741935482</v>
      </c>
      <c r="F65" s="31">
        <v>0.25806451612903225</v>
      </c>
      <c r="G65" s="31">
        <v>0.3452914798206278</v>
      </c>
      <c r="H65" s="31">
        <v>0.15695067264573992</v>
      </c>
      <c r="I65" s="32">
        <v>9740.9090909090901</v>
      </c>
      <c r="J65" s="32">
        <v>-9035.7142857142862</v>
      </c>
      <c r="K65" s="31">
        <v>0.11290322580645161</v>
      </c>
      <c r="L65" s="31">
        <v>0.23076923076923078</v>
      </c>
      <c r="M65" s="31">
        <v>0.3125</v>
      </c>
      <c r="N65" s="31">
        <v>0.58333333333333337</v>
      </c>
      <c r="O65" s="31">
        <v>0.4</v>
      </c>
      <c r="P65" s="31">
        <v>0.44155844155844154</v>
      </c>
    </row>
    <row r="66" spans="1:16" x14ac:dyDescent="0.4">
      <c r="A66" s="33">
        <v>63</v>
      </c>
      <c r="B66" s="30">
        <v>246.20000000000005</v>
      </c>
      <c r="C66" s="30">
        <v>3.9079365079365087</v>
      </c>
      <c r="D66" s="35">
        <v>1.9365079365079365</v>
      </c>
      <c r="E66" s="31">
        <v>0.33333333333333331</v>
      </c>
      <c r="F66" s="31">
        <v>0.26984126984126983</v>
      </c>
      <c r="G66" s="31">
        <v>0.34505494505494505</v>
      </c>
      <c r="H66" s="31">
        <v>0.15604395604395604</v>
      </c>
      <c r="I66" s="32">
        <v>9724.2038216560504</v>
      </c>
      <c r="J66" s="32">
        <v>-9021.1267605633802</v>
      </c>
      <c r="K66" s="31">
        <v>0.1111111111111111</v>
      </c>
      <c r="L66" s="31">
        <v>0.22580645161290322</v>
      </c>
      <c r="M66" s="31">
        <v>0.30875576036866359</v>
      </c>
      <c r="N66" s="31">
        <v>0.5714285714285714</v>
      </c>
      <c r="O66" s="31">
        <v>0.41791044776119401</v>
      </c>
      <c r="P66" s="31">
        <v>0.43312101910828027</v>
      </c>
    </row>
    <row r="67" spans="1:16" x14ac:dyDescent="0.4">
      <c r="A67" s="33">
        <v>64</v>
      </c>
      <c r="B67" s="30">
        <v>264.90000000000003</v>
      </c>
      <c r="C67" s="30">
        <v>4.1390625000000005</v>
      </c>
      <c r="D67" s="35">
        <v>1.921875</v>
      </c>
      <c r="E67" s="31">
        <v>0.34375</v>
      </c>
      <c r="F67" s="31">
        <v>0.265625</v>
      </c>
      <c r="G67" s="31">
        <v>0.34482758620689657</v>
      </c>
      <c r="H67" s="31">
        <v>0.15732758620689655</v>
      </c>
      <c r="I67" s="32">
        <v>9716.25</v>
      </c>
      <c r="J67" s="32">
        <v>-8854.7945205479446</v>
      </c>
      <c r="K67" s="31">
        <v>0.109375</v>
      </c>
      <c r="L67" s="31">
        <v>0.22566371681415928</v>
      </c>
      <c r="M67" s="31">
        <v>0.30530973451327431</v>
      </c>
      <c r="N67" s="31">
        <v>0.58823529411764708</v>
      </c>
      <c r="O67" s="31">
        <v>0.42028985507246375</v>
      </c>
      <c r="P67" s="31">
        <v>0.43125000000000002</v>
      </c>
    </row>
    <row r="68" spans="1:16" x14ac:dyDescent="0.4">
      <c r="A68" s="33">
        <v>65</v>
      </c>
      <c r="B68" s="30">
        <v>270.8</v>
      </c>
      <c r="C68" s="30">
        <v>4.1661538461538461</v>
      </c>
      <c r="D68" s="35">
        <v>1.9230769230769231</v>
      </c>
      <c r="E68" s="31">
        <v>0.33846153846153848</v>
      </c>
      <c r="F68" s="31">
        <v>0.26153846153846155</v>
      </c>
      <c r="G68" s="31">
        <v>0.34388185654008441</v>
      </c>
      <c r="H68" s="31">
        <v>0.15400843881856541</v>
      </c>
      <c r="I68" s="32">
        <v>9707.3619631901838</v>
      </c>
      <c r="J68" s="32">
        <v>-8854.7945205479446</v>
      </c>
      <c r="K68" s="31">
        <v>0.1076923076923077</v>
      </c>
      <c r="L68" s="31">
        <v>0.23305084745762711</v>
      </c>
      <c r="M68" s="31">
        <v>0.29661016949152541</v>
      </c>
      <c r="N68" s="31">
        <v>0.58181818181818179</v>
      </c>
      <c r="O68" s="31">
        <v>0.42857142857142855</v>
      </c>
      <c r="P68" s="31">
        <v>0.42944785276073622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280FC-DA2C-4CEF-85B8-8439B5FF6B2A}">
  <sheetPr codeName="Sheet14"/>
  <dimension ref="A1:Q14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40.9</v>
      </c>
      <c r="C4" s="30">
        <v>40.9</v>
      </c>
      <c r="D4" s="35">
        <v>1</v>
      </c>
      <c r="E4" s="31">
        <v>1</v>
      </c>
      <c r="F4" s="31">
        <v>0</v>
      </c>
      <c r="G4" s="31">
        <v>1</v>
      </c>
      <c r="H4" s="31">
        <v>0</v>
      </c>
      <c r="I4" s="32">
        <v>6966.666666666667</v>
      </c>
      <c r="J4" s="32">
        <v>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0.33333333333333331</v>
      </c>
    </row>
    <row r="5" spans="1:17" x14ac:dyDescent="0.4">
      <c r="A5" s="33">
        <v>2</v>
      </c>
      <c r="B5" s="30">
        <v>-0.89999999999999858</v>
      </c>
      <c r="C5" s="30">
        <v>-0.44999999999999929</v>
      </c>
      <c r="D5" s="35">
        <v>2</v>
      </c>
      <c r="E5" s="31">
        <v>0.5</v>
      </c>
      <c r="F5" s="31">
        <v>0.5</v>
      </c>
      <c r="G5" s="31">
        <v>0.375</v>
      </c>
      <c r="H5" s="31">
        <v>0.25</v>
      </c>
      <c r="I5" s="32">
        <v>6966.666666666667</v>
      </c>
      <c r="J5" s="32">
        <v>-16000</v>
      </c>
      <c r="K5" s="31">
        <v>0.5</v>
      </c>
      <c r="L5" s="31">
        <v>0</v>
      </c>
      <c r="M5" s="31">
        <v>0</v>
      </c>
      <c r="N5" s="31">
        <v>0</v>
      </c>
      <c r="O5" s="31">
        <v>0</v>
      </c>
      <c r="P5" s="31">
        <v>0.33333333333333331</v>
      </c>
    </row>
    <row r="6" spans="1:17" x14ac:dyDescent="0.4">
      <c r="A6" s="33">
        <v>3</v>
      </c>
      <c r="B6" s="30">
        <v>-36.4</v>
      </c>
      <c r="C6" s="30">
        <v>-12.133333333333333</v>
      </c>
      <c r="D6" s="35">
        <v>2.3333333333333335</v>
      </c>
      <c r="E6" s="31">
        <v>0.33333333333333331</v>
      </c>
      <c r="F6" s="31">
        <v>0.66666666666666663</v>
      </c>
      <c r="G6" s="31">
        <v>0.2</v>
      </c>
      <c r="H6" s="31">
        <v>0.33333333333333331</v>
      </c>
      <c r="I6" s="32">
        <v>6966.666666666667</v>
      </c>
      <c r="J6" s="32">
        <v>-12000</v>
      </c>
      <c r="K6" s="31">
        <v>0.66666666666666663</v>
      </c>
      <c r="L6" s="31">
        <v>0</v>
      </c>
      <c r="M6" s="31">
        <v>0</v>
      </c>
      <c r="N6" s="31">
        <v>0</v>
      </c>
      <c r="O6" s="31">
        <v>0</v>
      </c>
      <c r="P6" s="31">
        <v>0.33333333333333331</v>
      </c>
    </row>
    <row r="7" spans="1:17" x14ac:dyDescent="0.4">
      <c r="A7" s="33">
        <v>4</v>
      </c>
      <c r="B7" s="30">
        <v>3.6000000000000014</v>
      </c>
      <c r="C7" s="30">
        <v>0.90000000000000036</v>
      </c>
      <c r="D7" s="35">
        <v>2</v>
      </c>
      <c r="E7" s="31">
        <v>0.5</v>
      </c>
      <c r="F7" s="31">
        <v>0.5</v>
      </c>
      <c r="G7" s="31">
        <v>0.23529411764705882</v>
      </c>
      <c r="H7" s="31">
        <v>0.35294117647058826</v>
      </c>
      <c r="I7" s="32">
        <v>17225</v>
      </c>
      <c r="J7" s="32">
        <v>-11333.333333333334</v>
      </c>
      <c r="K7" s="31">
        <v>0.5</v>
      </c>
      <c r="L7" s="31">
        <v>0</v>
      </c>
      <c r="M7" s="31">
        <v>0</v>
      </c>
      <c r="N7" s="31">
        <v>0</v>
      </c>
      <c r="O7" s="31">
        <v>0</v>
      </c>
      <c r="P7" s="31">
        <v>0.25</v>
      </c>
    </row>
    <row r="8" spans="1:17" x14ac:dyDescent="0.4">
      <c r="A8" s="33">
        <v>5</v>
      </c>
      <c r="B8" s="30">
        <v>14.600000000000001</v>
      </c>
      <c r="C8" s="30">
        <v>2.9200000000000004</v>
      </c>
      <c r="D8" s="35">
        <v>1.8</v>
      </c>
      <c r="E8" s="31">
        <v>0.6</v>
      </c>
      <c r="F8" s="31">
        <v>0.4</v>
      </c>
      <c r="G8" s="31">
        <v>0.25</v>
      </c>
      <c r="H8" s="31">
        <v>0.25</v>
      </c>
      <c r="I8" s="32">
        <v>14150</v>
      </c>
      <c r="J8" s="32">
        <v>-11333.333333333334</v>
      </c>
      <c r="K8" s="31">
        <v>0.4</v>
      </c>
      <c r="L8" s="31">
        <v>0</v>
      </c>
      <c r="M8" s="31">
        <v>0</v>
      </c>
      <c r="N8" s="31">
        <v>0</v>
      </c>
      <c r="O8" s="31">
        <v>0</v>
      </c>
      <c r="P8" s="31">
        <v>0.16666666666666666</v>
      </c>
    </row>
    <row r="9" spans="1:17" x14ac:dyDescent="0.4">
      <c r="A9" s="33">
        <v>6</v>
      </c>
      <c r="B9" s="30">
        <v>47.6</v>
      </c>
      <c r="C9" s="30">
        <v>7.9333333333333336</v>
      </c>
      <c r="D9" s="35">
        <v>1.6666666666666667</v>
      </c>
      <c r="E9" s="31">
        <v>0.66666666666666663</v>
      </c>
      <c r="F9" s="31">
        <v>0.33333333333333331</v>
      </c>
      <c r="G9" s="31">
        <v>0.28125</v>
      </c>
      <c r="H9" s="31">
        <v>0.1875</v>
      </c>
      <c r="I9" s="32">
        <v>13877.777777777777</v>
      </c>
      <c r="J9" s="32">
        <v>-11333.333333333334</v>
      </c>
      <c r="K9" s="31">
        <v>0.33333333333333331</v>
      </c>
      <c r="L9" s="31">
        <v>0</v>
      </c>
      <c r="M9" s="31">
        <v>0</v>
      </c>
      <c r="N9" s="31">
        <v>0</v>
      </c>
      <c r="O9" s="31">
        <v>0</v>
      </c>
      <c r="P9" s="31">
        <v>0.1111111111111111</v>
      </c>
    </row>
    <row r="10" spans="1:17" x14ac:dyDescent="0.4">
      <c r="A10" s="33">
        <v>7</v>
      </c>
      <c r="B10" s="30">
        <v>100.1</v>
      </c>
      <c r="C10" s="30">
        <v>14.299999999999999</v>
      </c>
      <c r="D10" s="35">
        <v>1.5714285714285714</v>
      </c>
      <c r="E10" s="31">
        <v>0.7142857142857143</v>
      </c>
      <c r="F10" s="31">
        <v>0.2857142857142857</v>
      </c>
      <c r="G10" s="31">
        <v>0.32500000000000001</v>
      </c>
      <c r="H10" s="31">
        <v>0.15</v>
      </c>
      <c r="I10" s="32">
        <v>13146.153846153846</v>
      </c>
      <c r="J10" s="32">
        <v>-11333.333333333334</v>
      </c>
      <c r="K10" s="31">
        <v>0.2857142857142857</v>
      </c>
      <c r="L10" s="31">
        <v>0</v>
      </c>
      <c r="M10" s="31">
        <v>0</v>
      </c>
      <c r="N10" s="31">
        <v>0</v>
      </c>
      <c r="O10" s="31">
        <v>0</v>
      </c>
      <c r="P10" s="31">
        <v>0.15384615384615385</v>
      </c>
    </row>
    <row r="11" spans="1:17" x14ac:dyDescent="0.4">
      <c r="A11" s="33">
        <v>8</v>
      </c>
      <c r="B11" s="30">
        <v>60.199999999999996</v>
      </c>
      <c r="C11" s="30">
        <v>7.5249999999999995</v>
      </c>
      <c r="D11" s="35">
        <v>1.75</v>
      </c>
      <c r="E11" s="31">
        <v>0.625</v>
      </c>
      <c r="F11" s="31">
        <v>0.375</v>
      </c>
      <c r="G11" s="31">
        <v>0.29411764705882354</v>
      </c>
      <c r="H11" s="31">
        <v>0.21568627450980393</v>
      </c>
      <c r="I11" s="32">
        <v>12726.666666666666</v>
      </c>
      <c r="J11" s="32">
        <v>-10536.363636363636</v>
      </c>
      <c r="K11" s="31">
        <v>0.375</v>
      </c>
      <c r="L11" s="31">
        <v>0</v>
      </c>
      <c r="M11" s="31">
        <v>0</v>
      </c>
      <c r="N11" s="31">
        <v>0</v>
      </c>
      <c r="O11" s="31">
        <v>0</v>
      </c>
      <c r="P11" s="31">
        <v>0.13333333333333333</v>
      </c>
    </row>
    <row r="12" spans="1:17" x14ac:dyDescent="0.4">
      <c r="A12" s="33">
        <v>9</v>
      </c>
      <c r="B12" s="30">
        <v>24.4</v>
      </c>
      <c r="C12" s="30">
        <v>2.7111111111111108</v>
      </c>
      <c r="D12" s="35">
        <v>1.8888888888888888</v>
      </c>
      <c r="E12" s="31">
        <v>0.55555555555555558</v>
      </c>
      <c r="F12" s="31">
        <v>0.44444444444444442</v>
      </c>
      <c r="G12" s="31">
        <v>0.25423728813559321</v>
      </c>
      <c r="H12" s="31">
        <v>0.20338983050847459</v>
      </c>
      <c r="I12" s="32">
        <v>12726.666666666666</v>
      </c>
      <c r="J12" s="32">
        <v>-10325</v>
      </c>
      <c r="K12" s="31">
        <v>0.44444444444444442</v>
      </c>
      <c r="L12" s="31">
        <v>0</v>
      </c>
      <c r="M12" s="31">
        <v>0</v>
      </c>
      <c r="N12" s="31">
        <v>0</v>
      </c>
      <c r="O12" s="31">
        <v>0</v>
      </c>
      <c r="P12" s="31">
        <v>0.13333333333333333</v>
      </c>
    </row>
    <row r="13" spans="1:17" x14ac:dyDescent="0.4">
      <c r="A13" s="33">
        <v>10</v>
      </c>
      <c r="B13" s="30">
        <v>-20.100000000000001</v>
      </c>
      <c r="C13" s="30">
        <v>-2.0100000000000002</v>
      </c>
      <c r="D13" s="35">
        <v>2</v>
      </c>
      <c r="E13" s="31">
        <v>0.5</v>
      </c>
      <c r="F13" s="31">
        <v>0.5</v>
      </c>
      <c r="G13" s="31">
        <v>0.23809523809523808</v>
      </c>
      <c r="H13" s="31">
        <v>0.22222222222222221</v>
      </c>
      <c r="I13" s="32">
        <v>12726.666666666666</v>
      </c>
      <c r="J13" s="32">
        <v>-11135.714285714286</v>
      </c>
      <c r="K13" s="31">
        <v>0.5</v>
      </c>
      <c r="L13" s="31">
        <v>0</v>
      </c>
      <c r="M13" s="31">
        <v>0</v>
      </c>
      <c r="N13" s="31">
        <v>0</v>
      </c>
      <c r="O13" s="31">
        <v>0</v>
      </c>
      <c r="P13" s="31">
        <v>0.13333333333333333</v>
      </c>
    </row>
    <row r="14" spans="1:17" x14ac:dyDescent="0.4">
      <c r="A14" s="33">
        <v>11</v>
      </c>
      <c r="B14" s="30">
        <v>-3.6000000000000014</v>
      </c>
      <c r="C14" s="30">
        <v>-0.32727272727272738</v>
      </c>
      <c r="D14" s="35">
        <v>2</v>
      </c>
      <c r="E14" s="31">
        <v>0.45454545454545453</v>
      </c>
      <c r="F14" s="31">
        <v>0.45454545454545453</v>
      </c>
      <c r="G14" s="31">
        <v>0.2361111111111111</v>
      </c>
      <c r="H14" s="31">
        <v>0.20833333333333334</v>
      </c>
      <c r="I14" s="32">
        <v>14523.529411764706</v>
      </c>
      <c r="J14" s="32">
        <v>-11593.333333333334</v>
      </c>
      <c r="K14" s="31">
        <v>0.45454545454545453</v>
      </c>
      <c r="L14" s="31">
        <v>0</v>
      </c>
      <c r="M14" s="31">
        <v>0</v>
      </c>
      <c r="N14" s="31">
        <v>0</v>
      </c>
      <c r="O14" s="31">
        <v>0</v>
      </c>
      <c r="P14" s="31">
        <v>0.17647058823529413</v>
      </c>
    </row>
    <row r="15" spans="1:17" x14ac:dyDescent="0.4">
      <c r="A15" s="33">
        <v>12</v>
      </c>
      <c r="B15" s="30">
        <v>-12.000000000000002</v>
      </c>
      <c r="C15" s="30">
        <v>-1.0000000000000002</v>
      </c>
      <c r="D15" s="35">
        <v>2</v>
      </c>
      <c r="E15" s="31">
        <v>0.41666666666666669</v>
      </c>
      <c r="F15" s="31">
        <v>0.41666666666666669</v>
      </c>
      <c r="G15" s="31">
        <v>0.22500000000000001</v>
      </c>
      <c r="H15" s="31">
        <v>0.21249999999999999</v>
      </c>
      <c r="I15" s="32">
        <v>14383.333333333334</v>
      </c>
      <c r="J15" s="32">
        <v>-11405.882352941177</v>
      </c>
      <c r="K15" s="31">
        <v>0.41666666666666669</v>
      </c>
      <c r="L15" s="31">
        <v>0</v>
      </c>
      <c r="M15" s="31">
        <v>0</v>
      </c>
      <c r="N15" s="31">
        <v>0</v>
      </c>
      <c r="O15" s="31">
        <v>0</v>
      </c>
      <c r="P15" s="31">
        <v>0.16666666666666666</v>
      </c>
    </row>
    <row r="16" spans="1:17" x14ac:dyDescent="0.4">
      <c r="A16" s="33">
        <v>13</v>
      </c>
      <c r="B16" s="30">
        <v>49.5</v>
      </c>
      <c r="C16" s="30">
        <v>3.8076923076923075</v>
      </c>
      <c r="D16" s="35">
        <v>1.9230769230769231</v>
      </c>
      <c r="E16" s="31">
        <v>0.46153846153846156</v>
      </c>
      <c r="F16" s="31">
        <v>0.38461538461538464</v>
      </c>
      <c r="G16" s="31">
        <v>0.23529411764705882</v>
      </c>
      <c r="H16" s="31">
        <v>0.2</v>
      </c>
      <c r="I16" s="32">
        <v>16145</v>
      </c>
      <c r="J16" s="32">
        <v>-11405.882352941177</v>
      </c>
      <c r="K16" s="31">
        <v>0.38461538461538464</v>
      </c>
      <c r="L16" s="31">
        <v>0</v>
      </c>
      <c r="M16" s="31">
        <v>0</v>
      </c>
      <c r="N16" s="31">
        <v>0</v>
      </c>
      <c r="O16" s="31">
        <v>0</v>
      </c>
      <c r="P16" s="31">
        <v>0.25</v>
      </c>
    </row>
    <row r="17" spans="1:16" x14ac:dyDescent="0.4">
      <c r="A17" s="33">
        <v>14</v>
      </c>
      <c r="B17" s="30">
        <v>33</v>
      </c>
      <c r="C17" s="30">
        <v>2.3571428571428572</v>
      </c>
      <c r="D17" s="35">
        <v>1.9285714285714286</v>
      </c>
      <c r="E17" s="31">
        <v>0.42857142857142855</v>
      </c>
      <c r="F17" s="31">
        <v>0.35714285714285715</v>
      </c>
      <c r="G17" s="31">
        <v>0.24731182795698925</v>
      </c>
      <c r="H17" s="31">
        <v>0.20430107526881722</v>
      </c>
      <c r="I17" s="32">
        <v>15430.434782608696</v>
      </c>
      <c r="J17" s="32">
        <v>-11889.473684210527</v>
      </c>
      <c r="K17" s="31">
        <v>0.35714285714285715</v>
      </c>
      <c r="L17" s="31">
        <v>0</v>
      </c>
      <c r="M17" s="31">
        <v>0</v>
      </c>
      <c r="N17" s="31">
        <v>0</v>
      </c>
      <c r="O17" s="31">
        <v>0</v>
      </c>
      <c r="P17" s="31">
        <v>0.30434782608695654</v>
      </c>
    </row>
    <row r="18" spans="1:16" x14ac:dyDescent="0.4">
      <c r="A18" s="33">
        <v>15</v>
      </c>
      <c r="B18" s="30">
        <v>38.5</v>
      </c>
      <c r="C18" s="30">
        <v>2.5666666666666669</v>
      </c>
      <c r="D18" s="35">
        <v>1.8666666666666667</v>
      </c>
      <c r="E18" s="31">
        <v>0.46666666666666667</v>
      </c>
      <c r="F18" s="31">
        <v>0.33333333333333331</v>
      </c>
      <c r="G18" s="31">
        <v>0.24509803921568626</v>
      </c>
      <c r="H18" s="31">
        <v>0.18627450980392157</v>
      </c>
      <c r="I18" s="32">
        <v>15316</v>
      </c>
      <c r="J18" s="32">
        <v>-11889.473684210527</v>
      </c>
      <c r="K18" s="31">
        <v>0.33333333333333331</v>
      </c>
      <c r="L18" s="31">
        <v>0</v>
      </c>
      <c r="M18" s="31">
        <v>0</v>
      </c>
      <c r="N18" s="31">
        <v>0</v>
      </c>
      <c r="O18" s="31">
        <v>0</v>
      </c>
      <c r="P18" s="31">
        <v>0.32</v>
      </c>
    </row>
    <row r="19" spans="1:16" x14ac:dyDescent="0.4">
      <c r="A19" s="33">
        <v>16</v>
      </c>
      <c r="B19" s="30">
        <v>14.600000000000001</v>
      </c>
      <c r="C19" s="30">
        <v>0.91250000000000009</v>
      </c>
      <c r="D19" s="35">
        <v>1.9375</v>
      </c>
      <c r="E19" s="31">
        <v>0.4375</v>
      </c>
      <c r="F19" s="31">
        <v>0.375</v>
      </c>
      <c r="G19" s="31">
        <v>0.23008849557522124</v>
      </c>
      <c r="H19" s="31">
        <v>0.18584070796460178</v>
      </c>
      <c r="I19" s="32">
        <v>15034.615384615385</v>
      </c>
      <c r="J19" s="32">
        <v>-11704.761904761905</v>
      </c>
      <c r="K19" s="31">
        <v>0.3125</v>
      </c>
      <c r="L19" s="31">
        <v>0</v>
      </c>
      <c r="M19" s="31">
        <v>0</v>
      </c>
      <c r="N19" s="31">
        <v>0</v>
      </c>
      <c r="O19" s="31">
        <v>0</v>
      </c>
      <c r="P19" s="31">
        <v>0.34615384615384615</v>
      </c>
    </row>
    <row r="20" spans="1:16" x14ac:dyDescent="0.4">
      <c r="A20" s="33">
        <v>17</v>
      </c>
      <c r="B20" s="30">
        <v>13.900000000000002</v>
      </c>
      <c r="C20" s="30">
        <v>0.8176470588235295</v>
      </c>
      <c r="D20" s="35">
        <v>1.9411764705882353</v>
      </c>
      <c r="E20" s="31">
        <v>0.41176470588235292</v>
      </c>
      <c r="F20" s="31">
        <v>0.35294117647058826</v>
      </c>
      <c r="G20" s="31">
        <v>0.23966942148760331</v>
      </c>
      <c r="H20" s="31">
        <v>0.20661157024793389</v>
      </c>
      <c r="I20" s="32">
        <v>14686.206896551725</v>
      </c>
      <c r="J20" s="32">
        <v>-10780</v>
      </c>
      <c r="K20" s="31">
        <v>0.29411764705882354</v>
      </c>
      <c r="L20" s="31">
        <v>0</v>
      </c>
      <c r="M20" s="31">
        <v>0</v>
      </c>
      <c r="N20" s="31">
        <v>0</v>
      </c>
      <c r="O20" s="31">
        <v>0</v>
      </c>
      <c r="P20" s="31">
        <v>0.37931034482758619</v>
      </c>
    </row>
    <row r="21" spans="1:16" x14ac:dyDescent="0.4">
      <c r="A21" s="33">
        <v>18</v>
      </c>
      <c r="B21" s="30">
        <v>-21.999999999999996</v>
      </c>
      <c r="C21" s="30">
        <v>-1.2222222222222221</v>
      </c>
      <c r="D21" s="35">
        <v>2</v>
      </c>
      <c r="E21" s="31">
        <v>0.3888888888888889</v>
      </c>
      <c r="F21" s="31">
        <v>0.3888888888888889</v>
      </c>
      <c r="G21" s="31">
        <v>0.23015873015873015</v>
      </c>
      <c r="H21" s="31">
        <v>0.23015873015873015</v>
      </c>
      <c r="I21" s="32">
        <v>14686.206896551725</v>
      </c>
      <c r="J21" s="32">
        <v>-10427.586206896553</v>
      </c>
      <c r="K21" s="31">
        <v>0.33333333333333331</v>
      </c>
      <c r="L21" s="31">
        <v>0</v>
      </c>
      <c r="M21" s="31">
        <v>0</v>
      </c>
      <c r="N21" s="31">
        <v>0</v>
      </c>
      <c r="O21" s="31">
        <v>0</v>
      </c>
      <c r="P21" s="31">
        <v>0.37931034482758619</v>
      </c>
    </row>
    <row r="22" spans="1:16" x14ac:dyDescent="0.4">
      <c r="A22" s="33">
        <v>19</v>
      </c>
      <c r="B22" s="30">
        <v>-26.699999999999996</v>
      </c>
      <c r="C22" s="30">
        <v>-1.4052631578947365</v>
      </c>
      <c r="D22" s="35">
        <v>2</v>
      </c>
      <c r="E22" s="31">
        <v>0.36842105263157893</v>
      </c>
      <c r="F22" s="31">
        <v>0.36842105263157893</v>
      </c>
      <c r="G22" s="31">
        <v>0.23021582733812951</v>
      </c>
      <c r="H22" s="31">
        <v>0.23021582733812951</v>
      </c>
      <c r="I22" s="32">
        <v>14121.875</v>
      </c>
      <c r="J22" s="32">
        <v>-9940.625</v>
      </c>
      <c r="K22" s="31">
        <v>0.31578947368421051</v>
      </c>
      <c r="L22" s="31">
        <v>0</v>
      </c>
      <c r="M22" s="31">
        <v>0</v>
      </c>
      <c r="N22" s="31">
        <v>0</v>
      </c>
      <c r="O22" s="31">
        <v>0</v>
      </c>
      <c r="P22" s="31">
        <v>0.375</v>
      </c>
    </row>
    <row r="23" spans="1:16" x14ac:dyDescent="0.4">
      <c r="A23" s="33">
        <v>20</v>
      </c>
      <c r="B23" s="30">
        <v>-57.899999999999991</v>
      </c>
      <c r="C23" s="30">
        <v>-2.8949999999999996</v>
      </c>
      <c r="D23" s="35">
        <v>2.0499999999999998</v>
      </c>
      <c r="E23" s="31">
        <v>0.35</v>
      </c>
      <c r="F23" s="31">
        <v>0.4</v>
      </c>
      <c r="G23" s="31">
        <v>0.22602739726027396</v>
      </c>
      <c r="H23" s="31">
        <v>0.22602739726027396</v>
      </c>
      <c r="I23" s="32">
        <v>13778.787878787878</v>
      </c>
      <c r="J23" s="32">
        <v>-9881.818181818182</v>
      </c>
      <c r="K23" s="31">
        <v>0.3</v>
      </c>
      <c r="L23" s="31">
        <v>0</v>
      </c>
      <c r="M23" s="31">
        <v>0</v>
      </c>
      <c r="N23" s="31">
        <v>0</v>
      </c>
      <c r="O23" s="31">
        <v>0</v>
      </c>
      <c r="P23" s="31">
        <v>0.39393939393939392</v>
      </c>
    </row>
    <row r="24" spans="1:16" x14ac:dyDescent="0.4">
      <c r="A24" s="33">
        <v>21</v>
      </c>
      <c r="B24" s="30">
        <v>-82.699999999999989</v>
      </c>
      <c r="C24" s="30">
        <v>-3.9380952380952374</v>
      </c>
      <c r="D24" s="35">
        <v>2.0952380952380953</v>
      </c>
      <c r="E24" s="31">
        <v>0.33333333333333331</v>
      </c>
      <c r="F24" s="31">
        <v>0.42857142857142855</v>
      </c>
      <c r="G24" s="31">
        <v>0.21568627450980393</v>
      </c>
      <c r="H24" s="31">
        <v>0.22875816993464052</v>
      </c>
      <c r="I24" s="32">
        <v>13778.787878787878</v>
      </c>
      <c r="J24" s="32">
        <v>-9540</v>
      </c>
      <c r="K24" s="31">
        <v>0.2857142857142857</v>
      </c>
      <c r="L24" s="31">
        <v>0</v>
      </c>
      <c r="M24" s="31">
        <v>0</v>
      </c>
      <c r="N24" s="31">
        <v>0</v>
      </c>
      <c r="O24" s="31">
        <v>0</v>
      </c>
      <c r="P24" s="31">
        <v>0.39393939393939392</v>
      </c>
    </row>
    <row r="25" spans="1:16" x14ac:dyDescent="0.4">
      <c r="A25" s="33">
        <v>22</v>
      </c>
      <c r="B25" s="30">
        <v>-94.6</v>
      </c>
      <c r="C25" s="30">
        <v>-4.3</v>
      </c>
      <c r="D25" s="35">
        <v>2.1363636363636362</v>
      </c>
      <c r="E25" s="31">
        <v>0.31818181818181818</v>
      </c>
      <c r="F25" s="31">
        <v>0.45454545454545453</v>
      </c>
      <c r="G25" s="31">
        <v>0.21472392638036811</v>
      </c>
      <c r="H25" s="31">
        <v>0.22085889570552147</v>
      </c>
      <c r="I25" s="32">
        <v>13402.857142857143</v>
      </c>
      <c r="J25" s="32">
        <v>-9311.1111111111113</v>
      </c>
      <c r="K25" s="31">
        <v>0.27272727272727271</v>
      </c>
      <c r="L25" s="31">
        <v>0</v>
      </c>
      <c r="M25" s="31">
        <v>0</v>
      </c>
      <c r="N25" s="31">
        <v>0</v>
      </c>
      <c r="O25" s="31">
        <v>0</v>
      </c>
      <c r="P25" s="31">
        <v>0.37142857142857144</v>
      </c>
    </row>
    <row r="26" spans="1:16" x14ac:dyDescent="0.4">
      <c r="A26" s="33">
        <v>23</v>
      </c>
      <c r="B26" s="30">
        <v>-111.3</v>
      </c>
      <c r="C26" s="30">
        <v>-4.839130434782609</v>
      </c>
      <c r="D26" s="35">
        <v>2.1739130434782608</v>
      </c>
      <c r="E26" s="31">
        <v>0.30434782608695654</v>
      </c>
      <c r="F26" s="31">
        <v>0.47826086956521741</v>
      </c>
      <c r="G26" s="31">
        <v>0.21142857142857144</v>
      </c>
      <c r="H26" s="31">
        <v>0.21142857142857144</v>
      </c>
      <c r="I26" s="32">
        <v>13045.945945945947</v>
      </c>
      <c r="J26" s="32">
        <v>-9383.7837837837833</v>
      </c>
      <c r="K26" s="31">
        <v>0.2608695652173913</v>
      </c>
      <c r="L26" s="31">
        <v>0</v>
      </c>
      <c r="M26" s="31">
        <v>0</v>
      </c>
      <c r="N26" s="31">
        <v>0</v>
      </c>
      <c r="O26" s="31">
        <v>0</v>
      </c>
      <c r="P26" s="31">
        <v>0.3783783783783784</v>
      </c>
    </row>
    <row r="27" spans="1:16" x14ac:dyDescent="0.4">
      <c r="A27" s="33">
        <v>24</v>
      </c>
      <c r="B27" s="30">
        <v>-68.099999999999994</v>
      </c>
      <c r="C27" s="30">
        <v>-2.8374999999999999</v>
      </c>
      <c r="D27" s="35">
        <v>2.125</v>
      </c>
      <c r="E27" s="31">
        <v>0.33333333333333331</v>
      </c>
      <c r="F27" s="31">
        <v>0.45833333333333331</v>
      </c>
      <c r="G27" s="31">
        <v>0.21978021978021978</v>
      </c>
      <c r="H27" s="31">
        <v>0.2087912087912088</v>
      </c>
      <c r="I27" s="32">
        <v>13160</v>
      </c>
      <c r="J27" s="32">
        <v>-9189.4736842105267</v>
      </c>
      <c r="K27" s="31">
        <v>0.25</v>
      </c>
      <c r="L27" s="31">
        <v>0</v>
      </c>
      <c r="M27" s="31">
        <v>0</v>
      </c>
      <c r="N27" s="31">
        <v>0</v>
      </c>
      <c r="O27" s="31">
        <v>0</v>
      </c>
      <c r="P27" s="31">
        <v>0.4</v>
      </c>
    </row>
    <row r="28" spans="1:16" x14ac:dyDescent="0.4">
      <c r="A28" s="33">
        <v>25</v>
      </c>
      <c r="B28" s="30">
        <v>-70.899999999999991</v>
      </c>
      <c r="C28" s="30">
        <v>-2.8359999999999999</v>
      </c>
      <c r="D28" s="35">
        <v>2.12</v>
      </c>
      <c r="E28" s="31">
        <v>0.32</v>
      </c>
      <c r="F28" s="31">
        <v>0.44</v>
      </c>
      <c r="G28" s="31">
        <v>0.22222222222222221</v>
      </c>
      <c r="H28" s="31">
        <v>0.20634920634920634</v>
      </c>
      <c r="I28" s="32">
        <v>12942.857142857143</v>
      </c>
      <c r="J28" s="32">
        <v>-9158.9743589743593</v>
      </c>
      <c r="K28" s="31">
        <v>0.24</v>
      </c>
      <c r="L28" s="31">
        <v>0</v>
      </c>
      <c r="M28" s="31">
        <v>0</v>
      </c>
      <c r="N28" s="31">
        <v>0</v>
      </c>
      <c r="O28" s="31">
        <v>0</v>
      </c>
      <c r="P28" s="31">
        <v>0.38095238095238093</v>
      </c>
    </row>
    <row r="29" spans="1:16" x14ac:dyDescent="0.4">
      <c r="A29" s="33">
        <v>26</v>
      </c>
      <c r="B29" s="30">
        <v>-125.89999999999999</v>
      </c>
      <c r="C29" s="30">
        <v>-4.842307692307692</v>
      </c>
      <c r="D29" s="35">
        <v>2.1538461538461537</v>
      </c>
      <c r="E29" s="31">
        <v>0.30769230769230771</v>
      </c>
      <c r="F29" s="31">
        <v>0.46153846153846156</v>
      </c>
      <c r="G29" s="31">
        <v>0.21938775510204081</v>
      </c>
      <c r="H29" s="31">
        <v>0.20918367346938777</v>
      </c>
      <c r="I29" s="32">
        <v>12920.930232558139</v>
      </c>
      <c r="J29" s="32">
        <v>-9687.8048780487807</v>
      </c>
      <c r="K29" s="31">
        <v>0.26923076923076922</v>
      </c>
      <c r="L29" s="31">
        <v>0</v>
      </c>
      <c r="M29" s="31">
        <v>0</v>
      </c>
      <c r="N29" s="31">
        <v>0</v>
      </c>
      <c r="O29" s="31">
        <v>0</v>
      </c>
      <c r="P29" s="31">
        <v>0.37209302325581395</v>
      </c>
    </row>
    <row r="30" spans="1:16" x14ac:dyDescent="0.4">
      <c r="A30" s="33">
        <v>27</v>
      </c>
      <c r="B30" s="30">
        <v>-163.6</v>
      </c>
      <c r="C30" s="30">
        <v>-6.0592592592592593</v>
      </c>
      <c r="D30" s="35">
        <v>2.1851851851851851</v>
      </c>
      <c r="E30" s="31">
        <v>0.29629629629629628</v>
      </c>
      <c r="F30" s="31">
        <v>0.48148148148148145</v>
      </c>
      <c r="G30" s="31">
        <v>0.21782178217821782</v>
      </c>
      <c r="H30" s="31">
        <v>0.21287128712871287</v>
      </c>
      <c r="I30" s="32">
        <v>12809.09090909091</v>
      </c>
      <c r="J30" s="32">
        <v>-10055.813953488372</v>
      </c>
      <c r="K30" s="31">
        <v>0.29629629629629628</v>
      </c>
      <c r="L30" s="31">
        <v>0</v>
      </c>
      <c r="M30" s="31">
        <v>0</v>
      </c>
      <c r="N30" s="31">
        <v>0</v>
      </c>
      <c r="O30" s="31">
        <v>0</v>
      </c>
      <c r="P30" s="31">
        <v>0.38636363636363635</v>
      </c>
    </row>
    <row r="31" spans="1:16" x14ac:dyDescent="0.4">
      <c r="A31" s="33">
        <v>28</v>
      </c>
      <c r="B31" s="30">
        <v>-169.5</v>
      </c>
      <c r="C31" s="30">
        <v>-6.0535714285714288</v>
      </c>
      <c r="D31" s="35">
        <v>2.1785714285714284</v>
      </c>
      <c r="E31" s="31">
        <v>0.2857142857142857</v>
      </c>
      <c r="F31" s="31">
        <v>0.4642857142857143</v>
      </c>
      <c r="G31" s="31">
        <v>0.21531100478468901</v>
      </c>
      <c r="H31" s="31">
        <v>0.21531100478468901</v>
      </c>
      <c r="I31" s="32">
        <v>12702.222222222223</v>
      </c>
      <c r="J31" s="32">
        <v>-9928.8888888888887</v>
      </c>
      <c r="K31" s="31">
        <v>0.2857142857142857</v>
      </c>
      <c r="L31" s="31">
        <v>0</v>
      </c>
      <c r="M31" s="31">
        <v>0</v>
      </c>
      <c r="N31" s="31">
        <v>0</v>
      </c>
      <c r="O31" s="31">
        <v>0</v>
      </c>
      <c r="P31" s="31">
        <v>0.4</v>
      </c>
    </row>
    <row r="32" spans="1:16" x14ac:dyDescent="0.4">
      <c r="A32" s="33">
        <v>29</v>
      </c>
      <c r="B32" s="30">
        <v>-163.30000000000001</v>
      </c>
      <c r="C32" s="30">
        <v>-5.6310344827586212</v>
      </c>
      <c r="D32" s="35">
        <v>2.1724137931034484</v>
      </c>
      <c r="E32" s="31">
        <v>0.27586206896551724</v>
      </c>
      <c r="F32" s="31">
        <v>0.44827586206896552</v>
      </c>
      <c r="G32" s="31">
        <v>0.22018348623853212</v>
      </c>
      <c r="H32" s="31">
        <v>0.21559633027522937</v>
      </c>
      <c r="I32" s="32">
        <v>12641.666666666666</v>
      </c>
      <c r="J32" s="32">
        <v>-9846.8085106382987</v>
      </c>
      <c r="K32" s="31">
        <v>0.27586206896551724</v>
      </c>
      <c r="L32" s="31">
        <v>0</v>
      </c>
      <c r="M32" s="31">
        <v>0</v>
      </c>
      <c r="N32" s="31">
        <v>0</v>
      </c>
      <c r="O32" s="31">
        <v>0</v>
      </c>
      <c r="P32" s="31">
        <v>0.39583333333333331</v>
      </c>
    </row>
    <row r="33" spans="1:16" x14ac:dyDescent="0.4">
      <c r="A33" s="33">
        <v>30</v>
      </c>
      <c r="B33" s="30">
        <v>-209.4</v>
      </c>
      <c r="C33" s="30">
        <v>-6.98</v>
      </c>
      <c r="D33" s="35">
        <v>2.2000000000000002</v>
      </c>
      <c r="E33" s="31">
        <v>0.26666666666666666</v>
      </c>
      <c r="F33" s="31">
        <v>0.46666666666666667</v>
      </c>
      <c r="G33" s="31">
        <v>0.21428571428571427</v>
      </c>
      <c r="H33" s="31">
        <v>0.22767857142857142</v>
      </c>
      <c r="I33" s="32">
        <v>12641.666666666666</v>
      </c>
      <c r="J33" s="32">
        <v>-10007.843137254902</v>
      </c>
      <c r="K33" s="31">
        <v>0.3</v>
      </c>
      <c r="L33" s="31">
        <v>0</v>
      </c>
      <c r="M33" s="31">
        <v>0</v>
      </c>
      <c r="N33" s="31">
        <v>0</v>
      </c>
      <c r="O33" s="31">
        <v>0</v>
      </c>
      <c r="P33" s="31">
        <v>0.39583333333333331</v>
      </c>
    </row>
    <row r="34" spans="1:16" x14ac:dyDescent="0.4">
      <c r="A34" s="33">
        <v>31</v>
      </c>
      <c r="B34" s="30">
        <v>-259.89999999999998</v>
      </c>
      <c r="C34" s="30">
        <v>-8.3838709677419345</v>
      </c>
      <c r="D34" s="35">
        <v>2.225806451612903</v>
      </c>
      <c r="E34" s="31">
        <v>0.25806451612903225</v>
      </c>
      <c r="F34" s="31">
        <v>0.4838709677419355</v>
      </c>
      <c r="G34" s="31">
        <v>0.21145374449339208</v>
      </c>
      <c r="H34" s="31">
        <v>0.23348017621145375</v>
      </c>
      <c r="I34" s="32">
        <v>12641.666666666666</v>
      </c>
      <c r="J34" s="32">
        <v>-10422.641509433963</v>
      </c>
      <c r="K34" s="31">
        <v>0.32258064516129031</v>
      </c>
      <c r="L34" s="31">
        <v>0</v>
      </c>
      <c r="M34" s="31">
        <v>0</v>
      </c>
      <c r="N34" s="31">
        <v>0</v>
      </c>
      <c r="O34" s="31">
        <v>0</v>
      </c>
      <c r="P34" s="31">
        <v>0.39583333333333331</v>
      </c>
    </row>
    <row r="35" spans="1:16" x14ac:dyDescent="0.4">
      <c r="A35" s="33">
        <v>32</v>
      </c>
      <c r="B35" s="30">
        <v>-253.59999999999997</v>
      </c>
      <c r="C35" s="30">
        <v>-7.9249999999999989</v>
      </c>
      <c r="D35" s="35">
        <v>2.1875</v>
      </c>
      <c r="E35" s="31">
        <v>0.28125</v>
      </c>
      <c r="F35" s="31">
        <v>0.46875</v>
      </c>
      <c r="G35" s="31">
        <v>0.22362869198312235</v>
      </c>
      <c r="H35" s="31">
        <v>0.2320675105485232</v>
      </c>
      <c r="I35" s="32">
        <v>12209.433962264151</v>
      </c>
      <c r="J35" s="32">
        <v>-10661.818181818182</v>
      </c>
      <c r="K35" s="31">
        <v>0.3125</v>
      </c>
      <c r="L35" s="31">
        <v>0</v>
      </c>
      <c r="M35" s="31">
        <v>0</v>
      </c>
      <c r="N35" s="31">
        <v>0</v>
      </c>
      <c r="O35" s="31">
        <v>0</v>
      </c>
      <c r="P35" s="31">
        <v>0.37735849056603776</v>
      </c>
    </row>
    <row r="36" spans="1:16" x14ac:dyDescent="0.4">
      <c r="A36" s="33">
        <v>33</v>
      </c>
      <c r="B36" s="30">
        <v>-234.89999999999998</v>
      </c>
      <c r="C36" s="30">
        <v>-7.1181818181818173</v>
      </c>
      <c r="D36" s="35">
        <v>2.1515151515151514</v>
      </c>
      <c r="E36" s="31">
        <v>0.30303030303030304</v>
      </c>
      <c r="F36" s="31">
        <v>0.45454545454545453</v>
      </c>
      <c r="G36" s="31">
        <v>0.23265306122448978</v>
      </c>
      <c r="H36" s="31">
        <v>0.22857142857142856</v>
      </c>
      <c r="I36" s="32">
        <v>11900</v>
      </c>
      <c r="J36" s="32">
        <v>-10614.285714285714</v>
      </c>
      <c r="K36" s="31">
        <v>0.30303030303030304</v>
      </c>
      <c r="L36" s="31">
        <v>0</v>
      </c>
      <c r="M36" s="31">
        <v>0</v>
      </c>
      <c r="N36" s="31">
        <v>0</v>
      </c>
      <c r="O36" s="31">
        <v>0</v>
      </c>
      <c r="P36" s="31">
        <v>0.35087719298245612</v>
      </c>
    </row>
    <row r="37" spans="1:16" x14ac:dyDescent="0.4">
      <c r="A37" s="33">
        <v>34</v>
      </c>
      <c r="B37" s="30">
        <v>-229.79999999999998</v>
      </c>
      <c r="C37" s="30">
        <v>-6.7588235294117638</v>
      </c>
      <c r="D37" s="35">
        <v>2.1470588235294117</v>
      </c>
      <c r="E37" s="31">
        <v>0.29411764705882354</v>
      </c>
      <c r="F37" s="31">
        <v>0.44117647058823528</v>
      </c>
      <c r="G37" s="31">
        <v>0.233201581027668</v>
      </c>
      <c r="H37" s="31">
        <v>0.22529644268774704</v>
      </c>
      <c r="I37" s="32">
        <v>11891.525423728814</v>
      </c>
      <c r="J37" s="32">
        <v>-10478.947368421053</v>
      </c>
      <c r="K37" s="31">
        <v>0.29411764705882354</v>
      </c>
      <c r="L37" s="31">
        <v>0</v>
      </c>
      <c r="M37" s="31">
        <v>0</v>
      </c>
      <c r="N37" s="31">
        <v>0</v>
      </c>
      <c r="O37" s="31">
        <v>0</v>
      </c>
      <c r="P37" s="31">
        <v>0.3559322033898305</v>
      </c>
    </row>
    <row r="38" spans="1:16" x14ac:dyDescent="0.4">
      <c r="A38" s="33">
        <v>35</v>
      </c>
      <c r="B38" s="30">
        <v>-254.29999999999998</v>
      </c>
      <c r="C38" s="30">
        <v>-7.2657142857142851</v>
      </c>
      <c r="D38" s="35">
        <v>2.1714285714285713</v>
      </c>
      <c r="E38" s="31">
        <v>0.2857142857142857</v>
      </c>
      <c r="F38" s="31">
        <v>0.45714285714285713</v>
      </c>
      <c r="G38" s="31">
        <v>0.23371647509578544</v>
      </c>
      <c r="H38" s="31">
        <v>0.22605363984674329</v>
      </c>
      <c r="I38" s="32">
        <v>11927.868852459016</v>
      </c>
      <c r="J38" s="32">
        <v>-10666.101694915254</v>
      </c>
      <c r="K38" s="31">
        <v>0.2857142857142857</v>
      </c>
      <c r="L38" s="31">
        <v>0</v>
      </c>
      <c r="M38" s="31">
        <v>0</v>
      </c>
      <c r="N38" s="31">
        <v>0</v>
      </c>
      <c r="O38" s="31">
        <v>0</v>
      </c>
      <c r="P38" s="31">
        <v>0.37704918032786883</v>
      </c>
    </row>
    <row r="39" spans="1:16" x14ac:dyDescent="0.4">
      <c r="A39" s="33">
        <v>36</v>
      </c>
      <c r="B39" s="30">
        <v>-204.29999999999998</v>
      </c>
      <c r="C39" s="30">
        <v>-5.6749999999999998</v>
      </c>
      <c r="D39" s="35">
        <v>2.1388888888888888</v>
      </c>
      <c r="E39" s="31">
        <v>0.30555555555555558</v>
      </c>
      <c r="F39" s="31">
        <v>0.44444444444444442</v>
      </c>
      <c r="G39" s="31">
        <v>0.23371647509578544</v>
      </c>
      <c r="H39" s="31">
        <v>0.22605363984674329</v>
      </c>
      <c r="I39" s="32">
        <v>11927.868852459016</v>
      </c>
      <c r="J39" s="32">
        <v>-10666.101694915254</v>
      </c>
      <c r="K39" s="31">
        <v>0.27777777777777779</v>
      </c>
      <c r="L39" s="31">
        <v>0</v>
      </c>
      <c r="M39" s="31">
        <v>0</v>
      </c>
      <c r="N39" s="31">
        <v>0</v>
      </c>
      <c r="O39" s="31">
        <v>0</v>
      </c>
      <c r="P39" s="31">
        <v>0.37704918032786883</v>
      </c>
    </row>
    <row r="40" spans="1:16" x14ac:dyDescent="0.4">
      <c r="A40" s="33">
        <v>37</v>
      </c>
      <c r="B40" s="30">
        <v>-249.29999999999998</v>
      </c>
      <c r="C40" s="30">
        <v>-6.7378378378378372</v>
      </c>
      <c r="D40" s="35">
        <v>2.1621621621621623</v>
      </c>
      <c r="E40" s="31">
        <v>0.29729729729729731</v>
      </c>
      <c r="F40" s="31">
        <v>0.45945945945945948</v>
      </c>
      <c r="G40" s="31">
        <v>0.23106060606060605</v>
      </c>
      <c r="H40" s="31">
        <v>0.22727272727272727</v>
      </c>
      <c r="I40" s="32">
        <v>11927.868852459016</v>
      </c>
      <c r="J40" s="32">
        <v>-10888.333333333334</v>
      </c>
      <c r="K40" s="31">
        <v>0.29729729729729731</v>
      </c>
      <c r="L40" s="31">
        <v>0.33333333333333331</v>
      </c>
      <c r="M40" s="31">
        <v>0.33333333333333331</v>
      </c>
      <c r="N40" s="31">
        <v>0</v>
      </c>
      <c r="O40" s="31">
        <v>0</v>
      </c>
      <c r="P40" s="31">
        <v>0.37704918032786883</v>
      </c>
    </row>
    <row r="41" spans="1:16" x14ac:dyDescent="0.4">
      <c r="A41" s="33">
        <v>38</v>
      </c>
      <c r="B41" s="30">
        <v>-242.49999999999997</v>
      </c>
      <c r="C41" s="30">
        <v>-6.3815789473684204</v>
      </c>
      <c r="D41" s="35">
        <v>2.1315789473684212</v>
      </c>
      <c r="E41" s="31">
        <v>0.31578947368421051</v>
      </c>
      <c r="F41" s="31">
        <v>0.44736842105263158</v>
      </c>
      <c r="G41" s="31">
        <v>0.23161764705882354</v>
      </c>
      <c r="H41" s="31">
        <v>0.22426470588235295</v>
      </c>
      <c r="I41" s="32">
        <v>11803.174603174602</v>
      </c>
      <c r="J41" s="32">
        <v>-10795.081967213115</v>
      </c>
      <c r="K41" s="31">
        <v>0.28947368421052633</v>
      </c>
      <c r="L41" s="31">
        <v>0.45454545454545453</v>
      </c>
      <c r="M41" s="31">
        <v>0.18181818181818182</v>
      </c>
      <c r="N41" s="31">
        <v>0.4</v>
      </c>
      <c r="O41" s="31">
        <v>0</v>
      </c>
      <c r="P41" s="31">
        <v>0.3968253968253968</v>
      </c>
    </row>
    <row r="42" spans="1:16" x14ac:dyDescent="0.4">
      <c r="A42" s="33">
        <v>39</v>
      </c>
      <c r="B42" s="30">
        <v>-244.59999999999997</v>
      </c>
      <c r="C42" s="30">
        <v>-6.2717948717948708</v>
      </c>
      <c r="D42" s="35">
        <v>2.1538461538461537</v>
      </c>
      <c r="E42" s="31">
        <v>0.30769230769230771</v>
      </c>
      <c r="F42" s="31">
        <v>0.46153846153846156</v>
      </c>
      <c r="G42" s="31">
        <v>0.23214285714285715</v>
      </c>
      <c r="H42" s="31">
        <v>0.21785714285714286</v>
      </c>
      <c r="I42" s="32">
        <v>11643.076923076924</v>
      </c>
      <c r="J42" s="32">
        <v>-10795.081967213115</v>
      </c>
      <c r="K42" s="31">
        <v>0.28205128205128205</v>
      </c>
      <c r="L42" s="31">
        <v>0.42105263157894735</v>
      </c>
      <c r="M42" s="31">
        <v>0.15789473684210525</v>
      </c>
      <c r="N42" s="31">
        <v>0.375</v>
      </c>
      <c r="O42" s="31">
        <v>0.33333333333333331</v>
      </c>
      <c r="P42" s="31">
        <v>0.4</v>
      </c>
    </row>
    <row r="43" spans="1:16" x14ac:dyDescent="0.4">
      <c r="A43" s="33">
        <v>40</v>
      </c>
      <c r="B43" s="30">
        <v>-279.7</v>
      </c>
      <c r="C43" s="30">
        <v>-6.9924999999999997</v>
      </c>
      <c r="D43" s="35">
        <v>2.1749999999999998</v>
      </c>
      <c r="E43" s="31">
        <v>0.3</v>
      </c>
      <c r="F43" s="31">
        <v>0.47499999999999998</v>
      </c>
      <c r="G43" s="31">
        <v>0.22727272727272727</v>
      </c>
      <c r="H43" s="31">
        <v>0.22377622377622378</v>
      </c>
      <c r="I43" s="32">
        <v>11643.076923076924</v>
      </c>
      <c r="J43" s="32">
        <v>-10690.625</v>
      </c>
      <c r="K43" s="31">
        <v>0.3</v>
      </c>
      <c r="L43" s="31">
        <v>0.32</v>
      </c>
      <c r="M43" s="31">
        <v>0.16</v>
      </c>
      <c r="N43" s="31">
        <v>0.375</v>
      </c>
      <c r="O43" s="31">
        <v>0.25</v>
      </c>
      <c r="P43" s="31">
        <v>0.4</v>
      </c>
    </row>
    <row r="44" spans="1:16" x14ac:dyDescent="0.4">
      <c r="A44" s="33">
        <v>41</v>
      </c>
      <c r="B44" s="30">
        <v>-320.09999999999997</v>
      </c>
      <c r="C44" s="30">
        <v>-7.8073170731707311</v>
      </c>
      <c r="D44" s="35">
        <v>2.1951219512195124</v>
      </c>
      <c r="E44" s="31">
        <v>0.29268292682926828</v>
      </c>
      <c r="F44" s="31">
        <v>0.48780487804878048</v>
      </c>
      <c r="G44" s="31">
        <v>0.22413793103448276</v>
      </c>
      <c r="H44" s="31">
        <v>0.23103448275862068</v>
      </c>
      <c r="I44" s="32">
        <v>11643.076923076924</v>
      </c>
      <c r="J44" s="32">
        <v>-10688.059701492537</v>
      </c>
      <c r="K44" s="31">
        <v>0.31707317073170732</v>
      </c>
      <c r="L44" s="31">
        <v>0.27586206896551724</v>
      </c>
      <c r="M44" s="31">
        <v>0.13793103448275862</v>
      </c>
      <c r="N44" s="31">
        <v>0.375</v>
      </c>
      <c r="O44" s="31">
        <v>0.25</v>
      </c>
      <c r="P44" s="31">
        <v>0.4</v>
      </c>
    </row>
    <row r="45" spans="1:16" x14ac:dyDescent="0.4">
      <c r="A45" s="33">
        <v>42</v>
      </c>
      <c r="B45" s="30">
        <v>-314.29999999999995</v>
      </c>
      <c r="C45" s="30">
        <v>-7.4833333333333325</v>
      </c>
      <c r="D45" s="35">
        <v>2.1666666666666665</v>
      </c>
      <c r="E45" s="31">
        <v>0.30952380952380953</v>
      </c>
      <c r="F45" s="31">
        <v>0.47619047619047616</v>
      </c>
      <c r="G45" s="31">
        <v>0.22635135135135134</v>
      </c>
      <c r="H45" s="31">
        <v>0.22635135135135134</v>
      </c>
      <c r="I45" s="32">
        <v>11474.626865671642</v>
      </c>
      <c r="J45" s="32">
        <v>-10688.059701492537</v>
      </c>
      <c r="K45" s="31">
        <v>0.30952380952380953</v>
      </c>
      <c r="L45" s="31">
        <v>0.31428571428571428</v>
      </c>
      <c r="M45" s="31">
        <v>0.11428571428571428</v>
      </c>
      <c r="N45" s="31">
        <v>0.45454545454545453</v>
      </c>
      <c r="O45" s="31">
        <v>0.25</v>
      </c>
      <c r="P45" s="31">
        <v>0.41791044776119401</v>
      </c>
    </row>
    <row r="46" spans="1:16" x14ac:dyDescent="0.4">
      <c r="A46" s="33">
        <v>43</v>
      </c>
      <c r="B46" s="30">
        <v>-284.79999999999995</v>
      </c>
      <c r="C46" s="30">
        <v>-6.6232558139534872</v>
      </c>
      <c r="D46" s="35">
        <v>2.13953488372093</v>
      </c>
      <c r="E46" s="31">
        <v>0.32558139534883723</v>
      </c>
      <c r="F46" s="31">
        <v>0.46511627906976744</v>
      </c>
      <c r="G46" s="31">
        <v>0.23178807947019867</v>
      </c>
      <c r="H46" s="31">
        <v>0.2251655629139073</v>
      </c>
      <c r="I46" s="32">
        <v>11782.857142857143</v>
      </c>
      <c r="J46" s="32">
        <v>-10707.35294117647</v>
      </c>
      <c r="K46" s="31">
        <v>0.30232558139534882</v>
      </c>
      <c r="L46" s="31">
        <v>0.31707317073170732</v>
      </c>
      <c r="M46" s="31">
        <v>0.14634146341463414</v>
      </c>
      <c r="N46" s="31">
        <v>0.53846153846153844</v>
      </c>
      <c r="O46" s="31">
        <v>0.16666666666666666</v>
      </c>
      <c r="P46" s="31">
        <v>0.44285714285714284</v>
      </c>
    </row>
    <row r="47" spans="1:16" x14ac:dyDescent="0.4">
      <c r="A47" s="33">
        <v>44</v>
      </c>
      <c r="B47" s="30">
        <v>-239.89999999999995</v>
      </c>
      <c r="C47" s="30">
        <v>-5.4522727272727263</v>
      </c>
      <c r="D47" s="35">
        <v>2.1136363636363638</v>
      </c>
      <c r="E47" s="31">
        <v>0.34090909090909088</v>
      </c>
      <c r="F47" s="31">
        <v>0.45454545454545453</v>
      </c>
      <c r="G47" s="31">
        <v>0.24203821656050956</v>
      </c>
      <c r="H47" s="31">
        <v>0.21974522292993631</v>
      </c>
      <c r="I47" s="32">
        <v>11715.78947368421</v>
      </c>
      <c r="J47" s="32">
        <v>-10663.768115942028</v>
      </c>
      <c r="K47" s="31">
        <v>0.29545454545454547</v>
      </c>
      <c r="L47" s="31">
        <v>0.28301886792452829</v>
      </c>
      <c r="M47" s="31">
        <v>0.16981132075471697</v>
      </c>
      <c r="N47" s="31">
        <v>0.6</v>
      </c>
      <c r="O47" s="31">
        <v>0.33333333333333331</v>
      </c>
      <c r="P47" s="31">
        <v>0.44736842105263158</v>
      </c>
    </row>
    <row r="48" spans="1:16" x14ac:dyDescent="0.4">
      <c r="A48" s="33">
        <v>45</v>
      </c>
      <c r="B48" s="30">
        <v>-256.29999999999995</v>
      </c>
      <c r="C48" s="30">
        <v>-5.6955555555555542</v>
      </c>
      <c r="D48" s="35">
        <v>2.1333333333333333</v>
      </c>
      <c r="E48" s="31">
        <v>0.33333333333333331</v>
      </c>
      <c r="F48" s="31">
        <v>0.46666666666666667</v>
      </c>
      <c r="G48" s="31">
        <v>0.23987538940809969</v>
      </c>
      <c r="H48" s="31">
        <v>0.22118380062305296</v>
      </c>
      <c r="I48" s="32">
        <v>11719.480519480519</v>
      </c>
      <c r="J48" s="32">
        <v>-10587.323943661971</v>
      </c>
      <c r="K48" s="31">
        <v>0.28888888888888886</v>
      </c>
      <c r="L48" s="31">
        <v>0.3</v>
      </c>
      <c r="M48" s="31">
        <v>0.16666666666666666</v>
      </c>
      <c r="N48" s="31">
        <v>0.55555555555555558</v>
      </c>
      <c r="O48" s="31">
        <v>0.3</v>
      </c>
      <c r="P48" s="31">
        <v>0.45454545454545453</v>
      </c>
    </row>
    <row r="49" spans="1:16" x14ac:dyDescent="0.4">
      <c r="A49" s="33">
        <v>46</v>
      </c>
      <c r="B49" s="30">
        <v>-280.59999999999997</v>
      </c>
      <c r="C49" s="30">
        <v>-6.1</v>
      </c>
      <c r="D49" s="35">
        <v>2.1304347826086958</v>
      </c>
      <c r="E49" s="31">
        <v>0.32608695652173914</v>
      </c>
      <c r="F49" s="31">
        <v>0.45652173913043476</v>
      </c>
      <c r="G49" s="31">
        <v>0.24233128834355827</v>
      </c>
      <c r="H49" s="31">
        <v>0.21779141104294478</v>
      </c>
      <c r="I49" s="32">
        <v>11564.556962025317</v>
      </c>
      <c r="J49" s="32">
        <v>-10587.323943661971</v>
      </c>
      <c r="K49" s="31">
        <v>0.28260869565217389</v>
      </c>
      <c r="L49" s="31">
        <v>0.30769230769230771</v>
      </c>
      <c r="M49" s="31">
        <v>0.18461538461538463</v>
      </c>
      <c r="N49" s="31">
        <v>0.6</v>
      </c>
      <c r="O49" s="31">
        <v>0.25</v>
      </c>
      <c r="P49" s="31">
        <v>0.45569620253164556</v>
      </c>
    </row>
    <row r="50" spans="1:16" x14ac:dyDescent="0.4">
      <c r="A50" s="33">
        <v>47</v>
      </c>
      <c r="B50" s="30">
        <v>-264.59999999999997</v>
      </c>
      <c r="C50" s="30">
        <v>-5.6297872340425528</v>
      </c>
      <c r="D50" s="35">
        <v>2.1063829787234041</v>
      </c>
      <c r="E50" s="31">
        <v>0.34042553191489361</v>
      </c>
      <c r="F50" s="31">
        <v>0.44680851063829785</v>
      </c>
      <c r="G50" s="31">
        <v>0.24705882352941178</v>
      </c>
      <c r="H50" s="31">
        <v>0.21764705882352942</v>
      </c>
      <c r="I50" s="32">
        <v>11459.523809523809</v>
      </c>
      <c r="J50" s="32">
        <v>-10590.54054054054</v>
      </c>
      <c r="K50" s="31">
        <v>0.27659574468085107</v>
      </c>
      <c r="L50" s="31">
        <v>0.30379746835443039</v>
      </c>
      <c r="M50" s="31">
        <v>0.21518987341772153</v>
      </c>
      <c r="N50" s="31">
        <v>0.58333333333333337</v>
      </c>
      <c r="O50" s="31">
        <v>0.29411764705882354</v>
      </c>
      <c r="P50" s="31">
        <v>0.4642857142857143</v>
      </c>
    </row>
    <row r="51" spans="1:16" x14ac:dyDescent="0.4">
      <c r="A51" s="33">
        <v>48</v>
      </c>
      <c r="B51" s="30">
        <v>-288.79999999999995</v>
      </c>
      <c r="C51" s="30">
        <v>-6.0166666666666657</v>
      </c>
      <c r="D51" s="35">
        <v>2.125</v>
      </c>
      <c r="E51" s="31">
        <v>0.33333333333333331</v>
      </c>
      <c r="F51" s="31">
        <v>0.45833333333333331</v>
      </c>
      <c r="G51" s="31">
        <v>0.2442528735632184</v>
      </c>
      <c r="H51" s="31">
        <v>0.22126436781609196</v>
      </c>
      <c r="I51" s="32">
        <v>11371.764705882353</v>
      </c>
      <c r="J51" s="32">
        <v>-10436.363636363636</v>
      </c>
      <c r="K51" s="31">
        <v>0.27083333333333331</v>
      </c>
      <c r="L51" s="31">
        <v>0.31034482758620691</v>
      </c>
      <c r="M51" s="31">
        <v>0.22988505747126436</v>
      </c>
      <c r="N51" s="31">
        <v>0.55555555555555558</v>
      </c>
      <c r="O51" s="31">
        <v>0.25</v>
      </c>
      <c r="P51" s="31">
        <v>0.47058823529411764</v>
      </c>
    </row>
    <row r="52" spans="1:16" x14ac:dyDescent="0.4">
      <c r="A52" s="33">
        <v>49</v>
      </c>
      <c r="B52" s="30">
        <v>-282.99999999999994</v>
      </c>
      <c r="C52" s="30">
        <v>-5.7755102040816313</v>
      </c>
      <c r="D52" s="35">
        <v>2.1224489795918369</v>
      </c>
      <c r="E52" s="31">
        <v>0.32653061224489793</v>
      </c>
      <c r="F52" s="31">
        <v>0.44897959183673469</v>
      </c>
      <c r="G52" s="31">
        <v>0.2443820224719101</v>
      </c>
      <c r="H52" s="31">
        <v>0.22191011235955055</v>
      </c>
      <c r="I52" s="32">
        <v>11522.988505747126</v>
      </c>
      <c r="J52" s="32">
        <v>-10356.962025316456</v>
      </c>
      <c r="K52" s="31">
        <v>0.26530612244897961</v>
      </c>
      <c r="L52" s="31">
        <v>0.28421052631578947</v>
      </c>
      <c r="M52" s="31">
        <v>0.23157894736842105</v>
      </c>
      <c r="N52" s="31">
        <v>0.55555555555555558</v>
      </c>
      <c r="O52" s="31">
        <v>0.31818181818181818</v>
      </c>
      <c r="P52" s="31">
        <v>0.47126436781609193</v>
      </c>
    </row>
    <row r="53" spans="1:16" x14ac:dyDescent="0.4">
      <c r="A53" s="33">
        <v>50</v>
      </c>
      <c r="B53" s="30">
        <v>-287.09999999999997</v>
      </c>
      <c r="C53" s="30">
        <v>-5.7419999999999991</v>
      </c>
      <c r="D53" s="35">
        <v>2.14</v>
      </c>
      <c r="E53" s="31">
        <v>0.32</v>
      </c>
      <c r="F53" s="31">
        <v>0.46</v>
      </c>
      <c r="G53" s="31">
        <v>0.2445054945054945</v>
      </c>
      <c r="H53" s="31">
        <v>0.21978021978021978</v>
      </c>
      <c r="I53" s="32">
        <v>11397.752808988764</v>
      </c>
      <c r="J53" s="32">
        <v>-10377.5</v>
      </c>
      <c r="K53" s="31">
        <v>0.26</v>
      </c>
      <c r="L53" s="31">
        <v>0.27184466019417475</v>
      </c>
      <c r="M53" s="31">
        <v>0.22330097087378642</v>
      </c>
      <c r="N53" s="31">
        <v>0.5714285714285714</v>
      </c>
      <c r="O53" s="31">
        <v>0.34782608695652173</v>
      </c>
      <c r="P53" s="31">
        <v>0.4606741573033708</v>
      </c>
    </row>
    <row r="54" spans="1:16" x14ac:dyDescent="0.4">
      <c r="A54" s="33">
        <v>51</v>
      </c>
      <c r="B54" s="30">
        <v>-269.59999999999997</v>
      </c>
      <c r="C54" s="30">
        <v>-5.2862745098039206</v>
      </c>
      <c r="D54" s="35">
        <v>2.1372549019607843</v>
      </c>
      <c r="E54" s="31">
        <v>0.31372549019607843</v>
      </c>
      <c r="F54" s="31">
        <v>0.45098039215686275</v>
      </c>
      <c r="G54" s="31">
        <v>0.24258760107816713</v>
      </c>
      <c r="H54" s="31">
        <v>0.215633423180593</v>
      </c>
      <c r="I54" s="32">
        <v>11471.111111111111</v>
      </c>
      <c r="J54" s="32">
        <v>-10377.5</v>
      </c>
      <c r="K54" s="31">
        <v>0.25490196078431371</v>
      </c>
      <c r="L54" s="31">
        <v>0.2818181818181818</v>
      </c>
      <c r="M54" s="31">
        <v>0.22727272727272727</v>
      </c>
      <c r="N54" s="31">
        <v>0.54838709677419351</v>
      </c>
      <c r="O54" s="31">
        <v>0.32</v>
      </c>
      <c r="P54" s="31">
        <v>0.45555555555555555</v>
      </c>
    </row>
    <row r="55" spans="1:16" x14ac:dyDescent="0.4">
      <c r="A55" s="33">
        <v>52</v>
      </c>
      <c r="B55" s="30">
        <v>-308.09999999999997</v>
      </c>
      <c r="C55" s="30">
        <v>-5.9249999999999989</v>
      </c>
      <c r="D55" s="35">
        <v>2.1538461538461537</v>
      </c>
      <c r="E55" s="31">
        <v>0.30769230769230771</v>
      </c>
      <c r="F55" s="31">
        <v>0.46153846153846156</v>
      </c>
      <c r="G55" s="31">
        <v>0.23684210526315788</v>
      </c>
      <c r="H55" s="31">
        <v>0.2131578947368421</v>
      </c>
      <c r="I55" s="32">
        <v>11471.111111111111</v>
      </c>
      <c r="J55" s="32">
        <v>-10397.530864197532</v>
      </c>
      <c r="K55" s="31">
        <v>0.26923076923076922</v>
      </c>
      <c r="L55" s="31">
        <v>0.27731092436974791</v>
      </c>
      <c r="M55" s="31">
        <v>0.21848739495798319</v>
      </c>
      <c r="N55" s="31">
        <v>0.51515151515151514</v>
      </c>
      <c r="O55" s="31">
        <v>0.30769230769230771</v>
      </c>
      <c r="P55" s="31">
        <v>0.45555555555555555</v>
      </c>
    </row>
    <row r="56" spans="1:16" x14ac:dyDescent="0.4">
      <c r="A56" s="33">
        <v>53</v>
      </c>
      <c r="B56" s="30">
        <v>-336.49999999999994</v>
      </c>
      <c r="C56" s="30">
        <v>-6.3490566037735841</v>
      </c>
      <c r="D56" s="35">
        <v>2.1698113207547172</v>
      </c>
      <c r="E56" s="31">
        <v>0.30188679245283018</v>
      </c>
      <c r="F56" s="31">
        <v>0.47169811320754718</v>
      </c>
      <c r="G56" s="31">
        <v>0.23969072164948454</v>
      </c>
      <c r="H56" s="31">
        <v>0.21134020618556701</v>
      </c>
      <c r="I56" s="32">
        <v>11188.172043010753</v>
      </c>
      <c r="J56" s="32">
        <v>-10417.073170731708</v>
      </c>
      <c r="K56" s="31">
        <v>0.26415094339622641</v>
      </c>
      <c r="L56" s="31">
        <v>0.27559055118110237</v>
      </c>
      <c r="M56" s="31">
        <v>0.22047244094488189</v>
      </c>
      <c r="N56" s="31">
        <v>0.54285714285714282</v>
      </c>
      <c r="O56" s="31">
        <v>0.32142857142857145</v>
      </c>
      <c r="P56" s="31">
        <v>0.44086021505376344</v>
      </c>
    </row>
    <row r="57" spans="1:16" x14ac:dyDescent="0.4">
      <c r="A57" s="33">
        <v>54</v>
      </c>
      <c r="B57" s="30">
        <v>-378.89999999999992</v>
      </c>
      <c r="C57" s="30">
        <v>-7.0166666666666648</v>
      </c>
      <c r="D57" s="35">
        <v>2.1851851851851851</v>
      </c>
      <c r="E57" s="31">
        <v>0.29629629629629628</v>
      </c>
      <c r="F57" s="31">
        <v>0.48148148148148145</v>
      </c>
      <c r="G57" s="31">
        <v>0.23558897243107768</v>
      </c>
      <c r="H57" s="31">
        <v>0.21303258145363407</v>
      </c>
      <c r="I57" s="32">
        <v>11196.808510638299</v>
      </c>
      <c r="J57" s="32">
        <v>-10448.235294117647</v>
      </c>
      <c r="K57" s="31">
        <v>0.27777777777777779</v>
      </c>
      <c r="L57" s="31">
        <v>0.28985507246376813</v>
      </c>
      <c r="M57" s="31">
        <v>0.20289855072463769</v>
      </c>
      <c r="N57" s="31">
        <v>0.5</v>
      </c>
      <c r="O57" s="31">
        <v>0.32142857142857145</v>
      </c>
      <c r="P57" s="31">
        <v>0.43617021276595747</v>
      </c>
    </row>
    <row r="58" spans="1:16" x14ac:dyDescent="0.4">
      <c r="A58" s="33">
        <v>55</v>
      </c>
      <c r="B58" s="30">
        <v>-364.2999999999999</v>
      </c>
      <c r="C58" s="30">
        <v>-6.6236363636363622</v>
      </c>
      <c r="D58" s="35">
        <v>2.1818181818181817</v>
      </c>
      <c r="E58" s="31">
        <v>0.29090909090909089</v>
      </c>
      <c r="F58" s="31">
        <v>0.47272727272727272</v>
      </c>
      <c r="G58" s="31">
        <v>0.23456790123456789</v>
      </c>
      <c r="H58" s="31">
        <v>0.21234567901234569</v>
      </c>
      <c r="I58" s="32">
        <v>11331.578947368422</v>
      </c>
      <c r="J58" s="32">
        <v>-10356.976744186046</v>
      </c>
      <c r="K58" s="31">
        <v>0.27272727272727271</v>
      </c>
      <c r="L58" s="31">
        <v>0.28472222222222221</v>
      </c>
      <c r="M58" s="31">
        <v>0.2013888888888889</v>
      </c>
      <c r="N58" s="31">
        <v>0.51219512195121952</v>
      </c>
      <c r="O58" s="31">
        <v>0.31034482758620691</v>
      </c>
      <c r="P58" s="31">
        <v>0.44210526315789472</v>
      </c>
    </row>
    <row r="59" spans="1:16" x14ac:dyDescent="0.4">
      <c r="A59" s="33">
        <v>56</v>
      </c>
      <c r="B59" s="30">
        <v>-316.2999999999999</v>
      </c>
      <c r="C59" s="30">
        <v>-5.6482142857142836</v>
      </c>
      <c r="D59" s="35">
        <v>2.1607142857142856</v>
      </c>
      <c r="E59" s="31">
        <v>0.30357142857142855</v>
      </c>
      <c r="F59" s="31">
        <v>0.4642857142857143</v>
      </c>
      <c r="G59" s="31">
        <v>0.23373493975903614</v>
      </c>
      <c r="H59" s="31">
        <v>0.20963855421686747</v>
      </c>
      <c r="I59" s="32">
        <v>11551.546391752578</v>
      </c>
      <c r="J59" s="32">
        <v>-10249.425287356322</v>
      </c>
      <c r="K59" s="31">
        <v>0.26785714285714285</v>
      </c>
      <c r="L59" s="31">
        <v>0.27272727272727271</v>
      </c>
      <c r="M59" s="31">
        <v>0.18831168831168832</v>
      </c>
      <c r="N59" s="31">
        <v>0.52380952380952384</v>
      </c>
      <c r="O59" s="31">
        <v>0.31034482758620691</v>
      </c>
      <c r="P59" s="31">
        <v>0.44329896907216493</v>
      </c>
    </row>
    <row r="60" spans="1:16" x14ac:dyDescent="0.4">
      <c r="A60" s="33">
        <v>57</v>
      </c>
      <c r="B60" s="30">
        <v>-312.49999999999989</v>
      </c>
      <c r="C60" s="30">
        <v>-5.4824561403508749</v>
      </c>
      <c r="D60" s="35">
        <v>2.1578947368421053</v>
      </c>
      <c r="E60" s="31">
        <v>0.2982456140350877</v>
      </c>
      <c r="F60" s="31">
        <v>0.45614035087719296</v>
      </c>
      <c r="G60" s="31">
        <v>0.23584905660377359</v>
      </c>
      <c r="H60" s="31">
        <v>0.2099056603773585</v>
      </c>
      <c r="I60" s="32">
        <v>11489</v>
      </c>
      <c r="J60" s="32">
        <v>-10121.348314606741</v>
      </c>
      <c r="K60" s="31">
        <v>0.26315789473684209</v>
      </c>
      <c r="L60" s="31">
        <v>0.26993865030674846</v>
      </c>
      <c r="M60" s="31">
        <v>0.19018404907975461</v>
      </c>
      <c r="N60" s="31">
        <v>0.54545454545454541</v>
      </c>
      <c r="O60" s="31">
        <v>0.29032258064516131</v>
      </c>
      <c r="P60" s="31">
        <v>0.44</v>
      </c>
    </row>
    <row r="61" spans="1:16" x14ac:dyDescent="0.4">
      <c r="A61" s="33">
        <v>58</v>
      </c>
      <c r="B61" s="30">
        <v>-254.59999999999988</v>
      </c>
      <c r="C61" s="30">
        <v>-4.3896551724137911</v>
      </c>
      <c r="D61" s="35">
        <v>2.1379310344827585</v>
      </c>
      <c r="E61" s="31">
        <v>0.31034482758620691</v>
      </c>
      <c r="F61" s="31">
        <v>0.44827586206896552</v>
      </c>
      <c r="G61" s="31">
        <v>0.24305555555555555</v>
      </c>
      <c r="H61" s="31">
        <v>0.21064814814814814</v>
      </c>
      <c r="I61" s="32">
        <v>11605.714285714286</v>
      </c>
      <c r="J61" s="32">
        <v>-10029.670329670329</v>
      </c>
      <c r="K61" s="31">
        <v>0.25862068965517243</v>
      </c>
      <c r="L61" s="31">
        <v>0.2807017543859649</v>
      </c>
      <c r="M61" s="31">
        <v>0.19298245614035087</v>
      </c>
      <c r="N61" s="31">
        <v>0.5625</v>
      </c>
      <c r="O61" s="31">
        <v>0.33333333333333331</v>
      </c>
      <c r="P61" s="31">
        <v>0.43809523809523809</v>
      </c>
    </row>
    <row r="62" spans="1:16" x14ac:dyDescent="0.4">
      <c r="A62" s="33">
        <v>59</v>
      </c>
      <c r="B62" s="30">
        <v>-205.09999999999988</v>
      </c>
      <c r="C62" s="30">
        <v>-3.4762711864406759</v>
      </c>
      <c r="D62" s="35">
        <v>2.1186440677966103</v>
      </c>
      <c r="E62" s="31">
        <v>0.32203389830508472</v>
      </c>
      <c r="F62" s="31">
        <v>0.44067796610169491</v>
      </c>
      <c r="G62" s="31">
        <v>0.24657534246575341</v>
      </c>
      <c r="H62" s="31">
        <v>0.20776255707762556</v>
      </c>
      <c r="I62" s="32">
        <v>11709.259259259259</v>
      </c>
      <c r="J62" s="32">
        <v>-10029.670329670329</v>
      </c>
      <c r="K62" s="31">
        <v>0.25423728813559321</v>
      </c>
      <c r="L62" s="31">
        <v>0.2824858757062147</v>
      </c>
      <c r="M62" s="31">
        <v>0.19209039548022599</v>
      </c>
      <c r="N62" s="31">
        <v>0.56000000000000005</v>
      </c>
      <c r="O62" s="31">
        <v>0.35294117647058826</v>
      </c>
      <c r="P62" s="31">
        <v>0.44444444444444442</v>
      </c>
    </row>
    <row r="63" spans="1:16" x14ac:dyDescent="0.4">
      <c r="A63" s="33">
        <v>60</v>
      </c>
      <c r="B63" s="30">
        <v>-214.59999999999988</v>
      </c>
      <c r="C63" s="30">
        <v>-3.5766666666666649</v>
      </c>
      <c r="D63" s="35">
        <v>2.1166666666666667</v>
      </c>
      <c r="E63" s="31">
        <v>0.31666666666666665</v>
      </c>
      <c r="F63" s="31">
        <v>0.43333333333333335</v>
      </c>
      <c r="G63" s="31">
        <v>0.2471655328798186</v>
      </c>
      <c r="H63" s="31">
        <v>0.20634920634920634</v>
      </c>
      <c r="I63" s="32">
        <v>11711.926605504586</v>
      </c>
      <c r="J63" s="32">
        <v>-10029.670329670329</v>
      </c>
      <c r="K63" s="31">
        <v>0.25</v>
      </c>
      <c r="L63" s="31">
        <v>0.28333333333333333</v>
      </c>
      <c r="M63" s="31">
        <v>0.19444444444444445</v>
      </c>
      <c r="N63" s="31">
        <v>0.56862745098039214</v>
      </c>
      <c r="O63" s="31">
        <v>0.34285714285714286</v>
      </c>
      <c r="P63" s="31">
        <v>0.44036697247706424</v>
      </c>
    </row>
    <row r="64" spans="1:16" x14ac:dyDescent="0.4">
      <c r="A64" s="33">
        <v>61</v>
      </c>
      <c r="B64" s="30">
        <v>-211.89999999999989</v>
      </c>
      <c r="C64" s="30">
        <v>-3.4737704918032768</v>
      </c>
      <c r="D64" s="35">
        <v>2.1147540983606556</v>
      </c>
      <c r="E64" s="31">
        <v>0.31147540983606559</v>
      </c>
      <c r="F64" s="31">
        <v>0.42622950819672129</v>
      </c>
      <c r="G64" s="31">
        <v>0.24553571428571427</v>
      </c>
      <c r="H64" s="31">
        <v>0.203125</v>
      </c>
      <c r="I64" s="32">
        <v>11678.181818181818</v>
      </c>
      <c r="J64" s="32">
        <v>-10029.670329670329</v>
      </c>
      <c r="K64" s="31">
        <v>0.24590163934426229</v>
      </c>
      <c r="L64" s="31">
        <v>0.27807486631016043</v>
      </c>
      <c r="M64" s="31">
        <v>0.18716577540106952</v>
      </c>
      <c r="N64" s="31">
        <v>0.57692307692307687</v>
      </c>
      <c r="O64" s="31">
        <v>0.34285714285714286</v>
      </c>
      <c r="P64" s="31">
        <v>0.43636363636363634</v>
      </c>
    </row>
    <row r="65" spans="1:16" x14ac:dyDescent="0.4">
      <c r="A65" s="33">
        <v>62</v>
      </c>
      <c r="B65" s="30">
        <v>-250.89999999999989</v>
      </c>
      <c r="C65" s="30">
        <v>-4.0467741935483854</v>
      </c>
      <c r="D65" s="35">
        <v>2.129032258064516</v>
      </c>
      <c r="E65" s="31">
        <v>0.30645161290322581</v>
      </c>
      <c r="F65" s="31">
        <v>0.43548387096774194</v>
      </c>
      <c r="G65" s="31">
        <v>0.2412280701754386</v>
      </c>
      <c r="H65" s="31">
        <v>0.19956140350877194</v>
      </c>
      <c r="I65" s="32">
        <v>11678.181818181818</v>
      </c>
      <c r="J65" s="32">
        <v>-10029.670329670329</v>
      </c>
      <c r="K65" s="31">
        <v>0.25806451612903225</v>
      </c>
      <c r="L65" s="31">
        <v>0.27692307692307694</v>
      </c>
      <c r="M65" s="31">
        <v>0.17948717948717949</v>
      </c>
      <c r="N65" s="31">
        <v>0.55555555555555558</v>
      </c>
      <c r="O65" s="31">
        <v>0.34285714285714286</v>
      </c>
      <c r="P65" s="31">
        <v>0.43636363636363634</v>
      </c>
    </row>
    <row r="66" spans="1:16" x14ac:dyDescent="0.4">
      <c r="A66" s="33">
        <v>63</v>
      </c>
      <c r="B66" s="30">
        <v>-290.99999999999989</v>
      </c>
      <c r="C66" s="30">
        <v>-4.6190476190476168</v>
      </c>
      <c r="D66" s="35">
        <v>2.1428571428571428</v>
      </c>
      <c r="E66" s="31">
        <v>0.30158730158730157</v>
      </c>
      <c r="F66" s="31">
        <v>0.44444444444444442</v>
      </c>
      <c r="G66" s="31">
        <v>0.23819742489270387</v>
      </c>
      <c r="H66" s="31">
        <v>0.20171673819742489</v>
      </c>
      <c r="I66" s="32">
        <v>11681.081081081082</v>
      </c>
      <c r="J66" s="32">
        <v>-10120.212765957447</v>
      </c>
      <c r="K66" s="31">
        <v>0.26984126984126983</v>
      </c>
      <c r="L66" s="31">
        <v>0.2780487804878049</v>
      </c>
      <c r="M66" s="31">
        <v>0.17073170731707318</v>
      </c>
      <c r="N66" s="31">
        <v>0.54385964912280704</v>
      </c>
      <c r="O66" s="31">
        <v>0.34285714285714286</v>
      </c>
      <c r="P66" s="31">
        <v>0.43243243243243246</v>
      </c>
    </row>
    <row r="67" spans="1:16" x14ac:dyDescent="0.4">
      <c r="A67" s="33">
        <v>64</v>
      </c>
      <c r="B67" s="30">
        <v>-356.99999999999989</v>
      </c>
      <c r="C67" s="30">
        <v>-5.5781249999999982</v>
      </c>
      <c r="D67" s="35">
        <v>2.15625</v>
      </c>
      <c r="E67" s="31">
        <v>0.296875</v>
      </c>
      <c r="F67" s="31">
        <v>0.453125</v>
      </c>
      <c r="G67" s="31">
        <v>0.23516949152542374</v>
      </c>
      <c r="H67" s="31">
        <v>0.20338983050847459</v>
      </c>
      <c r="I67" s="32">
        <v>11681.081081081082</v>
      </c>
      <c r="J67" s="32">
        <v>-10338.541666666666</v>
      </c>
      <c r="K67" s="31">
        <v>0.28125</v>
      </c>
      <c r="L67" s="31">
        <v>0.28436018957345971</v>
      </c>
      <c r="M67" s="31">
        <v>0.16587677725118483</v>
      </c>
      <c r="N67" s="31">
        <v>0.51666666666666672</v>
      </c>
      <c r="O67" s="31">
        <v>0.34285714285714286</v>
      </c>
      <c r="P67" s="31">
        <v>0.43243243243243246</v>
      </c>
    </row>
    <row r="68" spans="1:16" x14ac:dyDescent="0.4">
      <c r="A68" s="33">
        <v>65</v>
      </c>
      <c r="B68" s="30">
        <v>-381.09999999999991</v>
      </c>
      <c r="C68" s="30">
        <v>-5.863076923076922</v>
      </c>
      <c r="D68" s="35">
        <v>2.1692307692307691</v>
      </c>
      <c r="E68" s="31">
        <v>0.29230769230769232</v>
      </c>
      <c r="F68" s="31">
        <v>0.46153846153846156</v>
      </c>
      <c r="G68" s="31">
        <v>0.23480083857442349</v>
      </c>
      <c r="H68" s="31">
        <v>0.20335429769392033</v>
      </c>
      <c r="I68" s="32">
        <v>11633.928571428571</v>
      </c>
      <c r="J68" s="32">
        <v>-10417.525773195875</v>
      </c>
      <c r="K68" s="31">
        <v>0.27692307692307694</v>
      </c>
      <c r="L68" s="31">
        <v>0.28240740740740738</v>
      </c>
      <c r="M68" s="31">
        <v>0.16666666666666666</v>
      </c>
      <c r="N68" s="31">
        <v>0.50819672131147542</v>
      </c>
      <c r="O68" s="31">
        <v>0.33333333333333331</v>
      </c>
      <c r="P68" s="31">
        <v>0.42857142857142855</v>
      </c>
    </row>
    <row r="69" spans="1:16" x14ac:dyDescent="0.4">
      <c r="A69" s="33">
        <v>66</v>
      </c>
      <c r="B69" s="30">
        <v>-378.49999999999989</v>
      </c>
      <c r="C69" s="30">
        <v>-5.7348484848484835</v>
      </c>
      <c r="D69" s="35">
        <v>2.1666666666666665</v>
      </c>
      <c r="E69" s="31">
        <v>0.2878787878787879</v>
      </c>
      <c r="F69" s="31">
        <v>0.45454545454545453</v>
      </c>
      <c r="G69" s="31">
        <v>0.23673469387755103</v>
      </c>
      <c r="H69" s="31">
        <v>0.20408163265306123</v>
      </c>
      <c r="I69" s="32">
        <v>11612.931034482759</v>
      </c>
      <c r="J69" s="32">
        <v>-10461</v>
      </c>
      <c r="K69" s="31">
        <v>0.27272727272727271</v>
      </c>
      <c r="L69" s="31">
        <v>0.29257641921397382</v>
      </c>
      <c r="M69" s="31">
        <v>0.16593886462882096</v>
      </c>
      <c r="N69" s="31">
        <v>0.5074626865671642</v>
      </c>
      <c r="O69" s="31">
        <v>0.31578947368421051</v>
      </c>
      <c r="P69" s="31">
        <v>0.42241379310344829</v>
      </c>
    </row>
    <row r="70" spans="1:16" x14ac:dyDescent="0.4">
      <c r="A70" s="33">
        <v>67</v>
      </c>
      <c r="B70" s="30">
        <v>-371.19999999999987</v>
      </c>
      <c r="C70" s="30">
        <v>-5.5402985074626843</v>
      </c>
      <c r="D70" s="35">
        <v>2.1641791044776117</v>
      </c>
      <c r="E70" s="31">
        <v>0.28358208955223879</v>
      </c>
      <c r="F70" s="31">
        <v>0.44776119402985076</v>
      </c>
      <c r="G70" s="31">
        <v>0.23847695390781562</v>
      </c>
      <c r="H70" s="31">
        <v>0.20240480961923848</v>
      </c>
      <c r="I70" s="32">
        <v>11570.588235294117</v>
      </c>
      <c r="J70" s="32">
        <v>-10476.237623762376</v>
      </c>
      <c r="K70" s="31">
        <v>0.26865671641791045</v>
      </c>
      <c r="L70" s="31">
        <v>0.28991596638655465</v>
      </c>
      <c r="M70" s="31">
        <v>0.1638655462184874</v>
      </c>
      <c r="N70" s="31">
        <v>0.52173913043478259</v>
      </c>
      <c r="O70" s="31">
        <v>0.33333333333333331</v>
      </c>
      <c r="P70" s="31">
        <v>0.42857142857142855</v>
      </c>
    </row>
    <row r="71" spans="1:16" x14ac:dyDescent="0.4">
      <c r="A71" s="33">
        <v>68</v>
      </c>
      <c r="B71" s="30">
        <v>-407.2999999999999</v>
      </c>
      <c r="C71" s="30">
        <v>-5.9897058823529399</v>
      </c>
      <c r="D71" s="35">
        <v>2.1764705882352939</v>
      </c>
      <c r="E71" s="31">
        <v>0.27941176470588236</v>
      </c>
      <c r="F71" s="31">
        <v>0.45588235294117646</v>
      </c>
      <c r="G71" s="31">
        <v>0.23921568627450981</v>
      </c>
      <c r="H71" s="31">
        <v>0.20392156862745098</v>
      </c>
      <c r="I71" s="32">
        <v>11481.967213114754</v>
      </c>
      <c r="J71" s="32">
        <v>-10577.884615384615</v>
      </c>
      <c r="K71" s="31">
        <v>0.27941176470588236</v>
      </c>
      <c r="L71" s="31">
        <v>0.28514056224899598</v>
      </c>
      <c r="M71" s="31">
        <v>0.1606425702811245</v>
      </c>
      <c r="N71" s="31">
        <v>0.52112676056338025</v>
      </c>
      <c r="O71" s="31">
        <v>0.35</v>
      </c>
      <c r="P71" s="31">
        <v>0.41803278688524592</v>
      </c>
    </row>
    <row r="72" spans="1:16" x14ac:dyDescent="0.4">
      <c r="A72" s="33">
        <v>69</v>
      </c>
      <c r="B72" s="30">
        <v>-412.49999999999989</v>
      </c>
      <c r="C72" s="30">
        <v>-5.978260869565216</v>
      </c>
      <c r="D72" s="35">
        <v>2.1739130434782608</v>
      </c>
      <c r="E72" s="31">
        <v>0.27536231884057971</v>
      </c>
      <c r="F72" s="31">
        <v>0.44927536231884058</v>
      </c>
      <c r="G72" s="31">
        <v>0.24177949709864605</v>
      </c>
      <c r="H72" s="31">
        <v>0.20309477756286268</v>
      </c>
      <c r="I72" s="32">
        <v>11540.8</v>
      </c>
      <c r="J72" s="32">
        <v>-10629.523809523809</v>
      </c>
      <c r="K72" s="31">
        <v>0.27536231884057971</v>
      </c>
      <c r="L72" s="31">
        <v>0.2890625</v>
      </c>
      <c r="M72" s="31">
        <v>0.16015625</v>
      </c>
      <c r="N72" s="31">
        <v>0.54054054054054057</v>
      </c>
      <c r="O72" s="31">
        <v>0.34146341463414637</v>
      </c>
      <c r="P72" s="31">
        <v>0.41599999999999998</v>
      </c>
    </row>
    <row r="73" spans="1:16" x14ac:dyDescent="0.4">
      <c r="A73" s="33">
        <v>70</v>
      </c>
      <c r="B73" s="30">
        <v>-379.49999999999989</v>
      </c>
      <c r="C73" s="30">
        <v>-5.4214285714285699</v>
      </c>
      <c r="D73" s="35">
        <v>2.157142857142857</v>
      </c>
      <c r="E73" s="31">
        <v>0.2857142857142857</v>
      </c>
      <c r="F73" s="31">
        <v>0.44285714285714284</v>
      </c>
      <c r="G73" s="31">
        <v>0.24423076923076922</v>
      </c>
      <c r="H73" s="31">
        <v>0.20192307692307693</v>
      </c>
      <c r="I73" s="32">
        <v>11611.023622047243</v>
      </c>
      <c r="J73" s="32">
        <v>-10629.523809523809</v>
      </c>
      <c r="K73" s="31">
        <v>0.27142857142857141</v>
      </c>
      <c r="L73" s="31">
        <v>0.29343629343629346</v>
      </c>
      <c r="M73" s="31">
        <v>0.15830115830115829</v>
      </c>
      <c r="N73" s="31">
        <v>0.55263157894736847</v>
      </c>
      <c r="O73" s="31">
        <v>0.34146341463414637</v>
      </c>
      <c r="P73" s="31">
        <v>0.41732283464566927</v>
      </c>
    </row>
    <row r="74" spans="1:16" x14ac:dyDescent="0.4">
      <c r="A74" s="33">
        <v>71</v>
      </c>
      <c r="B74" s="30">
        <v>-374.2999999999999</v>
      </c>
      <c r="C74" s="30">
        <v>-5.2718309859154919</v>
      </c>
      <c r="D74" s="35">
        <v>2.1549295774647885</v>
      </c>
      <c r="E74" s="31">
        <v>0.28169014084507044</v>
      </c>
      <c r="F74" s="31">
        <v>0.43661971830985913</v>
      </c>
      <c r="G74" s="31">
        <v>0.24621212121212122</v>
      </c>
      <c r="H74" s="31">
        <v>0.20075757575757575</v>
      </c>
      <c r="I74" s="32">
        <v>11506.153846153846</v>
      </c>
      <c r="J74" s="32">
        <v>-10642.452830188678</v>
      </c>
      <c r="K74" s="31">
        <v>0.26760563380281688</v>
      </c>
      <c r="L74" s="31">
        <v>0.29588014981273408</v>
      </c>
      <c r="M74" s="31">
        <v>0.15355805243445692</v>
      </c>
      <c r="N74" s="31">
        <v>0.54430379746835444</v>
      </c>
      <c r="O74" s="31">
        <v>0.34146341463414637</v>
      </c>
      <c r="P74" s="31">
        <v>0.41538461538461541</v>
      </c>
    </row>
    <row r="75" spans="1:16" x14ac:dyDescent="0.4">
      <c r="A75" s="33">
        <v>72</v>
      </c>
      <c r="B75" s="30">
        <v>-409.7999999999999</v>
      </c>
      <c r="C75" s="30">
        <v>-5.6916666666666655</v>
      </c>
      <c r="D75" s="35">
        <v>2.1666666666666665</v>
      </c>
      <c r="E75" s="31">
        <v>0.27777777777777779</v>
      </c>
      <c r="F75" s="31">
        <v>0.44444444444444442</v>
      </c>
      <c r="G75" s="31">
        <v>0.24344569288389514</v>
      </c>
      <c r="H75" s="31">
        <v>0.19850187265917604</v>
      </c>
      <c r="I75" s="32">
        <v>11506.153846153846</v>
      </c>
      <c r="J75" s="32">
        <v>-10642.452830188678</v>
      </c>
      <c r="K75" s="31">
        <v>0.27777777777777779</v>
      </c>
      <c r="L75" s="31">
        <v>0.29304029304029305</v>
      </c>
      <c r="M75" s="31">
        <v>0.15018315018315018</v>
      </c>
      <c r="N75" s="31">
        <v>0.53749999999999998</v>
      </c>
      <c r="O75" s="31">
        <v>0.34146341463414637</v>
      </c>
      <c r="P75" s="31">
        <v>0.41538461538461541</v>
      </c>
    </row>
    <row r="76" spans="1:16" x14ac:dyDescent="0.4">
      <c r="A76" s="33">
        <v>73</v>
      </c>
      <c r="B76" s="30">
        <v>-393.59999999999991</v>
      </c>
      <c r="C76" s="30">
        <v>-5.3917808219178074</v>
      </c>
      <c r="D76" s="35">
        <v>2.1506849315068495</v>
      </c>
      <c r="E76" s="31">
        <v>0.28767123287671231</v>
      </c>
      <c r="F76" s="31">
        <v>0.43835616438356162</v>
      </c>
      <c r="G76" s="31">
        <v>0.24862888482632542</v>
      </c>
      <c r="H76" s="31">
        <v>0.19561243144424131</v>
      </c>
      <c r="I76" s="32">
        <v>11420.588235294117</v>
      </c>
      <c r="J76" s="32">
        <v>-10570.093457943925</v>
      </c>
      <c r="K76" s="31">
        <v>0.27397260273972601</v>
      </c>
      <c r="L76" s="31">
        <v>0.29020979020979021</v>
      </c>
      <c r="M76" s="31">
        <v>0.16783216783216784</v>
      </c>
      <c r="N76" s="31">
        <v>0.55421686746987953</v>
      </c>
      <c r="O76" s="31">
        <v>0.35416666666666669</v>
      </c>
      <c r="P76" s="31">
        <v>0.40441176470588236</v>
      </c>
    </row>
    <row r="77" spans="1:16" x14ac:dyDescent="0.4">
      <c r="A77" s="33">
        <v>74</v>
      </c>
      <c r="B77" s="30">
        <v>-399.49999999999989</v>
      </c>
      <c r="C77" s="30">
        <v>-5.3986486486486474</v>
      </c>
      <c r="D77" s="35">
        <v>2.1486486486486487</v>
      </c>
      <c r="E77" s="31">
        <v>0.28378378378378377</v>
      </c>
      <c r="F77" s="31">
        <v>0.43243243243243246</v>
      </c>
      <c r="G77" s="31">
        <v>0.24954792043399637</v>
      </c>
      <c r="H77" s="31">
        <v>0.19529837251356238</v>
      </c>
      <c r="I77" s="32">
        <v>11302.898550724638</v>
      </c>
      <c r="J77" s="32">
        <v>-10583.333333333334</v>
      </c>
      <c r="K77" s="31">
        <v>0.27027027027027029</v>
      </c>
      <c r="L77" s="31">
        <v>0.2910958904109589</v>
      </c>
      <c r="M77" s="31">
        <v>0.16438356164383561</v>
      </c>
      <c r="N77" s="31">
        <v>0.55294117647058827</v>
      </c>
      <c r="O77" s="31">
        <v>0.35416666666666669</v>
      </c>
      <c r="P77" s="31">
        <v>0.40579710144927539</v>
      </c>
    </row>
    <row r="78" spans="1:16" x14ac:dyDescent="0.4">
      <c r="A78" s="33">
        <v>75</v>
      </c>
      <c r="B78" s="30">
        <v>-419.69999999999987</v>
      </c>
      <c r="C78" s="30">
        <v>-5.5959999999999983</v>
      </c>
      <c r="D78" s="35">
        <v>2.16</v>
      </c>
      <c r="E78" s="31">
        <v>0.28000000000000003</v>
      </c>
      <c r="F78" s="31">
        <v>0.44</v>
      </c>
      <c r="G78" s="31">
        <v>0.24822695035460993</v>
      </c>
      <c r="H78" s="31">
        <v>0.19858156028368795</v>
      </c>
      <c r="I78" s="32">
        <v>11298.571428571429</v>
      </c>
      <c r="J78" s="32">
        <v>-10466.071428571429</v>
      </c>
      <c r="K78" s="31">
        <v>0.26666666666666666</v>
      </c>
      <c r="L78" s="31">
        <v>0.28382838283828382</v>
      </c>
      <c r="M78" s="31">
        <v>0.16831683168316833</v>
      </c>
      <c r="N78" s="31">
        <v>0.54651162790697672</v>
      </c>
      <c r="O78" s="31">
        <v>0.37254901960784315</v>
      </c>
      <c r="P78" s="31">
        <v>0.40714285714285714</v>
      </c>
    </row>
    <row r="79" spans="1:16" x14ac:dyDescent="0.4">
      <c r="A79" s="33">
        <v>76</v>
      </c>
      <c r="B79" s="30">
        <v>-369.69999999999987</v>
      </c>
      <c r="C79" s="30">
        <v>-4.864473684210525</v>
      </c>
      <c r="D79" s="35">
        <v>2.1447368421052633</v>
      </c>
      <c r="E79" s="31">
        <v>0.28947368421052633</v>
      </c>
      <c r="F79" s="31">
        <v>0.43421052631578949</v>
      </c>
      <c r="G79" s="31">
        <v>0.25088339222614842</v>
      </c>
      <c r="H79" s="31">
        <v>0.19787985865724381</v>
      </c>
      <c r="I79" s="32">
        <v>11477.464788732394</v>
      </c>
      <c r="J79" s="32">
        <v>-10466.071428571429</v>
      </c>
      <c r="K79" s="31">
        <v>0.26315789473684209</v>
      </c>
      <c r="L79" s="31">
        <v>0.28852459016393445</v>
      </c>
      <c r="M79" s="31">
        <v>0.16721311475409836</v>
      </c>
      <c r="N79" s="31">
        <v>0.55681818181818177</v>
      </c>
      <c r="O79" s="31">
        <v>0.37254901960784315</v>
      </c>
      <c r="P79" s="31">
        <v>0.40845070422535212</v>
      </c>
    </row>
    <row r="80" spans="1:16" x14ac:dyDescent="0.4">
      <c r="A80" s="33">
        <v>77</v>
      </c>
      <c r="B80" s="30">
        <v>-381.7999999999999</v>
      </c>
      <c r="C80" s="30">
        <v>-4.9584415584415575</v>
      </c>
      <c r="D80" s="35">
        <v>2.1558441558441559</v>
      </c>
      <c r="E80" s="31">
        <v>0.2857142857142857</v>
      </c>
      <c r="F80" s="31">
        <v>0.44155844155844154</v>
      </c>
      <c r="G80" s="31">
        <v>0.2513089005235602</v>
      </c>
      <c r="H80" s="31">
        <v>0.19720767888307156</v>
      </c>
      <c r="I80" s="32">
        <v>11400.694444444445</v>
      </c>
      <c r="J80" s="32">
        <v>-10444.247787610619</v>
      </c>
      <c r="K80" s="31">
        <v>0.25974025974025972</v>
      </c>
      <c r="L80" s="31">
        <v>0.28525641025641024</v>
      </c>
      <c r="M80" s="31">
        <v>0.16987179487179488</v>
      </c>
      <c r="N80" s="31">
        <v>0.5617977528089888</v>
      </c>
      <c r="O80" s="31">
        <v>0.37735849056603776</v>
      </c>
      <c r="P80" s="31">
        <v>0.40972222222222221</v>
      </c>
    </row>
    <row r="81" spans="1:16" x14ac:dyDescent="0.4">
      <c r="A81" s="33">
        <v>78</v>
      </c>
      <c r="B81" s="30">
        <v>-365.99999999999989</v>
      </c>
      <c r="C81" s="30">
        <v>-4.6923076923076907</v>
      </c>
      <c r="D81" s="35">
        <v>2.141025641025641</v>
      </c>
      <c r="E81" s="31">
        <v>0.29487179487179488</v>
      </c>
      <c r="F81" s="31">
        <v>0.4358974358974359</v>
      </c>
      <c r="G81" s="31">
        <v>0.25429553264604809</v>
      </c>
      <c r="H81" s="31">
        <v>0.19759450171821305</v>
      </c>
      <c r="I81" s="32">
        <v>11415.54054054054</v>
      </c>
      <c r="J81" s="32">
        <v>-10471.304347826086</v>
      </c>
      <c r="K81" s="31">
        <v>0.25641025641025639</v>
      </c>
      <c r="L81" s="31">
        <v>0.28660436137071649</v>
      </c>
      <c r="M81" s="31">
        <v>0.17445482866043613</v>
      </c>
      <c r="N81" s="31">
        <v>0.55434782608695654</v>
      </c>
      <c r="O81" s="31">
        <v>0.39285714285714285</v>
      </c>
      <c r="P81" s="31">
        <v>0.40540540540540543</v>
      </c>
    </row>
    <row r="82" spans="1:16" x14ac:dyDescent="0.4">
      <c r="A82" s="33">
        <v>79</v>
      </c>
      <c r="B82" s="30">
        <v>-383.99999999999989</v>
      </c>
      <c r="C82" s="30">
        <v>-4.8607594936708844</v>
      </c>
      <c r="D82" s="35">
        <v>2.1392405063291138</v>
      </c>
      <c r="E82" s="31">
        <v>0.29113924050632911</v>
      </c>
      <c r="F82" s="31">
        <v>0.43037974683544306</v>
      </c>
      <c r="G82" s="31">
        <v>0.25510204081632654</v>
      </c>
      <c r="H82" s="31">
        <v>0.19897959183673469</v>
      </c>
      <c r="I82" s="32">
        <v>11396.666666666666</v>
      </c>
      <c r="J82" s="32">
        <v>-10582.905982905982</v>
      </c>
      <c r="K82" s="31">
        <v>0.25316455696202533</v>
      </c>
      <c r="L82" s="31">
        <v>0.29051987767584098</v>
      </c>
      <c r="M82" s="31">
        <v>0.1743119266055046</v>
      </c>
      <c r="N82" s="31">
        <v>0.5368421052631579</v>
      </c>
      <c r="O82" s="31">
        <v>0.40350877192982454</v>
      </c>
      <c r="P82" s="31">
        <v>0.40666666666666668</v>
      </c>
    </row>
    <row r="83" spans="1:16" x14ac:dyDescent="0.4">
      <c r="A83" s="33">
        <v>80</v>
      </c>
      <c r="B83" s="30">
        <v>-390.7999999999999</v>
      </c>
      <c r="C83" s="30">
        <v>-4.8849999999999989</v>
      </c>
      <c r="D83" s="35">
        <v>2.1375000000000002</v>
      </c>
      <c r="E83" s="31">
        <v>0.28749999999999998</v>
      </c>
      <c r="F83" s="31">
        <v>0.42499999999999999</v>
      </c>
      <c r="G83" s="31">
        <v>0.25460636515912899</v>
      </c>
      <c r="H83" s="31">
        <v>0.19597989949748743</v>
      </c>
      <c r="I83" s="32">
        <v>11359.868421052632</v>
      </c>
      <c r="J83" s="32">
        <v>-10582.905982905982</v>
      </c>
      <c r="K83" s="31">
        <v>0.25</v>
      </c>
      <c r="L83" s="31">
        <v>0.28869047619047616</v>
      </c>
      <c r="M83" s="31">
        <v>0.17261904761904762</v>
      </c>
      <c r="N83" s="31">
        <v>0.54639175257731953</v>
      </c>
      <c r="O83" s="31">
        <v>0.39655172413793105</v>
      </c>
      <c r="P83" s="31">
        <v>0.40131578947368424</v>
      </c>
    </row>
    <row r="84" spans="1:16" x14ac:dyDescent="0.4">
      <c r="A84" s="33">
        <v>81</v>
      </c>
      <c r="B84" s="30">
        <v>-378.99999999999989</v>
      </c>
      <c r="C84" s="30">
        <v>-4.6790123456790109</v>
      </c>
      <c r="D84" s="35">
        <v>2.1234567901234569</v>
      </c>
      <c r="E84" s="31">
        <v>0.29629629629629628</v>
      </c>
      <c r="F84" s="31">
        <v>0.41975308641975306</v>
      </c>
      <c r="G84" s="31">
        <v>0.25535420098846789</v>
      </c>
      <c r="H84" s="31">
        <v>0.19769357495881384</v>
      </c>
      <c r="I84" s="32">
        <v>11410.967741935483</v>
      </c>
      <c r="J84" s="32">
        <v>-10470</v>
      </c>
      <c r="K84" s="31">
        <v>0.24691358024691357</v>
      </c>
      <c r="L84" s="31">
        <v>0.28901734104046245</v>
      </c>
      <c r="M84" s="31">
        <v>0.17341040462427745</v>
      </c>
      <c r="N84" s="31">
        <v>0.55000000000000004</v>
      </c>
      <c r="O84" s="31">
        <v>0.4</v>
      </c>
      <c r="P84" s="31">
        <v>0.4</v>
      </c>
    </row>
    <row r="85" spans="1:16" x14ac:dyDescent="0.4">
      <c r="A85" s="33">
        <v>82</v>
      </c>
      <c r="B85" s="30">
        <v>-398.59999999999991</v>
      </c>
      <c r="C85" s="30">
        <v>-4.8609756097560961</v>
      </c>
      <c r="D85" s="35">
        <v>2.1341463414634148</v>
      </c>
      <c r="E85" s="31">
        <v>0.29268292682926828</v>
      </c>
      <c r="F85" s="31">
        <v>0.42682926829268292</v>
      </c>
      <c r="G85" s="31">
        <v>0.25324675324675322</v>
      </c>
      <c r="H85" s="31">
        <v>0.19967532467532467</v>
      </c>
      <c r="I85" s="32">
        <v>11389.102564102564</v>
      </c>
      <c r="J85" s="32">
        <v>-10410.569105691056</v>
      </c>
      <c r="K85" s="31">
        <v>0.24390243902439024</v>
      </c>
      <c r="L85" s="31">
        <v>0.28732394366197184</v>
      </c>
      <c r="M85" s="31">
        <v>0.17746478873239438</v>
      </c>
      <c r="N85" s="31">
        <v>0.5490196078431373</v>
      </c>
      <c r="O85" s="31">
        <v>0.38095238095238093</v>
      </c>
      <c r="P85" s="31">
        <v>0.40384615384615385</v>
      </c>
    </row>
    <row r="86" spans="1:16" x14ac:dyDescent="0.4">
      <c r="A86" s="33">
        <v>83</v>
      </c>
      <c r="B86" s="30">
        <v>-397.39999999999992</v>
      </c>
      <c r="C86" s="30">
        <v>-4.7879518072289144</v>
      </c>
      <c r="D86" s="35">
        <v>2.1325301204819276</v>
      </c>
      <c r="E86" s="31">
        <v>0.28915662650602408</v>
      </c>
      <c r="F86" s="31">
        <v>0.42168674698795183</v>
      </c>
      <c r="G86" s="31">
        <v>0.25440000000000002</v>
      </c>
      <c r="H86" s="31">
        <v>0.19839999999999999</v>
      </c>
      <c r="I86" s="32">
        <v>11395.59748427673</v>
      </c>
      <c r="J86" s="32">
        <v>-10391.129032258064</v>
      </c>
      <c r="K86" s="31">
        <v>0.24096385542168675</v>
      </c>
      <c r="L86" s="31">
        <v>0.28846153846153844</v>
      </c>
      <c r="M86" s="31">
        <v>0.18131868131868131</v>
      </c>
      <c r="N86" s="31">
        <v>0.55238095238095242</v>
      </c>
      <c r="O86" s="31">
        <v>0.37878787878787878</v>
      </c>
      <c r="P86" s="31">
        <v>0.40251572327044027</v>
      </c>
    </row>
    <row r="87" spans="1:16" x14ac:dyDescent="0.4">
      <c r="A87" s="33">
        <v>84</v>
      </c>
      <c r="B87" s="30">
        <v>-371.89999999999992</v>
      </c>
      <c r="C87" s="30">
        <v>-4.4273809523809513</v>
      </c>
      <c r="D87" s="35">
        <v>2.1190476190476191</v>
      </c>
      <c r="E87" s="31">
        <v>0.29761904761904762</v>
      </c>
      <c r="F87" s="31">
        <v>0.41666666666666669</v>
      </c>
      <c r="G87" s="31">
        <v>0.25555555555555554</v>
      </c>
      <c r="H87" s="31">
        <v>0.19682539682539682</v>
      </c>
      <c r="I87" s="32">
        <v>11440.372670807454</v>
      </c>
      <c r="J87" s="32">
        <v>-10391.129032258064</v>
      </c>
      <c r="K87" s="31">
        <v>0.23809523809523808</v>
      </c>
      <c r="L87" s="31">
        <v>0.2872628726287263</v>
      </c>
      <c r="M87" s="31">
        <v>0.18157181571815717</v>
      </c>
      <c r="N87" s="31">
        <v>0.55660377358490565</v>
      </c>
      <c r="O87" s="31">
        <v>0.38805970149253732</v>
      </c>
      <c r="P87" s="31">
        <v>0.40372670807453415</v>
      </c>
    </row>
    <row r="88" spans="1:16" x14ac:dyDescent="0.4">
      <c r="A88" s="33">
        <v>85</v>
      </c>
      <c r="B88" s="30">
        <v>-409.89999999999992</v>
      </c>
      <c r="C88" s="30">
        <v>-4.8223529411764696</v>
      </c>
      <c r="D88" s="35">
        <v>2.1294117647058823</v>
      </c>
      <c r="E88" s="31">
        <v>0.29411764705882354</v>
      </c>
      <c r="F88" s="31">
        <v>0.42352941176470588</v>
      </c>
      <c r="G88" s="31">
        <v>0.25354330708661416</v>
      </c>
      <c r="H88" s="31">
        <v>0.19685039370078741</v>
      </c>
      <c r="I88" s="32">
        <v>11440.372670807454</v>
      </c>
      <c r="J88" s="32">
        <v>-10404</v>
      </c>
      <c r="K88" s="31">
        <v>0.24705882352941178</v>
      </c>
      <c r="L88" s="31">
        <v>0.28342245989304815</v>
      </c>
      <c r="M88" s="31">
        <v>0.17914438502673796</v>
      </c>
      <c r="N88" s="31">
        <v>0.55660377358490565</v>
      </c>
      <c r="O88" s="31">
        <v>0.38805970149253732</v>
      </c>
      <c r="P88" s="31">
        <v>0.40372670807453415</v>
      </c>
    </row>
    <row r="89" spans="1:16" x14ac:dyDescent="0.4">
      <c r="A89" s="33">
        <v>86</v>
      </c>
      <c r="B89" s="30">
        <v>-386.39999999999992</v>
      </c>
      <c r="C89" s="30">
        <v>-4.4930232558139522</v>
      </c>
      <c r="D89" s="35">
        <v>2.1279069767441858</v>
      </c>
      <c r="E89" s="31">
        <v>0.29069767441860467</v>
      </c>
      <c r="F89" s="31">
        <v>0.41860465116279072</v>
      </c>
      <c r="G89" s="31">
        <v>0.25349922239502332</v>
      </c>
      <c r="H89" s="31">
        <v>0.19595645412130638</v>
      </c>
      <c r="I89" s="32">
        <v>11508.588957055215</v>
      </c>
      <c r="J89" s="32">
        <v>-10384.920634920634</v>
      </c>
      <c r="K89" s="31">
        <v>0.2441860465116279</v>
      </c>
      <c r="L89" s="31">
        <v>0.2879581151832461</v>
      </c>
      <c r="M89" s="31">
        <v>0.17801047120418848</v>
      </c>
      <c r="N89" s="31">
        <v>0.55454545454545456</v>
      </c>
      <c r="O89" s="31">
        <v>0.38235294117647056</v>
      </c>
      <c r="P89" s="31">
        <v>0.41104294478527609</v>
      </c>
    </row>
    <row r="90" spans="1:16" x14ac:dyDescent="0.4">
      <c r="A90" s="33">
        <v>87</v>
      </c>
      <c r="B90" s="30">
        <v>-360.69999999999993</v>
      </c>
      <c r="C90" s="30">
        <v>-4.145977011494252</v>
      </c>
      <c r="D90" s="35">
        <v>2.1149425287356323</v>
      </c>
      <c r="E90" s="31">
        <v>0.2988505747126437</v>
      </c>
      <c r="F90" s="31">
        <v>0.41379310344827586</v>
      </c>
      <c r="G90" s="31">
        <v>0.25613496932515339</v>
      </c>
      <c r="H90" s="31">
        <v>0.19325153374233128</v>
      </c>
      <c r="I90" s="32">
        <v>11431.736526946108</v>
      </c>
      <c r="J90" s="32">
        <v>-10384.920634920634</v>
      </c>
      <c r="K90" s="31">
        <v>0.2413793103448276</v>
      </c>
      <c r="L90" s="31">
        <v>0.28900255754475701</v>
      </c>
      <c r="M90" s="31">
        <v>0.17902813299232737</v>
      </c>
      <c r="N90" s="31">
        <v>0.5663716814159292</v>
      </c>
      <c r="O90" s="31">
        <v>0.38571428571428573</v>
      </c>
      <c r="P90" s="31">
        <v>0.41916167664670656</v>
      </c>
    </row>
    <row r="91" spans="1:16" x14ac:dyDescent="0.4">
      <c r="A91" s="33">
        <v>88</v>
      </c>
      <c r="B91" s="30">
        <v>-377.49999999999994</v>
      </c>
      <c r="C91" s="30">
        <v>-4.2897727272727266</v>
      </c>
      <c r="D91" s="35">
        <v>2.125</v>
      </c>
      <c r="E91" s="31">
        <v>0.29545454545454547</v>
      </c>
      <c r="F91" s="31">
        <v>0.42045454545454547</v>
      </c>
      <c r="G91" s="31">
        <v>0.25679758308157102</v>
      </c>
      <c r="H91" s="31">
        <v>0.19637462235649547</v>
      </c>
      <c r="I91" s="32">
        <v>11335.294117647059</v>
      </c>
      <c r="J91" s="32">
        <v>-10336.153846153846</v>
      </c>
      <c r="K91" s="31">
        <v>0.23863636363636365</v>
      </c>
      <c r="L91" s="31">
        <v>0.28678304239401498</v>
      </c>
      <c r="M91" s="31">
        <v>0.18453865336658354</v>
      </c>
      <c r="N91" s="31">
        <v>0.57391304347826089</v>
      </c>
      <c r="O91" s="31">
        <v>0.3783783783783784</v>
      </c>
      <c r="P91" s="31">
        <v>0.41764705882352943</v>
      </c>
    </row>
    <row r="92" spans="1:16" x14ac:dyDescent="0.4">
      <c r="A92" s="33">
        <v>89</v>
      </c>
      <c r="B92" s="30">
        <v>-410.29999999999995</v>
      </c>
      <c r="C92" s="30">
        <v>-4.6101123595505609</v>
      </c>
      <c r="D92" s="35">
        <v>2.1348314606741572</v>
      </c>
      <c r="E92" s="31">
        <v>0.29213483146067415</v>
      </c>
      <c r="F92" s="31">
        <v>0.42696629213483145</v>
      </c>
      <c r="G92" s="31">
        <v>0.25297619047619047</v>
      </c>
      <c r="H92" s="31">
        <v>0.19940476190476192</v>
      </c>
      <c r="I92" s="32">
        <v>11335.294117647059</v>
      </c>
      <c r="J92" s="32">
        <v>-10171.641791044776</v>
      </c>
      <c r="K92" s="31">
        <v>0.23595505617977527</v>
      </c>
      <c r="L92" s="31">
        <v>0.28223844282238442</v>
      </c>
      <c r="M92" s="31">
        <v>0.18734793187347931</v>
      </c>
      <c r="N92" s="31">
        <v>0.56896551724137934</v>
      </c>
      <c r="O92" s="31">
        <v>0.36363636363636365</v>
      </c>
      <c r="P92" s="31">
        <v>0.41764705882352943</v>
      </c>
    </row>
    <row r="93" spans="1:16" x14ac:dyDescent="0.4">
      <c r="A93" s="33">
        <v>90</v>
      </c>
      <c r="B93" s="30">
        <v>-405.79999999999995</v>
      </c>
      <c r="C93" s="30">
        <v>-4.5088888888888885</v>
      </c>
      <c r="D93" s="35">
        <v>2.1333333333333333</v>
      </c>
      <c r="E93" s="31">
        <v>0.28888888888888886</v>
      </c>
      <c r="F93" s="31">
        <v>0.42222222222222222</v>
      </c>
      <c r="G93" s="31">
        <v>0.25221238938053098</v>
      </c>
      <c r="H93" s="31">
        <v>0.19764011799410031</v>
      </c>
      <c r="I93" s="32">
        <v>11374.269005847953</v>
      </c>
      <c r="J93" s="32">
        <v>-10171.641791044776</v>
      </c>
      <c r="K93" s="31">
        <v>0.23333333333333334</v>
      </c>
      <c r="L93" s="31">
        <v>0.28297362110311752</v>
      </c>
      <c r="M93" s="31">
        <v>0.18465227817745802</v>
      </c>
      <c r="N93" s="31">
        <v>0.56779661016949157</v>
      </c>
      <c r="O93" s="31">
        <v>0.36363636363636365</v>
      </c>
      <c r="P93" s="31">
        <v>0.41520467836257308</v>
      </c>
    </row>
    <row r="94" spans="1:16" x14ac:dyDescent="0.4">
      <c r="A94" s="33">
        <v>91</v>
      </c>
      <c r="B94" s="30">
        <v>-395.29999999999995</v>
      </c>
      <c r="C94" s="30">
        <v>-4.3439560439560436</v>
      </c>
      <c r="D94" s="35">
        <v>2.1318681318681318</v>
      </c>
      <c r="E94" s="31">
        <v>0.2857142857142857</v>
      </c>
      <c r="F94" s="31">
        <v>0.4175824175824176</v>
      </c>
      <c r="G94" s="31">
        <v>0.25329428989751096</v>
      </c>
      <c r="H94" s="31">
        <v>0.19619326500732065</v>
      </c>
      <c r="I94" s="32">
        <v>11335.260115606936</v>
      </c>
      <c r="J94" s="32">
        <v>-10171.641791044776</v>
      </c>
      <c r="K94" s="31">
        <v>0.23076923076923078</v>
      </c>
      <c r="L94" s="31">
        <v>0.28199052132701424</v>
      </c>
      <c r="M94" s="31">
        <v>0.19194312796208532</v>
      </c>
      <c r="N94" s="31">
        <v>0.56302521008403361</v>
      </c>
      <c r="O94" s="31">
        <v>0.37037037037037035</v>
      </c>
      <c r="P94" s="31">
        <v>0.41618497109826591</v>
      </c>
    </row>
    <row r="95" spans="1:16" x14ac:dyDescent="0.4">
      <c r="A95" s="33">
        <v>92</v>
      </c>
      <c r="B95" s="30">
        <v>-365.49999999999994</v>
      </c>
      <c r="C95" s="30">
        <v>-3.9728260869565211</v>
      </c>
      <c r="D95" s="35">
        <v>2.1195652173913042</v>
      </c>
      <c r="E95" s="31">
        <v>0.29347826086956524</v>
      </c>
      <c r="F95" s="31">
        <v>0.41304347826086957</v>
      </c>
      <c r="G95" s="31">
        <v>0.25362318840579712</v>
      </c>
      <c r="H95" s="31">
        <v>0.19565217391304349</v>
      </c>
      <c r="I95" s="32">
        <v>11418.285714285714</v>
      </c>
      <c r="J95" s="32">
        <v>-10125.185185185184</v>
      </c>
      <c r="K95" s="31">
        <v>0.22826086956521738</v>
      </c>
      <c r="L95" s="31">
        <v>0.28205128205128205</v>
      </c>
      <c r="M95" s="31">
        <v>0.1888111888111888</v>
      </c>
      <c r="N95" s="31">
        <v>0.57024793388429751</v>
      </c>
      <c r="O95" s="31">
        <v>0.37037037037037035</v>
      </c>
      <c r="P95" s="31">
        <v>0.41142857142857142</v>
      </c>
    </row>
    <row r="96" spans="1:16" x14ac:dyDescent="0.4">
      <c r="A96" s="33">
        <v>93</v>
      </c>
      <c r="B96" s="30">
        <v>-401.99999999999994</v>
      </c>
      <c r="C96" s="30">
        <v>-4.32258064516129</v>
      </c>
      <c r="D96" s="35">
        <v>2.129032258064516</v>
      </c>
      <c r="E96" s="31">
        <v>0.29032258064516131</v>
      </c>
      <c r="F96" s="31">
        <v>0.41935483870967744</v>
      </c>
      <c r="G96" s="31">
        <v>0.24964336661911554</v>
      </c>
      <c r="H96" s="31">
        <v>0.19828815977175462</v>
      </c>
      <c r="I96" s="32">
        <v>11418.285714285714</v>
      </c>
      <c r="J96" s="32">
        <v>-9941.0071942446048</v>
      </c>
      <c r="K96" s="31">
        <v>0.23655913978494625</v>
      </c>
      <c r="L96" s="31">
        <v>0.27954545454545454</v>
      </c>
      <c r="M96" s="31">
        <v>0.18863636363636363</v>
      </c>
      <c r="N96" s="31">
        <v>0.56097560975609762</v>
      </c>
      <c r="O96" s="31">
        <v>0.36144578313253012</v>
      </c>
      <c r="P96" s="31">
        <v>0.41142857142857142</v>
      </c>
    </row>
    <row r="97" spans="1:16" x14ac:dyDescent="0.4">
      <c r="A97" s="33">
        <v>94</v>
      </c>
      <c r="B97" s="30">
        <v>-372.59999999999997</v>
      </c>
      <c r="C97" s="30">
        <v>-3.963829787234042</v>
      </c>
      <c r="D97" s="35">
        <v>2.1170212765957448</v>
      </c>
      <c r="E97" s="31">
        <v>0.2978723404255319</v>
      </c>
      <c r="F97" s="31">
        <v>0.41489361702127658</v>
      </c>
      <c r="G97" s="31">
        <v>0.25212464589235128</v>
      </c>
      <c r="H97" s="31">
        <v>0.19688385269121814</v>
      </c>
      <c r="I97" s="32">
        <v>11391.011235955057</v>
      </c>
      <c r="J97" s="32">
        <v>-9941.0071942446048</v>
      </c>
      <c r="K97" s="31">
        <v>0.23404255319148937</v>
      </c>
      <c r="L97" s="31">
        <v>0.27640449438202247</v>
      </c>
      <c r="M97" s="31">
        <v>0.19101123595505617</v>
      </c>
      <c r="N97" s="31">
        <v>0.56097560975609762</v>
      </c>
      <c r="O97" s="31">
        <v>0.36470588235294116</v>
      </c>
      <c r="P97" s="31">
        <v>0.4101123595505618</v>
      </c>
    </row>
    <row r="98" spans="1:16" x14ac:dyDescent="0.4">
      <c r="A98" s="33">
        <v>95</v>
      </c>
      <c r="B98" s="30">
        <v>-399.4</v>
      </c>
      <c r="C98" s="30">
        <v>-4.204210526315789</v>
      </c>
      <c r="D98" s="35">
        <v>2.1157894736842104</v>
      </c>
      <c r="E98" s="31">
        <v>0.29473684210526313</v>
      </c>
      <c r="F98" s="31">
        <v>0.41052631578947368</v>
      </c>
      <c r="G98" s="31">
        <v>0.25070028011204482</v>
      </c>
      <c r="H98" s="31">
        <v>0.19467787114845939</v>
      </c>
      <c r="I98" s="32">
        <v>11356.424581005587</v>
      </c>
      <c r="J98" s="32">
        <v>-9941.0071942446048</v>
      </c>
      <c r="K98" s="31">
        <v>0.23157894736842105</v>
      </c>
      <c r="L98" s="31">
        <v>0.27814569536423839</v>
      </c>
      <c r="M98" s="31">
        <v>0.18984547461368653</v>
      </c>
      <c r="N98" s="31">
        <v>0.55555555555555558</v>
      </c>
      <c r="O98" s="31">
        <v>0.36046511627906974</v>
      </c>
      <c r="P98" s="31">
        <v>0.40782122905027934</v>
      </c>
    </row>
    <row r="99" spans="1:16" x14ac:dyDescent="0.4">
      <c r="A99" s="33">
        <v>96</v>
      </c>
      <c r="B99" s="30">
        <v>-381</v>
      </c>
      <c r="C99" s="30">
        <v>-3.96875</v>
      </c>
      <c r="D99" s="35">
        <v>2.1041666666666665</v>
      </c>
      <c r="E99" s="31">
        <v>0.30208333333333331</v>
      </c>
      <c r="F99" s="31">
        <v>0.40625</v>
      </c>
      <c r="G99" s="31">
        <v>0.2544951590594744</v>
      </c>
      <c r="H99" s="31">
        <v>0.19502074688796681</v>
      </c>
      <c r="I99" s="32">
        <v>11308.152173913044</v>
      </c>
      <c r="J99" s="32">
        <v>-10026.950354609929</v>
      </c>
      <c r="K99" s="31">
        <v>0.22916666666666666</v>
      </c>
      <c r="L99" s="31">
        <v>0.2813852813852814</v>
      </c>
      <c r="M99" s="31">
        <v>0.18831168831168832</v>
      </c>
      <c r="N99" s="31">
        <v>0.56153846153846154</v>
      </c>
      <c r="O99" s="31">
        <v>0.36781609195402298</v>
      </c>
      <c r="P99" s="31">
        <v>0.40760869565217389</v>
      </c>
    </row>
    <row r="100" spans="1:16" x14ac:dyDescent="0.4">
      <c r="A100" s="33">
        <v>97</v>
      </c>
      <c r="B100" s="30">
        <v>-393.5</v>
      </c>
      <c r="C100" s="30">
        <v>-4.0567010309278349</v>
      </c>
      <c r="D100" s="35">
        <v>2.1030927835051547</v>
      </c>
      <c r="E100" s="31">
        <v>0.29896907216494845</v>
      </c>
      <c r="F100" s="31">
        <v>0.40206185567010311</v>
      </c>
      <c r="G100" s="31">
        <v>0.25546448087431695</v>
      </c>
      <c r="H100" s="31">
        <v>0.1953551912568306</v>
      </c>
      <c r="I100" s="32">
        <v>11308.55614973262</v>
      </c>
      <c r="J100" s="32">
        <v>-10082.517482517482</v>
      </c>
      <c r="K100" s="31">
        <v>0.22680412371134021</v>
      </c>
      <c r="L100" s="31">
        <v>0.28025477707006369</v>
      </c>
      <c r="M100" s="31">
        <v>0.18683651804670912</v>
      </c>
      <c r="N100" s="31">
        <v>0.56818181818181823</v>
      </c>
      <c r="O100" s="31">
        <v>0.375</v>
      </c>
      <c r="P100" s="31">
        <v>0.40641711229946526</v>
      </c>
    </row>
    <row r="101" spans="1:16" x14ac:dyDescent="0.4">
      <c r="A101" s="33">
        <v>98</v>
      </c>
      <c r="B101" s="30">
        <v>-333</v>
      </c>
      <c r="C101" s="30">
        <v>-3.3979591836734695</v>
      </c>
      <c r="D101" s="35">
        <v>2.0918367346938775</v>
      </c>
      <c r="E101" s="31">
        <v>0.30612244897959184</v>
      </c>
      <c r="F101" s="31">
        <v>0.39795918367346939</v>
      </c>
      <c r="G101" s="31">
        <v>0.25780189959294436</v>
      </c>
      <c r="H101" s="31">
        <v>0.19402985074626866</v>
      </c>
      <c r="I101" s="32">
        <v>11466.842105263158</v>
      </c>
      <c r="J101" s="32">
        <v>-10082.517482517482</v>
      </c>
      <c r="K101" s="31">
        <v>0.22448979591836735</v>
      </c>
      <c r="L101" s="31">
        <v>0.28361344537815125</v>
      </c>
      <c r="M101" s="31">
        <v>0.18907563025210083</v>
      </c>
      <c r="N101" s="31">
        <v>0.57037037037037042</v>
      </c>
      <c r="O101" s="31">
        <v>0.37777777777777777</v>
      </c>
      <c r="P101" s="31">
        <v>0.41052631578947368</v>
      </c>
    </row>
    <row r="102" spans="1:16" x14ac:dyDescent="0.4">
      <c r="A102" s="33">
        <v>99</v>
      </c>
      <c r="B102" s="30">
        <v>-362.5</v>
      </c>
      <c r="C102" s="30">
        <v>-3.6616161616161618</v>
      </c>
      <c r="D102" s="35">
        <v>2.1010101010101012</v>
      </c>
      <c r="E102" s="31">
        <v>0.30303030303030304</v>
      </c>
      <c r="F102" s="31">
        <v>0.40404040404040403</v>
      </c>
      <c r="G102" s="31">
        <v>0.25534759358288772</v>
      </c>
      <c r="H102" s="31">
        <v>0.19385026737967914</v>
      </c>
      <c r="I102" s="32">
        <v>11448.69109947644</v>
      </c>
      <c r="J102" s="32">
        <v>-10051.724137931034</v>
      </c>
      <c r="K102" s="31">
        <v>0.22222222222222221</v>
      </c>
      <c r="L102" s="31">
        <v>0.28747433264887062</v>
      </c>
      <c r="M102" s="31">
        <v>0.18480492813141683</v>
      </c>
      <c r="N102" s="31">
        <v>0.55714285714285716</v>
      </c>
      <c r="O102" s="31">
        <v>0.37777777777777777</v>
      </c>
      <c r="P102" s="31">
        <v>0.41361256544502617</v>
      </c>
    </row>
    <row r="103" spans="1:16" x14ac:dyDescent="0.4">
      <c r="A103" s="33">
        <v>100</v>
      </c>
      <c r="B103" s="30">
        <v>-376.4</v>
      </c>
      <c r="C103" s="30">
        <v>-3.7639999999999998</v>
      </c>
      <c r="D103" s="35">
        <v>2.11</v>
      </c>
      <c r="E103" s="31">
        <v>0.3</v>
      </c>
      <c r="F103" s="31">
        <v>0.41</v>
      </c>
      <c r="G103" s="31">
        <v>0.25562913907284768</v>
      </c>
      <c r="H103" s="31">
        <v>0.19470198675496689</v>
      </c>
      <c r="I103" s="32">
        <v>11454.40414507772</v>
      </c>
      <c r="J103" s="32">
        <v>-10104.761904761905</v>
      </c>
      <c r="K103" s="31">
        <v>0.22</v>
      </c>
      <c r="L103" s="31">
        <v>0.2834008097165992</v>
      </c>
      <c r="M103" s="31">
        <v>0.19028340080971659</v>
      </c>
      <c r="N103" s="31">
        <v>0.55714285714285716</v>
      </c>
      <c r="O103" s="31">
        <v>0.38297872340425532</v>
      </c>
      <c r="P103" s="31">
        <v>0.40932642487046633</v>
      </c>
    </row>
    <row r="104" spans="1:16" x14ac:dyDescent="0.4">
      <c r="A104" s="33">
        <v>101</v>
      </c>
      <c r="B104" s="30">
        <v>-374.7</v>
      </c>
      <c r="C104" s="30">
        <v>-3.7099009900990096</v>
      </c>
      <c r="D104" s="35">
        <v>2.108910891089109</v>
      </c>
      <c r="E104" s="31">
        <v>0.29702970297029702</v>
      </c>
      <c r="F104" s="31">
        <v>0.40594059405940597</v>
      </c>
      <c r="G104" s="31">
        <v>0.25654450261780104</v>
      </c>
      <c r="H104" s="31">
        <v>0.1950261780104712</v>
      </c>
      <c r="I104" s="32">
        <v>11472.959183673469</v>
      </c>
      <c r="J104" s="32">
        <v>-10061.744966442953</v>
      </c>
      <c r="K104" s="31">
        <v>0.21782178217821782</v>
      </c>
      <c r="L104" s="31">
        <v>0.28628230616302186</v>
      </c>
      <c r="M104" s="31">
        <v>0.18886679920477137</v>
      </c>
      <c r="N104" s="31">
        <v>0.5625</v>
      </c>
      <c r="O104" s="31">
        <v>0.37894736842105264</v>
      </c>
      <c r="P104" s="31">
        <v>0.41836734693877553</v>
      </c>
    </row>
    <row r="105" spans="1:16" x14ac:dyDescent="0.4">
      <c r="A105" s="33">
        <v>102</v>
      </c>
      <c r="B105" s="30">
        <v>-401.4</v>
      </c>
      <c r="C105" s="30">
        <v>-3.9352941176470586</v>
      </c>
      <c r="D105" s="35">
        <v>2.1176470588235294</v>
      </c>
      <c r="E105" s="31">
        <v>0.29411764705882354</v>
      </c>
      <c r="F105" s="31">
        <v>0.41176470588235292</v>
      </c>
      <c r="G105" s="31">
        <v>0.25551232166018156</v>
      </c>
      <c r="H105" s="31">
        <v>0.19584954604409857</v>
      </c>
      <c r="I105" s="32">
        <v>11441.116751269035</v>
      </c>
      <c r="J105" s="32">
        <v>-10015.8940397351</v>
      </c>
      <c r="K105" s="31">
        <v>0.21568627450980393</v>
      </c>
      <c r="L105" s="31">
        <v>0.28627450980392155</v>
      </c>
      <c r="M105" s="31">
        <v>0.18823529411764706</v>
      </c>
      <c r="N105" s="31">
        <v>0.56164383561643838</v>
      </c>
      <c r="O105" s="31">
        <v>0.375</v>
      </c>
      <c r="P105" s="31">
        <v>0.41624365482233505</v>
      </c>
    </row>
    <row r="106" spans="1:16" x14ac:dyDescent="0.4">
      <c r="A106" s="33">
        <v>103</v>
      </c>
      <c r="B106" s="30">
        <v>-426.9</v>
      </c>
      <c r="C106" s="30">
        <v>-4.1446601941747572</v>
      </c>
      <c r="D106" s="35">
        <v>2.1262135922330097</v>
      </c>
      <c r="E106" s="31">
        <v>0.29126213592233008</v>
      </c>
      <c r="F106" s="31">
        <v>0.41747572815533979</v>
      </c>
      <c r="G106" s="31">
        <v>0.25578406169665807</v>
      </c>
      <c r="H106" s="31">
        <v>0.19794344473007713</v>
      </c>
      <c r="I106" s="32">
        <v>11392.462311557789</v>
      </c>
      <c r="J106" s="32">
        <v>-10016.883116883117</v>
      </c>
      <c r="K106" s="31">
        <v>0.21359223300970873</v>
      </c>
      <c r="L106" s="31">
        <v>0.28820116054158607</v>
      </c>
      <c r="M106" s="31">
        <v>0.18762088974854932</v>
      </c>
      <c r="N106" s="31">
        <v>0.56375838926174493</v>
      </c>
      <c r="O106" s="31">
        <v>0.37113402061855671</v>
      </c>
      <c r="P106" s="31">
        <v>0.41708542713567837</v>
      </c>
    </row>
    <row r="107" spans="1:16" x14ac:dyDescent="0.4">
      <c r="A107" s="33">
        <v>104</v>
      </c>
      <c r="B107" s="30">
        <v>-436.4</v>
      </c>
      <c r="C107" s="30">
        <v>-4.1961538461538463</v>
      </c>
      <c r="D107" s="35">
        <v>2.1346153846153846</v>
      </c>
      <c r="E107" s="31">
        <v>0.28846153846153844</v>
      </c>
      <c r="F107" s="31">
        <v>0.42307692307692307</v>
      </c>
      <c r="G107" s="31">
        <v>0.25507614213197971</v>
      </c>
      <c r="H107" s="31">
        <v>0.1967005076142132</v>
      </c>
      <c r="I107" s="32">
        <v>11378.606965174129</v>
      </c>
      <c r="J107" s="32">
        <v>-10029.677419354839</v>
      </c>
      <c r="K107" s="31">
        <v>0.21153846153846154</v>
      </c>
      <c r="L107" s="31">
        <v>0.2884250474383302</v>
      </c>
      <c r="M107" s="31">
        <v>0.1859582542694497</v>
      </c>
      <c r="N107" s="31">
        <v>0.55921052631578949</v>
      </c>
      <c r="O107" s="31">
        <v>0.37755102040816324</v>
      </c>
      <c r="P107" s="31">
        <v>0.41293532338308458</v>
      </c>
    </row>
    <row r="108" spans="1:16" x14ac:dyDescent="0.4">
      <c r="A108" s="33">
        <v>105</v>
      </c>
      <c r="B108" s="30">
        <v>-425.59999999999997</v>
      </c>
      <c r="C108" s="30">
        <v>-4.0533333333333328</v>
      </c>
      <c r="D108" s="35">
        <v>2.1333333333333333</v>
      </c>
      <c r="E108" s="31">
        <v>0.2857142857142857</v>
      </c>
      <c r="F108" s="31">
        <v>0.41904761904761906</v>
      </c>
      <c r="G108" s="31">
        <v>0.2565707133917397</v>
      </c>
      <c r="H108" s="31">
        <v>0.19524405506883605</v>
      </c>
      <c r="I108" s="32">
        <v>11311.707317073171</v>
      </c>
      <c r="J108" s="32">
        <v>-10016.666666666666</v>
      </c>
      <c r="K108" s="31">
        <v>0.20952380952380953</v>
      </c>
      <c r="L108" s="31">
        <v>0.28810408921933084</v>
      </c>
      <c r="M108" s="31">
        <v>0.18587360594795538</v>
      </c>
      <c r="N108" s="31">
        <v>0.56129032258064515</v>
      </c>
      <c r="O108" s="31">
        <v>0.38</v>
      </c>
      <c r="P108" s="31">
        <v>0.40975609756097559</v>
      </c>
    </row>
    <row r="109" spans="1:16" x14ac:dyDescent="0.4">
      <c r="A109" s="33">
        <v>106</v>
      </c>
      <c r="B109" s="30">
        <v>-438.49999999999994</v>
      </c>
      <c r="C109" s="30">
        <v>-4.1367924528301883</v>
      </c>
      <c r="D109" s="35">
        <v>2.141509433962264</v>
      </c>
      <c r="E109" s="31">
        <v>0.28301886792452829</v>
      </c>
      <c r="F109" s="31">
        <v>0.42452830188679247</v>
      </c>
      <c r="G109" s="31">
        <v>0.25738916256157635</v>
      </c>
      <c r="H109" s="31">
        <v>0.19458128078817735</v>
      </c>
      <c r="I109" s="32">
        <v>11244.497607655503</v>
      </c>
      <c r="J109" s="32">
        <v>-10058.227848101265</v>
      </c>
      <c r="K109" s="31">
        <v>0.20754716981132076</v>
      </c>
      <c r="L109" s="31">
        <v>0.29219600725952816</v>
      </c>
      <c r="M109" s="31">
        <v>0.18330308529945555</v>
      </c>
      <c r="N109" s="31">
        <v>0.55900621118012417</v>
      </c>
      <c r="O109" s="31">
        <v>0.37623762376237624</v>
      </c>
      <c r="P109" s="31">
        <v>0.41626794258373206</v>
      </c>
    </row>
    <row r="110" spans="1:16" x14ac:dyDescent="0.4">
      <c r="A110" s="33">
        <v>107</v>
      </c>
      <c r="B110" s="30">
        <v>-433.59999999999997</v>
      </c>
      <c r="C110" s="30">
        <v>-4.0523364485981306</v>
      </c>
      <c r="D110" s="35">
        <v>2.1401869158878504</v>
      </c>
      <c r="E110" s="31">
        <v>0.28037383177570091</v>
      </c>
      <c r="F110" s="31">
        <v>0.42056074766355139</v>
      </c>
      <c r="G110" s="31">
        <v>0.25672371638141811</v>
      </c>
      <c r="H110" s="31">
        <v>0.19559902200488999</v>
      </c>
      <c r="I110" s="32">
        <v>11267.142857142857</v>
      </c>
      <c r="J110" s="32">
        <v>-9988.75</v>
      </c>
      <c r="K110" s="31">
        <v>0.20560747663551401</v>
      </c>
      <c r="L110" s="31">
        <v>0.29263913824057453</v>
      </c>
      <c r="M110" s="31">
        <v>0.18491921005385997</v>
      </c>
      <c r="N110" s="31">
        <v>0.55828220858895705</v>
      </c>
      <c r="O110" s="31">
        <v>0.36893203883495146</v>
      </c>
      <c r="P110" s="31">
        <v>0.41904761904761906</v>
      </c>
    </row>
    <row r="111" spans="1:16" x14ac:dyDescent="0.4">
      <c r="A111" s="33">
        <v>108</v>
      </c>
      <c r="B111" s="30">
        <v>-426.99999999999994</v>
      </c>
      <c r="C111" s="30">
        <v>-3.9537037037037033</v>
      </c>
      <c r="D111" s="35">
        <v>2.1296296296296298</v>
      </c>
      <c r="E111" s="31">
        <v>0.28703703703703703</v>
      </c>
      <c r="F111" s="31">
        <v>0.41666666666666669</v>
      </c>
      <c r="G111" s="31">
        <v>0.25786924939467315</v>
      </c>
      <c r="H111" s="31">
        <v>0.19491525423728814</v>
      </c>
      <c r="I111" s="32">
        <v>11252.112676056338</v>
      </c>
      <c r="J111" s="32">
        <v>-9976.3975155279495</v>
      </c>
      <c r="K111" s="31">
        <v>0.20370370370370369</v>
      </c>
      <c r="L111" s="31">
        <v>0.29203539823008851</v>
      </c>
      <c r="M111" s="31">
        <v>0.18407079646017699</v>
      </c>
      <c r="N111" s="31">
        <v>0.5636363636363636</v>
      </c>
      <c r="O111" s="31">
        <v>0.375</v>
      </c>
      <c r="P111" s="31">
        <v>0.41784037558685444</v>
      </c>
    </row>
    <row r="112" spans="1:16" x14ac:dyDescent="0.4">
      <c r="A112" s="33">
        <v>109</v>
      </c>
      <c r="B112" s="30">
        <v>-462.89999999999992</v>
      </c>
      <c r="C112" s="30">
        <v>-4.2467889908256877</v>
      </c>
      <c r="D112" s="35">
        <v>2.1284403669724772</v>
      </c>
      <c r="E112" s="31">
        <v>0.28440366972477066</v>
      </c>
      <c r="F112" s="31">
        <v>0.41284403669724773</v>
      </c>
      <c r="G112" s="31">
        <v>0.25656324582338902</v>
      </c>
      <c r="H112" s="31">
        <v>0.19570405727923629</v>
      </c>
      <c r="I112" s="32">
        <v>11211.627906976744</v>
      </c>
      <c r="J112" s="32">
        <v>-9938.414634146342</v>
      </c>
      <c r="K112" s="31">
        <v>0.21100917431192662</v>
      </c>
      <c r="L112" s="31">
        <v>0.28942807625649913</v>
      </c>
      <c r="M112" s="31">
        <v>0.18024263431542462</v>
      </c>
      <c r="N112" s="31">
        <v>0.56886227544910184</v>
      </c>
      <c r="O112" s="31">
        <v>0.375</v>
      </c>
      <c r="P112" s="31">
        <v>0.42325581395348838</v>
      </c>
    </row>
    <row r="113" spans="1:16" x14ac:dyDescent="0.4">
      <c r="A113" s="33">
        <v>110</v>
      </c>
      <c r="B113" s="30">
        <v>-486.2999999999999</v>
      </c>
      <c r="C113" s="30">
        <v>-4.42090909090909</v>
      </c>
      <c r="D113" s="35">
        <v>2.1363636363636362</v>
      </c>
      <c r="E113" s="31">
        <v>0.2818181818181818</v>
      </c>
      <c r="F113" s="31">
        <v>0.41818181818181815</v>
      </c>
      <c r="G113" s="31">
        <v>0.25650118203309691</v>
      </c>
      <c r="H113" s="31">
        <v>0.19739952718676124</v>
      </c>
      <c r="I113" s="32">
        <v>11147.926267281106</v>
      </c>
      <c r="J113" s="32">
        <v>-9810.7784431137716</v>
      </c>
      <c r="K113" s="31">
        <v>0.20909090909090908</v>
      </c>
      <c r="L113" s="31">
        <v>0.28888888888888886</v>
      </c>
      <c r="M113" s="31">
        <v>0.17948717948717949</v>
      </c>
      <c r="N113" s="31">
        <v>0.56804733727810652</v>
      </c>
      <c r="O113" s="31">
        <v>0.38095238095238093</v>
      </c>
      <c r="P113" s="31">
        <v>0.42396313364055299</v>
      </c>
    </row>
    <row r="114" spans="1:16" x14ac:dyDescent="0.4">
      <c r="A114" s="33">
        <v>111</v>
      </c>
      <c r="B114" s="30">
        <v>-468.39999999999992</v>
      </c>
      <c r="C114" s="30">
        <v>-4.2198198198198194</v>
      </c>
      <c r="D114" s="35">
        <v>2.1261261261261262</v>
      </c>
      <c r="E114" s="31">
        <v>0.28828828828828829</v>
      </c>
      <c r="F114" s="31">
        <v>0.4144144144144144</v>
      </c>
      <c r="G114" s="31">
        <v>0.2570093457943925</v>
      </c>
      <c r="H114" s="31">
        <v>0.19626168224299065</v>
      </c>
      <c r="I114" s="32">
        <v>11140.90909090909</v>
      </c>
      <c r="J114" s="32">
        <v>-9800</v>
      </c>
      <c r="K114" s="31">
        <v>0.2072072072072072</v>
      </c>
      <c r="L114" s="31">
        <v>0.28907563025210087</v>
      </c>
      <c r="M114" s="31">
        <v>0.17983193277310924</v>
      </c>
      <c r="N114" s="31">
        <v>0.56976744186046513</v>
      </c>
      <c r="O114" s="31">
        <v>0.38317757009345793</v>
      </c>
      <c r="P114" s="31">
        <v>0.42272727272727273</v>
      </c>
    </row>
    <row r="115" spans="1:16" x14ac:dyDescent="0.4">
      <c r="A115" s="33">
        <v>112</v>
      </c>
      <c r="B115" s="30">
        <v>-447.69999999999993</v>
      </c>
      <c r="C115" s="30">
        <v>-3.997321428571428</v>
      </c>
      <c r="D115" s="35">
        <v>2.1160714285714284</v>
      </c>
      <c r="E115" s="31">
        <v>0.29464285714285715</v>
      </c>
      <c r="F115" s="31">
        <v>0.4107142857142857</v>
      </c>
      <c r="G115" s="31">
        <v>0.25780346820809247</v>
      </c>
      <c r="H115" s="31">
        <v>0.19653179190751446</v>
      </c>
      <c r="I115" s="32">
        <v>11121.973094170404</v>
      </c>
      <c r="J115" s="32">
        <v>-9702.3529411764703</v>
      </c>
      <c r="K115" s="31">
        <v>0.20535714285714285</v>
      </c>
      <c r="L115" s="31">
        <v>0.28973509933774833</v>
      </c>
      <c r="M115" s="31">
        <v>0.17715231788079469</v>
      </c>
      <c r="N115" s="31">
        <v>0.5714285714285714</v>
      </c>
      <c r="O115" s="31">
        <v>0.38317757009345793</v>
      </c>
      <c r="P115" s="31">
        <v>0.42152466367713004</v>
      </c>
    </row>
    <row r="116" spans="1:16" x14ac:dyDescent="0.4">
      <c r="A116" s="33">
        <v>113</v>
      </c>
      <c r="B116" s="30">
        <v>-384.99999999999994</v>
      </c>
      <c r="C116" s="30">
        <v>-3.4070796460176984</v>
      </c>
      <c r="D116" s="35">
        <v>2.1061946902654869</v>
      </c>
      <c r="E116" s="31">
        <v>0.30088495575221241</v>
      </c>
      <c r="F116" s="31">
        <v>0.40707964601769914</v>
      </c>
      <c r="G116" s="31">
        <v>0.25942857142857145</v>
      </c>
      <c r="H116" s="31">
        <v>0.19428571428571428</v>
      </c>
      <c r="I116" s="32">
        <v>11160.352422907488</v>
      </c>
      <c r="J116" s="32">
        <v>-9702.3529411764703</v>
      </c>
      <c r="K116" s="31">
        <v>0.20353982300884957</v>
      </c>
      <c r="L116" s="31">
        <v>0.29153094462540718</v>
      </c>
      <c r="M116" s="31">
        <v>0.17426710097719869</v>
      </c>
      <c r="N116" s="31">
        <v>0.57541899441340782</v>
      </c>
      <c r="O116" s="31">
        <v>0.38317757009345793</v>
      </c>
      <c r="P116" s="31">
        <v>0.42290748898678415</v>
      </c>
    </row>
    <row r="117" spans="1:16" x14ac:dyDescent="0.4">
      <c r="A117" s="33">
        <v>114</v>
      </c>
      <c r="B117" s="30">
        <v>-372.69999999999993</v>
      </c>
      <c r="C117" s="30">
        <v>-3.2692982456140345</v>
      </c>
      <c r="D117" s="35">
        <v>2.0964912280701755</v>
      </c>
      <c r="E117" s="31">
        <v>0.30701754385964913</v>
      </c>
      <c r="F117" s="31">
        <v>0.40350877192982454</v>
      </c>
      <c r="G117" s="31">
        <v>0.26047565118912797</v>
      </c>
      <c r="H117" s="31">
        <v>0.19365798414496035</v>
      </c>
      <c r="I117" s="32">
        <v>11129.565217391304</v>
      </c>
      <c r="J117" s="32">
        <v>-9660.8187134502932</v>
      </c>
      <c r="K117" s="31">
        <v>0.20175438596491227</v>
      </c>
      <c r="L117" s="31">
        <v>0.29099678456591638</v>
      </c>
      <c r="M117" s="31">
        <v>0.17363344051446947</v>
      </c>
      <c r="N117" s="31">
        <v>0.58011049723756902</v>
      </c>
      <c r="O117" s="31">
        <v>0.3888888888888889</v>
      </c>
      <c r="P117" s="31">
        <v>0.42173913043478262</v>
      </c>
    </row>
    <row r="118" spans="1:16" x14ac:dyDescent="0.4">
      <c r="A118" s="33">
        <v>115</v>
      </c>
      <c r="B118" s="30">
        <v>-388.19999999999993</v>
      </c>
      <c r="C118" s="30">
        <v>-3.3756521739130427</v>
      </c>
      <c r="D118" s="35">
        <v>2.0956521739130434</v>
      </c>
      <c r="E118" s="31">
        <v>0.30434782608695654</v>
      </c>
      <c r="F118" s="31">
        <v>0.4</v>
      </c>
      <c r="G118" s="31">
        <v>0.25955056179775282</v>
      </c>
      <c r="H118" s="31">
        <v>0.19325842696629214</v>
      </c>
      <c r="I118" s="32">
        <v>11150.64935064935</v>
      </c>
      <c r="J118" s="32">
        <v>-9616.2790697674427</v>
      </c>
      <c r="K118" s="31">
        <v>0.2</v>
      </c>
      <c r="L118" s="31">
        <v>0.29252782193958665</v>
      </c>
      <c r="M118" s="31">
        <v>0.17329093799682035</v>
      </c>
      <c r="N118" s="31">
        <v>0.57608695652173914</v>
      </c>
      <c r="O118" s="31">
        <v>0.38532110091743121</v>
      </c>
      <c r="P118" s="31">
        <v>0.41991341991341991</v>
      </c>
    </row>
    <row r="119" spans="1:16" x14ac:dyDescent="0.4">
      <c r="A119" s="33">
        <v>116</v>
      </c>
      <c r="B119" s="30">
        <v>-383.99999999999994</v>
      </c>
      <c r="C119" s="30">
        <v>-3.3103448275862064</v>
      </c>
      <c r="D119" s="35">
        <v>2.0948275862068964</v>
      </c>
      <c r="E119" s="31">
        <v>0.30172413793103448</v>
      </c>
      <c r="F119" s="31">
        <v>0.39655172413793105</v>
      </c>
      <c r="G119" s="31">
        <v>0.26057906458797325</v>
      </c>
      <c r="H119" s="31">
        <v>0.19376391982182628</v>
      </c>
      <c r="I119" s="32">
        <v>11123.931623931623</v>
      </c>
      <c r="J119" s="32">
        <v>-9597.7011494252874</v>
      </c>
      <c r="K119" s="31">
        <v>0.19827586206896552</v>
      </c>
      <c r="L119" s="31">
        <v>0.29356357927786497</v>
      </c>
      <c r="M119" s="31">
        <v>0.17111459968602827</v>
      </c>
      <c r="N119" s="31">
        <v>0.58288770053475936</v>
      </c>
      <c r="O119" s="31">
        <v>0.38532110091743121</v>
      </c>
      <c r="P119" s="31">
        <v>0.42307692307692307</v>
      </c>
    </row>
    <row r="120" spans="1:16" x14ac:dyDescent="0.4">
      <c r="A120" s="33">
        <v>117</v>
      </c>
      <c r="B120" s="30">
        <v>-374.39999999999992</v>
      </c>
      <c r="C120" s="30">
        <v>-3.1999999999999993</v>
      </c>
      <c r="D120" s="35">
        <v>2.0854700854700856</v>
      </c>
      <c r="E120" s="31">
        <v>0.30769230769230771</v>
      </c>
      <c r="F120" s="31">
        <v>0.39316239316239315</v>
      </c>
      <c r="G120" s="31">
        <v>0.25962596259625964</v>
      </c>
      <c r="H120" s="31">
        <v>0.19361936193619361</v>
      </c>
      <c r="I120" s="32">
        <v>11156.77966101695</v>
      </c>
      <c r="J120" s="32">
        <v>-9556.25</v>
      </c>
      <c r="K120" s="31">
        <v>0.19658119658119658</v>
      </c>
      <c r="L120" s="31">
        <v>0.2932098765432099</v>
      </c>
      <c r="M120" s="31">
        <v>0.1728395061728395</v>
      </c>
      <c r="N120" s="31">
        <v>0.57894736842105265</v>
      </c>
      <c r="O120" s="31">
        <v>0.38392857142857145</v>
      </c>
      <c r="P120" s="31">
        <v>0.42372881355932202</v>
      </c>
    </row>
    <row r="121" spans="1:16" x14ac:dyDescent="0.4">
      <c r="A121" s="33">
        <v>118</v>
      </c>
      <c r="B121" s="30">
        <v>-374.2999999999999</v>
      </c>
      <c r="C121" s="30">
        <v>-3.172033898305084</v>
      </c>
      <c r="D121" s="35">
        <v>2.0847457627118646</v>
      </c>
      <c r="E121" s="31">
        <v>0.30508474576271188</v>
      </c>
      <c r="F121" s="31">
        <v>0.38983050847457629</v>
      </c>
      <c r="G121" s="31">
        <v>0.25760869565217392</v>
      </c>
      <c r="H121" s="31">
        <v>0.19130434782608696</v>
      </c>
      <c r="I121" s="32">
        <v>11160.337552742616</v>
      </c>
      <c r="J121" s="32">
        <v>-9556.25</v>
      </c>
      <c r="K121" s="31">
        <v>0.19491525423728814</v>
      </c>
      <c r="L121" s="31">
        <v>0.29438543247344462</v>
      </c>
      <c r="M121" s="31">
        <v>0.17147192716236723</v>
      </c>
      <c r="N121" s="31">
        <v>0.57216494845360821</v>
      </c>
      <c r="O121" s="31">
        <v>0.38053097345132741</v>
      </c>
      <c r="P121" s="31">
        <v>0.42616033755274263</v>
      </c>
    </row>
    <row r="122" spans="1:16" x14ac:dyDescent="0.4">
      <c r="A122" s="33">
        <v>119</v>
      </c>
      <c r="B122" s="30">
        <v>-394.7999999999999</v>
      </c>
      <c r="C122" s="30">
        <v>-3.3176470588235287</v>
      </c>
      <c r="D122" s="35">
        <v>2.0840336134453783</v>
      </c>
      <c r="E122" s="31">
        <v>0.30252100840336132</v>
      </c>
      <c r="F122" s="31">
        <v>0.38655462184873951</v>
      </c>
      <c r="G122" s="31">
        <v>0.25809935205183587</v>
      </c>
      <c r="H122" s="31">
        <v>0.19006479481641469</v>
      </c>
      <c r="I122" s="32">
        <v>11142.259414225942</v>
      </c>
      <c r="J122" s="32">
        <v>-9556.25</v>
      </c>
      <c r="K122" s="31">
        <v>0.19327731092436976</v>
      </c>
      <c r="L122" s="31">
        <v>0.29473684210526313</v>
      </c>
      <c r="M122" s="31">
        <v>0.17142857142857143</v>
      </c>
      <c r="N122" s="31">
        <v>0.57653061224489799</v>
      </c>
      <c r="O122" s="31">
        <v>0.37719298245614036</v>
      </c>
      <c r="P122" s="31">
        <v>0.42677824267782427</v>
      </c>
    </row>
    <row r="123" spans="1:16" x14ac:dyDescent="0.4">
      <c r="A123" s="33">
        <v>120</v>
      </c>
      <c r="B123" s="30">
        <v>-433.89999999999992</v>
      </c>
      <c r="C123" s="30">
        <v>-3.6158333333333328</v>
      </c>
      <c r="D123" s="35">
        <v>2.0916666666666668</v>
      </c>
      <c r="E123" s="31">
        <v>0.3</v>
      </c>
      <c r="F123" s="31">
        <v>0.39166666666666666</v>
      </c>
      <c r="G123" s="31">
        <v>0.25641025641025639</v>
      </c>
      <c r="H123" s="31">
        <v>0.19230769230769232</v>
      </c>
      <c r="I123" s="32">
        <v>11101.25</v>
      </c>
      <c r="J123" s="32">
        <v>-9446.1111111111113</v>
      </c>
      <c r="K123" s="31">
        <v>0.2</v>
      </c>
      <c r="L123" s="31">
        <v>0.29185185185185186</v>
      </c>
      <c r="M123" s="31">
        <v>0.16888888888888889</v>
      </c>
      <c r="N123" s="31">
        <v>0.57868020304568524</v>
      </c>
      <c r="O123" s="31">
        <v>0.37719298245614036</v>
      </c>
      <c r="P123" s="31">
        <v>0.42499999999999999</v>
      </c>
    </row>
    <row r="124" spans="1:16" x14ac:dyDescent="0.4">
      <c r="A124" s="33">
        <v>121</v>
      </c>
      <c r="B124" s="30">
        <v>-396.99999999999994</v>
      </c>
      <c r="C124" s="30">
        <v>-3.2809917355371896</v>
      </c>
      <c r="D124" s="35">
        <v>2.0826446280991737</v>
      </c>
      <c r="E124" s="31">
        <v>0.30578512396694213</v>
      </c>
      <c r="F124" s="31">
        <v>0.38842975206611569</v>
      </c>
      <c r="G124" s="31">
        <v>0.25874867444326616</v>
      </c>
      <c r="H124" s="31">
        <v>0.19194061505832449</v>
      </c>
      <c r="I124" s="32">
        <v>11100</v>
      </c>
      <c r="J124" s="32">
        <v>-9411.6022099447509</v>
      </c>
      <c r="K124" s="31">
        <v>0.19834710743801653</v>
      </c>
      <c r="L124" s="31">
        <v>0.29178885630498536</v>
      </c>
      <c r="M124" s="31">
        <v>0.17008797653958943</v>
      </c>
      <c r="N124" s="31">
        <v>0.58291457286432158</v>
      </c>
      <c r="O124" s="31">
        <v>0.38793103448275862</v>
      </c>
      <c r="P124" s="31">
        <v>0.43032786885245899</v>
      </c>
    </row>
    <row r="125" spans="1:16" x14ac:dyDescent="0.4">
      <c r="A125" s="33">
        <v>122</v>
      </c>
      <c r="B125" s="30">
        <v>-408.49999999999994</v>
      </c>
      <c r="C125" s="30">
        <v>-3.3483606557377046</v>
      </c>
      <c r="D125" s="35">
        <v>2.0901639344262297</v>
      </c>
      <c r="E125" s="31">
        <v>0.30327868852459017</v>
      </c>
      <c r="F125" s="31">
        <v>0.39344262295081966</v>
      </c>
      <c r="G125" s="31">
        <v>0.25867507886435331</v>
      </c>
      <c r="H125" s="31">
        <v>0.19032597266035753</v>
      </c>
      <c r="I125" s="32">
        <v>11074.796747967479</v>
      </c>
      <c r="J125" s="32">
        <v>-9411.6022099447509</v>
      </c>
      <c r="K125" s="31">
        <v>0.19672131147540983</v>
      </c>
      <c r="L125" s="31">
        <v>0.29130434782608694</v>
      </c>
      <c r="M125" s="31">
        <v>0.17101449275362318</v>
      </c>
      <c r="N125" s="31">
        <v>0.58208955223880599</v>
      </c>
      <c r="O125" s="31">
        <v>0.38983050847457629</v>
      </c>
      <c r="P125" s="31">
        <v>0.43089430894308944</v>
      </c>
    </row>
    <row r="126" spans="1:16" x14ac:dyDescent="0.4">
      <c r="A126" s="33">
        <v>123</v>
      </c>
      <c r="B126" s="30">
        <v>-451.69999999999993</v>
      </c>
      <c r="C126" s="30">
        <v>-3.6723577235772353</v>
      </c>
      <c r="D126" s="35">
        <v>2.0975609756097562</v>
      </c>
      <c r="E126" s="31">
        <v>0.30081300813008133</v>
      </c>
      <c r="F126" s="31">
        <v>0.3983739837398374</v>
      </c>
      <c r="G126" s="31">
        <v>0.25732217573221755</v>
      </c>
      <c r="H126" s="31">
        <v>0.19142259414225943</v>
      </c>
      <c r="I126" s="32">
        <v>11074.796747967479</v>
      </c>
      <c r="J126" s="32">
        <v>-9505.4644808743178</v>
      </c>
      <c r="K126" s="31">
        <v>0.2032520325203252</v>
      </c>
      <c r="L126" s="31">
        <v>0.28920863309352518</v>
      </c>
      <c r="M126" s="31">
        <v>0.16978417266187051</v>
      </c>
      <c r="N126" s="31">
        <v>0.58208955223880599</v>
      </c>
      <c r="O126" s="31">
        <v>0.38983050847457629</v>
      </c>
      <c r="P126" s="31">
        <v>0.43089430894308944</v>
      </c>
    </row>
    <row r="127" spans="1:16" x14ac:dyDescent="0.4">
      <c r="A127" s="33">
        <v>124</v>
      </c>
      <c r="B127" s="30">
        <v>-442.69999999999993</v>
      </c>
      <c r="C127" s="30">
        <v>-3.5701612903225799</v>
      </c>
      <c r="D127" s="35">
        <v>2.088709677419355</v>
      </c>
      <c r="E127" s="31">
        <v>0.30645161290322581</v>
      </c>
      <c r="F127" s="31">
        <v>0.39516129032258063</v>
      </c>
      <c r="G127" s="31">
        <v>0.25856697819314639</v>
      </c>
      <c r="H127" s="31">
        <v>0.19106957424714435</v>
      </c>
      <c r="I127" s="32">
        <v>11085.943775100402</v>
      </c>
      <c r="J127" s="32">
        <v>-9519.0217391304341</v>
      </c>
      <c r="K127" s="31">
        <v>0.20161290322580644</v>
      </c>
      <c r="L127" s="31">
        <v>0.29202279202279202</v>
      </c>
      <c r="M127" s="31">
        <v>0.16951566951566951</v>
      </c>
      <c r="N127" s="31">
        <v>0.58048780487804874</v>
      </c>
      <c r="O127" s="31">
        <v>0.3949579831932773</v>
      </c>
      <c r="P127" s="31">
        <v>0.43373493975903615</v>
      </c>
    </row>
    <row r="128" spans="1:16" x14ac:dyDescent="0.4">
      <c r="A128" s="33">
        <v>125</v>
      </c>
      <c r="B128" s="30">
        <v>-444.69999999999993</v>
      </c>
      <c r="C128" s="30">
        <v>-3.5575999999999994</v>
      </c>
      <c r="D128" s="35">
        <v>2.0880000000000001</v>
      </c>
      <c r="E128" s="31">
        <v>0.30399999999999999</v>
      </c>
      <c r="F128" s="31">
        <v>0.39200000000000002</v>
      </c>
      <c r="G128" s="31">
        <v>0.26055612770339853</v>
      </c>
      <c r="H128" s="31">
        <v>0.19361483007209063</v>
      </c>
      <c r="I128" s="32">
        <v>11035.573122529644</v>
      </c>
      <c r="J128" s="32">
        <v>-9484.5744680851058</v>
      </c>
      <c r="K128" s="31">
        <v>0.2</v>
      </c>
      <c r="L128" s="31">
        <v>0.29295774647887324</v>
      </c>
      <c r="M128" s="31">
        <v>0.17183098591549295</v>
      </c>
      <c r="N128" s="31">
        <v>0.58173076923076927</v>
      </c>
      <c r="O128" s="31">
        <v>0.40163934426229508</v>
      </c>
      <c r="P128" s="31">
        <v>0.43873517786561267</v>
      </c>
    </row>
    <row r="129" spans="1:16" x14ac:dyDescent="0.4">
      <c r="A129" s="33">
        <v>126</v>
      </c>
      <c r="B129" s="30">
        <v>-411.39999999999992</v>
      </c>
      <c r="C129" s="30">
        <v>-3.2650793650793646</v>
      </c>
      <c r="D129" s="35">
        <v>2.0793650793650795</v>
      </c>
      <c r="E129" s="31">
        <v>0.30952380952380953</v>
      </c>
      <c r="F129" s="31">
        <v>0.3888888888888889</v>
      </c>
      <c r="G129" s="31">
        <v>0.26272912423625255</v>
      </c>
      <c r="H129" s="31">
        <v>0.19348268839103869</v>
      </c>
      <c r="I129" s="32">
        <v>11088.372093023256</v>
      </c>
      <c r="J129" s="32">
        <v>-9511.0526315789466</v>
      </c>
      <c r="K129" s="31">
        <v>0.1984126984126984</v>
      </c>
      <c r="L129" s="31">
        <v>0.29403606102635227</v>
      </c>
      <c r="M129" s="31">
        <v>0.17198335644937587</v>
      </c>
      <c r="N129" s="31">
        <v>0.58490566037735847</v>
      </c>
      <c r="O129" s="31">
        <v>0.41129032258064518</v>
      </c>
      <c r="P129" s="31">
        <v>0.43798449612403101</v>
      </c>
    </row>
    <row r="130" spans="1:16" x14ac:dyDescent="0.4">
      <c r="A130" s="33">
        <v>127</v>
      </c>
      <c r="B130" s="30">
        <v>-410.89999999999992</v>
      </c>
      <c r="C130" s="30">
        <v>-3.235433070866141</v>
      </c>
      <c r="D130" s="35">
        <v>2.0787401574803148</v>
      </c>
      <c r="E130" s="31">
        <v>0.30708661417322836</v>
      </c>
      <c r="F130" s="31">
        <v>0.38582677165354329</v>
      </c>
      <c r="G130" s="31">
        <v>0.26267748478701824</v>
      </c>
      <c r="H130" s="31">
        <v>0.1926977687626775</v>
      </c>
      <c r="I130" s="32">
        <v>11091.891891891892</v>
      </c>
      <c r="J130" s="32">
        <v>-9511.0526315789466</v>
      </c>
      <c r="K130" s="31">
        <v>0.19685039370078741</v>
      </c>
      <c r="L130" s="31">
        <v>0.29517241379310344</v>
      </c>
      <c r="M130" s="31">
        <v>0.17241379310344829</v>
      </c>
      <c r="N130" s="31">
        <v>0.58411214953271029</v>
      </c>
      <c r="O130" s="31">
        <v>0.40799999999999997</v>
      </c>
      <c r="P130" s="31">
        <v>0.43629343629343631</v>
      </c>
    </row>
    <row r="131" spans="1:16" x14ac:dyDescent="0.4">
      <c r="A131" s="33">
        <v>128</v>
      </c>
      <c r="B131" s="30">
        <v>-416.19999999999993</v>
      </c>
      <c r="C131" s="30">
        <v>-3.2515624999999995</v>
      </c>
      <c r="D131" s="35">
        <v>2.0859375</v>
      </c>
      <c r="E131" s="31">
        <v>0.3046875</v>
      </c>
      <c r="F131" s="31">
        <v>0.390625</v>
      </c>
      <c r="G131" s="31">
        <v>0.26209677419354838</v>
      </c>
      <c r="H131" s="31">
        <v>0.19254032258064516</v>
      </c>
      <c r="I131" s="32">
        <v>11080</v>
      </c>
      <c r="J131" s="32">
        <v>-9524.0837696335075</v>
      </c>
      <c r="K131" s="31">
        <v>0.1953125</v>
      </c>
      <c r="L131" s="31">
        <v>0.29822161422708621</v>
      </c>
      <c r="M131" s="31">
        <v>0.17099863201094392</v>
      </c>
      <c r="N131" s="31">
        <v>0.57798165137614677</v>
      </c>
      <c r="O131" s="31">
        <v>0.40799999999999997</v>
      </c>
      <c r="P131" s="31">
        <v>0.43461538461538463</v>
      </c>
    </row>
    <row r="132" spans="1:16" x14ac:dyDescent="0.4">
      <c r="A132" s="33">
        <v>129</v>
      </c>
      <c r="B132" s="30">
        <v>-423.99999999999994</v>
      </c>
      <c r="C132" s="30">
        <v>-3.2868217054263562</v>
      </c>
      <c r="D132" s="35">
        <v>2.0852713178294575</v>
      </c>
      <c r="E132" s="31">
        <v>0.30232558139534882</v>
      </c>
      <c r="F132" s="31">
        <v>0.38759689922480622</v>
      </c>
      <c r="G132" s="31">
        <v>0.26200000000000001</v>
      </c>
      <c r="H132" s="31">
        <v>0.191</v>
      </c>
      <c r="I132" s="32">
        <v>11071.75572519084</v>
      </c>
      <c r="J132" s="32">
        <v>-9524.0837696335075</v>
      </c>
      <c r="K132" s="31">
        <v>0.19379844961240311</v>
      </c>
      <c r="L132" s="31">
        <v>0.2976995940460081</v>
      </c>
      <c r="M132" s="31">
        <v>0.17185385656292287</v>
      </c>
      <c r="N132" s="31">
        <v>0.57727272727272727</v>
      </c>
      <c r="O132" s="31">
        <v>0.40157480314960631</v>
      </c>
      <c r="P132" s="31">
        <v>0.43893129770992367</v>
      </c>
    </row>
    <row r="133" spans="1:16" x14ac:dyDescent="0.4">
      <c r="A133" s="33">
        <v>130</v>
      </c>
      <c r="B133" s="30">
        <v>-426.59999999999997</v>
      </c>
      <c r="C133" s="30">
        <v>-3.2815384615384611</v>
      </c>
      <c r="D133" s="35">
        <v>2.0846153846153848</v>
      </c>
      <c r="E133" s="31">
        <v>0.3</v>
      </c>
      <c r="F133" s="31">
        <v>0.38461538461538464</v>
      </c>
      <c r="G133" s="31">
        <v>0.2613861386138614</v>
      </c>
      <c r="H133" s="31">
        <v>0.19108910891089109</v>
      </c>
      <c r="I133" s="32">
        <v>11078.787878787878</v>
      </c>
      <c r="J133" s="32">
        <v>-9501.0362694300511</v>
      </c>
      <c r="K133" s="31">
        <v>0.19230769230769232</v>
      </c>
      <c r="L133" s="31">
        <v>0.29639519359145527</v>
      </c>
      <c r="M133" s="31">
        <v>0.17623497997329773</v>
      </c>
      <c r="N133" s="31">
        <v>0.57657657657657657</v>
      </c>
      <c r="O133" s="31">
        <v>0.39393939393939392</v>
      </c>
      <c r="P133" s="31">
        <v>0.43560606060606061</v>
      </c>
    </row>
    <row r="134" spans="1:16" x14ac:dyDescent="0.4">
      <c r="A134" s="33">
        <v>131</v>
      </c>
      <c r="B134" s="30">
        <v>-441.09999999999997</v>
      </c>
      <c r="C134" s="30">
        <v>-3.3671755725190837</v>
      </c>
      <c r="D134" s="35">
        <v>2.0916030534351147</v>
      </c>
      <c r="E134" s="31">
        <v>0.29770992366412213</v>
      </c>
      <c r="F134" s="31">
        <v>0.38931297709923662</v>
      </c>
      <c r="G134" s="31">
        <v>0.26129666011787817</v>
      </c>
      <c r="H134" s="31">
        <v>0.19056974459724951</v>
      </c>
      <c r="I134" s="32">
        <v>11045.112781954887</v>
      </c>
      <c r="J134" s="32">
        <v>-9575.7731958762888</v>
      </c>
      <c r="K134" s="31">
        <v>0.19083969465648856</v>
      </c>
      <c r="L134" s="31">
        <v>0.29458388375165123</v>
      </c>
      <c r="M134" s="31">
        <v>0.17833553500660501</v>
      </c>
      <c r="N134" s="31">
        <v>0.57847533632286996</v>
      </c>
      <c r="O134" s="31">
        <v>0.38518518518518519</v>
      </c>
      <c r="P134" s="31">
        <v>0.43609022556390975</v>
      </c>
    </row>
    <row r="135" spans="1:16" x14ac:dyDescent="0.4">
      <c r="A135" s="33">
        <v>132</v>
      </c>
      <c r="B135" s="30">
        <v>-449.7</v>
      </c>
      <c r="C135" s="30">
        <v>-3.4068181818181817</v>
      </c>
      <c r="D135" s="35">
        <v>2.0984848484848486</v>
      </c>
      <c r="E135" s="31">
        <v>0.29545454545454547</v>
      </c>
      <c r="F135" s="31">
        <v>0.39393939393939392</v>
      </c>
      <c r="G135" s="31">
        <v>0.26192794547224929</v>
      </c>
      <c r="H135" s="31">
        <v>0.19279454722492698</v>
      </c>
      <c r="I135" s="32">
        <v>11027.509293680298</v>
      </c>
      <c r="J135" s="32">
        <v>-9564.1414141414134</v>
      </c>
      <c r="K135" s="31">
        <v>0.18939393939393939</v>
      </c>
      <c r="L135" s="31">
        <v>0.29634464751958223</v>
      </c>
      <c r="M135" s="31">
        <v>0.17885117493472585</v>
      </c>
      <c r="N135" s="31">
        <v>0.58149779735682816</v>
      </c>
      <c r="O135" s="31">
        <v>0.37956204379562042</v>
      </c>
      <c r="P135" s="31">
        <v>0.44237918215613381</v>
      </c>
    </row>
    <row r="136" spans="1:16" x14ac:dyDescent="0.4">
      <c r="A136" s="33">
        <v>133</v>
      </c>
      <c r="B136" s="30">
        <v>-489.59999999999997</v>
      </c>
      <c r="C136" s="30">
        <v>-3.6812030075187967</v>
      </c>
      <c r="D136" s="35">
        <v>2.1052631578947367</v>
      </c>
      <c r="E136" s="31">
        <v>0.2932330827067669</v>
      </c>
      <c r="F136" s="31">
        <v>0.39849624060150374</v>
      </c>
      <c r="G136" s="31">
        <v>0.26065891472868219</v>
      </c>
      <c r="H136" s="31">
        <v>0.19476744186046513</v>
      </c>
      <c r="I136" s="32">
        <v>11027.509293680298</v>
      </c>
      <c r="J136" s="32">
        <v>-9575.1243781094527</v>
      </c>
      <c r="K136" s="31">
        <v>0.19548872180451127</v>
      </c>
      <c r="L136" s="31">
        <v>0.29442282749675747</v>
      </c>
      <c r="M136" s="31">
        <v>0.17898832684824903</v>
      </c>
      <c r="N136" s="31">
        <v>0.58149779735682816</v>
      </c>
      <c r="O136" s="31">
        <v>0.37681159420289856</v>
      </c>
      <c r="P136" s="31">
        <v>0.44237918215613381</v>
      </c>
    </row>
    <row r="137" spans="1:16" x14ac:dyDescent="0.4">
      <c r="A137" s="33">
        <v>134</v>
      </c>
      <c r="B137" s="30">
        <v>-489.9</v>
      </c>
      <c r="C137" s="30">
        <v>-3.6559701492537311</v>
      </c>
      <c r="D137" s="35">
        <v>2.1044776119402986</v>
      </c>
      <c r="E137" s="31">
        <v>0.29104477611940299</v>
      </c>
      <c r="F137" s="31">
        <v>0.39552238805970147</v>
      </c>
      <c r="G137" s="31">
        <v>0.26128722382324687</v>
      </c>
      <c r="H137" s="31">
        <v>0.19404418828049952</v>
      </c>
      <c r="I137" s="32">
        <v>10987.5</v>
      </c>
      <c r="J137" s="32">
        <v>-9587.1287128712866</v>
      </c>
      <c r="K137" s="31">
        <v>0.19402985074626866</v>
      </c>
      <c r="L137" s="31">
        <v>0.2935897435897436</v>
      </c>
      <c r="M137" s="31">
        <v>0.17820512820512821</v>
      </c>
      <c r="N137" s="31">
        <v>0.58078602620087338</v>
      </c>
      <c r="O137" s="31">
        <v>0.38129496402877699</v>
      </c>
      <c r="P137" s="31">
        <v>0.4485294117647059</v>
      </c>
    </row>
    <row r="138" spans="1:16" x14ac:dyDescent="0.4">
      <c r="A138" s="33">
        <v>135</v>
      </c>
      <c r="B138" s="30">
        <v>-480.2</v>
      </c>
      <c r="C138" s="30">
        <v>-3.5570370370370368</v>
      </c>
      <c r="D138" s="35">
        <v>2.1037037037037036</v>
      </c>
      <c r="E138" s="31">
        <v>0.28888888888888886</v>
      </c>
      <c r="F138" s="31">
        <v>0.3925925925925926</v>
      </c>
      <c r="G138" s="31">
        <v>0.26170009551098378</v>
      </c>
      <c r="H138" s="31">
        <v>0.19293218720152819</v>
      </c>
      <c r="I138" s="32">
        <v>10980.29197080292</v>
      </c>
      <c r="J138" s="32">
        <v>-9587.1287128712866</v>
      </c>
      <c r="K138" s="31">
        <v>0.19259259259259259</v>
      </c>
      <c r="L138" s="31">
        <v>0.29262086513994912</v>
      </c>
      <c r="M138" s="31">
        <v>0.17811704834605599</v>
      </c>
      <c r="N138" s="31">
        <v>0.58260869565217388</v>
      </c>
      <c r="O138" s="31">
        <v>0.38571428571428573</v>
      </c>
      <c r="P138" s="31">
        <v>0.4489051094890511</v>
      </c>
    </row>
    <row r="139" spans="1:16" x14ac:dyDescent="0.4">
      <c r="A139" s="33">
        <v>136</v>
      </c>
      <c r="B139" s="30">
        <v>-497.4</v>
      </c>
      <c r="C139" s="30">
        <v>-3.6573529411764705</v>
      </c>
      <c r="D139" s="35">
        <v>2.1102941176470589</v>
      </c>
      <c r="E139" s="31">
        <v>0.28676470588235292</v>
      </c>
      <c r="F139" s="31">
        <v>0.39705882352941174</v>
      </c>
      <c r="G139" s="31">
        <v>0.2621082621082621</v>
      </c>
      <c r="H139" s="31">
        <v>0.19373219373219372</v>
      </c>
      <c r="I139" s="32">
        <v>10943.840579710144</v>
      </c>
      <c r="J139" s="32">
        <v>-9620.5882352941171</v>
      </c>
      <c r="K139" s="31">
        <v>0.19117647058823528</v>
      </c>
      <c r="L139" s="31">
        <v>0.29166666666666669</v>
      </c>
      <c r="M139" s="31">
        <v>0.17929292929292928</v>
      </c>
      <c r="N139" s="31">
        <v>0.58441558441558439</v>
      </c>
      <c r="O139" s="31">
        <v>0.38732394366197181</v>
      </c>
      <c r="P139" s="31">
        <v>0.44927536231884058</v>
      </c>
    </row>
    <row r="140" spans="1:16" x14ac:dyDescent="0.4">
      <c r="A140" s="33">
        <v>137</v>
      </c>
      <c r="B140" s="30">
        <v>-505.9</v>
      </c>
      <c r="C140" s="30">
        <v>-3.6927007299270072</v>
      </c>
      <c r="D140" s="35">
        <v>2.1094890510948905</v>
      </c>
      <c r="E140" s="31">
        <v>0.28467153284671531</v>
      </c>
      <c r="F140" s="31">
        <v>0.39416058394160586</v>
      </c>
      <c r="G140" s="31">
        <v>0.26177024482109229</v>
      </c>
      <c r="H140" s="31">
        <v>0.19209039548022599</v>
      </c>
      <c r="I140" s="32">
        <v>10888.489208633093</v>
      </c>
      <c r="J140" s="32">
        <v>-9620.5882352941171</v>
      </c>
      <c r="K140" s="31">
        <v>0.18978102189781021</v>
      </c>
      <c r="L140" s="31">
        <v>0.2908863920099875</v>
      </c>
      <c r="M140" s="31">
        <v>0.17727840199750311</v>
      </c>
      <c r="N140" s="31">
        <v>0.58369098712446355</v>
      </c>
      <c r="O140" s="31">
        <v>0.38732394366197181</v>
      </c>
      <c r="P140" s="31">
        <v>0.4460431654676259</v>
      </c>
    </row>
    <row r="141" spans="1:16" x14ac:dyDescent="0.4">
      <c r="A141" s="33">
        <v>138</v>
      </c>
      <c r="B141" s="30">
        <v>-553.9</v>
      </c>
      <c r="C141" s="30">
        <v>-4.0137681159420291</v>
      </c>
      <c r="D141" s="35">
        <v>2.1159420289855073</v>
      </c>
      <c r="E141" s="31">
        <v>0.28260869565217389</v>
      </c>
      <c r="F141" s="31">
        <v>0.39855072463768115</v>
      </c>
      <c r="G141" s="31">
        <v>0.26054358013120898</v>
      </c>
      <c r="H141" s="31">
        <v>0.19306466729147143</v>
      </c>
      <c r="I141" s="32">
        <v>10888.489208633093</v>
      </c>
      <c r="J141" s="32">
        <v>-9701.9417475728151</v>
      </c>
      <c r="K141" s="31">
        <v>0.19565217391304349</v>
      </c>
      <c r="L141" s="31">
        <v>0.29032258064516131</v>
      </c>
      <c r="M141" s="31">
        <v>0.17617866004962779</v>
      </c>
      <c r="N141" s="31">
        <v>0.58119658119658124</v>
      </c>
      <c r="O141" s="31">
        <v>0.38732394366197181</v>
      </c>
      <c r="P141" s="31">
        <v>0.4460431654676259</v>
      </c>
    </row>
    <row r="142" spans="1:16" x14ac:dyDescent="0.4">
      <c r="A142" s="33">
        <v>139</v>
      </c>
      <c r="B142" s="30">
        <v>-539.4</v>
      </c>
      <c r="C142" s="30">
        <v>-3.880575539568345</v>
      </c>
      <c r="D142" s="35">
        <v>2.1079136690647484</v>
      </c>
      <c r="E142" s="31">
        <v>0.28776978417266186</v>
      </c>
      <c r="F142" s="31">
        <v>0.39568345323741005</v>
      </c>
      <c r="G142" s="31">
        <v>0.26139534883720933</v>
      </c>
      <c r="H142" s="31">
        <v>0.19162790697674417</v>
      </c>
      <c r="I142" s="32">
        <v>10843.416370106761</v>
      </c>
      <c r="J142" s="32">
        <v>-9701.9417475728151</v>
      </c>
      <c r="K142" s="31">
        <v>0.19424460431654678</v>
      </c>
      <c r="L142" s="31">
        <v>0.28992628992628994</v>
      </c>
      <c r="M142" s="31">
        <v>0.1769041769041769</v>
      </c>
      <c r="N142" s="31">
        <v>0.5847457627118644</v>
      </c>
      <c r="O142" s="31">
        <v>0.3888888888888889</v>
      </c>
      <c r="P142" s="31">
        <v>0.45195729537366547</v>
      </c>
    </row>
    <row r="143" spans="1:16" x14ac:dyDescent="0.4">
      <c r="A143" s="33">
        <v>140</v>
      </c>
      <c r="B143" s="30">
        <v>-522.19999999999993</v>
      </c>
      <c r="C143" s="30">
        <v>-3.7299999999999995</v>
      </c>
      <c r="D143" s="35">
        <v>2.1</v>
      </c>
      <c r="E143" s="31">
        <v>0.29285714285714287</v>
      </c>
      <c r="F143" s="31">
        <v>0.39285714285714285</v>
      </c>
      <c r="G143" s="31">
        <v>0.26315789473684209</v>
      </c>
      <c r="H143" s="31">
        <v>0.19205909510618652</v>
      </c>
      <c r="I143" s="32">
        <v>10821.754385964912</v>
      </c>
      <c r="J143" s="32">
        <v>-9656.7307692307695</v>
      </c>
      <c r="K143" s="31">
        <v>0.19285714285714287</v>
      </c>
      <c r="L143" s="31">
        <v>0.29075425790754256</v>
      </c>
      <c r="M143" s="31">
        <v>0.17883211678832117</v>
      </c>
      <c r="N143" s="31">
        <v>0.58577405857740583</v>
      </c>
      <c r="O143" s="31">
        <v>0.39455782312925169</v>
      </c>
      <c r="P143" s="31">
        <v>0.44912280701754387</v>
      </c>
    </row>
    <row r="144" spans="1:16" x14ac:dyDescent="0.4">
      <c r="A144" s="33">
        <v>141</v>
      </c>
      <c r="B144" s="30">
        <v>-537.09999999999991</v>
      </c>
      <c r="C144" s="30">
        <v>-3.8092198581560277</v>
      </c>
      <c r="D144" s="35">
        <v>2.1063829787234041</v>
      </c>
      <c r="E144" s="31">
        <v>0.29078014184397161</v>
      </c>
      <c r="F144" s="31">
        <v>0.3971631205673759</v>
      </c>
      <c r="G144" s="31">
        <v>0.26190476190476192</v>
      </c>
      <c r="H144" s="31">
        <v>0.19139194139194138</v>
      </c>
      <c r="I144" s="32">
        <v>10791.258741258742</v>
      </c>
      <c r="J144" s="32">
        <v>-9648.8038277511969</v>
      </c>
      <c r="K144" s="31">
        <v>0.19148936170212766</v>
      </c>
      <c r="L144" s="31">
        <v>0.29001203369434414</v>
      </c>
      <c r="M144" s="31">
        <v>0.17809867629362214</v>
      </c>
      <c r="N144" s="31">
        <v>0.58091286307053946</v>
      </c>
      <c r="O144" s="31">
        <v>0.39189189189189189</v>
      </c>
      <c r="P144" s="31">
        <v>0.45104895104895104</v>
      </c>
    </row>
    <row r="145" spans="1:16" x14ac:dyDescent="0.4">
      <c r="A145" s="33">
        <v>142</v>
      </c>
      <c r="B145" s="30">
        <v>-538.49999999999989</v>
      </c>
      <c r="C145" s="30">
        <v>-3.7922535211267596</v>
      </c>
      <c r="D145" s="35">
        <v>2.1056338028169015</v>
      </c>
      <c r="E145" s="31">
        <v>0.28873239436619719</v>
      </c>
      <c r="F145" s="31">
        <v>0.39436619718309857</v>
      </c>
      <c r="G145" s="31">
        <v>0.26110607434270172</v>
      </c>
      <c r="H145" s="31">
        <v>0.19038984587488667</v>
      </c>
      <c r="I145" s="32">
        <v>10792.708333333334</v>
      </c>
      <c r="J145" s="32">
        <v>-9621.4285714285706</v>
      </c>
      <c r="K145" s="31">
        <v>0.19014084507042253</v>
      </c>
      <c r="L145" s="31">
        <v>0.28859857482185275</v>
      </c>
      <c r="M145" s="31">
        <v>0.17695961995249407</v>
      </c>
      <c r="N145" s="31">
        <v>0.58024691358024694</v>
      </c>
      <c r="O145" s="31">
        <v>0.38926174496644295</v>
      </c>
      <c r="P145" s="31">
        <v>0.4548611111111111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6CE2F-7E12-4040-B868-D7343A02EFEE}">
  <sheetPr codeName="Sheet12"/>
  <dimension ref="A1:Q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198</v>
      </c>
      <c r="B1" s="34" t="s">
        <v>198</v>
      </c>
      <c r="C1" s="34" t="s">
        <v>198</v>
      </c>
      <c r="D1" s="35" t="s">
        <v>198</v>
      </c>
      <c r="E1" s="34" t="s">
        <v>198</v>
      </c>
      <c r="F1" s="34" t="s">
        <v>198</v>
      </c>
      <c r="G1" s="34" t="s">
        <v>198</v>
      </c>
      <c r="H1" s="34" t="s">
        <v>198</v>
      </c>
      <c r="I1" s="34" t="s">
        <v>198</v>
      </c>
      <c r="J1" s="34" t="s">
        <v>198</v>
      </c>
      <c r="K1" s="34" t="s">
        <v>198</v>
      </c>
      <c r="L1" s="34" t="s">
        <v>198</v>
      </c>
      <c r="M1" s="34" t="s">
        <v>198</v>
      </c>
      <c r="N1" s="34" t="s">
        <v>198</v>
      </c>
      <c r="O1" s="34" t="s">
        <v>198</v>
      </c>
      <c r="P1" s="34" t="s">
        <v>198</v>
      </c>
      <c r="Q1" s="34" t="s">
        <v>198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7</v>
      </c>
      <c r="C4" s="30">
        <v>7</v>
      </c>
      <c r="D4" s="35">
        <v>2</v>
      </c>
      <c r="E4" s="31">
        <v>0</v>
      </c>
      <c r="F4" s="31">
        <v>0</v>
      </c>
      <c r="G4" s="31">
        <v>0.4</v>
      </c>
      <c r="H4" s="31">
        <v>0.2</v>
      </c>
      <c r="I4" s="32">
        <v>8000</v>
      </c>
      <c r="J4" s="32">
        <v>-12000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-24.5</v>
      </c>
      <c r="C5" s="30">
        <v>-12.25</v>
      </c>
      <c r="D5" s="35">
        <v>2.5</v>
      </c>
      <c r="E5" s="31">
        <v>0</v>
      </c>
      <c r="F5" s="31">
        <v>0.5</v>
      </c>
      <c r="G5" s="31">
        <v>0.2857142857142857</v>
      </c>
      <c r="H5" s="31">
        <v>0.2857142857142857</v>
      </c>
      <c r="I5" s="32">
        <v>8000</v>
      </c>
      <c r="J5" s="32">
        <v>-12000</v>
      </c>
      <c r="K5" s="31">
        <v>0</v>
      </c>
      <c r="L5" s="31">
        <v>0.5</v>
      </c>
      <c r="M5" s="31">
        <v>0</v>
      </c>
      <c r="N5" s="31">
        <v>0</v>
      </c>
      <c r="O5" s="31">
        <v>0</v>
      </c>
      <c r="P5" s="31">
        <v>0</v>
      </c>
    </row>
    <row r="6" spans="1:17" x14ac:dyDescent="0.4">
      <c r="A6" s="33">
        <v>3</v>
      </c>
      <c r="B6" s="30">
        <v>-26.5</v>
      </c>
      <c r="C6" s="30">
        <v>-8.8333333333333339</v>
      </c>
      <c r="D6" s="35">
        <v>2.3333333333333335</v>
      </c>
      <c r="E6" s="31">
        <v>0</v>
      </c>
      <c r="F6" s="31">
        <v>0.33333333333333331</v>
      </c>
      <c r="G6" s="31">
        <v>0.1875</v>
      </c>
      <c r="H6" s="31">
        <v>0.125</v>
      </c>
      <c r="I6" s="32">
        <v>8000</v>
      </c>
      <c r="J6" s="32">
        <v>-12000</v>
      </c>
      <c r="K6" s="31">
        <v>0</v>
      </c>
      <c r="L6" s="31">
        <v>0.45454545454545453</v>
      </c>
      <c r="M6" s="31">
        <v>0</v>
      </c>
      <c r="N6" s="31">
        <v>0.2</v>
      </c>
      <c r="O6" s="31">
        <v>0</v>
      </c>
      <c r="P6" s="31">
        <v>0</v>
      </c>
    </row>
    <row r="7" spans="1:17" x14ac:dyDescent="0.4">
      <c r="A7" s="33">
        <v>4</v>
      </c>
      <c r="B7" s="30">
        <v>-15.5</v>
      </c>
      <c r="C7" s="30">
        <v>-3.875</v>
      </c>
      <c r="D7" s="35">
        <v>2</v>
      </c>
      <c r="E7" s="31">
        <v>0.25</v>
      </c>
      <c r="F7" s="31">
        <v>0.25</v>
      </c>
      <c r="G7" s="31">
        <v>0.25</v>
      </c>
      <c r="H7" s="31">
        <v>0.16666666666666666</v>
      </c>
      <c r="I7" s="32">
        <v>12333.333333333334</v>
      </c>
      <c r="J7" s="32">
        <v>-12000</v>
      </c>
      <c r="K7" s="31">
        <v>0</v>
      </c>
      <c r="L7" s="31">
        <v>0.42105263157894735</v>
      </c>
      <c r="M7" s="31">
        <v>0.10526315789473684</v>
      </c>
      <c r="N7" s="31">
        <v>0.25</v>
      </c>
      <c r="O7" s="31">
        <v>1</v>
      </c>
      <c r="P7" s="31">
        <v>0.33333333333333331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5AD71-40B4-4614-8084-92EE8C7ABAB2}">
  <sheetPr codeName="Sheet10"/>
  <dimension ref="A1:Q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209</v>
      </c>
      <c r="B1" s="34" t="s">
        <v>209</v>
      </c>
      <c r="C1" s="34" t="s">
        <v>209</v>
      </c>
      <c r="D1" s="35" t="s">
        <v>209</v>
      </c>
      <c r="E1" s="34" t="s">
        <v>209</v>
      </c>
      <c r="F1" s="34" t="s">
        <v>209</v>
      </c>
      <c r="G1" s="34" t="s">
        <v>209</v>
      </c>
      <c r="H1" s="34" t="s">
        <v>209</v>
      </c>
      <c r="I1" s="34" t="s">
        <v>209</v>
      </c>
      <c r="J1" s="34" t="s">
        <v>209</v>
      </c>
      <c r="K1" s="34" t="s">
        <v>209</v>
      </c>
      <c r="L1" s="34" t="s">
        <v>209</v>
      </c>
      <c r="M1" s="34" t="s">
        <v>209</v>
      </c>
      <c r="N1" s="34" t="s">
        <v>209</v>
      </c>
      <c r="O1" s="34" t="s">
        <v>209</v>
      </c>
      <c r="P1" s="34" t="s">
        <v>209</v>
      </c>
      <c r="Q1" s="34" t="s">
        <v>209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-22</v>
      </c>
      <c r="C4" s="30">
        <v>-22</v>
      </c>
      <c r="D4" s="35">
        <v>3</v>
      </c>
      <c r="E4" s="31">
        <v>0</v>
      </c>
      <c r="F4" s="31">
        <v>1</v>
      </c>
      <c r="G4" s="31">
        <v>0</v>
      </c>
      <c r="H4" s="31">
        <v>0.6</v>
      </c>
      <c r="I4" s="32">
        <v>0</v>
      </c>
      <c r="J4" s="32">
        <v>-7000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-60.4</v>
      </c>
      <c r="C5" s="30">
        <v>-30.2</v>
      </c>
      <c r="D5" s="35">
        <v>3</v>
      </c>
      <c r="E5" s="31">
        <v>0</v>
      </c>
      <c r="F5" s="31">
        <v>1</v>
      </c>
      <c r="G5" s="31">
        <v>7.6923076923076927E-2</v>
      </c>
      <c r="H5" s="31">
        <v>0.38461538461538464</v>
      </c>
      <c r="I5" s="32">
        <v>7800</v>
      </c>
      <c r="J5" s="32">
        <v>-10040</v>
      </c>
      <c r="K5" s="31">
        <v>0.5</v>
      </c>
      <c r="L5" s="31">
        <v>0</v>
      </c>
      <c r="M5" s="31">
        <v>0</v>
      </c>
      <c r="N5" s="31">
        <v>0</v>
      </c>
      <c r="O5" s="31">
        <v>0</v>
      </c>
      <c r="P5" s="31">
        <v>1</v>
      </c>
    </row>
    <row r="6" spans="1:17" x14ac:dyDescent="0.4">
      <c r="A6" s="33">
        <v>3</v>
      </c>
      <c r="B6" s="30">
        <v>-85.6</v>
      </c>
      <c r="C6" s="30">
        <v>-28.533333333333331</v>
      </c>
      <c r="D6" s="35">
        <v>3</v>
      </c>
      <c r="E6" s="31">
        <v>0</v>
      </c>
      <c r="F6" s="31">
        <v>1</v>
      </c>
      <c r="G6" s="31">
        <v>4.7619047619047616E-2</v>
      </c>
      <c r="H6" s="31">
        <v>0.38095238095238093</v>
      </c>
      <c r="I6" s="32">
        <v>7800</v>
      </c>
      <c r="J6" s="32">
        <v>-7800</v>
      </c>
      <c r="K6" s="31">
        <v>0.33333333333333331</v>
      </c>
      <c r="L6" s="31">
        <v>0</v>
      </c>
      <c r="M6" s="31">
        <v>0</v>
      </c>
      <c r="N6" s="31">
        <v>0</v>
      </c>
      <c r="O6" s="31">
        <v>0</v>
      </c>
      <c r="P6" s="31">
        <v>1</v>
      </c>
    </row>
    <row r="7" spans="1:17" x14ac:dyDescent="0.4">
      <c r="A7" s="33">
        <v>4</v>
      </c>
      <c r="B7" s="30">
        <v>-132.1</v>
      </c>
      <c r="C7" s="30">
        <v>-33.024999999999999</v>
      </c>
      <c r="D7" s="35">
        <v>3</v>
      </c>
      <c r="E7" s="31">
        <v>0</v>
      </c>
      <c r="F7" s="31">
        <v>1</v>
      </c>
      <c r="G7" s="31">
        <v>0.04</v>
      </c>
      <c r="H7" s="31">
        <v>0.4</v>
      </c>
      <c r="I7" s="32">
        <v>7800</v>
      </c>
      <c r="J7" s="32">
        <v>-8240</v>
      </c>
      <c r="K7" s="31">
        <v>0.5</v>
      </c>
      <c r="L7" s="31">
        <v>0</v>
      </c>
      <c r="M7" s="31">
        <v>0</v>
      </c>
      <c r="N7" s="31">
        <v>0</v>
      </c>
      <c r="O7" s="31">
        <v>0</v>
      </c>
      <c r="P7" s="31">
        <v>1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89033-AA42-4F5A-BAE0-DAC866346539}">
  <sheetPr codeName="Sheet8"/>
  <dimension ref="A1:Q26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15</v>
      </c>
      <c r="C4" s="30">
        <v>15</v>
      </c>
      <c r="D4" s="35">
        <v>1</v>
      </c>
      <c r="E4" s="31">
        <v>1</v>
      </c>
      <c r="F4" s="31">
        <v>0</v>
      </c>
      <c r="G4" s="31">
        <v>0.6</v>
      </c>
      <c r="H4" s="31">
        <v>0.2</v>
      </c>
      <c r="I4" s="32">
        <v>8333.3333333333339</v>
      </c>
      <c r="J4" s="32">
        <v>-8000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14</v>
      </c>
      <c r="C5" s="30">
        <v>7</v>
      </c>
      <c r="D5" s="35">
        <v>1.5</v>
      </c>
      <c r="E5" s="31">
        <v>0.5</v>
      </c>
      <c r="F5" s="31">
        <v>0</v>
      </c>
      <c r="G5" s="31">
        <v>0.5</v>
      </c>
      <c r="H5" s="31">
        <v>0.125</v>
      </c>
      <c r="I5" s="32">
        <v>8250</v>
      </c>
      <c r="J5" s="32">
        <v>-8000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</row>
    <row r="6" spans="1:17" x14ac:dyDescent="0.4">
      <c r="A6" s="33">
        <v>3</v>
      </c>
      <c r="B6" s="30">
        <v>29.1</v>
      </c>
      <c r="C6" s="30">
        <v>9.7000000000000011</v>
      </c>
      <c r="D6" s="35">
        <v>1.6666666666666667</v>
      </c>
      <c r="E6" s="31">
        <v>0.33333333333333331</v>
      </c>
      <c r="F6" s="31">
        <v>0</v>
      </c>
      <c r="G6" s="31">
        <v>0.53846153846153844</v>
      </c>
      <c r="H6" s="31">
        <v>0.15384615384615385</v>
      </c>
      <c r="I6" s="32">
        <v>7871.4285714285716</v>
      </c>
      <c r="J6" s="32">
        <v>-8000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0.2857142857142857</v>
      </c>
    </row>
    <row r="7" spans="1:17" x14ac:dyDescent="0.4">
      <c r="A7" s="33">
        <v>4</v>
      </c>
      <c r="B7" s="30">
        <v>114.30000000000001</v>
      </c>
      <c r="C7" s="30">
        <v>28.575000000000003</v>
      </c>
      <c r="D7" s="35">
        <v>1.5</v>
      </c>
      <c r="E7" s="31">
        <v>0.5</v>
      </c>
      <c r="F7" s="31">
        <v>0</v>
      </c>
      <c r="G7" s="31">
        <v>0.57894736842105265</v>
      </c>
      <c r="H7" s="31">
        <v>0.15789473684210525</v>
      </c>
      <c r="I7" s="32">
        <v>12554.545454545454</v>
      </c>
      <c r="J7" s="32">
        <v>-5766.666666666667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0.27272727272727271</v>
      </c>
    </row>
    <row r="8" spans="1:17" x14ac:dyDescent="0.4">
      <c r="A8" s="33">
        <v>5</v>
      </c>
      <c r="B8" s="30">
        <v>145.80000000000001</v>
      </c>
      <c r="C8" s="30">
        <v>29.160000000000004</v>
      </c>
      <c r="D8" s="35">
        <v>1.4</v>
      </c>
      <c r="E8" s="31">
        <v>0.6</v>
      </c>
      <c r="F8" s="31">
        <v>0</v>
      </c>
      <c r="G8" s="31">
        <v>0.53846153846153844</v>
      </c>
      <c r="H8" s="31">
        <v>0.15384615384615385</v>
      </c>
      <c r="I8" s="32">
        <v>13007.142857142857</v>
      </c>
      <c r="J8" s="32">
        <v>-6325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0.2857142857142857</v>
      </c>
    </row>
    <row r="9" spans="1:17" x14ac:dyDescent="0.4">
      <c r="A9" s="33">
        <v>6</v>
      </c>
      <c r="B9" s="30">
        <v>97.800000000000011</v>
      </c>
      <c r="C9" s="30">
        <v>16.3</v>
      </c>
      <c r="D9" s="35">
        <v>1.6666666666666667</v>
      </c>
      <c r="E9" s="31">
        <v>0.5</v>
      </c>
      <c r="F9" s="31">
        <v>0.16666666666666666</v>
      </c>
      <c r="G9" s="31">
        <v>0.5</v>
      </c>
      <c r="H9" s="31">
        <v>0.17857142857142858</v>
      </c>
      <c r="I9" s="32">
        <v>13007.142857142857</v>
      </c>
      <c r="J9" s="32">
        <v>-14660</v>
      </c>
      <c r="K9" s="31">
        <v>0.16666666666666666</v>
      </c>
      <c r="L9" s="31">
        <v>0</v>
      </c>
      <c r="M9" s="31">
        <v>0</v>
      </c>
      <c r="N9" s="31">
        <v>0</v>
      </c>
      <c r="O9" s="31">
        <v>0</v>
      </c>
      <c r="P9" s="31">
        <v>0.2857142857142857</v>
      </c>
    </row>
    <row r="10" spans="1:17" x14ac:dyDescent="0.4">
      <c r="A10" s="33">
        <v>7</v>
      </c>
      <c r="B10" s="30">
        <v>91.700000000000017</v>
      </c>
      <c r="C10" s="30">
        <v>13.100000000000003</v>
      </c>
      <c r="D10" s="35">
        <v>1.8571428571428572</v>
      </c>
      <c r="E10" s="31">
        <v>0.42857142857142855</v>
      </c>
      <c r="F10" s="31">
        <v>0.2857142857142857</v>
      </c>
      <c r="G10" s="31">
        <v>0.48571428571428571</v>
      </c>
      <c r="H10" s="31">
        <v>0.25714285714285712</v>
      </c>
      <c r="I10" s="32">
        <v>11823.529411764706</v>
      </c>
      <c r="J10" s="32">
        <v>-10922.222222222223</v>
      </c>
      <c r="K10" s="31">
        <v>0.14285714285714285</v>
      </c>
      <c r="L10" s="31">
        <v>0</v>
      </c>
      <c r="M10" s="31">
        <v>0</v>
      </c>
      <c r="N10" s="31">
        <v>0</v>
      </c>
      <c r="O10" s="31">
        <v>0</v>
      </c>
      <c r="P10" s="31">
        <v>0.29411764705882354</v>
      </c>
    </row>
    <row r="11" spans="1:17" x14ac:dyDescent="0.4">
      <c r="A11" s="33">
        <v>8</v>
      </c>
      <c r="B11" s="30">
        <v>55.700000000000017</v>
      </c>
      <c r="C11" s="30">
        <v>6.9625000000000021</v>
      </c>
      <c r="D11" s="35">
        <v>2</v>
      </c>
      <c r="E11" s="31">
        <v>0.375</v>
      </c>
      <c r="F11" s="31">
        <v>0.375</v>
      </c>
      <c r="G11" s="31">
        <v>0.41860465116279072</v>
      </c>
      <c r="H11" s="31">
        <v>0.27906976744186046</v>
      </c>
      <c r="I11" s="32">
        <v>11833.333333333334</v>
      </c>
      <c r="J11" s="32">
        <v>-11525</v>
      </c>
      <c r="K11" s="31">
        <v>0.25</v>
      </c>
      <c r="L11" s="31">
        <v>0</v>
      </c>
      <c r="M11" s="31">
        <v>0</v>
      </c>
      <c r="N11" s="31">
        <v>0</v>
      </c>
      <c r="O11" s="31">
        <v>0</v>
      </c>
      <c r="P11" s="31">
        <v>0.27777777777777779</v>
      </c>
    </row>
    <row r="12" spans="1:17" x14ac:dyDescent="0.4">
      <c r="A12" s="33">
        <v>9</v>
      </c>
      <c r="B12" s="30">
        <v>14.700000000000017</v>
      </c>
      <c r="C12" s="30">
        <v>1.6333333333333353</v>
      </c>
      <c r="D12" s="35">
        <v>2.1111111111111112</v>
      </c>
      <c r="E12" s="31">
        <v>0.33333333333333331</v>
      </c>
      <c r="F12" s="31">
        <v>0.44444444444444442</v>
      </c>
      <c r="G12" s="31">
        <v>0.35294117647058826</v>
      </c>
      <c r="H12" s="31">
        <v>0.29411764705882354</v>
      </c>
      <c r="I12" s="32">
        <v>11833.333333333334</v>
      </c>
      <c r="J12" s="32">
        <v>-11086.666666666666</v>
      </c>
      <c r="K12" s="31">
        <v>0.33333333333333331</v>
      </c>
      <c r="L12" s="31">
        <v>0</v>
      </c>
      <c r="M12" s="31">
        <v>0</v>
      </c>
      <c r="N12" s="31">
        <v>0</v>
      </c>
      <c r="O12" s="31">
        <v>0</v>
      </c>
      <c r="P12" s="31">
        <v>0.27777777777777779</v>
      </c>
    </row>
    <row r="13" spans="1:17" x14ac:dyDescent="0.4">
      <c r="A13" s="33">
        <v>10</v>
      </c>
      <c r="B13" s="30">
        <v>-16.799999999999983</v>
      </c>
      <c r="C13" s="30">
        <v>-1.6799999999999984</v>
      </c>
      <c r="D13" s="35">
        <v>2.1</v>
      </c>
      <c r="E13" s="31">
        <v>0.3</v>
      </c>
      <c r="F13" s="31">
        <v>0.4</v>
      </c>
      <c r="G13" s="31">
        <v>0.31034482758620691</v>
      </c>
      <c r="H13" s="31">
        <v>0.27586206896551724</v>
      </c>
      <c r="I13" s="32">
        <v>11833.333333333334</v>
      </c>
      <c r="J13" s="32">
        <v>-11893.75</v>
      </c>
      <c r="K13" s="31">
        <v>0.3</v>
      </c>
      <c r="L13" s="31">
        <v>0</v>
      </c>
      <c r="M13" s="31">
        <v>0</v>
      </c>
      <c r="N13" s="31">
        <v>0</v>
      </c>
      <c r="O13" s="31">
        <v>0</v>
      </c>
      <c r="P13" s="31">
        <v>0.27777777777777779</v>
      </c>
    </row>
    <row r="14" spans="1:17" x14ac:dyDescent="0.4">
      <c r="A14" s="33">
        <v>11</v>
      </c>
      <c r="B14" s="30">
        <v>1.5000000000000178</v>
      </c>
      <c r="C14" s="30">
        <v>0.13636363636363799</v>
      </c>
      <c r="D14" s="35">
        <v>2</v>
      </c>
      <c r="E14" s="31">
        <v>0.36363636363636365</v>
      </c>
      <c r="F14" s="31">
        <v>0.36363636363636365</v>
      </c>
      <c r="G14" s="31">
        <v>0.3380281690140845</v>
      </c>
      <c r="H14" s="31">
        <v>0.23943661971830985</v>
      </c>
      <c r="I14" s="32">
        <v>11679.166666666666</v>
      </c>
      <c r="J14" s="32">
        <v>-11900</v>
      </c>
      <c r="K14" s="31">
        <v>0.27272727272727271</v>
      </c>
      <c r="L14" s="31">
        <v>0</v>
      </c>
      <c r="M14" s="31">
        <v>0</v>
      </c>
      <c r="N14" s="31">
        <v>0</v>
      </c>
      <c r="O14" s="31">
        <v>0</v>
      </c>
      <c r="P14" s="31">
        <v>0.33333333333333331</v>
      </c>
    </row>
    <row r="15" spans="1:17" x14ac:dyDescent="0.4">
      <c r="A15" s="33">
        <v>12</v>
      </c>
      <c r="B15" s="30">
        <v>14.300000000000018</v>
      </c>
      <c r="C15" s="30">
        <v>1.1916666666666682</v>
      </c>
      <c r="D15" s="35">
        <v>2</v>
      </c>
      <c r="E15" s="31">
        <v>0.33333333333333331</v>
      </c>
      <c r="F15" s="31">
        <v>0.33333333333333331</v>
      </c>
      <c r="G15" s="31">
        <v>0.35526315789473684</v>
      </c>
      <c r="H15" s="31">
        <v>0.23684210526315788</v>
      </c>
      <c r="I15" s="32">
        <v>11374.074074074075</v>
      </c>
      <c r="J15" s="32">
        <v>-11350</v>
      </c>
      <c r="K15" s="31">
        <v>0.25</v>
      </c>
      <c r="L15" s="31">
        <v>0</v>
      </c>
      <c r="M15" s="31">
        <v>0</v>
      </c>
      <c r="N15" s="31">
        <v>0</v>
      </c>
      <c r="O15" s="31">
        <v>0</v>
      </c>
      <c r="P15" s="31">
        <v>0.37037037037037035</v>
      </c>
    </row>
    <row r="16" spans="1:17" x14ac:dyDescent="0.4">
      <c r="A16" s="33">
        <v>13</v>
      </c>
      <c r="B16" s="30">
        <v>71.300000000000011</v>
      </c>
      <c r="C16" s="30">
        <v>5.4846153846153856</v>
      </c>
      <c r="D16" s="35">
        <v>1.9230769230769231</v>
      </c>
      <c r="E16" s="31">
        <v>0.38461538461538464</v>
      </c>
      <c r="F16" s="31">
        <v>0.30769230769230771</v>
      </c>
      <c r="G16" s="31">
        <v>0.3707865168539326</v>
      </c>
      <c r="H16" s="31">
        <v>0.21348314606741572</v>
      </c>
      <c r="I16" s="32">
        <v>11115.151515151516</v>
      </c>
      <c r="J16" s="32">
        <v>-10905.263157894737</v>
      </c>
      <c r="K16" s="31">
        <v>0.23076923076923078</v>
      </c>
      <c r="L16" s="31">
        <v>0</v>
      </c>
      <c r="M16" s="31">
        <v>0</v>
      </c>
      <c r="N16" s="31">
        <v>0</v>
      </c>
      <c r="O16" s="31">
        <v>0</v>
      </c>
      <c r="P16" s="31">
        <v>0.33333333333333331</v>
      </c>
    </row>
    <row r="17" spans="1:16" x14ac:dyDescent="0.4">
      <c r="A17" s="33">
        <v>14</v>
      </c>
      <c r="B17" s="30">
        <v>27.300000000000011</v>
      </c>
      <c r="C17" s="30">
        <v>1.9500000000000008</v>
      </c>
      <c r="D17" s="35">
        <v>2</v>
      </c>
      <c r="E17" s="31">
        <v>0.35714285714285715</v>
      </c>
      <c r="F17" s="31">
        <v>0.35714285714285715</v>
      </c>
      <c r="G17" s="31">
        <v>0.35106382978723405</v>
      </c>
      <c r="H17" s="31">
        <v>0.21276595744680851</v>
      </c>
      <c r="I17" s="32">
        <v>11115.151515151516</v>
      </c>
      <c r="J17" s="32">
        <v>-10760</v>
      </c>
      <c r="K17" s="31">
        <v>0.2857142857142857</v>
      </c>
      <c r="L17" s="31">
        <v>0</v>
      </c>
      <c r="M17" s="31">
        <v>0</v>
      </c>
      <c r="N17" s="31">
        <v>0</v>
      </c>
      <c r="O17" s="31">
        <v>0</v>
      </c>
      <c r="P17" s="31">
        <v>0.33333333333333331</v>
      </c>
    </row>
    <row r="18" spans="1:16" x14ac:dyDescent="0.4">
      <c r="A18" s="33">
        <v>15</v>
      </c>
      <c r="B18" s="30">
        <v>-9.6999999999999886</v>
      </c>
      <c r="C18" s="30">
        <v>-0.64666666666666595</v>
      </c>
      <c r="D18" s="35">
        <v>2.0666666666666669</v>
      </c>
      <c r="E18" s="31">
        <v>0.33333333333333331</v>
      </c>
      <c r="F18" s="31">
        <v>0.4</v>
      </c>
      <c r="G18" s="31">
        <v>0.34020618556701032</v>
      </c>
      <c r="H18" s="31">
        <v>0.22680412371134021</v>
      </c>
      <c r="I18" s="32">
        <v>11115.151515151516</v>
      </c>
      <c r="J18" s="32">
        <v>-11145.454545454546</v>
      </c>
      <c r="K18" s="31">
        <v>0.33333333333333331</v>
      </c>
      <c r="L18" s="31">
        <v>0</v>
      </c>
      <c r="M18" s="31">
        <v>0</v>
      </c>
      <c r="N18" s="31">
        <v>0</v>
      </c>
      <c r="O18" s="31">
        <v>0</v>
      </c>
      <c r="P18" s="31">
        <v>0.33333333333333331</v>
      </c>
    </row>
    <row r="19" spans="1:16" x14ac:dyDescent="0.4">
      <c r="A19" s="33">
        <v>16</v>
      </c>
      <c r="B19" s="30">
        <v>-8.099999999999989</v>
      </c>
      <c r="C19" s="30">
        <v>-0.50624999999999931</v>
      </c>
      <c r="D19" s="35">
        <v>2.0625</v>
      </c>
      <c r="E19" s="31">
        <v>0.3125</v>
      </c>
      <c r="F19" s="31">
        <v>0.375</v>
      </c>
      <c r="G19" s="31">
        <v>0.33333333333333331</v>
      </c>
      <c r="H19" s="31">
        <v>0.22857142857142856</v>
      </c>
      <c r="I19" s="32">
        <v>11017.142857142857</v>
      </c>
      <c r="J19" s="32">
        <v>-10620.833333333334</v>
      </c>
      <c r="K19" s="31">
        <v>0.3125</v>
      </c>
      <c r="L19" s="31">
        <v>0</v>
      </c>
      <c r="M19" s="31">
        <v>0</v>
      </c>
      <c r="N19" s="31">
        <v>0</v>
      </c>
      <c r="O19" s="31">
        <v>0</v>
      </c>
      <c r="P19" s="31">
        <v>0.34285714285714286</v>
      </c>
    </row>
    <row r="20" spans="1:16" x14ac:dyDescent="0.4">
      <c r="A20" s="33">
        <v>17</v>
      </c>
      <c r="B20" s="30">
        <v>-29.499999999999986</v>
      </c>
      <c r="C20" s="30">
        <v>-1.735294117647058</v>
      </c>
      <c r="D20" s="35">
        <v>2.0588235294117645</v>
      </c>
      <c r="E20" s="31">
        <v>0.29411764705882354</v>
      </c>
      <c r="F20" s="31">
        <v>0.35294117647058826</v>
      </c>
      <c r="G20" s="31">
        <v>0.31818181818181818</v>
      </c>
      <c r="H20" s="31">
        <v>0.22727272727272727</v>
      </c>
      <c r="I20" s="32">
        <v>11017.142857142857</v>
      </c>
      <c r="J20" s="32">
        <v>-10352</v>
      </c>
      <c r="K20" s="31">
        <v>0.29411764705882354</v>
      </c>
      <c r="L20" s="31">
        <v>0</v>
      </c>
      <c r="M20" s="31">
        <v>0</v>
      </c>
      <c r="N20" s="31">
        <v>0</v>
      </c>
      <c r="O20" s="31">
        <v>0</v>
      </c>
      <c r="P20" s="31">
        <v>0.34285714285714286</v>
      </c>
    </row>
    <row r="21" spans="1:16" x14ac:dyDescent="0.4">
      <c r="A21" s="33">
        <v>18</v>
      </c>
      <c r="B21" s="30">
        <v>-14.599999999999985</v>
      </c>
      <c r="C21" s="30">
        <v>-0.81111111111111034</v>
      </c>
      <c r="D21" s="35">
        <v>2</v>
      </c>
      <c r="E21" s="31">
        <v>0.33333333333333331</v>
      </c>
      <c r="F21" s="31">
        <v>0.33333333333333331</v>
      </c>
      <c r="G21" s="31">
        <v>0.33884297520661155</v>
      </c>
      <c r="H21" s="31">
        <v>0.2231404958677686</v>
      </c>
      <c r="I21" s="32">
        <v>10065.853658536585</v>
      </c>
      <c r="J21" s="32">
        <v>-10137.037037037036</v>
      </c>
      <c r="K21" s="31">
        <v>0.27777777777777779</v>
      </c>
      <c r="L21" s="31">
        <v>0</v>
      </c>
      <c r="M21" s="31">
        <v>0</v>
      </c>
      <c r="N21" s="31">
        <v>0</v>
      </c>
      <c r="O21" s="31">
        <v>0</v>
      </c>
      <c r="P21" s="31">
        <v>0.31707317073170732</v>
      </c>
    </row>
    <row r="22" spans="1:16" x14ac:dyDescent="0.4">
      <c r="A22" s="33">
        <v>19</v>
      </c>
      <c r="B22" s="30">
        <v>42.600000000000016</v>
      </c>
      <c r="C22" s="30">
        <v>2.2421052631578955</v>
      </c>
      <c r="D22" s="35">
        <v>1.9473684210526316</v>
      </c>
      <c r="E22" s="31">
        <v>0.36842105263157893</v>
      </c>
      <c r="F22" s="31">
        <v>0.31578947368421051</v>
      </c>
      <c r="G22" s="31">
        <v>0.35658914728682173</v>
      </c>
      <c r="H22" s="31">
        <v>0.21705426356589147</v>
      </c>
      <c r="I22" s="32">
        <v>10450</v>
      </c>
      <c r="J22" s="32">
        <v>-9914.2857142857138</v>
      </c>
      <c r="K22" s="31">
        <v>0.26315789473684209</v>
      </c>
      <c r="L22" s="31">
        <v>0</v>
      </c>
      <c r="M22" s="31">
        <v>0</v>
      </c>
      <c r="N22" s="31">
        <v>0</v>
      </c>
      <c r="O22" s="31">
        <v>0</v>
      </c>
      <c r="P22" s="31">
        <v>0.32608695652173914</v>
      </c>
    </row>
    <row r="23" spans="1:16" x14ac:dyDescent="0.4">
      <c r="A23" s="33">
        <v>20</v>
      </c>
      <c r="B23" s="30">
        <v>68.800000000000011</v>
      </c>
      <c r="C23" s="30">
        <v>3.4400000000000004</v>
      </c>
      <c r="D23" s="35">
        <v>1.9</v>
      </c>
      <c r="E23" s="31">
        <v>0.4</v>
      </c>
      <c r="F23" s="31">
        <v>0.3</v>
      </c>
      <c r="G23" s="31">
        <v>0.36496350364963503</v>
      </c>
      <c r="H23" s="31">
        <v>0.20437956204379562</v>
      </c>
      <c r="I23" s="32">
        <v>10318</v>
      </c>
      <c r="J23" s="32">
        <v>-9914.2857142857138</v>
      </c>
      <c r="K23" s="31">
        <v>0.25</v>
      </c>
      <c r="L23" s="31">
        <v>0</v>
      </c>
      <c r="M23" s="31">
        <v>0</v>
      </c>
      <c r="N23" s="31">
        <v>0</v>
      </c>
      <c r="O23" s="31">
        <v>0</v>
      </c>
      <c r="P23" s="31">
        <v>0.32</v>
      </c>
    </row>
    <row r="24" spans="1:16" x14ac:dyDescent="0.4">
      <c r="A24" s="33">
        <v>21</v>
      </c>
      <c r="B24" s="30">
        <v>125.30000000000001</v>
      </c>
      <c r="C24" s="30">
        <v>5.9666666666666668</v>
      </c>
      <c r="D24" s="35">
        <v>1.8571428571428572</v>
      </c>
      <c r="E24" s="31">
        <v>0.42857142857142855</v>
      </c>
      <c r="F24" s="31">
        <v>0.2857142857142857</v>
      </c>
      <c r="G24" s="31">
        <v>0.36879432624113473</v>
      </c>
      <c r="H24" s="31">
        <v>0.19858156028368795</v>
      </c>
      <c r="I24" s="32">
        <v>10998.076923076924</v>
      </c>
      <c r="J24" s="32">
        <v>-9914.2857142857138</v>
      </c>
      <c r="K24" s="31">
        <v>0.23809523809523808</v>
      </c>
      <c r="L24" s="31">
        <v>0</v>
      </c>
      <c r="M24" s="31">
        <v>0</v>
      </c>
      <c r="N24" s="31">
        <v>0</v>
      </c>
      <c r="O24" s="31">
        <v>0</v>
      </c>
      <c r="P24" s="31">
        <v>0.32692307692307693</v>
      </c>
    </row>
    <row r="25" spans="1:16" x14ac:dyDescent="0.4">
      <c r="A25" s="33">
        <v>22</v>
      </c>
      <c r="B25" s="30">
        <v>99.800000000000011</v>
      </c>
      <c r="C25" s="30">
        <v>4.536363636363637</v>
      </c>
      <c r="D25" s="35">
        <v>1.8636363636363635</v>
      </c>
      <c r="E25" s="31">
        <v>0.40909090909090912</v>
      </c>
      <c r="F25" s="31">
        <v>0.27272727272727271</v>
      </c>
      <c r="G25" s="31">
        <v>0.34210526315789475</v>
      </c>
      <c r="H25" s="31">
        <v>0.19736842105263158</v>
      </c>
      <c r="I25" s="32">
        <v>10998.076923076924</v>
      </c>
      <c r="J25" s="32">
        <v>-9686.6666666666661</v>
      </c>
      <c r="K25" s="31">
        <v>0.22727272727272727</v>
      </c>
      <c r="L25" s="31">
        <v>0</v>
      </c>
      <c r="M25" s="31">
        <v>0</v>
      </c>
      <c r="N25" s="31">
        <v>0</v>
      </c>
      <c r="O25" s="31">
        <v>0</v>
      </c>
      <c r="P25" s="31">
        <v>0.32692307692307693</v>
      </c>
    </row>
    <row r="26" spans="1:16" x14ac:dyDescent="0.4">
      <c r="A26" s="33">
        <v>23</v>
      </c>
      <c r="B26" s="30">
        <v>124.50000000000001</v>
      </c>
      <c r="C26" s="30">
        <v>5.4130434782608701</v>
      </c>
      <c r="D26" s="35">
        <v>1.826086956521739</v>
      </c>
      <c r="E26" s="31">
        <v>0.43478260869565216</v>
      </c>
      <c r="F26" s="31">
        <v>0.2608695652173913</v>
      </c>
      <c r="G26" s="31">
        <v>0.34375</v>
      </c>
      <c r="H26" s="31">
        <v>0.1875</v>
      </c>
      <c r="I26" s="32">
        <v>10943.636363636364</v>
      </c>
      <c r="J26" s="32">
        <v>-9686.6666666666661</v>
      </c>
      <c r="K26" s="31">
        <v>0.21739130434782608</v>
      </c>
      <c r="L26" s="31">
        <v>0</v>
      </c>
      <c r="M26" s="31">
        <v>0</v>
      </c>
      <c r="N26" s="31">
        <v>0</v>
      </c>
      <c r="O26" s="31">
        <v>0</v>
      </c>
      <c r="P26" s="31">
        <v>0.36363636363636365</v>
      </c>
    </row>
    <row r="27" spans="1:16" x14ac:dyDescent="0.4">
      <c r="A27" s="33">
        <v>24</v>
      </c>
      <c r="B27" s="30">
        <v>118.00000000000001</v>
      </c>
      <c r="C27" s="30">
        <v>4.916666666666667</v>
      </c>
      <c r="D27" s="35">
        <v>1.8333333333333333</v>
      </c>
      <c r="E27" s="31">
        <v>0.41666666666666669</v>
      </c>
      <c r="F27" s="31">
        <v>0.25</v>
      </c>
      <c r="G27" s="31">
        <v>0.34146341463414637</v>
      </c>
      <c r="H27" s="31">
        <v>0.18902439024390244</v>
      </c>
      <c r="I27" s="32">
        <v>10891.071428571429</v>
      </c>
      <c r="J27" s="32">
        <v>-9632.2580645161288</v>
      </c>
      <c r="K27" s="31">
        <v>0.20833333333333334</v>
      </c>
      <c r="L27" s="31">
        <v>0</v>
      </c>
      <c r="M27" s="31">
        <v>0</v>
      </c>
      <c r="N27" s="31">
        <v>0</v>
      </c>
      <c r="O27" s="31">
        <v>0</v>
      </c>
      <c r="P27" s="31">
        <v>0.35714285714285715</v>
      </c>
    </row>
    <row r="28" spans="1:16" x14ac:dyDescent="0.4">
      <c r="A28" s="33">
        <v>25</v>
      </c>
      <c r="B28" s="30">
        <v>84.300000000000011</v>
      </c>
      <c r="C28" s="30">
        <v>3.3720000000000003</v>
      </c>
      <c r="D28" s="35">
        <v>1.88</v>
      </c>
      <c r="E28" s="31">
        <v>0.4</v>
      </c>
      <c r="F28" s="31">
        <v>0.28000000000000003</v>
      </c>
      <c r="G28" s="31">
        <v>0.32947976878612717</v>
      </c>
      <c r="H28" s="31">
        <v>0.1791907514450867</v>
      </c>
      <c r="I28" s="32">
        <v>10801.754385964912</v>
      </c>
      <c r="J28" s="32">
        <v>-9632.2580645161288</v>
      </c>
      <c r="K28" s="31">
        <v>0.2</v>
      </c>
      <c r="L28" s="31">
        <v>0</v>
      </c>
      <c r="M28" s="31">
        <v>0</v>
      </c>
      <c r="N28" s="31">
        <v>0</v>
      </c>
      <c r="O28" s="31">
        <v>0</v>
      </c>
      <c r="P28" s="31">
        <v>0.35087719298245612</v>
      </c>
    </row>
    <row r="29" spans="1:16" x14ac:dyDescent="0.4">
      <c r="A29" s="33">
        <v>26</v>
      </c>
      <c r="B29" s="30">
        <v>108.20000000000002</v>
      </c>
      <c r="C29" s="30">
        <v>4.1615384615384619</v>
      </c>
      <c r="D29" s="35">
        <v>1.8461538461538463</v>
      </c>
      <c r="E29" s="31">
        <v>0.42307692307692307</v>
      </c>
      <c r="F29" s="31">
        <v>0.26923076923076922</v>
      </c>
      <c r="G29" s="31">
        <v>0.33149171270718231</v>
      </c>
      <c r="H29" s="31">
        <v>0.17127071823204421</v>
      </c>
      <c r="I29" s="32">
        <v>10645</v>
      </c>
      <c r="J29" s="32">
        <v>-9632.2580645161288</v>
      </c>
      <c r="K29" s="31">
        <v>0.19230769230769232</v>
      </c>
      <c r="L29" s="31">
        <v>0</v>
      </c>
      <c r="M29" s="31">
        <v>0</v>
      </c>
      <c r="N29" s="31">
        <v>0</v>
      </c>
      <c r="O29" s="31">
        <v>0</v>
      </c>
      <c r="P29" s="31">
        <v>0.33333333333333331</v>
      </c>
    </row>
    <row r="30" spans="1:16" x14ac:dyDescent="0.4">
      <c r="A30" s="33">
        <v>27</v>
      </c>
      <c r="B30" s="30">
        <v>71.200000000000017</v>
      </c>
      <c r="C30" s="30">
        <v>2.6370370370370377</v>
      </c>
      <c r="D30" s="35">
        <v>1.8888888888888888</v>
      </c>
      <c r="E30" s="31">
        <v>0.40740740740740738</v>
      </c>
      <c r="F30" s="31">
        <v>0.29629629629629628</v>
      </c>
      <c r="G30" s="31">
        <v>0.32258064516129031</v>
      </c>
      <c r="H30" s="31">
        <v>0.16666666666666666</v>
      </c>
      <c r="I30" s="32">
        <v>10645</v>
      </c>
      <c r="J30" s="32">
        <v>-9632.2580645161288</v>
      </c>
      <c r="K30" s="31">
        <v>0.22222222222222221</v>
      </c>
      <c r="L30" s="31">
        <v>0</v>
      </c>
      <c r="M30" s="31">
        <v>0</v>
      </c>
      <c r="N30" s="31">
        <v>0</v>
      </c>
      <c r="O30" s="31">
        <v>0</v>
      </c>
      <c r="P30" s="31">
        <v>0.33333333333333331</v>
      </c>
    </row>
    <row r="31" spans="1:16" x14ac:dyDescent="0.4">
      <c r="A31" s="33">
        <v>28</v>
      </c>
      <c r="B31" s="30">
        <v>129.20000000000002</v>
      </c>
      <c r="C31" s="30">
        <v>4.6142857142857148</v>
      </c>
      <c r="D31" s="35">
        <v>1.8571428571428572</v>
      </c>
      <c r="E31" s="31">
        <v>0.42857142857142855</v>
      </c>
      <c r="F31" s="31">
        <v>0.2857142857142857</v>
      </c>
      <c r="G31" s="31">
        <v>0.32989690721649484</v>
      </c>
      <c r="H31" s="31">
        <v>0.16494845360824742</v>
      </c>
      <c r="I31" s="32">
        <v>11167.1875</v>
      </c>
      <c r="J31" s="32">
        <v>-9706.25</v>
      </c>
      <c r="K31" s="31">
        <v>0.21428571428571427</v>
      </c>
      <c r="L31" s="31">
        <v>0</v>
      </c>
      <c r="M31" s="31">
        <v>0</v>
      </c>
      <c r="N31" s="31">
        <v>0</v>
      </c>
      <c r="O31" s="31">
        <v>0</v>
      </c>
      <c r="P31" s="31">
        <v>0.34375</v>
      </c>
    </row>
    <row r="32" spans="1:16" x14ac:dyDescent="0.4">
      <c r="A32" s="33">
        <v>29</v>
      </c>
      <c r="B32" s="30">
        <v>120.80000000000001</v>
      </c>
      <c r="C32" s="30">
        <v>4.1655172413793107</v>
      </c>
      <c r="D32" s="35">
        <v>1.8620689655172413</v>
      </c>
      <c r="E32" s="31">
        <v>0.41379310344827586</v>
      </c>
      <c r="F32" s="31">
        <v>0.27586206896551724</v>
      </c>
      <c r="G32" s="31">
        <v>0.33333333333333331</v>
      </c>
      <c r="H32" s="31">
        <v>0.1691542288557214</v>
      </c>
      <c r="I32" s="32">
        <v>10967.164179104477</v>
      </c>
      <c r="J32" s="32">
        <v>-9900</v>
      </c>
      <c r="K32" s="31">
        <v>0.20689655172413793</v>
      </c>
      <c r="L32" s="31">
        <v>0</v>
      </c>
      <c r="M32" s="31">
        <v>0</v>
      </c>
      <c r="N32" s="31">
        <v>0</v>
      </c>
      <c r="O32" s="31">
        <v>0</v>
      </c>
      <c r="P32" s="31">
        <v>0.35820895522388058</v>
      </c>
    </row>
    <row r="33" spans="1:16" x14ac:dyDescent="0.4">
      <c r="A33" s="33">
        <v>30</v>
      </c>
      <c r="B33" s="30">
        <v>174.10000000000002</v>
      </c>
      <c r="C33" s="30">
        <v>5.8033333333333337</v>
      </c>
      <c r="D33" s="35">
        <v>1.8333333333333333</v>
      </c>
      <c r="E33" s="31">
        <v>0.43333333333333335</v>
      </c>
      <c r="F33" s="31">
        <v>0.26666666666666666</v>
      </c>
      <c r="G33" s="31">
        <v>0.34761904761904761</v>
      </c>
      <c r="H33" s="31">
        <v>0.16190476190476191</v>
      </c>
      <c r="I33" s="32">
        <v>10930.13698630137</v>
      </c>
      <c r="J33" s="32">
        <v>-9900</v>
      </c>
      <c r="K33" s="31">
        <v>0.2</v>
      </c>
      <c r="L33" s="31">
        <v>0</v>
      </c>
      <c r="M33" s="31">
        <v>0</v>
      </c>
      <c r="N33" s="31">
        <v>0</v>
      </c>
      <c r="O33" s="31">
        <v>0</v>
      </c>
      <c r="P33" s="31">
        <v>0.34246575342465752</v>
      </c>
    </row>
    <row r="34" spans="1:16" x14ac:dyDescent="0.4">
      <c r="A34" s="33">
        <v>31</v>
      </c>
      <c r="B34" s="30">
        <v>160.10000000000002</v>
      </c>
      <c r="C34" s="30">
        <v>5.1645161290322585</v>
      </c>
      <c r="D34" s="35">
        <v>1.8387096774193548</v>
      </c>
      <c r="E34" s="31">
        <v>0.41935483870967744</v>
      </c>
      <c r="F34" s="31">
        <v>0.25806451612903225</v>
      </c>
      <c r="G34" s="31">
        <v>0.34579439252336447</v>
      </c>
      <c r="H34" s="31">
        <v>0.15887850467289719</v>
      </c>
      <c r="I34" s="32">
        <v>10944.594594594595</v>
      </c>
      <c r="J34" s="32">
        <v>-9900</v>
      </c>
      <c r="K34" s="31">
        <v>0.19354838709677419</v>
      </c>
      <c r="L34" s="31">
        <v>0</v>
      </c>
      <c r="M34" s="31">
        <v>0</v>
      </c>
      <c r="N34" s="31">
        <v>0</v>
      </c>
      <c r="O34" s="31">
        <v>0</v>
      </c>
      <c r="P34" s="31">
        <v>0.33783783783783783</v>
      </c>
    </row>
    <row r="35" spans="1:16" x14ac:dyDescent="0.4">
      <c r="A35" s="33">
        <v>32</v>
      </c>
      <c r="B35" s="30">
        <v>220.8</v>
      </c>
      <c r="C35" s="30">
        <v>6.9</v>
      </c>
      <c r="D35" s="35">
        <v>1.8125</v>
      </c>
      <c r="E35" s="31">
        <v>0.4375</v>
      </c>
      <c r="F35" s="31">
        <v>0.25</v>
      </c>
      <c r="G35" s="31">
        <v>0.35267857142857145</v>
      </c>
      <c r="H35" s="31">
        <v>0.15625</v>
      </c>
      <c r="I35" s="32">
        <v>11149.367088607594</v>
      </c>
      <c r="J35" s="32">
        <v>-9765.7142857142862</v>
      </c>
      <c r="K35" s="31">
        <v>0.1875</v>
      </c>
      <c r="L35" s="31">
        <v>0</v>
      </c>
      <c r="M35" s="31">
        <v>0</v>
      </c>
      <c r="N35" s="31">
        <v>0</v>
      </c>
      <c r="O35" s="31">
        <v>0</v>
      </c>
      <c r="P35" s="31">
        <v>0.35443037974683544</v>
      </c>
    </row>
    <row r="36" spans="1:16" x14ac:dyDescent="0.4">
      <c r="A36" s="33">
        <v>33</v>
      </c>
      <c r="B36" s="30">
        <v>270.8</v>
      </c>
      <c r="C36" s="30">
        <v>8.2060606060606069</v>
      </c>
      <c r="D36" s="35">
        <v>1.7878787878787878</v>
      </c>
      <c r="E36" s="31">
        <v>0.45454545454545453</v>
      </c>
      <c r="F36" s="31">
        <v>0.24242424242424243</v>
      </c>
      <c r="G36" s="31">
        <v>0.35964912280701755</v>
      </c>
      <c r="H36" s="31">
        <v>0.15350877192982457</v>
      </c>
      <c r="I36" s="32">
        <v>11253.658536585366</v>
      </c>
      <c r="J36" s="32">
        <v>-9765.7142857142862</v>
      </c>
      <c r="K36" s="31">
        <v>0.18181818181818182</v>
      </c>
      <c r="L36" s="31">
        <v>0</v>
      </c>
      <c r="M36" s="31">
        <v>0</v>
      </c>
      <c r="N36" s="31">
        <v>0</v>
      </c>
      <c r="O36" s="31">
        <v>0</v>
      </c>
      <c r="P36" s="31">
        <v>0.35365853658536583</v>
      </c>
    </row>
    <row r="37" spans="1:16" x14ac:dyDescent="0.4">
      <c r="A37" s="33">
        <v>34</v>
      </c>
      <c r="B37" s="30">
        <v>256.8</v>
      </c>
      <c r="C37" s="30">
        <v>7.5529411764705889</v>
      </c>
      <c r="D37" s="35">
        <v>1.7941176470588236</v>
      </c>
      <c r="E37" s="31">
        <v>0.44117647058823528</v>
      </c>
      <c r="F37" s="31">
        <v>0.23529411764705882</v>
      </c>
      <c r="G37" s="31">
        <v>0.3559322033898305</v>
      </c>
      <c r="H37" s="31">
        <v>0.15254237288135594</v>
      </c>
      <c r="I37" s="32">
        <v>11295.238095238095</v>
      </c>
      <c r="J37" s="32">
        <v>-9716.6666666666661</v>
      </c>
      <c r="K37" s="31">
        <v>0.17647058823529413</v>
      </c>
      <c r="L37" s="31">
        <v>0</v>
      </c>
      <c r="M37" s="31">
        <v>0</v>
      </c>
      <c r="N37" s="31">
        <v>0</v>
      </c>
      <c r="O37" s="31">
        <v>0</v>
      </c>
      <c r="P37" s="31">
        <v>0.35714285714285715</v>
      </c>
    </row>
    <row r="38" spans="1:16" x14ac:dyDescent="0.4">
      <c r="A38" s="33">
        <v>35</v>
      </c>
      <c r="B38" s="30">
        <v>253.4</v>
      </c>
      <c r="C38" s="30">
        <v>7.24</v>
      </c>
      <c r="D38" s="35">
        <v>1.8</v>
      </c>
      <c r="E38" s="31">
        <v>0.42857142857142855</v>
      </c>
      <c r="F38" s="31">
        <v>0.22857142857142856</v>
      </c>
      <c r="G38" s="31">
        <v>0.35390946502057613</v>
      </c>
      <c r="H38" s="31">
        <v>0.14814814814814814</v>
      </c>
      <c r="I38" s="32">
        <v>11155.813953488372</v>
      </c>
      <c r="J38" s="32">
        <v>-9716.6666666666661</v>
      </c>
      <c r="K38" s="31">
        <v>0.17142857142857143</v>
      </c>
      <c r="L38" s="31">
        <v>0</v>
      </c>
      <c r="M38" s="31">
        <v>0</v>
      </c>
      <c r="N38" s="31">
        <v>0</v>
      </c>
      <c r="O38" s="31">
        <v>0</v>
      </c>
      <c r="P38" s="31">
        <v>0.34883720930232559</v>
      </c>
    </row>
    <row r="39" spans="1:16" x14ac:dyDescent="0.4">
      <c r="A39" s="33">
        <v>36</v>
      </c>
      <c r="B39" s="30">
        <v>236.3</v>
      </c>
      <c r="C39" s="30">
        <v>6.5638888888888891</v>
      </c>
      <c r="D39" s="35">
        <v>1.8333333333333333</v>
      </c>
      <c r="E39" s="31">
        <v>0.41666666666666669</v>
      </c>
      <c r="F39" s="31">
        <v>0.25</v>
      </c>
      <c r="G39" s="31">
        <v>0.35059760956175301</v>
      </c>
      <c r="H39" s="31">
        <v>0.15537848605577689</v>
      </c>
      <c r="I39" s="32">
        <v>11068.181818181818</v>
      </c>
      <c r="J39" s="32">
        <v>-9512.8205128205136</v>
      </c>
      <c r="K39" s="31">
        <v>0.16666666666666666</v>
      </c>
      <c r="L39" s="31">
        <v>0</v>
      </c>
      <c r="M39" s="31">
        <v>0</v>
      </c>
      <c r="N39" s="31">
        <v>0</v>
      </c>
      <c r="O39" s="31">
        <v>0</v>
      </c>
      <c r="P39" s="31">
        <v>0.35227272727272729</v>
      </c>
    </row>
    <row r="40" spans="1:16" x14ac:dyDescent="0.4">
      <c r="A40" s="33">
        <v>37</v>
      </c>
      <c r="B40" s="30">
        <v>257.40000000000003</v>
      </c>
      <c r="C40" s="30">
        <v>6.9567567567567581</v>
      </c>
      <c r="D40" s="35">
        <v>1.8108108108108107</v>
      </c>
      <c r="E40" s="31">
        <v>0.43243243243243246</v>
      </c>
      <c r="F40" s="31">
        <v>0.24324324324324326</v>
      </c>
      <c r="G40" s="31">
        <v>0.35249042145593867</v>
      </c>
      <c r="H40" s="31">
        <v>0.15708812260536398</v>
      </c>
      <c r="I40" s="32">
        <v>11065.217391304348</v>
      </c>
      <c r="J40" s="32">
        <v>-9424.3902439024387</v>
      </c>
      <c r="K40" s="31">
        <v>0.16216216216216217</v>
      </c>
      <c r="L40" s="31">
        <v>0</v>
      </c>
      <c r="M40" s="31">
        <v>0</v>
      </c>
      <c r="N40" s="31">
        <v>0</v>
      </c>
      <c r="O40" s="31">
        <v>0</v>
      </c>
      <c r="P40" s="31">
        <v>0.38043478260869568</v>
      </c>
    </row>
    <row r="41" spans="1:16" x14ac:dyDescent="0.4">
      <c r="A41" s="33">
        <v>38</v>
      </c>
      <c r="B41" s="30">
        <v>206.80000000000004</v>
      </c>
      <c r="C41" s="30">
        <v>5.4421052631578961</v>
      </c>
      <c r="D41" s="35">
        <v>1.8421052631578947</v>
      </c>
      <c r="E41" s="31">
        <v>0.42105263157894735</v>
      </c>
      <c r="F41" s="31">
        <v>0.26315789473684209</v>
      </c>
      <c r="G41" s="31">
        <v>0.35114503816793891</v>
      </c>
      <c r="H41" s="31">
        <v>0.16030534351145037</v>
      </c>
      <c r="I41" s="32">
        <v>11065.217391304348</v>
      </c>
      <c r="J41" s="32">
        <v>-10404.761904761905</v>
      </c>
      <c r="K41" s="31">
        <v>0.18421052631578946</v>
      </c>
      <c r="L41" s="31">
        <v>0</v>
      </c>
      <c r="M41" s="31">
        <v>0</v>
      </c>
      <c r="N41" s="31">
        <v>0</v>
      </c>
      <c r="O41" s="31">
        <v>0</v>
      </c>
      <c r="P41" s="31">
        <v>0.38043478260869568</v>
      </c>
    </row>
    <row r="42" spans="1:16" x14ac:dyDescent="0.4">
      <c r="A42" s="33">
        <v>39</v>
      </c>
      <c r="B42" s="30">
        <v>198.60000000000005</v>
      </c>
      <c r="C42" s="30">
        <v>5.0923076923076938</v>
      </c>
      <c r="D42" s="35">
        <v>1.8461538461538463</v>
      </c>
      <c r="E42" s="31">
        <v>0.41025641025641024</v>
      </c>
      <c r="F42" s="31">
        <v>0.25641025641025639</v>
      </c>
      <c r="G42" s="31">
        <v>0.34831460674157305</v>
      </c>
      <c r="H42" s="31">
        <v>0.16104868913857678</v>
      </c>
      <c r="I42" s="32">
        <v>11075.268817204302</v>
      </c>
      <c r="J42" s="32">
        <v>-10341.860465116279</v>
      </c>
      <c r="K42" s="31">
        <v>0.17948717948717949</v>
      </c>
      <c r="L42" s="31">
        <v>0</v>
      </c>
      <c r="M42" s="31">
        <v>0</v>
      </c>
      <c r="N42" s="31">
        <v>0</v>
      </c>
      <c r="O42" s="31">
        <v>0</v>
      </c>
      <c r="P42" s="31">
        <v>0.38709677419354838</v>
      </c>
    </row>
    <row r="43" spans="1:16" x14ac:dyDescent="0.4">
      <c r="A43" s="33">
        <v>40</v>
      </c>
      <c r="B43" s="30">
        <v>191.60000000000005</v>
      </c>
      <c r="C43" s="30">
        <v>4.7900000000000009</v>
      </c>
      <c r="D43" s="35">
        <v>1.875</v>
      </c>
      <c r="E43" s="31">
        <v>0.4</v>
      </c>
      <c r="F43" s="31">
        <v>0.27500000000000002</v>
      </c>
      <c r="G43" s="31">
        <v>0.34432234432234432</v>
      </c>
      <c r="H43" s="31">
        <v>0.16483516483516483</v>
      </c>
      <c r="I43" s="32">
        <v>11042.553191489362</v>
      </c>
      <c r="J43" s="32">
        <v>-10175.555555555555</v>
      </c>
      <c r="K43" s="31">
        <v>0.17499999999999999</v>
      </c>
      <c r="L43" s="31">
        <v>0</v>
      </c>
      <c r="M43" s="31">
        <v>0</v>
      </c>
      <c r="N43" s="31">
        <v>0</v>
      </c>
      <c r="O43" s="31">
        <v>0</v>
      </c>
      <c r="P43" s="31">
        <v>0.39361702127659576</v>
      </c>
    </row>
    <row r="44" spans="1:16" x14ac:dyDescent="0.4">
      <c r="A44" s="33">
        <v>41</v>
      </c>
      <c r="B44" s="30">
        <v>155.20000000000005</v>
      </c>
      <c r="C44" s="30">
        <v>3.7853658536585377</v>
      </c>
      <c r="D44" s="35">
        <v>1.9024390243902438</v>
      </c>
      <c r="E44" s="31">
        <v>0.3902439024390244</v>
      </c>
      <c r="F44" s="31">
        <v>0.29268292682926828</v>
      </c>
      <c r="G44" s="31">
        <v>0.33568904593639576</v>
      </c>
      <c r="H44" s="31">
        <v>0.16961130742049471</v>
      </c>
      <c r="I44" s="32">
        <v>10981.052631578947</v>
      </c>
      <c r="J44" s="32">
        <v>-9987.5</v>
      </c>
      <c r="K44" s="31">
        <v>0.1951219512195122</v>
      </c>
      <c r="L44" s="31">
        <v>0</v>
      </c>
      <c r="M44" s="31">
        <v>0</v>
      </c>
      <c r="N44" s="31">
        <v>0</v>
      </c>
      <c r="O44" s="31">
        <v>0</v>
      </c>
      <c r="P44" s="31">
        <v>0.38947368421052631</v>
      </c>
    </row>
    <row r="45" spans="1:16" x14ac:dyDescent="0.4">
      <c r="A45" s="33">
        <v>42</v>
      </c>
      <c r="B45" s="30">
        <v>146.70000000000005</v>
      </c>
      <c r="C45" s="30">
        <v>3.4928571428571438</v>
      </c>
      <c r="D45" s="35">
        <v>1.9285714285714286</v>
      </c>
      <c r="E45" s="31">
        <v>0.38095238095238093</v>
      </c>
      <c r="F45" s="31">
        <v>0.30952380952380953</v>
      </c>
      <c r="G45" s="31">
        <v>0.33561643835616439</v>
      </c>
      <c r="H45" s="31">
        <v>0.17123287671232876</v>
      </c>
      <c r="I45" s="32">
        <v>10930.612244897959</v>
      </c>
      <c r="J45" s="32">
        <v>-9988</v>
      </c>
      <c r="K45" s="31">
        <v>0.19047619047619047</v>
      </c>
      <c r="L45" s="31">
        <v>0</v>
      </c>
      <c r="M45" s="31">
        <v>0</v>
      </c>
      <c r="N45" s="31">
        <v>0</v>
      </c>
      <c r="O45" s="31">
        <v>0</v>
      </c>
      <c r="P45" s="31">
        <v>0.40816326530612246</v>
      </c>
    </row>
    <row r="46" spans="1:16" x14ac:dyDescent="0.4">
      <c r="A46" s="33">
        <v>43</v>
      </c>
      <c r="B46" s="30">
        <v>155.10000000000005</v>
      </c>
      <c r="C46" s="30">
        <v>3.6069767441860479</v>
      </c>
      <c r="D46" s="35">
        <v>1.930232558139535</v>
      </c>
      <c r="E46" s="31">
        <v>0.37209302325581395</v>
      </c>
      <c r="F46" s="31">
        <v>0.30232558139534882</v>
      </c>
      <c r="G46" s="31">
        <v>0.33663366336633666</v>
      </c>
      <c r="H46" s="31">
        <v>0.16831683168316833</v>
      </c>
      <c r="I46" s="32">
        <v>10790.196078431372</v>
      </c>
      <c r="J46" s="32">
        <v>-9949.0196078431381</v>
      </c>
      <c r="K46" s="31">
        <v>0.18604651162790697</v>
      </c>
      <c r="L46" s="31">
        <v>0</v>
      </c>
      <c r="M46" s="31">
        <v>0</v>
      </c>
      <c r="N46" s="31">
        <v>0</v>
      </c>
      <c r="O46" s="31">
        <v>0</v>
      </c>
      <c r="P46" s="31">
        <v>0.40196078431372551</v>
      </c>
    </row>
    <row r="47" spans="1:16" x14ac:dyDescent="0.4">
      <c r="A47" s="33">
        <v>44</v>
      </c>
      <c r="B47" s="30">
        <v>144.70000000000005</v>
      </c>
      <c r="C47" s="30">
        <v>3.2886363636363645</v>
      </c>
      <c r="D47" s="35">
        <v>1.9545454545454546</v>
      </c>
      <c r="E47" s="31">
        <v>0.36363636363636365</v>
      </c>
      <c r="F47" s="31">
        <v>0.31818181818181818</v>
      </c>
      <c r="G47" s="31">
        <v>0.33762057877813506</v>
      </c>
      <c r="H47" s="31">
        <v>0.16720257234726688</v>
      </c>
      <c r="I47" s="32">
        <v>10682.857142857143</v>
      </c>
      <c r="J47" s="32">
        <v>-10065.384615384615</v>
      </c>
      <c r="K47" s="31">
        <v>0.18181818181818182</v>
      </c>
      <c r="L47" s="31">
        <v>0</v>
      </c>
      <c r="M47" s="31">
        <v>0</v>
      </c>
      <c r="N47" s="31">
        <v>0</v>
      </c>
      <c r="O47" s="31">
        <v>0</v>
      </c>
      <c r="P47" s="31">
        <v>0.39047619047619048</v>
      </c>
    </row>
    <row r="48" spans="1:16" x14ac:dyDescent="0.4">
      <c r="A48" s="33">
        <v>45</v>
      </c>
      <c r="B48" s="30">
        <v>172.60000000000005</v>
      </c>
      <c r="C48" s="30">
        <v>3.8355555555555565</v>
      </c>
      <c r="D48" s="35">
        <v>1.9333333333333333</v>
      </c>
      <c r="E48" s="31">
        <v>0.37777777777777777</v>
      </c>
      <c r="F48" s="31">
        <v>0.31111111111111112</v>
      </c>
      <c r="G48" s="31">
        <v>0.3449367088607595</v>
      </c>
      <c r="H48" s="31">
        <v>0.16455696202531644</v>
      </c>
      <c r="I48" s="32">
        <v>10592.660550458715</v>
      </c>
      <c r="J48" s="32">
        <v>-10065.384615384615</v>
      </c>
      <c r="K48" s="31">
        <v>0.17777777777777778</v>
      </c>
      <c r="L48" s="31">
        <v>0</v>
      </c>
      <c r="M48" s="31">
        <v>0</v>
      </c>
      <c r="N48" s="31">
        <v>0</v>
      </c>
      <c r="O48" s="31">
        <v>0</v>
      </c>
      <c r="P48" s="31">
        <v>0.37614678899082571</v>
      </c>
    </row>
    <row r="49" spans="1:16" x14ac:dyDescent="0.4">
      <c r="A49" s="33">
        <v>46</v>
      </c>
      <c r="B49" s="30">
        <v>152.10000000000005</v>
      </c>
      <c r="C49" s="30">
        <v>3.306521739130436</v>
      </c>
      <c r="D49" s="35">
        <v>1.9565217391304348</v>
      </c>
      <c r="E49" s="31">
        <v>0.36956521739130432</v>
      </c>
      <c r="F49" s="31">
        <v>0.32608695652173914</v>
      </c>
      <c r="G49" s="31">
        <v>0.34042553191489361</v>
      </c>
      <c r="H49" s="31">
        <v>0.1641337386018237</v>
      </c>
      <c r="I49" s="32">
        <v>10500.892857142857</v>
      </c>
      <c r="J49" s="32">
        <v>-9877.7777777777774</v>
      </c>
      <c r="K49" s="31">
        <v>0.17391304347826086</v>
      </c>
      <c r="L49" s="31">
        <v>0</v>
      </c>
      <c r="M49" s="31">
        <v>0</v>
      </c>
      <c r="N49" s="31">
        <v>0</v>
      </c>
      <c r="O49" s="31">
        <v>0</v>
      </c>
      <c r="P49" s="31">
        <v>0.375</v>
      </c>
    </row>
    <row r="50" spans="1:16" x14ac:dyDescent="0.4">
      <c r="A50" s="33">
        <v>47</v>
      </c>
      <c r="B50" s="30">
        <v>121.00000000000006</v>
      </c>
      <c r="C50" s="30">
        <v>2.5744680851063841</v>
      </c>
      <c r="D50" s="35">
        <v>1.9574468085106382</v>
      </c>
      <c r="E50" s="31">
        <v>0.36170212765957449</v>
      </c>
      <c r="F50" s="31">
        <v>0.31914893617021278</v>
      </c>
      <c r="G50" s="31">
        <v>0.33630952380952384</v>
      </c>
      <c r="H50" s="31">
        <v>0.16369047619047619</v>
      </c>
      <c r="I50" s="32">
        <v>10478.761061946903</v>
      </c>
      <c r="J50" s="32">
        <v>-9989.0909090909099</v>
      </c>
      <c r="K50" s="31">
        <v>0.1702127659574468</v>
      </c>
      <c r="L50" s="31">
        <v>0</v>
      </c>
      <c r="M50" s="31">
        <v>0</v>
      </c>
      <c r="N50" s="31">
        <v>0</v>
      </c>
      <c r="O50" s="31">
        <v>0</v>
      </c>
      <c r="P50" s="31">
        <v>0.37168141592920356</v>
      </c>
    </row>
    <row r="51" spans="1:16" x14ac:dyDescent="0.4">
      <c r="A51" s="33">
        <v>48</v>
      </c>
      <c r="B51" s="30">
        <v>137.20000000000005</v>
      </c>
      <c r="C51" s="30">
        <v>2.8583333333333343</v>
      </c>
      <c r="D51" s="35">
        <v>1.9375</v>
      </c>
      <c r="E51" s="31">
        <v>0.375</v>
      </c>
      <c r="F51" s="31">
        <v>0.3125</v>
      </c>
      <c r="G51" s="31">
        <v>0.34110787172011664</v>
      </c>
      <c r="H51" s="31">
        <v>0.16034985422740525</v>
      </c>
      <c r="I51" s="32">
        <v>10311.965811965812</v>
      </c>
      <c r="J51" s="32">
        <v>-9989.0909090909099</v>
      </c>
      <c r="K51" s="31">
        <v>0.16666666666666666</v>
      </c>
      <c r="L51" s="31">
        <v>0</v>
      </c>
      <c r="M51" s="31">
        <v>0</v>
      </c>
      <c r="N51" s="31">
        <v>0</v>
      </c>
      <c r="O51" s="31">
        <v>0</v>
      </c>
      <c r="P51" s="31">
        <v>0.36752136752136755</v>
      </c>
    </row>
    <row r="52" spans="1:16" x14ac:dyDescent="0.4">
      <c r="A52" s="33">
        <v>49</v>
      </c>
      <c r="B52" s="30">
        <v>132.30000000000004</v>
      </c>
      <c r="C52" s="30">
        <v>2.7000000000000006</v>
      </c>
      <c r="D52" s="35">
        <v>1.9387755102040816</v>
      </c>
      <c r="E52" s="31">
        <v>0.36734693877551022</v>
      </c>
      <c r="F52" s="31">
        <v>0.30612244897959184</v>
      </c>
      <c r="G52" s="31">
        <v>0.33711048158640228</v>
      </c>
      <c r="H52" s="31">
        <v>0.16147308781869688</v>
      </c>
      <c r="I52" s="32">
        <v>10424.36974789916</v>
      </c>
      <c r="J52" s="32">
        <v>-9917.5438596491222</v>
      </c>
      <c r="K52" s="31">
        <v>0.16326530612244897</v>
      </c>
      <c r="L52" s="31">
        <v>0</v>
      </c>
      <c r="M52" s="31">
        <v>0</v>
      </c>
      <c r="N52" s="31">
        <v>0</v>
      </c>
      <c r="O52" s="31">
        <v>0</v>
      </c>
      <c r="P52" s="31">
        <v>0.36974789915966388</v>
      </c>
    </row>
    <row r="53" spans="1:16" x14ac:dyDescent="0.4">
      <c r="A53" s="33">
        <v>50</v>
      </c>
      <c r="B53" s="30">
        <v>145.10000000000005</v>
      </c>
      <c r="C53" s="30">
        <v>2.902000000000001</v>
      </c>
      <c r="D53" s="35">
        <v>1.92</v>
      </c>
      <c r="E53" s="31">
        <v>0.38</v>
      </c>
      <c r="F53" s="31">
        <v>0.3</v>
      </c>
      <c r="G53" s="31">
        <v>0.33972602739726027</v>
      </c>
      <c r="H53" s="31">
        <v>0.16712328767123288</v>
      </c>
      <c r="I53" s="32">
        <v>10466.129032258064</v>
      </c>
      <c r="J53" s="32">
        <v>-9839.3442622950824</v>
      </c>
      <c r="K53" s="31">
        <v>0.16</v>
      </c>
      <c r="L53" s="31">
        <v>0</v>
      </c>
      <c r="M53" s="31">
        <v>0</v>
      </c>
      <c r="N53" s="31">
        <v>0</v>
      </c>
      <c r="O53" s="31">
        <v>0</v>
      </c>
      <c r="P53" s="31">
        <v>0.37096774193548387</v>
      </c>
    </row>
    <row r="54" spans="1:16" x14ac:dyDescent="0.4">
      <c r="A54" s="33">
        <v>51</v>
      </c>
      <c r="B54" s="30">
        <v>145.80000000000004</v>
      </c>
      <c r="C54" s="30">
        <v>2.8588235294117657</v>
      </c>
      <c r="D54" s="35">
        <v>1.9215686274509804</v>
      </c>
      <c r="E54" s="31">
        <v>0.37254901960784315</v>
      </c>
      <c r="F54" s="31">
        <v>0.29411764705882354</v>
      </c>
      <c r="G54" s="31">
        <v>0.34139784946236557</v>
      </c>
      <c r="H54" s="31">
        <v>0.16666666666666666</v>
      </c>
      <c r="I54" s="32">
        <v>10433.070866141732</v>
      </c>
      <c r="J54" s="32">
        <v>-9809.677419354839</v>
      </c>
      <c r="K54" s="31">
        <v>0.15686274509803921</v>
      </c>
      <c r="L54" s="31">
        <v>0</v>
      </c>
      <c r="M54" s="31">
        <v>0</v>
      </c>
      <c r="N54" s="31">
        <v>0</v>
      </c>
      <c r="O54" s="31">
        <v>0</v>
      </c>
      <c r="P54" s="31">
        <v>0.37007874015748032</v>
      </c>
    </row>
    <row r="55" spans="1:16" x14ac:dyDescent="0.4">
      <c r="A55" s="33">
        <v>52</v>
      </c>
      <c r="B55" s="30">
        <v>139.10000000000005</v>
      </c>
      <c r="C55" s="30">
        <v>2.6750000000000012</v>
      </c>
      <c r="D55" s="35">
        <v>1.9423076923076923</v>
      </c>
      <c r="E55" s="31">
        <v>0.36538461538461536</v>
      </c>
      <c r="F55" s="31">
        <v>0.30769230769230771</v>
      </c>
      <c r="G55" s="31">
        <v>0.34036939313984171</v>
      </c>
      <c r="H55" s="31">
        <v>0.16886543535620052</v>
      </c>
      <c r="I55" s="32">
        <v>10395.348837209302</v>
      </c>
      <c r="J55" s="32">
        <v>-9771.875</v>
      </c>
      <c r="K55" s="31">
        <v>0.15384615384615385</v>
      </c>
      <c r="L55" s="31">
        <v>0</v>
      </c>
      <c r="M55" s="31">
        <v>0</v>
      </c>
      <c r="N55" s="31">
        <v>0</v>
      </c>
      <c r="O55" s="31">
        <v>0</v>
      </c>
      <c r="P55" s="31">
        <v>0.37209302325581395</v>
      </c>
    </row>
    <row r="56" spans="1:16" x14ac:dyDescent="0.4">
      <c r="A56" s="33">
        <v>53</v>
      </c>
      <c r="B56" s="30">
        <v>111.10000000000005</v>
      </c>
      <c r="C56" s="30">
        <v>2.0962264150943404</v>
      </c>
      <c r="D56" s="35">
        <v>1.9433962264150944</v>
      </c>
      <c r="E56" s="31">
        <v>0.35849056603773582</v>
      </c>
      <c r="F56" s="31">
        <v>0.30188679245283018</v>
      </c>
      <c r="G56" s="31">
        <v>0.33678756476683935</v>
      </c>
      <c r="H56" s="31">
        <v>0.17098445595854922</v>
      </c>
      <c r="I56" s="32">
        <v>10438.461538461539</v>
      </c>
      <c r="J56" s="32">
        <v>-9839.3939393939399</v>
      </c>
      <c r="K56" s="31">
        <v>0.15094339622641509</v>
      </c>
      <c r="L56" s="31">
        <v>0</v>
      </c>
      <c r="M56" s="31">
        <v>0</v>
      </c>
      <c r="N56" s="31">
        <v>0</v>
      </c>
      <c r="O56" s="31">
        <v>0</v>
      </c>
      <c r="P56" s="31">
        <v>0.36923076923076925</v>
      </c>
    </row>
    <row r="57" spans="1:16" x14ac:dyDescent="0.4">
      <c r="A57" s="33">
        <v>54</v>
      </c>
      <c r="B57" s="30">
        <v>127.80000000000005</v>
      </c>
      <c r="C57" s="30">
        <v>2.3666666666666676</v>
      </c>
      <c r="D57" s="35">
        <v>1.9444444444444444</v>
      </c>
      <c r="E57" s="31">
        <v>0.35185185185185186</v>
      </c>
      <c r="F57" s="31">
        <v>0.29629629629629628</v>
      </c>
      <c r="G57" s="31">
        <v>0.3392857142857143</v>
      </c>
      <c r="H57" s="31">
        <v>0.1683673469387755</v>
      </c>
      <c r="I57" s="32">
        <v>10422.556390977443</v>
      </c>
      <c r="J57" s="32">
        <v>-9839.3939393939399</v>
      </c>
      <c r="K57" s="31">
        <v>0.14814814814814814</v>
      </c>
      <c r="L57" s="31">
        <v>0</v>
      </c>
      <c r="M57" s="31">
        <v>0</v>
      </c>
      <c r="N57" s="31">
        <v>0</v>
      </c>
      <c r="O57" s="31">
        <v>0</v>
      </c>
      <c r="P57" s="31">
        <v>0.36842105263157893</v>
      </c>
    </row>
    <row r="58" spans="1:16" x14ac:dyDescent="0.4">
      <c r="A58" s="33">
        <v>55</v>
      </c>
      <c r="B58" s="30">
        <v>120.80000000000005</v>
      </c>
      <c r="C58" s="30">
        <v>2.1963636363636372</v>
      </c>
      <c r="D58" s="35">
        <v>1.9636363636363636</v>
      </c>
      <c r="E58" s="31">
        <v>0.34545454545454546</v>
      </c>
      <c r="F58" s="31">
        <v>0.30909090909090908</v>
      </c>
      <c r="G58" s="31">
        <v>0.33333333333333331</v>
      </c>
      <c r="H58" s="31">
        <v>0.16541353383458646</v>
      </c>
      <c r="I58" s="32">
        <v>10422.556390977443</v>
      </c>
      <c r="J58" s="32">
        <v>-9839.3939393939399</v>
      </c>
      <c r="K58" s="31">
        <v>0.14545454545454545</v>
      </c>
      <c r="L58" s="31">
        <v>0</v>
      </c>
      <c r="M58" s="31">
        <v>0</v>
      </c>
      <c r="N58" s="31">
        <v>0</v>
      </c>
      <c r="O58" s="31">
        <v>0</v>
      </c>
      <c r="P58" s="31">
        <v>0.36842105263157893</v>
      </c>
    </row>
    <row r="59" spans="1:16" x14ac:dyDescent="0.4">
      <c r="A59" s="33">
        <v>56</v>
      </c>
      <c r="B59" s="30">
        <v>152.40000000000006</v>
      </c>
      <c r="C59" s="30">
        <v>2.7214285714285724</v>
      </c>
      <c r="D59" s="35">
        <v>1.9464285714285714</v>
      </c>
      <c r="E59" s="31">
        <v>0.35714285714285715</v>
      </c>
      <c r="F59" s="31">
        <v>0.30357142857142855</v>
      </c>
      <c r="G59" s="31">
        <v>0.33823529411764708</v>
      </c>
      <c r="H59" s="31">
        <v>0.1642156862745098</v>
      </c>
      <c r="I59" s="32">
        <v>10465.217391304348</v>
      </c>
      <c r="J59" s="32">
        <v>-9961.194029850747</v>
      </c>
      <c r="K59" s="31">
        <v>0.14285714285714285</v>
      </c>
      <c r="L59" s="31">
        <v>0</v>
      </c>
      <c r="M59" s="31">
        <v>0</v>
      </c>
      <c r="N59" s="31">
        <v>0</v>
      </c>
      <c r="O59" s="31">
        <v>0</v>
      </c>
      <c r="P59" s="31">
        <v>0.36956521739130432</v>
      </c>
    </row>
    <row r="60" spans="1:16" x14ac:dyDescent="0.4">
      <c r="A60" s="33">
        <v>57</v>
      </c>
      <c r="B60" s="30">
        <v>168.20000000000007</v>
      </c>
      <c r="C60" s="30">
        <v>2.9508771929824573</v>
      </c>
      <c r="D60" s="35">
        <v>1.9473684210526316</v>
      </c>
      <c r="E60" s="31">
        <v>0.35087719298245612</v>
      </c>
      <c r="F60" s="31">
        <v>0.2982456140350877</v>
      </c>
      <c r="G60" s="31">
        <v>0.33816425120772947</v>
      </c>
      <c r="H60" s="31">
        <v>0.16183574879227053</v>
      </c>
      <c r="I60" s="32">
        <v>10410.714285714286</v>
      </c>
      <c r="J60" s="32">
        <v>-9961.194029850747</v>
      </c>
      <c r="K60" s="31">
        <v>0.14035087719298245</v>
      </c>
      <c r="L60" s="31">
        <v>0</v>
      </c>
      <c r="M60" s="31">
        <v>0</v>
      </c>
      <c r="N60" s="31">
        <v>0</v>
      </c>
      <c r="O60" s="31">
        <v>0</v>
      </c>
      <c r="P60" s="31">
        <v>0.36428571428571427</v>
      </c>
    </row>
    <row r="61" spans="1:16" x14ac:dyDescent="0.4">
      <c r="A61" s="33">
        <v>58</v>
      </c>
      <c r="B61" s="30">
        <v>225.20000000000007</v>
      </c>
      <c r="C61" s="30">
        <v>3.8827586206896565</v>
      </c>
      <c r="D61" s="35">
        <v>1.9310344827586208</v>
      </c>
      <c r="E61" s="31">
        <v>0.36206896551724138</v>
      </c>
      <c r="F61" s="31">
        <v>0.29310344827586204</v>
      </c>
      <c r="G61" s="31">
        <v>0.34292565947242204</v>
      </c>
      <c r="H61" s="31">
        <v>0.16067146282973621</v>
      </c>
      <c r="I61" s="32">
        <v>10569.930069930069</v>
      </c>
      <c r="J61" s="32">
        <v>-9961.194029850747</v>
      </c>
      <c r="K61" s="31">
        <v>0.13793103448275862</v>
      </c>
      <c r="L61" s="31">
        <v>0</v>
      </c>
      <c r="M61" s="31">
        <v>0</v>
      </c>
      <c r="N61" s="31">
        <v>0</v>
      </c>
      <c r="O61" s="31">
        <v>0</v>
      </c>
      <c r="P61" s="31">
        <v>0.36363636363636365</v>
      </c>
    </row>
    <row r="62" spans="1:16" x14ac:dyDescent="0.4">
      <c r="A62" s="33">
        <v>59</v>
      </c>
      <c r="B62" s="30">
        <v>230.50000000000009</v>
      </c>
      <c r="C62" s="30">
        <v>3.9067796610169507</v>
      </c>
      <c r="D62" s="35">
        <v>1.9322033898305084</v>
      </c>
      <c r="E62" s="31">
        <v>0.3559322033898305</v>
      </c>
      <c r="F62" s="31">
        <v>0.28813559322033899</v>
      </c>
      <c r="G62" s="31">
        <v>0.34426229508196721</v>
      </c>
      <c r="H62" s="31">
        <v>0.16393442622950818</v>
      </c>
      <c r="I62" s="32">
        <v>10535.374149659863</v>
      </c>
      <c r="J62" s="32">
        <v>-9921.4285714285706</v>
      </c>
      <c r="K62" s="31">
        <v>0.13559322033898305</v>
      </c>
      <c r="L62" s="31">
        <v>0</v>
      </c>
      <c r="M62" s="31">
        <v>0</v>
      </c>
      <c r="N62" s="31">
        <v>0</v>
      </c>
      <c r="O62" s="31">
        <v>0</v>
      </c>
      <c r="P62" s="31">
        <v>0.36054421768707484</v>
      </c>
    </row>
    <row r="63" spans="1:16" x14ac:dyDescent="0.4">
      <c r="A63" s="33">
        <v>60</v>
      </c>
      <c r="B63" s="30">
        <v>184.40000000000009</v>
      </c>
      <c r="C63" s="30">
        <v>3.073333333333335</v>
      </c>
      <c r="D63" s="35">
        <v>1.95</v>
      </c>
      <c r="E63" s="31">
        <v>0.35</v>
      </c>
      <c r="F63" s="31">
        <v>0.3</v>
      </c>
      <c r="G63" s="31">
        <v>0.33793103448275863</v>
      </c>
      <c r="H63" s="31">
        <v>0.16321839080459771</v>
      </c>
      <c r="I63" s="32">
        <v>10535.374149659863</v>
      </c>
      <c r="J63" s="32">
        <v>-10035.211267605633</v>
      </c>
      <c r="K63" s="31">
        <v>0.15</v>
      </c>
      <c r="L63" s="31">
        <v>0</v>
      </c>
      <c r="M63" s="31">
        <v>0</v>
      </c>
      <c r="N63" s="31">
        <v>0</v>
      </c>
      <c r="O63" s="31">
        <v>0</v>
      </c>
      <c r="P63" s="31">
        <v>0.36054421768707484</v>
      </c>
    </row>
    <row r="64" spans="1:16" x14ac:dyDescent="0.4">
      <c r="A64" s="33">
        <v>61</v>
      </c>
      <c r="B64" s="30">
        <v>205.50000000000009</v>
      </c>
      <c r="C64" s="30">
        <v>3.3688524590163946</v>
      </c>
      <c r="D64" s="35">
        <v>1.9344262295081966</v>
      </c>
      <c r="E64" s="31">
        <v>0.36065573770491804</v>
      </c>
      <c r="F64" s="31">
        <v>0.29508196721311475</v>
      </c>
      <c r="G64" s="31">
        <v>0.34080717488789236</v>
      </c>
      <c r="H64" s="31">
        <v>0.16143497757847533</v>
      </c>
      <c r="I64" s="32">
        <v>10452.631578947368</v>
      </c>
      <c r="J64" s="32">
        <v>-10006.944444444445</v>
      </c>
      <c r="K64" s="31">
        <v>0.14754098360655737</v>
      </c>
      <c r="L64" s="31">
        <v>0</v>
      </c>
      <c r="M64" s="31">
        <v>0</v>
      </c>
      <c r="N64" s="31">
        <v>0</v>
      </c>
      <c r="O64" s="31">
        <v>0</v>
      </c>
      <c r="P64" s="31">
        <v>0.35526315789473684</v>
      </c>
    </row>
    <row r="65" spans="1:16" x14ac:dyDescent="0.4">
      <c r="A65" s="33">
        <v>62</v>
      </c>
      <c r="B65" s="30">
        <v>139.50000000000009</v>
      </c>
      <c r="C65" s="30">
        <v>2.2500000000000013</v>
      </c>
      <c r="D65" s="35">
        <v>1.9516129032258065</v>
      </c>
      <c r="E65" s="31">
        <v>0.35483870967741937</v>
      </c>
      <c r="F65" s="31">
        <v>0.30645161290322581</v>
      </c>
      <c r="G65" s="31">
        <v>0.34210526315789475</v>
      </c>
      <c r="H65" s="31">
        <v>0.16666666666666666</v>
      </c>
      <c r="I65" s="32">
        <v>10362.179487179486</v>
      </c>
      <c r="J65" s="32">
        <v>-10575</v>
      </c>
      <c r="K65" s="31">
        <v>0.16129032258064516</v>
      </c>
      <c r="L65" s="31">
        <v>0</v>
      </c>
      <c r="M65" s="31">
        <v>0</v>
      </c>
      <c r="N65" s="31">
        <v>0</v>
      </c>
      <c r="O65" s="31">
        <v>0</v>
      </c>
      <c r="P65" s="31">
        <v>0.35256410256410259</v>
      </c>
    </row>
    <row r="66" spans="1:16" x14ac:dyDescent="0.4">
      <c r="A66" s="33">
        <v>63</v>
      </c>
      <c r="B66" s="30">
        <v>134.50000000000009</v>
      </c>
      <c r="C66" s="30">
        <v>2.1349206349206362</v>
      </c>
      <c r="D66" s="35">
        <v>1.9523809523809523</v>
      </c>
      <c r="E66" s="31">
        <v>0.34920634920634919</v>
      </c>
      <c r="F66" s="31">
        <v>0.30158730158730157</v>
      </c>
      <c r="G66" s="31">
        <v>0.34210526315789475</v>
      </c>
      <c r="H66" s="31">
        <v>0.16666666666666666</v>
      </c>
      <c r="I66" s="32">
        <v>10362.179487179486</v>
      </c>
      <c r="J66" s="32">
        <v>-10575</v>
      </c>
      <c r="K66" s="31">
        <v>0.15873015873015872</v>
      </c>
      <c r="L66" s="31">
        <v>0</v>
      </c>
      <c r="M66" s="31">
        <v>0</v>
      </c>
      <c r="N66" s="31">
        <v>0</v>
      </c>
      <c r="O66" s="31">
        <v>0</v>
      </c>
      <c r="P66" s="31">
        <v>0.35256410256410259</v>
      </c>
    </row>
    <row r="67" spans="1:16" x14ac:dyDescent="0.4">
      <c r="A67" s="33">
        <v>64</v>
      </c>
      <c r="B67" s="30">
        <v>135.50000000000009</v>
      </c>
      <c r="C67" s="30">
        <v>2.1171875000000013</v>
      </c>
      <c r="D67" s="35">
        <v>1.953125</v>
      </c>
      <c r="E67" s="31">
        <v>0.34375</v>
      </c>
      <c r="F67" s="31">
        <v>0.296875</v>
      </c>
      <c r="G67" s="31">
        <v>0.34210526315789475</v>
      </c>
      <c r="H67" s="31">
        <v>0.16666666666666666</v>
      </c>
      <c r="I67" s="32">
        <v>10362.179487179486</v>
      </c>
      <c r="J67" s="32">
        <v>-10575</v>
      </c>
      <c r="K67" s="31">
        <v>0.15625</v>
      </c>
      <c r="L67" s="31">
        <v>0</v>
      </c>
      <c r="M67" s="31">
        <v>0</v>
      </c>
      <c r="N67" s="31">
        <v>0</v>
      </c>
      <c r="O67" s="31">
        <v>0</v>
      </c>
      <c r="P67" s="31">
        <v>0.35256410256410259</v>
      </c>
    </row>
    <row r="68" spans="1:16" x14ac:dyDescent="0.4">
      <c r="A68" s="33">
        <v>65</v>
      </c>
      <c r="B68" s="30">
        <v>167.10000000000008</v>
      </c>
      <c r="C68" s="30">
        <v>2.570769230769232</v>
      </c>
      <c r="D68" s="35">
        <v>1.9384615384615385</v>
      </c>
      <c r="E68" s="31">
        <v>0.35384615384615387</v>
      </c>
      <c r="F68" s="31">
        <v>0.29230769230769232</v>
      </c>
      <c r="G68" s="31">
        <v>0.34210526315789475</v>
      </c>
      <c r="H68" s="31">
        <v>0.16666666666666666</v>
      </c>
      <c r="I68" s="32">
        <v>10362.179487179486</v>
      </c>
      <c r="J68" s="32">
        <v>-10575</v>
      </c>
      <c r="K68" s="31">
        <v>0.15384615384615385</v>
      </c>
      <c r="L68" s="31">
        <v>0</v>
      </c>
      <c r="M68" s="31">
        <v>0</v>
      </c>
      <c r="N68" s="31">
        <v>0</v>
      </c>
      <c r="O68" s="31">
        <v>0</v>
      </c>
      <c r="P68" s="31">
        <v>0.35256410256410259</v>
      </c>
    </row>
    <row r="69" spans="1:16" x14ac:dyDescent="0.4">
      <c r="A69" s="33">
        <v>66</v>
      </c>
      <c r="B69" s="30">
        <v>148.10000000000008</v>
      </c>
      <c r="C69" s="30">
        <v>2.243939393939395</v>
      </c>
      <c r="D69" s="35">
        <v>1.9393939393939394</v>
      </c>
      <c r="E69" s="31">
        <v>0.34848484848484851</v>
      </c>
      <c r="F69" s="31">
        <v>0.2878787878787879</v>
      </c>
      <c r="G69" s="31">
        <v>0.33986928104575165</v>
      </c>
      <c r="H69" s="31">
        <v>0.16557734204793029</v>
      </c>
      <c r="I69" s="32">
        <v>10362.179487179486</v>
      </c>
      <c r="J69" s="32">
        <v>-10575</v>
      </c>
      <c r="K69" s="31">
        <v>0.15151515151515152</v>
      </c>
      <c r="L69" s="31">
        <v>0</v>
      </c>
      <c r="M69" s="31">
        <v>0</v>
      </c>
      <c r="N69" s="31">
        <v>0</v>
      </c>
      <c r="O69" s="31">
        <v>0</v>
      </c>
      <c r="P69" s="31">
        <v>0.35256410256410259</v>
      </c>
    </row>
    <row r="70" spans="1:16" x14ac:dyDescent="0.4">
      <c r="A70" s="33">
        <v>67</v>
      </c>
      <c r="B70" s="30">
        <v>138.20000000000007</v>
      </c>
      <c r="C70" s="30">
        <v>2.0626865671641803</v>
      </c>
      <c r="D70" s="35">
        <v>1.955223880597015</v>
      </c>
      <c r="E70" s="31">
        <v>0.34328358208955223</v>
      </c>
      <c r="F70" s="31">
        <v>0.29850746268656714</v>
      </c>
      <c r="G70" s="31">
        <v>0.33832976445396146</v>
      </c>
      <c r="H70" s="31">
        <v>0.16916488222698073</v>
      </c>
      <c r="I70" s="32">
        <v>10393.67088607595</v>
      </c>
      <c r="J70" s="32">
        <v>-10548.101265822785</v>
      </c>
      <c r="K70" s="31">
        <v>0.14925373134328357</v>
      </c>
      <c r="L70" s="31">
        <v>0.18181818181818182</v>
      </c>
      <c r="M70" s="31">
        <v>0.27272727272727271</v>
      </c>
      <c r="N70" s="31">
        <v>0.5</v>
      </c>
      <c r="O70" s="31">
        <v>0.33333333333333331</v>
      </c>
      <c r="P70" s="31">
        <v>0.34810126582278483</v>
      </c>
    </row>
    <row r="71" spans="1:16" x14ac:dyDescent="0.4">
      <c r="A71" s="33">
        <v>68</v>
      </c>
      <c r="B71" s="30">
        <v>139.10000000000008</v>
      </c>
      <c r="C71" s="30">
        <v>2.0455882352941188</v>
      </c>
      <c r="D71" s="35">
        <v>1.9558823529411764</v>
      </c>
      <c r="E71" s="31">
        <v>0.33823529411764708</v>
      </c>
      <c r="F71" s="31">
        <v>0.29411764705882354</v>
      </c>
      <c r="G71" s="31">
        <v>0.33894736842105261</v>
      </c>
      <c r="H71" s="31">
        <v>0.16842105263157894</v>
      </c>
      <c r="I71" s="32">
        <v>10342.23602484472</v>
      </c>
      <c r="J71" s="32">
        <v>-10516.25</v>
      </c>
      <c r="K71" s="31">
        <v>0.14705882352941177</v>
      </c>
      <c r="L71" s="31">
        <v>0.15789473684210525</v>
      </c>
      <c r="M71" s="31">
        <v>0.26315789473684209</v>
      </c>
      <c r="N71" s="31">
        <v>0.66666666666666663</v>
      </c>
      <c r="O71" s="31">
        <v>0.4</v>
      </c>
      <c r="P71" s="31">
        <v>0.34782608695652173</v>
      </c>
    </row>
    <row r="72" spans="1:16" x14ac:dyDescent="0.4">
      <c r="A72" s="33">
        <v>69</v>
      </c>
      <c r="B72" s="30">
        <v>171.40000000000009</v>
      </c>
      <c r="C72" s="30">
        <v>2.4840579710144941</v>
      </c>
      <c r="D72" s="35">
        <v>1.9420289855072463</v>
      </c>
      <c r="E72" s="31">
        <v>0.34782608695652173</v>
      </c>
      <c r="F72" s="31">
        <v>0.28985507246376813</v>
      </c>
      <c r="G72" s="31">
        <v>0.34095634095634098</v>
      </c>
      <c r="H72" s="31">
        <v>0.16632016632016633</v>
      </c>
      <c r="I72" s="32">
        <v>10310.365853658537</v>
      </c>
      <c r="J72" s="32">
        <v>-10516.25</v>
      </c>
      <c r="K72" s="31">
        <v>0.14492753623188406</v>
      </c>
      <c r="L72" s="31">
        <v>0.2</v>
      </c>
      <c r="M72" s="31">
        <v>0.28000000000000003</v>
      </c>
      <c r="N72" s="31">
        <v>0.8</v>
      </c>
      <c r="O72" s="31">
        <v>0.42857142857142855</v>
      </c>
      <c r="P72" s="31">
        <v>0.35365853658536583</v>
      </c>
    </row>
    <row r="73" spans="1:16" x14ac:dyDescent="0.4">
      <c r="A73" s="33">
        <v>70</v>
      </c>
      <c r="B73" s="30">
        <v>199.8000000000001</v>
      </c>
      <c r="C73" s="30">
        <v>2.8542857142857159</v>
      </c>
      <c r="D73" s="35">
        <v>1.9285714285714286</v>
      </c>
      <c r="E73" s="31">
        <v>0.35714285714285715</v>
      </c>
      <c r="F73" s="31">
        <v>0.2857142857142857</v>
      </c>
      <c r="G73" s="31">
        <v>0.34151329243353784</v>
      </c>
      <c r="H73" s="31">
        <v>0.16564417177914109</v>
      </c>
      <c r="I73" s="32">
        <v>10377.245508982036</v>
      </c>
      <c r="J73" s="32">
        <v>-10534.567901234568</v>
      </c>
      <c r="K73" s="31">
        <v>0.14285714285714285</v>
      </c>
      <c r="L73" s="31">
        <v>0.21212121212121213</v>
      </c>
      <c r="M73" s="31">
        <v>0.33333333333333331</v>
      </c>
      <c r="N73" s="31">
        <v>0.8571428571428571</v>
      </c>
      <c r="O73" s="31">
        <v>0.36363636363636365</v>
      </c>
      <c r="P73" s="31">
        <v>0.3592814371257485</v>
      </c>
    </row>
    <row r="74" spans="1:16" x14ac:dyDescent="0.4">
      <c r="A74" s="33">
        <v>71</v>
      </c>
      <c r="B74" s="30">
        <v>192.40000000000009</v>
      </c>
      <c r="C74" s="30">
        <v>2.7098591549295787</v>
      </c>
      <c r="D74" s="35">
        <v>1.9295774647887325</v>
      </c>
      <c r="E74" s="31">
        <v>0.352112676056338</v>
      </c>
      <c r="F74" s="31">
        <v>0.28169014084507044</v>
      </c>
      <c r="G74" s="31">
        <v>0.33939393939393941</v>
      </c>
      <c r="H74" s="31">
        <v>0.16363636363636364</v>
      </c>
      <c r="I74" s="32">
        <v>10325</v>
      </c>
      <c r="J74" s="32">
        <v>-10534.567901234568</v>
      </c>
      <c r="K74" s="31">
        <v>0.14084507042253522</v>
      </c>
      <c r="L74" s="31">
        <v>0.20512820512820512</v>
      </c>
      <c r="M74" s="31">
        <v>0.30769230769230771</v>
      </c>
      <c r="N74" s="31">
        <v>0.875</v>
      </c>
      <c r="O74" s="31">
        <v>0.33333333333333331</v>
      </c>
      <c r="P74" s="31">
        <v>0.35714285714285715</v>
      </c>
    </row>
    <row r="75" spans="1:16" x14ac:dyDescent="0.4">
      <c r="A75" s="33">
        <v>72</v>
      </c>
      <c r="B75" s="30">
        <v>210.7000000000001</v>
      </c>
      <c r="C75" s="30">
        <v>2.9263888888888903</v>
      </c>
      <c r="D75" s="35">
        <v>1.9166666666666667</v>
      </c>
      <c r="E75" s="31">
        <v>0.3611111111111111</v>
      </c>
      <c r="F75" s="31">
        <v>0.27777777777777779</v>
      </c>
      <c r="G75" s="31">
        <v>0.33996023856858848</v>
      </c>
      <c r="H75" s="31">
        <v>0.1610337972166998</v>
      </c>
      <c r="I75" s="32">
        <v>10298.245614035088</v>
      </c>
      <c r="J75" s="32">
        <v>-10534.567901234568</v>
      </c>
      <c r="K75" s="31">
        <v>0.1388888888888889</v>
      </c>
      <c r="L75" s="31">
        <v>0.21276595744680851</v>
      </c>
      <c r="M75" s="31">
        <v>0.31914893617021278</v>
      </c>
      <c r="N75" s="31">
        <v>0.8</v>
      </c>
      <c r="O75" s="31">
        <v>0.4</v>
      </c>
      <c r="P75" s="31">
        <v>0.35087719298245612</v>
      </c>
    </row>
    <row r="76" spans="1:16" x14ac:dyDescent="0.4">
      <c r="A76" s="33">
        <v>73</v>
      </c>
      <c r="B76" s="30">
        <v>196.8000000000001</v>
      </c>
      <c r="C76" s="30">
        <v>2.6958904109589055</v>
      </c>
      <c r="D76" s="35">
        <v>1.9178082191780821</v>
      </c>
      <c r="E76" s="31">
        <v>0.35616438356164382</v>
      </c>
      <c r="F76" s="31">
        <v>0.27397260273972601</v>
      </c>
      <c r="G76" s="31">
        <v>0.34246575342465752</v>
      </c>
      <c r="H76" s="31">
        <v>0.15851272015655576</v>
      </c>
      <c r="I76" s="32">
        <v>10163.428571428571</v>
      </c>
      <c r="J76" s="32">
        <v>-10534.567901234568</v>
      </c>
      <c r="K76" s="31">
        <v>0.13698630136986301</v>
      </c>
      <c r="L76" s="31">
        <v>0.21818181818181817</v>
      </c>
      <c r="M76" s="31">
        <v>0.32727272727272727</v>
      </c>
      <c r="N76" s="31">
        <v>0.75</v>
      </c>
      <c r="O76" s="31">
        <v>0.5</v>
      </c>
      <c r="P76" s="31">
        <v>0.35428571428571426</v>
      </c>
    </row>
    <row r="77" spans="1:16" x14ac:dyDescent="0.4">
      <c r="A77" s="33">
        <v>74</v>
      </c>
      <c r="B77" s="30">
        <v>236.8000000000001</v>
      </c>
      <c r="C77" s="30">
        <v>3.2000000000000015</v>
      </c>
      <c r="D77" s="35">
        <v>1.9054054054054055</v>
      </c>
      <c r="E77" s="31">
        <v>0.36486486486486486</v>
      </c>
      <c r="F77" s="31">
        <v>0.27027027027027029</v>
      </c>
      <c r="G77" s="31">
        <v>0.34563106796116505</v>
      </c>
      <c r="H77" s="31">
        <v>0.15728155339805824</v>
      </c>
      <c r="I77" s="32">
        <v>10216.85393258427</v>
      </c>
      <c r="J77" s="32">
        <v>-10534.567901234568</v>
      </c>
      <c r="K77" s="31">
        <v>0.13513513513513514</v>
      </c>
      <c r="L77" s="31">
        <v>0.23728813559322035</v>
      </c>
      <c r="M77" s="31">
        <v>0.32203389830508472</v>
      </c>
      <c r="N77" s="31">
        <v>0.7857142857142857</v>
      </c>
      <c r="O77" s="31">
        <v>0.52631578947368418</v>
      </c>
      <c r="P77" s="31">
        <v>0.3539325842696629</v>
      </c>
    </row>
    <row r="78" spans="1:16" x14ac:dyDescent="0.4">
      <c r="A78" s="33">
        <v>75</v>
      </c>
      <c r="B78" s="30">
        <v>242.00000000000009</v>
      </c>
      <c r="C78" s="30">
        <v>3.2266666666666679</v>
      </c>
      <c r="D78" s="35">
        <v>1.9066666666666667</v>
      </c>
      <c r="E78" s="31">
        <v>0.36</v>
      </c>
      <c r="F78" s="31">
        <v>0.26666666666666666</v>
      </c>
      <c r="G78" s="31">
        <v>0.34740882917466409</v>
      </c>
      <c r="H78" s="31">
        <v>0.15738963531669867</v>
      </c>
      <c r="I78" s="32">
        <v>10150.828729281768</v>
      </c>
      <c r="J78" s="32">
        <v>-10503.658536585366</v>
      </c>
      <c r="K78" s="31">
        <v>0.13333333333333333</v>
      </c>
      <c r="L78" s="31">
        <v>0.26153846153846155</v>
      </c>
      <c r="M78" s="31">
        <v>0.30769230769230771</v>
      </c>
      <c r="N78" s="31">
        <v>0.76470588235294112</v>
      </c>
      <c r="O78" s="31">
        <v>0.5</v>
      </c>
      <c r="P78" s="31">
        <v>0.35911602209944754</v>
      </c>
    </row>
    <row r="79" spans="1:16" x14ac:dyDescent="0.4">
      <c r="A79" s="33">
        <v>76</v>
      </c>
      <c r="B79" s="30">
        <v>228.3000000000001</v>
      </c>
      <c r="C79" s="30">
        <v>3.0039473684210538</v>
      </c>
      <c r="D79" s="35">
        <v>1.9078947368421053</v>
      </c>
      <c r="E79" s="31">
        <v>0.35526315789473684</v>
      </c>
      <c r="F79" s="31">
        <v>0.26315789473684209</v>
      </c>
      <c r="G79" s="31">
        <v>0.34535104364326374</v>
      </c>
      <c r="H79" s="31">
        <v>0.15749525616698293</v>
      </c>
      <c r="I79" s="32">
        <v>10160.989010989011</v>
      </c>
      <c r="J79" s="32">
        <v>-10439.759036144578</v>
      </c>
      <c r="K79" s="31">
        <v>0.13157894736842105</v>
      </c>
      <c r="L79" s="31">
        <v>0.25352112676056338</v>
      </c>
      <c r="M79" s="31">
        <v>0.29577464788732394</v>
      </c>
      <c r="N79" s="31">
        <v>0.77777777777777779</v>
      </c>
      <c r="O79" s="31">
        <v>0.47619047619047616</v>
      </c>
      <c r="P79" s="31">
        <v>0.35714285714285715</v>
      </c>
    </row>
    <row r="80" spans="1:16" x14ac:dyDescent="0.4">
      <c r="A80" s="33">
        <v>77</v>
      </c>
      <c r="B80" s="30">
        <v>233.40000000000009</v>
      </c>
      <c r="C80" s="30">
        <v>3.0311688311688325</v>
      </c>
      <c r="D80" s="35">
        <v>1.9090909090909092</v>
      </c>
      <c r="E80" s="31">
        <v>0.35064935064935066</v>
      </c>
      <c r="F80" s="31">
        <v>0.25974025974025972</v>
      </c>
      <c r="G80" s="31">
        <v>0.34644194756554308</v>
      </c>
      <c r="H80" s="31">
        <v>0.15730337078651685</v>
      </c>
      <c r="I80" s="32">
        <v>10123.783783783783</v>
      </c>
      <c r="J80" s="32">
        <v>-10410.714285714286</v>
      </c>
      <c r="K80" s="31">
        <v>0.12987012987012986</v>
      </c>
      <c r="L80" s="31">
        <v>0.28205128205128205</v>
      </c>
      <c r="M80" s="31">
        <v>0.29487179487179488</v>
      </c>
      <c r="N80" s="31">
        <v>0.77272727272727271</v>
      </c>
      <c r="O80" s="31">
        <v>0.43478260869565216</v>
      </c>
      <c r="P80" s="31">
        <v>0.35675675675675678</v>
      </c>
    </row>
    <row r="81" spans="1:16" x14ac:dyDescent="0.4">
      <c r="A81" s="33">
        <v>78</v>
      </c>
      <c r="B81" s="30">
        <v>265.30000000000007</v>
      </c>
      <c r="C81" s="30">
        <v>3.4012820512820521</v>
      </c>
      <c r="D81" s="35">
        <v>1.8974358974358974</v>
      </c>
      <c r="E81" s="31">
        <v>0.35897435897435898</v>
      </c>
      <c r="F81" s="31">
        <v>0.25641025641025639</v>
      </c>
      <c r="G81" s="31">
        <v>0.34734917733089582</v>
      </c>
      <c r="H81" s="31">
        <v>0.15539305301645337</v>
      </c>
      <c r="I81" s="32">
        <v>10034.21052631579</v>
      </c>
      <c r="J81" s="32">
        <v>-10334.117647058823</v>
      </c>
      <c r="K81" s="31">
        <v>0.12820512820512819</v>
      </c>
      <c r="L81" s="31">
        <v>0.25274725274725274</v>
      </c>
      <c r="M81" s="31">
        <v>0.30769230769230771</v>
      </c>
      <c r="N81" s="31">
        <v>0.78260869565217395</v>
      </c>
      <c r="O81" s="31">
        <v>0.42857142857142855</v>
      </c>
      <c r="P81" s="31">
        <v>0.3473684210526316</v>
      </c>
    </row>
    <row r="82" spans="1:16" x14ac:dyDescent="0.4">
      <c r="A82" s="33">
        <v>79</v>
      </c>
      <c r="B82" s="30">
        <v>305.30000000000007</v>
      </c>
      <c r="C82" s="30">
        <v>3.8645569620253175</v>
      </c>
      <c r="D82" s="35">
        <v>1.8860759493670887</v>
      </c>
      <c r="E82" s="31">
        <v>0.36708860759493672</v>
      </c>
      <c r="F82" s="31">
        <v>0.25316455696202533</v>
      </c>
      <c r="G82" s="31">
        <v>0.34963768115942029</v>
      </c>
      <c r="H82" s="31">
        <v>0.1539855072463768</v>
      </c>
      <c r="I82" s="32">
        <v>10116.580310880829</v>
      </c>
      <c r="J82" s="32">
        <v>-10334.117647058823</v>
      </c>
      <c r="K82" s="31">
        <v>0.12658227848101267</v>
      </c>
      <c r="L82" s="31">
        <v>0.27083333333333331</v>
      </c>
      <c r="M82" s="31">
        <v>0.29166666666666669</v>
      </c>
      <c r="N82" s="31">
        <v>0.76923076923076927</v>
      </c>
      <c r="O82" s="31">
        <v>0.42857142857142855</v>
      </c>
      <c r="P82" s="31">
        <v>0.34196891191709844</v>
      </c>
    </row>
    <row r="83" spans="1:16" x14ac:dyDescent="0.4">
      <c r="A83" s="33">
        <v>80</v>
      </c>
      <c r="B83" s="30">
        <v>327.80000000000007</v>
      </c>
      <c r="C83" s="30">
        <v>4.097500000000001</v>
      </c>
      <c r="D83" s="35">
        <v>1.875</v>
      </c>
      <c r="E83" s="31">
        <v>0.375</v>
      </c>
      <c r="F83" s="31">
        <v>0.25</v>
      </c>
      <c r="G83" s="31">
        <v>0.35357142857142859</v>
      </c>
      <c r="H83" s="31">
        <v>0.15178571428571427</v>
      </c>
      <c r="I83" s="32">
        <v>10035.353535353535</v>
      </c>
      <c r="J83" s="32">
        <v>-10334.117647058823</v>
      </c>
      <c r="K83" s="31">
        <v>0.125</v>
      </c>
      <c r="L83" s="31">
        <v>0.25961538461538464</v>
      </c>
      <c r="M83" s="31">
        <v>0.28846153846153844</v>
      </c>
      <c r="N83" s="31">
        <v>0.77777777777777779</v>
      </c>
      <c r="O83" s="31">
        <v>0.46666666666666667</v>
      </c>
      <c r="P83" s="31">
        <v>0.34343434343434343</v>
      </c>
    </row>
    <row r="84" spans="1:16" x14ac:dyDescent="0.4">
      <c r="A84" s="33">
        <v>81</v>
      </c>
      <c r="B84" s="30">
        <v>359.30000000000007</v>
      </c>
      <c r="C84" s="30">
        <v>4.4358024691358029</v>
      </c>
      <c r="D84" s="35">
        <v>1.8641975308641976</v>
      </c>
      <c r="E84" s="31">
        <v>0.38271604938271603</v>
      </c>
      <c r="F84" s="31">
        <v>0.24691358024691357</v>
      </c>
      <c r="G84" s="31">
        <v>0.35387323943661969</v>
      </c>
      <c r="H84" s="31">
        <v>0.14964788732394366</v>
      </c>
      <c r="I84" s="32">
        <v>10024.875621890547</v>
      </c>
      <c r="J84" s="32">
        <v>-10334.117647058823</v>
      </c>
      <c r="K84" s="31">
        <v>0.12345679012345678</v>
      </c>
      <c r="L84" s="31">
        <v>0.25892857142857145</v>
      </c>
      <c r="M84" s="31">
        <v>0.2767857142857143</v>
      </c>
      <c r="N84" s="31">
        <v>0.75862068965517238</v>
      </c>
      <c r="O84" s="31">
        <v>0.45161290322580644</v>
      </c>
      <c r="P84" s="31">
        <v>0.35323383084577115</v>
      </c>
    </row>
    <row r="85" spans="1:16" x14ac:dyDescent="0.4">
      <c r="A85" s="33">
        <v>82</v>
      </c>
      <c r="B85" s="30">
        <v>419.10000000000008</v>
      </c>
      <c r="C85" s="30">
        <v>5.1109756097560988</v>
      </c>
      <c r="D85" s="35">
        <v>1.8536585365853659</v>
      </c>
      <c r="E85" s="31">
        <v>0.3902439024390244</v>
      </c>
      <c r="F85" s="31">
        <v>0.24390243902439024</v>
      </c>
      <c r="G85" s="31">
        <v>0.35427574171029669</v>
      </c>
      <c r="H85" s="31">
        <v>0.15008726003490402</v>
      </c>
      <c r="I85" s="32">
        <v>10300.492610837438</v>
      </c>
      <c r="J85" s="32">
        <v>-10251.162790697674</v>
      </c>
      <c r="K85" s="31">
        <v>0.12195121951219512</v>
      </c>
      <c r="L85" s="31">
        <v>0.26495726495726496</v>
      </c>
      <c r="M85" s="31">
        <v>0.26495726495726496</v>
      </c>
      <c r="N85" s="31">
        <v>0.74193548387096775</v>
      </c>
      <c r="O85" s="31">
        <v>0.45161290322580644</v>
      </c>
      <c r="P85" s="31">
        <v>0.35960591133004927</v>
      </c>
    </row>
    <row r="86" spans="1:16" x14ac:dyDescent="0.4">
      <c r="A86" s="33">
        <v>83</v>
      </c>
      <c r="B86" s="30">
        <v>430.2000000000001</v>
      </c>
      <c r="C86" s="30">
        <v>5.1831325301204831</v>
      </c>
      <c r="D86" s="35">
        <v>1.8554216867469879</v>
      </c>
      <c r="E86" s="31">
        <v>0.38554216867469882</v>
      </c>
      <c r="F86" s="31">
        <v>0.24096385542168675</v>
      </c>
      <c r="G86" s="31">
        <v>0.35604770017035775</v>
      </c>
      <c r="H86" s="31">
        <v>0.151618398637138</v>
      </c>
      <c r="I86" s="32">
        <v>10260.287081339713</v>
      </c>
      <c r="J86" s="32">
        <v>-10220.224719101123</v>
      </c>
      <c r="K86" s="31">
        <v>0.12048192771084337</v>
      </c>
      <c r="L86" s="31">
        <v>0.27480916030534353</v>
      </c>
      <c r="M86" s="31">
        <v>0.25190839694656486</v>
      </c>
      <c r="N86" s="31">
        <v>0.75</v>
      </c>
      <c r="O86" s="31">
        <v>0.45454545454545453</v>
      </c>
      <c r="P86" s="31">
        <v>0.35406698564593303</v>
      </c>
    </row>
    <row r="87" spans="1:16" x14ac:dyDescent="0.4">
      <c r="A87" s="33">
        <v>84</v>
      </c>
      <c r="B87" s="30">
        <v>431.80000000000013</v>
      </c>
      <c r="C87" s="30">
        <v>5.1404761904761918</v>
      </c>
      <c r="D87" s="35">
        <v>1.8571428571428572</v>
      </c>
      <c r="E87" s="31">
        <v>0.38095238095238093</v>
      </c>
      <c r="F87" s="31">
        <v>0.23809523809523808</v>
      </c>
      <c r="G87" s="31">
        <v>0.35462184873949582</v>
      </c>
      <c r="H87" s="31">
        <v>0.14957983193277311</v>
      </c>
      <c r="I87" s="32">
        <v>10219.431279620852</v>
      </c>
      <c r="J87" s="32">
        <v>-10220.224719101123</v>
      </c>
      <c r="K87" s="31">
        <v>0.11904761904761904</v>
      </c>
      <c r="L87" s="31">
        <v>0.28776978417266186</v>
      </c>
      <c r="M87" s="31">
        <v>0.2446043165467626</v>
      </c>
      <c r="N87" s="31">
        <v>0.72499999999999998</v>
      </c>
      <c r="O87" s="31">
        <v>0.44117647058823528</v>
      </c>
      <c r="P87" s="31">
        <v>0.35071090047393366</v>
      </c>
    </row>
    <row r="88" spans="1:16" x14ac:dyDescent="0.4">
      <c r="A88" s="33">
        <v>85</v>
      </c>
      <c r="B88" s="30">
        <v>410.40000000000015</v>
      </c>
      <c r="C88" s="30">
        <v>4.8282352941176487</v>
      </c>
      <c r="D88" s="35">
        <v>1.8705882352941177</v>
      </c>
      <c r="E88" s="31">
        <v>0.37647058823529411</v>
      </c>
      <c r="F88" s="31">
        <v>0.24705882352941178</v>
      </c>
      <c r="G88" s="31">
        <v>0.35323383084577115</v>
      </c>
      <c r="H88" s="31">
        <v>0.14925373134328357</v>
      </c>
      <c r="I88" s="32">
        <v>10207.981220657277</v>
      </c>
      <c r="J88" s="32">
        <v>-10150</v>
      </c>
      <c r="K88" s="31">
        <v>0.11764705882352941</v>
      </c>
      <c r="L88" s="31">
        <v>0.29251700680272108</v>
      </c>
      <c r="M88" s="31">
        <v>0.23129251700680273</v>
      </c>
      <c r="N88" s="31">
        <v>0.72093023255813948</v>
      </c>
      <c r="O88" s="31">
        <v>0.44117647058823528</v>
      </c>
      <c r="P88" s="31">
        <v>0.352112676056338</v>
      </c>
    </row>
    <row r="89" spans="1:16" x14ac:dyDescent="0.4">
      <c r="A89" s="33">
        <v>86</v>
      </c>
      <c r="B89" s="30">
        <v>413.90000000000015</v>
      </c>
      <c r="C89" s="30">
        <v>4.8127906976744201</v>
      </c>
      <c r="D89" s="35">
        <v>1.8604651162790697</v>
      </c>
      <c r="E89" s="31">
        <v>0.38372093023255816</v>
      </c>
      <c r="F89" s="31">
        <v>0.2441860465116279</v>
      </c>
      <c r="G89" s="31">
        <v>0.353518821603928</v>
      </c>
      <c r="H89" s="31">
        <v>0.15220949263502456</v>
      </c>
      <c r="I89" s="32">
        <v>10182.87037037037</v>
      </c>
      <c r="J89" s="32">
        <v>-10002.150537634408</v>
      </c>
      <c r="K89" s="31">
        <v>0.11627906976744186</v>
      </c>
      <c r="L89" s="31">
        <v>0.29032258064516131</v>
      </c>
      <c r="M89" s="31">
        <v>0.23225806451612904</v>
      </c>
      <c r="N89" s="31">
        <v>0.71111111111111114</v>
      </c>
      <c r="O89" s="31">
        <v>0.47222222222222221</v>
      </c>
      <c r="P89" s="31">
        <v>0.34722222222222221</v>
      </c>
    </row>
    <row r="90" spans="1:16" x14ac:dyDescent="0.4">
      <c r="A90" s="33">
        <v>87</v>
      </c>
      <c r="B90" s="30">
        <v>368.40000000000015</v>
      </c>
      <c r="C90" s="30">
        <v>4.2344827586206915</v>
      </c>
      <c r="D90" s="35">
        <v>1.8735632183908046</v>
      </c>
      <c r="E90" s="31">
        <v>0.37931034482758619</v>
      </c>
      <c r="F90" s="31">
        <v>0.25287356321839083</v>
      </c>
      <c r="G90" s="31">
        <v>0.35275080906148865</v>
      </c>
      <c r="H90" s="31">
        <v>0.15695792880258899</v>
      </c>
      <c r="I90" s="32">
        <v>10139.908256880733</v>
      </c>
      <c r="J90" s="32">
        <v>-10167.01030927835</v>
      </c>
      <c r="K90" s="31">
        <v>0.12643678160919541</v>
      </c>
      <c r="L90" s="31">
        <v>0.29012345679012347</v>
      </c>
      <c r="M90" s="31">
        <v>0.23456790123456789</v>
      </c>
      <c r="N90" s="31">
        <v>0.7021276595744681</v>
      </c>
      <c r="O90" s="31">
        <v>0.47368421052631576</v>
      </c>
      <c r="P90" s="31">
        <v>0.34862385321100919</v>
      </c>
    </row>
    <row r="91" spans="1:16" x14ac:dyDescent="0.4">
      <c r="A91" s="33">
        <v>88</v>
      </c>
      <c r="B91" s="30">
        <v>367.80000000000013</v>
      </c>
      <c r="C91" s="30">
        <v>4.1795454545454556</v>
      </c>
      <c r="D91" s="35">
        <v>1.875</v>
      </c>
      <c r="E91" s="31">
        <v>0.375</v>
      </c>
      <c r="F91" s="31">
        <v>0.25</v>
      </c>
      <c r="G91" s="31">
        <v>0.35406698564593303</v>
      </c>
      <c r="H91" s="31">
        <v>0.15789473684210525</v>
      </c>
      <c r="I91" s="32">
        <v>10087.387387387387</v>
      </c>
      <c r="J91" s="32">
        <v>-10052.525252525253</v>
      </c>
      <c r="K91" s="31">
        <v>0.125</v>
      </c>
      <c r="L91" s="31">
        <v>0.29239766081871343</v>
      </c>
      <c r="M91" s="31">
        <v>0.23391812865497075</v>
      </c>
      <c r="N91" s="31">
        <v>0.72</v>
      </c>
      <c r="O91" s="31">
        <v>0.47499999999999998</v>
      </c>
      <c r="P91" s="31">
        <v>0.34684684684684686</v>
      </c>
    </row>
    <row r="92" spans="1:16" x14ac:dyDescent="0.4">
      <c r="A92" s="33">
        <v>89</v>
      </c>
      <c r="B92" s="30">
        <v>394.2000000000001</v>
      </c>
      <c r="C92" s="30">
        <v>4.4292134831460688</v>
      </c>
      <c r="D92" s="35">
        <v>1.8651685393258426</v>
      </c>
      <c r="E92" s="31">
        <v>0.38202247191011235</v>
      </c>
      <c r="F92" s="31">
        <v>0.24719101123595505</v>
      </c>
      <c r="G92" s="31">
        <v>0.35275590551181102</v>
      </c>
      <c r="H92" s="31">
        <v>0.15905511811023623</v>
      </c>
      <c r="I92" s="32">
        <v>10175.892857142857</v>
      </c>
      <c r="J92" s="32">
        <v>-9913.8613861386148</v>
      </c>
      <c r="K92" s="31">
        <v>0.12359550561797752</v>
      </c>
      <c r="L92" s="31">
        <v>0.29050279329608941</v>
      </c>
      <c r="M92" s="31">
        <v>0.22346368715083798</v>
      </c>
      <c r="N92" s="31">
        <v>0.73076923076923073</v>
      </c>
      <c r="O92" s="31">
        <v>0.47499999999999998</v>
      </c>
      <c r="P92" s="31">
        <v>0.35267857142857145</v>
      </c>
    </row>
    <row r="93" spans="1:16" x14ac:dyDescent="0.4">
      <c r="A93" s="33">
        <v>90</v>
      </c>
      <c r="B93" s="30">
        <v>403.90000000000009</v>
      </c>
      <c r="C93" s="30">
        <v>4.4877777777777785</v>
      </c>
      <c r="D93" s="35">
        <v>1.8666666666666667</v>
      </c>
      <c r="E93" s="31">
        <v>0.37777777777777777</v>
      </c>
      <c r="F93" s="31">
        <v>0.24444444444444444</v>
      </c>
      <c r="G93" s="31">
        <v>0.35294117647058826</v>
      </c>
      <c r="H93" s="31">
        <v>0.15789473684210525</v>
      </c>
      <c r="I93" s="32">
        <v>10101.315789473685</v>
      </c>
      <c r="J93" s="32">
        <v>-9934.3137254901958</v>
      </c>
      <c r="K93" s="31">
        <v>0.12222222222222222</v>
      </c>
      <c r="L93" s="31">
        <v>0.28421052631578947</v>
      </c>
      <c r="M93" s="31">
        <v>0.23157894736842105</v>
      </c>
      <c r="N93" s="31">
        <v>0.7407407407407407</v>
      </c>
      <c r="O93" s="31">
        <v>0.45454545454545453</v>
      </c>
      <c r="P93" s="31">
        <v>0.35087719298245612</v>
      </c>
    </row>
    <row r="94" spans="1:16" x14ac:dyDescent="0.4">
      <c r="A94" s="33">
        <v>91</v>
      </c>
      <c r="B94" s="30">
        <v>425.00000000000011</v>
      </c>
      <c r="C94" s="30">
        <v>4.6703296703296715</v>
      </c>
      <c r="D94" s="35">
        <v>1.8571428571428572</v>
      </c>
      <c r="E94" s="31">
        <v>0.38461538461538464</v>
      </c>
      <c r="F94" s="31">
        <v>0.24175824175824176</v>
      </c>
      <c r="G94" s="31">
        <v>0.35582822085889571</v>
      </c>
      <c r="H94" s="31">
        <v>0.15644171779141106</v>
      </c>
      <c r="I94" s="32">
        <v>10075.431034482759</v>
      </c>
      <c r="J94" s="32">
        <v>-9934.3137254901958</v>
      </c>
      <c r="K94" s="31">
        <v>0.12087912087912088</v>
      </c>
      <c r="L94" s="31">
        <v>0.29081632653061223</v>
      </c>
      <c r="M94" s="31">
        <v>0.23469387755102042</v>
      </c>
      <c r="N94" s="31">
        <v>0.75438596491228072</v>
      </c>
      <c r="O94" s="31">
        <v>0.45652173913043476</v>
      </c>
      <c r="P94" s="31">
        <v>0.34913793103448276</v>
      </c>
    </row>
    <row r="95" spans="1:16" x14ac:dyDescent="0.4">
      <c r="A95" s="33">
        <v>92</v>
      </c>
      <c r="B95" s="30">
        <v>468.10000000000014</v>
      </c>
      <c r="C95" s="30">
        <v>5.0880434782608708</v>
      </c>
      <c r="D95" s="35">
        <v>1.8478260869565217</v>
      </c>
      <c r="E95" s="31">
        <v>0.39130434782608697</v>
      </c>
      <c r="F95" s="31">
        <v>0.2391304347826087</v>
      </c>
      <c r="G95" s="31">
        <v>0.35811836115326251</v>
      </c>
      <c r="H95" s="31">
        <v>0.15477996965098634</v>
      </c>
      <c r="I95" s="32">
        <v>10080.93220338983</v>
      </c>
      <c r="J95" s="32">
        <v>-9934.3137254901958</v>
      </c>
      <c r="K95" s="31">
        <v>0.11956521739130435</v>
      </c>
      <c r="L95" s="31">
        <v>0.29556650246305421</v>
      </c>
      <c r="M95" s="31">
        <v>0.23645320197044334</v>
      </c>
      <c r="N95" s="31">
        <v>0.75</v>
      </c>
      <c r="O95" s="31">
        <v>0.47916666666666669</v>
      </c>
      <c r="P95" s="31">
        <v>0.35169491525423729</v>
      </c>
    </row>
    <row r="96" spans="1:16" x14ac:dyDescent="0.4">
      <c r="A96" s="33">
        <v>93</v>
      </c>
      <c r="B96" s="30">
        <v>462.10000000000014</v>
      </c>
      <c r="C96" s="30">
        <v>4.968817204301077</v>
      </c>
      <c r="D96" s="35">
        <v>1.8494623655913978</v>
      </c>
      <c r="E96" s="31">
        <v>0.38709677419354838</v>
      </c>
      <c r="F96" s="31">
        <v>0.23655913978494625</v>
      </c>
      <c r="G96" s="31">
        <v>0.3568215892053973</v>
      </c>
      <c r="H96" s="31">
        <v>0.15442278860569716</v>
      </c>
      <c r="I96" s="32">
        <v>10045.378151260504</v>
      </c>
      <c r="J96" s="32">
        <v>-9912.6213592233016</v>
      </c>
      <c r="K96" s="31">
        <v>0.11827956989247312</v>
      </c>
      <c r="L96" s="31">
        <v>0.29383886255924169</v>
      </c>
      <c r="M96" s="31">
        <v>0.22748815165876776</v>
      </c>
      <c r="N96" s="31">
        <v>0.74193548387096775</v>
      </c>
      <c r="O96" s="31">
        <v>0.47916666666666669</v>
      </c>
      <c r="P96" s="31">
        <v>0.35294117647058826</v>
      </c>
    </row>
    <row r="97" spans="1:16" x14ac:dyDescent="0.4">
      <c r="A97" s="33">
        <v>94</v>
      </c>
      <c r="B97" s="30">
        <v>424.60000000000014</v>
      </c>
      <c r="C97" s="30">
        <v>4.517021276595746</v>
      </c>
      <c r="D97" s="35">
        <v>1.8617021276595744</v>
      </c>
      <c r="E97" s="31">
        <v>0.38297872340425532</v>
      </c>
      <c r="F97" s="31">
        <v>0.24468085106382978</v>
      </c>
      <c r="G97" s="31">
        <v>0.35364041604754831</v>
      </c>
      <c r="H97" s="31">
        <v>0.15601783060921248</v>
      </c>
      <c r="I97" s="32">
        <v>10045.378151260504</v>
      </c>
      <c r="J97" s="32">
        <v>-9876.1904761904771</v>
      </c>
      <c r="K97" s="31">
        <v>0.1276595744680851</v>
      </c>
      <c r="L97" s="31">
        <v>0.29032258064516131</v>
      </c>
      <c r="M97" s="31">
        <v>0.22580645161290322</v>
      </c>
      <c r="N97" s="31">
        <v>0.73015873015873012</v>
      </c>
      <c r="O97" s="31">
        <v>0.46938775510204084</v>
      </c>
      <c r="P97" s="31">
        <v>0.35294117647058826</v>
      </c>
    </row>
    <row r="98" spans="1:16" x14ac:dyDescent="0.4">
      <c r="A98" s="33">
        <v>95</v>
      </c>
      <c r="B98" s="30">
        <v>385.10000000000014</v>
      </c>
      <c r="C98" s="30">
        <v>4.0536842105263169</v>
      </c>
      <c r="D98" s="35">
        <v>1.8736842105263158</v>
      </c>
      <c r="E98" s="31">
        <v>0.37894736842105264</v>
      </c>
      <c r="F98" s="31">
        <v>0.25263157894736843</v>
      </c>
      <c r="G98" s="31">
        <v>0.35207100591715978</v>
      </c>
      <c r="H98" s="31">
        <v>0.15680473372781065</v>
      </c>
      <c r="I98" s="32">
        <v>10045.378151260504</v>
      </c>
      <c r="J98" s="32">
        <v>-9896.2264150943392</v>
      </c>
      <c r="K98" s="31">
        <v>0.1368421052631579</v>
      </c>
      <c r="L98" s="31">
        <v>0.29090909090909089</v>
      </c>
      <c r="M98" s="31">
        <v>0.22272727272727272</v>
      </c>
      <c r="N98" s="31">
        <v>0.71875</v>
      </c>
      <c r="O98" s="31">
        <v>0.46938775510204084</v>
      </c>
      <c r="P98" s="31">
        <v>0.35294117647058826</v>
      </c>
    </row>
    <row r="99" spans="1:16" x14ac:dyDescent="0.4">
      <c r="A99" s="33">
        <v>96</v>
      </c>
      <c r="B99" s="30">
        <v>396.20000000000016</v>
      </c>
      <c r="C99" s="30">
        <v>4.127083333333335</v>
      </c>
      <c r="D99" s="35">
        <v>1.8645833333333333</v>
      </c>
      <c r="E99" s="31">
        <v>0.38541666666666669</v>
      </c>
      <c r="F99" s="31">
        <v>0.25</v>
      </c>
      <c r="G99" s="31">
        <v>0.35431918008784774</v>
      </c>
      <c r="H99" s="31">
        <v>0.15666178623718888</v>
      </c>
      <c r="I99" s="32">
        <v>9970.6611570247933</v>
      </c>
      <c r="J99" s="32">
        <v>-9878.5046728971956</v>
      </c>
      <c r="K99" s="31">
        <v>0.13541666666666666</v>
      </c>
      <c r="L99" s="31">
        <v>0.29515418502202645</v>
      </c>
      <c r="M99" s="31">
        <v>0.22466960352422907</v>
      </c>
      <c r="N99" s="31">
        <v>0.71641791044776115</v>
      </c>
      <c r="O99" s="31">
        <v>0.47058823529411764</v>
      </c>
      <c r="P99" s="31">
        <v>0.35537190082644626</v>
      </c>
    </row>
    <row r="100" spans="1:16" x14ac:dyDescent="0.4">
      <c r="A100" s="33">
        <v>97</v>
      </c>
      <c r="B100" s="30">
        <v>394.20000000000016</v>
      </c>
      <c r="C100" s="30">
        <v>4.0639175257731974</v>
      </c>
      <c r="D100" s="35">
        <v>1.865979381443299</v>
      </c>
      <c r="E100" s="31">
        <v>0.38144329896907214</v>
      </c>
      <c r="F100" s="31">
        <v>0.24742268041237114</v>
      </c>
      <c r="G100" s="31">
        <v>0.35311143270622286</v>
      </c>
      <c r="H100" s="31">
        <v>0.15484804630969609</v>
      </c>
      <c r="I100" s="32">
        <v>9970.9016393442616</v>
      </c>
      <c r="J100" s="32">
        <v>-9878.5046728971956</v>
      </c>
      <c r="K100" s="31">
        <v>0.13402061855670103</v>
      </c>
      <c r="L100" s="31">
        <v>0.2978723404255319</v>
      </c>
      <c r="M100" s="31">
        <v>0.21702127659574469</v>
      </c>
      <c r="N100" s="31">
        <v>0.7142857142857143</v>
      </c>
      <c r="O100" s="31">
        <v>0.47058823529411764</v>
      </c>
      <c r="P100" s="31">
        <v>0.36065573770491804</v>
      </c>
    </row>
    <row r="101" spans="1:16" x14ac:dyDescent="0.4">
      <c r="A101" s="33">
        <v>98</v>
      </c>
      <c r="B101" s="30">
        <v>437.70000000000016</v>
      </c>
      <c r="C101" s="30">
        <v>4.4663265306122462</v>
      </c>
      <c r="D101" s="35">
        <v>1.8571428571428572</v>
      </c>
      <c r="E101" s="31">
        <v>0.38775510204081631</v>
      </c>
      <c r="F101" s="31">
        <v>0.24489795918367346</v>
      </c>
      <c r="G101" s="31">
        <v>0.35805991440798857</v>
      </c>
      <c r="H101" s="31">
        <v>0.15549215406562053</v>
      </c>
      <c r="I101" s="32">
        <v>9921.5139442231084</v>
      </c>
      <c r="J101" s="32">
        <v>-9843.119266055046</v>
      </c>
      <c r="K101" s="31">
        <v>0.1326530612244898</v>
      </c>
      <c r="L101" s="31">
        <v>0.29795918367346941</v>
      </c>
      <c r="M101" s="31">
        <v>0.22448979591836735</v>
      </c>
      <c r="N101" s="31">
        <v>0.71232876712328763</v>
      </c>
      <c r="O101" s="31">
        <v>0.49090909090909091</v>
      </c>
      <c r="P101" s="31">
        <v>0.35856573705179284</v>
      </c>
    </row>
    <row r="102" spans="1:16" x14ac:dyDescent="0.4">
      <c r="A102" s="33">
        <v>99</v>
      </c>
      <c r="B102" s="30">
        <v>432.10000000000014</v>
      </c>
      <c r="C102" s="30">
        <v>4.3646464646464658</v>
      </c>
      <c r="D102" s="35">
        <v>1.8585858585858586</v>
      </c>
      <c r="E102" s="31">
        <v>0.38383838383838381</v>
      </c>
      <c r="F102" s="31">
        <v>0.24242424242424243</v>
      </c>
      <c r="G102" s="31">
        <v>0.35785007072135783</v>
      </c>
      <c r="H102" s="31">
        <v>0.15417256011315417</v>
      </c>
      <c r="I102" s="32">
        <v>9895.2569169960479</v>
      </c>
      <c r="J102" s="32">
        <v>-9843.119266055046</v>
      </c>
      <c r="K102" s="31">
        <v>0.13131313131313133</v>
      </c>
      <c r="L102" s="31">
        <v>0.30278884462151395</v>
      </c>
      <c r="M102" s="31">
        <v>0.21912350597609562</v>
      </c>
      <c r="N102" s="31">
        <v>0.71052631578947367</v>
      </c>
      <c r="O102" s="31">
        <v>0.49090909090909091</v>
      </c>
      <c r="P102" s="31">
        <v>0.35968379446640314</v>
      </c>
    </row>
    <row r="103" spans="1:16" x14ac:dyDescent="0.4">
      <c r="A103" s="33">
        <v>100</v>
      </c>
      <c r="B103" s="30">
        <v>424.70000000000016</v>
      </c>
      <c r="C103" s="30">
        <v>4.2470000000000017</v>
      </c>
      <c r="D103" s="35">
        <v>1.86</v>
      </c>
      <c r="E103" s="31">
        <v>0.38</v>
      </c>
      <c r="F103" s="31">
        <v>0.24</v>
      </c>
      <c r="G103" s="31">
        <v>0.35674157303370785</v>
      </c>
      <c r="H103" s="31">
        <v>0.1544943820224719</v>
      </c>
      <c r="I103" s="32">
        <v>9887.7952755905517</v>
      </c>
      <c r="J103" s="32">
        <v>-9811.818181818182</v>
      </c>
      <c r="K103" s="31">
        <v>0.13</v>
      </c>
      <c r="L103" s="31">
        <v>0.30078125</v>
      </c>
      <c r="M103" s="31">
        <v>0.21875</v>
      </c>
      <c r="N103" s="31">
        <v>0.7142857142857143</v>
      </c>
      <c r="O103" s="31">
        <v>0.48214285714285715</v>
      </c>
      <c r="P103" s="31">
        <v>0.36220472440944884</v>
      </c>
    </row>
    <row r="104" spans="1:16" x14ac:dyDescent="0.4">
      <c r="A104" s="33">
        <v>101</v>
      </c>
      <c r="B104" s="30">
        <v>386.70000000000016</v>
      </c>
      <c r="C104" s="30">
        <v>3.8287128712871303</v>
      </c>
      <c r="D104" s="35">
        <v>1.8712871287128714</v>
      </c>
      <c r="E104" s="31">
        <v>0.37623762376237624</v>
      </c>
      <c r="F104" s="31">
        <v>0.24752475247524752</v>
      </c>
      <c r="G104" s="31">
        <v>0.35448275862068968</v>
      </c>
      <c r="H104" s="31">
        <v>0.15862068965517243</v>
      </c>
      <c r="I104" s="32">
        <v>9934.241245136187</v>
      </c>
      <c r="J104" s="32">
        <v>-9991.3043478260861</v>
      </c>
      <c r="K104" s="31">
        <v>0.13861386138613863</v>
      </c>
      <c r="L104" s="31">
        <v>0.29368029739776952</v>
      </c>
      <c r="M104" s="31">
        <v>0.21561338289962825</v>
      </c>
      <c r="N104" s="31">
        <v>0.70886075949367089</v>
      </c>
      <c r="O104" s="31">
        <v>0.46551724137931033</v>
      </c>
      <c r="P104" s="31">
        <v>0.35797665369649806</v>
      </c>
    </row>
    <row r="105" spans="1:16" x14ac:dyDescent="0.4">
      <c r="A105" s="33">
        <v>102</v>
      </c>
      <c r="B105" s="30">
        <v>367.90000000000015</v>
      </c>
      <c r="C105" s="30">
        <v>3.6068627450980406</v>
      </c>
      <c r="D105" s="35">
        <v>1.8823529411764706</v>
      </c>
      <c r="E105" s="31">
        <v>0.37254901960784315</v>
      </c>
      <c r="F105" s="31">
        <v>0.25490196078431371</v>
      </c>
      <c r="G105" s="31">
        <v>0.35422343324250682</v>
      </c>
      <c r="H105" s="31">
        <v>0.15940054495912806</v>
      </c>
      <c r="I105" s="32">
        <v>9865.7692307692305</v>
      </c>
      <c r="J105" s="32">
        <v>-9938.461538461539</v>
      </c>
      <c r="K105" s="31">
        <v>0.13725490196078433</v>
      </c>
      <c r="L105" s="31">
        <v>0.29496402877697842</v>
      </c>
      <c r="M105" s="31">
        <v>0.21582733812949639</v>
      </c>
      <c r="N105" s="31">
        <v>0.70731707317073167</v>
      </c>
      <c r="O105" s="31">
        <v>0.45</v>
      </c>
      <c r="P105" s="31">
        <v>0.36153846153846153</v>
      </c>
    </row>
    <row r="106" spans="1:16" x14ac:dyDescent="0.4">
      <c r="A106" s="33">
        <v>103</v>
      </c>
      <c r="B106" s="30">
        <v>394.90000000000015</v>
      </c>
      <c r="C106" s="30">
        <v>3.8339805825242732</v>
      </c>
      <c r="D106" s="35">
        <v>1.8737864077669903</v>
      </c>
      <c r="E106" s="31">
        <v>0.37864077669902912</v>
      </c>
      <c r="F106" s="31">
        <v>0.25242718446601942</v>
      </c>
      <c r="G106" s="31">
        <v>0.3530201342281879</v>
      </c>
      <c r="H106" s="31">
        <v>0.15973154362416109</v>
      </c>
      <c r="I106" s="32">
        <v>9897.7186311787063</v>
      </c>
      <c r="J106" s="32">
        <v>-9905.8823529411766</v>
      </c>
      <c r="K106" s="31">
        <v>0.13592233009708737</v>
      </c>
      <c r="L106" s="31">
        <v>0.28719723183391005</v>
      </c>
      <c r="M106" s="31">
        <v>0.2179930795847751</v>
      </c>
      <c r="N106" s="31">
        <v>0.6987951807228916</v>
      </c>
      <c r="O106" s="31">
        <v>0.44444444444444442</v>
      </c>
      <c r="P106" s="31">
        <v>0.36501901140684412</v>
      </c>
    </row>
    <row r="107" spans="1:16" x14ac:dyDescent="0.4">
      <c r="A107" s="33">
        <v>104</v>
      </c>
      <c r="B107" s="30">
        <v>439.50000000000017</v>
      </c>
      <c r="C107" s="30">
        <v>4.2259615384615401</v>
      </c>
      <c r="D107" s="35">
        <v>1.8653846153846154</v>
      </c>
      <c r="E107" s="31">
        <v>0.38461538461538464</v>
      </c>
      <c r="F107" s="31">
        <v>0.25</v>
      </c>
      <c r="G107" s="31">
        <v>0.35372340425531917</v>
      </c>
      <c r="H107" s="31">
        <v>0.15824468085106383</v>
      </c>
      <c r="I107" s="32">
        <v>9943.9849624060153</v>
      </c>
      <c r="J107" s="32">
        <v>-9905.8823529411766</v>
      </c>
      <c r="K107" s="31">
        <v>0.13461538461538461</v>
      </c>
      <c r="L107" s="31">
        <v>0.28716216216216217</v>
      </c>
      <c r="M107" s="31">
        <v>0.2195945945945946</v>
      </c>
      <c r="N107" s="31">
        <v>0.70588235294117652</v>
      </c>
      <c r="O107" s="31">
        <v>0.44615384615384618</v>
      </c>
      <c r="P107" s="31">
        <v>0.36842105263157893</v>
      </c>
    </row>
    <row r="108" spans="1:16" x14ac:dyDescent="0.4">
      <c r="A108" s="33">
        <v>105</v>
      </c>
      <c r="B108" s="30">
        <v>446.50000000000017</v>
      </c>
      <c r="C108" s="30">
        <v>4.2523809523809541</v>
      </c>
      <c r="D108" s="35">
        <v>1.8666666666666667</v>
      </c>
      <c r="E108" s="31">
        <v>0.38095238095238093</v>
      </c>
      <c r="F108" s="31">
        <v>0.24761904761904763</v>
      </c>
      <c r="G108" s="31">
        <v>0.35364238410596027</v>
      </c>
      <c r="H108" s="31">
        <v>0.15761589403973511</v>
      </c>
      <c r="I108" s="32">
        <v>9951.6853932584272</v>
      </c>
      <c r="J108" s="32">
        <v>-9905.8823529411766</v>
      </c>
      <c r="K108" s="31">
        <v>0.13333333333333333</v>
      </c>
      <c r="L108" s="31">
        <v>0.28428093645484948</v>
      </c>
      <c r="M108" s="31">
        <v>0.21739130434782608</v>
      </c>
      <c r="N108" s="31">
        <v>0.70588235294117652</v>
      </c>
      <c r="O108" s="31">
        <v>0.44615384615384618</v>
      </c>
      <c r="P108" s="31">
        <v>0.36704119850187267</v>
      </c>
    </row>
    <row r="109" spans="1:16" x14ac:dyDescent="0.4">
      <c r="A109" s="33">
        <v>106</v>
      </c>
      <c r="B109" s="30">
        <v>435.20000000000016</v>
      </c>
      <c r="C109" s="30">
        <v>4.1056603773584923</v>
      </c>
      <c r="D109" s="35">
        <v>1.8773584905660377</v>
      </c>
      <c r="E109" s="31">
        <v>0.37735849056603776</v>
      </c>
      <c r="F109" s="31">
        <v>0.25471698113207547</v>
      </c>
      <c r="G109" s="31">
        <v>0.35255570117955437</v>
      </c>
      <c r="H109" s="31">
        <v>0.15858453473132372</v>
      </c>
      <c r="I109" s="32">
        <v>9928.9962825278817</v>
      </c>
      <c r="J109" s="32">
        <v>-9862.809917355371</v>
      </c>
      <c r="K109" s="31">
        <v>0.13207547169811321</v>
      </c>
      <c r="L109" s="31">
        <v>0.28338762214983715</v>
      </c>
      <c r="M109" s="31">
        <v>0.21824104234527689</v>
      </c>
      <c r="N109" s="31">
        <v>0.70114942528735635</v>
      </c>
      <c r="O109" s="31">
        <v>0.44776119402985076</v>
      </c>
      <c r="P109" s="31">
        <v>0.36431226765799257</v>
      </c>
    </row>
    <row r="110" spans="1:16" x14ac:dyDescent="0.4">
      <c r="A110" s="33">
        <v>107</v>
      </c>
      <c r="B110" s="30">
        <v>419.70000000000016</v>
      </c>
      <c r="C110" s="30">
        <v>3.9224299065420576</v>
      </c>
      <c r="D110" s="35">
        <v>1.8785046728971964</v>
      </c>
      <c r="E110" s="31">
        <v>0.37383177570093457</v>
      </c>
      <c r="F110" s="31">
        <v>0.25233644859813081</v>
      </c>
      <c r="G110" s="31">
        <v>0.35240572171651496</v>
      </c>
      <c r="H110" s="31">
        <v>0.15864759427828348</v>
      </c>
      <c r="I110" s="32">
        <v>9929.5202952029522</v>
      </c>
      <c r="J110" s="32">
        <v>-9880.3278688524588</v>
      </c>
      <c r="K110" s="31">
        <v>0.13084112149532709</v>
      </c>
      <c r="L110" s="31">
        <v>0.28115015974440893</v>
      </c>
      <c r="M110" s="31">
        <v>0.21725239616613418</v>
      </c>
      <c r="N110" s="31">
        <v>0.70454545454545459</v>
      </c>
      <c r="O110" s="31">
        <v>0.45588235294117646</v>
      </c>
      <c r="P110" s="31">
        <v>0.36900369003690037</v>
      </c>
    </row>
    <row r="111" spans="1:16" x14ac:dyDescent="0.4">
      <c r="A111" s="33">
        <v>108</v>
      </c>
      <c r="B111" s="30">
        <v>400.40000000000015</v>
      </c>
      <c r="C111" s="30">
        <v>3.7074074074074086</v>
      </c>
      <c r="D111" s="35">
        <v>1.8888888888888888</v>
      </c>
      <c r="E111" s="31">
        <v>0.37037037037037035</v>
      </c>
      <c r="F111" s="31">
        <v>0.25925925925925924</v>
      </c>
      <c r="G111" s="31">
        <v>0.35166240409207161</v>
      </c>
      <c r="H111" s="31">
        <v>0.15728900255754474</v>
      </c>
      <c r="I111" s="32">
        <v>9876</v>
      </c>
      <c r="J111" s="32">
        <v>-9897.5609756097565</v>
      </c>
      <c r="K111" s="31">
        <v>0.12962962962962962</v>
      </c>
      <c r="L111" s="31">
        <v>0.2822085889570552</v>
      </c>
      <c r="M111" s="31">
        <v>0.21779141104294478</v>
      </c>
      <c r="N111" s="31">
        <v>0.70652173913043481</v>
      </c>
      <c r="O111" s="31">
        <v>0.45070422535211269</v>
      </c>
      <c r="P111" s="31">
        <v>0.37454545454545457</v>
      </c>
    </row>
    <row r="112" spans="1:16" x14ac:dyDescent="0.4">
      <c r="A112" s="33">
        <v>109</v>
      </c>
      <c r="B112" s="30">
        <v>424.40000000000015</v>
      </c>
      <c r="C112" s="30">
        <v>3.8935779816513776</v>
      </c>
      <c r="D112" s="35">
        <v>1.8807339449541285</v>
      </c>
      <c r="E112" s="31">
        <v>0.37614678899082571</v>
      </c>
      <c r="F112" s="31">
        <v>0.25688073394495414</v>
      </c>
      <c r="G112" s="31">
        <v>0.35279187817258884</v>
      </c>
      <c r="H112" s="31">
        <v>0.15609137055837563</v>
      </c>
      <c r="I112" s="32">
        <v>9855.7553956834527</v>
      </c>
      <c r="J112" s="32">
        <v>-9897.5609756097565</v>
      </c>
      <c r="K112" s="31">
        <v>0.12844036697247707</v>
      </c>
      <c r="L112" s="31">
        <v>0.28313253012048195</v>
      </c>
      <c r="M112" s="31">
        <v>0.22289156626506024</v>
      </c>
      <c r="N112" s="31">
        <v>0.71276595744680848</v>
      </c>
      <c r="O112" s="31">
        <v>0.44594594594594594</v>
      </c>
      <c r="P112" s="31">
        <v>0.37410071942446044</v>
      </c>
    </row>
    <row r="113" spans="1:16" x14ac:dyDescent="0.4">
      <c r="A113" s="33">
        <v>110</v>
      </c>
      <c r="B113" s="30">
        <v>443.90000000000015</v>
      </c>
      <c r="C113" s="30">
        <v>4.035454545454547</v>
      </c>
      <c r="D113" s="35">
        <v>1.8727272727272728</v>
      </c>
      <c r="E113" s="31">
        <v>0.38181818181818183</v>
      </c>
      <c r="F113" s="31">
        <v>0.25454545454545452</v>
      </c>
      <c r="G113" s="31">
        <v>0.35345911949685532</v>
      </c>
      <c r="H113" s="31">
        <v>0.15471698113207547</v>
      </c>
      <c r="I113" s="32">
        <v>9850.1779359430602</v>
      </c>
      <c r="J113" s="32">
        <v>-9897.5609756097565</v>
      </c>
      <c r="K113" s="31">
        <v>0.12727272727272726</v>
      </c>
      <c r="L113" s="31">
        <v>0.28613569321533922</v>
      </c>
      <c r="M113" s="31">
        <v>0.22123893805309736</v>
      </c>
      <c r="N113" s="31">
        <v>0.72164948453608246</v>
      </c>
      <c r="O113" s="31">
        <v>0.44</v>
      </c>
      <c r="P113" s="31">
        <v>0.37722419928825623</v>
      </c>
    </row>
    <row r="114" spans="1:16" x14ac:dyDescent="0.4">
      <c r="A114" s="33">
        <v>111</v>
      </c>
      <c r="B114" s="30">
        <v>438.50000000000017</v>
      </c>
      <c r="C114" s="30">
        <v>3.9504504504504521</v>
      </c>
      <c r="D114" s="35">
        <v>1.8738738738738738</v>
      </c>
      <c r="E114" s="31">
        <v>0.3783783783783784</v>
      </c>
      <c r="F114" s="31">
        <v>0.25225225225225223</v>
      </c>
      <c r="G114" s="31">
        <v>0.35199004975124376</v>
      </c>
      <c r="H114" s="31">
        <v>0.15547263681592038</v>
      </c>
      <c r="I114" s="32">
        <v>9865.3710247349827</v>
      </c>
      <c r="J114" s="32">
        <v>-9866.4</v>
      </c>
      <c r="K114" s="31">
        <v>0.12612612612612611</v>
      </c>
      <c r="L114" s="31">
        <v>0.28735632183908044</v>
      </c>
      <c r="M114" s="31">
        <v>0.21551724137931033</v>
      </c>
      <c r="N114" s="31">
        <v>0.72</v>
      </c>
      <c r="O114" s="31">
        <v>0.44</v>
      </c>
      <c r="P114" s="31">
        <v>0.37809187279151946</v>
      </c>
    </row>
    <row r="115" spans="1:16" x14ac:dyDescent="0.4">
      <c r="A115" s="33">
        <v>112</v>
      </c>
      <c r="B115" s="30">
        <v>494.50000000000017</v>
      </c>
      <c r="C115" s="30">
        <v>4.415178571428573</v>
      </c>
      <c r="D115" s="35">
        <v>1.8660714285714286</v>
      </c>
      <c r="E115" s="31">
        <v>0.38392857142857145</v>
      </c>
      <c r="F115" s="31">
        <v>0.25</v>
      </c>
      <c r="G115" s="31">
        <v>0.35308641975308641</v>
      </c>
      <c r="H115" s="31">
        <v>0.15432098765432098</v>
      </c>
      <c r="I115" s="32">
        <v>9950.6993006993016</v>
      </c>
      <c r="J115" s="32">
        <v>-9866.4</v>
      </c>
      <c r="K115" s="31">
        <v>0.125</v>
      </c>
      <c r="L115" s="31">
        <v>0.28813559322033899</v>
      </c>
      <c r="M115" s="31">
        <v>0.2175141242937853</v>
      </c>
      <c r="N115" s="31">
        <v>0.71568627450980393</v>
      </c>
      <c r="O115" s="31">
        <v>0.45454545454545453</v>
      </c>
      <c r="P115" s="31">
        <v>0.37412587412587411</v>
      </c>
    </row>
    <row r="116" spans="1:16" x14ac:dyDescent="0.4">
      <c r="A116" s="33">
        <v>113</v>
      </c>
      <c r="B116" s="30">
        <v>511.60000000000019</v>
      </c>
      <c r="C116" s="30">
        <v>4.5274336283185859</v>
      </c>
      <c r="D116" s="35">
        <v>1.8584070796460177</v>
      </c>
      <c r="E116" s="31">
        <v>0.38938053097345132</v>
      </c>
      <c r="F116" s="31">
        <v>0.24778761061946902</v>
      </c>
      <c r="G116" s="31">
        <v>0.35330073349633251</v>
      </c>
      <c r="H116" s="31">
        <v>0.15403422982885084</v>
      </c>
      <c r="I116" s="32">
        <v>9939.4463667820073</v>
      </c>
      <c r="J116" s="32">
        <v>-9851.5873015873021</v>
      </c>
      <c r="K116" s="31">
        <v>0.12389380530973451</v>
      </c>
      <c r="L116" s="31">
        <v>0.29005524861878451</v>
      </c>
      <c r="M116" s="31">
        <v>0.21546961325966851</v>
      </c>
      <c r="N116" s="31">
        <v>0.70476190476190481</v>
      </c>
      <c r="O116" s="31">
        <v>0.46153846153846156</v>
      </c>
      <c r="P116" s="31">
        <v>0.37024221453287198</v>
      </c>
    </row>
    <row r="117" spans="1:16" x14ac:dyDescent="0.4">
      <c r="A117" s="33">
        <v>114</v>
      </c>
      <c r="B117" s="30">
        <v>473.60000000000019</v>
      </c>
      <c r="C117" s="30">
        <v>4.1543859649122821</v>
      </c>
      <c r="D117" s="35">
        <v>1.868421052631579</v>
      </c>
      <c r="E117" s="31">
        <v>0.38596491228070173</v>
      </c>
      <c r="F117" s="31">
        <v>0.25438596491228072</v>
      </c>
      <c r="G117" s="31">
        <v>0.3515815085158151</v>
      </c>
      <c r="H117" s="31">
        <v>0.15815085158150852</v>
      </c>
      <c r="I117" s="32">
        <v>9939.4463667820073</v>
      </c>
      <c r="J117" s="32">
        <v>-9833.0769230769238</v>
      </c>
      <c r="K117" s="31">
        <v>0.13157894736842105</v>
      </c>
      <c r="L117" s="31">
        <v>0.28688524590163933</v>
      </c>
      <c r="M117" s="31">
        <v>0.21311475409836064</v>
      </c>
      <c r="N117" s="31">
        <v>0.70476190476190481</v>
      </c>
      <c r="O117" s="31">
        <v>0.46153846153846156</v>
      </c>
      <c r="P117" s="31">
        <v>0.37024221453287198</v>
      </c>
    </row>
    <row r="118" spans="1:16" x14ac:dyDescent="0.4">
      <c r="A118" s="33">
        <v>115</v>
      </c>
      <c r="B118" s="30">
        <v>490.10000000000019</v>
      </c>
      <c r="C118" s="30">
        <v>4.2617391304347843</v>
      </c>
      <c r="D118" s="35">
        <v>1.8608695652173912</v>
      </c>
      <c r="E118" s="31">
        <v>0.39130434782608697</v>
      </c>
      <c r="F118" s="31">
        <v>0.25217391304347825</v>
      </c>
      <c r="G118" s="31">
        <v>0.35343787696019302</v>
      </c>
      <c r="H118" s="31">
        <v>0.15681544028950542</v>
      </c>
      <c r="I118" s="32">
        <v>9853.2423208191121</v>
      </c>
      <c r="J118" s="32">
        <v>-9833.0769230769238</v>
      </c>
      <c r="K118" s="31">
        <v>0.13043478260869565</v>
      </c>
      <c r="L118" s="31">
        <v>0.28418230563002683</v>
      </c>
      <c r="M118" s="31">
        <v>0.21179624664879357</v>
      </c>
      <c r="N118" s="31">
        <v>0.70754716981132071</v>
      </c>
      <c r="O118" s="31">
        <v>0.46835443037974683</v>
      </c>
      <c r="P118" s="31">
        <v>0.3651877133105802</v>
      </c>
    </row>
    <row r="119" spans="1:16" x14ac:dyDescent="0.4">
      <c r="A119" s="33">
        <v>116</v>
      </c>
      <c r="B119" s="30">
        <v>505.4000000000002</v>
      </c>
      <c r="C119" s="30">
        <v>4.35689655172414</v>
      </c>
      <c r="D119" s="35">
        <v>1.853448275862069</v>
      </c>
      <c r="E119" s="31">
        <v>0.39655172413793105</v>
      </c>
      <c r="F119" s="31">
        <v>0.25</v>
      </c>
      <c r="G119" s="31">
        <v>0.3532219570405728</v>
      </c>
      <c r="H119" s="31">
        <v>0.15632458233890215</v>
      </c>
      <c r="I119" s="32">
        <v>9888.5135135135133</v>
      </c>
      <c r="J119" s="32">
        <v>-9797.7099236641225</v>
      </c>
      <c r="K119" s="31">
        <v>0.12931034482758622</v>
      </c>
      <c r="L119" s="31">
        <v>0.2879581151832461</v>
      </c>
      <c r="M119" s="31">
        <v>0.20942408376963351</v>
      </c>
      <c r="N119" s="31">
        <v>0.70909090909090911</v>
      </c>
      <c r="O119" s="31">
        <v>0.46250000000000002</v>
      </c>
      <c r="P119" s="31">
        <v>0.36148648648648651</v>
      </c>
    </row>
    <row r="120" spans="1:16" x14ac:dyDescent="0.4">
      <c r="A120" s="33">
        <v>117</v>
      </c>
      <c r="B120" s="30">
        <v>517.00000000000023</v>
      </c>
      <c r="C120" s="30">
        <v>4.4188034188034209</v>
      </c>
      <c r="D120" s="35">
        <v>1.8547008547008548</v>
      </c>
      <c r="E120" s="31">
        <v>0.39316239316239315</v>
      </c>
      <c r="F120" s="31">
        <v>0.24786324786324787</v>
      </c>
      <c r="G120" s="31">
        <v>0.35308056872037913</v>
      </c>
      <c r="H120" s="31">
        <v>0.15639810426540285</v>
      </c>
      <c r="I120" s="32">
        <v>9884.5637583892621</v>
      </c>
      <c r="J120" s="32">
        <v>-9784.0909090909099</v>
      </c>
      <c r="K120" s="31">
        <v>0.12820512820512819</v>
      </c>
      <c r="L120" s="31">
        <v>0.28865979381443296</v>
      </c>
      <c r="M120" s="31">
        <v>0.20876288659793815</v>
      </c>
      <c r="N120" s="31">
        <v>0.7142857142857143</v>
      </c>
      <c r="O120" s="31">
        <v>0.4567901234567901</v>
      </c>
      <c r="P120" s="31">
        <v>0.36241610738255031</v>
      </c>
    </row>
    <row r="121" spans="1:16" x14ac:dyDescent="0.4">
      <c r="A121" s="33">
        <v>118</v>
      </c>
      <c r="B121" s="30">
        <v>533.9000000000002</v>
      </c>
      <c r="C121" s="30">
        <v>4.5245762711864428</v>
      </c>
      <c r="D121" s="35">
        <v>1.847457627118644</v>
      </c>
      <c r="E121" s="31">
        <v>0.39830508474576271</v>
      </c>
      <c r="F121" s="31">
        <v>0.24576271186440679</v>
      </c>
      <c r="G121" s="31">
        <v>0.35169988276670572</v>
      </c>
      <c r="H121" s="31">
        <v>0.15474794841735054</v>
      </c>
      <c r="I121" s="32">
        <v>9948.3333333333339</v>
      </c>
      <c r="J121" s="32">
        <v>-9784.0909090909099</v>
      </c>
      <c r="K121" s="31">
        <v>0.1271186440677966</v>
      </c>
      <c r="L121" s="31">
        <v>0.2871536523929471</v>
      </c>
      <c r="M121" s="31">
        <v>0.20906801007556675</v>
      </c>
      <c r="N121" s="31">
        <v>0.71052631578947367</v>
      </c>
      <c r="O121" s="31">
        <v>0.44578313253012047</v>
      </c>
      <c r="P121" s="31">
        <v>0.36333333333333334</v>
      </c>
    </row>
    <row r="122" spans="1:16" x14ac:dyDescent="0.4">
      <c r="A122" s="33">
        <v>119</v>
      </c>
      <c r="B122" s="30">
        <v>496.4000000000002</v>
      </c>
      <c r="C122" s="30">
        <v>4.1714285714285735</v>
      </c>
      <c r="D122" s="35">
        <v>1.8571428571428572</v>
      </c>
      <c r="E122" s="31">
        <v>0.3949579831932773</v>
      </c>
      <c r="F122" s="31">
        <v>0.25210084033613445</v>
      </c>
      <c r="G122" s="31">
        <v>0.34965034965034963</v>
      </c>
      <c r="H122" s="31">
        <v>0.15617715617715619</v>
      </c>
      <c r="I122" s="32">
        <v>9948.3333333333339</v>
      </c>
      <c r="J122" s="32">
        <v>-9817.1641791044767</v>
      </c>
      <c r="K122" s="31">
        <v>0.13445378151260504</v>
      </c>
      <c r="L122" s="31">
        <v>0.28358208955223879</v>
      </c>
      <c r="M122" s="31">
        <v>0.20895522388059701</v>
      </c>
      <c r="N122" s="31">
        <v>0.71052631578947367</v>
      </c>
      <c r="O122" s="31">
        <v>0.44047619047619047</v>
      </c>
      <c r="P122" s="31">
        <v>0.36333333333333334</v>
      </c>
    </row>
    <row r="123" spans="1:16" x14ac:dyDescent="0.4">
      <c r="A123" s="33">
        <v>120</v>
      </c>
      <c r="B123" s="30">
        <v>534.9000000000002</v>
      </c>
      <c r="C123" s="30">
        <v>4.4575000000000014</v>
      </c>
      <c r="D123" s="35">
        <v>1.85</v>
      </c>
      <c r="E123" s="31">
        <v>0.4</v>
      </c>
      <c r="F123" s="31">
        <v>0.25</v>
      </c>
      <c r="G123" s="31">
        <v>0.35225955967555039</v>
      </c>
      <c r="H123" s="31">
        <v>0.1552723059096176</v>
      </c>
      <c r="I123" s="32">
        <v>9955.5921052631584</v>
      </c>
      <c r="J123" s="32">
        <v>-9817.1641791044767</v>
      </c>
      <c r="K123" s="31">
        <v>0.13333333333333333</v>
      </c>
      <c r="L123" s="31">
        <v>0.28501228501228504</v>
      </c>
      <c r="M123" s="31">
        <v>0.20638820638820637</v>
      </c>
      <c r="N123" s="31">
        <v>0.71551724137931039</v>
      </c>
      <c r="O123" s="31">
        <v>0.44047619047619047</v>
      </c>
      <c r="P123" s="31">
        <v>0.36513157894736842</v>
      </c>
    </row>
    <row r="124" spans="1:16" x14ac:dyDescent="0.4">
      <c r="A124" s="33">
        <v>121</v>
      </c>
      <c r="B124" s="30">
        <v>488.4000000000002</v>
      </c>
      <c r="C124" s="30">
        <v>4.0363636363636379</v>
      </c>
      <c r="D124" s="35">
        <v>1.859504132231405</v>
      </c>
      <c r="E124" s="31">
        <v>0.39669421487603307</v>
      </c>
      <c r="F124" s="31">
        <v>0.256198347107438</v>
      </c>
      <c r="G124" s="31">
        <v>0.35063437139561709</v>
      </c>
      <c r="H124" s="31">
        <v>0.15686274509803921</v>
      </c>
      <c r="I124" s="32">
        <v>9955.5921052631584</v>
      </c>
      <c r="J124" s="32">
        <v>-9952.2058823529405</v>
      </c>
      <c r="K124" s="31">
        <v>0.14049586776859505</v>
      </c>
      <c r="L124" s="31">
        <v>0.28467153284671531</v>
      </c>
      <c r="M124" s="31">
        <v>0.20681265206812652</v>
      </c>
      <c r="N124" s="31">
        <v>0.70940170940170943</v>
      </c>
      <c r="O124" s="31">
        <v>0.43529411764705883</v>
      </c>
      <c r="P124" s="31">
        <v>0.36513157894736842</v>
      </c>
    </row>
    <row r="125" spans="1:16" x14ac:dyDescent="0.4">
      <c r="A125" s="33">
        <v>122</v>
      </c>
      <c r="B125" s="30">
        <v>501.60000000000019</v>
      </c>
      <c r="C125" s="30">
        <v>4.1114754098360669</v>
      </c>
      <c r="D125" s="35">
        <v>1.8524590163934427</v>
      </c>
      <c r="E125" s="31">
        <v>0.40163934426229508</v>
      </c>
      <c r="F125" s="31">
        <v>0.25409836065573771</v>
      </c>
      <c r="G125" s="31">
        <v>0.34891676168757124</v>
      </c>
      <c r="H125" s="31">
        <v>0.15963511972633979</v>
      </c>
      <c r="I125" s="32">
        <v>10034.313725490196</v>
      </c>
      <c r="J125" s="32">
        <v>-9834.2857142857138</v>
      </c>
      <c r="K125" s="31">
        <v>0.13934426229508196</v>
      </c>
      <c r="L125" s="31">
        <v>0.28503562945368172</v>
      </c>
      <c r="M125" s="31">
        <v>0.20902612826603326</v>
      </c>
      <c r="N125" s="31">
        <v>0.69166666666666665</v>
      </c>
      <c r="O125" s="31">
        <v>0.43181818181818182</v>
      </c>
      <c r="P125" s="31">
        <v>0.36601307189542481</v>
      </c>
    </row>
    <row r="126" spans="1:16" x14ac:dyDescent="0.4">
      <c r="A126" s="33">
        <v>123</v>
      </c>
      <c r="B126" s="30">
        <v>482.10000000000019</v>
      </c>
      <c r="C126" s="30">
        <v>3.9195121951219529</v>
      </c>
      <c r="D126" s="35">
        <v>1.8617886178861789</v>
      </c>
      <c r="E126" s="31">
        <v>0.3983739837398374</v>
      </c>
      <c r="F126" s="31">
        <v>0.26016260162601629</v>
      </c>
      <c r="G126" s="31">
        <v>0.34572072072072074</v>
      </c>
      <c r="H126" s="31">
        <v>0.15990990990990991</v>
      </c>
      <c r="I126" s="32">
        <v>10027.687296416938</v>
      </c>
      <c r="J126" s="32">
        <v>-9759.1549295774639</v>
      </c>
      <c r="K126" s="31">
        <v>0.13821138211382114</v>
      </c>
      <c r="L126" s="31">
        <v>0.28472222222222221</v>
      </c>
      <c r="M126" s="31">
        <v>0.20833333333333334</v>
      </c>
      <c r="N126" s="31">
        <v>0.68292682926829273</v>
      </c>
      <c r="O126" s="31">
        <v>0.42222222222222222</v>
      </c>
      <c r="P126" s="31">
        <v>0.36482084690553745</v>
      </c>
    </row>
    <row r="127" spans="1:16" x14ac:dyDescent="0.4">
      <c r="A127" s="33">
        <v>124</v>
      </c>
      <c r="B127" s="30">
        <v>523.50000000000023</v>
      </c>
      <c r="C127" s="30">
        <v>4.2217741935483888</v>
      </c>
      <c r="D127" s="35">
        <v>1.8548387096774193</v>
      </c>
      <c r="E127" s="31">
        <v>0.40322580645161288</v>
      </c>
      <c r="F127" s="31">
        <v>0.25806451612903225</v>
      </c>
      <c r="G127" s="31">
        <v>0.34748603351955309</v>
      </c>
      <c r="H127" s="31">
        <v>0.15865921787709497</v>
      </c>
      <c r="I127" s="32">
        <v>10035.048231511255</v>
      </c>
      <c r="J127" s="32">
        <v>-9759.1549295774639</v>
      </c>
      <c r="K127" s="31">
        <v>0.13709677419354838</v>
      </c>
      <c r="L127" s="31">
        <v>0.2847380410022779</v>
      </c>
      <c r="M127" s="31">
        <v>0.20956719817767655</v>
      </c>
      <c r="N127" s="31">
        <v>0.68</v>
      </c>
      <c r="O127" s="31">
        <v>0.43478260869565216</v>
      </c>
      <c r="P127" s="31">
        <v>0.36334405144694532</v>
      </c>
    </row>
    <row r="128" spans="1:16" x14ac:dyDescent="0.4">
      <c r="A128" s="33">
        <v>125</v>
      </c>
      <c r="B128" s="30">
        <v>550.60000000000025</v>
      </c>
      <c r="C128" s="30">
        <v>4.4048000000000016</v>
      </c>
      <c r="D128" s="35">
        <v>1.8480000000000001</v>
      </c>
      <c r="E128" s="31">
        <v>0.40799999999999997</v>
      </c>
      <c r="F128" s="31">
        <v>0.25600000000000001</v>
      </c>
      <c r="G128" s="31">
        <v>0.34994462901439644</v>
      </c>
      <c r="H128" s="31">
        <v>0.15725359911406422</v>
      </c>
      <c r="I128" s="32">
        <v>10012.658227848102</v>
      </c>
      <c r="J128" s="32">
        <v>-9759.1549295774639</v>
      </c>
      <c r="K128" s="31">
        <v>0.13600000000000001</v>
      </c>
      <c r="L128" s="31">
        <v>0.28635346756152125</v>
      </c>
      <c r="M128" s="31">
        <v>0.21252796420581654</v>
      </c>
      <c r="N128" s="31">
        <v>0.6796875</v>
      </c>
      <c r="O128" s="31">
        <v>0.45263157894736844</v>
      </c>
      <c r="P128" s="31">
        <v>0.36075949367088606</v>
      </c>
    </row>
    <row r="129" spans="1:16" x14ac:dyDescent="0.4">
      <c r="A129" s="33">
        <v>126</v>
      </c>
      <c r="B129" s="30">
        <v>559.10000000000025</v>
      </c>
      <c r="C129" s="30">
        <v>4.4373015873015893</v>
      </c>
      <c r="D129" s="35">
        <v>1.8492063492063493</v>
      </c>
      <c r="E129" s="31">
        <v>0.40476190476190477</v>
      </c>
      <c r="F129" s="31">
        <v>0.25396825396825395</v>
      </c>
      <c r="G129" s="31">
        <v>0.35087719298245612</v>
      </c>
      <c r="H129" s="31">
        <v>0.15570175438596492</v>
      </c>
      <c r="I129" s="32">
        <v>9962.5</v>
      </c>
      <c r="J129" s="32">
        <v>-9759.1549295774639</v>
      </c>
      <c r="K129" s="31">
        <v>0.13492063492063491</v>
      </c>
      <c r="L129" s="31">
        <v>0.28289473684210525</v>
      </c>
      <c r="M129" s="31">
        <v>0.21710526315789475</v>
      </c>
      <c r="N129" s="31">
        <v>0.68217054263565891</v>
      </c>
      <c r="O129" s="31">
        <v>0.46464646464646464</v>
      </c>
      <c r="P129" s="31">
        <v>0.36562499999999998</v>
      </c>
    </row>
    <row r="130" spans="1:16" x14ac:dyDescent="0.4">
      <c r="A130" s="33">
        <v>127</v>
      </c>
      <c r="B130" s="30">
        <v>602.4000000000002</v>
      </c>
      <c r="C130" s="30">
        <v>4.7433070866141751</v>
      </c>
      <c r="D130" s="35">
        <v>1.8425196850393701</v>
      </c>
      <c r="E130" s="31">
        <v>0.40944881889763779</v>
      </c>
      <c r="F130" s="31">
        <v>0.25196850393700787</v>
      </c>
      <c r="G130" s="31">
        <v>0.35326086956521741</v>
      </c>
      <c r="H130" s="31">
        <v>0.15543478260869564</v>
      </c>
      <c r="I130" s="32">
        <v>9966.1538461538457</v>
      </c>
      <c r="J130" s="32">
        <v>-9727.2727272727279</v>
      </c>
      <c r="K130" s="31">
        <v>0.13385826771653545</v>
      </c>
      <c r="L130" s="31">
        <v>0.28232758620689657</v>
      </c>
      <c r="M130" s="31">
        <v>0.21982758620689655</v>
      </c>
      <c r="N130" s="31">
        <v>0.68702290076335881</v>
      </c>
      <c r="O130" s="31">
        <v>0.48039215686274511</v>
      </c>
      <c r="P130" s="31">
        <v>0.36615384615384616</v>
      </c>
    </row>
    <row r="131" spans="1:16" x14ac:dyDescent="0.4">
      <c r="A131" s="33">
        <v>128</v>
      </c>
      <c r="B131" s="30">
        <v>628.4000000000002</v>
      </c>
      <c r="C131" s="30">
        <v>4.9093750000000016</v>
      </c>
      <c r="D131" s="35">
        <v>1.8359375</v>
      </c>
      <c r="E131" s="31">
        <v>0.4140625</v>
      </c>
      <c r="F131" s="31">
        <v>0.25</v>
      </c>
      <c r="G131" s="31">
        <v>0.35237068965517243</v>
      </c>
      <c r="H131" s="31">
        <v>0.15409482758620691</v>
      </c>
      <c r="I131" s="32">
        <v>10039.755351681957</v>
      </c>
      <c r="J131" s="32">
        <v>-9727.2727272727279</v>
      </c>
      <c r="K131" s="31">
        <v>0.1328125</v>
      </c>
      <c r="L131" s="31">
        <v>0.28177966101694918</v>
      </c>
      <c r="M131" s="31">
        <v>0.22033898305084745</v>
      </c>
      <c r="N131" s="31">
        <v>0.69172932330827064</v>
      </c>
      <c r="O131" s="31">
        <v>0.47115384615384615</v>
      </c>
      <c r="P131" s="31">
        <v>0.37003058103975534</v>
      </c>
    </row>
    <row r="132" spans="1:16" x14ac:dyDescent="0.4">
      <c r="A132" s="33">
        <v>129</v>
      </c>
      <c r="B132" s="30">
        <v>639.4000000000002</v>
      </c>
      <c r="C132" s="30">
        <v>4.9565891472868229</v>
      </c>
      <c r="D132" s="35">
        <v>1.8372093023255813</v>
      </c>
      <c r="E132" s="31">
        <v>0.41085271317829458</v>
      </c>
      <c r="F132" s="31">
        <v>0.24806201550387597</v>
      </c>
      <c r="G132" s="31">
        <v>0.35074626865671643</v>
      </c>
      <c r="H132" s="31">
        <v>0.15458422174840086</v>
      </c>
      <c r="I132" s="32">
        <v>10075.987841945289</v>
      </c>
      <c r="J132" s="32">
        <v>-9689.6551724137935</v>
      </c>
      <c r="K132" s="31">
        <v>0.13178294573643412</v>
      </c>
      <c r="L132" s="31">
        <v>0.28215767634854771</v>
      </c>
      <c r="M132" s="31">
        <v>0.22199170124481327</v>
      </c>
      <c r="N132" s="31">
        <v>0.68382352941176472</v>
      </c>
      <c r="O132" s="31">
        <v>0.46728971962616822</v>
      </c>
      <c r="P132" s="31">
        <v>0.37082066869300911</v>
      </c>
    </row>
    <row r="133" spans="1:16" x14ac:dyDescent="0.4">
      <c r="A133" s="33">
        <v>130</v>
      </c>
      <c r="B133" s="30">
        <v>680.4000000000002</v>
      </c>
      <c r="C133" s="30">
        <v>5.2338461538461551</v>
      </c>
      <c r="D133" s="35">
        <v>1.8307692307692307</v>
      </c>
      <c r="E133" s="31">
        <v>0.41538461538461541</v>
      </c>
      <c r="F133" s="31">
        <v>0.24615384615384617</v>
      </c>
      <c r="G133" s="31">
        <v>0.35169491525423729</v>
      </c>
      <c r="H133" s="31">
        <v>0.15360169491525424</v>
      </c>
      <c r="I133" s="32">
        <v>10129.518072289156</v>
      </c>
      <c r="J133" s="32">
        <v>-9689.6551724137935</v>
      </c>
      <c r="K133" s="31">
        <v>0.13076923076923078</v>
      </c>
      <c r="L133" s="31">
        <v>0.28688524590163933</v>
      </c>
      <c r="M133" s="31">
        <v>0.22131147540983606</v>
      </c>
      <c r="N133" s="31">
        <v>0.6785714285714286</v>
      </c>
      <c r="O133" s="31">
        <v>0.47222222222222221</v>
      </c>
      <c r="P133" s="31">
        <v>0.37349397590361444</v>
      </c>
    </row>
    <row r="134" spans="1:16" x14ac:dyDescent="0.4">
      <c r="A134" s="33">
        <v>131</v>
      </c>
      <c r="B134" s="30">
        <v>660.60000000000025</v>
      </c>
      <c r="C134" s="30">
        <v>5.0427480916030554</v>
      </c>
      <c r="D134" s="35">
        <v>1.8396946564885497</v>
      </c>
      <c r="E134" s="31">
        <v>0.41221374045801529</v>
      </c>
      <c r="F134" s="31">
        <v>0.25190839694656486</v>
      </c>
      <c r="G134" s="31">
        <v>0.35015772870662459</v>
      </c>
      <c r="H134" s="31">
        <v>0.15562565720294427</v>
      </c>
      <c r="I134" s="32">
        <v>10110.81081081081</v>
      </c>
      <c r="J134" s="32">
        <v>-9636.4864864864867</v>
      </c>
      <c r="K134" s="31">
        <v>0.12977099236641221</v>
      </c>
      <c r="L134" s="31">
        <v>0.28282828282828282</v>
      </c>
      <c r="M134" s="31">
        <v>0.22222222222222221</v>
      </c>
      <c r="N134" s="31">
        <v>0.6785714285714286</v>
      </c>
      <c r="O134" s="31">
        <v>0.47272727272727272</v>
      </c>
      <c r="P134" s="31">
        <v>0.37237237237237236</v>
      </c>
    </row>
    <row r="135" spans="1:16" x14ac:dyDescent="0.4">
      <c r="A135" s="33">
        <v>132</v>
      </c>
      <c r="B135" s="30">
        <v>698.20000000000027</v>
      </c>
      <c r="C135" s="30">
        <v>5.2893939393939418</v>
      </c>
      <c r="D135" s="35">
        <v>1.8333333333333333</v>
      </c>
      <c r="E135" s="31">
        <v>0.41666666666666669</v>
      </c>
      <c r="F135" s="31">
        <v>0.25</v>
      </c>
      <c r="G135" s="31">
        <v>0.35446985446985446</v>
      </c>
      <c r="H135" s="31">
        <v>0.15384615384615385</v>
      </c>
      <c r="I135" s="32">
        <v>9977.4193548387102</v>
      </c>
      <c r="J135" s="32">
        <v>-9636.4864864864867</v>
      </c>
      <c r="K135" s="31">
        <v>0.12878787878787878</v>
      </c>
      <c r="L135" s="31">
        <v>0.28063241106719367</v>
      </c>
      <c r="M135" s="31">
        <v>0.22332015810276679</v>
      </c>
      <c r="N135" s="31">
        <v>0.676056338028169</v>
      </c>
      <c r="O135" s="31">
        <v>0.48672566371681414</v>
      </c>
      <c r="P135" s="31">
        <v>0.36950146627565983</v>
      </c>
    </row>
    <row r="136" spans="1:16" x14ac:dyDescent="0.4">
      <c r="A136" s="33">
        <v>133</v>
      </c>
      <c r="B136" s="30">
        <v>706.00000000000023</v>
      </c>
      <c r="C136" s="30">
        <v>5.3082706766917314</v>
      </c>
      <c r="D136" s="35">
        <v>1.8345864661654134</v>
      </c>
      <c r="E136" s="31">
        <v>0.41353383458646614</v>
      </c>
      <c r="F136" s="31">
        <v>0.24812030075187969</v>
      </c>
      <c r="G136" s="31">
        <v>0.35367114788004139</v>
      </c>
      <c r="H136" s="31">
        <v>0.15408479834539815</v>
      </c>
      <c r="I136" s="32">
        <v>9983.3333333333339</v>
      </c>
      <c r="J136" s="32">
        <v>-9589.2617449664431</v>
      </c>
      <c r="K136" s="31">
        <v>0.12781954887218044</v>
      </c>
      <c r="L136" s="31">
        <v>0.28375733855185908</v>
      </c>
      <c r="M136" s="31">
        <v>0.22309197651663404</v>
      </c>
      <c r="N136" s="31">
        <v>0.66896551724137931</v>
      </c>
      <c r="O136" s="31">
        <v>0.48245614035087719</v>
      </c>
      <c r="P136" s="31">
        <v>0.36842105263157893</v>
      </c>
    </row>
    <row r="137" spans="1:16" x14ac:dyDescent="0.4">
      <c r="A137" s="33">
        <v>134</v>
      </c>
      <c r="B137" s="30">
        <v>774.10000000000025</v>
      </c>
      <c r="C137" s="30">
        <v>5.7768656716417928</v>
      </c>
      <c r="D137" s="35">
        <v>1.8283582089552239</v>
      </c>
      <c r="E137" s="31">
        <v>0.41791044776119401</v>
      </c>
      <c r="F137" s="31">
        <v>0.2462686567164179</v>
      </c>
      <c r="G137" s="31">
        <v>0.3569230769230769</v>
      </c>
      <c r="H137" s="31">
        <v>0.15282051282051282</v>
      </c>
      <c r="I137" s="32">
        <v>10009.770114942528</v>
      </c>
      <c r="J137" s="32">
        <v>-9589.2617449664431</v>
      </c>
      <c r="K137" s="31">
        <v>0.12686567164179105</v>
      </c>
      <c r="L137" s="31">
        <v>0.28709055876685935</v>
      </c>
      <c r="M137" s="31">
        <v>0.22157996146435452</v>
      </c>
      <c r="N137" s="31">
        <v>0.67785234899328861</v>
      </c>
      <c r="O137" s="31">
        <v>0.48695652173913045</v>
      </c>
      <c r="P137" s="31">
        <v>0.37068965517241381</v>
      </c>
    </row>
    <row r="138" spans="1:16" x14ac:dyDescent="0.4">
      <c r="A138" s="33">
        <v>135</v>
      </c>
      <c r="B138" s="30">
        <v>779.3000000000003</v>
      </c>
      <c r="C138" s="30">
        <v>5.7725925925925949</v>
      </c>
      <c r="D138" s="35">
        <v>1.8296296296296297</v>
      </c>
      <c r="E138" s="31">
        <v>0.4148148148148148</v>
      </c>
      <c r="F138" s="31">
        <v>0.24444444444444444</v>
      </c>
      <c r="G138" s="31">
        <v>0.35772357723577236</v>
      </c>
      <c r="H138" s="31">
        <v>0.15142276422764228</v>
      </c>
      <c r="I138" s="32">
        <v>9953.4090909090901</v>
      </c>
      <c r="J138" s="32">
        <v>-9589.2617449664431</v>
      </c>
      <c r="K138" s="31">
        <v>0.12592592592592591</v>
      </c>
      <c r="L138" s="31">
        <v>0.28977272727272729</v>
      </c>
      <c r="M138" s="31">
        <v>0.2196969696969697</v>
      </c>
      <c r="N138" s="31">
        <v>0.6797385620915033</v>
      </c>
      <c r="O138" s="31">
        <v>0.48275862068965519</v>
      </c>
      <c r="P138" s="31">
        <v>0.36931818181818182</v>
      </c>
    </row>
    <row r="139" spans="1:16" x14ac:dyDescent="0.4">
      <c r="A139" s="33">
        <v>136</v>
      </c>
      <c r="B139" s="30">
        <v>795.50000000000034</v>
      </c>
      <c r="C139" s="30">
        <v>5.849264705882355</v>
      </c>
      <c r="D139" s="35">
        <v>1.8235294117647058</v>
      </c>
      <c r="E139" s="31">
        <v>0.41911764705882354</v>
      </c>
      <c r="F139" s="31">
        <v>0.24264705882352941</v>
      </c>
      <c r="G139" s="31">
        <v>0.35750251762336355</v>
      </c>
      <c r="H139" s="31">
        <v>0.15206445115810674</v>
      </c>
      <c r="I139" s="32">
        <v>9941.9718309859163</v>
      </c>
      <c r="J139" s="32">
        <v>-9509.2715231788079</v>
      </c>
      <c r="K139" s="31">
        <v>0.125</v>
      </c>
      <c r="L139" s="31">
        <v>0.29422718808193671</v>
      </c>
      <c r="M139" s="31">
        <v>0.21601489757914338</v>
      </c>
      <c r="N139" s="31">
        <v>0.67088607594936711</v>
      </c>
      <c r="O139" s="31">
        <v>0.48275862068965519</v>
      </c>
      <c r="P139" s="31">
        <v>0.36901408450704226</v>
      </c>
    </row>
    <row r="140" spans="1:16" x14ac:dyDescent="0.4">
      <c r="A140" s="33">
        <v>137</v>
      </c>
      <c r="B140" s="30">
        <v>819.70000000000039</v>
      </c>
      <c r="C140" s="30">
        <v>5.9832116788321192</v>
      </c>
      <c r="D140" s="35">
        <v>1.8175182481751824</v>
      </c>
      <c r="E140" s="31">
        <v>0.42335766423357662</v>
      </c>
      <c r="F140" s="31">
        <v>0.24087591240875914</v>
      </c>
      <c r="G140" s="31">
        <v>0.35721393034825871</v>
      </c>
      <c r="H140" s="31">
        <v>0.15024875621890546</v>
      </c>
      <c r="I140" s="32">
        <v>9957.9387186629519</v>
      </c>
      <c r="J140" s="32">
        <v>-9509.2715231788079</v>
      </c>
      <c r="K140" s="31">
        <v>0.12408759124087591</v>
      </c>
      <c r="L140" s="31">
        <v>0.29326047358834245</v>
      </c>
      <c r="M140" s="31">
        <v>0.21493624772313297</v>
      </c>
      <c r="N140" s="31">
        <v>0.67080745341614911</v>
      </c>
      <c r="O140" s="31">
        <v>0.48305084745762711</v>
      </c>
      <c r="P140" s="31">
        <v>0.36768802228412256</v>
      </c>
    </row>
    <row r="141" spans="1:16" x14ac:dyDescent="0.4">
      <c r="A141" s="33">
        <v>138</v>
      </c>
      <c r="B141" s="30">
        <v>840.30000000000041</v>
      </c>
      <c r="C141" s="30">
        <v>6.0891304347826116</v>
      </c>
      <c r="D141" s="35">
        <v>1.818840579710145</v>
      </c>
      <c r="E141" s="31">
        <v>0.42028985507246375</v>
      </c>
      <c r="F141" s="31">
        <v>0.2391304347826087</v>
      </c>
      <c r="G141" s="31">
        <v>0.35770750988142291</v>
      </c>
      <c r="H141" s="31">
        <v>0.1492094861660079</v>
      </c>
      <c r="I141" s="32">
        <v>9940.6077348066301</v>
      </c>
      <c r="J141" s="32">
        <v>-9509.2715231788079</v>
      </c>
      <c r="K141" s="31">
        <v>0.12318840579710146</v>
      </c>
      <c r="L141" s="31">
        <v>0.29316546762589929</v>
      </c>
      <c r="M141" s="31">
        <v>0.21762589928057555</v>
      </c>
      <c r="N141" s="31">
        <v>0.66871165644171782</v>
      </c>
      <c r="O141" s="31">
        <v>0.48760330578512395</v>
      </c>
      <c r="P141" s="31">
        <v>0.36464088397790057</v>
      </c>
    </row>
    <row r="142" spans="1:16" x14ac:dyDescent="0.4">
      <c r="A142" s="33">
        <v>139</v>
      </c>
      <c r="B142" s="30">
        <v>847.60000000000036</v>
      </c>
      <c r="C142" s="30">
        <v>6.0978417266187073</v>
      </c>
      <c r="D142" s="35">
        <v>1.8201438848920863</v>
      </c>
      <c r="E142" s="31">
        <v>0.41726618705035973</v>
      </c>
      <c r="F142" s="31">
        <v>0.23741007194244604</v>
      </c>
      <c r="G142" s="31">
        <v>0.35651322233104799</v>
      </c>
      <c r="H142" s="31">
        <v>0.14789422135161606</v>
      </c>
      <c r="I142" s="32">
        <v>9922.5274725274721</v>
      </c>
      <c r="J142" s="32">
        <v>-9509.2715231788079</v>
      </c>
      <c r="K142" s="31">
        <v>0.1223021582733813</v>
      </c>
      <c r="L142" s="31">
        <v>0.29203539823008851</v>
      </c>
      <c r="M142" s="31">
        <v>0.21592920353982301</v>
      </c>
      <c r="N142" s="31">
        <v>0.67272727272727273</v>
      </c>
      <c r="O142" s="31">
        <v>0.48360655737704916</v>
      </c>
      <c r="P142" s="31">
        <v>0.36538461538461536</v>
      </c>
    </row>
    <row r="143" spans="1:16" x14ac:dyDescent="0.4">
      <c r="A143" s="33">
        <v>140</v>
      </c>
      <c r="B143" s="30">
        <v>852.40000000000032</v>
      </c>
      <c r="C143" s="30">
        <v>6.0885714285714307</v>
      </c>
      <c r="D143" s="35">
        <v>1.8214285714285714</v>
      </c>
      <c r="E143" s="31">
        <v>0.41428571428571431</v>
      </c>
      <c r="F143" s="31">
        <v>0.23571428571428571</v>
      </c>
      <c r="G143" s="31">
        <v>0.35755813953488375</v>
      </c>
      <c r="H143" s="31">
        <v>0.14825581395348839</v>
      </c>
      <c r="I143" s="32">
        <v>9900</v>
      </c>
      <c r="J143" s="32">
        <v>-9515.6862745098042</v>
      </c>
      <c r="K143" s="31">
        <v>0.12142857142857143</v>
      </c>
      <c r="L143" s="31">
        <v>0.296875</v>
      </c>
      <c r="M143" s="31">
        <v>0.2170138888888889</v>
      </c>
      <c r="N143" s="31">
        <v>0.67251461988304095</v>
      </c>
      <c r="O143" s="31">
        <v>0.47199999999999998</v>
      </c>
      <c r="P143" s="31">
        <v>0.37127371273712739</v>
      </c>
    </row>
    <row r="144" spans="1:16" x14ac:dyDescent="0.4">
      <c r="A144" s="33">
        <v>141</v>
      </c>
      <c r="B144" s="30">
        <v>856.50000000000034</v>
      </c>
      <c r="C144" s="30">
        <v>6.0744680851063855</v>
      </c>
      <c r="D144" s="35">
        <v>1.822695035460993</v>
      </c>
      <c r="E144" s="31">
        <v>0.41134751773049644</v>
      </c>
      <c r="F144" s="31">
        <v>0.23404255319148937</v>
      </c>
      <c r="G144" s="31">
        <v>0.35734870317002881</v>
      </c>
      <c r="H144" s="31">
        <v>0.14697406340057637</v>
      </c>
      <c r="I144" s="32">
        <v>9881.9892473118271</v>
      </c>
      <c r="J144" s="32">
        <v>-9515.6862745098042</v>
      </c>
      <c r="K144" s="31">
        <v>0.12056737588652482</v>
      </c>
      <c r="L144" s="31">
        <v>0.29401709401709403</v>
      </c>
      <c r="M144" s="31">
        <v>0.22222222222222221</v>
      </c>
      <c r="N144" s="31">
        <v>0.66860465116279066</v>
      </c>
      <c r="O144" s="31">
        <v>0.46923076923076923</v>
      </c>
      <c r="P144" s="31">
        <v>0.37096774193548387</v>
      </c>
    </row>
    <row r="145" spans="1:16" x14ac:dyDescent="0.4">
      <c r="A145" s="33">
        <v>142</v>
      </c>
      <c r="B145" s="30">
        <v>844.50000000000034</v>
      </c>
      <c r="C145" s="30">
        <v>5.9471830985915517</v>
      </c>
      <c r="D145" s="35">
        <v>1.8309859154929577</v>
      </c>
      <c r="E145" s="31">
        <v>0.40845070422535212</v>
      </c>
      <c r="F145" s="31">
        <v>0.23943661971830985</v>
      </c>
      <c r="G145" s="31">
        <v>0.35653002859866539</v>
      </c>
      <c r="H145" s="31">
        <v>0.14680648236415633</v>
      </c>
      <c r="I145" s="32">
        <v>9882.6203208556144</v>
      </c>
      <c r="J145" s="32">
        <v>-9570.7792207792209</v>
      </c>
      <c r="K145" s="31">
        <v>0.11971830985915492</v>
      </c>
      <c r="L145" s="31">
        <v>0.29342327150084319</v>
      </c>
      <c r="M145" s="31">
        <v>0.22259696458684655</v>
      </c>
      <c r="N145" s="31">
        <v>0.66666666666666663</v>
      </c>
      <c r="O145" s="31">
        <v>0.46969696969696972</v>
      </c>
      <c r="P145" s="31">
        <v>0.37165775401069517</v>
      </c>
    </row>
    <row r="146" spans="1:16" x14ac:dyDescent="0.4">
      <c r="A146" s="33">
        <v>143</v>
      </c>
      <c r="B146" s="30">
        <v>857.00000000000034</v>
      </c>
      <c r="C146" s="30">
        <v>5.9930069930069951</v>
      </c>
      <c r="D146" s="35">
        <v>1.8251748251748252</v>
      </c>
      <c r="E146" s="31">
        <v>0.41258741258741261</v>
      </c>
      <c r="F146" s="31">
        <v>0.23776223776223776</v>
      </c>
      <c r="G146" s="31">
        <v>0.35572374645222327</v>
      </c>
      <c r="H146" s="31">
        <v>0.1466414380321665</v>
      </c>
      <c r="I146" s="32">
        <v>9909.8404255319147</v>
      </c>
      <c r="J146" s="32">
        <v>-9560.645161290322</v>
      </c>
      <c r="K146" s="31">
        <v>0.11888111888111888</v>
      </c>
      <c r="L146" s="31">
        <v>0.28951747088186358</v>
      </c>
      <c r="M146" s="31">
        <v>0.22296173044925124</v>
      </c>
      <c r="N146" s="31">
        <v>0.66666666666666663</v>
      </c>
      <c r="O146" s="31">
        <v>0.47014925373134331</v>
      </c>
      <c r="P146" s="31">
        <v>0.36968085106382981</v>
      </c>
    </row>
    <row r="147" spans="1:16" x14ac:dyDescent="0.4">
      <c r="A147" s="33">
        <v>144</v>
      </c>
      <c r="B147" s="30">
        <v>844.10000000000036</v>
      </c>
      <c r="C147" s="30">
        <v>5.8618055555555584</v>
      </c>
      <c r="D147" s="35">
        <v>1.8333333333333333</v>
      </c>
      <c r="E147" s="31">
        <v>0.40972222222222221</v>
      </c>
      <c r="F147" s="31">
        <v>0.24305555555555555</v>
      </c>
      <c r="G147" s="31">
        <v>0.35332708528584816</v>
      </c>
      <c r="H147" s="31">
        <v>0.14807872539831302</v>
      </c>
      <c r="I147" s="32">
        <v>9931.2997347480105</v>
      </c>
      <c r="J147" s="32">
        <v>-9505.0632911392404</v>
      </c>
      <c r="K147" s="31">
        <v>0.11805555555555555</v>
      </c>
      <c r="L147" s="31">
        <v>0.28641571194762683</v>
      </c>
      <c r="M147" s="31">
        <v>0.22422258592471359</v>
      </c>
      <c r="N147" s="31">
        <v>0.66285714285714281</v>
      </c>
      <c r="O147" s="31">
        <v>0.46715328467153283</v>
      </c>
      <c r="P147" s="31">
        <v>0.3687002652519894</v>
      </c>
    </row>
    <row r="148" spans="1:16" x14ac:dyDescent="0.4">
      <c r="A148" s="33">
        <v>145</v>
      </c>
      <c r="B148" s="30">
        <v>859.70000000000039</v>
      </c>
      <c r="C148" s="30">
        <v>5.928965517241382</v>
      </c>
      <c r="D148" s="35">
        <v>1.8344827586206895</v>
      </c>
      <c r="E148" s="31">
        <v>0.40689655172413791</v>
      </c>
      <c r="F148" s="31">
        <v>0.2413793103448276</v>
      </c>
      <c r="G148" s="31">
        <v>0.35387488328664801</v>
      </c>
      <c r="H148" s="31">
        <v>0.1484593837535014</v>
      </c>
      <c r="I148" s="32">
        <v>9942.2163588390504</v>
      </c>
      <c r="J148" s="32">
        <v>-9469.8113207547176</v>
      </c>
      <c r="K148" s="31">
        <v>0.11724137931034483</v>
      </c>
      <c r="L148" s="31">
        <v>0.28780487804878047</v>
      </c>
      <c r="M148" s="31">
        <v>0.22439024390243903</v>
      </c>
      <c r="N148" s="31">
        <v>0.66101694915254239</v>
      </c>
      <c r="O148" s="31">
        <v>0.47101449275362317</v>
      </c>
      <c r="P148" s="31">
        <v>0.36675461741424803</v>
      </c>
    </row>
    <row r="149" spans="1:16" x14ac:dyDescent="0.4">
      <c r="A149" s="33">
        <v>146</v>
      </c>
      <c r="B149" s="30">
        <v>875.30000000000041</v>
      </c>
      <c r="C149" s="30">
        <v>5.995205479452058</v>
      </c>
      <c r="D149" s="35">
        <v>1.8287671232876712</v>
      </c>
      <c r="E149" s="31">
        <v>0.41095890410958902</v>
      </c>
      <c r="F149" s="31">
        <v>0.23972602739726026</v>
      </c>
      <c r="G149" s="31">
        <v>0.35528756957328383</v>
      </c>
      <c r="H149" s="31">
        <v>0.14749536178107606</v>
      </c>
      <c r="I149" s="32">
        <v>9905.2219321148823</v>
      </c>
      <c r="J149" s="32">
        <v>-9469.8113207547176</v>
      </c>
      <c r="K149" s="31">
        <v>0.11643835616438356</v>
      </c>
      <c r="L149" s="31">
        <v>0.2861736334405145</v>
      </c>
      <c r="M149" s="31">
        <v>0.22990353697749197</v>
      </c>
      <c r="N149" s="31">
        <v>0.6629213483146067</v>
      </c>
      <c r="O149" s="31">
        <v>0.47552447552447552</v>
      </c>
      <c r="P149" s="31">
        <v>0.36292428198433418</v>
      </c>
    </row>
    <row r="150" spans="1:16" x14ac:dyDescent="0.4">
      <c r="A150" s="33">
        <v>147</v>
      </c>
      <c r="B150" s="30">
        <v>839.30000000000041</v>
      </c>
      <c r="C150" s="30">
        <v>5.7095238095238123</v>
      </c>
      <c r="D150" s="35">
        <v>1.8367346938775511</v>
      </c>
      <c r="E150" s="31">
        <v>0.40816326530612246</v>
      </c>
      <c r="F150" s="31">
        <v>0.24489795918367346</v>
      </c>
      <c r="G150" s="31">
        <v>0.35495829471733087</v>
      </c>
      <c r="H150" s="31">
        <v>0.14828544949026876</v>
      </c>
      <c r="I150" s="32">
        <v>9905.2219321148823</v>
      </c>
      <c r="J150" s="32">
        <v>-9635.625</v>
      </c>
      <c r="K150" s="31">
        <v>0.12244897959183673</v>
      </c>
      <c r="L150" s="31">
        <v>0.2857142857142857</v>
      </c>
      <c r="M150" s="31">
        <v>0.22953451043338685</v>
      </c>
      <c r="N150" s="31">
        <v>0.6629213483146067</v>
      </c>
      <c r="O150" s="31">
        <v>0.47552447552447552</v>
      </c>
      <c r="P150" s="31">
        <v>0.36292428198433418</v>
      </c>
    </row>
    <row r="151" spans="1:16" x14ac:dyDescent="0.4">
      <c r="A151" s="33">
        <v>148</v>
      </c>
      <c r="B151" s="30">
        <v>809.70000000000039</v>
      </c>
      <c r="C151" s="30">
        <v>5.4709459459459486</v>
      </c>
      <c r="D151" s="35">
        <v>1.8378378378378379</v>
      </c>
      <c r="E151" s="31">
        <v>0.40540540540540543</v>
      </c>
      <c r="F151" s="31">
        <v>0.24324324324324326</v>
      </c>
      <c r="G151" s="31">
        <v>0.35386029411764708</v>
      </c>
      <c r="H151" s="31">
        <v>0.14705882352941177</v>
      </c>
      <c r="I151" s="32">
        <v>9882.3376623376626</v>
      </c>
      <c r="J151" s="32">
        <v>-9635.625</v>
      </c>
      <c r="K151" s="31">
        <v>0.12162162162162163</v>
      </c>
      <c r="L151" s="31">
        <v>0.2848101265822785</v>
      </c>
      <c r="M151" s="31">
        <v>0.23259493670886075</v>
      </c>
      <c r="N151" s="31">
        <v>0.66111111111111109</v>
      </c>
      <c r="O151" s="31">
        <v>0.46938775510204084</v>
      </c>
      <c r="P151" s="31">
        <v>0.36623376623376624</v>
      </c>
    </row>
    <row r="152" spans="1:16" x14ac:dyDescent="0.4">
      <c r="A152" s="33">
        <v>149</v>
      </c>
      <c r="B152" s="30">
        <v>816.50000000000034</v>
      </c>
      <c r="C152" s="30">
        <v>5.4798657718120829</v>
      </c>
      <c r="D152" s="35">
        <v>1.8322147651006711</v>
      </c>
      <c r="E152" s="31">
        <v>0.40939597315436244</v>
      </c>
      <c r="F152" s="31">
        <v>0.24161073825503357</v>
      </c>
      <c r="G152" s="31">
        <v>0.35460346399270737</v>
      </c>
      <c r="H152" s="31">
        <v>0.14767547857793983</v>
      </c>
      <c r="I152" s="32">
        <v>9845.2442159383027</v>
      </c>
      <c r="J152" s="32">
        <v>-9601.8518518518522</v>
      </c>
      <c r="K152" s="31">
        <v>0.12080536912751678</v>
      </c>
      <c r="L152" s="31">
        <v>0.28705148205928238</v>
      </c>
      <c r="M152" s="31">
        <v>0.23244929797191888</v>
      </c>
      <c r="N152" s="31">
        <v>0.65760869565217395</v>
      </c>
      <c r="O152" s="31">
        <v>0.47651006711409394</v>
      </c>
      <c r="P152" s="31">
        <v>0.36503856041131105</v>
      </c>
    </row>
    <row r="153" spans="1:16" x14ac:dyDescent="0.4">
      <c r="A153" s="33">
        <v>150</v>
      </c>
      <c r="B153" s="30">
        <v>802.50000000000034</v>
      </c>
      <c r="C153" s="30">
        <v>5.3500000000000023</v>
      </c>
      <c r="D153" s="35">
        <v>1.84</v>
      </c>
      <c r="E153" s="31">
        <v>0.40666666666666668</v>
      </c>
      <c r="F153" s="31">
        <v>0.24666666666666667</v>
      </c>
      <c r="G153" s="31">
        <v>0.35352622061482819</v>
      </c>
      <c r="H153" s="31">
        <v>0.14737793851717904</v>
      </c>
      <c r="I153" s="32">
        <v>9846.0358056265977</v>
      </c>
      <c r="J153" s="32">
        <v>-9616.5644171779149</v>
      </c>
      <c r="K153" s="31">
        <v>0.12</v>
      </c>
      <c r="L153" s="31">
        <v>0.2846153846153846</v>
      </c>
      <c r="M153" s="31">
        <v>0.23692307692307693</v>
      </c>
      <c r="N153" s="31">
        <v>0.6594594594594595</v>
      </c>
      <c r="O153" s="31">
        <v>0.46753246753246752</v>
      </c>
      <c r="P153" s="31">
        <v>0.3631713554987212</v>
      </c>
    </row>
    <row r="154" spans="1:16" x14ac:dyDescent="0.4">
      <c r="A154" s="33">
        <v>151</v>
      </c>
      <c r="B154" s="30">
        <v>792.50000000000034</v>
      </c>
      <c r="C154" s="30">
        <v>5.248344370860929</v>
      </c>
      <c r="D154" s="35">
        <v>1.8410596026490067</v>
      </c>
      <c r="E154" s="31">
        <v>0.40397350993377484</v>
      </c>
      <c r="F154" s="31">
        <v>0.24503311258278146</v>
      </c>
      <c r="G154" s="31">
        <v>0.35283528352835286</v>
      </c>
      <c r="H154" s="31">
        <v>0.1467146714671467</v>
      </c>
      <c r="I154" s="32">
        <v>9851.5306122448983</v>
      </c>
      <c r="J154" s="32">
        <v>-9616.5644171779149</v>
      </c>
      <c r="K154" s="31">
        <v>0.11920529801324503</v>
      </c>
      <c r="L154" s="31">
        <v>0.28396946564885495</v>
      </c>
      <c r="M154" s="31">
        <v>0.23511450381679388</v>
      </c>
      <c r="N154" s="31">
        <v>0.66129032258064513</v>
      </c>
      <c r="O154" s="31">
        <v>0.46753246753246752</v>
      </c>
      <c r="P154" s="31">
        <v>0.36479591836734693</v>
      </c>
    </row>
    <row r="155" spans="1:16" x14ac:dyDescent="0.4">
      <c r="A155" s="33">
        <v>152</v>
      </c>
      <c r="B155" s="30">
        <v>837.10000000000036</v>
      </c>
      <c r="C155" s="30">
        <v>5.5072368421052653</v>
      </c>
      <c r="D155" s="35">
        <v>1.8355263157894737</v>
      </c>
      <c r="E155" s="31">
        <v>0.40789473684210525</v>
      </c>
      <c r="F155" s="31">
        <v>0.24342105263157895</v>
      </c>
      <c r="G155" s="31">
        <v>0.35383244206773617</v>
      </c>
      <c r="H155" s="31">
        <v>0.14705882352941177</v>
      </c>
      <c r="I155" s="32">
        <v>9852.1410579345084</v>
      </c>
      <c r="J155" s="32">
        <v>-9523.636363636364</v>
      </c>
      <c r="K155" s="31">
        <v>0.11842105263157894</v>
      </c>
      <c r="L155" s="31">
        <v>0.28378378378378377</v>
      </c>
      <c r="M155" s="31">
        <v>0.23273273273273273</v>
      </c>
      <c r="N155" s="31">
        <v>0.65608465608465605</v>
      </c>
      <c r="O155" s="31">
        <v>0.47096774193548385</v>
      </c>
      <c r="P155" s="31">
        <v>0.36775818639798491</v>
      </c>
    </row>
    <row r="156" spans="1:16" x14ac:dyDescent="0.4">
      <c r="A156" s="33">
        <v>153</v>
      </c>
      <c r="B156" s="30">
        <v>832.40000000000032</v>
      </c>
      <c r="C156" s="30">
        <v>5.4405228758169955</v>
      </c>
      <c r="D156" s="35">
        <v>1.8366013071895424</v>
      </c>
      <c r="E156" s="31">
        <v>0.40522875816993464</v>
      </c>
      <c r="F156" s="31">
        <v>0.24183006535947713</v>
      </c>
      <c r="G156" s="31">
        <v>0.35252435783879538</v>
      </c>
      <c r="H156" s="31">
        <v>0.14703277236492471</v>
      </c>
      <c r="I156" s="32">
        <v>9847.4874371859296</v>
      </c>
      <c r="J156" s="32">
        <v>-9512.6506024096379</v>
      </c>
      <c r="K156" s="31">
        <v>0.11764705882352941</v>
      </c>
      <c r="L156" s="31">
        <v>0.2838038632986627</v>
      </c>
      <c r="M156" s="31">
        <v>0.23179791976225855</v>
      </c>
      <c r="N156" s="31">
        <v>0.65445026178010468</v>
      </c>
      <c r="O156" s="31">
        <v>0.46794871794871795</v>
      </c>
      <c r="P156" s="31">
        <v>0.36683417085427134</v>
      </c>
    </row>
    <row r="157" spans="1:16" x14ac:dyDescent="0.4">
      <c r="A157" s="33">
        <v>154</v>
      </c>
      <c r="B157" s="30">
        <v>846.8000000000003</v>
      </c>
      <c r="C157" s="30">
        <v>5.4987012987013006</v>
      </c>
      <c r="D157" s="35">
        <v>1.8311688311688312</v>
      </c>
      <c r="E157" s="31">
        <v>0.40909090909090912</v>
      </c>
      <c r="F157" s="31">
        <v>0.24025974025974026</v>
      </c>
      <c r="G157" s="31">
        <v>0.35299295774647887</v>
      </c>
      <c r="H157" s="31">
        <v>0.14612676056338028</v>
      </c>
      <c r="I157" s="32">
        <v>9819.700748129675</v>
      </c>
      <c r="J157" s="32">
        <v>-9512.6506024096379</v>
      </c>
      <c r="K157" s="31">
        <v>0.11688311688311688</v>
      </c>
      <c r="L157" s="31">
        <v>0.2838235294117647</v>
      </c>
      <c r="M157" s="31">
        <v>0.23088235294117648</v>
      </c>
      <c r="N157" s="31">
        <v>0.65803108808290156</v>
      </c>
      <c r="O157" s="31">
        <v>0.46496815286624205</v>
      </c>
      <c r="P157" s="31">
        <v>0.36907730673316708</v>
      </c>
    </row>
    <row r="158" spans="1:16" x14ac:dyDescent="0.4">
      <c r="A158" s="33">
        <v>155</v>
      </c>
      <c r="B158" s="30">
        <v>832.8000000000003</v>
      </c>
      <c r="C158" s="30">
        <v>5.3729032258064535</v>
      </c>
      <c r="D158" s="35">
        <v>1.832258064516129</v>
      </c>
      <c r="E158" s="31">
        <v>0.40645161290322579</v>
      </c>
      <c r="F158" s="31">
        <v>0.23870967741935484</v>
      </c>
      <c r="G158" s="31">
        <v>0.35201401050788089</v>
      </c>
      <c r="H158" s="31">
        <v>0.14623467600700527</v>
      </c>
      <c r="I158" s="32">
        <v>9815.1741293532341</v>
      </c>
      <c r="J158" s="32">
        <v>-9527.5449101796403</v>
      </c>
      <c r="K158" s="31">
        <v>0.11612903225806452</v>
      </c>
      <c r="L158" s="31">
        <v>0.28425655976676384</v>
      </c>
      <c r="M158" s="31">
        <v>0.22886297376093295</v>
      </c>
      <c r="N158" s="31">
        <v>0.65641025641025641</v>
      </c>
      <c r="O158" s="31">
        <v>0.46496815286624205</v>
      </c>
      <c r="P158" s="31">
        <v>0.36815920398009949</v>
      </c>
    </row>
    <row r="159" spans="1:16" x14ac:dyDescent="0.4">
      <c r="A159" s="33">
        <v>156</v>
      </c>
      <c r="B159" s="30">
        <v>839.90000000000032</v>
      </c>
      <c r="C159" s="30">
        <v>5.3839743589743607</v>
      </c>
      <c r="D159" s="35">
        <v>1.8269230769230769</v>
      </c>
      <c r="E159" s="31">
        <v>0.41025641025641024</v>
      </c>
      <c r="F159" s="31">
        <v>0.23717948717948717</v>
      </c>
      <c r="G159" s="31">
        <v>0.35069444444444442</v>
      </c>
      <c r="H159" s="31">
        <v>0.14583333333333334</v>
      </c>
      <c r="I159" s="32">
        <v>9835.8910891089108</v>
      </c>
      <c r="J159" s="32">
        <v>-9518.4523809523816</v>
      </c>
      <c r="K159" s="31">
        <v>0.11538461538461539</v>
      </c>
      <c r="L159" s="31">
        <v>0.28591954022988508</v>
      </c>
      <c r="M159" s="31">
        <v>0.22557471264367815</v>
      </c>
      <c r="N159" s="31">
        <v>0.65326633165829151</v>
      </c>
      <c r="O159" s="31">
        <v>0.46496815286624205</v>
      </c>
      <c r="P159" s="31">
        <v>0.36633663366336633</v>
      </c>
    </row>
    <row r="160" spans="1:16" x14ac:dyDescent="0.4">
      <c r="A160" s="33">
        <v>157</v>
      </c>
      <c r="B160" s="30">
        <v>859.60000000000036</v>
      </c>
      <c r="C160" s="30">
        <v>5.4751592356687917</v>
      </c>
      <c r="D160" s="35">
        <v>1.8216560509554141</v>
      </c>
      <c r="E160" s="31">
        <v>0.4140127388535032</v>
      </c>
      <c r="F160" s="31">
        <v>0.2356687898089172</v>
      </c>
      <c r="G160" s="31">
        <v>0.35</v>
      </c>
      <c r="H160" s="31">
        <v>0.14482758620689656</v>
      </c>
      <c r="I160" s="32">
        <v>9895.8128078817736</v>
      </c>
      <c r="J160" s="32">
        <v>-9518.4523809523816</v>
      </c>
      <c r="K160" s="31">
        <v>0.11464968152866242</v>
      </c>
      <c r="L160" s="31">
        <v>0.28267045454545453</v>
      </c>
      <c r="M160" s="31">
        <v>0.22443181818181818</v>
      </c>
      <c r="N160" s="31">
        <v>0.65326633165829151</v>
      </c>
      <c r="O160" s="31">
        <v>0.46835443037974683</v>
      </c>
      <c r="P160" s="31">
        <v>0.36945812807881773</v>
      </c>
    </row>
    <row r="161" spans="1:16" x14ac:dyDescent="0.4">
      <c r="A161" s="33">
        <v>158</v>
      </c>
      <c r="B161" s="30">
        <v>883.40000000000032</v>
      </c>
      <c r="C161" s="30">
        <v>5.5911392405063314</v>
      </c>
      <c r="D161" s="35">
        <v>1.8164556962025316</v>
      </c>
      <c r="E161" s="31">
        <v>0.41772151898734178</v>
      </c>
      <c r="F161" s="31">
        <v>0.23417721518987342</v>
      </c>
      <c r="G161" s="31">
        <v>0.35132819194515852</v>
      </c>
      <c r="H161" s="31">
        <v>0.14395886889460155</v>
      </c>
      <c r="I161" s="32">
        <v>9864.6341463414628</v>
      </c>
      <c r="J161" s="32">
        <v>-9518.4523809523816</v>
      </c>
      <c r="K161" s="31">
        <v>0.11392405063291139</v>
      </c>
      <c r="L161" s="31">
        <v>0.28270042194092826</v>
      </c>
      <c r="M161" s="31">
        <v>0.22222222222222221</v>
      </c>
      <c r="N161" s="31">
        <v>0.65671641791044777</v>
      </c>
      <c r="O161" s="31">
        <v>0.46835443037974683</v>
      </c>
      <c r="P161" s="31">
        <v>0.36829268292682926</v>
      </c>
    </row>
    <row r="162" spans="1:16" x14ac:dyDescent="0.4">
      <c r="A162" s="33">
        <v>159</v>
      </c>
      <c r="B162" s="30">
        <v>878.60000000000036</v>
      </c>
      <c r="C162" s="30">
        <v>5.5257861635220147</v>
      </c>
      <c r="D162" s="35">
        <v>1.8176100628930818</v>
      </c>
      <c r="E162" s="31">
        <v>0.41509433962264153</v>
      </c>
      <c r="F162" s="31">
        <v>0.23270440251572327</v>
      </c>
      <c r="G162" s="31">
        <v>0.3500424808836024</v>
      </c>
      <c r="H162" s="31">
        <v>0.14358538657604078</v>
      </c>
      <c r="I162" s="32">
        <v>9843.4466019417468</v>
      </c>
      <c r="J162" s="32">
        <v>-9507.6923076923085</v>
      </c>
      <c r="K162" s="31">
        <v>0.11320754716981132</v>
      </c>
      <c r="L162" s="31">
        <v>0.28710124826629679</v>
      </c>
      <c r="M162" s="31">
        <v>0.22052704576976423</v>
      </c>
      <c r="N162" s="31">
        <v>0.64734299516908211</v>
      </c>
      <c r="O162" s="31">
        <v>0.46540880503144655</v>
      </c>
      <c r="P162" s="31">
        <v>0.36650485436893204</v>
      </c>
    </row>
    <row r="163" spans="1:16" x14ac:dyDescent="0.4">
      <c r="A163" s="33">
        <v>160</v>
      </c>
      <c r="B163" s="30">
        <v>911.10000000000036</v>
      </c>
      <c r="C163" s="30">
        <v>5.6943750000000026</v>
      </c>
      <c r="D163" s="35">
        <v>1.8125</v>
      </c>
      <c r="E163" s="31">
        <v>0.41875000000000001</v>
      </c>
      <c r="F163" s="31">
        <v>0.23125000000000001</v>
      </c>
      <c r="G163" s="31">
        <v>0.34991568296795955</v>
      </c>
      <c r="H163" s="31">
        <v>0.14249578414839797</v>
      </c>
      <c r="I163" s="32">
        <v>9878.3132530120474</v>
      </c>
      <c r="J163" s="32">
        <v>-9507.6923076923085</v>
      </c>
      <c r="K163" s="31">
        <v>0.1125</v>
      </c>
      <c r="L163" s="31">
        <v>0.28767123287671231</v>
      </c>
      <c r="M163" s="31">
        <v>0.22054794520547946</v>
      </c>
      <c r="N163" s="31">
        <v>0.64761904761904765</v>
      </c>
      <c r="O163" s="31">
        <v>0.46583850931677018</v>
      </c>
      <c r="P163" s="31">
        <v>0.36867469879518072</v>
      </c>
    </row>
    <row r="164" spans="1:16" x14ac:dyDescent="0.4">
      <c r="A164" s="33">
        <v>161</v>
      </c>
      <c r="B164" s="30">
        <v>928.20000000000039</v>
      </c>
      <c r="C164" s="30">
        <v>5.7652173913043505</v>
      </c>
      <c r="D164" s="35">
        <v>1.8074534161490683</v>
      </c>
      <c r="E164" s="31">
        <v>0.42236024844720499</v>
      </c>
      <c r="F164" s="31">
        <v>0.22981366459627328</v>
      </c>
      <c r="G164" s="31">
        <v>0.3509212730318258</v>
      </c>
      <c r="H164" s="31">
        <v>0.1440536013400335</v>
      </c>
      <c r="I164" s="32">
        <v>9877.0883054892602</v>
      </c>
      <c r="J164" s="32">
        <v>-9480.8139534883721</v>
      </c>
      <c r="K164" s="31">
        <v>0.11180124223602485</v>
      </c>
      <c r="L164" s="31">
        <v>0.2872628726287263</v>
      </c>
      <c r="M164" s="31">
        <v>0.22086720867208673</v>
      </c>
      <c r="N164" s="31">
        <v>0.65094339622641506</v>
      </c>
      <c r="O164" s="31">
        <v>0.47239263803680981</v>
      </c>
      <c r="P164" s="31">
        <v>0.37231503579952269</v>
      </c>
    </row>
    <row r="165" spans="1:16" x14ac:dyDescent="0.4">
      <c r="A165" s="33">
        <v>162</v>
      </c>
      <c r="B165" s="30">
        <v>940.50000000000034</v>
      </c>
      <c r="C165" s="30">
        <v>5.805555555555558</v>
      </c>
      <c r="D165" s="35">
        <v>1.8024691358024691</v>
      </c>
      <c r="E165" s="31">
        <v>0.42592592592592593</v>
      </c>
      <c r="F165" s="31">
        <v>0.22839506172839505</v>
      </c>
      <c r="G165" s="31">
        <v>0.35020746887966803</v>
      </c>
      <c r="H165" s="31">
        <v>0.14522821576763487</v>
      </c>
      <c r="I165" s="32">
        <v>9920.6161137440758</v>
      </c>
      <c r="J165" s="32">
        <v>-9462.2857142857138</v>
      </c>
      <c r="K165" s="31">
        <v>0.1111111111111111</v>
      </c>
      <c r="L165" s="31">
        <v>0.28838451268357812</v>
      </c>
      <c r="M165" s="31">
        <v>0.22162883845126835</v>
      </c>
      <c r="N165" s="31">
        <v>0.64351851851851849</v>
      </c>
      <c r="O165" s="31">
        <v>0.4759036144578313</v>
      </c>
      <c r="P165" s="31">
        <v>0.37677725118483413</v>
      </c>
    </row>
    <row r="166" spans="1:16" x14ac:dyDescent="0.4">
      <c r="A166" s="33">
        <v>163</v>
      </c>
      <c r="B166" s="30">
        <v>964.8000000000003</v>
      </c>
      <c r="C166" s="30">
        <v>5.9190184049079777</v>
      </c>
      <c r="D166" s="35">
        <v>1.7975460122699387</v>
      </c>
      <c r="E166" s="31">
        <v>0.42944785276073622</v>
      </c>
      <c r="F166" s="31">
        <v>0.22699386503067484</v>
      </c>
      <c r="G166" s="31">
        <v>0.34975369458128081</v>
      </c>
      <c r="H166" s="31">
        <v>0.14367816091954022</v>
      </c>
      <c r="I166" s="32">
        <v>9915.4929577464791</v>
      </c>
      <c r="J166" s="32">
        <v>-9462.2857142857138</v>
      </c>
      <c r="K166" s="31">
        <v>0.11042944785276074</v>
      </c>
      <c r="L166" s="31">
        <v>0.28477690288713908</v>
      </c>
      <c r="M166" s="31">
        <v>0.2230971128608924</v>
      </c>
      <c r="N166" s="31">
        <v>0.64055299539170507</v>
      </c>
      <c r="O166" s="31">
        <v>0.48823529411764705</v>
      </c>
      <c r="P166" s="31">
        <v>0.3779342723004695</v>
      </c>
    </row>
    <row r="167" spans="1:16" x14ac:dyDescent="0.4">
      <c r="A167" s="33">
        <v>164</v>
      </c>
      <c r="B167" s="30">
        <v>952.60000000000025</v>
      </c>
      <c r="C167" s="30">
        <v>5.8085365853658555</v>
      </c>
      <c r="D167" s="35">
        <v>1.8048780487804879</v>
      </c>
      <c r="E167" s="31">
        <v>0.42682926829268292</v>
      </c>
      <c r="F167" s="31">
        <v>0.23170731707317074</v>
      </c>
      <c r="G167" s="31">
        <v>0.34885620915032678</v>
      </c>
      <c r="H167" s="31">
        <v>0.14460784313725492</v>
      </c>
      <c r="I167" s="32">
        <v>9898.8290398126464</v>
      </c>
      <c r="J167" s="32">
        <v>-9406.2146892655364</v>
      </c>
      <c r="K167" s="31">
        <v>0.10975609756097561</v>
      </c>
      <c r="L167" s="31">
        <v>0.28385416666666669</v>
      </c>
      <c r="M167" s="31">
        <v>0.22135416666666666</v>
      </c>
      <c r="N167" s="31">
        <v>0.63761467889908252</v>
      </c>
      <c r="O167" s="31">
        <v>0.48823529411764705</v>
      </c>
      <c r="P167" s="31">
        <v>0.37939110070257609</v>
      </c>
    </row>
    <row r="168" spans="1:16" x14ac:dyDescent="0.4">
      <c r="A168" s="33">
        <v>165</v>
      </c>
      <c r="B168" s="30">
        <v>950.60000000000025</v>
      </c>
      <c r="C168" s="30">
        <v>5.7612121212121226</v>
      </c>
      <c r="D168" s="35">
        <v>1.8060606060606061</v>
      </c>
      <c r="E168" s="31">
        <v>0.42424242424242425</v>
      </c>
      <c r="F168" s="31">
        <v>0.23030303030303031</v>
      </c>
      <c r="G168" s="31">
        <v>0.3482142857142857</v>
      </c>
      <c r="H168" s="31">
        <v>0.14366883116883117</v>
      </c>
      <c r="I168" s="32">
        <v>9894.6386946386938</v>
      </c>
      <c r="J168" s="32">
        <v>-9406.2146892655364</v>
      </c>
      <c r="K168" s="31">
        <v>0.10909090909090909</v>
      </c>
      <c r="L168" s="31">
        <v>0.28479381443298968</v>
      </c>
      <c r="M168" s="31">
        <v>0.22293814432989692</v>
      </c>
      <c r="N168" s="31">
        <v>0.63348416289592757</v>
      </c>
      <c r="O168" s="31">
        <v>0.48554913294797686</v>
      </c>
      <c r="P168" s="31">
        <v>0.38228438228438227</v>
      </c>
    </row>
    <row r="169" spans="1:16" x14ac:dyDescent="0.4">
      <c r="A169" s="33">
        <v>166</v>
      </c>
      <c r="B169" s="30">
        <v>910.00000000000023</v>
      </c>
      <c r="C169" s="30">
        <v>5.481927710843375</v>
      </c>
      <c r="D169" s="35">
        <v>1.8132530120481927</v>
      </c>
      <c r="E169" s="31">
        <v>0.42168674698795183</v>
      </c>
      <c r="F169" s="31">
        <v>0.23493975903614459</v>
      </c>
      <c r="G169" s="31">
        <v>0.34565916398713825</v>
      </c>
      <c r="H169" s="31">
        <v>0.14389067524115756</v>
      </c>
      <c r="I169" s="32">
        <v>9886.5116279069771</v>
      </c>
      <c r="J169" s="32">
        <v>-9365.9217877094979</v>
      </c>
      <c r="K169" s="31">
        <v>0.1144578313253012</v>
      </c>
      <c r="L169" s="31">
        <v>0.28172588832487311</v>
      </c>
      <c r="M169" s="31">
        <v>0.22461928934010153</v>
      </c>
      <c r="N169" s="31">
        <v>0.63063063063063063</v>
      </c>
      <c r="O169" s="31">
        <v>0.47457627118644069</v>
      </c>
      <c r="P169" s="31">
        <v>0.38139534883720932</v>
      </c>
    </row>
    <row r="170" spans="1:16" x14ac:dyDescent="0.4">
      <c r="A170" s="33">
        <v>167</v>
      </c>
      <c r="B170" s="30">
        <v>931.70000000000027</v>
      </c>
      <c r="C170" s="30">
        <v>5.5790419161676663</v>
      </c>
      <c r="D170" s="35">
        <v>1.8083832335329342</v>
      </c>
      <c r="E170" s="31">
        <v>0.42514970059880242</v>
      </c>
      <c r="F170" s="31">
        <v>0.23353293413173654</v>
      </c>
      <c r="G170" s="31">
        <v>0.34639999999999999</v>
      </c>
      <c r="H170" s="31">
        <v>0.14399999999999999</v>
      </c>
      <c r="I170" s="32">
        <v>9903.9260969976913</v>
      </c>
      <c r="J170" s="32">
        <v>-9342.7777777777774</v>
      </c>
      <c r="K170" s="31">
        <v>0.11377245508982035</v>
      </c>
      <c r="L170" s="31">
        <v>0.28211586901763225</v>
      </c>
      <c r="M170" s="31">
        <v>0.22418136020151133</v>
      </c>
      <c r="N170" s="31">
        <v>0.6294642857142857</v>
      </c>
      <c r="O170" s="31">
        <v>0.47752808988764045</v>
      </c>
      <c r="P170" s="31">
        <v>0.38106235565819863</v>
      </c>
    </row>
    <row r="171" spans="1:16" x14ac:dyDescent="0.4">
      <c r="A171" s="33">
        <v>168</v>
      </c>
      <c r="B171" s="30">
        <v>972.40000000000032</v>
      </c>
      <c r="C171" s="30">
        <v>5.7880952380952397</v>
      </c>
      <c r="D171" s="35">
        <v>1.8035714285714286</v>
      </c>
      <c r="E171" s="31">
        <v>0.42857142857142855</v>
      </c>
      <c r="F171" s="31">
        <v>0.23214285714285715</v>
      </c>
      <c r="G171" s="31">
        <v>0.34820717131474105</v>
      </c>
      <c r="H171" s="31">
        <v>0.14342629482071714</v>
      </c>
      <c r="I171" s="32">
        <v>9907.5514874141882</v>
      </c>
      <c r="J171" s="32">
        <v>-9342.7777777777774</v>
      </c>
      <c r="K171" s="31">
        <v>0.1130952380952381</v>
      </c>
      <c r="L171" s="31">
        <v>0.28410513141426785</v>
      </c>
      <c r="M171" s="31">
        <v>0.2227784730913642</v>
      </c>
      <c r="N171" s="31">
        <v>0.63436123348017626</v>
      </c>
      <c r="O171" s="31">
        <v>0.47752808988764045</v>
      </c>
      <c r="P171" s="31">
        <v>0.37986270022883295</v>
      </c>
    </row>
    <row r="172" spans="1:16" x14ac:dyDescent="0.4">
      <c r="A172" s="33">
        <v>169</v>
      </c>
      <c r="B172" s="30">
        <v>980.40000000000032</v>
      </c>
      <c r="C172" s="30">
        <v>5.8011834319526647</v>
      </c>
      <c r="D172" s="35">
        <v>1.8047337278106508</v>
      </c>
      <c r="E172" s="31">
        <v>0.42603550295857989</v>
      </c>
      <c r="F172" s="31">
        <v>0.23076923076923078</v>
      </c>
      <c r="G172" s="31">
        <v>0.34916864608076009</v>
      </c>
      <c r="H172" s="31">
        <v>0.14330958036421218</v>
      </c>
      <c r="I172" s="32">
        <v>9883.4467120181398</v>
      </c>
      <c r="J172" s="32">
        <v>-9379.5580110497231</v>
      </c>
      <c r="K172" s="31">
        <v>0.11242603550295859</v>
      </c>
      <c r="L172" s="31">
        <v>0.28376703841387857</v>
      </c>
      <c r="M172" s="31">
        <v>0.22304832713754646</v>
      </c>
      <c r="N172" s="31">
        <v>0.63755458515283847</v>
      </c>
      <c r="O172" s="31">
        <v>0.48333333333333334</v>
      </c>
      <c r="P172" s="31">
        <v>0.3832199546485261</v>
      </c>
    </row>
    <row r="173" spans="1:16" x14ac:dyDescent="0.4">
      <c r="A173" s="33">
        <v>170</v>
      </c>
      <c r="B173" s="30">
        <v>988.10000000000036</v>
      </c>
      <c r="C173" s="30">
        <v>5.8123529411764725</v>
      </c>
      <c r="D173" s="35">
        <v>1.8058823529411765</v>
      </c>
      <c r="E173" s="31">
        <v>0.42352941176470588</v>
      </c>
      <c r="F173" s="31">
        <v>0.22941176470588234</v>
      </c>
      <c r="G173" s="31">
        <v>0.34905660377358488</v>
      </c>
      <c r="H173" s="31">
        <v>0.14229559748427673</v>
      </c>
      <c r="I173" s="32">
        <v>9882.4324324324316</v>
      </c>
      <c r="J173" s="32">
        <v>-9379.5580110497231</v>
      </c>
      <c r="K173" s="31">
        <v>0.11176470588235295</v>
      </c>
      <c r="L173" s="31">
        <v>0.28431372549019607</v>
      </c>
      <c r="M173" s="31">
        <v>0.22426470588235295</v>
      </c>
      <c r="N173" s="31">
        <v>0.64224137931034486</v>
      </c>
      <c r="O173" s="31">
        <v>0.47540983606557374</v>
      </c>
      <c r="P173" s="31">
        <v>0.38288288288288286</v>
      </c>
    </row>
    <row r="174" spans="1:16" x14ac:dyDescent="0.4">
      <c r="A174" s="33">
        <v>171</v>
      </c>
      <c r="B174" s="30">
        <v>919.10000000000036</v>
      </c>
      <c r="C174" s="30">
        <v>5.3748538011695928</v>
      </c>
      <c r="D174" s="35">
        <v>1.8128654970760234</v>
      </c>
      <c r="E174" s="31">
        <v>0.42105263157894735</v>
      </c>
      <c r="F174" s="31">
        <v>0.23391812865497075</v>
      </c>
      <c r="G174" s="31">
        <v>0.34820031298904536</v>
      </c>
      <c r="H174" s="31">
        <v>0.14397496087636932</v>
      </c>
      <c r="I174" s="32">
        <v>9878.2022471910113</v>
      </c>
      <c r="J174" s="32">
        <v>-9563.5869565217399</v>
      </c>
      <c r="K174" s="31">
        <v>0.11695906432748537</v>
      </c>
      <c r="L174" s="31">
        <v>0.28223844282238442</v>
      </c>
      <c r="M174" s="31">
        <v>0.22384428223844283</v>
      </c>
      <c r="N174" s="31">
        <v>0.64224137931034486</v>
      </c>
      <c r="O174" s="31">
        <v>0.47826086956521741</v>
      </c>
      <c r="P174" s="31">
        <v>0.38426966292134829</v>
      </c>
    </row>
    <row r="175" spans="1:16" x14ac:dyDescent="0.4">
      <c r="A175" s="33">
        <v>172</v>
      </c>
      <c r="B175" s="30">
        <v>916.10000000000036</v>
      </c>
      <c r="C175" s="30">
        <v>5.3261627906976763</v>
      </c>
      <c r="D175" s="35">
        <v>1.8139534883720929</v>
      </c>
      <c r="E175" s="31">
        <v>0.41860465116279072</v>
      </c>
      <c r="F175" s="31">
        <v>0.23255813953488372</v>
      </c>
      <c r="G175" s="31">
        <v>0.34755624515128009</v>
      </c>
      <c r="H175" s="31">
        <v>0.14429790535298681</v>
      </c>
      <c r="I175" s="32">
        <v>9879.0178571428569</v>
      </c>
      <c r="J175" s="32">
        <v>-9546.7741935483864</v>
      </c>
      <c r="K175" s="31">
        <v>0.11627906976744186</v>
      </c>
      <c r="L175" s="31">
        <v>0.28331332533013204</v>
      </c>
      <c r="M175" s="31">
        <v>0.22448979591836735</v>
      </c>
      <c r="N175" s="31">
        <v>0.63983050847457623</v>
      </c>
      <c r="O175" s="31">
        <v>0.47593582887700536</v>
      </c>
      <c r="P175" s="31">
        <v>0.38392857142857145</v>
      </c>
    </row>
    <row r="176" spans="1:16" x14ac:dyDescent="0.4">
      <c r="A176" s="33">
        <v>173</v>
      </c>
      <c r="B176" s="30">
        <v>913.50000000000034</v>
      </c>
      <c r="C176" s="30">
        <v>5.2803468208092506</v>
      </c>
      <c r="D176" s="35">
        <v>1.8150289017341041</v>
      </c>
      <c r="E176" s="31">
        <v>0.41618497109826591</v>
      </c>
      <c r="F176" s="31">
        <v>0.23121387283236994</v>
      </c>
      <c r="G176" s="31">
        <v>0.3464506172839506</v>
      </c>
      <c r="H176" s="31">
        <v>0.14429012345679013</v>
      </c>
      <c r="I176" s="32">
        <v>9883.7416481069049</v>
      </c>
      <c r="J176" s="32">
        <v>-9509.6256684491982</v>
      </c>
      <c r="K176" s="31">
        <v>0.11560693641618497</v>
      </c>
      <c r="L176" s="31">
        <v>0.28333333333333333</v>
      </c>
      <c r="M176" s="31">
        <v>0.22261904761904761</v>
      </c>
      <c r="N176" s="31">
        <v>0.6386554621848739</v>
      </c>
      <c r="O176" s="31">
        <v>0.47593582887700536</v>
      </c>
      <c r="P176" s="31">
        <v>0.38530066815144765</v>
      </c>
    </row>
    <row r="177" spans="1:16" x14ac:dyDescent="0.4">
      <c r="A177" s="33">
        <v>174</v>
      </c>
      <c r="B177" s="30">
        <v>972.50000000000034</v>
      </c>
      <c r="C177" s="30">
        <v>5.5890804597701171</v>
      </c>
      <c r="D177" s="35">
        <v>1.8103448275862069</v>
      </c>
      <c r="E177" s="31">
        <v>0.41954022988505746</v>
      </c>
      <c r="F177" s="31">
        <v>0.22988505747126436</v>
      </c>
      <c r="G177" s="31">
        <v>0.34846153846153849</v>
      </c>
      <c r="H177" s="31">
        <v>0.14384615384615385</v>
      </c>
      <c r="I177" s="32">
        <v>9920.0883002207502</v>
      </c>
      <c r="J177" s="32">
        <v>-9509.6256684491982</v>
      </c>
      <c r="K177" s="31">
        <v>0.11494252873563218</v>
      </c>
      <c r="L177" s="31">
        <v>0.28436018957345971</v>
      </c>
      <c r="M177" s="31">
        <v>0.22393364928909953</v>
      </c>
      <c r="N177" s="31">
        <v>0.64166666666666672</v>
      </c>
      <c r="O177" s="31">
        <v>0.48148148148148145</v>
      </c>
      <c r="P177" s="31">
        <v>0.38189845474613687</v>
      </c>
    </row>
    <row r="178" spans="1:16" x14ac:dyDescent="0.4">
      <c r="A178" s="33">
        <v>175</v>
      </c>
      <c r="B178" s="30">
        <v>972.50000000000034</v>
      </c>
      <c r="C178" s="30">
        <v>5.5571428571428587</v>
      </c>
      <c r="D178" s="35">
        <v>1.8114285714285714</v>
      </c>
      <c r="E178" s="31">
        <v>0.41714285714285715</v>
      </c>
      <c r="F178" s="31">
        <v>0.22857142857142856</v>
      </c>
      <c r="G178" s="31">
        <v>0.34819369715603382</v>
      </c>
      <c r="H178" s="31">
        <v>0.14373558800922367</v>
      </c>
      <c r="I178" s="32">
        <v>9920.0883002207502</v>
      </c>
      <c r="J178" s="32">
        <v>-9509.6256684491982</v>
      </c>
      <c r="K178" s="31">
        <v>0.11428571428571428</v>
      </c>
      <c r="L178" s="31">
        <v>0.28402366863905326</v>
      </c>
      <c r="M178" s="31">
        <v>0.22366863905325443</v>
      </c>
      <c r="N178" s="31">
        <v>0.64166666666666672</v>
      </c>
      <c r="O178" s="31">
        <v>0.48148148148148145</v>
      </c>
      <c r="P178" s="31">
        <v>0.38189845474613687</v>
      </c>
    </row>
    <row r="179" spans="1:16" x14ac:dyDescent="0.4">
      <c r="A179" s="33">
        <v>176</v>
      </c>
      <c r="B179" s="30">
        <v>952.00000000000034</v>
      </c>
      <c r="C179" s="30">
        <v>5.4090909090909109</v>
      </c>
      <c r="D179" s="35">
        <v>1.8181818181818181</v>
      </c>
      <c r="E179" s="31">
        <v>0.41477272727272729</v>
      </c>
      <c r="F179" s="31">
        <v>0.23295454545454544</v>
      </c>
      <c r="G179" s="31">
        <v>0.34656488549618319</v>
      </c>
      <c r="H179" s="31">
        <v>0.14274809160305343</v>
      </c>
      <c r="I179" s="32">
        <v>9937.8854625550666</v>
      </c>
      <c r="J179" s="32">
        <v>-9509.6256684491982</v>
      </c>
      <c r="K179" s="31">
        <v>0.11363636363636363</v>
      </c>
      <c r="L179" s="31">
        <v>0.28337236533957844</v>
      </c>
      <c r="M179" s="31">
        <v>0.22131147540983606</v>
      </c>
      <c r="N179" s="31">
        <v>0.64049586776859502</v>
      </c>
      <c r="O179" s="31">
        <v>0.48148148148148145</v>
      </c>
      <c r="P179" s="31">
        <v>0.38105726872246698</v>
      </c>
    </row>
    <row r="180" spans="1:16" x14ac:dyDescent="0.4">
      <c r="A180" s="33">
        <v>177</v>
      </c>
      <c r="B180" s="30">
        <v>948.60000000000036</v>
      </c>
      <c r="C180" s="30">
        <v>5.359322033898307</v>
      </c>
      <c r="D180" s="35">
        <v>1.8192090395480225</v>
      </c>
      <c r="E180" s="31">
        <v>0.41242937853107342</v>
      </c>
      <c r="F180" s="31">
        <v>0.23163841807909605</v>
      </c>
      <c r="G180" s="31">
        <v>0.34621212121212119</v>
      </c>
      <c r="H180" s="31">
        <v>0.14318181818181819</v>
      </c>
      <c r="I180" s="32">
        <v>9925.1641137855586</v>
      </c>
      <c r="J180" s="32">
        <v>-9493.1216931216932</v>
      </c>
      <c r="K180" s="31">
        <v>0.11299435028248588</v>
      </c>
      <c r="L180" s="31">
        <v>0.28703703703703703</v>
      </c>
      <c r="M180" s="31">
        <v>0.22106481481481483</v>
      </c>
      <c r="N180" s="31">
        <v>0.63709677419354838</v>
      </c>
      <c r="O180" s="31">
        <v>0.47643979057591623</v>
      </c>
      <c r="P180" s="31">
        <v>0.38074398249452956</v>
      </c>
    </row>
    <row r="181" spans="1:16" x14ac:dyDescent="0.4">
      <c r="A181" s="33">
        <v>178</v>
      </c>
      <c r="B181" s="30">
        <v>988.10000000000036</v>
      </c>
      <c r="C181" s="30">
        <v>5.5511235955056204</v>
      </c>
      <c r="D181" s="35">
        <v>1.8146067415730338</v>
      </c>
      <c r="E181" s="31">
        <v>0.4157303370786517</v>
      </c>
      <c r="F181" s="31">
        <v>0.2303370786516854</v>
      </c>
      <c r="G181" s="31">
        <v>0.34864457831325302</v>
      </c>
      <c r="H181" s="31">
        <v>0.14307228915662651</v>
      </c>
      <c r="I181" s="32">
        <v>9890.9287257019441</v>
      </c>
      <c r="J181" s="32">
        <v>-9470.5263157894733</v>
      </c>
      <c r="K181" s="31">
        <v>0.11235955056179775</v>
      </c>
      <c r="L181" s="31">
        <v>0.29128440366972475</v>
      </c>
      <c r="M181" s="31">
        <v>0.22018348623853212</v>
      </c>
      <c r="N181" s="31">
        <v>0.63779527559055116</v>
      </c>
      <c r="O181" s="31">
        <v>0.47916666666666669</v>
      </c>
      <c r="P181" s="31">
        <v>0.38012958963282939</v>
      </c>
    </row>
    <row r="182" spans="1:16" x14ac:dyDescent="0.4">
      <c r="A182" s="33">
        <v>179</v>
      </c>
      <c r="B182" s="30">
        <v>1049.1000000000004</v>
      </c>
      <c r="C182" s="30">
        <v>5.8608938547486051</v>
      </c>
      <c r="D182" s="35">
        <v>1.8100558659217878</v>
      </c>
      <c r="E182" s="31">
        <v>0.41899441340782123</v>
      </c>
      <c r="F182" s="31">
        <v>0.22905027932960895</v>
      </c>
      <c r="G182" s="31">
        <v>0.34955089820359281</v>
      </c>
      <c r="H182" s="31">
        <v>0.14296407185628743</v>
      </c>
      <c r="I182" s="32">
        <v>9960.3854389721619</v>
      </c>
      <c r="J182" s="32">
        <v>-9483.7696335078526</v>
      </c>
      <c r="K182" s="31">
        <v>0.11173184357541899</v>
      </c>
      <c r="L182" s="31">
        <v>0.29090909090909089</v>
      </c>
      <c r="M182" s="31">
        <v>0.21818181818181817</v>
      </c>
      <c r="N182" s="31">
        <v>0.640625</v>
      </c>
      <c r="O182" s="31">
        <v>0.47916666666666669</v>
      </c>
      <c r="P182" s="31">
        <v>0.38329764453961457</v>
      </c>
    </row>
    <row r="183" spans="1:16" x14ac:dyDescent="0.4">
      <c r="A183" s="33">
        <v>180</v>
      </c>
      <c r="B183" s="30">
        <v>1060.8000000000004</v>
      </c>
      <c r="C183" s="30">
        <v>5.8933333333333353</v>
      </c>
      <c r="D183" s="35">
        <v>1.8111111111111111</v>
      </c>
      <c r="E183" s="31">
        <v>0.41666666666666669</v>
      </c>
      <c r="F183" s="31">
        <v>0.22777777777777777</v>
      </c>
      <c r="G183" s="31">
        <v>0.35044642857142855</v>
      </c>
      <c r="H183" s="31">
        <v>0.14285714285714285</v>
      </c>
      <c r="I183" s="32">
        <v>9946.2845010615711</v>
      </c>
      <c r="J183" s="32">
        <v>-9476.0416666666661</v>
      </c>
      <c r="K183" s="31">
        <v>0.1111111111111111</v>
      </c>
      <c r="L183" s="31">
        <v>0.29166666666666669</v>
      </c>
      <c r="M183" s="31">
        <v>0.21734234234234234</v>
      </c>
      <c r="N183" s="31">
        <v>0.64478764478764483</v>
      </c>
      <c r="O183" s="31">
        <v>0.48186528497409326</v>
      </c>
      <c r="P183" s="31">
        <v>0.38004246284501064</v>
      </c>
    </row>
    <row r="184" spans="1:16" x14ac:dyDescent="0.4">
      <c r="A184" s="33">
        <v>181</v>
      </c>
      <c r="B184" s="30">
        <v>1076.9000000000003</v>
      </c>
      <c r="C184" s="30">
        <v>5.9497237569060788</v>
      </c>
      <c r="D184" s="35">
        <v>1.8066298342541436</v>
      </c>
      <c r="E184" s="31">
        <v>0.41988950276243092</v>
      </c>
      <c r="F184" s="31">
        <v>0.22651933701657459</v>
      </c>
      <c r="G184" s="31">
        <v>0.35133136094674555</v>
      </c>
      <c r="H184" s="31">
        <v>0.14275147928994084</v>
      </c>
      <c r="I184" s="32">
        <v>9937.4736842105267</v>
      </c>
      <c r="J184" s="32">
        <v>-9489.1191709844552</v>
      </c>
      <c r="K184" s="31">
        <v>0.11049723756906077</v>
      </c>
      <c r="L184" s="31">
        <v>0.29464285714285715</v>
      </c>
      <c r="M184" s="31">
        <v>0.21651785714285715</v>
      </c>
      <c r="N184" s="31">
        <v>0.64772727272727271</v>
      </c>
      <c r="O184" s="31">
        <v>0.47938144329896909</v>
      </c>
      <c r="P184" s="31">
        <v>0.38105263157894737</v>
      </c>
    </row>
    <row r="185" spans="1:16" x14ac:dyDescent="0.4">
      <c r="A185" s="33">
        <v>182</v>
      </c>
      <c r="B185" s="30">
        <v>1134.4000000000003</v>
      </c>
      <c r="C185" s="30">
        <v>6.2329670329670348</v>
      </c>
      <c r="D185" s="35">
        <v>1.8021978021978022</v>
      </c>
      <c r="E185" s="31">
        <v>0.42307692307692307</v>
      </c>
      <c r="F185" s="31">
        <v>0.22527472527472528</v>
      </c>
      <c r="G185" s="31">
        <v>0.35198821796759944</v>
      </c>
      <c r="H185" s="31">
        <v>0.14212076583210603</v>
      </c>
      <c r="I185" s="32">
        <v>10008.995815899581</v>
      </c>
      <c r="J185" s="32">
        <v>-9489.1191709844552</v>
      </c>
      <c r="K185" s="31">
        <v>0.10989010989010989</v>
      </c>
      <c r="L185" s="31">
        <v>0.29490022172949004</v>
      </c>
      <c r="M185" s="31">
        <v>0.21507760532150777</v>
      </c>
      <c r="N185" s="31">
        <v>0.65037593984962405</v>
      </c>
      <c r="O185" s="31">
        <v>0.47938144329896909</v>
      </c>
      <c r="P185" s="31">
        <v>0.38284518828451886</v>
      </c>
    </row>
    <row r="186" spans="1:16" x14ac:dyDescent="0.4">
      <c r="A186" s="33">
        <v>183</v>
      </c>
      <c r="B186" s="30">
        <v>1121.9000000000003</v>
      </c>
      <c r="C186" s="30">
        <v>6.1306010928961765</v>
      </c>
      <c r="D186" s="35">
        <v>1.8032786885245902</v>
      </c>
      <c r="E186" s="31">
        <v>0.42076502732240439</v>
      </c>
      <c r="F186" s="31">
        <v>0.22404371584699453</v>
      </c>
      <c r="G186" s="31">
        <v>0.35143066764490094</v>
      </c>
      <c r="H186" s="31">
        <v>0.14159941305942772</v>
      </c>
      <c r="I186" s="32">
        <v>10004.801670146138</v>
      </c>
      <c r="J186" s="32">
        <v>-9489.1191709844552</v>
      </c>
      <c r="K186" s="31">
        <v>0.10928961748633879</v>
      </c>
      <c r="L186" s="31">
        <v>0.29547960308710031</v>
      </c>
      <c r="M186" s="31">
        <v>0.21499448732083792</v>
      </c>
      <c r="N186" s="31">
        <v>0.64552238805970152</v>
      </c>
      <c r="O186" s="31">
        <v>0.47692307692307695</v>
      </c>
      <c r="P186" s="31">
        <v>0.38204592901878914</v>
      </c>
    </row>
    <row r="187" spans="1:16" x14ac:dyDescent="0.4">
      <c r="A187" s="33">
        <v>184</v>
      </c>
      <c r="B187" s="30">
        <v>1132.6000000000004</v>
      </c>
      <c r="C187" s="30">
        <v>6.1554347826086975</v>
      </c>
      <c r="D187" s="35">
        <v>1.798913043478261</v>
      </c>
      <c r="E187" s="31">
        <v>0.42391304347826086</v>
      </c>
      <c r="F187" s="31">
        <v>0.22282608695652173</v>
      </c>
      <c r="G187" s="31">
        <v>0.35255474452554747</v>
      </c>
      <c r="H187" s="31">
        <v>0.14087591240875913</v>
      </c>
      <c r="I187" s="32">
        <v>9967.9089026915117</v>
      </c>
      <c r="J187" s="32">
        <v>-9489.1191709844552</v>
      </c>
      <c r="K187" s="31">
        <v>0.10869565217391304</v>
      </c>
      <c r="L187" s="31">
        <v>0.2964989059080963</v>
      </c>
      <c r="M187" s="31">
        <v>0.21444201312910285</v>
      </c>
      <c r="N187" s="31">
        <v>0.64944649446494462</v>
      </c>
      <c r="O187" s="31">
        <v>0.47959183673469385</v>
      </c>
      <c r="P187" s="31">
        <v>0.38095238095238093</v>
      </c>
    </row>
    <row r="188" spans="1:16" x14ac:dyDescent="0.4">
      <c r="A188" s="33">
        <v>185</v>
      </c>
      <c r="B188" s="30">
        <v>1163.7000000000003</v>
      </c>
      <c r="C188" s="30">
        <v>6.2902702702702715</v>
      </c>
      <c r="D188" s="35">
        <v>1.7945945945945947</v>
      </c>
      <c r="E188" s="31">
        <v>0.42702702702702705</v>
      </c>
      <c r="F188" s="31">
        <v>0.22162162162162163</v>
      </c>
      <c r="G188" s="31">
        <v>0.35311143270622286</v>
      </c>
      <c r="H188" s="31">
        <v>0.14182344428364688</v>
      </c>
      <c r="I188" s="32">
        <v>9992.0081967213118</v>
      </c>
      <c r="J188" s="32">
        <v>-9507.1428571428569</v>
      </c>
      <c r="K188" s="31">
        <v>0.10810810810810811</v>
      </c>
      <c r="L188" s="31">
        <v>0.29697624190064797</v>
      </c>
      <c r="M188" s="31">
        <v>0.21274298056155508</v>
      </c>
      <c r="N188" s="31">
        <v>0.65090909090909088</v>
      </c>
      <c r="O188" s="31">
        <v>0.48223350253807107</v>
      </c>
      <c r="P188" s="31">
        <v>0.38114754098360654</v>
      </c>
    </row>
    <row r="189" spans="1:16" x14ac:dyDescent="0.4">
      <c r="A189" s="33">
        <v>186</v>
      </c>
      <c r="B189" s="30">
        <v>1173.9000000000003</v>
      </c>
      <c r="C189" s="30">
        <v>6.3112903225806471</v>
      </c>
      <c r="D189" s="35">
        <v>1.7903225806451613</v>
      </c>
      <c r="E189" s="31">
        <v>0.43010752688172044</v>
      </c>
      <c r="F189" s="31">
        <v>0.22043010752688172</v>
      </c>
      <c r="G189" s="31">
        <v>0.35349172066234702</v>
      </c>
      <c r="H189" s="31">
        <v>0.14254859611231102</v>
      </c>
      <c r="I189" s="32">
        <v>9987.9837067209774</v>
      </c>
      <c r="J189" s="32">
        <v>-9512.121212121212</v>
      </c>
      <c r="K189" s="31">
        <v>0.10752688172043011</v>
      </c>
      <c r="L189" s="31">
        <v>0.29796355841371919</v>
      </c>
      <c r="M189" s="31">
        <v>0.21221864951768488</v>
      </c>
      <c r="N189" s="31">
        <v>0.65107913669064743</v>
      </c>
      <c r="O189" s="31">
        <v>0.48484848484848486</v>
      </c>
      <c r="P189" s="31">
        <v>0.38289205702647655</v>
      </c>
    </row>
    <row r="190" spans="1:16" x14ac:dyDescent="0.4">
      <c r="A190" s="33">
        <v>187</v>
      </c>
      <c r="B190" s="30">
        <v>1182.2000000000003</v>
      </c>
      <c r="C190" s="30">
        <v>6.3219251336898408</v>
      </c>
      <c r="D190" s="35">
        <v>1.7914438502673797</v>
      </c>
      <c r="E190" s="31">
        <v>0.42780748663101603</v>
      </c>
      <c r="F190" s="31">
        <v>0.21925133689839571</v>
      </c>
      <c r="G190" s="31">
        <v>0.35386819484240689</v>
      </c>
      <c r="H190" s="31">
        <v>0.14183381088825214</v>
      </c>
      <c r="I190" s="32">
        <v>9973.4817813765185</v>
      </c>
      <c r="J190" s="32">
        <v>-9512.121212121212</v>
      </c>
      <c r="K190" s="31">
        <v>0.10695187165775401</v>
      </c>
      <c r="L190" s="31">
        <v>0.29680851063829788</v>
      </c>
      <c r="M190" s="31">
        <v>0.21063829787234042</v>
      </c>
      <c r="N190" s="31">
        <v>0.6523297491039427</v>
      </c>
      <c r="O190" s="31">
        <v>0.48484848484848486</v>
      </c>
      <c r="P190" s="31">
        <v>0.38259109311740891</v>
      </c>
    </row>
    <row r="191" spans="1:16" x14ac:dyDescent="0.4">
      <c r="A191" s="33">
        <v>188</v>
      </c>
      <c r="B191" s="30">
        <v>1180.3000000000002</v>
      </c>
      <c r="C191" s="30">
        <v>6.2781914893617028</v>
      </c>
      <c r="D191" s="35">
        <v>1.7925531914893618</v>
      </c>
      <c r="E191" s="31">
        <v>0.42553191489361702</v>
      </c>
      <c r="F191" s="31">
        <v>0.21808510638297873</v>
      </c>
      <c r="G191" s="31">
        <v>0.35327635327635326</v>
      </c>
      <c r="H191" s="31">
        <v>0.14173789173789172</v>
      </c>
      <c r="I191" s="32">
        <v>9967.9435483870966</v>
      </c>
      <c r="J191" s="32">
        <v>-9477.3869346733663</v>
      </c>
      <c r="K191" s="31">
        <v>0.10638297872340426</v>
      </c>
      <c r="L191" s="31">
        <v>0.29852320675105487</v>
      </c>
      <c r="M191" s="31">
        <v>0.20991561181434598</v>
      </c>
      <c r="N191" s="31">
        <v>0.65017667844522964</v>
      </c>
      <c r="O191" s="31">
        <v>0.48241206030150752</v>
      </c>
      <c r="P191" s="31">
        <v>0.38104838709677419</v>
      </c>
    </row>
    <row r="192" spans="1:16" x14ac:dyDescent="0.4">
      <c r="A192" s="33">
        <v>189</v>
      </c>
      <c r="B192" s="30">
        <v>1180.8000000000002</v>
      </c>
      <c r="C192" s="30">
        <v>6.2476190476190485</v>
      </c>
      <c r="D192" s="35">
        <v>1.7936507936507937</v>
      </c>
      <c r="E192" s="31">
        <v>0.42328042328042326</v>
      </c>
      <c r="F192" s="31">
        <v>0.21693121693121692</v>
      </c>
      <c r="G192" s="31">
        <v>0.35339943342776203</v>
      </c>
      <c r="H192" s="31">
        <v>0.14093484419263455</v>
      </c>
      <c r="I192" s="32">
        <v>9945.0901803607212</v>
      </c>
      <c r="J192" s="32">
        <v>-9477.3869346733663</v>
      </c>
      <c r="K192" s="31">
        <v>0.10582010582010581</v>
      </c>
      <c r="L192" s="31">
        <v>0.30020920502092052</v>
      </c>
      <c r="M192" s="31">
        <v>0.20815899581589958</v>
      </c>
      <c r="N192" s="31">
        <v>0.65156794425087106</v>
      </c>
      <c r="O192" s="31">
        <v>0.48241206030150752</v>
      </c>
      <c r="P192" s="31">
        <v>0.38076152304609218</v>
      </c>
    </row>
    <row r="193" spans="1:16" x14ac:dyDescent="0.4">
      <c r="A193" s="33">
        <v>190</v>
      </c>
      <c r="B193" s="30">
        <v>1228.8000000000002</v>
      </c>
      <c r="C193" s="30">
        <v>6.4673684210526323</v>
      </c>
      <c r="D193" s="35">
        <v>1.7894736842105263</v>
      </c>
      <c r="E193" s="31">
        <v>0.4263157894736842</v>
      </c>
      <c r="F193" s="31">
        <v>0.21578947368421053</v>
      </c>
      <c r="G193" s="31">
        <v>0.3547703180212014</v>
      </c>
      <c r="H193" s="31">
        <v>0.14063604240282684</v>
      </c>
      <c r="I193" s="32">
        <v>9977.2908366533866</v>
      </c>
      <c r="J193" s="32">
        <v>-9477.3869346733663</v>
      </c>
      <c r="K193" s="31">
        <v>0.10526315789473684</v>
      </c>
      <c r="L193" s="31">
        <v>0.30239833159541191</v>
      </c>
      <c r="M193" s="31">
        <v>0.20750782064650677</v>
      </c>
      <c r="N193" s="31">
        <v>0.65517241379310343</v>
      </c>
      <c r="O193" s="31">
        <v>0.48241206030150752</v>
      </c>
      <c r="P193" s="31">
        <v>0.38047808764940239</v>
      </c>
    </row>
    <row r="194" spans="1:16" x14ac:dyDescent="0.4">
      <c r="A194" s="33">
        <v>191</v>
      </c>
      <c r="B194" s="30">
        <v>1251.6000000000001</v>
      </c>
      <c r="C194" s="30">
        <v>6.5528795811518332</v>
      </c>
      <c r="D194" s="35">
        <v>1.7853403141361257</v>
      </c>
      <c r="E194" s="31">
        <v>0.4293193717277487</v>
      </c>
      <c r="F194" s="31">
        <v>0.21465968586387435</v>
      </c>
      <c r="G194" s="31">
        <v>0.35508771929824562</v>
      </c>
      <c r="H194" s="31">
        <v>0.13964912280701755</v>
      </c>
      <c r="I194" s="32">
        <v>9972.7272727272721</v>
      </c>
      <c r="J194" s="32">
        <v>-9477.3869346733663</v>
      </c>
      <c r="K194" s="31">
        <v>0.10471204188481675</v>
      </c>
      <c r="L194" s="31">
        <v>0.30237358101135192</v>
      </c>
      <c r="M194" s="31">
        <v>0.20536635706914344</v>
      </c>
      <c r="N194" s="31">
        <v>0.65529010238907848</v>
      </c>
      <c r="O194" s="31">
        <v>0.48241206030150752</v>
      </c>
      <c r="P194" s="31">
        <v>0.37944664031620551</v>
      </c>
    </row>
    <row r="195" spans="1:16" x14ac:dyDescent="0.4">
      <c r="A195" s="33">
        <v>192</v>
      </c>
      <c r="B195" s="30">
        <v>1257.6000000000001</v>
      </c>
      <c r="C195" s="30">
        <v>6.5500000000000007</v>
      </c>
      <c r="D195" s="35">
        <v>1.78125</v>
      </c>
      <c r="E195" s="31">
        <v>0.43229166666666669</v>
      </c>
      <c r="F195" s="31">
        <v>0.21354166666666666</v>
      </c>
      <c r="G195" s="31">
        <v>0.35519888346127004</v>
      </c>
      <c r="H195" s="31">
        <v>0.14026517794836008</v>
      </c>
      <c r="I195" s="32">
        <v>9996.4636542239678</v>
      </c>
      <c r="J195" s="32">
        <v>-9502.4875621890551</v>
      </c>
      <c r="K195" s="31">
        <v>0.10416666666666667</v>
      </c>
      <c r="L195" s="31">
        <v>0.30399181166837258</v>
      </c>
      <c r="M195" s="31">
        <v>0.20368474923234392</v>
      </c>
      <c r="N195" s="31">
        <v>0.65656565656565657</v>
      </c>
      <c r="O195" s="31">
        <v>0.48241206030150752</v>
      </c>
      <c r="P195" s="31">
        <v>0.37917485265225931</v>
      </c>
    </row>
    <row r="196" spans="1:16" x14ac:dyDescent="0.4">
      <c r="A196" s="33">
        <v>193</v>
      </c>
      <c r="B196" s="30">
        <v>1240.6000000000001</v>
      </c>
      <c r="C196" s="30">
        <v>6.4279792746114</v>
      </c>
      <c r="D196" s="35">
        <v>1.7875647668393781</v>
      </c>
      <c r="E196" s="31">
        <v>0.43005181347150256</v>
      </c>
      <c r="F196" s="31">
        <v>0.21761658031088082</v>
      </c>
      <c r="G196" s="31">
        <v>0.35436893203883496</v>
      </c>
      <c r="H196" s="31">
        <v>0.14147018030513175</v>
      </c>
      <c r="I196" s="32">
        <v>9983.1702544031305</v>
      </c>
      <c r="J196" s="32">
        <v>-9505.8823529411766</v>
      </c>
      <c r="K196" s="31">
        <v>0.10362694300518134</v>
      </c>
      <c r="L196" s="31">
        <v>0.30223123732251522</v>
      </c>
      <c r="M196" s="31">
        <v>0.20689655172413793</v>
      </c>
      <c r="N196" s="31">
        <v>0.65436241610738255</v>
      </c>
      <c r="O196" s="31">
        <v>0.48039215686274511</v>
      </c>
      <c r="P196" s="31">
        <v>0.37964774951076319</v>
      </c>
    </row>
    <row r="197" spans="1:16" x14ac:dyDescent="0.4">
      <c r="A197" s="33">
        <v>194</v>
      </c>
      <c r="B197" s="30">
        <v>1221.7</v>
      </c>
      <c r="C197" s="30">
        <v>6.297422680412371</v>
      </c>
      <c r="D197" s="35">
        <v>1.7938144329896908</v>
      </c>
      <c r="E197" s="31">
        <v>0.42783505154639173</v>
      </c>
      <c r="F197" s="31">
        <v>0.22164948453608246</v>
      </c>
      <c r="G197" s="31">
        <v>0.35310344827586204</v>
      </c>
      <c r="H197" s="31">
        <v>0.14275862068965517</v>
      </c>
      <c r="I197" s="32">
        <v>9987.109375</v>
      </c>
      <c r="J197" s="32">
        <v>-9447.3429951690814</v>
      </c>
      <c r="K197" s="31">
        <v>0.10309278350515463</v>
      </c>
      <c r="L197" s="31">
        <v>0.30181086519114686</v>
      </c>
      <c r="M197" s="31">
        <v>0.20623742454728369</v>
      </c>
      <c r="N197" s="31">
        <v>0.65333333333333332</v>
      </c>
      <c r="O197" s="31">
        <v>0.47804878048780486</v>
      </c>
      <c r="P197" s="31">
        <v>0.380859375</v>
      </c>
    </row>
    <row r="198" spans="1:16" x14ac:dyDescent="0.4">
      <c r="A198" s="33">
        <v>195</v>
      </c>
      <c r="B198" s="30">
        <v>1258.4000000000001</v>
      </c>
      <c r="C198" s="30">
        <v>6.453333333333334</v>
      </c>
      <c r="D198" s="35">
        <v>1.7897435897435898</v>
      </c>
      <c r="E198" s="31">
        <v>0.43076923076923079</v>
      </c>
      <c r="F198" s="31">
        <v>0.22051282051282051</v>
      </c>
      <c r="G198" s="31">
        <v>0.35395189003436428</v>
      </c>
      <c r="H198" s="31">
        <v>0.1422680412371134</v>
      </c>
      <c r="I198" s="32">
        <v>10006.019417475729</v>
      </c>
      <c r="J198" s="32">
        <v>-9447.3429951690814</v>
      </c>
      <c r="K198" s="31">
        <v>0.10256410256410256</v>
      </c>
      <c r="L198" s="31">
        <v>0.3033033033033033</v>
      </c>
      <c r="M198" s="31">
        <v>0.20520520520520522</v>
      </c>
      <c r="N198" s="31">
        <v>0.65346534653465349</v>
      </c>
      <c r="O198" s="31">
        <v>0.47804878048780486</v>
      </c>
      <c r="P198" s="31">
        <v>0.38058252427184464</v>
      </c>
    </row>
    <row r="199" spans="1:16" x14ac:dyDescent="0.4">
      <c r="A199" s="33">
        <v>196</v>
      </c>
      <c r="B199" s="30">
        <v>1270.8000000000002</v>
      </c>
      <c r="C199" s="30">
        <v>6.4836734693877558</v>
      </c>
      <c r="D199" s="35">
        <v>1.7857142857142858</v>
      </c>
      <c r="E199" s="31">
        <v>0.43367346938775508</v>
      </c>
      <c r="F199" s="31">
        <v>0.21938775510204081</v>
      </c>
      <c r="G199" s="31">
        <v>0.35406698564593303</v>
      </c>
      <c r="H199" s="31">
        <v>0.14149008885850992</v>
      </c>
      <c r="I199" s="32">
        <v>9987.4517374517382</v>
      </c>
      <c r="J199" s="32">
        <v>-9447.3429951690814</v>
      </c>
      <c r="K199" s="31">
        <v>0.10204081632653061</v>
      </c>
      <c r="L199" s="31">
        <v>0.30387288977159882</v>
      </c>
      <c r="M199" s="31">
        <v>0.20456802383316783</v>
      </c>
      <c r="N199" s="31">
        <v>0.65686274509803921</v>
      </c>
      <c r="O199" s="31">
        <v>0.47572815533980584</v>
      </c>
      <c r="P199" s="31">
        <v>0.38030888030888033</v>
      </c>
    </row>
    <row r="200" spans="1:16" x14ac:dyDescent="0.4">
      <c r="A200" s="33">
        <v>197</v>
      </c>
      <c r="B200" s="30">
        <v>1284.8000000000002</v>
      </c>
      <c r="C200" s="30">
        <v>6.5218274111675134</v>
      </c>
      <c r="D200" s="35">
        <v>1.7868020304568528</v>
      </c>
      <c r="E200" s="31">
        <v>0.43147208121827413</v>
      </c>
      <c r="F200" s="31">
        <v>0.21827411167512689</v>
      </c>
      <c r="G200" s="31">
        <v>0.35394021739130432</v>
      </c>
      <c r="H200" s="31">
        <v>0.14130434782608695</v>
      </c>
      <c r="I200" s="32">
        <v>9999.0403071017281</v>
      </c>
      <c r="J200" s="32">
        <v>-9459.6153846153848</v>
      </c>
      <c r="K200" s="31">
        <v>0.10152284263959391</v>
      </c>
      <c r="L200" s="31">
        <v>0.30413385826771655</v>
      </c>
      <c r="M200" s="31">
        <v>0.20472440944881889</v>
      </c>
      <c r="N200" s="31">
        <v>0.65695792880258896</v>
      </c>
      <c r="O200" s="31">
        <v>0.47596153846153844</v>
      </c>
      <c r="P200" s="31">
        <v>0.38195777351247601</v>
      </c>
    </row>
    <row r="201" spans="1:16" x14ac:dyDescent="0.4">
      <c r="A201" s="33">
        <v>198</v>
      </c>
      <c r="B201" s="30">
        <v>1291.6000000000001</v>
      </c>
      <c r="C201" s="30">
        <v>6.5232323232323237</v>
      </c>
      <c r="D201" s="35">
        <v>1.7878787878787878</v>
      </c>
      <c r="E201" s="31">
        <v>0.42929292929292928</v>
      </c>
      <c r="F201" s="31">
        <v>0.21717171717171718</v>
      </c>
      <c r="G201" s="31">
        <v>0.35313977042538824</v>
      </c>
      <c r="H201" s="31">
        <v>0.14112086428089129</v>
      </c>
      <c r="I201" s="32">
        <v>10006.692160611854</v>
      </c>
      <c r="J201" s="32">
        <v>-9451.1961722488031</v>
      </c>
      <c r="K201" s="31">
        <v>0.10101010101010101</v>
      </c>
      <c r="L201" s="31">
        <v>0.30341463414634146</v>
      </c>
      <c r="M201" s="31">
        <v>0.20585365853658535</v>
      </c>
      <c r="N201" s="31">
        <v>0.65594855305466238</v>
      </c>
      <c r="O201" s="31">
        <v>0.47393364928909953</v>
      </c>
      <c r="P201" s="31">
        <v>0.38049713193116635</v>
      </c>
    </row>
    <row r="202" spans="1:16" x14ac:dyDescent="0.4">
      <c r="A202" s="33">
        <v>199</v>
      </c>
      <c r="B202" s="30">
        <v>1284.0000000000002</v>
      </c>
      <c r="C202" s="30">
        <v>6.4522613065326642</v>
      </c>
      <c r="D202" s="35">
        <v>1.7939698492462313</v>
      </c>
      <c r="E202" s="31">
        <v>0.42713567839195982</v>
      </c>
      <c r="F202" s="31">
        <v>0.22110552763819097</v>
      </c>
      <c r="G202" s="31">
        <v>0.35388739946380698</v>
      </c>
      <c r="H202" s="31">
        <v>0.14209115281501342</v>
      </c>
      <c r="I202" s="32">
        <v>9969.69696969697</v>
      </c>
      <c r="J202" s="32">
        <v>-9442.9245283018863</v>
      </c>
      <c r="K202" s="31">
        <v>0.10050251256281408</v>
      </c>
      <c r="L202" s="31">
        <v>0.30598455598455598</v>
      </c>
      <c r="M202" s="31">
        <v>0.2055984555984556</v>
      </c>
      <c r="N202" s="31">
        <v>0.65615141955835965</v>
      </c>
      <c r="O202" s="31">
        <v>0.47417840375586856</v>
      </c>
      <c r="P202" s="31">
        <v>0.37878787878787878</v>
      </c>
    </row>
    <row r="203" spans="1:16" x14ac:dyDescent="0.4">
      <c r="A203" s="33">
        <v>200</v>
      </c>
      <c r="B203" s="30">
        <v>1297.7000000000003</v>
      </c>
      <c r="C203" s="30">
        <v>6.488500000000001</v>
      </c>
      <c r="D203" s="35">
        <v>1.79</v>
      </c>
      <c r="E203" s="31">
        <v>0.43</v>
      </c>
      <c r="F203" s="31">
        <v>0.22</v>
      </c>
      <c r="G203" s="31">
        <v>0.35395874916833003</v>
      </c>
      <c r="H203" s="31">
        <v>0.14238190286094476</v>
      </c>
      <c r="I203" s="32">
        <v>9961.8421052631584</v>
      </c>
      <c r="J203" s="32">
        <v>-9416.3551401869154</v>
      </c>
      <c r="K203" s="31">
        <v>0.1</v>
      </c>
      <c r="L203" s="31">
        <v>0.30468003820439349</v>
      </c>
      <c r="M203" s="31">
        <v>0.2072588347659981</v>
      </c>
      <c r="N203" s="31">
        <v>0.65830721003134796</v>
      </c>
      <c r="O203" s="31">
        <v>0.47004608294930877</v>
      </c>
      <c r="P203" s="31">
        <v>0.37969924812030076</v>
      </c>
    </row>
    <row r="204" spans="1:16" x14ac:dyDescent="0.4">
      <c r="A204" s="33">
        <v>201</v>
      </c>
      <c r="B204" s="30">
        <v>1298.0000000000002</v>
      </c>
      <c r="C204" s="30">
        <v>6.4577114427860707</v>
      </c>
      <c r="D204" s="35">
        <v>1.791044776119403</v>
      </c>
      <c r="E204" s="31">
        <v>0.42786069651741293</v>
      </c>
      <c r="F204" s="31">
        <v>0.21890547263681592</v>
      </c>
      <c r="G204" s="31">
        <v>0.3531746031746032</v>
      </c>
      <c r="H204" s="31">
        <v>0.14351851851851852</v>
      </c>
      <c r="I204" s="32">
        <v>9969.4756554307114</v>
      </c>
      <c r="J204" s="32">
        <v>-9367.7419354838712</v>
      </c>
      <c r="K204" s="31">
        <v>9.950248756218906E-2</v>
      </c>
      <c r="L204" s="31">
        <v>0.30492424242424243</v>
      </c>
      <c r="M204" s="31">
        <v>0.20738636363636365</v>
      </c>
      <c r="N204" s="31">
        <v>0.65527950310559002</v>
      </c>
      <c r="O204" s="31">
        <v>0.47031963470319632</v>
      </c>
      <c r="P204" s="31">
        <v>0.37827715355805241</v>
      </c>
    </row>
    <row r="205" spans="1:16" x14ac:dyDescent="0.4">
      <c r="A205" s="33">
        <v>202</v>
      </c>
      <c r="B205" s="30">
        <v>1292.6000000000001</v>
      </c>
      <c r="C205" s="30">
        <v>6.3990099009900998</v>
      </c>
      <c r="D205" s="35">
        <v>1.7920792079207921</v>
      </c>
      <c r="E205" s="31">
        <v>0.42574257425742573</v>
      </c>
      <c r="F205" s="31">
        <v>0.21782178217821782</v>
      </c>
      <c r="G205" s="31">
        <v>0.35282522996057819</v>
      </c>
      <c r="H205" s="31">
        <v>0.1425755584756899</v>
      </c>
      <c r="I205" s="32">
        <v>9952.8864059590323</v>
      </c>
      <c r="J205" s="32">
        <v>-9367.7419354838712</v>
      </c>
      <c r="K205" s="31">
        <v>9.9009900990099015E-2</v>
      </c>
      <c r="L205" s="31">
        <v>0.30393996247654786</v>
      </c>
      <c r="M205" s="31">
        <v>0.20637898686679174</v>
      </c>
      <c r="N205" s="31">
        <v>0.65740740740740744</v>
      </c>
      <c r="O205" s="31">
        <v>0.47272727272727272</v>
      </c>
      <c r="P205" s="31">
        <v>0.37616387337057727</v>
      </c>
    </row>
    <row r="206" spans="1:16" x14ac:dyDescent="0.4">
      <c r="A206" s="33">
        <v>203</v>
      </c>
      <c r="B206" s="30">
        <v>1249.4000000000001</v>
      </c>
      <c r="C206" s="30">
        <v>6.1546798029556653</v>
      </c>
      <c r="D206" s="35">
        <v>1.7980295566502462</v>
      </c>
      <c r="E206" s="31">
        <v>0.42364532019704432</v>
      </c>
      <c r="F206" s="31">
        <v>0.22167487684729065</v>
      </c>
      <c r="G206" s="31">
        <v>0.35209424083769636</v>
      </c>
      <c r="H206" s="31">
        <v>0.14332460732984292</v>
      </c>
      <c r="I206" s="32">
        <v>9949.2565055762079</v>
      </c>
      <c r="J206" s="32">
        <v>-9351.5981735159821</v>
      </c>
      <c r="K206" s="31">
        <v>0.10344827586206896</v>
      </c>
      <c r="L206" s="31">
        <v>0.30410447761194032</v>
      </c>
      <c r="M206" s="31">
        <v>0.20522388059701493</v>
      </c>
      <c r="N206" s="31">
        <v>0.65644171779141103</v>
      </c>
      <c r="O206" s="31">
        <v>0.47272727272727272</v>
      </c>
      <c r="P206" s="31">
        <v>0.37732342007434944</v>
      </c>
    </row>
    <row r="207" spans="1:16" x14ac:dyDescent="0.4">
      <c r="A207" s="33">
        <v>204</v>
      </c>
      <c r="B207" s="30">
        <v>1267.6000000000001</v>
      </c>
      <c r="C207" s="30">
        <v>6.2137254901960794</v>
      </c>
      <c r="D207" s="35">
        <v>1.7941176470588236</v>
      </c>
      <c r="E207" s="31">
        <v>0.4264705882352941</v>
      </c>
      <c r="F207" s="31">
        <v>0.22058823529411764</v>
      </c>
      <c r="G207" s="31">
        <v>0.35221354166666669</v>
      </c>
      <c r="H207" s="31">
        <v>0.142578125</v>
      </c>
      <c r="I207" s="32">
        <v>9940.6654343807768</v>
      </c>
      <c r="J207" s="32">
        <v>-9351.5981735159821</v>
      </c>
      <c r="K207" s="31">
        <v>0.10294117647058823</v>
      </c>
      <c r="L207" s="31">
        <v>0.3037037037037037</v>
      </c>
      <c r="M207" s="31">
        <v>0.20462962962962963</v>
      </c>
      <c r="N207" s="31">
        <v>0.65853658536585369</v>
      </c>
      <c r="O207" s="31">
        <v>0.47511312217194568</v>
      </c>
      <c r="P207" s="31">
        <v>0.37707948243992606</v>
      </c>
    </row>
    <row r="208" spans="1:16" x14ac:dyDescent="0.4">
      <c r="A208" s="33">
        <v>205</v>
      </c>
      <c r="B208" s="30">
        <v>1290.4000000000001</v>
      </c>
      <c r="C208" s="30">
        <v>6.2946341463414637</v>
      </c>
      <c r="D208" s="35">
        <v>1.7902439024390244</v>
      </c>
      <c r="E208" s="31">
        <v>0.42926829268292682</v>
      </c>
      <c r="F208" s="31">
        <v>0.21951219512195122</v>
      </c>
      <c r="G208" s="31">
        <v>0.35301752109020118</v>
      </c>
      <c r="H208" s="31">
        <v>0.14211550940947437</v>
      </c>
      <c r="I208" s="32">
        <v>9943.3823529411766</v>
      </c>
      <c r="J208" s="32">
        <v>-9351.5981735159821</v>
      </c>
      <c r="K208" s="31">
        <v>0.1024390243902439</v>
      </c>
      <c r="L208" s="31">
        <v>0.30414746543778803</v>
      </c>
      <c r="M208" s="31">
        <v>0.20460829493087557</v>
      </c>
      <c r="N208" s="31">
        <v>0.66060606060606064</v>
      </c>
      <c r="O208" s="31">
        <v>0.47297297297297297</v>
      </c>
      <c r="P208" s="31">
        <v>0.37683823529411764</v>
      </c>
    </row>
    <row r="209" spans="1:16" x14ac:dyDescent="0.4">
      <c r="A209" s="33">
        <v>206</v>
      </c>
      <c r="B209" s="30">
        <v>1298.5</v>
      </c>
      <c r="C209" s="30">
        <v>6.3033980582524274</v>
      </c>
      <c r="D209" s="35">
        <v>1.7912621359223302</v>
      </c>
      <c r="E209" s="31">
        <v>0.42718446601941745</v>
      </c>
      <c r="F209" s="31">
        <v>0.21844660194174756</v>
      </c>
      <c r="G209" s="31">
        <v>0.35335917312661497</v>
      </c>
      <c r="H209" s="31">
        <v>0.14276485788113696</v>
      </c>
      <c r="I209" s="32">
        <v>9937.4771480804393</v>
      </c>
      <c r="J209" s="32">
        <v>-9357.4660633484164</v>
      </c>
      <c r="K209" s="31">
        <v>0.10194174757281553</v>
      </c>
      <c r="L209" s="31">
        <v>0.30586080586080588</v>
      </c>
      <c r="M209" s="31">
        <v>0.20512820512820512</v>
      </c>
      <c r="N209" s="31">
        <v>0.66167664670658688</v>
      </c>
      <c r="O209" s="31">
        <v>0.46875</v>
      </c>
      <c r="P209" s="31">
        <v>0.37659963436928701</v>
      </c>
    </row>
    <row r="210" spans="1:16" x14ac:dyDescent="0.4">
      <c r="A210" s="33">
        <v>207</v>
      </c>
      <c r="B210" s="30">
        <v>1303.5</v>
      </c>
      <c r="C210" s="30">
        <v>6.2971014492753623</v>
      </c>
      <c r="D210" s="35">
        <v>1.7922705314009661</v>
      </c>
      <c r="E210" s="31">
        <v>0.4251207729468599</v>
      </c>
      <c r="F210" s="31">
        <v>0.21739130434782608</v>
      </c>
      <c r="G210" s="31">
        <v>0.35301668806161746</v>
      </c>
      <c r="H210" s="31">
        <v>0.14184852374839538</v>
      </c>
      <c r="I210" s="32">
        <v>9963.2727272727279</v>
      </c>
      <c r="J210" s="32">
        <v>-9357.4660633484164</v>
      </c>
      <c r="K210" s="31">
        <v>0.10144927536231885</v>
      </c>
      <c r="L210" s="31">
        <v>0.30671506352087113</v>
      </c>
      <c r="M210" s="31">
        <v>0.20689655172413793</v>
      </c>
      <c r="N210" s="31">
        <v>0.65680473372781067</v>
      </c>
      <c r="O210" s="31">
        <v>0.4692982456140351</v>
      </c>
      <c r="P210" s="31">
        <v>0.37818181818181817</v>
      </c>
    </row>
    <row r="211" spans="1:16" x14ac:dyDescent="0.4">
      <c r="A211" s="33">
        <v>208</v>
      </c>
      <c r="B211" s="30">
        <v>1264.5</v>
      </c>
      <c r="C211" s="30">
        <v>6.0793269230769234</v>
      </c>
      <c r="D211" s="35">
        <v>1.7980769230769231</v>
      </c>
      <c r="E211" s="31">
        <v>0.42307692307692307</v>
      </c>
      <c r="F211" s="31">
        <v>0.22115384615384615</v>
      </c>
      <c r="G211" s="31">
        <v>0.35271565495207668</v>
      </c>
      <c r="H211" s="31">
        <v>0.14313099041533547</v>
      </c>
      <c r="I211" s="32">
        <v>9943.4782608695659</v>
      </c>
      <c r="J211" s="32">
        <v>-9401.7857142857138</v>
      </c>
      <c r="K211" s="31">
        <v>0.10576923076923077</v>
      </c>
      <c r="L211" s="31">
        <v>0.30658250676284943</v>
      </c>
      <c r="M211" s="31">
        <v>0.20829576194770064</v>
      </c>
      <c r="N211" s="31">
        <v>0.65294117647058825</v>
      </c>
      <c r="O211" s="31">
        <v>0.47186147186147187</v>
      </c>
      <c r="P211" s="31">
        <v>0.37862318840579712</v>
      </c>
    </row>
    <row r="212" spans="1:16" x14ac:dyDescent="0.4">
      <c r="A212" s="33">
        <v>209</v>
      </c>
      <c r="B212" s="30">
        <v>1272.7</v>
      </c>
      <c r="C212" s="30">
        <v>6.0894736842105264</v>
      </c>
      <c r="D212" s="35">
        <v>1.799043062200957</v>
      </c>
      <c r="E212" s="31">
        <v>0.42105263157894735</v>
      </c>
      <c r="F212" s="31">
        <v>0.22009569377990432</v>
      </c>
      <c r="G212" s="31">
        <v>0.35178117048346058</v>
      </c>
      <c r="H212" s="31">
        <v>0.14249363867684478</v>
      </c>
      <c r="I212" s="32">
        <v>9954.4303797468347</v>
      </c>
      <c r="J212" s="32">
        <v>-9401.7857142857138</v>
      </c>
      <c r="K212" s="31">
        <v>0.10526315789473684</v>
      </c>
      <c r="L212" s="31">
        <v>0.30645161290322581</v>
      </c>
      <c r="M212" s="31">
        <v>0.2078853046594982</v>
      </c>
      <c r="N212" s="31">
        <v>0.64912280701754388</v>
      </c>
      <c r="O212" s="31">
        <v>0.47413793103448276</v>
      </c>
      <c r="P212" s="31">
        <v>0.379746835443038</v>
      </c>
    </row>
    <row r="213" spans="1:16" x14ac:dyDescent="0.4">
      <c r="A213" s="33">
        <v>210</v>
      </c>
      <c r="B213" s="30">
        <v>1285.7</v>
      </c>
      <c r="C213" s="30">
        <v>6.1223809523809525</v>
      </c>
      <c r="D213" s="35">
        <v>1.7952380952380953</v>
      </c>
      <c r="E213" s="31">
        <v>0.4238095238095238</v>
      </c>
      <c r="F213" s="31">
        <v>0.21904761904761905</v>
      </c>
      <c r="G213" s="31">
        <v>0.35167615433270083</v>
      </c>
      <c r="H213" s="31">
        <v>0.14231499051233396</v>
      </c>
      <c r="I213" s="32">
        <v>9952.8776978417263</v>
      </c>
      <c r="J213" s="32">
        <v>-9413.3333333333339</v>
      </c>
      <c r="K213" s="31">
        <v>0.10476190476190476</v>
      </c>
      <c r="L213" s="31">
        <v>0.30488888888888888</v>
      </c>
      <c r="M213" s="31">
        <v>0.20799999999999999</v>
      </c>
      <c r="N213" s="31">
        <v>0.65014577259475215</v>
      </c>
      <c r="O213" s="31">
        <v>0.47435897435897434</v>
      </c>
      <c r="P213" s="31">
        <v>0.37949640287769787</v>
      </c>
    </row>
    <row r="214" spans="1:16" x14ac:dyDescent="0.4">
      <c r="A214" s="33">
        <v>211</v>
      </c>
      <c r="B214" s="30">
        <v>1295.8</v>
      </c>
      <c r="C214" s="30">
        <v>6.1412322274881515</v>
      </c>
      <c r="D214" s="35">
        <v>1.7962085308056872</v>
      </c>
      <c r="E214" s="31">
        <v>0.4218009478672986</v>
      </c>
      <c r="F214" s="31">
        <v>0.21800947867298578</v>
      </c>
      <c r="G214" s="31">
        <v>0.35116425424795467</v>
      </c>
      <c r="H214" s="31">
        <v>0.14222781623662681</v>
      </c>
      <c r="I214" s="32">
        <v>9948.2078853046587</v>
      </c>
      <c r="J214" s="32">
        <v>-9385.8407079646022</v>
      </c>
      <c r="K214" s="31">
        <v>0.10426540284360189</v>
      </c>
      <c r="L214" s="31">
        <v>0.3053839364518976</v>
      </c>
      <c r="M214" s="31">
        <v>0.20741394527802295</v>
      </c>
      <c r="N214" s="31">
        <v>0.6502890173410405</v>
      </c>
      <c r="O214" s="31">
        <v>0.47234042553191491</v>
      </c>
      <c r="P214" s="31">
        <v>0.38172043010752688</v>
      </c>
    </row>
    <row r="215" spans="1:16" x14ac:dyDescent="0.4">
      <c r="A215" s="33">
        <v>212</v>
      </c>
      <c r="B215" s="30">
        <v>1317.5</v>
      </c>
      <c r="C215" s="30">
        <v>6.2146226415094343</v>
      </c>
      <c r="D215" s="35">
        <v>1.7971698113207548</v>
      </c>
      <c r="E215" s="31">
        <v>0.419811320754717</v>
      </c>
      <c r="F215" s="31">
        <v>0.21698113207547171</v>
      </c>
      <c r="G215" s="31">
        <v>0.35128365685660612</v>
      </c>
      <c r="H215" s="31">
        <v>0.14276768941765811</v>
      </c>
      <c r="I215" s="32">
        <v>9966.3101604278072</v>
      </c>
      <c r="J215" s="32">
        <v>-9381.5789473684217</v>
      </c>
      <c r="K215" s="31">
        <v>0.10377358490566038</v>
      </c>
      <c r="L215" s="31">
        <v>0.30411919368974583</v>
      </c>
      <c r="M215" s="31">
        <v>0.20946538124452235</v>
      </c>
      <c r="N215" s="31">
        <v>0.64841498559077815</v>
      </c>
      <c r="O215" s="31">
        <v>0.47698744769874479</v>
      </c>
      <c r="P215" s="31">
        <v>0.37967914438502676</v>
      </c>
    </row>
    <row r="216" spans="1:16" x14ac:dyDescent="0.4">
      <c r="A216" s="33">
        <v>213</v>
      </c>
      <c r="B216" s="30">
        <v>1277.0999999999999</v>
      </c>
      <c r="C216" s="30">
        <v>5.9957746478873233</v>
      </c>
      <c r="D216" s="35">
        <v>1.8028169014084507</v>
      </c>
      <c r="E216" s="31">
        <v>0.41784037558685444</v>
      </c>
      <c r="F216" s="31">
        <v>0.22065727699530516</v>
      </c>
      <c r="G216" s="31">
        <v>0.34971997510889857</v>
      </c>
      <c r="H216" s="31">
        <v>0.14250155569383946</v>
      </c>
      <c r="I216" s="32">
        <v>9962.8113879003558</v>
      </c>
      <c r="J216" s="32">
        <v>-9375.5458515283844</v>
      </c>
      <c r="K216" s="31">
        <v>0.107981220657277</v>
      </c>
      <c r="L216" s="31">
        <v>0.30321459600347522</v>
      </c>
      <c r="M216" s="31">
        <v>0.20938314509122502</v>
      </c>
      <c r="N216" s="31">
        <v>0.64469914040114618</v>
      </c>
      <c r="O216" s="31">
        <v>0.47717842323651455</v>
      </c>
      <c r="P216" s="31">
        <v>0.37900355871886121</v>
      </c>
    </row>
    <row r="217" spans="1:16" x14ac:dyDescent="0.4">
      <c r="A217" s="33">
        <v>214</v>
      </c>
      <c r="B217" s="30">
        <v>1329.1999999999998</v>
      </c>
      <c r="C217" s="30">
        <v>6.2112149532710275</v>
      </c>
      <c r="D217" s="35">
        <v>1.7990654205607477</v>
      </c>
      <c r="E217" s="31">
        <v>0.42056074766355139</v>
      </c>
      <c r="F217" s="31">
        <v>0.21962616822429906</v>
      </c>
      <c r="G217" s="31">
        <v>0.35151890886546805</v>
      </c>
      <c r="H217" s="31">
        <v>0.14197148171109733</v>
      </c>
      <c r="I217" s="32">
        <v>9956.2610229276888</v>
      </c>
      <c r="J217" s="32">
        <v>-9375.5458515283844</v>
      </c>
      <c r="K217" s="31">
        <v>0.10747663551401869</v>
      </c>
      <c r="L217" s="31">
        <v>0.30337078651685395</v>
      </c>
      <c r="M217" s="31">
        <v>0.21089023336214346</v>
      </c>
      <c r="N217" s="31">
        <v>0.64672364672364668</v>
      </c>
      <c r="O217" s="31">
        <v>0.48360655737704916</v>
      </c>
      <c r="P217" s="31">
        <v>0.37918871252204583</v>
      </c>
    </row>
    <row r="218" spans="1:16" x14ac:dyDescent="0.4">
      <c r="A218" s="33">
        <v>215</v>
      </c>
      <c r="B218" s="30">
        <v>1333.6999999999998</v>
      </c>
      <c r="C218" s="30">
        <v>6.2032558139534872</v>
      </c>
      <c r="D218" s="35">
        <v>1.8</v>
      </c>
      <c r="E218" s="31">
        <v>0.41860465116279072</v>
      </c>
      <c r="F218" s="31">
        <v>0.21860465116279071</v>
      </c>
      <c r="G218" s="31">
        <v>0.35203452527743528</v>
      </c>
      <c r="H218" s="31">
        <v>0.14241676942046855</v>
      </c>
      <c r="I218" s="32">
        <v>9935.5516637478104</v>
      </c>
      <c r="J218" s="32">
        <v>-9398.2683982683975</v>
      </c>
      <c r="K218" s="31">
        <v>0.10697674418604651</v>
      </c>
      <c r="L218" s="31">
        <v>0.30274442538593482</v>
      </c>
      <c r="M218" s="31">
        <v>0.21097770154373929</v>
      </c>
      <c r="N218" s="31">
        <v>0.6458923512747875</v>
      </c>
      <c r="O218" s="31">
        <v>0.48373983739837401</v>
      </c>
      <c r="P218" s="31">
        <v>0.38003502626970226</v>
      </c>
    </row>
    <row r="219" spans="1:16" x14ac:dyDescent="0.4">
      <c r="A219" s="33">
        <v>216</v>
      </c>
      <c r="B219" s="30">
        <v>1318.6999999999998</v>
      </c>
      <c r="C219" s="30">
        <v>6.1050925925925918</v>
      </c>
      <c r="D219" s="35">
        <v>1.8009259259259258</v>
      </c>
      <c r="E219" s="31">
        <v>0.41666666666666669</v>
      </c>
      <c r="F219" s="31">
        <v>0.21759259259259259</v>
      </c>
      <c r="G219" s="31">
        <v>0.35095267363245236</v>
      </c>
      <c r="H219" s="31">
        <v>0.14259373079287033</v>
      </c>
      <c r="I219" s="32">
        <v>9935.5516637478104</v>
      </c>
      <c r="J219" s="32">
        <v>-9409.4827586206902</v>
      </c>
      <c r="K219" s="31">
        <v>0.10648148148148148</v>
      </c>
      <c r="L219" s="31">
        <v>0.30145175064047824</v>
      </c>
      <c r="M219" s="31">
        <v>0.21093082835183605</v>
      </c>
      <c r="N219" s="31">
        <v>0.6458923512747875</v>
      </c>
      <c r="O219" s="31">
        <v>0.48178137651821862</v>
      </c>
      <c r="P219" s="31">
        <v>0.38003502626970226</v>
      </c>
    </row>
    <row r="220" spans="1:16" x14ac:dyDescent="0.4">
      <c r="A220" s="33">
        <v>217</v>
      </c>
      <c r="B220" s="30">
        <v>1326.4999999999998</v>
      </c>
      <c r="C220" s="30">
        <v>6.1129032258064502</v>
      </c>
      <c r="D220" s="35">
        <v>1.8018433179723503</v>
      </c>
      <c r="E220" s="31">
        <v>0.41474654377880182</v>
      </c>
      <c r="F220" s="31">
        <v>0.21658986175115208</v>
      </c>
      <c r="G220" s="31">
        <v>0.35128518971848227</v>
      </c>
      <c r="H220" s="31">
        <v>0.14259485924112608</v>
      </c>
      <c r="I220" s="32">
        <v>9941.6376306620205</v>
      </c>
      <c r="J220" s="32">
        <v>-9420.6008583690982</v>
      </c>
      <c r="K220" s="31">
        <v>0.10599078341013825</v>
      </c>
      <c r="L220" s="31">
        <v>0.30305602716468588</v>
      </c>
      <c r="M220" s="31">
        <v>0.21052631578947367</v>
      </c>
      <c r="N220" s="31">
        <v>0.64145658263305327</v>
      </c>
      <c r="O220" s="31">
        <v>0.4838709677419355</v>
      </c>
      <c r="P220" s="31">
        <v>0.38327526132404183</v>
      </c>
    </row>
    <row r="221" spans="1:16" x14ac:dyDescent="0.4">
      <c r="A221" s="33">
        <v>218</v>
      </c>
      <c r="B221" s="30">
        <v>1345.0999999999997</v>
      </c>
      <c r="C221" s="30">
        <v>6.170183486238531</v>
      </c>
      <c r="D221" s="35">
        <v>1.798165137614679</v>
      </c>
      <c r="E221" s="31">
        <v>0.41743119266055045</v>
      </c>
      <c r="F221" s="31">
        <v>0.21559633027522937</v>
      </c>
      <c r="G221" s="31">
        <v>0.3520097442143727</v>
      </c>
      <c r="H221" s="31">
        <v>0.14190012180267966</v>
      </c>
      <c r="I221" s="32">
        <v>9927.508650519032</v>
      </c>
      <c r="J221" s="32">
        <v>-9420.6008583690982</v>
      </c>
      <c r="K221" s="31">
        <v>0.10550458715596331</v>
      </c>
      <c r="L221" s="31">
        <v>0.30101180438448566</v>
      </c>
      <c r="M221" s="31">
        <v>0.20910623946037099</v>
      </c>
      <c r="N221" s="31">
        <v>0.64145658263305327</v>
      </c>
      <c r="O221" s="31">
        <v>0.4838709677419355</v>
      </c>
      <c r="P221" s="31">
        <v>0.38062283737024222</v>
      </c>
    </row>
    <row r="222" spans="1:16" x14ac:dyDescent="0.4">
      <c r="A222" s="33">
        <v>219</v>
      </c>
      <c r="B222" s="30">
        <v>1351.2999999999997</v>
      </c>
      <c r="C222" s="30">
        <v>6.170319634703195</v>
      </c>
      <c r="D222" s="35">
        <v>1.7945205479452055</v>
      </c>
      <c r="E222" s="31">
        <v>0.42009132420091322</v>
      </c>
      <c r="F222" s="31">
        <v>0.21461187214611871</v>
      </c>
      <c r="G222" s="31">
        <v>0.35172832019405703</v>
      </c>
      <c r="H222" s="31">
        <v>0.14311704063068525</v>
      </c>
      <c r="I222" s="32">
        <v>9941.5517241379312</v>
      </c>
      <c r="J222" s="32">
        <v>-9391.1016949152545</v>
      </c>
      <c r="K222" s="31">
        <v>0.1050228310502283</v>
      </c>
      <c r="L222" s="31">
        <v>0.30092204526404026</v>
      </c>
      <c r="M222" s="31">
        <v>0.20955574182732606</v>
      </c>
      <c r="N222" s="31">
        <v>0.64066852367688021</v>
      </c>
      <c r="O222" s="31">
        <v>0.48399999999999999</v>
      </c>
      <c r="P222" s="31">
        <v>0.38275862068965516</v>
      </c>
    </row>
    <row r="223" spans="1:16" x14ac:dyDescent="0.4">
      <c r="A223" s="33">
        <v>220</v>
      </c>
      <c r="B223" s="30">
        <v>1363.8999999999996</v>
      </c>
      <c r="C223" s="30">
        <v>6.1995454545454525</v>
      </c>
      <c r="D223" s="35">
        <v>1.790909090909091</v>
      </c>
      <c r="E223" s="31">
        <v>0.42272727272727273</v>
      </c>
      <c r="F223" s="31">
        <v>0.21363636363636362</v>
      </c>
      <c r="G223" s="31">
        <v>0.35184067592033796</v>
      </c>
      <c r="H223" s="31">
        <v>0.14302957151478576</v>
      </c>
      <c r="I223" s="32">
        <v>9921.4408233276154</v>
      </c>
      <c r="J223" s="32">
        <v>-9402.1097046413506</v>
      </c>
      <c r="K223" s="31">
        <v>0.10454545454545454</v>
      </c>
      <c r="L223" s="31">
        <v>0.29891756869275604</v>
      </c>
      <c r="M223" s="31">
        <v>0.20982514571190675</v>
      </c>
      <c r="N223" s="31">
        <v>0.64066852367688021</v>
      </c>
      <c r="O223" s="31">
        <v>0.48412698412698413</v>
      </c>
      <c r="P223" s="31">
        <v>0.38250428816466553</v>
      </c>
    </row>
    <row r="224" spans="1:16" x14ac:dyDescent="0.4">
      <c r="A224" s="33">
        <v>221</v>
      </c>
      <c r="B224" s="30">
        <v>1377.2999999999997</v>
      </c>
      <c r="C224" s="30">
        <v>6.2321266968325784</v>
      </c>
      <c r="D224" s="35">
        <v>1.7873303167420815</v>
      </c>
      <c r="E224" s="31">
        <v>0.42533936651583709</v>
      </c>
      <c r="F224" s="31">
        <v>0.21266968325791855</v>
      </c>
      <c r="G224" s="31">
        <v>0.35255255255255258</v>
      </c>
      <c r="H224" s="31">
        <v>0.14294294294294294</v>
      </c>
      <c r="I224" s="32">
        <v>9910.2214650766618</v>
      </c>
      <c r="J224" s="32">
        <v>-9384.4537815126059</v>
      </c>
      <c r="K224" s="31">
        <v>0.10407239819004525</v>
      </c>
      <c r="L224" s="31">
        <v>0.30024813895781638</v>
      </c>
      <c r="M224" s="31">
        <v>0.20926385442514475</v>
      </c>
      <c r="N224" s="31">
        <v>0.64187327823691465</v>
      </c>
      <c r="O224" s="31">
        <v>0.48616600790513836</v>
      </c>
      <c r="P224" s="31">
        <v>0.37989778534923341</v>
      </c>
    </row>
    <row r="225" spans="1:16" x14ac:dyDescent="0.4">
      <c r="A225" s="33">
        <v>222</v>
      </c>
      <c r="B225" s="30">
        <v>1383.3999999999996</v>
      </c>
      <c r="C225" s="30">
        <v>6.2315315315315303</v>
      </c>
      <c r="D225" s="35">
        <v>1.7837837837837838</v>
      </c>
      <c r="E225" s="31">
        <v>0.42792792792792794</v>
      </c>
      <c r="F225" s="31">
        <v>0.21171171171171171</v>
      </c>
      <c r="G225" s="31">
        <v>0.35248354278874927</v>
      </c>
      <c r="H225" s="31">
        <v>0.14302812687013763</v>
      </c>
      <c r="I225" s="32">
        <v>9900.5093378607817</v>
      </c>
      <c r="J225" s="32">
        <v>-9412.1338912133888</v>
      </c>
      <c r="K225" s="31">
        <v>0.1036036036036036</v>
      </c>
      <c r="L225" s="31">
        <v>0.3012345679012346</v>
      </c>
      <c r="M225" s="31">
        <v>0.20823045267489712</v>
      </c>
      <c r="N225" s="31">
        <v>0.63661202185792354</v>
      </c>
      <c r="O225" s="31">
        <v>0.48616600790513836</v>
      </c>
      <c r="P225" s="31">
        <v>0.38030560271646857</v>
      </c>
    </row>
    <row r="226" spans="1:16" x14ac:dyDescent="0.4">
      <c r="A226" s="33">
        <v>223</v>
      </c>
      <c r="B226" s="30">
        <v>1450.0999999999997</v>
      </c>
      <c r="C226" s="30">
        <v>6.50269058295964</v>
      </c>
      <c r="D226" s="35">
        <v>1.7802690582959642</v>
      </c>
      <c r="E226" s="31">
        <v>0.43049327354260092</v>
      </c>
      <c r="F226" s="31">
        <v>0.21076233183856502</v>
      </c>
      <c r="G226" s="31">
        <v>0.35259082787373436</v>
      </c>
      <c r="H226" s="31">
        <v>0.14294222751637881</v>
      </c>
      <c r="I226" s="32">
        <v>9980.9121621621616</v>
      </c>
      <c r="J226" s="32">
        <v>-9383.75</v>
      </c>
      <c r="K226" s="31">
        <v>0.1031390134529148</v>
      </c>
      <c r="L226" s="31">
        <v>0.30089942763695832</v>
      </c>
      <c r="M226" s="31">
        <v>0.20932134096484056</v>
      </c>
      <c r="N226" s="31">
        <v>0.63586956521739135</v>
      </c>
      <c r="O226" s="31">
        <v>0.484375</v>
      </c>
      <c r="P226" s="31">
        <v>0.38175675675675674</v>
      </c>
    </row>
    <row r="227" spans="1:16" x14ac:dyDescent="0.4">
      <c r="A227" s="33">
        <v>224</v>
      </c>
      <c r="B227" s="30">
        <v>1411.9999999999998</v>
      </c>
      <c r="C227" s="30">
        <v>6.3035714285714279</v>
      </c>
      <c r="D227" s="35">
        <v>1.7857142857142858</v>
      </c>
      <c r="E227" s="31">
        <v>0.42857142857142855</v>
      </c>
      <c r="F227" s="31">
        <v>0.21428571428571427</v>
      </c>
      <c r="G227" s="31">
        <v>0.35168738898756663</v>
      </c>
      <c r="H227" s="31">
        <v>0.14387211367673181</v>
      </c>
      <c r="I227" s="32">
        <v>9960.4377104377108</v>
      </c>
      <c r="J227" s="32">
        <v>-9378.600823045268</v>
      </c>
      <c r="K227" s="31">
        <v>0.10714285714285714</v>
      </c>
      <c r="L227" s="31">
        <v>0.30251419302514193</v>
      </c>
      <c r="M227" s="31">
        <v>0.20843471208434713</v>
      </c>
      <c r="N227" s="31">
        <v>0.63270777479892759</v>
      </c>
      <c r="O227" s="31">
        <v>0.48249027237354086</v>
      </c>
      <c r="P227" s="31">
        <v>0.38047138047138046</v>
      </c>
    </row>
    <row r="228" spans="1:16" x14ac:dyDescent="0.4">
      <c r="A228" s="33">
        <v>225</v>
      </c>
      <c r="B228" s="30">
        <v>1434.9999999999998</v>
      </c>
      <c r="C228" s="30">
        <v>6.3777777777777764</v>
      </c>
      <c r="D228" s="35">
        <v>1.7822222222222222</v>
      </c>
      <c r="E228" s="31">
        <v>0.43111111111111111</v>
      </c>
      <c r="F228" s="31">
        <v>0.21333333333333335</v>
      </c>
      <c r="G228" s="31">
        <v>0.35238656452563349</v>
      </c>
      <c r="H228" s="31">
        <v>0.14378314672952269</v>
      </c>
      <c r="I228" s="32">
        <v>9950.1672240802673</v>
      </c>
      <c r="J228" s="32">
        <v>-9389.3442622950824</v>
      </c>
      <c r="K228" s="31">
        <v>0.10666666666666667</v>
      </c>
      <c r="L228" s="31">
        <v>0.30539887187751813</v>
      </c>
      <c r="M228" s="31">
        <v>0.20709105560032232</v>
      </c>
      <c r="N228" s="31">
        <v>0.63324538258575203</v>
      </c>
      <c r="O228" s="31">
        <v>0.48249027237354086</v>
      </c>
      <c r="P228" s="31">
        <v>0.37959866220735788</v>
      </c>
    </row>
    <row r="229" spans="1:16" x14ac:dyDescent="0.4">
      <c r="A229" s="33">
        <v>226</v>
      </c>
      <c r="B229" s="30">
        <v>1444.4999999999998</v>
      </c>
      <c r="C229" s="30">
        <v>6.3915929203539816</v>
      </c>
      <c r="D229" s="35">
        <v>1.7787610619469028</v>
      </c>
      <c r="E229" s="31">
        <v>0.4336283185840708</v>
      </c>
      <c r="F229" s="31">
        <v>0.21238938053097345</v>
      </c>
      <c r="G229" s="31">
        <v>0.35266549502050382</v>
      </c>
      <c r="H229" s="31">
        <v>0.14294083186877563</v>
      </c>
      <c r="I229" s="32">
        <v>9911.4617940199332</v>
      </c>
      <c r="J229" s="32">
        <v>-9389.3442622950824</v>
      </c>
      <c r="K229" s="31">
        <v>0.10619469026548672</v>
      </c>
      <c r="L229" s="31">
        <v>0.30615507593924862</v>
      </c>
      <c r="M229" s="31">
        <v>0.20623501199040767</v>
      </c>
      <c r="N229" s="31">
        <v>0.63446475195822449</v>
      </c>
      <c r="O229" s="31">
        <v>0.48449612403100772</v>
      </c>
      <c r="P229" s="31">
        <v>0.37707641196013292</v>
      </c>
    </row>
    <row r="230" spans="1:16" x14ac:dyDescent="0.4">
      <c r="A230" s="33">
        <v>227</v>
      </c>
      <c r="B230" s="30">
        <v>1449.4999999999998</v>
      </c>
      <c r="C230" s="30">
        <v>6.385462555066078</v>
      </c>
      <c r="D230" s="35">
        <v>1.775330396475771</v>
      </c>
      <c r="E230" s="31">
        <v>0.43612334801762115</v>
      </c>
      <c r="F230" s="31">
        <v>0.21145374449339208</v>
      </c>
      <c r="G230" s="31">
        <v>0.35276967930029157</v>
      </c>
      <c r="H230" s="31">
        <v>0.1434402332361516</v>
      </c>
      <c r="I230" s="32">
        <v>9888.0991735537191</v>
      </c>
      <c r="J230" s="32">
        <v>-9356.0975609756097</v>
      </c>
      <c r="K230" s="31">
        <v>0.10572687224669604</v>
      </c>
      <c r="L230" s="31">
        <v>0.3057982525814138</v>
      </c>
      <c r="M230" s="31">
        <v>0.20651310563939634</v>
      </c>
      <c r="N230" s="31">
        <v>0.63116883116883116</v>
      </c>
      <c r="O230" s="31">
        <v>0.48846153846153845</v>
      </c>
      <c r="P230" s="31">
        <v>0.3768595041322314</v>
      </c>
    </row>
    <row r="231" spans="1:16" x14ac:dyDescent="0.4">
      <c r="A231" s="33">
        <v>228</v>
      </c>
      <c r="B231" s="30">
        <v>1457.2999999999997</v>
      </c>
      <c r="C231" s="30">
        <v>6.3916666666666657</v>
      </c>
      <c r="D231" s="35">
        <v>1.7763157894736843</v>
      </c>
      <c r="E231" s="31">
        <v>0.43421052631578949</v>
      </c>
      <c r="F231" s="31">
        <v>0.21052631578947367</v>
      </c>
      <c r="G231" s="31">
        <v>0.35253054101221643</v>
      </c>
      <c r="H231" s="31">
        <v>0.14310645724258289</v>
      </c>
      <c r="I231" s="32">
        <v>9884.6534653465351</v>
      </c>
      <c r="J231" s="32">
        <v>-9356.0975609756097</v>
      </c>
      <c r="K231" s="31">
        <v>0.10526315789473684</v>
      </c>
      <c r="L231" s="31">
        <v>0.30562153602533648</v>
      </c>
      <c r="M231" s="31">
        <v>0.20665083135391923</v>
      </c>
      <c r="N231" s="31">
        <v>0.63212435233160624</v>
      </c>
      <c r="O231" s="31">
        <v>0.48659003831417624</v>
      </c>
      <c r="P231" s="31">
        <v>0.37788778877887791</v>
      </c>
    </row>
    <row r="232" spans="1:16" x14ac:dyDescent="0.4">
      <c r="A232" s="33">
        <v>229</v>
      </c>
      <c r="B232" s="30">
        <v>1499.5999999999997</v>
      </c>
      <c r="C232" s="30">
        <v>6.5484716157205227</v>
      </c>
      <c r="D232" s="35">
        <v>1.7729257641921397</v>
      </c>
      <c r="E232" s="31">
        <v>0.4366812227074236</v>
      </c>
      <c r="F232" s="31">
        <v>0.20960698689956331</v>
      </c>
      <c r="G232" s="31">
        <v>0.3534532791642484</v>
      </c>
      <c r="H232" s="31">
        <v>0.14277423099245501</v>
      </c>
      <c r="I232" s="32">
        <v>9904.5977011494251</v>
      </c>
      <c r="J232" s="32">
        <v>-9356.0975609756097</v>
      </c>
      <c r="K232" s="31">
        <v>0.10480349344978165</v>
      </c>
      <c r="L232" s="31">
        <v>0.30544593528018943</v>
      </c>
      <c r="M232" s="31">
        <v>0.20678768745067089</v>
      </c>
      <c r="N232" s="31">
        <v>0.63307493540051685</v>
      </c>
      <c r="O232" s="31">
        <v>0.48854961832061067</v>
      </c>
      <c r="P232" s="31">
        <v>0.3760262725779967</v>
      </c>
    </row>
    <row r="233" spans="1:16" x14ac:dyDescent="0.4">
      <c r="A233" s="33">
        <v>230</v>
      </c>
      <c r="B233" s="30">
        <v>1540.2999999999997</v>
      </c>
      <c r="C233" s="30">
        <v>6.6969565217391294</v>
      </c>
      <c r="D233" s="35">
        <v>1.7695652173913043</v>
      </c>
      <c r="E233" s="31">
        <v>0.43913043478260871</v>
      </c>
      <c r="F233" s="31">
        <v>0.20869565217391303</v>
      </c>
      <c r="G233" s="31">
        <v>0.355080831408776</v>
      </c>
      <c r="H233" s="31">
        <v>0.14318706697459585</v>
      </c>
      <c r="I233" s="32">
        <v>9889.1056910569114</v>
      </c>
      <c r="J233" s="32">
        <v>-9315.7258064516136</v>
      </c>
      <c r="K233" s="31">
        <v>0.10434782608695652</v>
      </c>
      <c r="L233" s="31">
        <v>0.30721003134796238</v>
      </c>
      <c r="M233" s="31">
        <v>0.2061128526645768</v>
      </c>
      <c r="N233" s="31">
        <v>0.63775510204081631</v>
      </c>
      <c r="O233" s="31">
        <v>0.49049429657794674</v>
      </c>
      <c r="P233" s="31">
        <v>0.37560975609756098</v>
      </c>
    </row>
    <row r="234" spans="1:16" x14ac:dyDescent="0.4">
      <c r="A234" s="33">
        <v>231</v>
      </c>
      <c r="B234" s="30">
        <v>1540.3999999999996</v>
      </c>
      <c r="C234" s="30">
        <v>6.668398268398267</v>
      </c>
      <c r="D234" s="35">
        <v>1.7705627705627707</v>
      </c>
      <c r="E234" s="31">
        <v>0.43722943722943725</v>
      </c>
      <c r="F234" s="31">
        <v>0.20779220779220781</v>
      </c>
      <c r="G234" s="31">
        <v>0.35439402642159679</v>
      </c>
      <c r="H234" s="31">
        <v>0.1424468696151637</v>
      </c>
      <c r="I234" s="32">
        <v>9882.9821717990271</v>
      </c>
      <c r="J234" s="32">
        <v>-9315.7258064516136</v>
      </c>
      <c r="K234" s="31">
        <v>0.1038961038961039</v>
      </c>
      <c r="L234" s="31">
        <v>0.30817120622568095</v>
      </c>
      <c r="M234" s="31">
        <v>0.20544747081712061</v>
      </c>
      <c r="N234" s="31">
        <v>0.63636363636363635</v>
      </c>
      <c r="O234" s="31">
        <v>0.48863636363636365</v>
      </c>
      <c r="P234" s="31">
        <v>0.37439222042139386</v>
      </c>
    </row>
    <row r="235" spans="1:16" x14ac:dyDescent="0.4">
      <c r="A235" s="33">
        <v>232</v>
      </c>
      <c r="B235" s="30">
        <v>1552.5999999999997</v>
      </c>
      <c r="C235" s="30">
        <v>6.6922413793103432</v>
      </c>
      <c r="D235" s="35">
        <v>1.7672413793103448</v>
      </c>
      <c r="E235" s="31">
        <v>0.43965517241379309</v>
      </c>
      <c r="F235" s="31">
        <v>0.20689655172413793</v>
      </c>
      <c r="G235" s="31">
        <v>0.35388127853881279</v>
      </c>
      <c r="H235" s="31">
        <v>0.14212328767123289</v>
      </c>
      <c r="I235" s="32">
        <v>9886.7741935483864</v>
      </c>
      <c r="J235" s="32">
        <v>-9326.5060240963849</v>
      </c>
      <c r="K235" s="31">
        <v>0.10344827586206896</v>
      </c>
      <c r="L235" s="31">
        <v>0.30709876543209874</v>
      </c>
      <c r="M235" s="31">
        <v>0.20601851851851852</v>
      </c>
      <c r="N235" s="31">
        <v>0.63819095477386933</v>
      </c>
      <c r="O235" s="31">
        <v>0.48689138576779029</v>
      </c>
      <c r="P235" s="31">
        <v>0.37419354838709679</v>
      </c>
    </row>
    <row r="236" spans="1:16" x14ac:dyDescent="0.4">
      <c r="A236" s="33">
        <v>233</v>
      </c>
      <c r="B236" s="30">
        <v>1562.0999999999997</v>
      </c>
      <c r="C236" s="30">
        <v>6.7042918454935609</v>
      </c>
      <c r="D236" s="35">
        <v>1.7639484978540771</v>
      </c>
      <c r="E236" s="31">
        <v>0.44206008583690987</v>
      </c>
      <c r="F236" s="31">
        <v>0.20600858369098712</v>
      </c>
      <c r="G236" s="31">
        <v>0.35397727272727275</v>
      </c>
      <c r="H236" s="31">
        <v>0.14147727272727273</v>
      </c>
      <c r="I236" s="32">
        <v>9864.6869983948636</v>
      </c>
      <c r="J236" s="32">
        <v>-9326.5060240963849</v>
      </c>
      <c r="K236" s="31">
        <v>0.10300429184549356</v>
      </c>
      <c r="L236" s="31">
        <v>0.30598159509202455</v>
      </c>
      <c r="M236" s="31">
        <v>0.20628834355828221</v>
      </c>
      <c r="N236" s="31">
        <v>0.63909774436090228</v>
      </c>
      <c r="O236" s="31">
        <v>0.48698884758364314</v>
      </c>
      <c r="P236" s="31">
        <v>0.3756019261637239</v>
      </c>
    </row>
    <row r="237" spans="1:16" x14ac:dyDescent="0.4">
      <c r="A237" s="33">
        <v>234</v>
      </c>
      <c r="B237" s="30">
        <v>1589.2999999999997</v>
      </c>
      <c r="C237" s="30">
        <v>6.7918803418803408</v>
      </c>
      <c r="D237" s="35">
        <v>1.7606837606837606</v>
      </c>
      <c r="E237" s="31">
        <v>0.44444444444444442</v>
      </c>
      <c r="F237" s="31">
        <v>0.20512820512820512</v>
      </c>
      <c r="G237" s="31">
        <v>0.35403726708074534</v>
      </c>
      <c r="H237" s="31">
        <v>0.1411631846414455</v>
      </c>
      <c r="I237" s="32">
        <v>9864.2743221690598</v>
      </c>
      <c r="J237" s="32">
        <v>-9297.2000000000007</v>
      </c>
      <c r="K237" s="31">
        <v>0.10256410256410256</v>
      </c>
      <c r="L237" s="31">
        <v>0.30418250950570341</v>
      </c>
      <c r="M237" s="31">
        <v>0.20608365019011407</v>
      </c>
      <c r="N237" s="31">
        <v>0.63749999999999996</v>
      </c>
      <c r="O237" s="31">
        <v>0.4907749077490775</v>
      </c>
      <c r="P237" s="31">
        <v>0.37480063795853269</v>
      </c>
    </row>
    <row r="238" spans="1:16" x14ac:dyDescent="0.4">
      <c r="A238" s="33">
        <v>235</v>
      </c>
      <c r="B238" s="30">
        <v>1576.6999999999998</v>
      </c>
      <c r="C238" s="30">
        <v>6.7093617021276586</v>
      </c>
      <c r="D238" s="35">
        <v>1.7659574468085106</v>
      </c>
      <c r="E238" s="31">
        <v>0.44255319148936167</v>
      </c>
      <c r="F238" s="31">
        <v>0.20851063829787234</v>
      </c>
      <c r="G238" s="31">
        <v>0.35376827896512936</v>
      </c>
      <c r="H238" s="31">
        <v>0.14116985376827895</v>
      </c>
      <c r="I238" s="32">
        <v>9847.5357710651824</v>
      </c>
      <c r="J238" s="32">
        <v>-9292.0318725099605</v>
      </c>
      <c r="K238" s="31">
        <v>0.10212765957446808</v>
      </c>
      <c r="L238" s="31">
        <v>0.30484114977307109</v>
      </c>
      <c r="M238" s="31">
        <v>0.20499243570347958</v>
      </c>
      <c r="N238" s="31">
        <v>0.63771712158808935</v>
      </c>
      <c r="O238" s="31">
        <v>0.4907749077490775</v>
      </c>
      <c r="P238" s="31">
        <v>0.37519872813990462</v>
      </c>
    </row>
    <row r="239" spans="1:16" x14ac:dyDescent="0.4">
      <c r="A239" s="33">
        <v>236</v>
      </c>
      <c r="B239" s="30">
        <v>1584.1999999999998</v>
      </c>
      <c r="C239" s="30">
        <v>6.7127118644067787</v>
      </c>
      <c r="D239" s="35">
        <v>1.7669491525423728</v>
      </c>
      <c r="E239" s="31">
        <v>0.44067796610169491</v>
      </c>
      <c r="F239" s="31">
        <v>0.2076271186440678</v>
      </c>
      <c r="G239" s="31">
        <v>0.35442329227323627</v>
      </c>
      <c r="H239" s="31">
        <v>0.14109742441209405</v>
      </c>
      <c r="I239" s="32">
        <v>9824.8025276461303</v>
      </c>
      <c r="J239" s="32">
        <v>-9302.7777777777774</v>
      </c>
      <c r="K239" s="31">
        <v>0.10169491525423729</v>
      </c>
      <c r="L239" s="31">
        <v>0.30451127819548873</v>
      </c>
      <c r="M239" s="31">
        <v>0.20451127819548873</v>
      </c>
      <c r="N239" s="31">
        <v>0.63950617283950617</v>
      </c>
      <c r="O239" s="31">
        <v>0.49264705882352944</v>
      </c>
      <c r="P239" s="31">
        <v>0.37598736176935227</v>
      </c>
    </row>
    <row r="240" spans="1:16" x14ac:dyDescent="0.4">
      <c r="A240" s="33">
        <v>237</v>
      </c>
      <c r="B240" s="30">
        <v>1591.9999999999998</v>
      </c>
      <c r="C240" s="30">
        <v>6.7172995780590705</v>
      </c>
      <c r="D240" s="35">
        <v>1.7637130801687764</v>
      </c>
      <c r="E240" s="31">
        <v>0.44303797468354428</v>
      </c>
      <c r="F240" s="31">
        <v>0.20675105485232068</v>
      </c>
      <c r="G240" s="31">
        <v>0.35395763656633222</v>
      </c>
      <c r="H240" s="31">
        <v>0.14102564102564102</v>
      </c>
      <c r="I240" s="32">
        <v>9836.2204724409457</v>
      </c>
      <c r="J240" s="32">
        <v>-9276.2845849802379</v>
      </c>
      <c r="K240" s="31">
        <v>0.10126582278481013</v>
      </c>
      <c r="L240" s="31">
        <v>0.30568011958146485</v>
      </c>
      <c r="M240" s="31">
        <v>0.20478325859491778</v>
      </c>
      <c r="N240" s="31">
        <v>0.63814180929095354</v>
      </c>
      <c r="O240" s="31">
        <v>0.48905109489051096</v>
      </c>
      <c r="P240" s="31">
        <v>0.37480314960629924</v>
      </c>
    </row>
    <row r="241" spans="1:16" x14ac:dyDescent="0.4">
      <c r="A241" s="33">
        <v>238</v>
      </c>
      <c r="B241" s="30">
        <v>1638.8999999999999</v>
      </c>
      <c r="C241" s="30">
        <v>6.8861344537815121</v>
      </c>
      <c r="D241" s="35">
        <v>1.7605042016806722</v>
      </c>
      <c r="E241" s="31">
        <v>0.44537815126050423</v>
      </c>
      <c r="F241" s="31">
        <v>0.20588235294117646</v>
      </c>
      <c r="G241" s="31">
        <v>0.35519733185102836</v>
      </c>
      <c r="H241" s="31">
        <v>0.14063368538076709</v>
      </c>
      <c r="I241" s="32">
        <v>9841.7840375586857</v>
      </c>
      <c r="J241" s="32">
        <v>-9276.2845849802379</v>
      </c>
      <c r="K241" s="31">
        <v>0.10084033613445378</v>
      </c>
      <c r="L241" s="31">
        <v>0.3060312732688012</v>
      </c>
      <c r="M241" s="31">
        <v>0.20625465376023827</v>
      </c>
      <c r="N241" s="31">
        <v>0.63990267639902676</v>
      </c>
      <c r="O241" s="31">
        <v>0.49097472924187724</v>
      </c>
      <c r="P241" s="31">
        <v>0.37402190923317685</v>
      </c>
    </row>
    <row r="242" spans="1:16" x14ac:dyDescent="0.4">
      <c r="A242" s="33">
        <v>239</v>
      </c>
      <c r="B242" s="30">
        <v>1645.1999999999998</v>
      </c>
      <c r="C242" s="30">
        <v>6.8836820083681998</v>
      </c>
      <c r="D242" s="35">
        <v>1.7573221757322175</v>
      </c>
      <c r="E242" s="31">
        <v>0.44769874476987448</v>
      </c>
      <c r="F242" s="31">
        <v>0.20502092050209206</v>
      </c>
      <c r="G242" s="31">
        <v>0.35508849557522126</v>
      </c>
      <c r="H242" s="31">
        <v>0.14103982300884957</v>
      </c>
      <c r="I242" s="32">
        <v>9845.6386292834886</v>
      </c>
      <c r="J242" s="32">
        <v>-9260.7843137254895</v>
      </c>
      <c r="K242" s="31">
        <v>0.100418410041841</v>
      </c>
      <c r="L242" s="31">
        <v>0.30473372781065089</v>
      </c>
      <c r="M242" s="31">
        <v>0.20784023668639054</v>
      </c>
      <c r="N242" s="31">
        <v>0.64077669902912626</v>
      </c>
      <c r="O242" s="31">
        <v>0.48754448398576511</v>
      </c>
      <c r="P242" s="31">
        <v>0.37538940809968846</v>
      </c>
    </row>
    <row r="243" spans="1:16" x14ac:dyDescent="0.4">
      <c r="A243" s="33">
        <v>240</v>
      </c>
      <c r="B243" s="30">
        <v>1669.4999999999998</v>
      </c>
      <c r="C243" s="30">
        <v>6.9562499999999989</v>
      </c>
      <c r="D243" s="35">
        <v>1.7541666666666667</v>
      </c>
      <c r="E243" s="31">
        <v>0.45</v>
      </c>
      <c r="F243" s="31">
        <v>0.20416666666666666</v>
      </c>
      <c r="G243" s="31">
        <v>0.35611907386990077</v>
      </c>
      <c r="H243" s="31">
        <v>0.14057331863285558</v>
      </c>
      <c r="I243" s="32">
        <v>9823.8390092879254</v>
      </c>
      <c r="J243" s="32">
        <v>-9260.7843137254895</v>
      </c>
      <c r="K243" s="31">
        <v>0.1</v>
      </c>
      <c r="L243" s="31">
        <v>0.30633284241531666</v>
      </c>
      <c r="M243" s="31">
        <v>0.20839469808541974</v>
      </c>
      <c r="N243" s="31">
        <v>0.64423076923076927</v>
      </c>
      <c r="O243" s="31">
        <v>0.48409893992932862</v>
      </c>
      <c r="P243" s="31">
        <v>0.37770897832817335</v>
      </c>
    </row>
    <row r="244" spans="1:16" x14ac:dyDescent="0.4">
      <c r="A244" s="33">
        <v>241</v>
      </c>
      <c r="B244" s="30">
        <v>1659.0999999999997</v>
      </c>
      <c r="C244" s="30">
        <v>6.8842323651452269</v>
      </c>
      <c r="D244" s="35">
        <v>1.7551867219917012</v>
      </c>
      <c r="E244" s="31">
        <v>0.44813278008298757</v>
      </c>
      <c r="F244" s="31">
        <v>0.2033195020746888</v>
      </c>
      <c r="G244" s="31">
        <v>0.35604395604395606</v>
      </c>
      <c r="H244" s="31">
        <v>0.14120879120879121</v>
      </c>
      <c r="I244" s="32">
        <v>9810.8024691358023</v>
      </c>
      <c r="J244" s="32">
        <v>-9250.1945525291831</v>
      </c>
      <c r="K244" s="31">
        <v>9.9585062240663894E-2</v>
      </c>
      <c r="L244" s="31">
        <v>0.30498533724340177</v>
      </c>
      <c r="M244" s="31">
        <v>0.20821114369501467</v>
      </c>
      <c r="N244" s="31">
        <v>0.64423076923076927</v>
      </c>
      <c r="O244" s="31">
        <v>0.4859154929577465</v>
      </c>
      <c r="P244" s="31">
        <v>0.37654320987654322</v>
      </c>
    </row>
    <row r="245" spans="1:16" x14ac:dyDescent="0.4">
      <c r="A245" s="33">
        <v>242</v>
      </c>
      <c r="B245" s="30">
        <v>1658.0999999999997</v>
      </c>
      <c r="C245" s="30">
        <v>6.8516528925619822</v>
      </c>
      <c r="D245" s="35">
        <v>1.7561983471074381</v>
      </c>
      <c r="E245" s="31">
        <v>0.4462809917355372</v>
      </c>
      <c r="F245" s="31">
        <v>0.2024793388429752</v>
      </c>
      <c r="G245" s="31">
        <v>0.35667396061269147</v>
      </c>
      <c r="H245" s="31">
        <v>0.14113785557986872</v>
      </c>
      <c r="I245" s="32">
        <v>9802.7607361963182</v>
      </c>
      <c r="J245" s="32">
        <v>-9307.364341085271</v>
      </c>
      <c r="K245" s="31">
        <v>9.9173553719008267E-2</v>
      </c>
      <c r="L245" s="31">
        <v>0.30466472303206998</v>
      </c>
      <c r="M245" s="31">
        <v>0.2099125364431487</v>
      </c>
      <c r="N245" s="31">
        <v>0.64593301435406703</v>
      </c>
      <c r="O245" s="31">
        <v>0.4861111111111111</v>
      </c>
      <c r="P245" s="31">
        <v>0.37576687116564417</v>
      </c>
    </row>
    <row r="246" spans="1:16" x14ac:dyDescent="0.4">
      <c r="A246" s="33">
        <v>243</v>
      </c>
      <c r="B246" s="30">
        <v>1677.8999999999996</v>
      </c>
      <c r="C246" s="30">
        <v>6.9049382716049363</v>
      </c>
      <c r="D246" s="35">
        <v>1.7572016460905351</v>
      </c>
      <c r="E246" s="31">
        <v>0.44444444444444442</v>
      </c>
      <c r="F246" s="31">
        <v>0.20164609053497942</v>
      </c>
      <c r="G246" s="31">
        <v>0.35710397387044096</v>
      </c>
      <c r="H246" s="31">
        <v>0.14153511159499182</v>
      </c>
      <c r="I246" s="32">
        <v>9815.0914634146338</v>
      </c>
      <c r="J246" s="32">
        <v>-9343.461538461539</v>
      </c>
      <c r="K246" s="31">
        <v>9.8765432098765427E-2</v>
      </c>
      <c r="L246" s="31">
        <v>0.30485155684286747</v>
      </c>
      <c r="M246" s="31">
        <v>0.20854453294713976</v>
      </c>
      <c r="N246" s="31">
        <v>0.64845605700712594</v>
      </c>
      <c r="O246" s="31">
        <v>0.4861111111111111</v>
      </c>
      <c r="P246" s="31">
        <v>0.375</v>
      </c>
    </row>
    <row r="247" spans="1:16" x14ac:dyDescent="0.4">
      <c r="A247" s="33">
        <v>244</v>
      </c>
      <c r="B247" s="30">
        <v>1705.5999999999997</v>
      </c>
      <c r="C247" s="30">
        <v>6.9901639344262279</v>
      </c>
      <c r="D247" s="35">
        <v>1.7540983606557377</v>
      </c>
      <c r="E247" s="31">
        <v>0.44672131147540983</v>
      </c>
      <c r="F247" s="31">
        <v>0.20081967213114754</v>
      </c>
      <c r="G247" s="31">
        <v>0.35756918068366794</v>
      </c>
      <c r="H247" s="31">
        <v>0.14161692892023875</v>
      </c>
      <c r="I247" s="32">
        <v>9825.0379362670719</v>
      </c>
      <c r="J247" s="32">
        <v>-9338.3141762452105</v>
      </c>
      <c r="K247" s="31">
        <v>9.8360655737704916E-2</v>
      </c>
      <c r="L247" s="31">
        <v>0.30569574621485218</v>
      </c>
      <c r="M247" s="31">
        <v>0.20764239365537129</v>
      </c>
      <c r="N247" s="31">
        <v>0.65094339622641506</v>
      </c>
      <c r="O247" s="31">
        <v>0.4861111111111111</v>
      </c>
      <c r="P247" s="31">
        <v>0.37632776934749623</v>
      </c>
    </row>
    <row r="248" spans="1:16" x14ac:dyDescent="0.4">
      <c r="A248" s="33">
        <v>245</v>
      </c>
      <c r="B248" s="30">
        <v>1713.0999999999997</v>
      </c>
      <c r="C248" s="30">
        <v>6.992244897959182</v>
      </c>
      <c r="D248" s="35">
        <v>1.7551020408163265</v>
      </c>
      <c r="E248" s="31">
        <v>0.44489795918367347</v>
      </c>
      <c r="F248" s="31">
        <v>0.2</v>
      </c>
      <c r="G248" s="31">
        <v>0.35752979414951247</v>
      </c>
      <c r="H248" s="31">
        <v>0.14138678223185266</v>
      </c>
      <c r="I248" s="32">
        <v>9828.3333333333339</v>
      </c>
      <c r="J248" s="32">
        <v>-9338.3141762452105</v>
      </c>
      <c r="K248" s="31">
        <v>9.7959183673469383E-2</v>
      </c>
      <c r="L248" s="31">
        <v>0.30503597122302156</v>
      </c>
      <c r="M248" s="31">
        <v>0.2079136690647482</v>
      </c>
      <c r="N248" s="31">
        <v>0.65094339622641506</v>
      </c>
      <c r="O248" s="31">
        <v>0.48788927335640137</v>
      </c>
      <c r="P248" s="31">
        <v>0.37575757575757573</v>
      </c>
    </row>
    <row r="249" spans="1:16" x14ac:dyDescent="0.4">
      <c r="A249" s="33">
        <v>246</v>
      </c>
      <c r="B249" s="30">
        <v>1744.5999999999997</v>
      </c>
      <c r="C249" s="30">
        <v>7.091869918699186</v>
      </c>
      <c r="D249" s="35">
        <v>1.7520325203252032</v>
      </c>
      <c r="E249" s="31">
        <v>0.44715447154471544</v>
      </c>
      <c r="F249" s="31">
        <v>0.1991869918699187</v>
      </c>
      <c r="G249" s="31">
        <v>0.35721982758620691</v>
      </c>
      <c r="H249" s="31">
        <v>0.14116379310344829</v>
      </c>
      <c r="I249" s="32">
        <v>9862.2926093514325</v>
      </c>
      <c r="J249" s="32">
        <v>-9333.2061068702296</v>
      </c>
      <c r="K249" s="31">
        <v>9.7560975609756101E-2</v>
      </c>
      <c r="L249" s="31">
        <v>0.30499999999999999</v>
      </c>
      <c r="M249" s="31">
        <v>0.20785714285714285</v>
      </c>
      <c r="N249" s="31">
        <v>0.65105386416861821</v>
      </c>
      <c r="O249" s="31">
        <v>0.4845360824742268</v>
      </c>
      <c r="P249" s="31">
        <v>0.37858220211161386</v>
      </c>
    </row>
    <row r="250" spans="1:16" x14ac:dyDescent="0.4">
      <c r="A250" s="33">
        <v>247</v>
      </c>
      <c r="B250" s="30">
        <v>1797.0999999999997</v>
      </c>
      <c r="C250" s="30">
        <v>7.2757085020242904</v>
      </c>
      <c r="D250" s="35">
        <v>1.7489878542510122</v>
      </c>
      <c r="E250" s="31">
        <v>0.44939271255060731</v>
      </c>
      <c r="F250" s="31">
        <v>0.19838056680161945</v>
      </c>
      <c r="G250" s="31">
        <v>0.35733476625470179</v>
      </c>
      <c r="H250" s="31">
        <v>0.14078452444922085</v>
      </c>
      <c r="I250" s="32">
        <v>9928.8721804511279</v>
      </c>
      <c r="J250" s="32">
        <v>-9333.2061068702296</v>
      </c>
      <c r="K250" s="31">
        <v>9.7165991902834009E-2</v>
      </c>
      <c r="L250" s="31">
        <v>0.30533807829181497</v>
      </c>
      <c r="M250" s="31">
        <v>0.20782918149466192</v>
      </c>
      <c r="N250" s="31">
        <v>0.65034965034965031</v>
      </c>
      <c r="O250" s="31">
        <v>0.48287671232876711</v>
      </c>
      <c r="P250" s="31">
        <v>0.37894736842105264</v>
      </c>
    </row>
    <row r="251" spans="1:16" x14ac:dyDescent="0.4">
      <c r="A251" s="33">
        <v>248</v>
      </c>
      <c r="B251" s="30">
        <v>1790.8999999999996</v>
      </c>
      <c r="C251" s="30">
        <v>7.221370967741934</v>
      </c>
      <c r="D251" s="35">
        <v>1.75</v>
      </c>
      <c r="E251" s="31">
        <v>0.44758064516129031</v>
      </c>
      <c r="F251" s="31">
        <v>0.19758064516129031</v>
      </c>
      <c r="G251" s="31">
        <v>0.35664709022957819</v>
      </c>
      <c r="H251" s="31">
        <v>0.14095034703683929</v>
      </c>
      <c r="I251" s="32">
        <v>9941.1676646706583</v>
      </c>
      <c r="J251" s="32">
        <v>-9338.257575757576</v>
      </c>
      <c r="K251" s="31">
        <v>9.6774193548387094E-2</v>
      </c>
      <c r="L251" s="31">
        <v>0.30416372618207482</v>
      </c>
      <c r="M251" s="31">
        <v>0.20748059280169373</v>
      </c>
      <c r="N251" s="31">
        <v>0.65197215777262185</v>
      </c>
      <c r="O251" s="31">
        <v>0.48299319727891155</v>
      </c>
      <c r="P251" s="31">
        <v>0.3787425149700599</v>
      </c>
    </row>
    <row r="252" spans="1:16" x14ac:dyDescent="0.4">
      <c r="A252" s="33">
        <v>249</v>
      </c>
      <c r="B252" s="30">
        <v>1782.0999999999997</v>
      </c>
      <c r="C252" s="30">
        <v>7.1570281124497983</v>
      </c>
      <c r="D252" s="35">
        <v>1.751004016064257</v>
      </c>
      <c r="E252" s="31">
        <v>0.44578313253012047</v>
      </c>
      <c r="F252" s="31">
        <v>0.19678714859437751</v>
      </c>
      <c r="G252" s="31">
        <v>0.35604044704630122</v>
      </c>
      <c r="H252" s="31">
        <v>0.14050026609898883</v>
      </c>
      <c r="I252" s="32">
        <v>9944.2451420029902</v>
      </c>
      <c r="J252" s="32">
        <v>-9338.257575757576</v>
      </c>
      <c r="K252" s="31">
        <v>9.6385542168674704E-2</v>
      </c>
      <c r="L252" s="31">
        <v>0.30358397751229799</v>
      </c>
      <c r="M252" s="31">
        <v>0.20660576247364723</v>
      </c>
      <c r="N252" s="31">
        <v>0.65277777777777779</v>
      </c>
      <c r="O252" s="31">
        <v>0.48299319727891155</v>
      </c>
      <c r="P252" s="31">
        <v>0.37967115097159942</v>
      </c>
    </row>
    <row r="253" spans="1:16" x14ac:dyDescent="0.4">
      <c r="A253" s="33">
        <v>250</v>
      </c>
      <c r="B253" s="30">
        <v>1800.5999999999997</v>
      </c>
      <c r="C253" s="30">
        <v>7.202399999999999</v>
      </c>
      <c r="D253" s="35">
        <v>1.748</v>
      </c>
      <c r="E253" s="31">
        <v>0.44800000000000001</v>
      </c>
      <c r="F253" s="31">
        <v>0.19600000000000001</v>
      </c>
      <c r="G253" s="31">
        <v>0.35559088500264968</v>
      </c>
      <c r="H253" s="31">
        <v>0.13990461049284578</v>
      </c>
      <c r="I253" s="32">
        <v>9956.3338301043223</v>
      </c>
      <c r="J253" s="32">
        <v>-9338.257575757576</v>
      </c>
      <c r="K253" s="31">
        <v>9.6000000000000002E-2</v>
      </c>
      <c r="L253" s="31">
        <v>0.30468204053109715</v>
      </c>
      <c r="M253" s="31">
        <v>0.20545073375262055</v>
      </c>
      <c r="N253" s="31">
        <v>0.65137614678899081</v>
      </c>
      <c r="O253" s="31">
        <v>0.48299319727891155</v>
      </c>
      <c r="P253" s="31">
        <v>0.38002980625931443</v>
      </c>
    </row>
    <row r="254" spans="1:16" x14ac:dyDescent="0.4">
      <c r="A254" s="33">
        <v>251</v>
      </c>
      <c r="B254" s="30">
        <v>1833.6999999999996</v>
      </c>
      <c r="C254" s="30">
        <v>7.3055776892430266</v>
      </c>
      <c r="D254" s="35">
        <v>1.7450199203187251</v>
      </c>
      <c r="E254" s="31">
        <v>0.45019920318725098</v>
      </c>
      <c r="F254" s="31">
        <v>0.19521912350597609</v>
      </c>
      <c r="G254" s="31">
        <v>0.35654008438818563</v>
      </c>
      <c r="H254" s="31">
        <v>0.14029535864978904</v>
      </c>
      <c r="I254" s="32">
        <v>9953.2544378698221</v>
      </c>
      <c r="J254" s="32">
        <v>-9307.894736842105</v>
      </c>
      <c r="K254" s="31">
        <v>9.5617529880478086E-2</v>
      </c>
      <c r="L254" s="31">
        <v>0.30486111111111114</v>
      </c>
      <c r="M254" s="31">
        <v>0.20624999999999999</v>
      </c>
      <c r="N254" s="31">
        <v>0.65375854214123008</v>
      </c>
      <c r="O254" s="31">
        <v>0.48148148148148145</v>
      </c>
      <c r="P254" s="31">
        <v>0.38017751479289941</v>
      </c>
    </row>
    <row r="255" spans="1:16" x14ac:dyDescent="0.4">
      <c r="A255" s="33">
        <v>252</v>
      </c>
      <c r="B255" s="30">
        <v>1901.6999999999996</v>
      </c>
      <c r="C255" s="30">
        <v>7.5464285714285699</v>
      </c>
      <c r="D255" s="35">
        <v>1.7420634920634921</v>
      </c>
      <c r="E255" s="31">
        <v>0.45238095238095238</v>
      </c>
      <c r="F255" s="31">
        <v>0.19444444444444445</v>
      </c>
      <c r="G255" s="31">
        <v>0.35823250920568123</v>
      </c>
      <c r="H255" s="31">
        <v>0.13992635455023672</v>
      </c>
      <c r="I255" s="32">
        <v>9974.1556534508072</v>
      </c>
      <c r="J255" s="32">
        <v>-9307.894736842105</v>
      </c>
      <c r="K255" s="31">
        <v>9.5238095238095233E-2</v>
      </c>
      <c r="L255" s="31">
        <v>0.30519031141868513</v>
      </c>
      <c r="M255" s="31">
        <v>0.20761245674740483</v>
      </c>
      <c r="N255" s="31">
        <v>0.65532879818594103</v>
      </c>
      <c r="O255" s="31">
        <v>0.48666666666666669</v>
      </c>
      <c r="P255" s="31">
        <v>0.38032305433186492</v>
      </c>
    </row>
    <row r="256" spans="1:16" x14ac:dyDescent="0.4">
      <c r="A256" s="33">
        <v>253</v>
      </c>
      <c r="B256" s="30">
        <v>1879.7999999999995</v>
      </c>
      <c r="C256" s="30">
        <v>7.430039525691698</v>
      </c>
      <c r="D256" s="35">
        <v>1.7470355731225296</v>
      </c>
      <c r="E256" s="31">
        <v>0.45059288537549408</v>
      </c>
      <c r="F256" s="31">
        <v>0.19762845849802371</v>
      </c>
      <c r="G256" s="31">
        <v>0.35725510738606603</v>
      </c>
      <c r="H256" s="31">
        <v>0.14091147197485596</v>
      </c>
      <c r="I256" s="32">
        <v>9965.395894428153</v>
      </c>
      <c r="J256" s="32">
        <v>-9274.3494423791817</v>
      </c>
      <c r="K256" s="31">
        <v>9.4861660079051377E-2</v>
      </c>
      <c r="L256" s="31">
        <v>0.30488644184445973</v>
      </c>
      <c r="M256" s="31">
        <v>0.20646937370956642</v>
      </c>
      <c r="N256" s="31">
        <v>0.65462753950338604</v>
      </c>
      <c r="O256" s="31">
        <v>0.48666666666666669</v>
      </c>
      <c r="P256" s="31">
        <v>0.38123167155425219</v>
      </c>
    </row>
    <row r="257" spans="1:16" x14ac:dyDescent="0.4">
      <c r="A257" s="33">
        <v>254</v>
      </c>
      <c r="B257" s="30">
        <v>1888.7999999999995</v>
      </c>
      <c r="C257" s="30">
        <v>7.4362204724409429</v>
      </c>
      <c r="D257" s="35">
        <v>1.7480314960629921</v>
      </c>
      <c r="E257" s="31">
        <v>0.44881889763779526</v>
      </c>
      <c r="F257" s="31">
        <v>0.19685039370078741</v>
      </c>
      <c r="G257" s="31">
        <v>0.35732916014606153</v>
      </c>
      <c r="H257" s="31">
        <v>0.14084507042253522</v>
      </c>
      <c r="I257" s="32">
        <v>9956.7883211678836</v>
      </c>
      <c r="J257" s="32">
        <v>-9284.4444444444453</v>
      </c>
      <c r="K257" s="31">
        <v>9.4488188976377951E-2</v>
      </c>
      <c r="L257" s="31">
        <v>0.30458590006844627</v>
      </c>
      <c r="M257" s="31">
        <v>0.20602327173169063</v>
      </c>
      <c r="N257" s="31">
        <v>0.65617977528089888</v>
      </c>
      <c r="O257" s="31">
        <v>0.48837209302325579</v>
      </c>
      <c r="P257" s="31">
        <v>0.38248175182481753</v>
      </c>
    </row>
    <row r="258" spans="1:16" x14ac:dyDescent="0.4">
      <c r="A258" s="33">
        <v>255</v>
      </c>
      <c r="B258" s="30">
        <v>1915.3999999999994</v>
      </c>
      <c r="C258" s="30">
        <v>7.5113725490196055</v>
      </c>
      <c r="D258" s="35">
        <v>1.7450980392156863</v>
      </c>
      <c r="E258" s="31">
        <v>0.45098039215686275</v>
      </c>
      <c r="F258" s="31">
        <v>0.19607843137254902</v>
      </c>
      <c r="G258" s="31">
        <v>0.35792207792207792</v>
      </c>
      <c r="H258" s="31">
        <v>0.14025974025974025</v>
      </c>
      <c r="I258" s="32">
        <v>9942.670537010159</v>
      </c>
      <c r="J258" s="32">
        <v>-9284.4444444444453</v>
      </c>
      <c r="K258" s="31">
        <v>9.4117647058823528E-2</v>
      </c>
      <c r="L258" s="31">
        <v>0.30496936691626958</v>
      </c>
      <c r="M258" s="31">
        <v>0.20626276378488767</v>
      </c>
      <c r="N258" s="31">
        <v>0.65625</v>
      </c>
      <c r="O258" s="31">
        <v>0.49174917491749176</v>
      </c>
      <c r="P258" s="31">
        <v>0.38461538461538464</v>
      </c>
    </row>
    <row r="259" spans="1:16" x14ac:dyDescent="0.4">
      <c r="A259" s="33">
        <v>256</v>
      </c>
      <c r="B259" s="30">
        <v>1935.3999999999994</v>
      </c>
      <c r="C259" s="30">
        <v>7.5601562499999977</v>
      </c>
      <c r="D259" s="35">
        <v>1.7421875</v>
      </c>
      <c r="E259" s="31">
        <v>0.453125</v>
      </c>
      <c r="F259" s="31">
        <v>0.1953125</v>
      </c>
      <c r="G259" s="31">
        <v>0.35795454545454547</v>
      </c>
      <c r="H259" s="31">
        <v>0.13946280991735538</v>
      </c>
      <c r="I259" s="32">
        <v>9937.2294372294364</v>
      </c>
      <c r="J259" s="32">
        <v>-9284.4444444444453</v>
      </c>
      <c r="K259" s="31">
        <v>9.375E-2</v>
      </c>
      <c r="L259" s="31">
        <v>0.30405405405405406</v>
      </c>
      <c r="M259" s="31">
        <v>0.20743243243243242</v>
      </c>
      <c r="N259" s="31">
        <v>0.65555555555555556</v>
      </c>
      <c r="O259" s="31">
        <v>0.49511400651465798</v>
      </c>
      <c r="P259" s="31">
        <v>0.38528138528138528</v>
      </c>
    </row>
    <row r="260" spans="1:16" x14ac:dyDescent="0.4">
      <c r="A260" s="33">
        <v>257</v>
      </c>
      <c r="B260" s="30">
        <v>1889.9999999999993</v>
      </c>
      <c r="C260" s="30">
        <v>7.3540856031128374</v>
      </c>
      <c r="D260" s="35">
        <v>1.7470817120622568</v>
      </c>
      <c r="E260" s="31">
        <v>0.45136186770428016</v>
      </c>
      <c r="F260" s="31">
        <v>0.19844357976653695</v>
      </c>
      <c r="G260" s="31">
        <v>0.35714285714285715</v>
      </c>
      <c r="H260" s="31">
        <v>0.14028776978417265</v>
      </c>
      <c r="I260" s="32">
        <v>9923.1654676258986</v>
      </c>
      <c r="J260" s="32">
        <v>-9277.6556776556772</v>
      </c>
      <c r="K260" s="31">
        <v>9.727626459143969E-2</v>
      </c>
      <c r="L260" s="31">
        <v>0.30335570469798656</v>
      </c>
      <c r="M260" s="31">
        <v>0.20872483221476509</v>
      </c>
      <c r="N260" s="31">
        <v>0.65486725663716816</v>
      </c>
      <c r="O260" s="31">
        <v>0.49196141479099681</v>
      </c>
      <c r="P260" s="31">
        <v>0.38705035971223023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D338F-3DFD-487C-BFFC-A3F3F0CF190B}">
  <sheetPr codeName="Sheet6"/>
  <dimension ref="A1:Q30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0</v>
      </c>
      <c r="C4" s="30">
        <v>0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0.33333333333333331</v>
      </c>
      <c r="I4" s="32">
        <v>8200</v>
      </c>
      <c r="J4" s="32">
        <v>-8200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0</v>
      </c>
      <c r="C5" s="30">
        <v>0</v>
      </c>
      <c r="D5" s="35">
        <v>2</v>
      </c>
      <c r="E5" s="31">
        <v>0.33333333333333331</v>
      </c>
      <c r="F5" s="31">
        <v>0.33333333333333331</v>
      </c>
      <c r="G5" s="31">
        <v>0.375</v>
      </c>
      <c r="H5" s="31">
        <v>0.29166666666666669</v>
      </c>
      <c r="I5" s="32">
        <v>7766.666666666667</v>
      </c>
      <c r="J5" s="32">
        <v>-5857.1428571428569</v>
      </c>
      <c r="K5" s="31">
        <v>0.16666666666666666</v>
      </c>
      <c r="L5" s="31">
        <v>0</v>
      </c>
      <c r="M5" s="31">
        <v>0</v>
      </c>
      <c r="N5" s="31">
        <v>0</v>
      </c>
      <c r="O5" s="31">
        <v>0</v>
      </c>
      <c r="P5" s="31">
        <v>0.1111111111111111</v>
      </c>
    </row>
    <row r="6" spans="1:17" x14ac:dyDescent="0.4">
      <c r="A6" s="33">
        <v>3</v>
      </c>
      <c r="B6" s="30">
        <v>3.5527136788005009E-15</v>
      </c>
      <c r="C6" s="30">
        <v>3.9474596431116675E-16</v>
      </c>
      <c r="D6" s="35">
        <v>2</v>
      </c>
      <c r="E6" s="31">
        <v>0.33333333333333331</v>
      </c>
      <c r="F6" s="31">
        <v>0.33333333333333331</v>
      </c>
      <c r="G6" s="31">
        <v>0.35897435897435898</v>
      </c>
      <c r="H6" s="31">
        <v>0.25641025641025639</v>
      </c>
      <c r="I6" s="32">
        <v>8857.1428571428569</v>
      </c>
      <c r="J6" s="32">
        <v>-8100</v>
      </c>
      <c r="K6" s="31">
        <v>0.22222222222222221</v>
      </c>
      <c r="L6" s="31">
        <v>0</v>
      </c>
      <c r="M6" s="31">
        <v>0</v>
      </c>
      <c r="N6" s="31">
        <v>0</v>
      </c>
      <c r="O6" s="31">
        <v>0</v>
      </c>
      <c r="P6" s="31">
        <v>0.21428571428571427</v>
      </c>
    </row>
    <row r="7" spans="1:17" x14ac:dyDescent="0.4">
      <c r="A7" s="33">
        <v>4</v>
      </c>
      <c r="B7" s="30">
        <v>0</v>
      </c>
      <c r="C7" s="30">
        <v>0</v>
      </c>
      <c r="D7" s="35">
        <v>2</v>
      </c>
      <c r="E7" s="31">
        <v>0.33333333333333331</v>
      </c>
      <c r="F7" s="31">
        <v>0.33333333333333331</v>
      </c>
      <c r="G7" s="31">
        <v>0.33333333333333331</v>
      </c>
      <c r="H7" s="31">
        <v>0.24561403508771928</v>
      </c>
      <c r="I7" s="32">
        <v>10963.157894736842</v>
      </c>
      <c r="J7" s="32">
        <v>-8378.5714285714294</v>
      </c>
      <c r="K7" s="31">
        <v>0.33333333333333331</v>
      </c>
      <c r="L7" s="31">
        <v>0</v>
      </c>
      <c r="M7" s="31">
        <v>0</v>
      </c>
      <c r="N7" s="31">
        <v>0</v>
      </c>
      <c r="O7" s="31">
        <v>0</v>
      </c>
      <c r="P7" s="31">
        <v>0.21052631578947367</v>
      </c>
    </row>
    <row r="8" spans="1:17" x14ac:dyDescent="0.4">
      <c r="A8" s="33">
        <v>5</v>
      </c>
      <c r="B8" s="30">
        <v>0</v>
      </c>
      <c r="C8" s="30">
        <v>0</v>
      </c>
      <c r="D8" s="35">
        <v>2</v>
      </c>
      <c r="E8" s="31">
        <v>0.33333333333333331</v>
      </c>
      <c r="F8" s="31">
        <v>0.33333333333333331</v>
      </c>
      <c r="G8" s="31">
        <v>0.33333333333333331</v>
      </c>
      <c r="H8" s="31">
        <v>0.24358974358974358</v>
      </c>
      <c r="I8" s="32">
        <v>10703.846153846154</v>
      </c>
      <c r="J8" s="32">
        <v>-9015.78947368421</v>
      </c>
      <c r="K8" s="31">
        <v>0.33333333333333331</v>
      </c>
      <c r="L8" s="31">
        <v>0</v>
      </c>
      <c r="M8" s="31">
        <v>0</v>
      </c>
      <c r="N8" s="31">
        <v>0</v>
      </c>
      <c r="O8" s="31">
        <v>0</v>
      </c>
      <c r="P8" s="31">
        <v>0.23076923076923078</v>
      </c>
    </row>
    <row r="9" spans="1:17" x14ac:dyDescent="0.4">
      <c r="A9" s="33">
        <v>6</v>
      </c>
      <c r="B9" s="30">
        <v>0</v>
      </c>
      <c r="C9" s="30">
        <v>0</v>
      </c>
      <c r="D9" s="35">
        <v>2</v>
      </c>
      <c r="E9" s="31">
        <v>0.33333333333333331</v>
      </c>
      <c r="F9" s="31">
        <v>0.33333333333333331</v>
      </c>
      <c r="G9" s="31">
        <v>0.33333333333333331</v>
      </c>
      <c r="H9" s="31">
        <v>0.25</v>
      </c>
      <c r="I9" s="32">
        <v>11939.285714285714</v>
      </c>
      <c r="J9" s="32">
        <v>-10823.809523809523</v>
      </c>
      <c r="K9" s="31">
        <v>0.33333333333333331</v>
      </c>
      <c r="L9" s="31">
        <v>0</v>
      </c>
      <c r="M9" s="31">
        <v>0</v>
      </c>
      <c r="N9" s="31">
        <v>0</v>
      </c>
      <c r="O9" s="31">
        <v>0</v>
      </c>
      <c r="P9" s="31">
        <v>0.21428571428571427</v>
      </c>
    </row>
    <row r="10" spans="1:17" x14ac:dyDescent="0.4">
      <c r="A10" s="33">
        <v>7</v>
      </c>
      <c r="B10" s="30">
        <v>0</v>
      </c>
      <c r="C10" s="30">
        <v>0</v>
      </c>
      <c r="D10" s="35">
        <v>2</v>
      </c>
      <c r="E10" s="31">
        <v>0.33333333333333331</v>
      </c>
      <c r="F10" s="31">
        <v>0.33333333333333331</v>
      </c>
      <c r="G10" s="31">
        <v>0.33333333333333331</v>
      </c>
      <c r="H10" s="31">
        <v>0.25714285714285712</v>
      </c>
      <c r="I10" s="32">
        <v>10805.714285714286</v>
      </c>
      <c r="J10" s="32">
        <v>-9748.1481481481478</v>
      </c>
      <c r="K10" s="31">
        <v>0.2857142857142857</v>
      </c>
      <c r="L10" s="31">
        <v>0</v>
      </c>
      <c r="M10" s="31">
        <v>0</v>
      </c>
      <c r="N10" s="31">
        <v>0</v>
      </c>
      <c r="O10" s="31">
        <v>0</v>
      </c>
      <c r="P10" s="31">
        <v>0.2</v>
      </c>
    </row>
    <row r="11" spans="1:17" x14ac:dyDescent="0.4">
      <c r="A11" s="33">
        <v>8</v>
      </c>
      <c r="B11" s="30">
        <v>0</v>
      </c>
      <c r="C11" s="30">
        <v>0</v>
      </c>
      <c r="D11" s="35">
        <v>2</v>
      </c>
      <c r="E11" s="31">
        <v>0.33333333333333331</v>
      </c>
      <c r="F11" s="31">
        <v>0.33333333333333331</v>
      </c>
      <c r="G11" s="31">
        <v>0.31782945736434109</v>
      </c>
      <c r="H11" s="31">
        <v>0.24031007751937986</v>
      </c>
      <c r="I11" s="32">
        <v>10785.365853658537</v>
      </c>
      <c r="J11" s="32">
        <v>-10167.741935483871</v>
      </c>
      <c r="K11" s="31">
        <v>0.29166666666666669</v>
      </c>
      <c r="L11" s="31">
        <v>0</v>
      </c>
      <c r="M11" s="31">
        <v>0</v>
      </c>
      <c r="N11" s="31">
        <v>0</v>
      </c>
      <c r="O11" s="31">
        <v>0</v>
      </c>
      <c r="P11" s="31">
        <v>0.21951219512195122</v>
      </c>
    </row>
    <row r="12" spans="1:17" x14ac:dyDescent="0.4">
      <c r="A12" s="33">
        <v>9</v>
      </c>
      <c r="B12" s="30">
        <v>0</v>
      </c>
      <c r="C12" s="30">
        <v>0</v>
      </c>
      <c r="D12" s="35">
        <v>2</v>
      </c>
      <c r="E12" s="31">
        <v>0.33333333333333331</v>
      </c>
      <c r="F12" s="31">
        <v>0.33333333333333331</v>
      </c>
      <c r="G12" s="31">
        <v>0.30065359477124182</v>
      </c>
      <c r="H12" s="31">
        <v>0.22875816993464052</v>
      </c>
      <c r="I12" s="32">
        <v>10786.95652173913</v>
      </c>
      <c r="J12" s="32">
        <v>-10320</v>
      </c>
      <c r="K12" s="31">
        <v>0.29629629629629628</v>
      </c>
      <c r="L12" s="31">
        <v>0</v>
      </c>
      <c r="M12" s="31">
        <v>0</v>
      </c>
      <c r="N12" s="31">
        <v>0</v>
      </c>
      <c r="O12" s="31">
        <v>0</v>
      </c>
      <c r="P12" s="31">
        <v>0.21739130434782608</v>
      </c>
    </row>
    <row r="13" spans="1:17" x14ac:dyDescent="0.4">
      <c r="A13" s="33">
        <v>10</v>
      </c>
      <c r="B13" s="30">
        <v>0</v>
      </c>
      <c r="C13" s="30">
        <v>0</v>
      </c>
      <c r="D13" s="35">
        <v>2</v>
      </c>
      <c r="E13" s="31">
        <v>0.33333333333333331</v>
      </c>
      <c r="F13" s="31">
        <v>0.33333333333333331</v>
      </c>
      <c r="G13" s="31">
        <v>0.28735632183908044</v>
      </c>
      <c r="H13" s="31">
        <v>0.22413793103448276</v>
      </c>
      <c r="I13" s="32">
        <v>11148</v>
      </c>
      <c r="J13" s="32">
        <v>-10830.76923076923</v>
      </c>
      <c r="K13" s="31">
        <v>0.3</v>
      </c>
      <c r="L13" s="31">
        <v>0</v>
      </c>
      <c r="M13" s="31">
        <v>0</v>
      </c>
      <c r="N13" s="31">
        <v>0</v>
      </c>
      <c r="O13" s="31">
        <v>0</v>
      </c>
      <c r="P13" s="31">
        <v>0.2</v>
      </c>
    </row>
    <row r="14" spans="1:17" x14ac:dyDescent="0.4">
      <c r="A14" s="33">
        <v>11</v>
      </c>
      <c r="B14" s="30">
        <v>1.7763568394002505E-15</v>
      </c>
      <c r="C14" s="30">
        <v>5.3828995133340925E-17</v>
      </c>
      <c r="D14" s="35">
        <v>2</v>
      </c>
      <c r="E14" s="31">
        <v>0.33333333333333331</v>
      </c>
      <c r="F14" s="31">
        <v>0.33333333333333331</v>
      </c>
      <c r="G14" s="31">
        <v>0.29107981220657275</v>
      </c>
      <c r="H14" s="31">
        <v>0.20657276995305165</v>
      </c>
      <c r="I14" s="32">
        <v>11622.58064516129</v>
      </c>
      <c r="J14" s="32">
        <v>-10536.363636363636</v>
      </c>
      <c r="K14" s="31">
        <v>0.27272727272727271</v>
      </c>
      <c r="L14" s="31">
        <v>0</v>
      </c>
      <c r="M14" s="31">
        <v>0</v>
      </c>
      <c r="N14" s="31">
        <v>0</v>
      </c>
      <c r="O14" s="31">
        <v>0</v>
      </c>
      <c r="P14" s="31">
        <v>0.27419354838709675</v>
      </c>
    </row>
    <row r="15" spans="1:17" x14ac:dyDescent="0.4">
      <c r="A15" s="33">
        <v>12</v>
      </c>
      <c r="B15" s="30">
        <v>7.1054273576010019E-15</v>
      </c>
      <c r="C15" s="30">
        <v>1.9737298215558337E-16</v>
      </c>
      <c r="D15" s="35">
        <v>2</v>
      </c>
      <c r="E15" s="31">
        <v>0.33333333333333331</v>
      </c>
      <c r="F15" s="31">
        <v>0.33333333333333331</v>
      </c>
      <c r="G15" s="31">
        <v>0.29385964912280704</v>
      </c>
      <c r="H15" s="31">
        <v>0.20175438596491227</v>
      </c>
      <c r="I15" s="32">
        <v>11543.283582089553</v>
      </c>
      <c r="J15" s="32">
        <v>-10513.04347826087</v>
      </c>
      <c r="K15" s="31">
        <v>0.27777777777777779</v>
      </c>
      <c r="L15" s="31">
        <v>0</v>
      </c>
      <c r="M15" s="31">
        <v>0</v>
      </c>
      <c r="N15" s="31">
        <v>0</v>
      </c>
      <c r="O15" s="31">
        <v>0</v>
      </c>
      <c r="P15" s="31">
        <v>0.29850746268656714</v>
      </c>
    </row>
    <row r="16" spans="1:17" x14ac:dyDescent="0.4">
      <c r="A16" s="33">
        <v>13</v>
      </c>
      <c r="B16" s="30">
        <v>7.1054273576010019E-15</v>
      </c>
      <c r="C16" s="30">
        <v>1.8219044506669235E-16</v>
      </c>
      <c r="D16" s="35">
        <v>2</v>
      </c>
      <c r="E16" s="31">
        <v>0.33333333333333331</v>
      </c>
      <c r="F16" s="31">
        <v>0.33333333333333331</v>
      </c>
      <c r="G16" s="31">
        <v>0.29588014981273408</v>
      </c>
      <c r="H16" s="31">
        <v>0.20224719101123595</v>
      </c>
      <c r="I16" s="32">
        <v>11137.974683544304</v>
      </c>
      <c r="J16" s="32">
        <v>-10222.222222222223</v>
      </c>
      <c r="K16" s="31">
        <v>0.25641025641025639</v>
      </c>
      <c r="L16" s="31">
        <v>0</v>
      </c>
      <c r="M16" s="31">
        <v>0</v>
      </c>
      <c r="N16" s="31">
        <v>0</v>
      </c>
      <c r="O16" s="31">
        <v>0</v>
      </c>
      <c r="P16" s="31">
        <v>0.30379746835443039</v>
      </c>
    </row>
    <row r="17" spans="1:16" x14ac:dyDescent="0.4">
      <c r="A17" s="33">
        <v>14</v>
      </c>
      <c r="B17" s="30">
        <v>7.1054273576010019E-15</v>
      </c>
      <c r="C17" s="30">
        <v>1.6917684184764289E-16</v>
      </c>
      <c r="D17" s="35">
        <v>2</v>
      </c>
      <c r="E17" s="31">
        <v>0.33333333333333331</v>
      </c>
      <c r="F17" s="31">
        <v>0.33333333333333331</v>
      </c>
      <c r="G17" s="31">
        <v>0.2978723404255319</v>
      </c>
      <c r="H17" s="31">
        <v>0.19858156028368795</v>
      </c>
      <c r="I17" s="32">
        <v>11570.238095238095</v>
      </c>
      <c r="J17" s="32">
        <v>-10142.857142857143</v>
      </c>
      <c r="K17" s="31">
        <v>0.26190476190476192</v>
      </c>
      <c r="L17" s="31">
        <v>0</v>
      </c>
      <c r="M17" s="31">
        <v>0</v>
      </c>
      <c r="N17" s="31">
        <v>0</v>
      </c>
      <c r="O17" s="31">
        <v>0</v>
      </c>
      <c r="P17" s="31">
        <v>0.30952380952380953</v>
      </c>
    </row>
    <row r="18" spans="1:16" x14ac:dyDescent="0.4">
      <c r="A18" s="33">
        <v>15</v>
      </c>
      <c r="B18" s="30">
        <v>7.1054273576010019E-15</v>
      </c>
      <c r="C18" s="30">
        <v>1.5789838572446671E-16</v>
      </c>
      <c r="D18" s="35">
        <v>2</v>
      </c>
      <c r="E18" s="31">
        <v>0.33333333333333331</v>
      </c>
      <c r="F18" s="31">
        <v>0.33333333333333331</v>
      </c>
      <c r="G18" s="31">
        <v>0.29553264604810997</v>
      </c>
      <c r="H18" s="31">
        <v>0.19931271477663232</v>
      </c>
      <c r="I18" s="32">
        <v>11650</v>
      </c>
      <c r="J18" s="32">
        <v>-10310.344827586207</v>
      </c>
      <c r="K18" s="31">
        <v>0.26666666666666666</v>
      </c>
      <c r="L18" s="31">
        <v>0</v>
      </c>
      <c r="M18" s="31">
        <v>0</v>
      </c>
      <c r="N18" s="31">
        <v>0</v>
      </c>
      <c r="O18" s="31">
        <v>0</v>
      </c>
      <c r="P18" s="31">
        <v>0.30232558139534882</v>
      </c>
    </row>
    <row r="19" spans="1:16" x14ac:dyDescent="0.4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0.29841269841269841</v>
      </c>
      <c r="H19" s="31">
        <v>0.19365079365079366</v>
      </c>
      <c r="I19" s="32">
        <v>11291.489361702128</v>
      </c>
      <c r="J19" s="32">
        <v>-10224.590163934427</v>
      </c>
      <c r="K19" s="31">
        <v>0.25</v>
      </c>
      <c r="L19" s="31">
        <v>0</v>
      </c>
      <c r="M19" s="31">
        <v>0</v>
      </c>
      <c r="N19" s="31">
        <v>0</v>
      </c>
      <c r="O19" s="31">
        <v>0</v>
      </c>
      <c r="P19" s="31">
        <v>0.32978723404255317</v>
      </c>
    </row>
    <row r="20" spans="1:16" x14ac:dyDescent="0.4">
      <c r="A20" s="33">
        <v>17</v>
      </c>
      <c r="B20" s="30">
        <v>7.1054273576010019E-15</v>
      </c>
      <c r="C20" s="30">
        <v>1.3932210505100003E-16</v>
      </c>
      <c r="D20" s="35">
        <v>2</v>
      </c>
      <c r="E20" s="31">
        <v>0.33333333333333331</v>
      </c>
      <c r="F20" s="31">
        <v>0.33333333333333331</v>
      </c>
      <c r="G20" s="31">
        <v>0.3</v>
      </c>
      <c r="H20" s="31">
        <v>0.19090909090909092</v>
      </c>
      <c r="I20" s="32">
        <v>11205.050505050505</v>
      </c>
      <c r="J20" s="32">
        <v>-10152.380952380952</v>
      </c>
      <c r="K20" s="31">
        <v>0.23529411764705882</v>
      </c>
      <c r="L20" s="31">
        <v>0</v>
      </c>
      <c r="M20" s="31">
        <v>0</v>
      </c>
      <c r="N20" s="31">
        <v>0</v>
      </c>
      <c r="O20" s="31">
        <v>0</v>
      </c>
      <c r="P20" s="31">
        <v>0.34343434343434343</v>
      </c>
    </row>
    <row r="21" spans="1:16" x14ac:dyDescent="0.4">
      <c r="A21" s="33">
        <v>18</v>
      </c>
      <c r="B21" s="30">
        <v>8.2156503822261584E-15</v>
      </c>
      <c r="C21" s="30">
        <v>1.5214167374492887E-16</v>
      </c>
      <c r="D21" s="35">
        <v>2</v>
      </c>
      <c r="E21" s="31">
        <v>0.33333333333333331</v>
      </c>
      <c r="F21" s="31">
        <v>0.33333333333333331</v>
      </c>
      <c r="G21" s="31">
        <v>0.30027548209366389</v>
      </c>
      <c r="H21" s="31">
        <v>0.19559228650137742</v>
      </c>
      <c r="I21" s="32">
        <v>10655.045871559632</v>
      </c>
      <c r="J21" s="32">
        <v>-9543.6619718309867</v>
      </c>
      <c r="K21" s="31">
        <v>0.22222222222222221</v>
      </c>
      <c r="L21" s="31">
        <v>0</v>
      </c>
      <c r="M21" s="31">
        <v>0</v>
      </c>
      <c r="N21" s="31">
        <v>0</v>
      </c>
      <c r="O21" s="31">
        <v>0</v>
      </c>
      <c r="P21" s="31">
        <v>0.33027522935779818</v>
      </c>
    </row>
    <row r="22" spans="1:16" x14ac:dyDescent="0.4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0.30490956072351422</v>
      </c>
      <c r="H22" s="31">
        <v>0.19379844961240311</v>
      </c>
      <c r="I22" s="32">
        <v>10629.661016949152</v>
      </c>
      <c r="J22" s="32">
        <v>-9796</v>
      </c>
      <c r="K22" s="31">
        <v>0.22807017543859648</v>
      </c>
      <c r="L22" s="31">
        <v>0</v>
      </c>
      <c r="M22" s="31">
        <v>0</v>
      </c>
      <c r="N22" s="31">
        <v>0</v>
      </c>
      <c r="O22" s="31">
        <v>0</v>
      </c>
      <c r="P22" s="31">
        <v>0.33898305084745761</v>
      </c>
    </row>
    <row r="23" spans="1:16" x14ac:dyDescent="0.4">
      <c r="A23" s="33">
        <v>20</v>
      </c>
      <c r="B23" s="30">
        <v>1.0658141036401503E-14</v>
      </c>
      <c r="C23" s="30">
        <v>1.7763568394002506E-16</v>
      </c>
      <c r="D23" s="35">
        <v>2</v>
      </c>
      <c r="E23" s="31">
        <v>0.33333333333333331</v>
      </c>
      <c r="F23" s="31">
        <v>0.33333333333333331</v>
      </c>
      <c r="G23" s="31">
        <v>0.30413625304136255</v>
      </c>
      <c r="H23" s="31">
        <v>0.19464720194647203</v>
      </c>
      <c r="I23" s="32">
        <v>10516</v>
      </c>
      <c r="J23" s="32">
        <v>-9636.25</v>
      </c>
      <c r="K23" s="31">
        <v>0.21666666666666667</v>
      </c>
      <c r="L23" s="31">
        <v>0</v>
      </c>
      <c r="M23" s="31">
        <v>0</v>
      </c>
      <c r="N23" s="31">
        <v>0</v>
      </c>
      <c r="O23" s="31">
        <v>0</v>
      </c>
      <c r="P23" s="31">
        <v>0.33600000000000002</v>
      </c>
    </row>
    <row r="24" spans="1:16" x14ac:dyDescent="0.4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0.30260047281323876</v>
      </c>
      <c r="H24" s="31">
        <v>0.19385342789598109</v>
      </c>
      <c r="I24" s="32">
        <v>10800.78125</v>
      </c>
      <c r="J24" s="32">
        <v>-9645.121951219513</v>
      </c>
      <c r="K24" s="31">
        <v>0.22222222222222221</v>
      </c>
      <c r="L24" s="31">
        <v>0</v>
      </c>
      <c r="M24" s="31">
        <v>0</v>
      </c>
      <c r="N24" s="31">
        <v>0</v>
      </c>
      <c r="O24" s="31">
        <v>0</v>
      </c>
      <c r="P24" s="31">
        <v>0.3359375</v>
      </c>
    </row>
    <row r="25" spans="1:16" x14ac:dyDescent="0.4">
      <c r="A25" s="33">
        <v>22</v>
      </c>
      <c r="B25" s="30">
        <v>2.8421709430404007E-14</v>
      </c>
      <c r="C25" s="30">
        <v>4.306319610667274E-16</v>
      </c>
      <c r="D25" s="35">
        <v>2</v>
      </c>
      <c r="E25" s="31">
        <v>0.33333333333333331</v>
      </c>
      <c r="F25" s="31">
        <v>0.33333333333333331</v>
      </c>
      <c r="G25" s="31">
        <v>0.30263157894736842</v>
      </c>
      <c r="H25" s="31">
        <v>0.19956140350877194</v>
      </c>
      <c r="I25" s="32">
        <v>10734.782608695652</v>
      </c>
      <c r="J25" s="32">
        <v>-9580.2197802197807</v>
      </c>
      <c r="K25" s="31">
        <v>0.22727272727272727</v>
      </c>
      <c r="L25" s="31">
        <v>0</v>
      </c>
      <c r="M25" s="31">
        <v>0</v>
      </c>
      <c r="N25" s="31">
        <v>0</v>
      </c>
      <c r="O25" s="31">
        <v>0</v>
      </c>
      <c r="P25" s="31">
        <v>0.3188405797101449</v>
      </c>
    </row>
    <row r="26" spans="1:16" x14ac:dyDescent="0.4">
      <c r="A26" s="33">
        <v>23</v>
      </c>
      <c r="B26" s="30">
        <v>3.0198066269804258E-14</v>
      </c>
      <c r="C26" s="30">
        <v>4.3765313434498927E-16</v>
      </c>
      <c r="D26" s="35">
        <v>2</v>
      </c>
      <c r="E26" s="31">
        <v>0.33333333333333331</v>
      </c>
      <c r="F26" s="31">
        <v>0.33333333333333331</v>
      </c>
      <c r="G26" s="31">
        <v>0.3</v>
      </c>
      <c r="H26" s="31">
        <v>0.19166666666666668</v>
      </c>
      <c r="I26" s="32">
        <v>10673.611111111111</v>
      </c>
      <c r="J26" s="32">
        <v>-9563.04347826087</v>
      </c>
      <c r="K26" s="31">
        <v>0.2318840579710145</v>
      </c>
      <c r="L26" s="31">
        <v>0</v>
      </c>
      <c r="M26" s="31">
        <v>0</v>
      </c>
      <c r="N26" s="31">
        <v>0</v>
      </c>
      <c r="O26" s="31">
        <v>0</v>
      </c>
      <c r="P26" s="31">
        <v>0.34027777777777779</v>
      </c>
    </row>
    <row r="27" spans="1:16" x14ac:dyDescent="0.4">
      <c r="A27" s="33">
        <v>24</v>
      </c>
      <c r="B27" s="30">
        <v>2.8421709430404007E-14</v>
      </c>
      <c r="C27" s="30">
        <v>3.9474596431116675E-16</v>
      </c>
      <c r="D27" s="35">
        <v>2</v>
      </c>
      <c r="E27" s="31">
        <v>0.33333333333333331</v>
      </c>
      <c r="F27" s="31">
        <v>0.33333333333333331</v>
      </c>
      <c r="G27" s="31">
        <v>0.30081300813008133</v>
      </c>
      <c r="H27" s="31">
        <v>0.19308943089430894</v>
      </c>
      <c r="I27" s="32">
        <v>10777.027027027027</v>
      </c>
      <c r="J27" s="32">
        <v>-9682.105263157895</v>
      </c>
      <c r="K27" s="31">
        <v>0.2361111111111111</v>
      </c>
      <c r="L27" s="31">
        <v>0</v>
      </c>
      <c r="M27" s="31">
        <v>0</v>
      </c>
      <c r="N27" s="31">
        <v>0</v>
      </c>
      <c r="O27" s="31">
        <v>0</v>
      </c>
      <c r="P27" s="31">
        <v>0.33783783783783783</v>
      </c>
    </row>
    <row r="28" spans="1:16" x14ac:dyDescent="0.4">
      <c r="A28" s="33">
        <v>25</v>
      </c>
      <c r="B28" s="30">
        <v>2.4868995751603507E-14</v>
      </c>
      <c r="C28" s="30">
        <v>3.315866100213801E-16</v>
      </c>
      <c r="D28" s="35">
        <v>2</v>
      </c>
      <c r="E28" s="31">
        <v>0.33333333333333331</v>
      </c>
      <c r="F28" s="31">
        <v>0.33333333333333331</v>
      </c>
      <c r="G28" s="31">
        <v>0.30057803468208094</v>
      </c>
      <c r="H28" s="31">
        <v>0.18882466281310212</v>
      </c>
      <c r="I28" s="32">
        <v>10966.666666666666</v>
      </c>
      <c r="J28" s="32">
        <v>-9873.4693877551017</v>
      </c>
      <c r="K28" s="31">
        <v>0.22666666666666666</v>
      </c>
      <c r="L28" s="31">
        <v>0</v>
      </c>
      <c r="M28" s="31">
        <v>0</v>
      </c>
      <c r="N28" s="31">
        <v>0</v>
      </c>
      <c r="O28" s="31">
        <v>0</v>
      </c>
      <c r="P28" s="31">
        <v>0.35256410256410259</v>
      </c>
    </row>
    <row r="29" spans="1:16" x14ac:dyDescent="0.4">
      <c r="A29" s="33">
        <v>26</v>
      </c>
      <c r="B29" s="30">
        <v>2.3092638912203256E-14</v>
      </c>
      <c r="C29" s="30">
        <v>2.9605947323337506E-16</v>
      </c>
      <c r="D29" s="35">
        <v>2</v>
      </c>
      <c r="E29" s="31">
        <v>0.33333333333333331</v>
      </c>
      <c r="F29" s="31">
        <v>0.33333333333333331</v>
      </c>
      <c r="G29" s="31">
        <v>0.30018416206261511</v>
      </c>
      <c r="H29" s="31">
        <v>0.18968692449355432</v>
      </c>
      <c r="I29" s="32">
        <v>10793.251533742332</v>
      </c>
      <c r="J29" s="32">
        <v>-9811.6504854368941</v>
      </c>
      <c r="K29" s="31">
        <v>0.21794871794871795</v>
      </c>
      <c r="L29" s="31">
        <v>0</v>
      </c>
      <c r="M29" s="31">
        <v>0</v>
      </c>
      <c r="N29" s="31">
        <v>0</v>
      </c>
      <c r="O29" s="31">
        <v>0</v>
      </c>
      <c r="P29" s="31">
        <v>0.34969325153374231</v>
      </c>
    </row>
    <row r="30" spans="1:16" x14ac:dyDescent="0.4">
      <c r="A30" s="33">
        <v>27</v>
      </c>
      <c r="B30" s="30">
        <v>2.1316282072803006E-14</v>
      </c>
      <c r="C30" s="30">
        <v>2.631639762074445E-16</v>
      </c>
      <c r="D30" s="35">
        <v>2</v>
      </c>
      <c r="E30" s="31">
        <v>0.33333333333333331</v>
      </c>
      <c r="F30" s="31">
        <v>0.33333333333333331</v>
      </c>
      <c r="G30" s="31">
        <v>0.29749103942652327</v>
      </c>
      <c r="H30" s="31">
        <v>0.18458781362007168</v>
      </c>
      <c r="I30" s="32">
        <v>11031.927710843374</v>
      </c>
      <c r="J30" s="32">
        <v>-9811.6504854368941</v>
      </c>
      <c r="K30" s="31">
        <v>0.22222222222222221</v>
      </c>
      <c r="L30" s="31">
        <v>0</v>
      </c>
      <c r="M30" s="31">
        <v>0</v>
      </c>
      <c r="N30" s="31">
        <v>0</v>
      </c>
      <c r="O30" s="31">
        <v>0</v>
      </c>
      <c r="P30" s="31">
        <v>0.36144578313253012</v>
      </c>
    </row>
    <row r="31" spans="1:16" x14ac:dyDescent="0.4">
      <c r="A31" s="33">
        <v>28</v>
      </c>
      <c r="B31" s="30">
        <v>2.1316282072803006E-14</v>
      </c>
      <c r="C31" s="30">
        <v>2.5376526277146434E-16</v>
      </c>
      <c r="D31" s="35">
        <v>2</v>
      </c>
      <c r="E31" s="31">
        <v>0.33333333333333331</v>
      </c>
      <c r="F31" s="31">
        <v>0.33333333333333331</v>
      </c>
      <c r="G31" s="31">
        <v>0.29896907216494845</v>
      </c>
      <c r="H31" s="31">
        <v>0.18384879725085912</v>
      </c>
      <c r="I31" s="32">
        <v>11191.379310344828</v>
      </c>
      <c r="J31" s="32">
        <v>-9930.8411214953267</v>
      </c>
      <c r="K31" s="31">
        <v>0.22619047619047619</v>
      </c>
      <c r="L31" s="31">
        <v>0</v>
      </c>
      <c r="M31" s="31">
        <v>0</v>
      </c>
      <c r="N31" s="31">
        <v>0</v>
      </c>
      <c r="O31" s="31">
        <v>0</v>
      </c>
      <c r="P31" s="31">
        <v>0.36781609195402298</v>
      </c>
    </row>
    <row r="32" spans="1:16" x14ac:dyDescent="0.4">
      <c r="A32" s="33">
        <v>29</v>
      </c>
      <c r="B32" s="30">
        <v>1.7763568394002505E-14</v>
      </c>
      <c r="C32" s="30">
        <v>2.0417894705750005E-16</v>
      </c>
      <c r="D32" s="35">
        <v>2</v>
      </c>
      <c r="E32" s="31">
        <v>0.33333333333333331</v>
      </c>
      <c r="F32" s="31">
        <v>0.33333333333333331</v>
      </c>
      <c r="G32" s="31">
        <v>0.30016583747927034</v>
      </c>
      <c r="H32" s="31">
        <v>0.18407960199004975</v>
      </c>
      <c r="I32" s="32">
        <v>11145.85635359116</v>
      </c>
      <c r="J32" s="32">
        <v>-9933.3333333333339</v>
      </c>
      <c r="K32" s="31">
        <v>0.21839080459770116</v>
      </c>
      <c r="L32" s="31">
        <v>0</v>
      </c>
      <c r="M32" s="31">
        <v>0</v>
      </c>
      <c r="N32" s="31">
        <v>0</v>
      </c>
      <c r="O32" s="31">
        <v>0</v>
      </c>
      <c r="P32" s="31">
        <v>0.37016574585635359</v>
      </c>
    </row>
    <row r="33" spans="1:16" x14ac:dyDescent="0.4">
      <c r="A33" s="33">
        <v>30</v>
      </c>
      <c r="B33" s="30">
        <v>1.2434497875801753E-14</v>
      </c>
      <c r="C33" s="30">
        <v>1.3816108750890837E-16</v>
      </c>
      <c r="D33" s="35">
        <v>2</v>
      </c>
      <c r="E33" s="31">
        <v>0.33333333333333331</v>
      </c>
      <c r="F33" s="31">
        <v>0.33333333333333331</v>
      </c>
      <c r="G33" s="31">
        <v>0.3</v>
      </c>
      <c r="H33" s="31">
        <v>0.18412698412698414</v>
      </c>
      <c r="I33" s="32">
        <v>11103.703703703704</v>
      </c>
      <c r="J33" s="32">
        <v>-9981.8965517241377</v>
      </c>
      <c r="K33" s="31">
        <v>0.22222222222222221</v>
      </c>
      <c r="L33" s="31">
        <v>0</v>
      </c>
      <c r="M33" s="31">
        <v>0</v>
      </c>
      <c r="N33" s="31">
        <v>0</v>
      </c>
      <c r="O33" s="31">
        <v>0</v>
      </c>
      <c r="P33" s="31">
        <v>0.37037037037037035</v>
      </c>
    </row>
    <row r="34" spans="1:16" x14ac:dyDescent="0.4">
      <c r="A34" s="33">
        <v>31</v>
      </c>
      <c r="B34" s="30">
        <v>1.4210854715202004E-14</v>
      </c>
      <c r="C34" s="30">
        <v>1.5280488941077425E-16</v>
      </c>
      <c r="D34" s="35">
        <v>2</v>
      </c>
      <c r="E34" s="31">
        <v>0.33333333333333331</v>
      </c>
      <c r="F34" s="31">
        <v>0.33333333333333331</v>
      </c>
      <c r="G34" s="31">
        <v>0.29906542056074764</v>
      </c>
      <c r="H34" s="31">
        <v>0.1822429906542056</v>
      </c>
      <c r="I34" s="32">
        <v>11273.958333333334</v>
      </c>
      <c r="J34" s="32">
        <v>-9999.1452991452988</v>
      </c>
      <c r="K34" s="31">
        <v>0.22580645161290322</v>
      </c>
      <c r="L34" s="31">
        <v>0</v>
      </c>
      <c r="M34" s="31">
        <v>0</v>
      </c>
      <c r="N34" s="31">
        <v>0</v>
      </c>
      <c r="O34" s="31">
        <v>0</v>
      </c>
      <c r="P34" s="31">
        <v>0.375</v>
      </c>
    </row>
    <row r="35" spans="1:16" x14ac:dyDescent="0.4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0.30059523809523808</v>
      </c>
      <c r="H35" s="31">
        <v>0.18303571428571427</v>
      </c>
      <c r="I35" s="32">
        <v>11260.891089108911</v>
      </c>
      <c r="J35" s="32">
        <v>-9853.6585365853662</v>
      </c>
      <c r="K35" s="31">
        <v>0.22916666666666666</v>
      </c>
      <c r="L35" s="31">
        <v>0</v>
      </c>
      <c r="M35" s="31">
        <v>0</v>
      </c>
      <c r="N35" s="31">
        <v>0</v>
      </c>
      <c r="O35" s="31">
        <v>0</v>
      </c>
      <c r="P35" s="31">
        <v>0.37623762376237624</v>
      </c>
    </row>
    <row r="36" spans="1:16" x14ac:dyDescent="0.4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0.29970760233918131</v>
      </c>
      <c r="H36" s="31">
        <v>0.18274853801169591</v>
      </c>
      <c r="I36" s="32">
        <v>11300.975609756097</v>
      </c>
      <c r="J36" s="32">
        <v>-9936</v>
      </c>
      <c r="K36" s="31">
        <v>0.23232323232323232</v>
      </c>
      <c r="L36" s="31">
        <v>0</v>
      </c>
      <c r="M36" s="31">
        <v>0</v>
      </c>
      <c r="N36" s="31">
        <v>0</v>
      </c>
      <c r="O36" s="31">
        <v>0</v>
      </c>
      <c r="P36" s="31">
        <v>0.37560975609756098</v>
      </c>
    </row>
    <row r="37" spans="1:16" x14ac:dyDescent="0.4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0.30084745762711862</v>
      </c>
      <c r="H37" s="31">
        <v>0.1807909604519774</v>
      </c>
      <c r="I37" s="32">
        <v>11383.568075117371</v>
      </c>
      <c r="J37" s="32">
        <v>-10000</v>
      </c>
      <c r="K37" s="31">
        <v>0.23529411764705882</v>
      </c>
      <c r="L37" s="31">
        <v>0</v>
      </c>
      <c r="M37" s="31">
        <v>0</v>
      </c>
      <c r="N37" s="31">
        <v>0</v>
      </c>
      <c r="O37" s="31">
        <v>0</v>
      </c>
      <c r="P37" s="31">
        <v>0.38497652582159625</v>
      </c>
    </row>
    <row r="38" spans="1:16" x14ac:dyDescent="0.4">
      <c r="A38" s="33">
        <v>35</v>
      </c>
      <c r="B38" s="30">
        <v>2.1316282072803006E-14</v>
      </c>
      <c r="C38" s="30">
        <v>2.0301221021717148E-16</v>
      </c>
      <c r="D38" s="35">
        <v>2</v>
      </c>
      <c r="E38" s="31">
        <v>0.33333333333333331</v>
      </c>
      <c r="F38" s="31">
        <v>0.33333333333333331</v>
      </c>
      <c r="G38" s="31">
        <v>0.30178326474622769</v>
      </c>
      <c r="H38" s="31">
        <v>0.18106995884773663</v>
      </c>
      <c r="I38" s="32">
        <v>11295</v>
      </c>
      <c r="J38" s="32">
        <v>-9940.9090909090901</v>
      </c>
      <c r="K38" s="31">
        <v>0.22857142857142856</v>
      </c>
      <c r="L38" s="31">
        <v>0</v>
      </c>
      <c r="M38" s="31">
        <v>0</v>
      </c>
      <c r="N38" s="31">
        <v>0</v>
      </c>
      <c r="O38" s="31">
        <v>0</v>
      </c>
      <c r="P38" s="31">
        <v>0.38636363636363635</v>
      </c>
    </row>
    <row r="39" spans="1:16" x14ac:dyDescent="0.4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0.30146082337317398</v>
      </c>
      <c r="H39" s="31">
        <v>0.18193891102257637</v>
      </c>
      <c r="I39" s="32">
        <v>11162.995594713657</v>
      </c>
      <c r="J39" s="32">
        <v>-9761.3138686131388</v>
      </c>
      <c r="K39" s="31">
        <v>0.22222222222222221</v>
      </c>
      <c r="L39" s="31">
        <v>0</v>
      </c>
      <c r="M39" s="31">
        <v>0</v>
      </c>
      <c r="N39" s="31">
        <v>0</v>
      </c>
      <c r="O39" s="31">
        <v>0</v>
      </c>
      <c r="P39" s="31">
        <v>0.38325991189427311</v>
      </c>
    </row>
    <row r="40" spans="1:16" x14ac:dyDescent="0.4">
      <c r="A40" s="33">
        <v>37</v>
      </c>
      <c r="B40" s="30">
        <v>2.8421709430404007E-14</v>
      </c>
      <c r="C40" s="30">
        <v>2.5605143630994601E-16</v>
      </c>
      <c r="D40" s="35">
        <v>2</v>
      </c>
      <c r="E40" s="31">
        <v>0.33333333333333331</v>
      </c>
      <c r="F40" s="31">
        <v>0.33333333333333331</v>
      </c>
      <c r="G40" s="31">
        <v>0.30268199233716475</v>
      </c>
      <c r="H40" s="31">
        <v>0.18007662835249041</v>
      </c>
      <c r="I40" s="32">
        <v>11060.759493670887</v>
      </c>
      <c r="J40" s="32">
        <v>-9664.5390070921985</v>
      </c>
      <c r="K40" s="31">
        <v>0.22522522522522523</v>
      </c>
      <c r="L40" s="31">
        <v>0</v>
      </c>
      <c r="M40" s="31">
        <v>0</v>
      </c>
      <c r="N40" s="31">
        <v>0</v>
      </c>
      <c r="O40" s="31">
        <v>0</v>
      </c>
      <c r="P40" s="31">
        <v>0.39240506329113922</v>
      </c>
    </row>
    <row r="41" spans="1:16" x14ac:dyDescent="0.4">
      <c r="A41" s="33">
        <v>38</v>
      </c>
      <c r="B41" s="30">
        <v>2.708944180085382E-14</v>
      </c>
      <c r="C41" s="30">
        <v>2.3762668246363E-16</v>
      </c>
      <c r="D41" s="35">
        <v>2</v>
      </c>
      <c r="E41" s="31">
        <v>0.33333333333333331</v>
      </c>
      <c r="F41" s="31">
        <v>0.33333333333333331</v>
      </c>
      <c r="G41" s="31">
        <v>0.30407124681933845</v>
      </c>
      <c r="H41" s="31">
        <v>0.1806615776081425</v>
      </c>
      <c r="I41" s="32">
        <v>11179.916317991632</v>
      </c>
      <c r="J41" s="32">
        <v>-9952.8169014084506</v>
      </c>
      <c r="K41" s="31">
        <v>0.22807017543859648</v>
      </c>
      <c r="L41" s="31">
        <v>0</v>
      </c>
      <c r="M41" s="31">
        <v>0</v>
      </c>
      <c r="N41" s="31">
        <v>0</v>
      </c>
      <c r="O41" s="31">
        <v>0</v>
      </c>
      <c r="P41" s="31">
        <v>0.38912133891213391</v>
      </c>
    </row>
    <row r="42" spans="1:16" x14ac:dyDescent="0.4">
      <c r="A42" s="33">
        <v>39</v>
      </c>
      <c r="B42" s="30">
        <v>2.8421709430404007E-14</v>
      </c>
      <c r="C42" s="30">
        <v>2.429205934222565E-16</v>
      </c>
      <c r="D42" s="35">
        <v>2</v>
      </c>
      <c r="E42" s="31">
        <v>0.33333333333333331</v>
      </c>
      <c r="F42" s="31">
        <v>0.33333333333333331</v>
      </c>
      <c r="G42" s="31">
        <v>0.3046192259675406</v>
      </c>
      <c r="H42" s="31">
        <v>0.18102372034956304</v>
      </c>
      <c r="I42" s="32">
        <v>11198.77049180328</v>
      </c>
      <c r="J42" s="32">
        <v>-9957.2413793103442</v>
      </c>
      <c r="K42" s="31">
        <v>0.23076923076923078</v>
      </c>
      <c r="L42" s="31">
        <v>0</v>
      </c>
      <c r="M42" s="31">
        <v>0</v>
      </c>
      <c r="N42" s="31">
        <v>0</v>
      </c>
      <c r="O42" s="31">
        <v>0</v>
      </c>
      <c r="P42" s="31">
        <v>0.38934426229508196</v>
      </c>
    </row>
    <row r="43" spans="1:16" x14ac:dyDescent="0.4">
      <c r="A43" s="33">
        <v>40</v>
      </c>
      <c r="B43" s="30">
        <v>2.8421709430404007E-14</v>
      </c>
      <c r="C43" s="30">
        <v>2.3684757858670006E-16</v>
      </c>
      <c r="D43" s="35">
        <v>2</v>
      </c>
      <c r="E43" s="31">
        <v>0.33333333333333331</v>
      </c>
      <c r="F43" s="31">
        <v>0.33333333333333331</v>
      </c>
      <c r="G43" s="31">
        <v>0.30525030525030528</v>
      </c>
      <c r="H43" s="31">
        <v>0.1807081807081807</v>
      </c>
      <c r="I43" s="32">
        <v>11062.8</v>
      </c>
      <c r="J43" s="32">
        <v>-9898.6486486486483</v>
      </c>
      <c r="K43" s="31">
        <v>0.22500000000000001</v>
      </c>
      <c r="L43" s="31">
        <v>0</v>
      </c>
      <c r="M43" s="31">
        <v>0</v>
      </c>
      <c r="N43" s="31">
        <v>0</v>
      </c>
      <c r="O43" s="31">
        <v>0</v>
      </c>
      <c r="P43" s="31">
        <v>0.39200000000000002</v>
      </c>
    </row>
    <row r="44" spans="1:16" x14ac:dyDescent="0.4">
      <c r="A44" s="33">
        <v>41</v>
      </c>
      <c r="B44" s="30">
        <v>2.8421709430404007E-14</v>
      </c>
      <c r="C44" s="30">
        <v>2.3107080837726838E-16</v>
      </c>
      <c r="D44" s="35">
        <v>2</v>
      </c>
      <c r="E44" s="31">
        <v>0.33333333333333331</v>
      </c>
      <c r="F44" s="31">
        <v>0.33333333333333331</v>
      </c>
      <c r="G44" s="31">
        <v>0.30506478209658422</v>
      </c>
      <c r="H44" s="31">
        <v>0.18021201413427562</v>
      </c>
      <c r="I44" s="32">
        <v>10895.366795366795</v>
      </c>
      <c r="J44" s="32">
        <v>-9758.1699346405221</v>
      </c>
      <c r="K44" s="31">
        <v>0.22764227642276422</v>
      </c>
      <c r="L44" s="31">
        <v>0</v>
      </c>
      <c r="M44" s="31">
        <v>0</v>
      </c>
      <c r="N44" s="31">
        <v>0</v>
      </c>
      <c r="O44" s="31">
        <v>0</v>
      </c>
      <c r="P44" s="31">
        <v>0.39382239382239381</v>
      </c>
    </row>
    <row r="45" spans="1:16" x14ac:dyDescent="0.4">
      <c r="A45" s="33">
        <v>42</v>
      </c>
      <c r="B45" s="30">
        <v>2.8421709430404007E-14</v>
      </c>
      <c r="C45" s="30">
        <v>2.2556912246352386E-16</v>
      </c>
      <c r="D45" s="35">
        <v>2</v>
      </c>
      <c r="E45" s="31">
        <v>0.33333333333333331</v>
      </c>
      <c r="F45" s="31">
        <v>0.33333333333333331</v>
      </c>
      <c r="G45" s="31">
        <v>0.3047945205479452</v>
      </c>
      <c r="H45" s="31">
        <v>0.1769406392694064</v>
      </c>
      <c r="I45" s="32">
        <v>10876.029962546816</v>
      </c>
      <c r="J45" s="32">
        <v>-9761.2903225806458</v>
      </c>
      <c r="K45" s="31">
        <v>0.22222222222222221</v>
      </c>
      <c r="L45" s="31">
        <v>0</v>
      </c>
      <c r="M45" s="31">
        <v>0</v>
      </c>
      <c r="N45" s="31">
        <v>0</v>
      </c>
      <c r="O45" s="31">
        <v>0</v>
      </c>
      <c r="P45" s="31">
        <v>0.4044943820224719</v>
      </c>
    </row>
    <row r="46" spans="1:16" x14ac:dyDescent="0.4">
      <c r="A46" s="33">
        <v>43</v>
      </c>
      <c r="B46" s="30">
        <v>2.8421709430404007E-14</v>
      </c>
      <c r="C46" s="30">
        <v>2.2032332891786052E-16</v>
      </c>
      <c r="D46" s="35">
        <v>2</v>
      </c>
      <c r="E46" s="31">
        <v>0.33333333333333331</v>
      </c>
      <c r="F46" s="31">
        <v>0.33333333333333331</v>
      </c>
      <c r="G46" s="31">
        <v>0.30473047304730472</v>
      </c>
      <c r="H46" s="31">
        <v>0.17711771177117711</v>
      </c>
      <c r="I46" s="32">
        <v>10791.335740072202</v>
      </c>
      <c r="J46" s="32">
        <v>-9678.8819875776389</v>
      </c>
      <c r="K46" s="31">
        <v>0.21705426356589147</v>
      </c>
      <c r="L46" s="31">
        <v>0</v>
      </c>
      <c r="M46" s="31">
        <v>0</v>
      </c>
      <c r="N46" s="31">
        <v>0</v>
      </c>
      <c r="O46" s="31">
        <v>0</v>
      </c>
      <c r="P46" s="31">
        <v>0.40433212996389889</v>
      </c>
    </row>
    <row r="47" spans="1:16" x14ac:dyDescent="0.4">
      <c r="A47" s="33">
        <v>44</v>
      </c>
      <c r="B47" s="30">
        <v>2.7755575615628914E-14</v>
      </c>
      <c r="C47" s="30">
        <v>2.1026951223961299E-16</v>
      </c>
      <c r="D47" s="35">
        <v>2</v>
      </c>
      <c r="E47" s="31">
        <v>0.33333333333333331</v>
      </c>
      <c r="F47" s="31">
        <v>0.33333333333333331</v>
      </c>
      <c r="G47" s="31">
        <v>0.30546623794212219</v>
      </c>
      <c r="H47" s="31">
        <v>0.17792068595927116</v>
      </c>
      <c r="I47" s="32">
        <v>10750.526315789473</v>
      </c>
      <c r="J47" s="32">
        <v>-9626.5060240963849</v>
      </c>
      <c r="K47" s="31">
        <v>0.21212121212121213</v>
      </c>
      <c r="L47" s="31">
        <v>0</v>
      </c>
      <c r="M47" s="31">
        <v>0</v>
      </c>
      <c r="N47" s="31">
        <v>0</v>
      </c>
      <c r="O47" s="31">
        <v>0</v>
      </c>
      <c r="P47" s="31">
        <v>0.40350877192982454</v>
      </c>
    </row>
    <row r="48" spans="1:16" x14ac:dyDescent="0.4">
      <c r="A48" s="33">
        <v>45</v>
      </c>
      <c r="B48" s="30">
        <v>2.8421709430404007E-14</v>
      </c>
      <c r="C48" s="30">
        <v>2.1053118096595562E-16</v>
      </c>
      <c r="D48" s="35">
        <v>2</v>
      </c>
      <c r="E48" s="31">
        <v>0.33333333333333331</v>
      </c>
      <c r="F48" s="31">
        <v>0.33333333333333331</v>
      </c>
      <c r="G48" s="31">
        <v>0.30590717299578057</v>
      </c>
      <c r="H48" s="31">
        <v>0.17932489451476794</v>
      </c>
      <c r="I48" s="32">
        <v>10706.206896551725</v>
      </c>
      <c r="J48" s="32">
        <v>-9593.5294117647063</v>
      </c>
      <c r="K48" s="31">
        <v>0.21481481481481482</v>
      </c>
      <c r="L48" s="31">
        <v>0</v>
      </c>
      <c r="M48" s="31">
        <v>0</v>
      </c>
      <c r="N48" s="31">
        <v>0</v>
      </c>
      <c r="O48" s="31">
        <v>0</v>
      </c>
      <c r="P48" s="31">
        <v>0.4</v>
      </c>
    </row>
    <row r="49" spans="1:16" x14ac:dyDescent="0.4">
      <c r="A49" s="33">
        <v>46</v>
      </c>
      <c r="B49" s="30">
        <v>2.8421709430404007E-14</v>
      </c>
      <c r="C49" s="30">
        <v>2.0595441616234788E-16</v>
      </c>
      <c r="D49" s="35">
        <v>2</v>
      </c>
      <c r="E49" s="31">
        <v>0.33333333333333331</v>
      </c>
      <c r="F49" s="31">
        <v>0.33333333333333331</v>
      </c>
      <c r="G49" s="31">
        <v>0.30597771023302939</v>
      </c>
      <c r="H49" s="31">
        <v>0.17933130699088146</v>
      </c>
      <c r="I49" s="32">
        <v>10610.927152317881</v>
      </c>
      <c r="J49" s="32">
        <v>-9472.3163841807909</v>
      </c>
      <c r="K49" s="31">
        <v>0.21014492753623187</v>
      </c>
      <c r="L49" s="31">
        <v>0</v>
      </c>
      <c r="M49" s="31">
        <v>0</v>
      </c>
      <c r="N49" s="31">
        <v>0</v>
      </c>
      <c r="O49" s="31">
        <v>0</v>
      </c>
      <c r="P49" s="31">
        <v>0.39735099337748342</v>
      </c>
    </row>
    <row r="50" spans="1:16" x14ac:dyDescent="0.4">
      <c r="A50" s="33">
        <v>47</v>
      </c>
      <c r="B50" s="30">
        <v>2.8421709430404007E-14</v>
      </c>
      <c r="C50" s="30">
        <v>2.0157240730782984E-16</v>
      </c>
      <c r="D50" s="35">
        <v>2</v>
      </c>
      <c r="E50" s="31">
        <v>0.33333333333333331</v>
      </c>
      <c r="F50" s="31">
        <v>0.33333333333333331</v>
      </c>
      <c r="G50" s="31">
        <v>0.30654761904761907</v>
      </c>
      <c r="H50" s="31">
        <v>0.17757936507936509</v>
      </c>
      <c r="I50" s="32">
        <v>10612.621359223302</v>
      </c>
      <c r="J50" s="32">
        <v>-9500.558659217877</v>
      </c>
      <c r="K50" s="31">
        <v>0.20567375886524822</v>
      </c>
      <c r="L50" s="31">
        <v>0</v>
      </c>
      <c r="M50" s="31">
        <v>0</v>
      </c>
      <c r="N50" s="31">
        <v>0</v>
      </c>
      <c r="O50" s="31">
        <v>0</v>
      </c>
      <c r="P50" s="31">
        <v>0.4045307443365696</v>
      </c>
    </row>
    <row r="51" spans="1:16" x14ac:dyDescent="0.4">
      <c r="A51" s="33">
        <v>48</v>
      </c>
      <c r="B51" s="30">
        <v>2.6645352591003757E-14</v>
      </c>
      <c r="C51" s="30">
        <v>1.8503717077085943E-16</v>
      </c>
      <c r="D51" s="35">
        <v>2</v>
      </c>
      <c r="E51" s="31">
        <v>0.33333333333333331</v>
      </c>
      <c r="F51" s="31">
        <v>0.33333333333333331</v>
      </c>
      <c r="G51" s="31">
        <v>0.30612244897959184</v>
      </c>
      <c r="H51" s="31">
        <v>0.17687074829931973</v>
      </c>
      <c r="I51" s="32">
        <v>10542.539682539682</v>
      </c>
      <c r="J51" s="32">
        <v>-9401.0989010989015</v>
      </c>
      <c r="K51" s="31">
        <v>0.2013888888888889</v>
      </c>
      <c r="L51" s="31">
        <v>0</v>
      </c>
      <c r="M51" s="31">
        <v>0</v>
      </c>
      <c r="N51" s="31">
        <v>0</v>
      </c>
      <c r="O51" s="31">
        <v>0</v>
      </c>
      <c r="P51" s="31">
        <v>0.40634920634920635</v>
      </c>
    </row>
    <row r="52" spans="1:16" x14ac:dyDescent="0.4">
      <c r="A52" s="33">
        <v>49</v>
      </c>
      <c r="B52" s="30">
        <v>2.4868995751603507E-14</v>
      </c>
      <c r="C52" s="30">
        <v>1.6917684184764289E-16</v>
      </c>
      <c r="D52" s="35">
        <v>2</v>
      </c>
      <c r="E52" s="31">
        <v>0.33333333333333331</v>
      </c>
      <c r="F52" s="31">
        <v>0.33333333333333331</v>
      </c>
      <c r="G52" s="31">
        <v>0.30500472143531632</v>
      </c>
      <c r="H52" s="31">
        <v>0.17752596789423986</v>
      </c>
      <c r="I52" s="32">
        <v>10583.59133126935</v>
      </c>
      <c r="J52" s="32">
        <v>-9354.2553191489369</v>
      </c>
      <c r="K52" s="31">
        <v>0.19727891156462585</v>
      </c>
      <c r="L52" s="31">
        <v>0</v>
      </c>
      <c r="M52" s="31">
        <v>0</v>
      </c>
      <c r="N52" s="31">
        <v>0</v>
      </c>
      <c r="O52" s="31">
        <v>0</v>
      </c>
      <c r="P52" s="31">
        <v>0.4024767801857585</v>
      </c>
    </row>
    <row r="53" spans="1:16" x14ac:dyDescent="0.4">
      <c r="A53" s="33">
        <v>50</v>
      </c>
      <c r="B53" s="30">
        <v>2.4868995751603507E-14</v>
      </c>
      <c r="C53" s="30">
        <v>1.6579330501069005E-16</v>
      </c>
      <c r="D53" s="35">
        <v>2</v>
      </c>
      <c r="E53" s="31">
        <v>0.33333333333333331</v>
      </c>
      <c r="F53" s="31">
        <v>0.33333333333333331</v>
      </c>
      <c r="G53" s="31">
        <v>0.30593607305936071</v>
      </c>
      <c r="H53" s="31">
        <v>0.17808219178082191</v>
      </c>
      <c r="I53" s="32">
        <v>10544.477611940298</v>
      </c>
      <c r="J53" s="32">
        <v>-9443.5897435897441</v>
      </c>
      <c r="K53" s="31">
        <v>0.19333333333333333</v>
      </c>
      <c r="L53" s="31">
        <v>0</v>
      </c>
      <c r="M53" s="31">
        <v>0</v>
      </c>
      <c r="N53" s="31">
        <v>0</v>
      </c>
      <c r="O53" s="31">
        <v>0</v>
      </c>
      <c r="P53" s="31">
        <v>0.40298507462686567</v>
      </c>
    </row>
    <row r="54" spans="1:16" x14ac:dyDescent="0.4">
      <c r="A54" s="33">
        <v>51</v>
      </c>
      <c r="B54" s="30">
        <v>2.8421709430404007E-14</v>
      </c>
      <c r="C54" s="30">
        <v>1.8576280673466672E-16</v>
      </c>
      <c r="D54" s="35">
        <v>2</v>
      </c>
      <c r="E54" s="31">
        <v>0.33333333333333331</v>
      </c>
      <c r="F54" s="31">
        <v>0.33333333333333331</v>
      </c>
      <c r="G54" s="31">
        <v>0.30645161290322581</v>
      </c>
      <c r="H54" s="31">
        <v>0.17831541218637992</v>
      </c>
      <c r="I54" s="32">
        <v>10559.356725146199</v>
      </c>
      <c r="J54" s="32">
        <v>-9463.3165829145728</v>
      </c>
      <c r="K54" s="31">
        <v>0.19607843137254902</v>
      </c>
      <c r="L54" s="31">
        <v>0</v>
      </c>
      <c r="M54" s="31">
        <v>0</v>
      </c>
      <c r="N54" s="31">
        <v>0</v>
      </c>
      <c r="O54" s="31">
        <v>0</v>
      </c>
      <c r="P54" s="31">
        <v>0.40350877192982454</v>
      </c>
    </row>
    <row r="55" spans="1:16" x14ac:dyDescent="0.4">
      <c r="A55" s="33">
        <v>52</v>
      </c>
      <c r="B55" s="30">
        <v>2.8421709430404007E-14</v>
      </c>
      <c r="C55" s="30">
        <v>1.8219044506669235E-16</v>
      </c>
      <c r="D55" s="35">
        <v>2</v>
      </c>
      <c r="E55" s="31">
        <v>0.33333333333333331</v>
      </c>
      <c r="F55" s="31">
        <v>0.33333333333333331</v>
      </c>
      <c r="G55" s="31">
        <v>0.30606860158311344</v>
      </c>
      <c r="H55" s="31">
        <v>0.17766051011433598</v>
      </c>
      <c r="I55" s="32">
        <v>10512.931034482759</v>
      </c>
      <c r="J55" s="32">
        <v>-9447.5247524752467</v>
      </c>
      <c r="K55" s="31">
        <v>0.19230769230769232</v>
      </c>
      <c r="L55" s="31">
        <v>0</v>
      </c>
      <c r="M55" s="31">
        <v>0</v>
      </c>
      <c r="N55" s="31">
        <v>0</v>
      </c>
      <c r="O55" s="31">
        <v>0</v>
      </c>
      <c r="P55" s="31">
        <v>0.40517241379310343</v>
      </c>
    </row>
    <row r="56" spans="1:16" x14ac:dyDescent="0.4">
      <c r="A56" s="33">
        <v>53</v>
      </c>
      <c r="B56" s="30">
        <v>2.8421709430404007E-14</v>
      </c>
      <c r="C56" s="30">
        <v>1.7875288949939628E-16</v>
      </c>
      <c r="D56" s="35">
        <v>2</v>
      </c>
      <c r="E56" s="31">
        <v>0.33333333333333331</v>
      </c>
      <c r="F56" s="31">
        <v>0.33333333333333331</v>
      </c>
      <c r="G56" s="31">
        <v>0.3065630397236615</v>
      </c>
      <c r="H56" s="31">
        <v>0.17789291882556132</v>
      </c>
      <c r="I56" s="32">
        <v>10604.225352112677</v>
      </c>
      <c r="J56" s="32">
        <v>-9574.7572815533986</v>
      </c>
      <c r="K56" s="31">
        <v>0.19496855345911951</v>
      </c>
      <c r="L56" s="31">
        <v>0</v>
      </c>
      <c r="M56" s="31">
        <v>0</v>
      </c>
      <c r="N56" s="31">
        <v>0</v>
      </c>
      <c r="O56" s="31">
        <v>0</v>
      </c>
      <c r="P56" s="31">
        <v>0.40563380281690142</v>
      </c>
    </row>
    <row r="57" spans="1:16" x14ac:dyDescent="0.4">
      <c r="A57" s="33">
        <v>54</v>
      </c>
      <c r="B57" s="30">
        <v>2.4868995751603507E-14</v>
      </c>
      <c r="C57" s="30">
        <v>1.5351231945434262E-16</v>
      </c>
      <c r="D57" s="35">
        <v>2</v>
      </c>
      <c r="E57" s="31">
        <v>0.33333333333333331</v>
      </c>
      <c r="F57" s="31">
        <v>0.33333333333333331</v>
      </c>
      <c r="G57" s="31">
        <v>0.30697278911564624</v>
      </c>
      <c r="H57" s="31">
        <v>0.17687074829931973</v>
      </c>
      <c r="I57" s="32">
        <v>10614.127423822714</v>
      </c>
      <c r="J57" s="32">
        <v>-9651.9230769230762</v>
      </c>
      <c r="K57" s="31">
        <v>0.19753086419753085</v>
      </c>
      <c r="L57" s="31">
        <v>0</v>
      </c>
      <c r="M57" s="31">
        <v>0</v>
      </c>
      <c r="N57" s="31">
        <v>0</v>
      </c>
      <c r="O57" s="31">
        <v>0</v>
      </c>
      <c r="P57" s="31">
        <v>0.40720221606648199</v>
      </c>
    </row>
    <row r="58" spans="1:16" x14ac:dyDescent="0.4">
      <c r="A58" s="33">
        <v>55</v>
      </c>
      <c r="B58" s="30">
        <v>2.4868995751603507E-14</v>
      </c>
      <c r="C58" s="30">
        <v>1.5072118637335459E-16</v>
      </c>
      <c r="D58" s="35">
        <v>2</v>
      </c>
      <c r="E58" s="31">
        <v>0.33333333333333331</v>
      </c>
      <c r="F58" s="31">
        <v>0.33333333333333331</v>
      </c>
      <c r="G58" s="31">
        <v>0.30409356725146197</v>
      </c>
      <c r="H58" s="31">
        <v>0.17543859649122806</v>
      </c>
      <c r="I58" s="32">
        <v>10588.186813186812</v>
      </c>
      <c r="J58" s="32">
        <v>-9628.5714285714294</v>
      </c>
      <c r="K58" s="31">
        <v>0.19393939393939394</v>
      </c>
      <c r="L58" s="31">
        <v>0</v>
      </c>
      <c r="M58" s="31">
        <v>0</v>
      </c>
      <c r="N58" s="31">
        <v>0</v>
      </c>
      <c r="O58" s="31">
        <v>0</v>
      </c>
      <c r="P58" s="31">
        <v>0.40659340659340659</v>
      </c>
    </row>
    <row r="59" spans="1:16" x14ac:dyDescent="0.4">
      <c r="A59" s="33">
        <v>56</v>
      </c>
      <c r="B59" s="30">
        <v>2.8421709430404007E-14</v>
      </c>
      <c r="C59" s="30">
        <v>1.6917684184764289E-16</v>
      </c>
      <c r="D59" s="35">
        <v>2</v>
      </c>
      <c r="E59" s="31">
        <v>0.33333333333333331</v>
      </c>
      <c r="F59" s="31">
        <v>0.33333333333333331</v>
      </c>
      <c r="G59" s="31">
        <v>0.3047385620915033</v>
      </c>
      <c r="H59" s="31">
        <v>0.17565359477124182</v>
      </c>
      <c r="I59" s="32">
        <v>10599.731903485255</v>
      </c>
      <c r="J59" s="32">
        <v>-9642.790697674418</v>
      </c>
      <c r="K59" s="31">
        <v>0.19642857142857142</v>
      </c>
      <c r="L59" s="31">
        <v>0</v>
      </c>
      <c r="M59" s="31">
        <v>0</v>
      </c>
      <c r="N59" s="31">
        <v>0</v>
      </c>
      <c r="O59" s="31">
        <v>0</v>
      </c>
      <c r="P59" s="31">
        <v>0.40750670241286863</v>
      </c>
    </row>
    <row r="60" spans="1:16" x14ac:dyDescent="0.4">
      <c r="A60" s="33">
        <v>57</v>
      </c>
      <c r="B60" s="30">
        <v>2.8421709430404007E-14</v>
      </c>
      <c r="C60" s="30">
        <v>1.66208827078386E-16</v>
      </c>
      <c r="D60" s="35">
        <v>2</v>
      </c>
      <c r="E60" s="31">
        <v>0.33333333333333331</v>
      </c>
      <c r="F60" s="31">
        <v>0.33333333333333331</v>
      </c>
      <c r="G60" s="31">
        <v>0.30515297906602257</v>
      </c>
      <c r="H60" s="31">
        <v>0.17713365539452497</v>
      </c>
      <c r="I60" s="32">
        <v>10560.949868073878</v>
      </c>
      <c r="J60" s="32">
        <v>-9645.9090909090901</v>
      </c>
      <c r="K60" s="31">
        <v>0.19883040935672514</v>
      </c>
      <c r="L60" s="31">
        <v>0</v>
      </c>
      <c r="M60" s="31">
        <v>0</v>
      </c>
      <c r="N60" s="31">
        <v>0</v>
      </c>
      <c r="O60" s="31">
        <v>0</v>
      </c>
      <c r="P60" s="31">
        <v>0.40105540897097625</v>
      </c>
    </row>
    <row r="61" spans="1:16" x14ac:dyDescent="0.4">
      <c r="A61" s="33">
        <v>58</v>
      </c>
      <c r="B61" s="30">
        <v>2.8421709430404007E-14</v>
      </c>
      <c r="C61" s="30">
        <v>1.6334315764600004E-16</v>
      </c>
      <c r="D61" s="35">
        <v>2</v>
      </c>
      <c r="E61" s="31">
        <v>0.33333333333333331</v>
      </c>
      <c r="F61" s="31">
        <v>0.33333333333333331</v>
      </c>
      <c r="G61" s="31">
        <v>0.30535571542765788</v>
      </c>
      <c r="H61" s="31">
        <v>0.17745803357314149</v>
      </c>
      <c r="I61" s="32">
        <v>10619.37172774869</v>
      </c>
      <c r="J61" s="32">
        <v>-9748.198198198199</v>
      </c>
      <c r="K61" s="31">
        <v>0.20114942528735633</v>
      </c>
      <c r="L61" s="31">
        <v>0</v>
      </c>
      <c r="M61" s="31">
        <v>0</v>
      </c>
      <c r="N61" s="31">
        <v>0</v>
      </c>
      <c r="O61" s="31">
        <v>0</v>
      </c>
      <c r="P61" s="31">
        <v>0.40052356020942409</v>
      </c>
    </row>
    <row r="62" spans="1:16" x14ac:dyDescent="0.4">
      <c r="A62" s="33">
        <v>59</v>
      </c>
      <c r="B62" s="30">
        <v>2.8421709430404007E-14</v>
      </c>
      <c r="C62" s="30">
        <v>1.6057462955030513E-16</v>
      </c>
      <c r="D62" s="35">
        <v>2</v>
      </c>
      <c r="E62" s="31">
        <v>0.33333333333333331</v>
      </c>
      <c r="F62" s="31">
        <v>0.33333333333333331</v>
      </c>
      <c r="G62" s="31">
        <v>0.30601092896174864</v>
      </c>
      <c r="H62" s="31">
        <v>0.17876658860265418</v>
      </c>
      <c r="I62" s="32">
        <v>10551.530612244898</v>
      </c>
      <c r="J62" s="32">
        <v>-9748.4716157205239</v>
      </c>
      <c r="K62" s="31">
        <v>0.19774011299435029</v>
      </c>
      <c r="L62" s="31">
        <v>0</v>
      </c>
      <c r="M62" s="31">
        <v>0</v>
      </c>
      <c r="N62" s="31">
        <v>0</v>
      </c>
      <c r="O62" s="31">
        <v>0</v>
      </c>
      <c r="P62" s="31">
        <v>0.39795918367346939</v>
      </c>
    </row>
    <row r="63" spans="1:16" x14ac:dyDescent="0.4">
      <c r="A63" s="33">
        <v>60</v>
      </c>
      <c r="B63" s="30">
        <v>2.4868995751603507E-14</v>
      </c>
      <c r="C63" s="30">
        <v>1.3816108750890837E-16</v>
      </c>
      <c r="D63" s="35">
        <v>2</v>
      </c>
      <c r="E63" s="31">
        <v>0.33333333333333331</v>
      </c>
      <c r="F63" s="31">
        <v>0.33333333333333331</v>
      </c>
      <c r="G63" s="31">
        <v>0.3065134099616858</v>
      </c>
      <c r="H63" s="31">
        <v>0.18084291187739462</v>
      </c>
      <c r="I63" s="32">
        <v>10532.75</v>
      </c>
      <c r="J63" s="32">
        <v>-9734.3220338983047</v>
      </c>
      <c r="K63" s="31">
        <v>0.2</v>
      </c>
      <c r="L63" s="31">
        <v>0</v>
      </c>
      <c r="M63" s="31">
        <v>0</v>
      </c>
      <c r="N63" s="31">
        <v>0</v>
      </c>
      <c r="O63" s="31">
        <v>0</v>
      </c>
      <c r="P63" s="31">
        <v>0.39250000000000002</v>
      </c>
    </row>
    <row r="64" spans="1:16" x14ac:dyDescent="0.4">
      <c r="A64" s="33">
        <v>61</v>
      </c>
      <c r="B64" s="30">
        <v>2.1316282072803006E-14</v>
      </c>
      <c r="C64" s="30">
        <v>1.1648241569837709E-16</v>
      </c>
      <c r="D64" s="35">
        <v>2</v>
      </c>
      <c r="E64" s="31">
        <v>0.33333333333333331</v>
      </c>
      <c r="F64" s="31">
        <v>0.33333333333333331</v>
      </c>
      <c r="G64" s="31">
        <v>0.30549285176824681</v>
      </c>
      <c r="H64" s="31">
        <v>0.17908201655379985</v>
      </c>
      <c r="I64" s="32">
        <v>10535.467980295567</v>
      </c>
      <c r="J64" s="32">
        <v>-9740.3361344537807</v>
      </c>
      <c r="K64" s="31">
        <v>0.20218579234972678</v>
      </c>
      <c r="L64" s="31">
        <v>0</v>
      </c>
      <c r="M64" s="31">
        <v>0</v>
      </c>
      <c r="N64" s="31">
        <v>0</v>
      </c>
      <c r="O64" s="31">
        <v>0</v>
      </c>
      <c r="P64" s="31">
        <v>0.39655172413793105</v>
      </c>
    </row>
    <row r="65" spans="1:16" x14ac:dyDescent="0.4">
      <c r="A65" s="33">
        <v>62</v>
      </c>
      <c r="B65" s="30">
        <v>2.1316282072803006E-14</v>
      </c>
      <c r="C65" s="30">
        <v>1.1460366705808067E-16</v>
      </c>
      <c r="D65" s="35">
        <v>2</v>
      </c>
      <c r="E65" s="31">
        <v>0.33333333333333331</v>
      </c>
      <c r="F65" s="31">
        <v>0.33333333333333331</v>
      </c>
      <c r="G65" s="31">
        <v>0.30524759793052475</v>
      </c>
      <c r="H65" s="31">
        <v>0.17738359201773837</v>
      </c>
      <c r="I65" s="32">
        <v>10574.818401937046</v>
      </c>
      <c r="J65" s="32">
        <v>-9792.5</v>
      </c>
      <c r="K65" s="31">
        <v>0.19892473118279569</v>
      </c>
      <c r="L65" s="31">
        <v>0</v>
      </c>
      <c r="M65" s="31">
        <v>0</v>
      </c>
      <c r="N65" s="31">
        <v>0</v>
      </c>
      <c r="O65" s="31">
        <v>0</v>
      </c>
      <c r="P65" s="31">
        <v>0.40193704600484259</v>
      </c>
    </row>
    <row r="66" spans="1:16" x14ac:dyDescent="0.4">
      <c r="A66" s="33">
        <v>63</v>
      </c>
      <c r="B66" s="30">
        <v>2.2204460492503131E-14</v>
      </c>
      <c r="C66" s="30">
        <v>1.1748391794975201E-16</v>
      </c>
      <c r="D66" s="35">
        <v>2</v>
      </c>
      <c r="E66" s="31">
        <v>0.33333333333333331</v>
      </c>
      <c r="F66" s="31">
        <v>0.33333333333333331</v>
      </c>
      <c r="G66" s="31">
        <v>0.30591630591630592</v>
      </c>
      <c r="H66" s="31">
        <v>0.17893217893217894</v>
      </c>
      <c r="I66" s="32">
        <v>10550.707547169812</v>
      </c>
      <c r="J66" s="32">
        <v>-9823.7903225806458</v>
      </c>
      <c r="K66" s="31">
        <v>0.19576719576719576</v>
      </c>
      <c r="L66" s="31">
        <v>0</v>
      </c>
      <c r="M66" s="31">
        <v>0</v>
      </c>
      <c r="N66" s="31">
        <v>0</v>
      </c>
      <c r="O66" s="31">
        <v>0</v>
      </c>
      <c r="P66" s="31">
        <v>0.39858490566037735</v>
      </c>
    </row>
    <row r="67" spans="1:16" x14ac:dyDescent="0.4">
      <c r="A67" s="33">
        <v>64</v>
      </c>
      <c r="B67" s="30">
        <v>2.8421709430404007E-14</v>
      </c>
      <c r="C67" s="30">
        <v>1.4802973661668753E-16</v>
      </c>
      <c r="D67" s="35">
        <v>2</v>
      </c>
      <c r="E67" s="31">
        <v>0.33333333333333331</v>
      </c>
      <c r="F67" s="31">
        <v>0.33333333333333331</v>
      </c>
      <c r="G67" s="31">
        <v>0.30649717514124292</v>
      </c>
      <c r="H67" s="31">
        <v>0.18008474576271186</v>
      </c>
      <c r="I67" s="32">
        <v>10618.433179723503</v>
      </c>
      <c r="J67" s="32">
        <v>-9941.9607843137255</v>
      </c>
      <c r="K67" s="31">
        <v>0.19791666666666666</v>
      </c>
      <c r="L67" s="31">
        <v>0</v>
      </c>
      <c r="M67" s="31">
        <v>0</v>
      </c>
      <c r="N67" s="31">
        <v>0</v>
      </c>
      <c r="O67" s="31">
        <v>0</v>
      </c>
      <c r="P67" s="31">
        <v>0.39631336405529954</v>
      </c>
    </row>
    <row r="68" spans="1:16" x14ac:dyDescent="0.4">
      <c r="A68" s="33">
        <v>65</v>
      </c>
      <c r="B68" s="30">
        <v>2.8421709430404007E-14</v>
      </c>
      <c r="C68" s="30">
        <v>1.4575235605335388E-16</v>
      </c>
      <c r="D68" s="35">
        <v>2</v>
      </c>
      <c r="E68" s="31">
        <v>0.33333333333333331</v>
      </c>
      <c r="F68" s="31">
        <v>0.33333333333333331</v>
      </c>
      <c r="G68" s="31">
        <v>0.30649717514124292</v>
      </c>
      <c r="H68" s="31">
        <v>0.18008474576271186</v>
      </c>
      <c r="I68" s="32">
        <v>10618.433179723503</v>
      </c>
      <c r="J68" s="32">
        <v>-9941.9607843137255</v>
      </c>
      <c r="K68" s="31">
        <v>0.2</v>
      </c>
      <c r="L68" s="31">
        <v>0</v>
      </c>
      <c r="M68" s="31">
        <v>0</v>
      </c>
      <c r="N68" s="31">
        <v>0</v>
      </c>
      <c r="O68" s="31">
        <v>0</v>
      </c>
      <c r="P68" s="31">
        <v>0.39631336405529954</v>
      </c>
    </row>
    <row r="69" spans="1:16" x14ac:dyDescent="0.4">
      <c r="A69" s="33">
        <v>66</v>
      </c>
      <c r="B69" s="30">
        <v>2.8421709430404007E-14</v>
      </c>
      <c r="C69" s="30">
        <v>1.4354398702224247E-16</v>
      </c>
      <c r="D69" s="35">
        <v>2</v>
      </c>
      <c r="E69" s="31">
        <v>0.33333333333333331</v>
      </c>
      <c r="F69" s="31">
        <v>0.33333333333333331</v>
      </c>
      <c r="G69" s="31">
        <v>0.30649717514124292</v>
      </c>
      <c r="H69" s="31">
        <v>0.18008474576271186</v>
      </c>
      <c r="I69" s="32">
        <v>10618.433179723503</v>
      </c>
      <c r="J69" s="32">
        <v>-9941.9607843137255</v>
      </c>
      <c r="K69" s="31">
        <v>0.20202020202020202</v>
      </c>
      <c r="L69" s="31">
        <v>0</v>
      </c>
      <c r="M69" s="31">
        <v>0</v>
      </c>
      <c r="N69" s="31">
        <v>0</v>
      </c>
      <c r="O69" s="31">
        <v>0</v>
      </c>
      <c r="P69" s="31">
        <v>0.39631336405529954</v>
      </c>
    </row>
    <row r="70" spans="1:16" x14ac:dyDescent="0.4">
      <c r="A70" s="33">
        <v>67</v>
      </c>
      <c r="B70" s="30">
        <v>2.9143354396410359E-14</v>
      </c>
      <c r="C70" s="30">
        <v>1.4499181291746449E-16</v>
      </c>
      <c r="D70" s="35">
        <v>2</v>
      </c>
      <c r="E70" s="31">
        <v>0.33333333333333331</v>
      </c>
      <c r="F70" s="31">
        <v>0.33333333333333331</v>
      </c>
      <c r="G70" s="31">
        <v>0.30649717514124292</v>
      </c>
      <c r="H70" s="31">
        <v>0.18008474576271186</v>
      </c>
      <c r="I70" s="32">
        <v>10618.433179723503</v>
      </c>
      <c r="J70" s="32">
        <v>-9941.9607843137255</v>
      </c>
      <c r="K70" s="31">
        <v>0.19900497512437812</v>
      </c>
      <c r="L70" s="31">
        <v>0</v>
      </c>
      <c r="M70" s="31">
        <v>0</v>
      </c>
      <c r="N70" s="31">
        <v>0</v>
      </c>
      <c r="O70" s="31">
        <v>0</v>
      </c>
      <c r="P70" s="31">
        <v>0.39631336405529954</v>
      </c>
    </row>
    <row r="71" spans="1:16" x14ac:dyDescent="0.4">
      <c r="A71" s="33">
        <v>68</v>
      </c>
      <c r="B71" s="30">
        <v>2.8421709430404007E-14</v>
      </c>
      <c r="C71" s="30">
        <v>1.3932210505100003E-16</v>
      </c>
      <c r="D71" s="35">
        <v>2</v>
      </c>
      <c r="E71" s="31">
        <v>0.33333333333333331</v>
      </c>
      <c r="F71" s="31">
        <v>0.33333333333333331</v>
      </c>
      <c r="G71" s="31">
        <v>0.30666666666666664</v>
      </c>
      <c r="H71" s="31">
        <v>0.17964912280701753</v>
      </c>
      <c r="I71" s="32">
        <v>10682.837528604119</v>
      </c>
      <c r="J71" s="32">
        <v>-9996.875</v>
      </c>
      <c r="K71" s="31">
        <v>0.20098039215686275</v>
      </c>
      <c r="L71" s="31">
        <v>0.44444444444444442</v>
      </c>
      <c r="M71" s="31">
        <v>0.1111111111111111</v>
      </c>
      <c r="N71" s="31">
        <v>0.75</v>
      </c>
      <c r="O71" s="31">
        <v>0</v>
      </c>
      <c r="P71" s="31">
        <v>0.39816933638443935</v>
      </c>
    </row>
    <row r="72" spans="1:16" x14ac:dyDescent="0.4">
      <c r="A72" s="33">
        <v>69</v>
      </c>
      <c r="B72" s="30">
        <v>2.7533531010703882E-14</v>
      </c>
      <c r="C72" s="30">
        <v>1.3301222710484967E-16</v>
      </c>
      <c r="D72" s="35">
        <v>2</v>
      </c>
      <c r="E72" s="31">
        <v>0.33333333333333331</v>
      </c>
      <c r="F72" s="31">
        <v>0.33333333333333331</v>
      </c>
      <c r="G72" s="31">
        <v>0.30710835058661146</v>
      </c>
      <c r="H72" s="31">
        <v>0.18081435472739821</v>
      </c>
      <c r="I72" s="32">
        <v>10662.696629213484</v>
      </c>
      <c r="J72" s="32">
        <v>-9998.8549618320612</v>
      </c>
      <c r="K72" s="31">
        <v>0.19806763285024154</v>
      </c>
      <c r="L72" s="31">
        <v>0.36363636363636365</v>
      </c>
      <c r="M72" s="31">
        <v>0.18181818181818182</v>
      </c>
      <c r="N72" s="31">
        <v>0.66666666666666663</v>
      </c>
      <c r="O72" s="31">
        <v>0.16666666666666666</v>
      </c>
      <c r="P72" s="31">
        <v>0.39550561797752809</v>
      </c>
    </row>
    <row r="73" spans="1:16" x14ac:dyDescent="0.4">
      <c r="A73" s="33">
        <v>70</v>
      </c>
      <c r="B73" s="30">
        <v>2.7533531010703882E-14</v>
      </c>
      <c r="C73" s="30">
        <v>1.3111205243192325E-16</v>
      </c>
      <c r="D73" s="35">
        <v>2</v>
      </c>
      <c r="E73" s="31">
        <v>0.33333333333333331</v>
      </c>
      <c r="F73" s="31">
        <v>0.33333333333333331</v>
      </c>
      <c r="G73" s="31">
        <v>0.3075356415478615</v>
      </c>
      <c r="H73" s="31">
        <v>0.18058384249830278</v>
      </c>
      <c r="I73" s="32">
        <v>10623.178807947021</v>
      </c>
      <c r="J73" s="32">
        <v>-9972.1804511278187</v>
      </c>
      <c r="K73" s="31">
        <v>0.19523809523809524</v>
      </c>
      <c r="L73" s="31">
        <v>0.35087719298245612</v>
      </c>
      <c r="M73" s="31">
        <v>0.17543859649122806</v>
      </c>
      <c r="N73" s="31">
        <v>0.65</v>
      </c>
      <c r="O73" s="31">
        <v>0.3</v>
      </c>
      <c r="P73" s="31">
        <v>0.39735099337748342</v>
      </c>
    </row>
    <row r="74" spans="1:16" x14ac:dyDescent="0.4">
      <c r="A74" s="33">
        <v>71</v>
      </c>
      <c r="B74" s="30">
        <v>2.1316282072803006E-14</v>
      </c>
      <c r="C74" s="30">
        <v>1.0007644165635214E-16</v>
      </c>
      <c r="D74" s="35">
        <v>2</v>
      </c>
      <c r="E74" s="31">
        <v>0.33333333333333331</v>
      </c>
      <c r="F74" s="31">
        <v>0.33333333333333331</v>
      </c>
      <c r="G74" s="31">
        <v>0.30717639168343391</v>
      </c>
      <c r="H74" s="31">
        <v>0.18041582830315225</v>
      </c>
      <c r="I74" s="32">
        <v>10615.283842794759</v>
      </c>
      <c r="J74" s="32">
        <v>-9956.5055762081793</v>
      </c>
      <c r="K74" s="31">
        <v>0.19718309859154928</v>
      </c>
      <c r="L74" s="31">
        <v>0.33333333333333331</v>
      </c>
      <c r="M74" s="31">
        <v>0.18666666666666668</v>
      </c>
      <c r="N74" s="31">
        <v>0.64</v>
      </c>
      <c r="O74" s="31">
        <v>0.35714285714285715</v>
      </c>
      <c r="P74" s="31">
        <v>0.39737991266375544</v>
      </c>
    </row>
    <row r="75" spans="1:16" x14ac:dyDescent="0.4">
      <c r="A75" s="33">
        <v>72</v>
      </c>
      <c r="B75" s="30">
        <v>2.2648549702353193E-14</v>
      </c>
      <c r="C75" s="30">
        <v>1.0485439677015367E-16</v>
      </c>
      <c r="D75" s="35">
        <v>2</v>
      </c>
      <c r="E75" s="31">
        <v>0.33333333333333331</v>
      </c>
      <c r="F75" s="31">
        <v>0.33333333333333331</v>
      </c>
      <c r="G75" s="31">
        <v>0.30687830687830686</v>
      </c>
      <c r="H75" s="31">
        <v>0.18055555555555555</v>
      </c>
      <c r="I75" s="32">
        <v>10637.715517241379</v>
      </c>
      <c r="J75" s="32">
        <v>-9935.5311355311351</v>
      </c>
      <c r="K75" s="31">
        <v>0.19907407407407407</v>
      </c>
      <c r="L75" s="31">
        <v>0.33333333333333331</v>
      </c>
      <c r="M75" s="31">
        <v>0.22916666666666666</v>
      </c>
      <c r="N75" s="31">
        <v>0.625</v>
      </c>
      <c r="O75" s="31">
        <v>0.27272727272727271</v>
      </c>
      <c r="P75" s="31">
        <v>0.39655172413793105</v>
      </c>
    </row>
    <row r="76" spans="1:16" x14ac:dyDescent="0.4">
      <c r="A76" s="33">
        <v>73</v>
      </c>
      <c r="B76" s="30">
        <v>2.1316282072803006E-14</v>
      </c>
      <c r="C76" s="30">
        <v>9.733462133700002E-17</v>
      </c>
      <c r="D76" s="35">
        <v>2</v>
      </c>
      <c r="E76" s="31">
        <v>0.33333333333333331</v>
      </c>
      <c r="F76" s="31">
        <v>0.33333333333333331</v>
      </c>
      <c r="G76" s="31">
        <v>0.306640625</v>
      </c>
      <c r="H76" s="31">
        <v>0.17903645833333334</v>
      </c>
      <c r="I76" s="32">
        <v>10630.785562632696</v>
      </c>
      <c r="J76" s="32">
        <v>-10023.272727272728</v>
      </c>
      <c r="K76" s="31">
        <v>0.19634703196347031</v>
      </c>
      <c r="L76" s="31">
        <v>0.31666666666666665</v>
      </c>
      <c r="M76" s="31">
        <v>0.24166666666666667</v>
      </c>
      <c r="N76" s="31">
        <v>0.63157894736842102</v>
      </c>
      <c r="O76" s="31">
        <v>0.27586206896551724</v>
      </c>
      <c r="P76" s="31">
        <v>0.40127388535031849</v>
      </c>
    </row>
    <row r="77" spans="1:16" x14ac:dyDescent="0.4">
      <c r="A77" s="33">
        <v>74</v>
      </c>
      <c r="B77" s="30">
        <v>2.1316282072803006E-14</v>
      </c>
      <c r="C77" s="30">
        <v>9.601928861622976E-17</v>
      </c>
      <c r="D77" s="35">
        <v>2</v>
      </c>
      <c r="E77" s="31">
        <v>0.33333333333333331</v>
      </c>
      <c r="F77" s="31">
        <v>0.33333333333333331</v>
      </c>
      <c r="G77" s="31">
        <v>0.30630630630630629</v>
      </c>
      <c r="H77" s="31">
        <v>0.17889317889317891</v>
      </c>
      <c r="I77" s="32">
        <v>10617.436974789916</v>
      </c>
      <c r="J77" s="32">
        <v>-10021.223021582733</v>
      </c>
      <c r="K77" s="31">
        <v>0.1981981981981982</v>
      </c>
      <c r="L77" s="31">
        <v>0.32608695652173914</v>
      </c>
      <c r="M77" s="31">
        <v>0.2391304347826087</v>
      </c>
      <c r="N77" s="31">
        <v>0.6</v>
      </c>
      <c r="O77" s="31">
        <v>0.27272727272727271</v>
      </c>
      <c r="P77" s="31">
        <v>0.40126050420168069</v>
      </c>
    </row>
    <row r="78" spans="1:16" x14ac:dyDescent="0.4">
      <c r="A78" s="33">
        <v>75</v>
      </c>
      <c r="B78" s="30">
        <v>2.1316282072803006E-14</v>
      </c>
      <c r="C78" s="30">
        <v>9.4739031434680031E-17</v>
      </c>
      <c r="D78" s="35">
        <v>2</v>
      </c>
      <c r="E78" s="31">
        <v>0.33333333333333331</v>
      </c>
      <c r="F78" s="31">
        <v>0.33333333333333331</v>
      </c>
      <c r="G78" s="31">
        <v>0.30608365019011408</v>
      </c>
      <c r="H78" s="31">
        <v>0.17870722433460076</v>
      </c>
      <c r="I78" s="32">
        <v>10552.795031055901</v>
      </c>
      <c r="J78" s="32">
        <v>-9976.2411347517736</v>
      </c>
      <c r="K78" s="31">
        <v>0.19555555555555557</v>
      </c>
      <c r="L78" s="31">
        <v>0.30246913580246915</v>
      </c>
      <c r="M78" s="31">
        <v>0.25925925925925924</v>
      </c>
      <c r="N78" s="31">
        <v>0.5714285714285714</v>
      </c>
      <c r="O78" s="31">
        <v>0.30952380952380953</v>
      </c>
      <c r="P78" s="31">
        <v>0.40165631469979296</v>
      </c>
    </row>
    <row r="79" spans="1:16" x14ac:dyDescent="0.4">
      <c r="A79" s="33">
        <v>76</v>
      </c>
      <c r="B79" s="30">
        <v>2.1316282072803006E-14</v>
      </c>
      <c r="C79" s="30">
        <v>9.3492465231592125E-17</v>
      </c>
      <c r="D79" s="35">
        <v>2</v>
      </c>
      <c r="E79" s="31">
        <v>0.33333333333333331</v>
      </c>
      <c r="F79" s="31">
        <v>0.33333333333333331</v>
      </c>
      <c r="G79" s="31">
        <v>0.30586766541822724</v>
      </c>
      <c r="H79" s="31">
        <v>0.17727840199750311</v>
      </c>
      <c r="I79" s="32">
        <v>10564.489795918367</v>
      </c>
      <c r="J79" s="32">
        <v>-9935.5633802816901</v>
      </c>
      <c r="K79" s="31">
        <v>0.19298245614035087</v>
      </c>
      <c r="L79" s="31">
        <v>0.29032258064516131</v>
      </c>
      <c r="M79" s="31">
        <v>0.26881720430107525</v>
      </c>
      <c r="N79" s="31">
        <v>0.55555555555555558</v>
      </c>
      <c r="O79" s="31">
        <v>0.34</v>
      </c>
      <c r="P79" s="31">
        <v>0.40612244897959182</v>
      </c>
    </row>
    <row r="80" spans="1:16" x14ac:dyDescent="0.4">
      <c r="A80" s="33">
        <v>77</v>
      </c>
      <c r="B80" s="30">
        <v>2.2759572004815709E-14</v>
      </c>
      <c r="C80" s="30">
        <v>9.8526285735132944E-17</v>
      </c>
      <c r="D80" s="35">
        <v>2</v>
      </c>
      <c r="E80" s="31">
        <v>0.33333333333333331</v>
      </c>
      <c r="F80" s="31">
        <v>0.33333333333333331</v>
      </c>
      <c r="G80" s="31">
        <v>0.30607187112763323</v>
      </c>
      <c r="H80" s="31">
        <v>0.17781908302354399</v>
      </c>
      <c r="I80" s="32">
        <v>10567.813765182187</v>
      </c>
      <c r="J80" s="32">
        <v>-9942.8571428571431</v>
      </c>
      <c r="K80" s="31">
        <v>0.19480519480519481</v>
      </c>
      <c r="L80" s="31">
        <v>0.2878787878787879</v>
      </c>
      <c r="M80" s="31">
        <v>0.25757575757575757</v>
      </c>
      <c r="N80" s="31">
        <v>0.57894736842105265</v>
      </c>
      <c r="O80" s="31">
        <v>0.35294117647058826</v>
      </c>
      <c r="P80" s="31">
        <v>0.40485829959514169</v>
      </c>
    </row>
    <row r="81" spans="1:16" x14ac:dyDescent="0.4">
      <c r="A81" s="33">
        <v>78</v>
      </c>
      <c r="B81" s="30">
        <v>2.3092638912203256E-14</v>
      </c>
      <c r="C81" s="30">
        <v>9.8686491077791687E-17</v>
      </c>
      <c r="D81" s="35">
        <v>2</v>
      </c>
      <c r="E81" s="31">
        <v>0.33333333333333331</v>
      </c>
      <c r="F81" s="31">
        <v>0.33333333333333331</v>
      </c>
      <c r="G81" s="31">
        <v>0.30637254901960786</v>
      </c>
      <c r="H81" s="31">
        <v>0.17708333333333334</v>
      </c>
      <c r="I81" s="32">
        <v>10518.4</v>
      </c>
      <c r="J81" s="32">
        <v>-9915.2249134948088</v>
      </c>
      <c r="K81" s="31">
        <v>0.19230769230769232</v>
      </c>
      <c r="L81" s="31">
        <v>0.29166666666666669</v>
      </c>
      <c r="M81" s="31">
        <v>0.25</v>
      </c>
      <c r="N81" s="31">
        <v>0.58730158730158732</v>
      </c>
      <c r="O81" s="31">
        <v>0.35185185185185186</v>
      </c>
      <c r="P81" s="31">
        <v>0.40799999999999997</v>
      </c>
    </row>
    <row r="82" spans="1:16" x14ac:dyDescent="0.4">
      <c r="A82" s="33">
        <v>79</v>
      </c>
      <c r="B82" s="30">
        <v>2.1316282072803006E-14</v>
      </c>
      <c r="C82" s="30">
        <v>8.9942118450645592E-17</v>
      </c>
      <c r="D82" s="35">
        <v>2</v>
      </c>
      <c r="E82" s="31">
        <v>0.33333333333333331</v>
      </c>
      <c r="F82" s="31">
        <v>0.33333333333333331</v>
      </c>
      <c r="G82" s="31">
        <v>0.30606060606060603</v>
      </c>
      <c r="H82" s="31">
        <v>0.17636363636363636</v>
      </c>
      <c r="I82" s="32">
        <v>10559.20792079208</v>
      </c>
      <c r="J82" s="32">
        <v>-9906.1855670103087</v>
      </c>
      <c r="K82" s="31">
        <v>0.189873417721519</v>
      </c>
      <c r="L82" s="31">
        <v>0.29059829059829062</v>
      </c>
      <c r="M82" s="31">
        <v>0.24358974358974358</v>
      </c>
      <c r="N82" s="31">
        <v>0.6029411764705882</v>
      </c>
      <c r="O82" s="31">
        <v>0.33333333333333331</v>
      </c>
      <c r="P82" s="31">
        <v>0.40990099009900988</v>
      </c>
    </row>
    <row r="83" spans="1:16" x14ac:dyDescent="0.4">
      <c r="A83" s="33">
        <v>80</v>
      </c>
      <c r="B83" s="30">
        <v>2.1316282072803006E-14</v>
      </c>
      <c r="C83" s="30">
        <v>8.8817841970012528E-17</v>
      </c>
      <c r="D83" s="35">
        <v>2</v>
      </c>
      <c r="E83" s="31">
        <v>0.33333333333333331</v>
      </c>
      <c r="F83" s="31">
        <v>0.33333333333333331</v>
      </c>
      <c r="G83" s="31">
        <v>0.30545670225385529</v>
      </c>
      <c r="H83" s="31">
        <v>0.17497034400948991</v>
      </c>
      <c r="I83" s="32">
        <v>10558.640776699029</v>
      </c>
      <c r="J83" s="32">
        <v>-9896.9491525423728</v>
      </c>
      <c r="K83" s="31">
        <v>0.1875</v>
      </c>
      <c r="L83" s="31">
        <v>0.2814814814814815</v>
      </c>
      <c r="M83" s="31">
        <v>0.24444444444444444</v>
      </c>
      <c r="N83" s="31">
        <v>0.59210526315789469</v>
      </c>
      <c r="O83" s="31">
        <v>0.34848484848484851</v>
      </c>
      <c r="P83" s="31">
        <v>0.41359223300970877</v>
      </c>
    </row>
    <row r="84" spans="1:16" x14ac:dyDescent="0.4">
      <c r="A84" s="33">
        <v>81</v>
      </c>
      <c r="B84" s="30">
        <v>2.1316282072803006E-14</v>
      </c>
      <c r="C84" s="30">
        <v>8.77213254024815E-17</v>
      </c>
      <c r="D84" s="35">
        <v>2</v>
      </c>
      <c r="E84" s="31">
        <v>0.33333333333333331</v>
      </c>
      <c r="F84" s="31">
        <v>0.33333333333333331</v>
      </c>
      <c r="G84" s="31">
        <v>0.30579964850615116</v>
      </c>
      <c r="H84" s="31">
        <v>0.1751611013473931</v>
      </c>
      <c r="I84" s="32">
        <v>10538.888888888889</v>
      </c>
      <c r="J84" s="32">
        <v>-9870.2341137123749</v>
      </c>
      <c r="K84" s="31">
        <v>0.18518518518518517</v>
      </c>
      <c r="L84" s="31">
        <v>0.29209621993127149</v>
      </c>
      <c r="M84" s="31">
        <v>0.24054982817869416</v>
      </c>
      <c r="N84" s="31">
        <v>0.6</v>
      </c>
      <c r="O84" s="31">
        <v>0.34285714285714286</v>
      </c>
      <c r="P84" s="31">
        <v>0.41379310344827586</v>
      </c>
    </row>
    <row r="85" spans="1:16" x14ac:dyDescent="0.4">
      <c r="A85" s="33">
        <v>82</v>
      </c>
      <c r="B85" s="30">
        <v>2.1316282072803006E-14</v>
      </c>
      <c r="C85" s="30">
        <v>8.6651553141475635E-17</v>
      </c>
      <c r="D85" s="35">
        <v>2</v>
      </c>
      <c r="E85" s="31">
        <v>0.33333333333333331</v>
      </c>
      <c r="F85" s="31">
        <v>0.33333333333333331</v>
      </c>
      <c r="G85" s="31">
        <v>0.30584192439862545</v>
      </c>
      <c r="H85" s="31">
        <v>0.17583046964490265</v>
      </c>
      <c r="I85" s="32">
        <v>10429.40074906367</v>
      </c>
      <c r="J85" s="32">
        <v>-9780.4560260586313</v>
      </c>
      <c r="K85" s="31">
        <v>0.18699186991869918</v>
      </c>
      <c r="L85" s="31">
        <v>0.2818181818181818</v>
      </c>
      <c r="M85" s="31">
        <v>0.24848484848484848</v>
      </c>
      <c r="N85" s="31">
        <v>0.58064516129032262</v>
      </c>
      <c r="O85" s="31">
        <v>0.35365853658536583</v>
      </c>
      <c r="P85" s="31">
        <v>0.4101123595505618</v>
      </c>
    </row>
    <row r="86" spans="1:16" x14ac:dyDescent="0.4">
      <c r="A86" s="33">
        <v>83</v>
      </c>
      <c r="B86" s="30">
        <v>2.1316282072803006E-14</v>
      </c>
      <c r="C86" s="30">
        <v>8.560755852531328E-17</v>
      </c>
      <c r="D86" s="35">
        <v>2</v>
      </c>
      <c r="E86" s="31">
        <v>0.33333333333333331</v>
      </c>
      <c r="F86" s="31">
        <v>0.33333333333333331</v>
      </c>
      <c r="G86" s="31">
        <v>0.30550823395797844</v>
      </c>
      <c r="H86" s="31">
        <v>0.17603634298693924</v>
      </c>
      <c r="I86" s="32">
        <v>10470.817843866171</v>
      </c>
      <c r="J86" s="32">
        <v>-9834.1935483870966</v>
      </c>
      <c r="K86" s="31">
        <v>0.18875502008032127</v>
      </c>
      <c r="L86" s="31">
        <v>0.28405797101449276</v>
      </c>
      <c r="M86" s="31">
        <v>0.24637681159420291</v>
      </c>
      <c r="N86" s="31">
        <v>0.58163265306122447</v>
      </c>
      <c r="O86" s="31">
        <v>0.3411764705882353</v>
      </c>
      <c r="P86" s="31">
        <v>0.40892193308550184</v>
      </c>
    </row>
    <row r="87" spans="1:16" x14ac:dyDescent="0.4">
      <c r="A87" s="33">
        <v>84</v>
      </c>
      <c r="B87" s="30">
        <v>2.1316282072803006E-14</v>
      </c>
      <c r="C87" s="30">
        <v>8.4588420923821446E-17</v>
      </c>
      <c r="D87" s="35">
        <v>2</v>
      </c>
      <c r="E87" s="31">
        <v>0.33333333333333331</v>
      </c>
      <c r="F87" s="31">
        <v>0.33333333333333331</v>
      </c>
      <c r="G87" s="31">
        <v>0.30588235294117649</v>
      </c>
      <c r="H87" s="31">
        <v>0.17591036414565828</v>
      </c>
      <c r="I87" s="32">
        <v>10453.846153846154</v>
      </c>
      <c r="J87" s="32">
        <v>-9814.6496815286628</v>
      </c>
      <c r="K87" s="31">
        <v>0.19047619047619047</v>
      </c>
      <c r="L87" s="31">
        <v>0.28455284552845528</v>
      </c>
      <c r="M87" s="31">
        <v>0.24932249322493225</v>
      </c>
      <c r="N87" s="31">
        <v>0.580952380952381</v>
      </c>
      <c r="O87" s="31">
        <v>0.33695652173913043</v>
      </c>
      <c r="P87" s="31">
        <v>0.41025641025641024</v>
      </c>
    </row>
    <row r="88" spans="1:16" x14ac:dyDescent="0.4">
      <c r="A88" s="33">
        <v>85</v>
      </c>
      <c r="B88" s="30">
        <v>2.1316282072803006E-14</v>
      </c>
      <c r="C88" s="30">
        <v>8.3593263030600021E-17</v>
      </c>
      <c r="D88" s="35">
        <v>2</v>
      </c>
      <c r="E88" s="31">
        <v>0.33333333333333331</v>
      </c>
      <c r="F88" s="31">
        <v>0.33333333333333331</v>
      </c>
      <c r="G88" s="31">
        <v>0.30514096185737977</v>
      </c>
      <c r="H88" s="31">
        <v>0.17523493642896629</v>
      </c>
      <c r="I88" s="32">
        <v>10429.347826086956</v>
      </c>
      <c r="J88" s="32">
        <v>-9788.6435331230277</v>
      </c>
      <c r="K88" s="31">
        <v>0.18823529411764706</v>
      </c>
      <c r="L88" s="31">
        <v>0.27989821882951654</v>
      </c>
      <c r="M88" s="31">
        <v>0.24427480916030533</v>
      </c>
      <c r="N88" s="31">
        <v>0.59090909090909094</v>
      </c>
      <c r="O88" s="31">
        <v>0.32291666666666669</v>
      </c>
      <c r="P88" s="31">
        <v>0.41123188405797101</v>
      </c>
    </row>
    <row r="89" spans="1:16" x14ac:dyDescent="0.4">
      <c r="A89" s="33">
        <v>86</v>
      </c>
      <c r="B89" s="30">
        <v>1.7763568394002505E-14</v>
      </c>
      <c r="C89" s="30">
        <v>6.8851040286831412E-17</v>
      </c>
      <c r="D89" s="35">
        <v>2</v>
      </c>
      <c r="E89" s="31">
        <v>0.33333333333333331</v>
      </c>
      <c r="F89" s="31">
        <v>0.33333333333333331</v>
      </c>
      <c r="G89" s="31">
        <v>0.30537280701754388</v>
      </c>
      <c r="H89" s="31">
        <v>0.17434210526315788</v>
      </c>
      <c r="I89" s="32">
        <v>10513.824057450629</v>
      </c>
      <c r="J89" s="32">
        <v>-9767.9245283018863</v>
      </c>
      <c r="K89" s="31">
        <v>0.18992248062015504</v>
      </c>
      <c r="L89" s="31">
        <v>0.27941176470588236</v>
      </c>
      <c r="M89" s="31">
        <v>0.24509803921568626</v>
      </c>
      <c r="N89" s="31">
        <v>0.59649122807017541</v>
      </c>
      <c r="O89" s="31">
        <v>0.31</v>
      </c>
      <c r="P89" s="31">
        <v>0.414721723518851</v>
      </c>
    </row>
    <row r="90" spans="1:16" x14ac:dyDescent="0.4">
      <c r="A90" s="33">
        <v>87</v>
      </c>
      <c r="B90" s="30">
        <v>1.5987211554602254E-14</v>
      </c>
      <c r="C90" s="30">
        <v>6.1253684117250015E-17</v>
      </c>
      <c r="D90" s="35">
        <v>2</v>
      </c>
      <c r="E90" s="31">
        <v>0.33333333333333331</v>
      </c>
      <c r="F90" s="31">
        <v>0.33333333333333331</v>
      </c>
      <c r="G90" s="31">
        <v>0.30546623794212219</v>
      </c>
      <c r="H90" s="31">
        <v>0.17470525187566988</v>
      </c>
      <c r="I90" s="32">
        <v>10484.035087719298</v>
      </c>
      <c r="J90" s="32">
        <v>-9759.5092024539881</v>
      </c>
      <c r="K90" s="31">
        <v>0.18773946360153257</v>
      </c>
      <c r="L90" s="31">
        <v>0.27777777777777779</v>
      </c>
      <c r="M90" s="31">
        <v>0.24444444444444444</v>
      </c>
      <c r="N90" s="31">
        <v>0.6</v>
      </c>
      <c r="O90" s="31">
        <v>0.31818181818181818</v>
      </c>
      <c r="P90" s="31">
        <v>0.41403508771929826</v>
      </c>
    </row>
    <row r="91" spans="1:16" x14ac:dyDescent="0.4">
      <c r="A91" s="33">
        <v>88</v>
      </c>
      <c r="B91" s="30">
        <v>1.7763568394002505E-14</v>
      </c>
      <c r="C91" s="30">
        <v>6.7286243916676156E-17</v>
      </c>
      <c r="D91" s="35">
        <v>2</v>
      </c>
      <c r="E91" s="31">
        <v>0.33333333333333331</v>
      </c>
      <c r="F91" s="31">
        <v>0.33333333333333331</v>
      </c>
      <c r="G91" s="31">
        <v>0.30529100529100528</v>
      </c>
      <c r="H91" s="31">
        <v>0.17460317460317459</v>
      </c>
      <c r="I91" s="32">
        <v>10429.46273830156</v>
      </c>
      <c r="J91" s="32">
        <v>-9713.3333333333339</v>
      </c>
      <c r="K91" s="31">
        <v>0.18560606060606061</v>
      </c>
      <c r="L91" s="31">
        <v>0.28270042194092826</v>
      </c>
      <c r="M91" s="31">
        <v>0.24472573839662448</v>
      </c>
      <c r="N91" s="31">
        <v>0.59701492537313428</v>
      </c>
      <c r="O91" s="31">
        <v>0.31896551724137934</v>
      </c>
      <c r="P91" s="31">
        <v>0.41421143847487002</v>
      </c>
    </row>
    <row r="92" spans="1:16" x14ac:dyDescent="0.4">
      <c r="A92" s="33">
        <v>89</v>
      </c>
      <c r="B92" s="30">
        <v>1.865174681370263E-14</v>
      </c>
      <c r="C92" s="30">
        <v>6.985672963933569E-17</v>
      </c>
      <c r="D92" s="35">
        <v>2</v>
      </c>
      <c r="E92" s="31">
        <v>0.33333333333333331</v>
      </c>
      <c r="F92" s="31">
        <v>0.33333333333333331</v>
      </c>
      <c r="G92" s="31">
        <v>0.30564263322884011</v>
      </c>
      <c r="H92" s="31">
        <v>0.17450365726227796</v>
      </c>
      <c r="I92" s="32">
        <v>10448.376068376068</v>
      </c>
      <c r="J92" s="32">
        <v>-9688.3233532934137</v>
      </c>
      <c r="K92" s="31">
        <v>0.18352059925093633</v>
      </c>
      <c r="L92" s="31">
        <v>0.28313253012048195</v>
      </c>
      <c r="M92" s="31">
        <v>0.23895582329317269</v>
      </c>
      <c r="N92" s="31">
        <v>0.60992907801418439</v>
      </c>
      <c r="O92" s="31">
        <v>0.32773109243697479</v>
      </c>
      <c r="P92" s="31">
        <v>0.41538461538461541</v>
      </c>
    </row>
    <row r="93" spans="1:16" x14ac:dyDescent="0.4">
      <c r="A93" s="33">
        <v>90</v>
      </c>
      <c r="B93" s="30">
        <v>1.865174681370263E-14</v>
      </c>
      <c r="C93" s="30">
        <v>6.9080543754454186E-17</v>
      </c>
      <c r="D93" s="35">
        <v>2</v>
      </c>
      <c r="E93" s="31">
        <v>0.33333333333333331</v>
      </c>
      <c r="F93" s="31">
        <v>0.33333333333333331</v>
      </c>
      <c r="G93" s="31">
        <v>0.30598555211558309</v>
      </c>
      <c r="H93" s="31">
        <v>0.17595459236326108</v>
      </c>
      <c r="I93" s="32">
        <v>10398.145025295109</v>
      </c>
      <c r="J93" s="32">
        <v>-9623.7536656891498</v>
      </c>
      <c r="K93" s="31">
        <v>0.18148148148148149</v>
      </c>
      <c r="L93" s="31">
        <v>0.27777777777777779</v>
      </c>
      <c r="M93" s="31">
        <v>0.2413793103448276</v>
      </c>
      <c r="N93" s="31">
        <v>0.61379310344827587</v>
      </c>
      <c r="O93" s="31">
        <v>0.34920634920634919</v>
      </c>
      <c r="P93" s="31">
        <v>0.41146711635750421</v>
      </c>
    </row>
    <row r="94" spans="1:16" x14ac:dyDescent="0.4">
      <c r="A94" s="33">
        <v>91</v>
      </c>
      <c r="B94" s="30">
        <v>2.5757174171303632E-14</v>
      </c>
      <c r="C94" s="30">
        <v>9.4348623338108539E-17</v>
      </c>
      <c r="D94" s="35">
        <v>2</v>
      </c>
      <c r="E94" s="31">
        <v>0.33333333333333331</v>
      </c>
      <c r="F94" s="31">
        <v>0.33333333333333331</v>
      </c>
      <c r="G94" s="31">
        <v>0.30648429584599796</v>
      </c>
      <c r="H94" s="31">
        <v>0.17578520770010131</v>
      </c>
      <c r="I94" s="32">
        <v>10408.92561983471</v>
      </c>
      <c r="J94" s="32">
        <v>-9716.7146974063398</v>
      </c>
      <c r="K94" s="31">
        <v>0.18315018315018314</v>
      </c>
      <c r="L94" s="31">
        <v>0.27060931899641577</v>
      </c>
      <c r="M94" s="31">
        <v>0.24551971326164876</v>
      </c>
      <c r="N94" s="31">
        <v>0.60264900662251653</v>
      </c>
      <c r="O94" s="31">
        <v>0.37226277372262773</v>
      </c>
      <c r="P94" s="31">
        <v>0.40991735537190083</v>
      </c>
    </row>
    <row r="95" spans="1:16" x14ac:dyDescent="0.4">
      <c r="A95" s="33">
        <v>92</v>
      </c>
      <c r="B95" s="30">
        <v>2.8421709430404007E-14</v>
      </c>
      <c r="C95" s="30">
        <v>1.0297720808117394E-16</v>
      </c>
      <c r="D95" s="35">
        <v>2</v>
      </c>
      <c r="E95" s="31">
        <v>0.33333333333333331</v>
      </c>
      <c r="F95" s="31">
        <v>0.33333333333333331</v>
      </c>
      <c r="G95" s="31">
        <v>0.30626566416040102</v>
      </c>
      <c r="H95" s="31">
        <v>0.17644110275689223</v>
      </c>
      <c r="I95" s="32">
        <v>10416.366612111293</v>
      </c>
      <c r="J95" s="32">
        <v>-9760.511363636364</v>
      </c>
      <c r="K95" s="31">
        <v>0.18478260869565216</v>
      </c>
      <c r="L95" s="31">
        <v>0.27288428324697755</v>
      </c>
      <c r="M95" s="31">
        <v>0.24525043177892919</v>
      </c>
      <c r="N95" s="31">
        <v>0.60126582278481011</v>
      </c>
      <c r="O95" s="31">
        <v>0.37323943661971831</v>
      </c>
      <c r="P95" s="31">
        <v>0.40752864157119478</v>
      </c>
    </row>
    <row r="96" spans="1:16" x14ac:dyDescent="0.4">
      <c r="A96" s="33">
        <v>93</v>
      </c>
      <c r="B96" s="30">
        <v>2.8421709430404007E-14</v>
      </c>
      <c r="C96" s="30">
        <v>1.0186992627384949E-16</v>
      </c>
      <c r="D96" s="35">
        <v>2</v>
      </c>
      <c r="E96" s="31">
        <v>0.33333333333333331</v>
      </c>
      <c r="F96" s="31">
        <v>0.33333333333333331</v>
      </c>
      <c r="G96" s="31">
        <v>0.3066271018793274</v>
      </c>
      <c r="H96" s="31">
        <v>0.17655786350148367</v>
      </c>
      <c r="I96" s="32">
        <v>10394.032258064517</v>
      </c>
      <c r="J96" s="32">
        <v>-9713.1652661064418</v>
      </c>
      <c r="K96" s="31">
        <v>0.1863799283154122</v>
      </c>
      <c r="L96" s="31">
        <v>0.2722772277227723</v>
      </c>
      <c r="M96" s="31">
        <v>0.24422442244224424</v>
      </c>
      <c r="N96" s="31">
        <v>0.60606060606060608</v>
      </c>
      <c r="O96" s="31">
        <v>0.3783783783783784</v>
      </c>
      <c r="P96" s="31">
        <v>0.40806451612903227</v>
      </c>
    </row>
    <row r="97" spans="1:16" x14ac:dyDescent="0.4">
      <c r="A97" s="33">
        <v>94</v>
      </c>
      <c r="B97" s="30">
        <v>2.8421709430404007E-14</v>
      </c>
      <c r="C97" s="30">
        <v>1.0078620365391492E-16</v>
      </c>
      <c r="D97" s="35">
        <v>2</v>
      </c>
      <c r="E97" s="31">
        <v>0.33333333333333331</v>
      </c>
      <c r="F97" s="31">
        <v>0.33333333333333331</v>
      </c>
      <c r="G97" s="31">
        <v>0.30645161290322581</v>
      </c>
      <c r="H97" s="31">
        <v>0.17644183773216032</v>
      </c>
      <c r="I97" s="32">
        <v>10399.362041467304</v>
      </c>
      <c r="J97" s="32">
        <v>-9661.2188365650964</v>
      </c>
      <c r="K97" s="31">
        <v>0.18439716312056736</v>
      </c>
      <c r="L97" s="31">
        <v>0.27301587301587299</v>
      </c>
      <c r="M97" s="31">
        <v>0.24285714285714285</v>
      </c>
      <c r="N97" s="31">
        <v>0.61046511627906974</v>
      </c>
      <c r="O97" s="31">
        <v>0.37908496732026142</v>
      </c>
      <c r="P97" s="31">
        <v>0.40829346092503987</v>
      </c>
    </row>
    <row r="98" spans="1:16" x14ac:dyDescent="0.4">
      <c r="A98" s="33">
        <v>95</v>
      </c>
      <c r="B98" s="30">
        <v>2.8421709430404007E-14</v>
      </c>
      <c r="C98" s="30">
        <v>9.9725296247031607E-17</v>
      </c>
      <c r="D98" s="35">
        <v>2</v>
      </c>
      <c r="E98" s="31">
        <v>0.33333333333333331</v>
      </c>
      <c r="F98" s="31">
        <v>0.33333333333333331</v>
      </c>
      <c r="G98" s="31">
        <v>0.30639730639730639</v>
      </c>
      <c r="H98" s="31">
        <v>0.177008177008177</v>
      </c>
      <c r="I98" s="32">
        <v>10389.481946624805</v>
      </c>
      <c r="J98" s="32">
        <v>-9655.9782608695659</v>
      </c>
      <c r="K98" s="31">
        <v>0.18596491228070175</v>
      </c>
      <c r="L98" s="31">
        <v>0.27903469079939669</v>
      </c>
      <c r="M98" s="31">
        <v>0.2368024132730015</v>
      </c>
      <c r="N98" s="31">
        <v>0.61081081081081079</v>
      </c>
      <c r="O98" s="31">
        <v>0.37579617834394907</v>
      </c>
      <c r="P98" s="31">
        <v>0.40659340659340659</v>
      </c>
    </row>
    <row r="99" spans="1:16" x14ac:dyDescent="0.4">
      <c r="A99" s="33">
        <v>96</v>
      </c>
      <c r="B99" s="30">
        <v>2.6645352591003757E-14</v>
      </c>
      <c r="C99" s="30">
        <v>9.2518585385429716E-17</v>
      </c>
      <c r="D99" s="35">
        <v>2</v>
      </c>
      <c r="E99" s="31">
        <v>0.33333333333333331</v>
      </c>
      <c r="F99" s="31">
        <v>0.33333333333333331</v>
      </c>
      <c r="G99" s="31">
        <v>0.3066285169289461</v>
      </c>
      <c r="H99" s="31">
        <v>0.17691940867906533</v>
      </c>
      <c r="I99" s="32">
        <v>10386.625194401244</v>
      </c>
      <c r="J99" s="32">
        <v>-9649.0566037735844</v>
      </c>
      <c r="K99" s="31">
        <v>0.1875</v>
      </c>
      <c r="L99" s="31">
        <v>0.28193832599118945</v>
      </c>
      <c r="M99" s="31">
        <v>0.23641703377386197</v>
      </c>
      <c r="N99" s="31">
        <v>0.609375</v>
      </c>
      <c r="O99" s="31">
        <v>0.37267080745341613</v>
      </c>
      <c r="P99" s="31">
        <v>0.40746500777604977</v>
      </c>
    </row>
    <row r="100" spans="1:16" x14ac:dyDescent="0.4">
      <c r="A100" s="33">
        <v>97</v>
      </c>
      <c r="B100" s="30">
        <v>2.8421709430404007E-14</v>
      </c>
      <c r="C100" s="30">
        <v>9.7669104571835075E-17</v>
      </c>
      <c r="D100" s="35">
        <v>2</v>
      </c>
      <c r="E100" s="31">
        <v>0.33333333333333331</v>
      </c>
      <c r="F100" s="31">
        <v>0.33333333333333331</v>
      </c>
      <c r="G100" s="31">
        <v>0.305594734367654</v>
      </c>
      <c r="H100" s="31">
        <v>0.17724494593323931</v>
      </c>
      <c r="I100" s="32">
        <v>10395.076923076924</v>
      </c>
      <c r="J100" s="32">
        <v>-9618.0371352785151</v>
      </c>
      <c r="K100" s="31">
        <v>0.18900343642611683</v>
      </c>
      <c r="L100" s="31">
        <v>0.27566807313642755</v>
      </c>
      <c r="M100" s="31">
        <v>0.23488045007032349</v>
      </c>
      <c r="N100" s="31">
        <v>0.61224489795918369</v>
      </c>
      <c r="O100" s="31">
        <v>0.3772455089820359</v>
      </c>
      <c r="P100" s="31">
        <v>0.4046153846153846</v>
      </c>
    </row>
    <row r="101" spans="1:16" x14ac:dyDescent="0.4">
      <c r="A101" s="33">
        <v>98</v>
      </c>
      <c r="B101" s="30">
        <v>2.7533531010703882E-14</v>
      </c>
      <c r="C101" s="30">
        <v>9.3651466022802326E-17</v>
      </c>
      <c r="D101" s="35">
        <v>2</v>
      </c>
      <c r="E101" s="31">
        <v>0.33333333333333331</v>
      </c>
      <c r="F101" s="31">
        <v>0.33333333333333331</v>
      </c>
      <c r="G101" s="31">
        <v>0.30547818012999073</v>
      </c>
      <c r="H101" s="31">
        <v>0.17734447539461468</v>
      </c>
      <c r="I101" s="32">
        <v>10355.623100303952</v>
      </c>
      <c r="J101" s="32">
        <v>-9563.3507853403135</v>
      </c>
      <c r="K101" s="31">
        <v>0.1870748299319728</v>
      </c>
      <c r="L101" s="31">
        <v>0.27100271002710025</v>
      </c>
      <c r="M101" s="31">
        <v>0.23712737127371275</v>
      </c>
      <c r="N101" s="31">
        <v>0.62</v>
      </c>
      <c r="O101" s="31">
        <v>0.37714285714285717</v>
      </c>
      <c r="P101" s="31">
        <v>0.40425531914893614</v>
      </c>
    </row>
    <row r="102" spans="1:16" x14ac:dyDescent="0.4">
      <c r="A102" s="33">
        <v>99</v>
      </c>
      <c r="B102" s="30">
        <v>3.2862601528904634E-14</v>
      </c>
      <c r="C102" s="30">
        <v>1.106484899963119E-16</v>
      </c>
      <c r="D102" s="35">
        <v>2</v>
      </c>
      <c r="E102" s="31">
        <v>0.33333333333333331</v>
      </c>
      <c r="F102" s="31">
        <v>0.33333333333333331</v>
      </c>
      <c r="G102" s="31">
        <v>0.30574712643678159</v>
      </c>
      <c r="H102" s="31">
        <v>0.17701149425287357</v>
      </c>
      <c r="I102" s="32">
        <v>10344.21052631579</v>
      </c>
      <c r="J102" s="32">
        <v>-9579.4805194805194</v>
      </c>
      <c r="K102" s="31">
        <v>0.18855218855218855</v>
      </c>
      <c r="L102" s="31">
        <v>0.27272727272727271</v>
      </c>
      <c r="M102" s="31">
        <v>0.23847167325428195</v>
      </c>
      <c r="N102" s="31">
        <v>0.61352657004830913</v>
      </c>
      <c r="O102" s="31">
        <v>0.38121546961325969</v>
      </c>
      <c r="P102" s="31">
        <v>0.40451127819548871</v>
      </c>
    </row>
    <row r="103" spans="1:16" x14ac:dyDescent="0.4">
      <c r="A103" s="33">
        <v>100</v>
      </c>
      <c r="B103" s="30">
        <v>3.5527136788005009E-14</v>
      </c>
      <c r="C103" s="30">
        <v>1.1842378929335003E-16</v>
      </c>
      <c r="D103" s="35">
        <v>2</v>
      </c>
      <c r="E103" s="31">
        <v>0.33333333333333331</v>
      </c>
      <c r="F103" s="31">
        <v>0.33333333333333331</v>
      </c>
      <c r="G103" s="31">
        <v>0.30604820372896774</v>
      </c>
      <c r="H103" s="31">
        <v>0.17735334242837653</v>
      </c>
      <c r="I103" s="32">
        <v>10354.08618127786</v>
      </c>
      <c r="J103" s="32">
        <v>-9614.6153846153848</v>
      </c>
      <c r="K103" s="31">
        <v>0.19</v>
      </c>
      <c r="L103" s="31">
        <v>0.27330779054916987</v>
      </c>
      <c r="M103" s="31">
        <v>0.23499361430395913</v>
      </c>
      <c r="N103" s="31">
        <v>0.61214953271028039</v>
      </c>
      <c r="O103" s="31">
        <v>0.3858695652173913</v>
      </c>
      <c r="P103" s="31">
        <v>0.40416047548291234</v>
      </c>
    </row>
    <row r="104" spans="1:16" x14ac:dyDescent="0.4">
      <c r="A104" s="33">
        <v>101</v>
      </c>
      <c r="B104" s="30">
        <v>3.5527136788005009E-14</v>
      </c>
      <c r="C104" s="30">
        <v>1.1725127652806933E-16</v>
      </c>
      <c r="D104" s="35">
        <v>2</v>
      </c>
      <c r="E104" s="31">
        <v>0.33333333333333331</v>
      </c>
      <c r="F104" s="31">
        <v>0.33333333333333331</v>
      </c>
      <c r="G104" s="31">
        <v>0.30581867388362655</v>
      </c>
      <c r="H104" s="31">
        <v>0.17726657645466848</v>
      </c>
      <c r="I104" s="32">
        <v>10369.174041297934</v>
      </c>
      <c r="J104" s="32">
        <v>-9622.6463104325703</v>
      </c>
      <c r="K104" s="31">
        <v>0.19141914191419143</v>
      </c>
      <c r="L104" s="31">
        <v>0.27215980024968789</v>
      </c>
      <c r="M104" s="31">
        <v>0.23595505617977527</v>
      </c>
      <c r="N104" s="31">
        <v>0.61009174311926606</v>
      </c>
      <c r="O104" s="31">
        <v>0.38624338624338622</v>
      </c>
      <c r="P104" s="31">
        <v>0.40412979351032446</v>
      </c>
    </row>
    <row r="105" spans="1:16" x14ac:dyDescent="0.4">
      <c r="A105" s="33">
        <v>102</v>
      </c>
      <c r="B105" s="30">
        <v>3.5527136788005009E-14</v>
      </c>
      <c r="C105" s="30">
        <v>1.161017542091667E-16</v>
      </c>
      <c r="D105" s="35">
        <v>2</v>
      </c>
      <c r="E105" s="31">
        <v>0.33333333333333331</v>
      </c>
      <c r="F105" s="31">
        <v>0.33333333333333331</v>
      </c>
      <c r="G105" s="31">
        <v>0.30592991913746631</v>
      </c>
      <c r="H105" s="31">
        <v>0.17699910152740342</v>
      </c>
      <c r="I105" s="32">
        <v>10411.600587371513</v>
      </c>
      <c r="J105" s="32">
        <v>-9628.6802030456856</v>
      </c>
      <c r="K105" s="31">
        <v>0.19281045751633988</v>
      </c>
      <c r="L105" s="31">
        <v>0.27407407407407408</v>
      </c>
      <c r="M105" s="31">
        <v>0.23456790123456789</v>
      </c>
      <c r="N105" s="31">
        <v>0.61261261261261257</v>
      </c>
      <c r="O105" s="31">
        <v>0.38421052631578945</v>
      </c>
      <c r="P105" s="31">
        <v>0.40528634361233479</v>
      </c>
    </row>
    <row r="106" spans="1:16" x14ac:dyDescent="0.4">
      <c r="A106" s="33">
        <v>103</v>
      </c>
      <c r="B106" s="30">
        <v>3.4638958368304884E-14</v>
      </c>
      <c r="C106" s="30">
        <v>1.1210018889419056E-16</v>
      </c>
      <c r="D106" s="35">
        <v>2</v>
      </c>
      <c r="E106" s="31">
        <v>0.33333333333333331</v>
      </c>
      <c r="F106" s="31">
        <v>0.33333333333333331</v>
      </c>
      <c r="G106" s="31">
        <v>0.30574098798397864</v>
      </c>
      <c r="H106" s="31">
        <v>0.17668001780151313</v>
      </c>
      <c r="I106" s="32">
        <v>10376.128093158661</v>
      </c>
      <c r="J106" s="32">
        <v>-9616.3727959697735</v>
      </c>
      <c r="K106" s="31">
        <v>0.19093851132686085</v>
      </c>
      <c r="L106" s="31">
        <v>0.27436823104693142</v>
      </c>
      <c r="M106" s="31">
        <v>0.23345367027677497</v>
      </c>
      <c r="N106" s="31">
        <v>0.60964912280701755</v>
      </c>
      <c r="O106" s="31">
        <v>0.38659793814432991</v>
      </c>
      <c r="P106" s="31">
        <v>0.40611353711790393</v>
      </c>
    </row>
    <row r="107" spans="1:16" x14ac:dyDescent="0.4">
      <c r="A107" s="33">
        <v>104</v>
      </c>
      <c r="B107" s="30">
        <v>3.5527136788005009E-14</v>
      </c>
      <c r="C107" s="30">
        <v>1.1386902816668271E-16</v>
      </c>
      <c r="D107" s="35">
        <v>2</v>
      </c>
      <c r="E107" s="31">
        <v>0.33333333333333331</v>
      </c>
      <c r="F107" s="31">
        <v>0.33333333333333331</v>
      </c>
      <c r="G107" s="31">
        <v>0.30559225011008367</v>
      </c>
      <c r="H107" s="31">
        <v>0.17481285777190664</v>
      </c>
      <c r="I107" s="32">
        <v>10362.247838616715</v>
      </c>
      <c r="J107" s="32">
        <v>-9616.3727959697735</v>
      </c>
      <c r="K107" s="31">
        <v>0.19230769230769232</v>
      </c>
      <c r="L107" s="31">
        <v>0.27719298245614032</v>
      </c>
      <c r="M107" s="31">
        <v>0.2304093567251462</v>
      </c>
      <c r="N107" s="31">
        <v>0.60759493670886078</v>
      </c>
      <c r="O107" s="31">
        <v>0.39086294416243655</v>
      </c>
      <c r="P107" s="31">
        <v>0.41210374639769454</v>
      </c>
    </row>
    <row r="108" spans="1:16" x14ac:dyDescent="0.4">
      <c r="A108" s="33">
        <v>105</v>
      </c>
      <c r="B108" s="30">
        <v>3.5527136788005009E-14</v>
      </c>
      <c r="C108" s="30">
        <v>1.1278456123176193E-16</v>
      </c>
      <c r="D108" s="35">
        <v>2</v>
      </c>
      <c r="E108" s="31">
        <v>0.33333333333333331</v>
      </c>
      <c r="F108" s="31">
        <v>0.33333333333333331</v>
      </c>
      <c r="G108" s="31">
        <v>0.30638852672750977</v>
      </c>
      <c r="H108" s="31">
        <v>0.17557583659278575</v>
      </c>
      <c r="I108" s="32">
        <v>10344.255319148937</v>
      </c>
      <c r="J108" s="32">
        <v>-9626.2376237623757</v>
      </c>
      <c r="K108" s="31">
        <v>0.19365079365079366</v>
      </c>
      <c r="L108" s="31">
        <v>0.2768361581920904</v>
      </c>
      <c r="M108" s="31">
        <v>0.23050847457627119</v>
      </c>
      <c r="N108" s="31">
        <v>0.60408163265306125</v>
      </c>
      <c r="O108" s="31">
        <v>0.40196078431372551</v>
      </c>
      <c r="P108" s="31">
        <v>0.40992907801418438</v>
      </c>
    </row>
    <row r="109" spans="1:16" x14ac:dyDescent="0.4">
      <c r="A109" s="33">
        <v>106</v>
      </c>
      <c r="B109" s="30">
        <v>2.8421709430404007E-14</v>
      </c>
      <c r="C109" s="30">
        <v>8.9376444749698141E-17</v>
      </c>
      <c r="D109" s="35">
        <v>2</v>
      </c>
      <c r="E109" s="31">
        <v>0.33333333333333331</v>
      </c>
      <c r="F109" s="31">
        <v>0.33333333333333331</v>
      </c>
      <c r="G109" s="31">
        <v>0.30659767141009053</v>
      </c>
      <c r="H109" s="31">
        <v>0.17507546356188011</v>
      </c>
      <c r="I109" s="32">
        <v>10370.604781997186</v>
      </c>
      <c r="J109" s="32">
        <v>-9680.2955665024638</v>
      </c>
      <c r="K109" s="31">
        <v>0.19496855345911951</v>
      </c>
      <c r="L109" s="31">
        <v>0.28017718715393136</v>
      </c>
      <c r="M109" s="31">
        <v>0.22702104097452935</v>
      </c>
      <c r="N109" s="31">
        <v>0.60079051383399207</v>
      </c>
      <c r="O109" s="31">
        <v>0.40487804878048783</v>
      </c>
      <c r="P109" s="31">
        <v>0.41209563994374121</v>
      </c>
    </row>
    <row r="110" spans="1:16" x14ac:dyDescent="0.4">
      <c r="A110" s="33">
        <v>107</v>
      </c>
      <c r="B110" s="30">
        <v>2.8421709430404007E-14</v>
      </c>
      <c r="C110" s="30">
        <v>8.8541150873532731E-17</v>
      </c>
      <c r="D110" s="35">
        <v>2</v>
      </c>
      <c r="E110" s="31">
        <v>0.33333333333333331</v>
      </c>
      <c r="F110" s="31">
        <v>0.33333333333333331</v>
      </c>
      <c r="G110" s="31">
        <v>0.30634104541559554</v>
      </c>
      <c r="H110" s="31">
        <v>0.17480719794344474</v>
      </c>
      <c r="I110" s="32">
        <v>10383.076923076924</v>
      </c>
      <c r="J110" s="32">
        <v>-9692.6470588235297</v>
      </c>
      <c r="K110" s="31">
        <v>0.19314641744548286</v>
      </c>
      <c r="L110" s="31">
        <v>0.28104575163398693</v>
      </c>
      <c r="M110" s="31">
        <v>0.22549019607843138</v>
      </c>
      <c r="N110" s="31">
        <v>0.60077519379844957</v>
      </c>
      <c r="O110" s="31">
        <v>0.40096618357487923</v>
      </c>
      <c r="P110" s="31">
        <v>0.41258741258741261</v>
      </c>
    </row>
    <row r="111" spans="1:16" x14ac:dyDescent="0.4">
      <c r="A111" s="33">
        <v>108</v>
      </c>
      <c r="B111" s="30">
        <v>2.708944180085382E-14</v>
      </c>
      <c r="C111" s="30">
        <v>8.3609388274240185E-17</v>
      </c>
      <c r="D111" s="35">
        <v>2</v>
      </c>
      <c r="E111" s="31">
        <v>0.33333333333333331</v>
      </c>
      <c r="F111" s="31">
        <v>0.33333333333333331</v>
      </c>
      <c r="G111" s="31">
        <v>0.30594184576485461</v>
      </c>
      <c r="H111" s="31">
        <v>0.17572692793931732</v>
      </c>
      <c r="I111" s="32">
        <v>10423.415977961433</v>
      </c>
      <c r="J111" s="32">
        <v>-9793.5251798561148</v>
      </c>
      <c r="K111" s="31">
        <v>0.19444444444444445</v>
      </c>
      <c r="L111" s="31">
        <v>0.28108672936259144</v>
      </c>
      <c r="M111" s="31">
        <v>0.22466039707419017</v>
      </c>
      <c r="N111" s="31">
        <v>0.59479553903345728</v>
      </c>
      <c r="O111" s="31">
        <v>0.39534883720930231</v>
      </c>
      <c r="P111" s="31">
        <v>0.40909090909090912</v>
      </c>
    </row>
    <row r="112" spans="1:16" x14ac:dyDescent="0.4">
      <c r="A112" s="33">
        <v>109</v>
      </c>
      <c r="B112" s="30">
        <v>2.7533531010703882E-14</v>
      </c>
      <c r="C112" s="30">
        <v>8.4200400644354376E-17</v>
      </c>
      <c r="D112" s="35">
        <v>2</v>
      </c>
      <c r="E112" s="31">
        <v>0.33333333333333331</v>
      </c>
      <c r="F112" s="31">
        <v>0.33333333333333331</v>
      </c>
      <c r="G112" s="31">
        <v>0.30625000000000002</v>
      </c>
      <c r="H112" s="31">
        <v>0.17541666666666667</v>
      </c>
      <c r="I112" s="32">
        <v>10396.190476190477</v>
      </c>
      <c r="J112" s="32">
        <v>-9766.5083135391924</v>
      </c>
      <c r="K112" s="31">
        <v>0.19266055045871561</v>
      </c>
      <c r="L112" s="31">
        <v>0.2815040650406504</v>
      </c>
      <c r="M112" s="31">
        <v>0.22154471544715448</v>
      </c>
      <c r="N112" s="31">
        <v>0.6028880866425993</v>
      </c>
      <c r="O112" s="31">
        <v>0.39449541284403672</v>
      </c>
      <c r="P112" s="31">
        <v>0.41088435374149662</v>
      </c>
    </row>
    <row r="113" spans="1:16" x14ac:dyDescent="0.4">
      <c r="A113" s="33">
        <v>110</v>
      </c>
      <c r="B113" s="30">
        <v>2.8421709430404007E-14</v>
      </c>
      <c r="C113" s="30">
        <v>8.6126392213345477E-17</v>
      </c>
      <c r="D113" s="35">
        <v>2</v>
      </c>
      <c r="E113" s="31">
        <v>0.33333333333333331</v>
      </c>
      <c r="F113" s="31">
        <v>0.33333333333333331</v>
      </c>
      <c r="G113" s="31">
        <v>0.30620632963419647</v>
      </c>
      <c r="H113" s="31">
        <v>0.17632552404438964</v>
      </c>
      <c r="I113" s="32">
        <v>10406.845637583892</v>
      </c>
      <c r="J113" s="32">
        <v>-9761.3053613053617</v>
      </c>
      <c r="K113" s="31">
        <v>0.19393939393939394</v>
      </c>
      <c r="L113" s="31">
        <v>0.27925270403146507</v>
      </c>
      <c r="M113" s="31">
        <v>0.22222222222222221</v>
      </c>
      <c r="N113" s="31">
        <v>0.59859154929577463</v>
      </c>
      <c r="O113" s="31">
        <v>0.39380530973451328</v>
      </c>
      <c r="P113" s="31">
        <v>0.40805369127516777</v>
      </c>
    </row>
    <row r="114" spans="1:16" x14ac:dyDescent="0.4">
      <c r="A114" s="33">
        <v>111</v>
      </c>
      <c r="B114" s="30">
        <v>2.8421709430404007E-14</v>
      </c>
      <c r="C114" s="30">
        <v>8.5350478769982004E-17</v>
      </c>
      <c r="D114" s="35">
        <v>2</v>
      </c>
      <c r="E114" s="31">
        <v>0.33333333333333331</v>
      </c>
      <c r="F114" s="31">
        <v>0.33333333333333331</v>
      </c>
      <c r="G114" s="31">
        <v>0.30643846780766099</v>
      </c>
      <c r="H114" s="31">
        <v>0.17644661776691117</v>
      </c>
      <c r="I114" s="32">
        <v>10442.686170212766</v>
      </c>
      <c r="J114" s="32">
        <v>-9805.0808314087753</v>
      </c>
      <c r="K114" s="31">
        <v>0.19519519519519518</v>
      </c>
      <c r="L114" s="31">
        <v>0.279383429672447</v>
      </c>
      <c r="M114" s="31">
        <v>0.22254335260115607</v>
      </c>
      <c r="N114" s="31">
        <v>0.60689655172413792</v>
      </c>
      <c r="O114" s="31">
        <v>0.38961038961038963</v>
      </c>
      <c r="P114" s="31">
        <v>0.40824468085106386</v>
      </c>
    </row>
    <row r="115" spans="1:16" x14ac:dyDescent="0.4">
      <c r="A115" s="33">
        <v>112</v>
      </c>
      <c r="B115" s="30">
        <v>2.8421709430404007E-14</v>
      </c>
      <c r="C115" s="30">
        <v>8.4588420923821446E-17</v>
      </c>
      <c r="D115" s="35">
        <v>2</v>
      </c>
      <c r="E115" s="31">
        <v>0.33333333333333331</v>
      </c>
      <c r="F115" s="31">
        <v>0.33333333333333331</v>
      </c>
      <c r="G115" s="31">
        <v>0.30653674380836377</v>
      </c>
      <c r="H115" s="31">
        <v>0.17661388550548113</v>
      </c>
      <c r="I115" s="32">
        <v>10459.470198675497</v>
      </c>
      <c r="J115" s="32">
        <v>-9842.7586206896558</v>
      </c>
      <c r="K115" s="31">
        <v>0.19642857142857142</v>
      </c>
      <c r="L115" s="31">
        <v>0.279847182425979</v>
      </c>
      <c r="M115" s="31">
        <v>0.22063037249283668</v>
      </c>
      <c r="N115" s="31">
        <v>0.60750853242320824</v>
      </c>
      <c r="O115" s="31">
        <v>0.38961038961038963</v>
      </c>
      <c r="P115" s="31">
        <v>0.40794701986754967</v>
      </c>
    </row>
    <row r="116" spans="1:16" x14ac:dyDescent="0.4">
      <c r="A116" s="33">
        <v>113</v>
      </c>
      <c r="B116" s="30">
        <v>2.7533531010703882E-14</v>
      </c>
      <c r="C116" s="30">
        <v>8.1219855488802011E-17</v>
      </c>
      <c r="D116" s="35">
        <v>2</v>
      </c>
      <c r="E116" s="31">
        <v>0.33333333333333331</v>
      </c>
      <c r="F116" s="31">
        <v>0.33333333333333331</v>
      </c>
      <c r="G116" s="31">
        <v>0.30679533574587858</v>
      </c>
      <c r="H116" s="31">
        <v>0.1773220747889023</v>
      </c>
      <c r="I116" s="32">
        <v>10437.614678899083</v>
      </c>
      <c r="J116" s="32">
        <v>-9806.3492063492067</v>
      </c>
      <c r="K116" s="31">
        <v>0.19469026548672566</v>
      </c>
      <c r="L116" s="31">
        <v>0.28197945845004668</v>
      </c>
      <c r="M116" s="31">
        <v>0.22128851540616246</v>
      </c>
      <c r="N116" s="31">
        <v>0.60264900662251653</v>
      </c>
      <c r="O116" s="31">
        <v>0.3881856540084388</v>
      </c>
      <c r="P116" s="31">
        <v>0.40629095674967236</v>
      </c>
    </row>
    <row r="117" spans="1:16" x14ac:dyDescent="0.4">
      <c r="A117" s="33">
        <v>114</v>
      </c>
      <c r="B117" s="30">
        <v>2.8421709430404007E-14</v>
      </c>
      <c r="C117" s="30">
        <v>8.3104413539193E-17</v>
      </c>
      <c r="D117" s="35">
        <v>2</v>
      </c>
      <c r="E117" s="31">
        <v>0.33333333333333331</v>
      </c>
      <c r="F117" s="31">
        <v>0.33333333333333331</v>
      </c>
      <c r="G117" s="31">
        <v>0.30698602794411178</v>
      </c>
      <c r="H117" s="31">
        <v>0.17644710578842315</v>
      </c>
      <c r="I117" s="32">
        <v>10460.208062418726</v>
      </c>
      <c r="J117" s="32">
        <v>-9811.3122171945706</v>
      </c>
      <c r="K117" s="31">
        <v>0.195906432748538</v>
      </c>
      <c r="L117" s="31">
        <v>0.28282828282828282</v>
      </c>
      <c r="M117" s="31">
        <v>0.21854912764003673</v>
      </c>
      <c r="N117" s="31">
        <v>0.6071428571428571</v>
      </c>
      <c r="O117" s="31">
        <v>0.3907563025210084</v>
      </c>
      <c r="P117" s="31">
        <v>0.4096228868660598</v>
      </c>
    </row>
    <row r="118" spans="1:16" x14ac:dyDescent="0.4">
      <c r="A118" s="33">
        <v>115</v>
      </c>
      <c r="B118" s="30">
        <v>2.708944180085382E-14</v>
      </c>
      <c r="C118" s="30">
        <v>7.8520121161895128E-17</v>
      </c>
      <c r="D118" s="35">
        <v>2</v>
      </c>
      <c r="E118" s="31">
        <v>0.33333333333333331</v>
      </c>
      <c r="F118" s="31">
        <v>0.33333333333333331</v>
      </c>
      <c r="G118" s="31">
        <v>0.30738993710691825</v>
      </c>
      <c r="H118" s="31">
        <v>0.1761006289308176</v>
      </c>
      <c r="I118" s="32">
        <v>10468.414322250639</v>
      </c>
      <c r="J118" s="32">
        <v>-9810.9375</v>
      </c>
      <c r="K118" s="31">
        <v>0.19420289855072465</v>
      </c>
      <c r="L118" s="31">
        <v>0.28014184397163122</v>
      </c>
      <c r="M118" s="31">
        <v>0.22429078014184398</v>
      </c>
      <c r="N118" s="31">
        <v>0.61392405063291144</v>
      </c>
      <c r="O118" s="31">
        <v>0.39130434782608697</v>
      </c>
      <c r="P118" s="31">
        <v>0.41176470588235292</v>
      </c>
    </row>
    <row r="119" spans="1:16" x14ac:dyDescent="0.4">
      <c r="A119" s="33">
        <v>116</v>
      </c>
      <c r="B119" s="30">
        <v>2.8421709430404007E-14</v>
      </c>
      <c r="C119" s="30">
        <v>8.167157882300002E-17</v>
      </c>
      <c r="D119" s="35">
        <v>2</v>
      </c>
      <c r="E119" s="31">
        <v>0.33333333333333331</v>
      </c>
      <c r="F119" s="31">
        <v>0.33333333333333331</v>
      </c>
      <c r="G119" s="31">
        <v>0.30718188914910227</v>
      </c>
      <c r="H119" s="31">
        <v>0.17603434816549571</v>
      </c>
      <c r="I119" s="32">
        <v>10440.787801778908</v>
      </c>
      <c r="J119" s="32">
        <v>-9795.7871396895789</v>
      </c>
      <c r="K119" s="31">
        <v>0.19252873563218389</v>
      </c>
      <c r="L119" s="31">
        <v>0.28010471204188481</v>
      </c>
      <c r="M119" s="31">
        <v>0.22338568935427575</v>
      </c>
      <c r="N119" s="31">
        <v>0.61370716510903423</v>
      </c>
      <c r="O119" s="31">
        <v>0.390625</v>
      </c>
      <c r="P119" s="31">
        <v>0.41168996188055906</v>
      </c>
    </row>
    <row r="120" spans="1:16" x14ac:dyDescent="0.4">
      <c r="A120" s="33">
        <v>117</v>
      </c>
      <c r="B120" s="30">
        <v>3.0198066269804258E-14</v>
      </c>
      <c r="C120" s="30">
        <v>8.6034376837049162E-17</v>
      </c>
      <c r="D120" s="35">
        <v>2</v>
      </c>
      <c r="E120" s="31">
        <v>0.33333333333333331</v>
      </c>
      <c r="F120" s="31">
        <v>0.33333333333333331</v>
      </c>
      <c r="G120" s="31">
        <v>0.30751445086705204</v>
      </c>
      <c r="H120" s="31">
        <v>0.176878612716763</v>
      </c>
      <c r="I120" s="32">
        <v>10413.157894736842</v>
      </c>
      <c r="J120" s="32">
        <v>-9774.9455337690633</v>
      </c>
      <c r="K120" s="31">
        <v>0.19088319088319089</v>
      </c>
      <c r="L120" s="31">
        <v>0.27905004240882103</v>
      </c>
      <c r="M120" s="31">
        <v>0.22222222222222221</v>
      </c>
      <c r="N120" s="31">
        <v>0.61702127659574468</v>
      </c>
      <c r="O120" s="31">
        <v>0.39694656488549618</v>
      </c>
      <c r="P120" s="31">
        <v>0.40977443609022557</v>
      </c>
    </row>
    <row r="121" spans="1:16" x14ac:dyDescent="0.4">
      <c r="A121" s="33">
        <v>118</v>
      </c>
      <c r="B121" s="30">
        <v>2.8421709430404007E-14</v>
      </c>
      <c r="C121" s="30">
        <v>8.0287314775152563E-17</v>
      </c>
      <c r="D121" s="35">
        <v>2</v>
      </c>
      <c r="E121" s="31">
        <v>0.33333333333333331</v>
      </c>
      <c r="F121" s="31">
        <v>0.33333333333333331</v>
      </c>
      <c r="G121" s="31">
        <v>0.30757400999615531</v>
      </c>
      <c r="H121" s="31">
        <v>0.17685505574778931</v>
      </c>
      <c r="I121" s="32">
        <v>10447.125</v>
      </c>
      <c r="J121" s="32">
        <v>-9779.782608695652</v>
      </c>
      <c r="K121" s="31">
        <v>0.18926553672316385</v>
      </c>
      <c r="L121" s="31">
        <v>0.28016877637130799</v>
      </c>
      <c r="M121" s="31">
        <v>0.22109704641350211</v>
      </c>
      <c r="N121" s="31">
        <v>0.61746987951807231</v>
      </c>
      <c r="O121" s="31">
        <v>0.39694656488549618</v>
      </c>
      <c r="P121" s="31">
        <v>0.41</v>
      </c>
    </row>
    <row r="122" spans="1:16" x14ac:dyDescent="0.4">
      <c r="A122" s="33">
        <v>119</v>
      </c>
      <c r="B122" s="30">
        <v>2.8421709430404007E-14</v>
      </c>
      <c r="C122" s="30">
        <v>7.9612631457714307E-17</v>
      </c>
      <c r="D122" s="35">
        <v>2</v>
      </c>
      <c r="E122" s="31">
        <v>0.33333333333333331</v>
      </c>
      <c r="F122" s="31">
        <v>0.33333333333333331</v>
      </c>
      <c r="G122" s="31">
        <v>0.30739893211289093</v>
      </c>
      <c r="H122" s="31">
        <v>0.17620137299771166</v>
      </c>
      <c r="I122" s="32">
        <v>10433.746898263027</v>
      </c>
      <c r="J122" s="32">
        <v>-9763.2034632034629</v>
      </c>
      <c r="K122" s="31">
        <v>0.1876750700280112</v>
      </c>
      <c r="L122" s="31">
        <v>0.28026533996683251</v>
      </c>
      <c r="M122" s="31">
        <v>0.22056384742951907</v>
      </c>
      <c r="N122" s="31">
        <v>0.62130177514792895</v>
      </c>
      <c r="O122" s="31">
        <v>0.39473684210526316</v>
      </c>
      <c r="P122" s="31">
        <v>0.41191066997518611</v>
      </c>
    </row>
    <row r="123" spans="1:16" x14ac:dyDescent="0.4">
      <c r="A123" s="33">
        <v>120</v>
      </c>
      <c r="B123" s="30">
        <v>2.8421709430404007E-14</v>
      </c>
      <c r="C123" s="30">
        <v>7.8949192862233357E-17</v>
      </c>
      <c r="D123" s="35">
        <v>2</v>
      </c>
      <c r="E123" s="31">
        <v>0.33333333333333331</v>
      </c>
      <c r="F123" s="31">
        <v>0.33333333333333331</v>
      </c>
      <c r="G123" s="31">
        <v>0.30728576821442055</v>
      </c>
      <c r="H123" s="31">
        <v>0.17667044167610418</v>
      </c>
      <c r="I123" s="32">
        <v>10453.808353808354</v>
      </c>
      <c r="J123" s="32">
        <v>-9748.7179487179492</v>
      </c>
      <c r="K123" s="31">
        <v>0.18611111111111112</v>
      </c>
      <c r="L123" s="31">
        <v>0.28223844282238442</v>
      </c>
      <c r="M123" s="31">
        <v>0.21897810218978103</v>
      </c>
      <c r="N123" s="31">
        <v>0.61494252873563215</v>
      </c>
      <c r="O123" s="31">
        <v>0.39629629629629631</v>
      </c>
      <c r="P123" s="31">
        <v>0.41031941031941033</v>
      </c>
    </row>
    <row r="124" spans="1:16" x14ac:dyDescent="0.4">
      <c r="A124" s="33">
        <v>121</v>
      </c>
      <c r="B124" s="30">
        <v>2.8421709430404007E-14</v>
      </c>
      <c r="C124" s="30">
        <v>7.8296720193950436E-17</v>
      </c>
      <c r="D124" s="35">
        <v>2</v>
      </c>
      <c r="E124" s="31">
        <v>0.33333333333333331</v>
      </c>
      <c r="F124" s="31">
        <v>0.33333333333333331</v>
      </c>
      <c r="G124" s="31">
        <v>0.30746156730408697</v>
      </c>
      <c r="H124" s="31">
        <v>0.17735283089613799</v>
      </c>
      <c r="I124" s="32">
        <v>10487.073170731708</v>
      </c>
      <c r="J124" s="32">
        <v>-9819.027484143764</v>
      </c>
      <c r="K124" s="31">
        <v>0.18732782369146006</v>
      </c>
      <c r="L124" s="31">
        <v>0.28297362110311752</v>
      </c>
      <c r="M124" s="31">
        <v>0.21982414068745004</v>
      </c>
      <c r="N124" s="31">
        <v>0.61016949152542377</v>
      </c>
      <c r="O124" s="31">
        <v>0.4</v>
      </c>
      <c r="P124" s="31">
        <v>0.40853658536585363</v>
      </c>
    </row>
    <row r="125" spans="1:16" x14ac:dyDescent="0.4">
      <c r="A125" s="33">
        <v>122</v>
      </c>
      <c r="B125" s="30">
        <v>2.8421709430404007E-14</v>
      </c>
      <c r="C125" s="30">
        <v>7.7654943798918053E-17</v>
      </c>
      <c r="D125" s="35">
        <v>2</v>
      </c>
      <c r="E125" s="31">
        <v>0.33333333333333331</v>
      </c>
      <c r="F125" s="31">
        <v>0.33333333333333331</v>
      </c>
      <c r="G125" s="31">
        <v>0.30754857997010465</v>
      </c>
      <c r="H125" s="31">
        <v>0.17787742899850523</v>
      </c>
      <c r="I125" s="32">
        <v>10504.738760631835</v>
      </c>
      <c r="J125" s="32">
        <v>-9853.7815126050427</v>
      </c>
      <c r="K125" s="31">
        <v>0.18852459016393441</v>
      </c>
      <c r="L125" s="31">
        <v>0.28333333333333333</v>
      </c>
      <c r="M125" s="31">
        <v>0.21984126984126984</v>
      </c>
      <c r="N125" s="31">
        <v>0.61064425770308128</v>
      </c>
      <c r="O125" s="31">
        <v>0.4007220216606498</v>
      </c>
      <c r="P125" s="31">
        <v>0.40704738760631837</v>
      </c>
    </row>
    <row r="126" spans="1:16" x14ac:dyDescent="0.4">
      <c r="A126" s="33">
        <v>123</v>
      </c>
      <c r="B126" s="30">
        <v>2.8421709430404007E-14</v>
      </c>
      <c r="C126" s="30">
        <v>7.7023602792422784E-17</v>
      </c>
      <c r="D126" s="35">
        <v>2</v>
      </c>
      <c r="E126" s="31">
        <v>0.33333333333333331</v>
      </c>
      <c r="F126" s="31">
        <v>0.33333333333333331</v>
      </c>
      <c r="G126" s="31">
        <v>0.30718232044198895</v>
      </c>
      <c r="H126" s="31">
        <v>0.17716390423572745</v>
      </c>
      <c r="I126" s="32">
        <v>10492.446043165468</v>
      </c>
      <c r="J126" s="32">
        <v>-9820.5821205821212</v>
      </c>
      <c r="K126" s="31">
        <v>0.18699186991869918</v>
      </c>
      <c r="L126" s="31">
        <v>0.28560431100846806</v>
      </c>
      <c r="M126" s="31">
        <v>0.21939953810623555</v>
      </c>
      <c r="N126" s="31">
        <v>0.61185983827493262</v>
      </c>
      <c r="O126" s="31">
        <v>0.39298245614035088</v>
      </c>
      <c r="P126" s="31">
        <v>0.40887290167865709</v>
      </c>
    </row>
    <row r="127" spans="1:16" x14ac:dyDescent="0.4">
      <c r="A127" s="33">
        <v>124</v>
      </c>
      <c r="B127" s="30">
        <v>2.8421709430404007E-14</v>
      </c>
      <c r="C127" s="30">
        <v>7.6402444705387123E-17</v>
      </c>
      <c r="D127" s="35">
        <v>2</v>
      </c>
      <c r="E127" s="31">
        <v>0.33333333333333331</v>
      </c>
      <c r="F127" s="31">
        <v>0.33333333333333331</v>
      </c>
      <c r="G127" s="31">
        <v>0.30738304093567254</v>
      </c>
      <c r="H127" s="31">
        <v>0.17690058479532164</v>
      </c>
      <c r="I127" s="32">
        <v>10479.191438763377</v>
      </c>
      <c r="J127" s="32">
        <v>-9838.2231404958675</v>
      </c>
      <c r="K127" s="31">
        <v>0.18817204301075269</v>
      </c>
      <c r="L127" s="31">
        <v>0.28560606060606059</v>
      </c>
      <c r="M127" s="31">
        <v>0.22272727272727272</v>
      </c>
      <c r="N127" s="31">
        <v>0.60742705570291777</v>
      </c>
      <c r="O127" s="31">
        <v>0.39455782312925169</v>
      </c>
      <c r="P127" s="31">
        <v>0.41022592152199761</v>
      </c>
    </row>
    <row r="128" spans="1:16" x14ac:dyDescent="0.4">
      <c r="A128" s="33">
        <v>125</v>
      </c>
      <c r="B128" s="30">
        <v>2.8421709430404007E-14</v>
      </c>
      <c r="C128" s="30">
        <v>7.5791225147744017E-17</v>
      </c>
      <c r="D128" s="35">
        <v>2</v>
      </c>
      <c r="E128" s="31">
        <v>0.33333333333333331</v>
      </c>
      <c r="F128" s="31">
        <v>0.33333333333333331</v>
      </c>
      <c r="G128" s="31">
        <v>0.30794341675734493</v>
      </c>
      <c r="H128" s="31">
        <v>0.17700398984403337</v>
      </c>
      <c r="I128" s="32">
        <v>10441.813898704359</v>
      </c>
      <c r="J128" s="32">
        <v>-9810.8606557377043</v>
      </c>
      <c r="K128" s="31">
        <v>0.18933333333333333</v>
      </c>
      <c r="L128" s="31">
        <v>0.28560775540641314</v>
      </c>
      <c r="M128" s="31">
        <v>0.22296793437733034</v>
      </c>
      <c r="N128" s="31">
        <v>0.60835509138381205</v>
      </c>
      <c r="O128" s="31">
        <v>0.40133779264214048</v>
      </c>
      <c r="P128" s="31">
        <v>0.40989399293286222</v>
      </c>
    </row>
    <row r="129" spans="1:16" x14ac:dyDescent="0.4">
      <c r="A129" s="33">
        <v>126</v>
      </c>
      <c r="B129" s="30">
        <v>3.0198066269804258E-14</v>
      </c>
      <c r="C129" s="30">
        <v>7.9889064205831366E-17</v>
      </c>
      <c r="D129" s="35">
        <v>2</v>
      </c>
      <c r="E129" s="31">
        <v>0.33333333333333331</v>
      </c>
      <c r="F129" s="31">
        <v>0.33333333333333331</v>
      </c>
      <c r="G129" s="31">
        <v>0.30744336569579289</v>
      </c>
      <c r="H129" s="31">
        <v>0.17691477885652643</v>
      </c>
      <c r="I129" s="32">
        <v>10437.076023391814</v>
      </c>
      <c r="J129" s="32">
        <v>-9801.4227642276419</v>
      </c>
      <c r="K129" s="31">
        <v>0.18783068783068782</v>
      </c>
      <c r="L129" s="31">
        <v>0.2857142857142857</v>
      </c>
      <c r="M129" s="31">
        <v>0.22197802197802197</v>
      </c>
      <c r="N129" s="31">
        <v>0.60769230769230764</v>
      </c>
      <c r="O129" s="31">
        <v>0.39933993399339934</v>
      </c>
      <c r="P129" s="31">
        <v>0.40935672514619881</v>
      </c>
    </row>
    <row r="130" spans="1:16" x14ac:dyDescent="0.4">
      <c r="A130" s="33">
        <v>127</v>
      </c>
      <c r="B130" s="30">
        <v>2.8421709430404007E-14</v>
      </c>
      <c r="C130" s="30">
        <v>7.4597662546992144E-17</v>
      </c>
      <c r="D130" s="35">
        <v>2</v>
      </c>
      <c r="E130" s="31">
        <v>0.33333333333333331</v>
      </c>
      <c r="F130" s="31">
        <v>0.33333333333333331</v>
      </c>
      <c r="G130" s="31">
        <v>0.30755460078768349</v>
      </c>
      <c r="H130" s="31">
        <v>0.17758682420336555</v>
      </c>
      <c r="I130" s="32">
        <v>10431.548311990688</v>
      </c>
      <c r="J130" s="32">
        <v>-9796.9758064516136</v>
      </c>
      <c r="K130" s="31">
        <v>0.1889763779527559</v>
      </c>
      <c r="L130" s="31">
        <v>0.28467683369644153</v>
      </c>
      <c r="M130" s="31">
        <v>0.22294843863471314</v>
      </c>
      <c r="N130" s="31">
        <v>0.60969387755102045</v>
      </c>
      <c r="O130" s="31">
        <v>0.40065146579804561</v>
      </c>
      <c r="P130" s="31">
        <v>0.40745052386495928</v>
      </c>
    </row>
    <row r="131" spans="1:16" x14ac:dyDescent="0.4">
      <c r="A131" s="33">
        <v>128</v>
      </c>
      <c r="B131" s="30">
        <v>2.8421709430404007E-14</v>
      </c>
      <c r="C131" s="30">
        <v>7.4014868308343765E-17</v>
      </c>
      <c r="D131" s="35">
        <v>2</v>
      </c>
      <c r="E131" s="31">
        <v>0.33333333333333331</v>
      </c>
      <c r="F131" s="31">
        <v>0.33333333333333331</v>
      </c>
      <c r="G131" s="31">
        <v>0.30774697938877044</v>
      </c>
      <c r="H131" s="31">
        <v>0.17874911158493248</v>
      </c>
      <c r="I131" s="32">
        <v>10391.570438799075</v>
      </c>
      <c r="J131" s="32">
        <v>-9736.9781312127234</v>
      </c>
      <c r="K131" s="31">
        <v>0.1875</v>
      </c>
      <c r="L131" s="31">
        <v>0.2832618025751073</v>
      </c>
      <c r="M131" s="31">
        <v>0.22460658082975679</v>
      </c>
      <c r="N131" s="31">
        <v>0.60606060606060608</v>
      </c>
      <c r="O131" s="31">
        <v>0.40127388535031849</v>
      </c>
      <c r="P131" s="31">
        <v>0.40415704387990764</v>
      </c>
    </row>
    <row r="132" spans="1:16" x14ac:dyDescent="0.4">
      <c r="A132" s="33">
        <v>129</v>
      </c>
      <c r="B132" s="30">
        <v>2.4868995751603507E-14</v>
      </c>
      <c r="C132" s="30">
        <v>6.4260970934375981E-17</v>
      </c>
      <c r="D132" s="35">
        <v>2</v>
      </c>
      <c r="E132" s="31">
        <v>0.33333333333333331</v>
      </c>
      <c r="F132" s="31">
        <v>0.33333333333333331</v>
      </c>
      <c r="G132" s="31">
        <v>0.30766526019690577</v>
      </c>
      <c r="H132" s="31">
        <v>0.17967651195499296</v>
      </c>
      <c r="I132" s="32">
        <v>10398.514285714286</v>
      </c>
      <c r="J132" s="32">
        <v>-9732.485322896282</v>
      </c>
      <c r="K132" s="31">
        <v>0.18604651162790697</v>
      </c>
      <c r="L132" s="31">
        <v>0.28081232492997199</v>
      </c>
      <c r="M132" s="31">
        <v>0.22759103641456582</v>
      </c>
      <c r="N132" s="31">
        <v>0.60349127182044893</v>
      </c>
      <c r="O132" s="31">
        <v>0.40615384615384614</v>
      </c>
      <c r="P132" s="31">
        <v>0.40114285714285713</v>
      </c>
    </row>
    <row r="133" spans="1:16" x14ac:dyDescent="0.4">
      <c r="A133" s="33">
        <v>130</v>
      </c>
      <c r="B133" s="30">
        <v>2.4868995751603507E-14</v>
      </c>
      <c r="C133" s="30">
        <v>6.376665577334232E-17</v>
      </c>
      <c r="D133" s="35">
        <v>2</v>
      </c>
      <c r="E133" s="31">
        <v>0.33333333333333331</v>
      </c>
      <c r="F133" s="31">
        <v>0.33333333333333331</v>
      </c>
      <c r="G133" s="31">
        <v>0.30779993004547046</v>
      </c>
      <c r="H133" s="31">
        <v>0.18013291360615599</v>
      </c>
      <c r="I133" s="32">
        <v>10390.34090909091</v>
      </c>
      <c r="J133" s="32">
        <v>-9736.116504854368</v>
      </c>
      <c r="K133" s="31">
        <v>0.18717948717948718</v>
      </c>
      <c r="L133" s="31">
        <v>0.28135828135828134</v>
      </c>
      <c r="M133" s="31">
        <v>0.22661122661122662</v>
      </c>
      <c r="N133" s="31">
        <v>0.60098522167487689</v>
      </c>
      <c r="O133" s="31">
        <v>0.40672782874617736</v>
      </c>
      <c r="P133" s="31">
        <v>0.4</v>
      </c>
    </row>
    <row r="134" spans="1:16" x14ac:dyDescent="0.4">
      <c r="A134" s="33">
        <v>131</v>
      </c>
      <c r="B134" s="30">
        <v>2.4868995751603507E-14</v>
      </c>
      <c r="C134" s="30">
        <v>6.327988740866032E-17</v>
      </c>
      <c r="D134" s="35">
        <v>2</v>
      </c>
      <c r="E134" s="31">
        <v>0.33333333333333331</v>
      </c>
      <c r="F134" s="31">
        <v>0.33333333333333331</v>
      </c>
      <c r="G134" s="31">
        <v>0.30769230769230771</v>
      </c>
      <c r="H134" s="31">
        <v>0.18052668052668053</v>
      </c>
      <c r="I134" s="32">
        <v>10412.049549549549</v>
      </c>
      <c r="J134" s="32">
        <v>-9743.761996161229</v>
      </c>
      <c r="K134" s="31">
        <v>0.18575063613231552</v>
      </c>
      <c r="L134" s="31">
        <v>0.28231292517006801</v>
      </c>
      <c r="M134" s="31">
        <v>0.22380952380952382</v>
      </c>
      <c r="N134" s="31">
        <v>0.60722891566265058</v>
      </c>
      <c r="O134" s="31">
        <v>0.40425531914893614</v>
      </c>
      <c r="P134" s="31">
        <v>0.39864864864864863</v>
      </c>
    </row>
    <row r="135" spans="1:16" x14ac:dyDescent="0.4">
      <c r="A135" s="33">
        <v>132</v>
      </c>
      <c r="B135" s="30">
        <v>2.4868995751603507E-14</v>
      </c>
      <c r="C135" s="30">
        <v>6.2800494322231075E-17</v>
      </c>
      <c r="D135" s="35">
        <v>2</v>
      </c>
      <c r="E135" s="31">
        <v>0.33333333333333331</v>
      </c>
      <c r="F135" s="31">
        <v>0.33333333333333331</v>
      </c>
      <c r="G135" s="31">
        <v>0.30785123966942146</v>
      </c>
      <c r="H135" s="31">
        <v>0.18112947658402204</v>
      </c>
      <c r="I135" s="32">
        <v>10398.54586129754</v>
      </c>
      <c r="J135" s="32">
        <v>-9716.5399239543731</v>
      </c>
      <c r="K135" s="31">
        <v>0.18434343434343434</v>
      </c>
      <c r="L135" s="31">
        <v>0.28360215053763443</v>
      </c>
      <c r="M135" s="31">
        <v>0.22379032258064516</v>
      </c>
      <c r="N135" s="31">
        <v>0.61137440758293837</v>
      </c>
      <c r="O135" s="31">
        <v>0.39939939939939939</v>
      </c>
      <c r="P135" s="31">
        <v>0.3970917225950783</v>
      </c>
    </row>
    <row r="136" spans="1:16" x14ac:dyDescent="0.4">
      <c r="A136" s="33">
        <v>133</v>
      </c>
      <c r="B136" s="30">
        <v>2.4868995751603507E-14</v>
      </c>
      <c r="C136" s="30">
        <v>6.232831015439475E-17</v>
      </c>
      <c r="D136" s="35">
        <v>2</v>
      </c>
      <c r="E136" s="31">
        <v>0.33333333333333331</v>
      </c>
      <c r="F136" s="31">
        <v>0.33333333333333331</v>
      </c>
      <c r="G136" s="31">
        <v>0.30811179277436945</v>
      </c>
      <c r="H136" s="31">
        <v>0.18098159509202455</v>
      </c>
      <c r="I136" s="32">
        <v>10378.871681415929</v>
      </c>
      <c r="J136" s="32">
        <v>-9708.2862523540498</v>
      </c>
      <c r="K136" s="31">
        <v>0.18295739348370926</v>
      </c>
      <c r="L136" s="31">
        <v>0.28392621870882739</v>
      </c>
      <c r="M136" s="31">
        <v>0.22266139657444006</v>
      </c>
      <c r="N136" s="31">
        <v>0.61252900232018559</v>
      </c>
      <c r="O136" s="31">
        <v>0.40236686390532544</v>
      </c>
      <c r="P136" s="31">
        <v>0.39712389380530971</v>
      </c>
    </row>
    <row r="137" spans="1:16" x14ac:dyDescent="0.4">
      <c r="A137" s="33">
        <v>134</v>
      </c>
      <c r="B137" s="30">
        <v>2.1316282072803006E-14</v>
      </c>
      <c r="C137" s="30">
        <v>5.3025577295529864E-17</v>
      </c>
      <c r="D137" s="35">
        <v>2</v>
      </c>
      <c r="E137" s="31">
        <v>0.33333333333333331</v>
      </c>
      <c r="F137" s="31">
        <v>0.33333333333333331</v>
      </c>
      <c r="G137" s="31">
        <v>0.30766632894292467</v>
      </c>
      <c r="H137" s="31">
        <v>0.18101992570077677</v>
      </c>
      <c r="I137" s="32">
        <v>10368.27661909989</v>
      </c>
      <c r="J137" s="32">
        <v>-9690.4850746268658</v>
      </c>
      <c r="K137" s="31">
        <v>0.18159203980099503</v>
      </c>
      <c r="L137" s="31">
        <v>0.28478964401294499</v>
      </c>
      <c r="M137" s="31">
        <v>0.22394822006472492</v>
      </c>
      <c r="N137" s="31">
        <v>0.60681818181818181</v>
      </c>
      <c r="O137" s="31">
        <v>0.40173410404624277</v>
      </c>
      <c r="P137" s="31">
        <v>0.39626783754116357</v>
      </c>
    </row>
    <row r="138" spans="1:16" x14ac:dyDescent="0.4">
      <c r="A138" s="33">
        <v>135</v>
      </c>
      <c r="B138" s="30">
        <v>1.7763568394002505E-14</v>
      </c>
      <c r="C138" s="30">
        <v>4.386066270124075E-17</v>
      </c>
      <c r="D138" s="35">
        <v>2</v>
      </c>
      <c r="E138" s="31">
        <v>0.33333333333333331</v>
      </c>
      <c r="F138" s="31">
        <v>0.33333333333333331</v>
      </c>
      <c r="G138" s="31">
        <v>0.30756358768406961</v>
      </c>
      <c r="H138" s="31">
        <v>0.18072289156626506</v>
      </c>
      <c r="I138" s="32">
        <v>10390.206746463547</v>
      </c>
      <c r="J138" s="32">
        <v>-9659.6296296296296</v>
      </c>
      <c r="K138" s="31">
        <v>0.18024691358024691</v>
      </c>
      <c r="L138" s="31">
        <v>0.28498727735368956</v>
      </c>
      <c r="M138" s="31">
        <v>0.22582697201017812</v>
      </c>
      <c r="N138" s="31">
        <v>0.6071428571428571</v>
      </c>
      <c r="O138" s="31">
        <v>0.39718309859154932</v>
      </c>
      <c r="P138" s="31">
        <v>0.397170837867247</v>
      </c>
    </row>
    <row r="139" spans="1:16" x14ac:dyDescent="0.4">
      <c r="A139" s="33">
        <v>136</v>
      </c>
      <c r="B139" s="30">
        <v>1.4210854715202004E-14</v>
      </c>
      <c r="C139" s="30">
        <v>3.4830526262750009E-17</v>
      </c>
      <c r="D139" s="35">
        <v>2</v>
      </c>
      <c r="E139" s="31">
        <v>0.33333333333333331</v>
      </c>
      <c r="F139" s="31">
        <v>0.33333333333333331</v>
      </c>
      <c r="G139" s="31">
        <v>0.30735930735930733</v>
      </c>
      <c r="H139" s="31">
        <v>0.18048618048618048</v>
      </c>
      <c r="I139" s="32">
        <v>10399.349945828819</v>
      </c>
      <c r="J139" s="32">
        <v>-9668.2656826568273</v>
      </c>
      <c r="K139" s="31">
        <v>0.18137254901960784</v>
      </c>
      <c r="L139" s="31">
        <v>0.28355387523629488</v>
      </c>
      <c r="M139" s="31">
        <v>0.22558286074354128</v>
      </c>
      <c r="N139" s="31">
        <v>0.60888888888888892</v>
      </c>
      <c r="O139" s="31">
        <v>0.39664804469273746</v>
      </c>
      <c r="P139" s="31">
        <v>0.39761646803900325</v>
      </c>
    </row>
    <row r="140" spans="1:16" x14ac:dyDescent="0.4">
      <c r="A140" s="33">
        <v>137</v>
      </c>
      <c r="B140" s="30">
        <v>1.4210854715202004E-14</v>
      </c>
      <c r="C140" s="30">
        <v>3.4576288844773733E-17</v>
      </c>
      <c r="D140" s="35">
        <v>2</v>
      </c>
      <c r="E140" s="31">
        <v>0.33333333333333331</v>
      </c>
      <c r="F140" s="31">
        <v>0.33333333333333331</v>
      </c>
      <c r="G140" s="31">
        <v>0.30748840291583829</v>
      </c>
      <c r="H140" s="31">
        <v>0.18025182239893969</v>
      </c>
      <c r="I140" s="32">
        <v>10405.818965517241</v>
      </c>
      <c r="J140" s="32">
        <v>-9676.8382352941171</v>
      </c>
      <c r="K140" s="31">
        <v>0.18248175182481752</v>
      </c>
      <c r="L140" s="31">
        <v>0.28277153558052437</v>
      </c>
      <c r="M140" s="31">
        <v>0.22409488139825218</v>
      </c>
      <c r="N140" s="31">
        <v>0.61147902869757176</v>
      </c>
      <c r="O140" s="31">
        <v>0.3955431754874652</v>
      </c>
      <c r="P140" s="31">
        <v>0.39870689655172414</v>
      </c>
    </row>
    <row r="141" spans="1:16" x14ac:dyDescent="0.4">
      <c r="A141" s="33">
        <v>138</v>
      </c>
      <c r="B141" s="30">
        <v>1.4210854715202004E-14</v>
      </c>
      <c r="C141" s="30">
        <v>3.4325736027057978E-17</v>
      </c>
      <c r="D141" s="35">
        <v>2</v>
      </c>
      <c r="E141" s="31">
        <v>0.33333333333333331</v>
      </c>
      <c r="F141" s="31">
        <v>0.33333333333333331</v>
      </c>
      <c r="G141" s="31">
        <v>0.30792079207920792</v>
      </c>
      <c r="H141" s="31">
        <v>0.18019801980198019</v>
      </c>
      <c r="I141" s="32">
        <v>10402.572347266881</v>
      </c>
      <c r="J141" s="32">
        <v>-9710.9890109890111</v>
      </c>
      <c r="K141" s="31">
        <v>0.18357487922705315</v>
      </c>
      <c r="L141" s="31">
        <v>0.28252788104089221</v>
      </c>
      <c r="M141" s="31">
        <v>0.22490706319702602</v>
      </c>
      <c r="N141" s="31">
        <v>0.61184210526315785</v>
      </c>
      <c r="O141" s="31">
        <v>0.39944903581267216</v>
      </c>
      <c r="P141" s="31">
        <v>0.3987138263665595</v>
      </c>
    </row>
    <row r="142" spans="1:16" x14ac:dyDescent="0.4">
      <c r="A142" s="33">
        <v>139</v>
      </c>
      <c r="B142" s="30">
        <v>1.3322676295501878E-14</v>
      </c>
      <c r="C142" s="30">
        <v>3.1948864017990115E-17</v>
      </c>
      <c r="D142" s="35">
        <v>2</v>
      </c>
      <c r="E142" s="31">
        <v>0.33333333333333331</v>
      </c>
      <c r="F142" s="31">
        <v>0.33333333333333331</v>
      </c>
      <c r="G142" s="31">
        <v>0.30751633986928106</v>
      </c>
      <c r="H142" s="31">
        <v>0.1803921568627451</v>
      </c>
      <c r="I142" s="32">
        <v>10402.550478214665</v>
      </c>
      <c r="J142" s="32">
        <v>-9712.68115942029</v>
      </c>
      <c r="K142" s="31">
        <v>0.18225419664268586</v>
      </c>
      <c r="L142" s="31">
        <v>0.28223844282238442</v>
      </c>
      <c r="M142" s="31">
        <v>0.2281021897810219</v>
      </c>
      <c r="N142" s="31">
        <v>0.60775862068965514</v>
      </c>
      <c r="O142" s="31">
        <v>0.39733333333333332</v>
      </c>
      <c r="P142" s="31">
        <v>0.39744952178533477</v>
      </c>
    </row>
    <row r="143" spans="1:16" x14ac:dyDescent="0.4">
      <c r="A143" s="33">
        <v>140</v>
      </c>
      <c r="B143" s="30">
        <v>1.4876988529977098E-14</v>
      </c>
      <c r="C143" s="30">
        <v>3.542140126185023E-17</v>
      </c>
      <c r="D143" s="35">
        <v>2</v>
      </c>
      <c r="E143" s="31">
        <v>0.33333333333333331</v>
      </c>
      <c r="F143" s="31">
        <v>0.33333333333333331</v>
      </c>
      <c r="G143" s="31">
        <v>0.30714516650501134</v>
      </c>
      <c r="H143" s="31">
        <v>0.18040737148399613</v>
      </c>
      <c r="I143" s="32">
        <v>10385.578947368422</v>
      </c>
      <c r="J143" s="32">
        <v>-9693.3691756272401</v>
      </c>
      <c r="K143" s="31">
        <v>0.18095238095238095</v>
      </c>
      <c r="L143" s="31">
        <v>0.28205128205128205</v>
      </c>
      <c r="M143" s="31">
        <v>0.22778771615980919</v>
      </c>
      <c r="N143" s="31">
        <v>0.60887949260042284</v>
      </c>
      <c r="O143" s="31">
        <v>0.39528795811518325</v>
      </c>
      <c r="P143" s="31">
        <v>0.39684210526315788</v>
      </c>
    </row>
    <row r="144" spans="1:16" x14ac:dyDescent="0.4">
      <c r="A144" s="33">
        <v>141</v>
      </c>
      <c r="B144" s="30">
        <v>1.4210854715202004E-14</v>
      </c>
      <c r="C144" s="30">
        <v>3.3595401217971639E-17</v>
      </c>
      <c r="D144" s="35">
        <v>2</v>
      </c>
      <c r="E144" s="31">
        <v>0.33333333333333331</v>
      </c>
      <c r="F144" s="31">
        <v>0.33333333333333331</v>
      </c>
      <c r="G144" s="31">
        <v>0.30635838150289019</v>
      </c>
      <c r="H144" s="31">
        <v>0.18015414258188825</v>
      </c>
      <c r="I144" s="32">
        <v>10386.477987421384</v>
      </c>
      <c r="J144" s="32">
        <v>-9705.7040998217471</v>
      </c>
      <c r="K144" s="31">
        <v>0.17966903073286053</v>
      </c>
      <c r="L144" s="31">
        <v>0.28032979976442873</v>
      </c>
      <c r="M144" s="31">
        <v>0.22732626619552415</v>
      </c>
      <c r="N144" s="31">
        <v>0.6071428571428571</v>
      </c>
      <c r="O144" s="31">
        <v>0.39637305699481867</v>
      </c>
      <c r="P144" s="31">
        <v>0.39622641509433965</v>
      </c>
    </row>
    <row r="145" spans="1:16" x14ac:dyDescent="0.4">
      <c r="A145" s="33">
        <v>142</v>
      </c>
      <c r="B145" s="30">
        <v>1.4210854715202004E-14</v>
      </c>
      <c r="C145" s="30">
        <v>3.3358813885450714E-17</v>
      </c>
      <c r="D145" s="35">
        <v>2</v>
      </c>
      <c r="E145" s="31">
        <v>0.33333333333333331</v>
      </c>
      <c r="F145" s="31">
        <v>0.33333333333333331</v>
      </c>
      <c r="G145" s="31">
        <v>0.30624601657106437</v>
      </c>
      <c r="H145" s="31">
        <v>0.18005098789037605</v>
      </c>
      <c r="I145" s="32">
        <v>10391.05098855359</v>
      </c>
      <c r="J145" s="32">
        <v>-9699.1150442477883</v>
      </c>
      <c r="K145" s="31">
        <v>0.18075117370892019</v>
      </c>
      <c r="L145" s="31">
        <v>0.28222996515679444</v>
      </c>
      <c r="M145" s="31">
        <v>0.22764227642276422</v>
      </c>
      <c r="N145" s="31">
        <v>0.60288065843621397</v>
      </c>
      <c r="O145" s="31">
        <v>0.39795918367346939</v>
      </c>
      <c r="P145" s="31">
        <v>0.39646201873048909</v>
      </c>
    </row>
    <row r="146" spans="1:16" x14ac:dyDescent="0.4">
      <c r="A146" s="33">
        <v>143</v>
      </c>
      <c r="B146" s="30">
        <v>1.4210854715202004E-14</v>
      </c>
      <c r="C146" s="30">
        <v>3.3125535466671337E-17</v>
      </c>
      <c r="D146" s="35">
        <v>2</v>
      </c>
      <c r="E146" s="31">
        <v>0.33333333333333331</v>
      </c>
      <c r="F146" s="31">
        <v>0.33333333333333331</v>
      </c>
      <c r="G146" s="31">
        <v>0.30647709320695105</v>
      </c>
      <c r="H146" s="31">
        <v>0.17914691943127961</v>
      </c>
      <c r="I146" s="32">
        <v>10361.855670103092</v>
      </c>
      <c r="J146" s="32">
        <v>-9677.6014109347434</v>
      </c>
      <c r="K146" s="31">
        <v>0.17948717948717949</v>
      </c>
      <c r="L146" s="31">
        <v>0.28187535734705543</v>
      </c>
      <c r="M146" s="31">
        <v>0.22870211549456831</v>
      </c>
      <c r="N146" s="31">
        <v>0.60243407707910746</v>
      </c>
      <c r="O146" s="31">
        <v>0.40250000000000002</v>
      </c>
      <c r="P146" s="31">
        <v>0.4</v>
      </c>
    </row>
    <row r="147" spans="1:16" x14ac:dyDescent="0.4">
      <c r="A147" s="33">
        <v>144</v>
      </c>
      <c r="B147" s="30">
        <v>1.4210854715202004E-14</v>
      </c>
      <c r="C147" s="30">
        <v>3.2895497025930562E-17</v>
      </c>
      <c r="D147" s="35">
        <v>2</v>
      </c>
      <c r="E147" s="31">
        <v>0.33333333333333331</v>
      </c>
      <c r="F147" s="31">
        <v>0.33333333333333331</v>
      </c>
      <c r="G147" s="31">
        <v>0.30610328638497653</v>
      </c>
      <c r="H147" s="31">
        <v>0.17965571205007824</v>
      </c>
      <c r="I147" s="32">
        <v>10339.263803680982</v>
      </c>
      <c r="J147" s="32">
        <v>-9644.5993031358885</v>
      </c>
      <c r="K147" s="31">
        <v>0.17824074074074073</v>
      </c>
      <c r="L147" s="31">
        <v>0.28274311410905001</v>
      </c>
      <c r="M147" s="31">
        <v>0.22878021360314785</v>
      </c>
      <c r="N147" s="31">
        <v>0.60039761431411531</v>
      </c>
      <c r="O147" s="31">
        <v>0.40049140049140047</v>
      </c>
      <c r="P147" s="31">
        <v>0.39775051124744376</v>
      </c>
    </row>
    <row r="148" spans="1:16" x14ac:dyDescent="0.4">
      <c r="A148" s="33">
        <v>145</v>
      </c>
      <c r="B148" s="30">
        <v>1.4210854715202004E-14</v>
      </c>
      <c r="C148" s="30">
        <v>3.2668631529200008E-17</v>
      </c>
      <c r="D148" s="35">
        <v>2</v>
      </c>
      <c r="E148" s="31">
        <v>0.33333333333333331</v>
      </c>
      <c r="F148" s="31">
        <v>0.33333333333333331</v>
      </c>
      <c r="G148" s="31">
        <v>0.30599565082323704</v>
      </c>
      <c r="H148" s="31">
        <v>0.17955886921404163</v>
      </c>
      <c r="I148" s="32">
        <v>10335.02538071066</v>
      </c>
      <c r="J148" s="32">
        <v>-9592.0415224913486</v>
      </c>
      <c r="K148" s="31">
        <v>0.1793103448275862</v>
      </c>
      <c r="L148" s="31">
        <v>0.28175263449805882</v>
      </c>
      <c r="M148" s="31">
        <v>0.22961730449251247</v>
      </c>
      <c r="N148" s="31">
        <v>0.60039370078740162</v>
      </c>
      <c r="O148" s="31">
        <v>0.40338164251207731</v>
      </c>
      <c r="P148" s="31">
        <v>0.39796954314720812</v>
      </c>
    </row>
    <row r="149" spans="1:16" x14ac:dyDescent="0.4">
      <c r="A149" s="33">
        <v>146</v>
      </c>
      <c r="B149" s="30">
        <v>1.4210854715202004E-14</v>
      </c>
      <c r="C149" s="30">
        <v>3.2444873779000007E-17</v>
      </c>
      <c r="D149" s="35">
        <v>2</v>
      </c>
      <c r="E149" s="31">
        <v>0.33333333333333331</v>
      </c>
      <c r="F149" s="31">
        <v>0.33333333333333331</v>
      </c>
      <c r="G149" s="31">
        <v>0.30619796484736356</v>
      </c>
      <c r="H149" s="31">
        <v>0.17915510329941411</v>
      </c>
      <c r="I149" s="32">
        <v>10357.30110775428</v>
      </c>
      <c r="J149" s="32">
        <v>-9574.870912220309</v>
      </c>
      <c r="K149" s="31">
        <v>0.17808219178082191</v>
      </c>
      <c r="L149" s="31">
        <v>0.28188286808976465</v>
      </c>
      <c r="M149" s="31">
        <v>0.22988505747126436</v>
      </c>
      <c r="N149" s="31">
        <v>0.6</v>
      </c>
      <c r="O149" s="31">
        <v>0.40476190476190477</v>
      </c>
      <c r="P149" s="31">
        <v>0.3997985901309164</v>
      </c>
    </row>
    <row r="150" spans="1:16" x14ac:dyDescent="0.4">
      <c r="A150" s="33">
        <v>147</v>
      </c>
      <c r="B150" s="30">
        <v>1.7763568394002505E-14</v>
      </c>
      <c r="C150" s="30">
        <v>4.0280200439914976E-17</v>
      </c>
      <c r="D150" s="35">
        <v>2</v>
      </c>
      <c r="E150" s="31">
        <v>0.33333333333333331</v>
      </c>
      <c r="F150" s="31">
        <v>0.33333333333333331</v>
      </c>
      <c r="G150" s="31">
        <v>0.30614115490375804</v>
      </c>
      <c r="H150" s="31">
        <v>0.17965169569202566</v>
      </c>
      <c r="I150" s="32">
        <v>10347.405189620758</v>
      </c>
      <c r="J150" s="32">
        <v>-9558.3333333333339</v>
      </c>
      <c r="K150" s="31">
        <v>0.17687074829931973</v>
      </c>
      <c r="L150" s="31">
        <v>0.28217555196553579</v>
      </c>
      <c r="M150" s="31">
        <v>0.23047926763597198</v>
      </c>
      <c r="N150" s="31">
        <v>0.60114503816793896</v>
      </c>
      <c r="O150" s="31">
        <v>0.40186915887850466</v>
      </c>
      <c r="P150" s="31">
        <v>0.39820359281437123</v>
      </c>
    </row>
    <row r="151" spans="1:16" x14ac:dyDescent="0.4">
      <c r="A151" s="33">
        <v>148</v>
      </c>
      <c r="B151" s="30">
        <v>1.4210854715202004E-14</v>
      </c>
      <c r="C151" s="30">
        <v>3.2006429538743251E-17</v>
      </c>
      <c r="D151" s="35">
        <v>2</v>
      </c>
      <c r="E151" s="31">
        <v>0.33333333333333331</v>
      </c>
      <c r="F151" s="31">
        <v>0.33333333333333331</v>
      </c>
      <c r="G151" s="31">
        <v>0.30598602248556672</v>
      </c>
      <c r="H151" s="31">
        <v>0.17927681555758129</v>
      </c>
      <c r="I151" s="32">
        <v>10373.485600794438</v>
      </c>
      <c r="J151" s="32">
        <v>-9576.7796610169498</v>
      </c>
      <c r="K151" s="31">
        <v>0.17792792792792791</v>
      </c>
      <c r="L151" s="31">
        <v>0.28426666666666667</v>
      </c>
      <c r="M151" s="31">
        <v>0.2288</v>
      </c>
      <c r="N151" s="31">
        <v>0.59849906191369606</v>
      </c>
      <c r="O151" s="31">
        <v>0.40326340326340326</v>
      </c>
      <c r="P151" s="31">
        <v>0.39920556107249255</v>
      </c>
    </row>
    <row r="152" spans="1:16" x14ac:dyDescent="0.4">
      <c r="A152" s="33">
        <v>149</v>
      </c>
      <c r="B152" s="30">
        <v>1.4210854715202004E-14</v>
      </c>
      <c r="C152" s="30">
        <v>3.1791621286805377E-17</v>
      </c>
      <c r="D152" s="35">
        <v>2</v>
      </c>
      <c r="E152" s="31">
        <v>0.33333333333333331</v>
      </c>
      <c r="F152" s="31">
        <v>0.33333333333333331</v>
      </c>
      <c r="G152" s="31">
        <v>0.30580762250453719</v>
      </c>
      <c r="H152" s="31">
        <v>0.17906836055656383</v>
      </c>
      <c r="I152" s="32">
        <v>10372.007912957468</v>
      </c>
      <c r="J152" s="32">
        <v>-9584.9662162162167</v>
      </c>
      <c r="K152" s="31">
        <v>0.17897091722595079</v>
      </c>
      <c r="L152" s="31">
        <v>0.28306878306878308</v>
      </c>
      <c r="M152" s="31">
        <v>0.23068783068783069</v>
      </c>
      <c r="N152" s="31">
        <v>0.5962616822429907</v>
      </c>
      <c r="O152" s="31">
        <v>0.40596330275229359</v>
      </c>
      <c r="P152" s="31">
        <v>0.39960435212660733</v>
      </c>
    </row>
    <row r="153" spans="1:16" x14ac:dyDescent="0.4">
      <c r="A153" s="33">
        <v>150</v>
      </c>
      <c r="B153" s="30">
        <v>1.4210854715202004E-14</v>
      </c>
      <c r="C153" s="30">
        <v>3.1579677144893342E-17</v>
      </c>
      <c r="D153" s="35">
        <v>2</v>
      </c>
      <c r="E153" s="31">
        <v>0.33333333333333331</v>
      </c>
      <c r="F153" s="31">
        <v>0.33333333333333331</v>
      </c>
      <c r="G153" s="31">
        <v>0.30568079350766458</v>
      </c>
      <c r="H153" s="31">
        <v>0.17944093778178538</v>
      </c>
      <c r="I153" s="32">
        <v>10374.827925270403</v>
      </c>
      <c r="J153" s="32">
        <v>-9600.3350083752102</v>
      </c>
      <c r="K153" s="31">
        <v>0.17777777777777778</v>
      </c>
      <c r="L153" s="31">
        <v>0.28205128205128205</v>
      </c>
      <c r="M153" s="31">
        <v>0.22972265829408686</v>
      </c>
      <c r="N153" s="31">
        <v>0.5992578849721707</v>
      </c>
      <c r="O153" s="31">
        <v>0.40774487471526194</v>
      </c>
      <c r="P153" s="31">
        <v>0.39823008849557523</v>
      </c>
    </row>
    <row r="154" spans="1:16" x14ac:dyDescent="0.4">
      <c r="A154" s="33">
        <v>151</v>
      </c>
      <c r="B154" s="30">
        <v>1.4210854715202004E-14</v>
      </c>
      <c r="C154" s="30">
        <v>3.1370540210158949E-17</v>
      </c>
      <c r="D154" s="35">
        <v>2</v>
      </c>
      <c r="E154" s="31">
        <v>0.33333333333333331</v>
      </c>
      <c r="F154" s="31">
        <v>0.33333333333333331</v>
      </c>
      <c r="G154" s="31">
        <v>0.30565476190476193</v>
      </c>
      <c r="H154" s="31">
        <v>0.17946428571428572</v>
      </c>
      <c r="I154" s="32">
        <v>10322.005842259006</v>
      </c>
      <c r="J154" s="32">
        <v>-9554.2288557213924</v>
      </c>
      <c r="K154" s="31">
        <v>0.17880794701986755</v>
      </c>
      <c r="L154" s="31">
        <v>0.28086419753086422</v>
      </c>
      <c r="M154" s="31">
        <v>0.22942386831275721</v>
      </c>
      <c r="N154" s="31">
        <v>0.59523809523809523</v>
      </c>
      <c r="O154" s="31">
        <v>0.4103139013452915</v>
      </c>
      <c r="P154" s="31">
        <v>0.39824732229795523</v>
      </c>
    </row>
    <row r="155" spans="1:16" x14ac:dyDescent="0.4">
      <c r="A155" s="33">
        <v>152</v>
      </c>
      <c r="B155" s="30">
        <v>1.0658141036401503E-14</v>
      </c>
      <c r="C155" s="30">
        <v>2.3373116307898031E-17</v>
      </c>
      <c r="D155" s="35">
        <v>2</v>
      </c>
      <c r="E155" s="31">
        <v>0.33333333333333331</v>
      </c>
      <c r="F155" s="31">
        <v>0.33333333333333331</v>
      </c>
      <c r="G155" s="31">
        <v>0.30548148148148146</v>
      </c>
      <c r="H155" s="31">
        <v>0.17955555555555555</v>
      </c>
      <c r="I155" s="32">
        <v>10322.11445198836</v>
      </c>
      <c r="J155" s="32">
        <v>-9570.6270627062713</v>
      </c>
      <c r="K155" s="31">
        <v>0.17982456140350878</v>
      </c>
      <c r="L155" s="31">
        <v>0.28075548749361917</v>
      </c>
      <c r="M155" s="31">
        <v>0.22970903522205208</v>
      </c>
      <c r="N155" s="31">
        <v>0.59272727272727277</v>
      </c>
      <c r="O155" s="31">
        <v>0.40888888888888891</v>
      </c>
      <c r="P155" s="31">
        <v>0.39767216294859359</v>
      </c>
    </row>
    <row r="156" spans="1:16" x14ac:dyDescent="0.4">
      <c r="A156" s="33">
        <v>153</v>
      </c>
      <c r="B156" s="30">
        <v>1.0658141036401503E-14</v>
      </c>
      <c r="C156" s="30">
        <v>2.322035084183334E-17</v>
      </c>
      <c r="D156" s="35">
        <v>2</v>
      </c>
      <c r="E156" s="31">
        <v>0.33333333333333331</v>
      </c>
      <c r="F156" s="31">
        <v>0.33333333333333331</v>
      </c>
      <c r="G156" s="31">
        <v>0.30567814062959692</v>
      </c>
      <c r="H156" s="31">
        <v>0.17917034421888792</v>
      </c>
      <c r="I156" s="32">
        <v>10321.847930702599</v>
      </c>
      <c r="J156" s="32">
        <v>-9566.6666666666661</v>
      </c>
      <c r="K156" s="31">
        <v>0.18082788671023964</v>
      </c>
      <c r="L156" s="31">
        <v>0.28139183055975792</v>
      </c>
      <c r="M156" s="31">
        <v>0.22894604135148763</v>
      </c>
      <c r="N156" s="31">
        <v>0.59498207885304655</v>
      </c>
      <c r="O156" s="31">
        <v>0.40748898678414097</v>
      </c>
      <c r="P156" s="31">
        <v>0.39846005774783444</v>
      </c>
    </row>
    <row r="157" spans="1:16" x14ac:dyDescent="0.4">
      <c r="A157" s="33">
        <v>154</v>
      </c>
      <c r="B157" s="30">
        <v>1.0658141036401503E-14</v>
      </c>
      <c r="C157" s="30">
        <v>2.3069569342860397E-17</v>
      </c>
      <c r="D157" s="35">
        <v>2</v>
      </c>
      <c r="E157" s="31">
        <v>0.33333333333333331</v>
      </c>
      <c r="F157" s="31">
        <v>0.33333333333333331</v>
      </c>
      <c r="G157" s="31">
        <v>0.30560420315236425</v>
      </c>
      <c r="H157" s="31">
        <v>0.17950963222416813</v>
      </c>
      <c r="I157" s="32">
        <v>10326.934097421203</v>
      </c>
      <c r="J157" s="32">
        <v>-9590.2439024390242</v>
      </c>
      <c r="K157" s="31">
        <v>0.17965367965367965</v>
      </c>
      <c r="L157" s="31">
        <v>0.28308457711442786</v>
      </c>
      <c r="M157" s="31">
        <v>0.22686567164179106</v>
      </c>
      <c r="N157" s="31">
        <v>0.59402460456942008</v>
      </c>
      <c r="O157" s="31">
        <v>0.40789473684210525</v>
      </c>
      <c r="P157" s="31">
        <v>0.39732569245463228</v>
      </c>
    </row>
    <row r="158" spans="1:16" x14ac:dyDescent="0.4">
      <c r="A158" s="33">
        <v>155</v>
      </c>
      <c r="B158" s="30">
        <v>1.0658141036401503E-14</v>
      </c>
      <c r="C158" s="30">
        <v>2.2920733411616135E-17</v>
      </c>
      <c r="D158" s="35">
        <v>2</v>
      </c>
      <c r="E158" s="31">
        <v>0.33333333333333331</v>
      </c>
      <c r="F158" s="31">
        <v>0.33333333333333331</v>
      </c>
      <c r="G158" s="31">
        <v>0.30582102519548221</v>
      </c>
      <c r="H158" s="31">
        <v>0.17955401100492324</v>
      </c>
      <c r="I158" s="32">
        <v>10311.079545454546</v>
      </c>
      <c r="J158" s="32">
        <v>-9572.9032258064508</v>
      </c>
      <c r="K158" s="31">
        <v>0.17849462365591398</v>
      </c>
      <c r="L158" s="31">
        <v>0.28325969563082964</v>
      </c>
      <c r="M158" s="31">
        <v>0.22582228767795778</v>
      </c>
      <c r="N158" s="31">
        <v>0.59618717504332752</v>
      </c>
      <c r="O158" s="31">
        <v>0.40652173913043477</v>
      </c>
      <c r="P158" s="31">
        <v>0.39772727272727271</v>
      </c>
    </row>
    <row r="159" spans="1:16" x14ac:dyDescent="0.4">
      <c r="A159" s="33">
        <v>156</v>
      </c>
      <c r="B159" s="30">
        <v>8.8817841970012523E-15</v>
      </c>
      <c r="C159" s="30">
        <v>1.8978171361113787E-17</v>
      </c>
      <c r="D159" s="35">
        <v>2</v>
      </c>
      <c r="E159" s="31">
        <v>0.33333333333333331</v>
      </c>
      <c r="F159" s="31">
        <v>0.33333333333333331</v>
      </c>
      <c r="G159" s="31">
        <v>0.30574712643678159</v>
      </c>
      <c r="H159" s="31">
        <v>0.17988505747126438</v>
      </c>
      <c r="I159" s="32">
        <v>10279.887218045113</v>
      </c>
      <c r="J159" s="32">
        <v>-9518.3706070287535</v>
      </c>
      <c r="K159" s="31">
        <v>0.17735042735042736</v>
      </c>
      <c r="L159" s="31">
        <v>0.28439922480620156</v>
      </c>
      <c r="M159" s="31">
        <v>0.22674418604651161</v>
      </c>
      <c r="N159" s="31">
        <v>0.59454855195911416</v>
      </c>
      <c r="O159" s="31">
        <v>0.40384615384615385</v>
      </c>
      <c r="P159" s="31">
        <v>0.39661654135338348</v>
      </c>
    </row>
    <row r="160" spans="1:16" x14ac:dyDescent="0.4">
      <c r="A160" s="33">
        <v>157</v>
      </c>
      <c r="B160" s="30">
        <v>8.8817841970012523E-15</v>
      </c>
      <c r="C160" s="30">
        <v>1.8857291288750004E-17</v>
      </c>
      <c r="D160" s="35">
        <v>2</v>
      </c>
      <c r="E160" s="31">
        <v>0.33333333333333331</v>
      </c>
      <c r="F160" s="31">
        <v>0.33333333333333331</v>
      </c>
      <c r="G160" s="31">
        <v>0.30517633674630262</v>
      </c>
      <c r="H160" s="31">
        <v>0.17918088737201365</v>
      </c>
      <c r="I160" s="32">
        <v>10290.214352283318</v>
      </c>
      <c r="J160" s="32">
        <v>-9504.7619047619046</v>
      </c>
      <c r="K160" s="31">
        <v>0.17622080679405519</v>
      </c>
      <c r="L160" s="31">
        <v>0.28333333333333333</v>
      </c>
      <c r="M160" s="31">
        <v>0.2280952380952381</v>
      </c>
      <c r="N160" s="31">
        <v>0.59495798319327731</v>
      </c>
      <c r="O160" s="31">
        <v>0.39874739039665968</v>
      </c>
      <c r="P160" s="31">
        <v>0.39794967381174279</v>
      </c>
    </row>
    <row r="161" spans="1:16" x14ac:dyDescent="0.4">
      <c r="A161" s="33">
        <v>158</v>
      </c>
      <c r="B161" s="30">
        <v>7.1054273576010019E-15</v>
      </c>
      <c r="C161" s="30">
        <v>1.4990353075107598E-17</v>
      </c>
      <c r="D161" s="35">
        <v>2</v>
      </c>
      <c r="E161" s="31">
        <v>0.33333333333333331</v>
      </c>
      <c r="F161" s="31">
        <v>0.33333333333333331</v>
      </c>
      <c r="G161" s="31">
        <v>0.30506078597681652</v>
      </c>
      <c r="H161" s="31">
        <v>0.17924795024031664</v>
      </c>
      <c r="I161" s="32">
        <v>10284.522706209453</v>
      </c>
      <c r="J161" s="32">
        <v>-9513.5646687697154</v>
      </c>
      <c r="K161" s="31">
        <v>0.17721518987341772</v>
      </c>
      <c r="L161" s="31">
        <v>0.28194247996228194</v>
      </c>
      <c r="M161" s="31">
        <v>0.23008015087223008</v>
      </c>
      <c r="N161" s="31">
        <v>0.59531772575250841</v>
      </c>
      <c r="O161" s="31">
        <v>0.39959016393442626</v>
      </c>
      <c r="P161" s="31">
        <v>0.39666357738646896</v>
      </c>
    </row>
    <row r="162" spans="1:16" x14ac:dyDescent="0.4">
      <c r="A162" s="33">
        <v>159</v>
      </c>
      <c r="B162" s="30">
        <v>7.1054273576010019E-15</v>
      </c>
      <c r="C162" s="30">
        <v>1.489607412494969E-17</v>
      </c>
      <c r="D162" s="35">
        <v>2</v>
      </c>
      <c r="E162" s="31">
        <v>0.33333333333333331</v>
      </c>
      <c r="F162" s="31">
        <v>0.33333333333333331</v>
      </c>
      <c r="G162" s="31">
        <v>0.30471380471380471</v>
      </c>
      <c r="H162" s="31">
        <v>0.17901234567901234</v>
      </c>
      <c r="I162" s="32">
        <v>10262.891344383057</v>
      </c>
      <c r="J162" s="32">
        <v>-9499.8432601880886</v>
      </c>
      <c r="K162" s="31">
        <v>0.1761006289308176</v>
      </c>
      <c r="L162" s="31">
        <v>0.28119180633147112</v>
      </c>
      <c r="M162" s="31">
        <v>0.22951582867783984</v>
      </c>
      <c r="N162" s="31">
        <v>0.59602649006622521</v>
      </c>
      <c r="O162" s="31">
        <v>0.39959432048681542</v>
      </c>
      <c r="P162" s="31">
        <v>0.39686924493554326</v>
      </c>
    </row>
    <row r="163" spans="1:16" x14ac:dyDescent="0.4">
      <c r="A163" s="33">
        <v>160</v>
      </c>
      <c r="B163" s="30">
        <v>7.1054273576010019E-15</v>
      </c>
      <c r="C163" s="30">
        <v>1.4802973661668754E-17</v>
      </c>
      <c r="D163" s="35">
        <v>2</v>
      </c>
      <c r="E163" s="31">
        <v>0.33333333333333331</v>
      </c>
      <c r="F163" s="31">
        <v>0.33333333333333331</v>
      </c>
      <c r="G163" s="31">
        <v>0.30497636919655269</v>
      </c>
      <c r="H163" s="31">
        <v>0.17876007784264664</v>
      </c>
      <c r="I163" s="32">
        <v>10259.617137648131</v>
      </c>
      <c r="J163" s="32">
        <v>-9490.2021772939352</v>
      </c>
      <c r="K163" s="31">
        <v>0.17708333333333334</v>
      </c>
      <c r="L163" s="31">
        <v>0.28381476386978449</v>
      </c>
      <c r="M163" s="31">
        <v>0.22879413113250802</v>
      </c>
      <c r="N163" s="31">
        <v>0.59612277867528274</v>
      </c>
      <c r="O163" s="31">
        <v>0.39679358717434871</v>
      </c>
      <c r="P163" s="31">
        <v>0.39835916134913402</v>
      </c>
    </row>
    <row r="164" spans="1:16" x14ac:dyDescent="0.4">
      <c r="A164" s="33">
        <v>161</v>
      </c>
      <c r="B164" s="30">
        <v>5.3290705182007514E-15</v>
      </c>
      <c r="C164" s="30">
        <v>1.1033272294411493E-17</v>
      </c>
      <c r="D164" s="35">
        <v>2</v>
      </c>
      <c r="E164" s="31">
        <v>0.33333333333333331</v>
      </c>
      <c r="F164" s="31">
        <v>0.33333333333333331</v>
      </c>
      <c r="G164" s="31">
        <v>0.30491169977924942</v>
      </c>
      <c r="H164" s="31">
        <v>0.17853200883002207</v>
      </c>
      <c r="I164" s="32">
        <v>10256.470588235294</v>
      </c>
      <c r="J164" s="32">
        <v>-9489.0262751159189</v>
      </c>
      <c r="K164" s="31">
        <v>0.17598343685300208</v>
      </c>
      <c r="L164" s="31">
        <v>0.28351449275362317</v>
      </c>
      <c r="M164" s="31">
        <v>0.23097826086956522</v>
      </c>
      <c r="N164" s="31">
        <v>0.597444089456869</v>
      </c>
      <c r="O164" s="31">
        <v>0.39215686274509803</v>
      </c>
      <c r="P164" s="31">
        <v>0.39909502262443441</v>
      </c>
    </row>
    <row r="165" spans="1:16" x14ac:dyDescent="0.4">
      <c r="A165" s="33">
        <v>162</v>
      </c>
      <c r="B165" s="30">
        <v>5.3290705182007514E-15</v>
      </c>
      <c r="C165" s="30">
        <v>1.0965165675310187E-17</v>
      </c>
      <c r="D165" s="35">
        <v>2</v>
      </c>
      <c r="E165" s="31">
        <v>0.33333333333333331</v>
      </c>
      <c r="F165" s="31">
        <v>0.33333333333333331</v>
      </c>
      <c r="G165" s="31">
        <v>0.30482456140350878</v>
      </c>
      <c r="H165" s="31">
        <v>0.17845394736842105</v>
      </c>
      <c r="I165" s="32">
        <v>10264.74820143885</v>
      </c>
      <c r="J165" s="32">
        <v>-9501.382488479263</v>
      </c>
      <c r="K165" s="31">
        <v>0.17489711934156379</v>
      </c>
      <c r="L165" s="31">
        <v>0.28449820788530467</v>
      </c>
      <c r="M165" s="31">
        <v>0.2307347670250896</v>
      </c>
      <c r="N165" s="31">
        <v>0.59685039370078741</v>
      </c>
      <c r="O165" s="31">
        <v>0.39223300970873787</v>
      </c>
      <c r="P165" s="31">
        <v>0.39928057553956836</v>
      </c>
    </row>
    <row r="166" spans="1:16" x14ac:dyDescent="0.4">
      <c r="A166" s="33">
        <v>163</v>
      </c>
      <c r="B166" s="30">
        <v>5.6621374255882984E-15</v>
      </c>
      <c r="C166" s="30">
        <v>1.1579013140262368E-17</v>
      </c>
      <c r="D166" s="35">
        <v>2</v>
      </c>
      <c r="E166" s="31">
        <v>0.33333333333333331</v>
      </c>
      <c r="F166" s="31">
        <v>0.33333333333333331</v>
      </c>
      <c r="G166" s="31">
        <v>0.30501089324618735</v>
      </c>
      <c r="H166" s="31">
        <v>0.1786492374727669</v>
      </c>
      <c r="I166" s="32">
        <v>10254.464285714286</v>
      </c>
      <c r="J166" s="32">
        <v>-9503.0487804878048</v>
      </c>
      <c r="K166" s="31">
        <v>0.17382413087934559</v>
      </c>
      <c r="L166" s="31">
        <v>0.28368794326241137</v>
      </c>
      <c r="M166" s="31">
        <v>0.23182624113475178</v>
      </c>
      <c r="N166" s="31">
        <v>0.59531250000000002</v>
      </c>
      <c r="O166" s="31">
        <v>0.39196940726577439</v>
      </c>
      <c r="P166" s="31">
        <v>0.39910714285714288</v>
      </c>
    </row>
    <row r="167" spans="1:16" x14ac:dyDescent="0.4">
      <c r="A167" s="33">
        <v>164</v>
      </c>
      <c r="B167" s="30">
        <v>7.1054273576010019E-15</v>
      </c>
      <c r="C167" s="30">
        <v>1.4441925523579274E-17</v>
      </c>
      <c r="D167" s="35">
        <v>2</v>
      </c>
      <c r="E167" s="31">
        <v>0.33333333333333331</v>
      </c>
      <c r="F167" s="31">
        <v>0.33333333333333331</v>
      </c>
      <c r="G167" s="31">
        <v>0.3047001620745543</v>
      </c>
      <c r="H167" s="31">
        <v>0.17855213398163156</v>
      </c>
      <c r="I167" s="32">
        <v>10241.223404255319</v>
      </c>
      <c r="J167" s="32">
        <v>-9496.3691376701972</v>
      </c>
      <c r="K167" s="31">
        <v>0.17276422764227642</v>
      </c>
      <c r="L167" s="31">
        <v>0.28302712160979876</v>
      </c>
      <c r="M167" s="31">
        <v>0.23053368328958881</v>
      </c>
      <c r="N167" s="31">
        <v>0.59814528593508498</v>
      </c>
      <c r="O167" s="31">
        <v>0.39278937381404172</v>
      </c>
      <c r="P167" s="31">
        <v>0.39893617021276595</v>
      </c>
    </row>
    <row r="168" spans="1:16" x14ac:dyDescent="0.4">
      <c r="A168" s="33">
        <v>165</v>
      </c>
      <c r="B168" s="30">
        <v>1.0658141036401503E-14</v>
      </c>
      <c r="C168" s="30">
        <v>2.1531598053336369E-17</v>
      </c>
      <c r="D168" s="35">
        <v>2</v>
      </c>
      <c r="E168" s="31">
        <v>0.33333333333333331</v>
      </c>
      <c r="F168" s="31">
        <v>0.33333333333333331</v>
      </c>
      <c r="G168" s="31">
        <v>0.3050619278406031</v>
      </c>
      <c r="H168" s="31">
        <v>0.17878298330640818</v>
      </c>
      <c r="I168" s="32">
        <v>10234.68667255075</v>
      </c>
      <c r="J168" s="32">
        <v>-9501.3554216867469</v>
      </c>
      <c r="K168" s="31">
        <v>0.17373737373737375</v>
      </c>
      <c r="L168" s="31">
        <v>0.28416013925152306</v>
      </c>
      <c r="M168" s="31">
        <v>0.2297650130548303</v>
      </c>
      <c r="N168" s="31">
        <v>0.59724349157733536</v>
      </c>
      <c r="O168" s="31">
        <v>0.39393939393939392</v>
      </c>
      <c r="P168" s="31">
        <v>0.39805825242718446</v>
      </c>
    </row>
    <row r="169" spans="1:16" x14ac:dyDescent="0.4">
      <c r="A169" s="33">
        <v>166</v>
      </c>
      <c r="B169" s="30">
        <v>9.7699626167013776E-15</v>
      </c>
      <c r="C169" s="30">
        <v>1.9618398828717626E-17</v>
      </c>
      <c r="D169" s="35">
        <v>2</v>
      </c>
      <c r="E169" s="31">
        <v>0.33333333333333331</v>
      </c>
      <c r="F169" s="31">
        <v>0.33333333333333331</v>
      </c>
      <c r="G169" s="31">
        <v>0.30522088353413657</v>
      </c>
      <c r="H169" s="31">
        <v>0.17911646586345381</v>
      </c>
      <c r="I169" s="32">
        <v>10229.385964912281</v>
      </c>
      <c r="J169" s="32">
        <v>-9486.5470852017934</v>
      </c>
      <c r="K169" s="31">
        <v>0.17269076305220885</v>
      </c>
      <c r="L169" s="31">
        <v>0.2833117723156533</v>
      </c>
      <c r="M169" s="31">
        <v>0.23156532988357051</v>
      </c>
      <c r="N169" s="31">
        <v>0.59817351598173518</v>
      </c>
      <c r="O169" s="31">
        <v>0.39478584729981381</v>
      </c>
      <c r="P169" s="31">
        <v>0.39736842105263159</v>
      </c>
    </row>
    <row r="170" spans="1:16" x14ac:dyDescent="0.4">
      <c r="A170" s="33">
        <v>167</v>
      </c>
      <c r="B170" s="30">
        <v>7.1054273576010019E-15</v>
      </c>
      <c r="C170" s="30">
        <v>1.4182489735730541E-17</v>
      </c>
      <c r="D170" s="35">
        <v>2</v>
      </c>
      <c r="E170" s="31">
        <v>0.33333333333333331</v>
      </c>
      <c r="F170" s="31">
        <v>0.33333333333333331</v>
      </c>
      <c r="G170" s="31">
        <v>0.30524344569288392</v>
      </c>
      <c r="H170" s="31">
        <v>0.17924023542001069</v>
      </c>
      <c r="I170" s="32">
        <v>10251.971954425942</v>
      </c>
      <c r="J170" s="32">
        <v>-9526.119402985074</v>
      </c>
      <c r="K170" s="31">
        <v>0.17365269461077845</v>
      </c>
      <c r="L170" s="31">
        <v>0.2833763996554694</v>
      </c>
      <c r="M170" s="31">
        <v>0.23126614987080105</v>
      </c>
      <c r="N170" s="31">
        <v>0.59878419452887544</v>
      </c>
      <c r="O170" s="31">
        <v>0.39478584729981381</v>
      </c>
      <c r="P170" s="31">
        <v>0.39702015775635408</v>
      </c>
    </row>
    <row r="171" spans="1:16" x14ac:dyDescent="0.4">
      <c r="A171" s="33">
        <v>168</v>
      </c>
      <c r="B171" s="30">
        <v>1.4210854715202004E-14</v>
      </c>
      <c r="C171" s="30">
        <v>2.8196140307940482E-17</v>
      </c>
      <c r="D171" s="35">
        <v>2</v>
      </c>
      <c r="E171" s="31">
        <v>0.33333333333333331</v>
      </c>
      <c r="F171" s="31">
        <v>0.33333333333333331</v>
      </c>
      <c r="G171" s="31">
        <v>0.3054448871181939</v>
      </c>
      <c r="H171" s="31">
        <v>0.17822045152722443</v>
      </c>
      <c r="I171" s="32">
        <v>10257.565217391304</v>
      </c>
      <c r="J171" s="32">
        <v>-9514.9031296572284</v>
      </c>
      <c r="K171" s="31">
        <v>0.17460317460317459</v>
      </c>
      <c r="L171" s="31">
        <v>0.28267347807577692</v>
      </c>
      <c r="M171" s="31">
        <v>0.23158790974882928</v>
      </c>
      <c r="N171" s="31">
        <v>0.59638554216867468</v>
      </c>
      <c r="O171" s="31">
        <v>0.3952205882352941</v>
      </c>
      <c r="P171" s="31">
        <v>0.40086956521739131</v>
      </c>
    </row>
    <row r="172" spans="1:16" x14ac:dyDescent="0.4">
      <c r="A172" s="33">
        <v>169</v>
      </c>
      <c r="B172" s="30">
        <v>1.3322676295501878E-14</v>
      </c>
      <c r="C172" s="30">
        <v>2.6277468038465242E-17</v>
      </c>
      <c r="D172" s="35">
        <v>2</v>
      </c>
      <c r="E172" s="31">
        <v>0.33333333333333331</v>
      </c>
      <c r="F172" s="31">
        <v>0.33333333333333331</v>
      </c>
      <c r="G172" s="31">
        <v>0.30564345991561181</v>
      </c>
      <c r="H172" s="31">
        <v>0.1785337552742616</v>
      </c>
      <c r="I172" s="32">
        <v>10223.727351164796</v>
      </c>
      <c r="J172" s="32">
        <v>-9486.8537666174307</v>
      </c>
      <c r="K172" s="31">
        <v>0.17357001972386588</v>
      </c>
      <c r="L172" s="31">
        <v>0.28409090909090912</v>
      </c>
      <c r="M172" s="31">
        <v>0.23106060606060605</v>
      </c>
      <c r="N172" s="31">
        <v>0.59407407407407409</v>
      </c>
      <c r="O172" s="31">
        <v>0.39708561020036431</v>
      </c>
      <c r="P172" s="31">
        <v>0.40034512510785158</v>
      </c>
    </row>
    <row r="173" spans="1:16" x14ac:dyDescent="0.4">
      <c r="A173" s="33">
        <v>170</v>
      </c>
      <c r="B173" s="30">
        <v>1.4210854715202004E-14</v>
      </c>
      <c r="C173" s="30">
        <v>2.7864421010200007E-17</v>
      </c>
      <c r="D173" s="35">
        <v>2</v>
      </c>
      <c r="E173" s="31">
        <v>0.33333333333333331</v>
      </c>
      <c r="F173" s="31">
        <v>0.33333333333333331</v>
      </c>
      <c r="G173" s="31">
        <v>0.30583922492799159</v>
      </c>
      <c r="H173" s="31">
        <v>0.17858078030898142</v>
      </c>
      <c r="I173" s="32">
        <v>10239.126712328767</v>
      </c>
      <c r="J173" s="32">
        <v>-9514.0762463343108</v>
      </c>
      <c r="K173" s="31">
        <v>0.17254901960784313</v>
      </c>
      <c r="L173" s="31">
        <v>0.28339575530586769</v>
      </c>
      <c r="M173" s="31">
        <v>0.23137744486059092</v>
      </c>
      <c r="N173" s="31">
        <v>0.59618208516886928</v>
      </c>
      <c r="O173" s="31">
        <v>0.39748201438848924</v>
      </c>
      <c r="P173" s="31">
        <v>0.40068493150684931</v>
      </c>
    </row>
    <row r="174" spans="1:16" x14ac:dyDescent="0.4">
      <c r="A174" s="33">
        <v>171</v>
      </c>
      <c r="B174" s="30">
        <v>1.4210854715202004E-14</v>
      </c>
      <c r="C174" s="30">
        <v>2.7701471179731E-17</v>
      </c>
      <c r="D174" s="35">
        <v>2</v>
      </c>
      <c r="E174" s="31">
        <v>0.33333333333333331</v>
      </c>
      <c r="F174" s="31">
        <v>0.33333333333333331</v>
      </c>
      <c r="G174" s="31">
        <v>0.30568596765779865</v>
      </c>
      <c r="H174" s="31">
        <v>0.17814293166405842</v>
      </c>
      <c r="I174" s="32">
        <v>10269.027303754267</v>
      </c>
      <c r="J174" s="32">
        <v>-9535.2855051244514</v>
      </c>
      <c r="K174" s="31">
        <v>0.17348927875243664</v>
      </c>
      <c r="L174" s="31">
        <v>0.28329197684036395</v>
      </c>
      <c r="M174" s="31">
        <v>0.23159636062861869</v>
      </c>
      <c r="N174" s="31">
        <v>0.59708029197080292</v>
      </c>
      <c r="O174" s="31">
        <v>0.39642857142857141</v>
      </c>
      <c r="P174" s="31">
        <v>0.40187713310580203</v>
      </c>
    </row>
    <row r="175" spans="1:16" x14ac:dyDescent="0.4">
      <c r="A175" s="33">
        <v>172</v>
      </c>
      <c r="B175" s="30">
        <v>1.5987211554602254E-14</v>
      </c>
      <c r="C175" s="30">
        <v>3.0982968129074136E-17</v>
      </c>
      <c r="D175" s="35">
        <v>2</v>
      </c>
      <c r="E175" s="31">
        <v>0.33333333333333331</v>
      </c>
      <c r="F175" s="31">
        <v>0.33333333333333331</v>
      </c>
      <c r="G175" s="31">
        <v>0.3056633048875097</v>
      </c>
      <c r="H175" s="31">
        <v>0.17791569692267908</v>
      </c>
      <c r="I175" s="32">
        <v>10245.093062605752</v>
      </c>
      <c r="J175" s="32">
        <v>-9496.6569767441852</v>
      </c>
      <c r="K175" s="31">
        <v>0.17248062015503876</v>
      </c>
      <c r="L175" s="31">
        <v>0.28396572827417382</v>
      </c>
      <c r="M175" s="31">
        <v>0.2317421460628315</v>
      </c>
      <c r="N175" s="31">
        <v>0.5933908045977011</v>
      </c>
      <c r="O175" s="31">
        <v>0.39612676056338031</v>
      </c>
      <c r="P175" s="31">
        <v>0.40270727580372251</v>
      </c>
    </row>
    <row r="176" spans="1:16" x14ac:dyDescent="0.4">
      <c r="A176" s="33">
        <v>173</v>
      </c>
      <c r="B176" s="30">
        <v>1.5987211554602254E-14</v>
      </c>
      <c r="C176" s="30">
        <v>3.0803875827750005E-17</v>
      </c>
      <c r="D176" s="35">
        <v>2</v>
      </c>
      <c r="E176" s="31">
        <v>0.33333333333333331</v>
      </c>
      <c r="F176" s="31">
        <v>0.33333333333333331</v>
      </c>
      <c r="G176" s="31">
        <v>0.30581275720164608</v>
      </c>
      <c r="H176" s="31">
        <v>0.17849794238683128</v>
      </c>
      <c r="I176" s="32">
        <v>10255.088309503784</v>
      </c>
      <c r="J176" s="32">
        <v>-9511.9596541786741</v>
      </c>
      <c r="K176" s="31">
        <v>0.17148362235067438</v>
      </c>
      <c r="L176" s="31">
        <v>0.28357605177993528</v>
      </c>
      <c r="M176" s="31">
        <v>0.23260517799352751</v>
      </c>
      <c r="N176" s="31">
        <v>0.59343794579172615</v>
      </c>
      <c r="O176" s="31">
        <v>0.39652173913043476</v>
      </c>
      <c r="P176" s="31">
        <v>0.40117746005046256</v>
      </c>
    </row>
    <row r="177" spans="1:16" x14ac:dyDescent="0.4">
      <c r="A177" s="33">
        <v>174</v>
      </c>
      <c r="B177" s="30">
        <v>1.6653345369377348E-14</v>
      </c>
      <c r="C177" s="30">
        <v>3.1902960477734381E-17</v>
      </c>
      <c r="D177" s="35">
        <v>2</v>
      </c>
      <c r="E177" s="31">
        <v>0.33333333333333331</v>
      </c>
      <c r="F177" s="31">
        <v>0.33333333333333331</v>
      </c>
      <c r="G177" s="31">
        <v>0.30600255427841633</v>
      </c>
      <c r="H177" s="31">
        <v>0.17777777777777778</v>
      </c>
      <c r="I177" s="32">
        <v>10254.674457429048</v>
      </c>
      <c r="J177" s="32">
        <v>-9504.454022988506</v>
      </c>
      <c r="K177" s="31">
        <v>0.17049808429118773</v>
      </c>
      <c r="L177" s="31">
        <v>0.28291316526610644</v>
      </c>
      <c r="M177" s="31">
        <v>0.23289315726290516</v>
      </c>
      <c r="N177" s="31">
        <v>0.59405940594059403</v>
      </c>
      <c r="O177" s="31">
        <v>0.39690721649484534</v>
      </c>
      <c r="P177" s="31">
        <v>0.40400667779632721</v>
      </c>
    </row>
    <row r="178" spans="1:16" x14ac:dyDescent="0.4">
      <c r="A178" s="33">
        <v>175</v>
      </c>
      <c r="B178" s="30">
        <v>1.7763568394002505E-14</v>
      </c>
      <c r="C178" s="30">
        <v>3.3835368369528583E-17</v>
      </c>
      <c r="D178" s="35">
        <v>2</v>
      </c>
      <c r="E178" s="31">
        <v>0.33333333333333331</v>
      </c>
      <c r="F178" s="31">
        <v>0.33333333333333331</v>
      </c>
      <c r="G178" s="31">
        <v>0.30589430894308944</v>
      </c>
      <c r="H178" s="31">
        <v>0.17759146341463414</v>
      </c>
      <c r="I178" s="32">
        <v>10243.106312292359</v>
      </c>
      <c r="J178" s="32">
        <v>-9489.9856938483554</v>
      </c>
      <c r="K178" s="31">
        <v>0.16952380952380952</v>
      </c>
      <c r="L178" s="31">
        <v>0.28293650793650793</v>
      </c>
      <c r="M178" s="31">
        <v>0.23214285714285715</v>
      </c>
      <c r="N178" s="31">
        <v>0.5946704067321178</v>
      </c>
      <c r="O178" s="31">
        <v>0.39658119658119656</v>
      </c>
      <c r="P178" s="31">
        <v>0.40448504983388706</v>
      </c>
    </row>
    <row r="179" spans="1:16" x14ac:dyDescent="0.4">
      <c r="A179" s="33">
        <v>176</v>
      </c>
      <c r="B179" s="30">
        <v>1.4210854715202004E-14</v>
      </c>
      <c r="C179" s="30">
        <v>2.6914497566670462E-17</v>
      </c>
      <c r="D179" s="35">
        <v>2</v>
      </c>
      <c r="E179" s="31">
        <v>0.33333333333333331</v>
      </c>
      <c r="F179" s="31">
        <v>0.33333333333333331</v>
      </c>
      <c r="G179" s="31">
        <v>0.30601922104198281</v>
      </c>
      <c r="H179" s="31">
        <v>0.17779463834092057</v>
      </c>
      <c r="I179" s="32">
        <v>10267.272727272728</v>
      </c>
      <c r="J179" s="32">
        <v>-9543.6699857752483</v>
      </c>
      <c r="K179" s="31">
        <v>0.17045454545454544</v>
      </c>
      <c r="L179" s="31">
        <v>0.28289992119779356</v>
      </c>
      <c r="M179" s="31">
        <v>0.23128447596532703</v>
      </c>
      <c r="N179" s="31">
        <v>0.59610027855153203</v>
      </c>
      <c r="O179" s="31">
        <v>0.39693356047700168</v>
      </c>
      <c r="P179" s="31">
        <v>0.40413223140495869</v>
      </c>
    </row>
    <row r="180" spans="1:16" x14ac:dyDescent="0.4">
      <c r="A180" s="33">
        <v>177</v>
      </c>
      <c r="B180" s="30">
        <v>1.3877787807814457E-14</v>
      </c>
      <c r="C180" s="30">
        <v>2.6135193611703307E-17</v>
      </c>
      <c r="D180" s="35">
        <v>2</v>
      </c>
      <c r="E180" s="31">
        <v>0.33333333333333331</v>
      </c>
      <c r="F180" s="31">
        <v>0.33333333333333331</v>
      </c>
      <c r="G180" s="31">
        <v>0.30572289156626509</v>
      </c>
      <c r="H180" s="31">
        <v>0.17771084337349397</v>
      </c>
      <c r="I180" s="32">
        <v>10261.165845648604</v>
      </c>
      <c r="J180" s="32">
        <v>-9548.1638418079092</v>
      </c>
      <c r="K180" s="31">
        <v>0.16949152542372881</v>
      </c>
      <c r="L180" s="31">
        <v>0.2834890965732087</v>
      </c>
      <c r="M180" s="31">
        <v>0.23130841121495327</v>
      </c>
      <c r="N180" s="31">
        <v>0.59615384615384615</v>
      </c>
      <c r="O180" s="31">
        <v>0.39393939393939392</v>
      </c>
      <c r="P180" s="31">
        <v>0.4039408866995074</v>
      </c>
    </row>
    <row r="181" spans="1:16" x14ac:dyDescent="0.4">
      <c r="A181" s="33">
        <v>178</v>
      </c>
      <c r="B181" s="30">
        <v>1.3322676295501878E-14</v>
      </c>
      <c r="C181" s="30">
        <v>2.4948832014048461E-17</v>
      </c>
      <c r="D181" s="35">
        <v>2</v>
      </c>
      <c r="E181" s="31">
        <v>0.33333333333333331</v>
      </c>
      <c r="F181" s="31">
        <v>0.33333333333333331</v>
      </c>
      <c r="G181" s="31">
        <v>0.30588822355289419</v>
      </c>
      <c r="H181" s="31">
        <v>0.17689620758483035</v>
      </c>
      <c r="I181" s="32">
        <v>10273.327895595432</v>
      </c>
      <c r="J181" s="32">
        <v>-9538.7870239774329</v>
      </c>
      <c r="K181" s="31">
        <v>0.16853932584269662</v>
      </c>
      <c r="L181" s="31">
        <v>0.28202160493827161</v>
      </c>
      <c r="M181" s="31">
        <v>0.23148148148148148</v>
      </c>
      <c r="N181" s="31">
        <v>0.59644322845417241</v>
      </c>
      <c r="O181" s="31">
        <v>0.39500000000000002</v>
      </c>
      <c r="P181" s="31">
        <v>0.40701468189233281</v>
      </c>
    </row>
    <row r="182" spans="1:16" x14ac:dyDescent="0.4">
      <c r="A182" s="33">
        <v>179</v>
      </c>
      <c r="B182" s="30">
        <v>1.4210854715202004E-14</v>
      </c>
      <c r="C182" s="30">
        <v>2.6463416601865929E-17</v>
      </c>
      <c r="D182" s="35">
        <v>2</v>
      </c>
      <c r="E182" s="31">
        <v>0.33333333333333331</v>
      </c>
      <c r="F182" s="31">
        <v>0.33333333333333331</v>
      </c>
      <c r="G182" s="31">
        <v>0.3060312732688012</v>
      </c>
      <c r="H182" s="31">
        <v>0.17721518987341772</v>
      </c>
      <c r="I182" s="32">
        <v>10262.043795620439</v>
      </c>
      <c r="J182" s="32">
        <v>-9525.2100840336134</v>
      </c>
      <c r="K182" s="31">
        <v>0.16759776536312848</v>
      </c>
      <c r="L182" s="31">
        <v>0.28243398392652125</v>
      </c>
      <c r="M182" s="31">
        <v>0.23038652889399158</v>
      </c>
      <c r="N182" s="31">
        <v>0.59756097560975607</v>
      </c>
      <c r="O182" s="31">
        <v>0.39368770764119604</v>
      </c>
      <c r="P182" s="31">
        <v>0.40632603406326034</v>
      </c>
    </row>
    <row r="183" spans="1:16" x14ac:dyDescent="0.4">
      <c r="A183" s="33">
        <v>180</v>
      </c>
      <c r="B183" s="30">
        <v>1.4210854715202004E-14</v>
      </c>
      <c r="C183" s="30">
        <v>2.6316397620744452E-17</v>
      </c>
      <c r="D183" s="35">
        <v>2</v>
      </c>
      <c r="E183" s="31">
        <v>0.33333333333333331</v>
      </c>
      <c r="F183" s="31">
        <v>0.33333333333333331</v>
      </c>
      <c r="G183" s="31">
        <v>0.30598669623059865</v>
      </c>
      <c r="H183" s="31">
        <v>0.17689085981768909</v>
      </c>
      <c r="I183" s="32">
        <v>10253.703703703704</v>
      </c>
      <c r="J183" s="32">
        <v>-9527.8551532033434</v>
      </c>
      <c r="K183" s="31">
        <v>0.16666666666666666</v>
      </c>
      <c r="L183" s="31">
        <v>0.2833900870223231</v>
      </c>
      <c r="M183" s="31">
        <v>0.22928490351872871</v>
      </c>
      <c r="N183" s="31">
        <v>0.59946595460614149</v>
      </c>
      <c r="O183" s="31">
        <v>0.39273927392739272</v>
      </c>
      <c r="P183" s="31">
        <v>0.40740740740740738</v>
      </c>
    </row>
    <row r="184" spans="1:16" x14ac:dyDescent="0.4">
      <c r="A184" s="33">
        <v>181</v>
      </c>
      <c r="B184" s="30">
        <v>1.4210854715202004E-14</v>
      </c>
      <c r="C184" s="30">
        <v>2.6171003158751389E-17</v>
      </c>
      <c r="D184" s="35">
        <v>2</v>
      </c>
      <c r="E184" s="31">
        <v>0.33333333333333331</v>
      </c>
      <c r="F184" s="31">
        <v>0.33333333333333331</v>
      </c>
      <c r="G184" s="31">
        <v>0.30594277329420394</v>
      </c>
      <c r="H184" s="31">
        <v>0.17706040596722916</v>
      </c>
      <c r="I184" s="32">
        <v>10235.011990407675</v>
      </c>
      <c r="J184" s="32">
        <v>-9527.209944751381</v>
      </c>
      <c r="K184" s="31">
        <v>0.16574585635359115</v>
      </c>
      <c r="L184" s="31">
        <v>0.28507295173961839</v>
      </c>
      <c r="M184" s="31">
        <v>0.22933034044145156</v>
      </c>
      <c r="N184" s="31">
        <v>0.59711286089238846</v>
      </c>
      <c r="O184" s="31">
        <v>0.39151712887438828</v>
      </c>
      <c r="P184" s="31">
        <v>0.40687450039968026</v>
      </c>
    </row>
    <row r="185" spans="1:16" x14ac:dyDescent="0.4">
      <c r="A185" s="33">
        <v>182</v>
      </c>
      <c r="B185" s="30">
        <v>1.2434497875801753E-14</v>
      </c>
      <c r="C185" s="30">
        <v>2.2773805633336544E-17</v>
      </c>
      <c r="D185" s="35">
        <v>2</v>
      </c>
      <c r="E185" s="31">
        <v>0.33333333333333331</v>
      </c>
      <c r="F185" s="31">
        <v>0.33333333333333331</v>
      </c>
      <c r="G185" s="31">
        <v>0.30587949465500486</v>
      </c>
      <c r="H185" s="31">
        <v>0.1761418853255588</v>
      </c>
      <c r="I185" s="32">
        <v>10229.785544082606</v>
      </c>
      <c r="J185" s="32">
        <v>-9525.1034482758623</v>
      </c>
      <c r="K185" s="31">
        <v>0.16483516483516483</v>
      </c>
      <c r="L185" s="31">
        <v>0.28518518518518521</v>
      </c>
      <c r="M185" s="31">
        <v>0.22962962962962963</v>
      </c>
      <c r="N185" s="31">
        <v>0.59610389610389614</v>
      </c>
      <c r="O185" s="31">
        <v>0.39193548387096772</v>
      </c>
      <c r="P185" s="31">
        <v>0.40984908657664815</v>
      </c>
    </row>
    <row r="186" spans="1:16" x14ac:dyDescent="0.4">
      <c r="A186" s="33">
        <v>183</v>
      </c>
      <c r="B186" s="30">
        <v>1.4210854715202004E-14</v>
      </c>
      <c r="C186" s="30">
        <v>2.5884981266306018E-17</v>
      </c>
      <c r="D186" s="35">
        <v>2</v>
      </c>
      <c r="E186" s="31">
        <v>0.33333333333333331</v>
      </c>
      <c r="F186" s="31">
        <v>0.33333333333333331</v>
      </c>
      <c r="G186" s="31">
        <v>0.30603864734299518</v>
      </c>
      <c r="H186" s="31">
        <v>0.17632850241545894</v>
      </c>
      <c r="I186" s="32">
        <v>10216.416732438833</v>
      </c>
      <c r="J186" s="32">
        <v>-9506.301369863013</v>
      </c>
      <c r="K186" s="31">
        <v>0.16393442622950818</v>
      </c>
      <c r="L186" s="31">
        <v>0.28450807635829661</v>
      </c>
      <c r="M186" s="31">
        <v>0.23127753303964757</v>
      </c>
      <c r="N186" s="31">
        <v>0.59483870967741936</v>
      </c>
      <c r="O186" s="31">
        <v>0.39523809523809522</v>
      </c>
      <c r="P186" s="31">
        <v>0.409629044988161</v>
      </c>
    </row>
    <row r="187" spans="1:16" x14ac:dyDescent="0.4">
      <c r="A187" s="33">
        <v>184</v>
      </c>
      <c r="B187" s="30">
        <v>1.4210854715202004E-14</v>
      </c>
      <c r="C187" s="30">
        <v>2.5744302020293485E-17</v>
      </c>
      <c r="D187" s="35">
        <v>2</v>
      </c>
      <c r="E187" s="31">
        <v>0.33333333333333331</v>
      </c>
      <c r="F187" s="31">
        <v>0.33333333333333331</v>
      </c>
      <c r="G187" s="31">
        <v>0.30577522166307214</v>
      </c>
      <c r="H187" s="31">
        <v>0.17613227893601727</v>
      </c>
      <c r="I187" s="32">
        <v>10217.241379310344</v>
      </c>
      <c r="J187" s="32">
        <v>-9494.6938775510207</v>
      </c>
      <c r="K187" s="31">
        <v>0.16304347826086957</v>
      </c>
      <c r="L187" s="31">
        <v>0.28545520493289805</v>
      </c>
      <c r="M187" s="31">
        <v>0.23104824084149439</v>
      </c>
      <c r="N187" s="31">
        <v>0.5921219822109276</v>
      </c>
      <c r="O187" s="31">
        <v>0.39560439560439559</v>
      </c>
      <c r="P187" s="31">
        <v>0.40987460815047022</v>
      </c>
    </row>
    <row r="188" spans="1:16" x14ac:dyDescent="0.4">
      <c r="A188" s="33">
        <v>185</v>
      </c>
      <c r="B188" s="30">
        <v>1.4210854715202004E-14</v>
      </c>
      <c r="C188" s="30">
        <v>2.5605143630994602E-17</v>
      </c>
      <c r="D188" s="35">
        <v>2</v>
      </c>
      <c r="E188" s="31">
        <v>0.33333333333333331</v>
      </c>
      <c r="F188" s="31">
        <v>0.33333333333333331</v>
      </c>
      <c r="G188" s="31">
        <v>0.30555555555555558</v>
      </c>
      <c r="H188" s="31">
        <v>0.17568850902184235</v>
      </c>
      <c r="I188" s="32">
        <v>10217.948717948719</v>
      </c>
      <c r="J188" s="32">
        <v>-9506.3513513513517</v>
      </c>
      <c r="K188" s="31">
        <v>0.16216216216216217</v>
      </c>
      <c r="L188" s="31">
        <v>0.28683834048640916</v>
      </c>
      <c r="M188" s="31">
        <v>0.2296137339055794</v>
      </c>
      <c r="N188" s="31">
        <v>0.58852867830423938</v>
      </c>
      <c r="O188" s="31">
        <v>0.39875389408099687</v>
      </c>
      <c r="P188" s="31">
        <v>0.41103341103341101</v>
      </c>
    </row>
    <row r="189" spans="1:16" x14ac:dyDescent="0.4">
      <c r="A189" s="33">
        <v>186</v>
      </c>
      <c r="B189" s="30">
        <v>1.5099033134902129E-14</v>
      </c>
      <c r="C189" s="30">
        <v>2.705919916649127E-17</v>
      </c>
      <c r="D189" s="35">
        <v>2</v>
      </c>
      <c r="E189" s="31">
        <v>0.33333333333333331</v>
      </c>
      <c r="F189" s="31">
        <v>0.33333333333333331</v>
      </c>
      <c r="G189" s="31">
        <v>0.30567375886524822</v>
      </c>
      <c r="H189" s="31">
        <v>0.17588652482269504</v>
      </c>
      <c r="I189" s="32">
        <v>10198.994586233566</v>
      </c>
      <c r="J189" s="32">
        <v>-9479.4354838709678</v>
      </c>
      <c r="K189" s="31">
        <v>0.16129032258064516</v>
      </c>
      <c r="L189" s="31">
        <v>0.28678038379530918</v>
      </c>
      <c r="M189" s="31">
        <v>0.22956645344705046</v>
      </c>
      <c r="N189" s="31">
        <v>0.58859975216852545</v>
      </c>
      <c r="O189" s="31">
        <v>0.39938080495356038</v>
      </c>
      <c r="P189" s="31">
        <v>0.41067285382830626</v>
      </c>
    </row>
    <row r="190" spans="1:16" x14ac:dyDescent="0.4">
      <c r="A190" s="33">
        <v>187</v>
      </c>
      <c r="B190" s="30">
        <v>1.5099033134902129E-14</v>
      </c>
      <c r="C190" s="30">
        <v>2.6914497566670462E-17</v>
      </c>
      <c r="D190" s="35">
        <v>2</v>
      </c>
      <c r="E190" s="31">
        <v>0.33333333333333331</v>
      </c>
      <c r="F190" s="31">
        <v>0.33333333333333331</v>
      </c>
      <c r="G190" s="31">
        <v>0.3058298072402445</v>
      </c>
      <c r="H190" s="31">
        <v>0.17559943582510579</v>
      </c>
      <c r="I190" s="32">
        <v>10195.157571099155</v>
      </c>
      <c r="J190" s="32">
        <v>-9471.6198125836672</v>
      </c>
      <c r="K190" s="31">
        <v>0.16042780748663102</v>
      </c>
      <c r="L190" s="31">
        <v>0.28717406624383368</v>
      </c>
      <c r="M190" s="31">
        <v>0.22973925299506695</v>
      </c>
      <c r="N190" s="31">
        <v>0.58895705521472397</v>
      </c>
      <c r="O190" s="31">
        <v>0.40030674846625769</v>
      </c>
      <c r="P190" s="31">
        <v>0.41199077632590314</v>
      </c>
    </row>
    <row r="191" spans="1:16" x14ac:dyDescent="0.4">
      <c r="A191" s="33">
        <v>188</v>
      </c>
      <c r="B191" s="30">
        <v>1.4210854715202004E-14</v>
      </c>
      <c r="C191" s="30">
        <v>2.5196550913478729E-17</v>
      </c>
      <c r="D191" s="35">
        <v>2</v>
      </c>
      <c r="E191" s="31">
        <v>0.33333333333333331</v>
      </c>
      <c r="F191" s="31">
        <v>0.33333333333333331</v>
      </c>
      <c r="G191" s="31">
        <v>0.30582750582750584</v>
      </c>
      <c r="H191" s="31">
        <v>0.17552447552447553</v>
      </c>
      <c r="I191" s="32">
        <v>10188.567073170732</v>
      </c>
      <c r="J191" s="32">
        <v>-9451.5272244355911</v>
      </c>
      <c r="K191" s="31">
        <v>0.16312056737588654</v>
      </c>
      <c r="L191" s="31">
        <v>0.2874043145441893</v>
      </c>
      <c r="M191" s="31">
        <v>0.22860125260960334</v>
      </c>
      <c r="N191" s="31">
        <v>0.59200968523002417</v>
      </c>
      <c r="O191" s="31">
        <v>0.39726027397260272</v>
      </c>
      <c r="P191" s="31">
        <v>0.41234756097560976</v>
      </c>
    </row>
    <row r="192" spans="1:16" x14ac:dyDescent="0.4">
      <c r="A192" s="33">
        <v>189</v>
      </c>
      <c r="B192" s="30">
        <v>1.4210854715202004E-14</v>
      </c>
      <c r="C192" s="30">
        <v>2.5063235829280428E-17</v>
      </c>
      <c r="D192" s="35">
        <v>2</v>
      </c>
      <c r="E192" s="31">
        <v>0.33333333333333331</v>
      </c>
      <c r="F192" s="31">
        <v>0.33333333333333331</v>
      </c>
      <c r="G192" s="31">
        <v>0.30594243268337978</v>
      </c>
      <c r="H192" s="31">
        <v>0.17548746518105848</v>
      </c>
      <c r="I192" s="32">
        <v>10185.053110773901</v>
      </c>
      <c r="J192" s="32">
        <v>-9459.5238095238092</v>
      </c>
      <c r="K192" s="31">
        <v>0.16402116402116401</v>
      </c>
      <c r="L192" s="31">
        <v>0.28699861687413553</v>
      </c>
      <c r="M192" s="31">
        <v>0.22821576763485477</v>
      </c>
      <c r="N192" s="31">
        <v>0.59156626506024101</v>
      </c>
      <c r="O192" s="31">
        <v>0.4</v>
      </c>
      <c r="P192" s="31">
        <v>0.41274658573596357</v>
      </c>
    </row>
    <row r="193" spans="1:16" x14ac:dyDescent="0.4">
      <c r="A193" s="33">
        <v>190</v>
      </c>
      <c r="B193" s="30">
        <v>1.6875389974302379E-14</v>
      </c>
      <c r="C193" s="30">
        <v>2.9605947323337507E-17</v>
      </c>
      <c r="D193" s="35">
        <v>2</v>
      </c>
      <c r="E193" s="31">
        <v>0.33333333333333331</v>
      </c>
      <c r="F193" s="31">
        <v>0.33333333333333331</v>
      </c>
      <c r="G193" s="31">
        <v>0.30603747397640529</v>
      </c>
      <c r="H193" s="31">
        <v>0.17557251908396945</v>
      </c>
      <c r="I193" s="32">
        <v>10186.772486772486</v>
      </c>
      <c r="J193" s="32">
        <v>-9465.8761528326741</v>
      </c>
      <c r="K193" s="31">
        <v>0.1649122807017544</v>
      </c>
      <c r="L193" s="31">
        <v>0.28723770209838323</v>
      </c>
      <c r="M193" s="31">
        <v>0.22772617819057447</v>
      </c>
      <c r="N193" s="31">
        <v>0.59161676646706585</v>
      </c>
      <c r="O193" s="31">
        <v>0.3987915407854985</v>
      </c>
      <c r="P193" s="31">
        <v>0.41269841269841268</v>
      </c>
    </row>
    <row r="194" spans="1:16" x14ac:dyDescent="0.4">
      <c r="A194" s="33">
        <v>191</v>
      </c>
      <c r="B194" s="30">
        <v>2.1316282072803006E-14</v>
      </c>
      <c r="C194" s="30">
        <v>3.7201190353931949E-17</v>
      </c>
      <c r="D194" s="35">
        <v>2</v>
      </c>
      <c r="E194" s="31">
        <v>0.33333333333333331</v>
      </c>
      <c r="F194" s="31">
        <v>0.33333333333333331</v>
      </c>
      <c r="G194" s="31">
        <v>0.305728088336784</v>
      </c>
      <c r="H194" s="31">
        <v>0.17529330572808835</v>
      </c>
      <c r="I194" s="32">
        <v>10177.57712565839</v>
      </c>
      <c r="J194" s="32">
        <v>-9456.0367454068237</v>
      </c>
      <c r="K194" s="31">
        <v>0.16404886561954624</v>
      </c>
      <c r="L194" s="31">
        <v>0.28625042647560561</v>
      </c>
      <c r="M194" s="31">
        <v>0.22790856363016035</v>
      </c>
      <c r="N194" s="31">
        <v>0.59237187127532775</v>
      </c>
      <c r="O194" s="31">
        <v>0.39970059880239522</v>
      </c>
      <c r="P194" s="31">
        <v>0.41309255079006774</v>
      </c>
    </row>
    <row r="195" spans="1:16" x14ac:dyDescent="0.4">
      <c r="A195" s="33">
        <v>192</v>
      </c>
      <c r="B195" s="30">
        <v>2.1316282072803006E-14</v>
      </c>
      <c r="C195" s="30">
        <v>3.7007434154171883E-17</v>
      </c>
      <c r="D195" s="35">
        <v>2</v>
      </c>
      <c r="E195" s="31">
        <v>0.33333333333333331</v>
      </c>
      <c r="F195" s="31">
        <v>0.33333333333333331</v>
      </c>
      <c r="G195" s="31">
        <v>0.30566986739826246</v>
      </c>
      <c r="H195" s="31">
        <v>0.17489711934156379</v>
      </c>
      <c r="I195" s="32">
        <v>10184.293193717278</v>
      </c>
      <c r="J195" s="32">
        <v>-9448.2352941176468</v>
      </c>
      <c r="K195" s="31">
        <v>0.16493055555555555</v>
      </c>
      <c r="L195" s="31">
        <v>0.28668018931710615</v>
      </c>
      <c r="M195" s="31">
        <v>0.2281947261663286</v>
      </c>
      <c r="N195" s="31">
        <v>0.59433962264150941</v>
      </c>
      <c r="O195" s="31">
        <v>0.39555555555555555</v>
      </c>
      <c r="P195" s="31">
        <v>0.41436050860134632</v>
      </c>
    </row>
    <row r="196" spans="1:16" x14ac:dyDescent="0.4">
      <c r="A196" s="33">
        <v>193</v>
      </c>
      <c r="B196" s="30">
        <v>2.8421709430404007E-14</v>
      </c>
      <c r="C196" s="30">
        <v>4.9087581054238353E-17</v>
      </c>
      <c r="D196" s="35">
        <v>2</v>
      </c>
      <c r="E196" s="31">
        <v>0.33333333333333331</v>
      </c>
      <c r="F196" s="31">
        <v>0.33333333333333331</v>
      </c>
      <c r="G196" s="31">
        <v>0.30578324225865211</v>
      </c>
      <c r="H196" s="31">
        <v>0.17509107468123861</v>
      </c>
      <c r="I196" s="32">
        <v>10205.584512285926</v>
      </c>
      <c r="J196" s="32">
        <v>-9489.7269180754229</v>
      </c>
      <c r="K196" s="31">
        <v>0.16580310880829016</v>
      </c>
      <c r="L196" s="31">
        <v>0.28629032258064518</v>
      </c>
      <c r="M196" s="31">
        <v>0.22782258064516128</v>
      </c>
      <c r="N196" s="31">
        <v>0.59507042253521125</v>
      </c>
      <c r="O196" s="31">
        <v>0.39528023598820061</v>
      </c>
      <c r="P196" s="31">
        <v>0.41399851079672373</v>
      </c>
    </row>
    <row r="197" spans="1:16" x14ac:dyDescent="0.4">
      <c r="A197" s="33">
        <v>194</v>
      </c>
      <c r="B197" s="30">
        <v>2.8421709430404007E-14</v>
      </c>
      <c r="C197" s="30">
        <v>4.8834552285917538E-17</v>
      </c>
      <c r="D197" s="35">
        <v>2</v>
      </c>
      <c r="E197" s="31">
        <v>0.33333333333333331</v>
      </c>
      <c r="F197" s="31">
        <v>0.33333333333333331</v>
      </c>
      <c r="G197" s="31">
        <v>0.30576271186440679</v>
      </c>
      <c r="H197" s="31">
        <v>0.17491525423728813</v>
      </c>
      <c r="I197" s="32">
        <v>10203.473762010348</v>
      </c>
      <c r="J197" s="32">
        <v>-9473.9018087855293</v>
      </c>
      <c r="K197" s="31">
        <v>0.16494845360824742</v>
      </c>
      <c r="L197" s="31">
        <v>0.28614157527417744</v>
      </c>
      <c r="M197" s="31">
        <v>0.22831505483549352</v>
      </c>
      <c r="N197" s="31">
        <v>0.59698025551684086</v>
      </c>
      <c r="O197" s="31">
        <v>0.3930131004366812</v>
      </c>
      <c r="P197" s="31">
        <v>0.41463414634146339</v>
      </c>
    </row>
    <row r="198" spans="1:16" x14ac:dyDescent="0.4">
      <c r="A198" s="33">
        <v>195</v>
      </c>
      <c r="B198" s="30">
        <v>2.8421709430404007E-14</v>
      </c>
      <c r="C198" s="30">
        <v>4.8584118684451295E-17</v>
      </c>
      <c r="D198" s="35">
        <v>2</v>
      </c>
      <c r="E198" s="31">
        <v>0.33333333333333331</v>
      </c>
      <c r="F198" s="31">
        <v>0.33333333333333331</v>
      </c>
      <c r="G198" s="31">
        <v>0.30566801619433198</v>
      </c>
      <c r="H198" s="31">
        <v>0.17476383265856951</v>
      </c>
      <c r="I198" s="32">
        <v>10204.19426048565</v>
      </c>
      <c r="J198" s="32">
        <v>-9455.598455598456</v>
      </c>
      <c r="K198" s="31">
        <v>0.16581196581196581</v>
      </c>
      <c r="L198" s="31">
        <v>0.2858085808580858</v>
      </c>
      <c r="M198" s="31">
        <v>0.22772277227722773</v>
      </c>
      <c r="N198" s="31">
        <v>0.59815242494226328</v>
      </c>
      <c r="O198" s="31">
        <v>0.39275362318840579</v>
      </c>
      <c r="P198" s="31">
        <v>0.41501103752759383</v>
      </c>
    </row>
    <row r="199" spans="1:16" x14ac:dyDescent="0.4">
      <c r="A199" s="33">
        <v>196</v>
      </c>
      <c r="B199" s="30">
        <v>2.8421709430404007E-14</v>
      </c>
      <c r="C199" s="30">
        <v>4.833624052789797E-17</v>
      </c>
      <c r="D199" s="35">
        <v>2</v>
      </c>
      <c r="E199" s="31">
        <v>0.33333333333333331</v>
      </c>
      <c r="F199" s="31">
        <v>0.33333333333333331</v>
      </c>
      <c r="G199" s="31">
        <v>0.30574248541947063</v>
      </c>
      <c r="H199" s="31">
        <v>0.17519066846119336</v>
      </c>
      <c r="I199" s="32">
        <v>10215.333822450477</v>
      </c>
      <c r="J199" s="32">
        <v>-9478.8732394366198</v>
      </c>
      <c r="K199" s="31">
        <v>0.16666666666666666</v>
      </c>
      <c r="L199" s="31">
        <v>0.28599605522682447</v>
      </c>
      <c r="M199" s="31">
        <v>0.22781065088757396</v>
      </c>
      <c r="N199" s="31">
        <v>0.5977011494252874</v>
      </c>
      <c r="O199" s="31">
        <v>0.39393939393939392</v>
      </c>
      <c r="P199" s="31">
        <v>0.41379310344827586</v>
      </c>
    </row>
    <row r="200" spans="1:16" x14ac:dyDescent="0.4">
      <c r="A200" s="33">
        <v>197</v>
      </c>
      <c r="B200" s="30">
        <v>2.8421709430404007E-14</v>
      </c>
      <c r="C200" s="30">
        <v>4.8090878900852803E-17</v>
      </c>
      <c r="D200" s="35">
        <v>2</v>
      </c>
      <c r="E200" s="31">
        <v>0.33333333333333331</v>
      </c>
      <c r="F200" s="31">
        <v>0.33333333333333331</v>
      </c>
      <c r="G200" s="31">
        <v>0.3057610401255324</v>
      </c>
      <c r="H200" s="31">
        <v>0.1752970186056938</v>
      </c>
      <c r="I200" s="32">
        <v>10234.237536656892</v>
      </c>
      <c r="J200" s="32">
        <v>-9512.7877237851662</v>
      </c>
      <c r="K200" s="31">
        <v>0.16751269035532995</v>
      </c>
      <c r="L200" s="31">
        <v>0.28604269293924467</v>
      </c>
      <c r="M200" s="31">
        <v>0.22791461412151068</v>
      </c>
      <c r="N200" s="31">
        <v>0.59816303099885193</v>
      </c>
      <c r="O200" s="31">
        <v>0.39337175792507206</v>
      </c>
      <c r="P200" s="31">
        <v>0.41348973607038125</v>
      </c>
    </row>
    <row r="201" spans="1:16" x14ac:dyDescent="0.4">
      <c r="A201" s="33">
        <v>198</v>
      </c>
      <c r="B201" s="30">
        <v>2.6645352591003757E-14</v>
      </c>
      <c r="C201" s="30">
        <v>4.4857495944450769E-17</v>
      </c>
      <c r="D201" s="35">
        <v>2</v>
      </c>
      <c r="E201" s="31">
        <v>0.33333333333333331</v>
      </c>
      <c r="F201" s="31">
        <v>0.33333333333333331</v>
      </c>
      <c r="G201" s="31">
        <v>0.30592691622103385</v>
      </c>
      <c r="H201" s="31">
        <v>0.17491087344028519</v>
      </c>
      <c r="I201" s="32">
        <v>10249.162418062637</v>
      </c>
      <c r="J201" s="32">
        <v>-9512.866242038217</v>
      </c>
      <c r="K201" s="31">
        <v>0.16666666666666666</v>
      </c>
      <c r="L201" s="31">
        <v>0.2861328125</v>
      </c>
      <c r="M201" s="31">
        <v>0.2275390625</v>
      </c>
      <c r="N201" s="31">
        <v>0.60068259385665534</v>
      </c>
      <c r="O201" s="31">
        <v>0.39341917024320455</v>
      </c>
      <c r="P201" s="31">
        <v>0.41514930808448652</v>
      </c>
    </row>
    <row r="202" spans="1:16" x14ac:dyDescent="0.4">
      <c r="A202" s="33">
        <v>199</v>
      </c>
      <c r="B202" s="30">
        <v>2.8421709430404007E-14</v>
      </c>
      <c r="C202" s="30">
        <v>4.7607553484763832E-17</v>
      </c>
      <c r="D202" s="35">
        <v>2</v>
      </c>
      <c r="E202" s="31">
        <v>0.33333333333333331</v>
      </c>
      <c r="F202" s="31">
        <v>0.33333333333333331</v>
      </c>
      <c r="G202" s="31">
        <v>0.30585106382978722</v>
      </c>
      <c r="H202" s="31">
        <v>0.17486702127659576</v>
      </c>
      <c r="I202" s="32">
        <v>10240</v>
      </c>
      <c r="J202" s="32">
        <v>-9482.762991128011</v>
      </c>
      <c r="K202" s="31">
        <v>0.16582914572864321</v>
      </c>
      <c r="L202" s="31">
        <v>0.28585271317829458</v>
      </c>
      <c r="M202" s="31">
        <v>0.2270671834625323</v>
      </c>
      <c r="N202" s="31">
        <v>0.60112994350282489</v>
      </c>
      <c r="O202" s="31">
        <v>0.39402560455192032</v>
      </c>
      <c r="P202" s="31">
        <v>0.41521739130434782</v>
      </c>
    </row>
    <row r="203" spans="1:16" x14ac:dyDescent="0.4">
      <c r="A203" s="33">
        <v>200</v>
      </c>
      <c r="B203" s="30">
        <v>2.8421709430404007E-14</v>
      </c>
      <c r="C203" s="30">
        <v>4.7369515717340015E-17</v>
      </c>
      <c r="D203" s="35">
        <v>2</v>
      </c>
      <c r="E203" s="31">
        <v>0.33333333333333331</v>
      </c>
      <c r="F203" s="31">
        <v>0.33333333333333331</v>
      </c>
      <c r="G203" s="31">
        <v>0.30597838076329142</v>
      </c>
      <c r="H203" s="31">
        <v>0.17493933377454224</v>
      </c>
      <c r="I203" s="32">
        <v>10232.444124008653</v>
      </c>
      <c r="J203" s="32">
        <v>-9488.3984867591425</v>
      </c>
      <c r="K203" s="31">
        <v>0.16666666666666666</v>
      </c>
      <c r="L203" s="31">
        <v>0.28681424446583254</v>
      </c>
      <c r="M203" s="31">
        <v>0.22778312479948667</v>
      </c>
      <c r="N203" s="31">
        <v>0.59843400447427297</v>
      </c>
      <c r="O203" s="31">
        <v>0.39295774647887322</v>
      </c>
      <c r="P203" s="31">
        <v>0.41528478731074259</v>
      </c>
    </row>
    <row r="204" spans="1:16" x14ac:dyDescent="0.4">
      <c r="A204" s="33">
        <v>201</v>
      </c>
      <c r="B204" s="30">
        <v>2.8421709430404007E-14</v>
      </c>
      <c r="C204" s="30">
        <v>4.7133846484915436E-17</v>
      </c>
      <c r="D204" s="35">
        <v>2</v>
      </c>
      <c r="E204" s="31">
        <v>0.33333333333333331</v>
      </c>
      <c r="F204" s="31">
        <v>0.33333333333333331</v>
      </c>
      <c r="G204" s="31">
        <v>0.30550076703922857</v>
      </c>
      <c r="H204" s="31">
        <v>0.17466579005040545</v>
      </c>
      <c r="I204" s="32">
        <v>10229.770444763271</v>
      </c>
      <c r="J204" s="32">
        <v>-9480.8030112923461</v>
      </c>
      <c r="K204" s="31">
        <v>0.16583747927031509</v>
      </c>
      <c r="L204" s="31">
        <v>0.28852875754687002</v>
      </c>
      <c r="M204" s="31">
        <v>0.22751827136955832</v>
      </c>
      <c r="N204" s="31">
        <v>0.5958149779735683</v>
      </c>
      <c r="O204" s="31">
        <v>0.39106145251396646</v>
      </c>
      <c r="P204" s="31">
        <v>0.41535150645624103</v>
      </c>
    </row>
    <row r="205" spans="1:16" x14ac:dyDescent="0.4">
      <c r="A205" s="33">
        <v>202</v>
      </c>
      <c r="B205" s="30">
        <v>2.886579864025407E-14</v>
      </c>
      <c r="C205" s="30">
        <v>4.7633331089528166E-17</v>
      </c>
      <c r="D205" s="35">
        <v>2</v>
      </c>
      <c r="E205" s="31">
        <v>0.33333333333333331</v>
      </c>
      <c r="F205" s="31">
        <v>0.33333333333333331</v>
      </c>
      <c r="G205" s="31">
        <v>0.30568256041802744</v>
      </c>
      <c r="H205" s="31">
        <v>0.17483126496843021</v>
      </c>
      <c r="I205" s="32">
        <v>10222.578347578348</v>
      </c>
      <c r="J205" s="32">
        <v>-9462.5155666251558</v>
      </c>
      <c r="K205" s="31">
        <v>0.16501650165016502</v>
      </c>
      <c r="L205" s="31">
        <v>0.28769279194208375</v>
      </c>
      <c r="M205" s="31">
        <v>0.22788794460182563</v>
      </c>
      <c r="N205" s="31">
        <v>0.59737417943107218</v>
      </c>
      <c r="O205" s="31">
        <v>0.39226519337016574</v>
      </c>
      <c r="P205" s="31">
        <v>0.41524216524216523</v>
      </c>
    </row>
    <row r="206" spans="1:16" x14ac:dyDescent="0.4">
      <c r="A206" s="33">
        <v>203</v>
      </c>
      <c r="B206" s="30">
        <v>2.5757174171303632E-14</v>
      </c>
      <c r="C206" s="30">
        <v>4.2294210461910723E-17</v>
      </c>
      <c r="D206" s="35">
        <v>2</v>
      </c>
      <c r="E206" s="31">
        <v>0.33333333333333331</v>
      </c>
      <c r="F206" s="31">
        <v>0.33333333333333331</v>
      </c>
      <c r="G206" s="31">
        <v>0.305609703270522</v>
      </c>
      <c r="H206" s="31">
        <v>0.17500541477149664</v>
      </c>
      <c r="I206" s="32">
        <v>10206.520198440821</v>
      </c>
      <c r="J206" s="32">
        <v>-9444.6782178217818</v>
      </c>
      <c r="K206" s="31">
        <v>0.16584564860426929</v>
      </c>
      <c r="L206" s="31">
        <v>0.2880349890659169</v>
      </c>
      <c r="M206" s="31">
        <v>0.22774133083411435</v>
      </c>
      <c r="N206" s="31">
        <v>0.59761388286334061</v>
      </c>
      <c r="O206" s="31">
        <v>0.39094650205761317</v>
      </c>
      <c r="P206" s="31">
        <v>0.41459957476966691</v>
      </c>
    </row>
    <row r="207" spans="1:16" x14ac:dyDescent="0.4">
      <c r="A207" s="33">
        <v>204</v>
      </c>
      <c r="B207" s="30">
        <v>2.8421709430404007E-14</v>
      </c>
      <c r="C207" s="30">
        <v>4.644070168366668E-17</v>
      </c>
      <c r="D207" s="35">
        <v>2</v>
      </c>
      <c r="E207" s="31">
        <v>0.33333333333333331</v>
      </c>
      <c r="F207" s="31">
        <v>0.33333333333333331</v>
      </c>
      <c r="G207" s="31">
        <v>0.30510665804783454</v>
      </c>
      <c r="H207" s="31">
        <v>0.17453135100193923</v>
      </c>
      <c r="I207" s="32">
        <v>10229.802259887005</v>
      </c>
      <c r="J207" s="32">
        <v>-9458.3950617283954</v>
      </c>
      <c r="K207" s="31">
        <v>0.16666666666666666</v>
      </c>
      <c r="L207" s="31">
        <v>0.28744186046511627</v>
      </c>
      <c r="M207" s="31">
        <v>0.22759689922480619</v>
      </c>
      <c r="N207" s="31">
        <v>0.59654800431499455</v>
      </c>
      <c r="O207" s="31">
        <v>0.38964577656675747</v>
      </c>
      <c r="P207" s="31">
        <v>0.4152542372881356</v>
      </c>
    </row>
    <row r="208" spans="1:16" x14ac:dyDescent="0.4">
      <c r="A208" s="33">
        <v>205</v>
      </c>
      <c r="B208" s="30">
        <v>2.8421709430404007E-14</v>
      </c>
      <c r="C208" s="30">
        <v>4.6214161675453671E-17</v>
      </c>
      <c r="D208" s="35">
        <v>2</v>
      </c>
      <c r="E208" s="31">
        <v>0.33333333333333331</v>
      </c>
      <c r="F208" s="31">
        <v>0.33333333333333331</v>
      </c>
      <c r="G208" s="31">
        <v>0.30503751339764201</v>
      </c>
      <c r="H208" s="31">
        <v>0.17470525187566988</v>
      </c>
      <c r="I208" s="32">
        <v>10233.731553056921</v>
      </c>
      <c r="J208" s="32">
        <v>-9450.9202453987727</v>
      </c>
      <c r="K208" s="31">
        <v>0.16585365853658537</v>
      </c>
      <c r="L208" s="31">
        <v>0.28747306863650351</v>
      </c>
      <c r="M208" s="31">
        <v>0.22837796244998462</v>
      </c>
      <c r="N208" s="31">
        <v>0.59635974304068518</v>
      </c>
      <c r="O208" s="31">
        <v>0.38948787061994611</v>
      </c>
      <c r="P208" s="31">
        <v>0.41461700632466619</v>
      </c>
    </row>
    <row r="209" spans="1:16" x14ac:dyDescent="0.4">
      <c r="A209" s="33">
        <v>206</v>
      </c>
      <c r="B209" s="30">
        <v>3.0198066269804258E-14</v>
      </c>
      <c r="C209" s="30">
        <v>4.8864184902595885E-17</v>
      </c>
      <c r="D209" s="35">
        <v>2</v>
      </c>
      <c r="E209" s="31">
        <v>0.33333333333333331</v>
      </c>
      <c r="F209" s="31">
        <v>0.33333333333333331</v>
      </c>
      <c r="G209" s="31">
        <v>0.30496907656216676</v>
      </c>
      <c r="H209" s="31">
        <v>0.1744508423970996</v>
      </c>
      <c r="I209" s="32">
        <v>10224.615384615385</v>
      </c>
      <c r="J209" s="32">
        <v>-9445.1100244498775</v>
      </c>
      <c r="K209" s="31">
        <v>0.1650485436893204</v>
      </c>
      <c r="L209" s="31">
        <v>0.28689275893675525</v>
      </c>
      <c r="M209" s="31">
        <v>0.22823098075160403</v>
      </c>
      <c r="N209" s="31">
        <v>0.597444089456869</v>
      </c>
      <c r="O209" s="31">
        <v>0.38955823293172692</v>
      </c>
      <c r="P209" s="31">
        <v>0.41538461538461541</v>
      </c>
    </row>
    <row r="210" spans="1:16" x14ac:dyDescent="0.4">
      <c r="A210" s="33">
        <v>207</v>
      </c>
      <c r="B210" s="30">
        <v>3.1974423109204508E-14</v>
      </c>
      <c r="C210" s="30">
        <v>5.1488604040586971E-17</v>
      </c>
      <c r="D210" s="35">
        <v>2</v>
      </c>
      <c r="E210" s="31">
        <v>0.33333333333333331</v>
      </c>
      <c r="F210" s="31">
        <v>0.33333333333333331</v>
      </c>
      <c r="G210" s="31">
        <v>0.30486509454004673</v>
      </c>
      <c r="H210" s="31">
        <v>0.17399617590822181</v>
      </c>
      <c r="I210" s="32">
        <v>10242.787456445993</v>
      </c>
      <c r="J210" s="32">
        <v>-9462.8815628815628</v>
      </c>
      <c r="K210" s="31">
        <v>0.16586151368760063</v>
      </c>
      <c r="L210" s="31">
        <v>0.28684290489213005</v>
      </c>
      <c r="M210" s="31">
        <v>0.22819811607414159</v>
      </c>
      <c r="N210" s="31">
        <v>0.59639830508474578</v>
      </c>
      <c r="O210" s="31">
        <v>0.38881491344873503</v>
      </c>
      <c r="P210" s="31">
        <v>0.41672473867595816</v>
      </c>
    </row>
    <row r="211" spans="1:16" x14ac:dyDescent="0.4">
      <c r="A211" s="33">
        <v>208</v>
      </c>
      <c r="B211" s="30">
        <v>3.5527136788005009E-14</v>
      </c>
      <c r="C211" s="30">
        <v>5.6934514083341356E-17</v>
      </c>
      <c r="D211" s="35">
        <v>2</v>
      </c>
      <c r="E211" s="31">
        <v>0.33333333333333331</v>
      </c>
      <c r="F211" s="31">
        <v>0.33333333333333331</v>
      </c>
      <c r="G211" s="31">
        <v>0.30495552731893266</v>
      </c>
      <c r="H211" s="31">
        <v>0.17386700550614145</v>
      </c>
      <c r="I211" s="32">
        <v>10247.430555555555</v>
      </c>
      <c r="J211" s="32">
        <v>-9468.940316686967</v>
      </c>
      <c r="K211" s="31">
        <v>0.16666666666666666</v>
      </c>
      <c r="L211" s="31">
        <v>0.2870538415003025</v>
      </c>
      <c r="M211" s="31">
        <v>0.22837265577737448</v>
      </c>
      <c r="N211" s="31">
        <v>0.59536354056901997</v>
      </c>
      <c r="O211" s="31">
        <v>0.38940397350993378</v>
      </c>
      <c r="P211" s="31">
        <v>0.41666666666666669</v>
      </c>
    </row>
    <row r="212" spans="1:16" x14ac:dyDescent="0.4">
      <c r="A212" s="33">
        <v>209</v>
      </c>
      <c r="B212" s="30">
        <v>3.5527136788005009E-14</v>
      </c>
      <c r="C212" s="30">
        <v>5.6662100140358862E-17</v>
      </c>
      <c r="D212" s="35">
        <v>2</v>
      </c>
      <c r="E212" s="31">
        <v>0.33333333333333331</v>
      </c>
      <c r="F212" s="31">
        <v>0.33333333333333331</v>
      </c>
      <c r="G212" s="31">
        <v>0.30481622306717365</v>
      </c>
      <c r="H212" s="31">
        <v>0.17363751584283904</v>
      </c>
      <c r="I212" s="32">
        <v>10281.566181566182</v>
      </c>
      <c r="J212" s="32">
        <v>-9486.6180048661809</v>
      </c>
      <c r="K212" s="31">
        <v>0.1674641148325359</v>
      </c>
      <c r="L212" s="31">
        <v>0.28722121760096442</v>
      </c>
      <c r="M212" s="31">
        <v>0.22784810126582278</v>
      </c>
      <c r="N212" s="31">
        <v>0.59496327387198322</v>
      </c>
      <c r="O212" s="31">
        <v>0.39021164021164023</v>
      </c>
      <c r="P212" s="31">
        <v>0.41718641718641719</v>
      </c>
    </row>
    <row r="213" spans="1:16" x14ac:dyDescent="0.4">
      <c r="A213" s="33">
        <v>210</v>
      </c>
      <c r="B213" s="30">
        <v>3.4638958368304884E-14</v>
      </c>
      <c r="C213" s="30">
        <v>5.4982473600483945E-17</v>
      </c>
      <c r="D213" s="35">
        <v>2</v>
      </c>
      <c r="E213" s="31">
        <v>0.33333333333333331</v>
      </c>
      <c r="F213" s="31">
        <v>0.33333333333333331</v>
      </c>
      <c r="G213" s="31">
        <v>0.30473186119873819</v>
      </c>
      <c r="H213" s="31">
        <v>0.17350157728706625</v>
      </c>
      <c r="I213" s="32">
        <v>10269.496204278814</v>
      </c>
      <c r="J213" s="32">
        <v>-9469.3333333333339</v>
      </c>
      <c r="K213" s="31">
        <v>0.16666666666666666</v>
      </c>
      <c r="L213" s="31">
        <v>0.28691224917640012</v>
      </c>
      <c r="M213" s="31">
        <v>0.22761305780173705</v>
      </c>
      <c r="N213" s="31">
        <v>0.59498956158663885</v>
      </c>
      <c r="O213" s="31">
        <v>0.39078947368421052</v>
      </c>
      <c r="P213" s="31">
        <v>0.41752933057280883</v>
      </c>
    </row>
    <row r="214" spans="1:16" x14ac:dyDescent="0.4">
      <c r="A214" s="33">
        <v>211</v>
      </c>
      <c r="B214" s="30">
        <v>3.8413716652030416E-14</v>
      </c>
      <c r="C214" s="30">
        <v>6.0685176385514088E-17</v>
      </c>
      <c r="D214" s="35">
        <v>2</v>
      </c>
      <c r="E214" s="31">
        <v>0.33333333333333331</v>
      </c>
      <c r="F214" s="31">
        <v>0.33333333333333331</v>
      </c>
      <c r="G214" s="31">
        <v>0.30494677520350655</v>
      </c>
      <c r="H214" s="31">
        <v>0.1738676685451889</v>
      </c>
      <c r="I214" s="32">
        <v>10269.609856262834</v>
      </c>
      <c r="J214" s="32">
        <v>-9493.1572629051625</v>
      </c>
      <c r="K214" s="31">
        <v>0.16587677725118483</v>
      </c>
      <c r="L214" s="31">
        <v>0.28711111111111109</v>
      </c>
      <c r="M214" s="31">
        <v>0.22696296296296295</v>
      </c>
      <c r="N214" s="31">
        <v>0.59442724458204332</v>
      </c>
      <c r="O214" s="31">
        <v>0.39295039164490864</v>
      </c>
      <c r="P214" s="31">
        <v>0.41683778234086244</v>
      </c>
    </row>
    <row r="215" spans="1:16" x14ac:dyDescent="0.4">
      <c r="A215" s="33">
        <v>212</v>
      </c>
      <c r="B215" s="30">
        <v>3.730349362740526E-14</v>
      </c>
      <c r="C215" s="30">
        <v>5.8653291866989401E-17</v>
      </c>
      <c r="D215" s="35">
        <v>2</v>
      </c>
      <c r="E215" s="31">
        <v>0.33333333333333331</v>
      </c>
      <c r="F215" s="31">
        <v>0.33333333333333331</v>
      </c>
      <c r="G215" s="31">
        <v>0.3048628428927681</v>
      </c>
      <c r="H215" s="31">
        <v>0.17373233582709893</v>
      </c>
      <c r="I215" s="32">
        <v>10261.758691206544</v>
      </c>
      <c r="J215" s="32">
        <v>-9492.5837320574155</v>
      </c>
      <c r="K215" s="31">
        <v>0.1650943396226415</v>
      </c>
      <c r="L215" s="31">
        <v>0.28769140164899881</v>
      </c>
      <c r="M215" s="31">
        <v>0.22673733804475854</v>
      </c>
      <c r="N215" s="31">
        <v>0.59365404298874103</v>
      </c>
      <c r="O215" s="31">
        <v>0.39350649350649353</v>
      </c>
      <c r="P215" s="31">
        <v>0.41717791411042943</v>
      </c>
    </row>
    <row r="216" spans="1:16" x14ac:dyDescent="0.4">
      <c r="A216" s="33">
        <v>213</v>
      </c>
      <c r="B216" s="30">
        <v>4.2632564145606011E-14</v>
      </c>
      <c r="C216" s="30">
        <v>6.6717627770901427E-17</v>
      </c>
      <c r="D216" s="35">
        <v>2</v>
      </c>
      <c r="E216" s="31">
        <v>0.33333333333333331</v>
      </c>
      <c r="F216" s="31">
        <v>0.33333333333333331</v>
      </c>
      <c r="G216" s="31">
        <v>0.30498655079660664</v>
      </c>
      <c r="H216" s="31">
        <v>0.17380509000620734</v>
      </c>
      <c r="I216" s="32">
        <v>10271.9131614654</v>
      </c>
      <c r="J216" s="32">
        <v>-9505.9523809523816</v>
      </c>
      <c r="K216" s="31">
        <v>0.16588419405320814</v>
      </c>
      <c r="L216" s="31">
        <v>0.28767925080479956</v>
      </c>
      <c r="M216" s="31">
        <v>0.22622183201638865</v>
      </c>
      <c r="N216" s="31">
        <v>0.59409969481180058</v>
      </c>
      <c r="O216" s="31">
        <v>0.39327296248382926</v>
      </c>
      <c r="P216" s="31">
        <v>0.41723202170963364</v>
      </c>
    </row>
    <row r="217" spans="1:16" x14ac:dyDescent="0.4">
      <c r="A217" s="33">
        <v>214</v>
      </c>
      <c r="B217" s="30">
        <v>4.3076653355456074E-14</v>
      </c>
      <c r="C217" s="30">
        <v>6.709759089634902E-17</v>
      </c>
      <c r="D217" s="35">
        <v>2</v>
      </c>
      <c r="E217" s="31">
        <v>0.33333333333333331</v>
      </c>
      <c r="F217" s="31">
        <v>0.33333333333333331</v>
      </c>
      <c r="G217" s="31">
        <v>0.30471484455425157</v>
      </c>
      <c r="H217" s="31">
        <v>0.17397570516779906</v>
      </c>
      <c r="I217" s="32">
        <v>10253.783783783783</v>
      </c>
      <c r="J217" s="32">
        <v>-9486.1538461538457</v>
      </c>
      <c r="K217" s="31">
        <v>0.16510903426791276</v>
      </c>
      <c r="L217" s="31">
        <v>0.28857890148212728</v>
      </c>
      <c r="M217" s="31">
        <v>0.22580645161290322</v>
      </c>
      <c r="N217" s="31">
        <v>0.59315206445115809</v>
      </c>
      <c r="O217" s="31">
        <v>0.39253539253539255</v>
      </c>
      <c r="P217" s="31">
        <v>0.41621621621621624</v>
      </c>
    </row>
    <row r="218" spans="1:16" x14ac:dyDescent="0.4">
      <c r="A218" s="33">
        <v>215</v>
      </c>
      <c r="B218" s="30">
        <v>4.2632564145606011E-14</v>
      </c>
      <c r="C218" s="30">
        <v>6.6096998675358156E-17</v>
      </c>
      <c r="D218" s="35">
        <v>2</v>
      </c>
      <c r="E218" s="31">
        <v>0.33333333333333331</v>
      </c>
      <c r="F218" s="31">
        <v>0.33333333333333331</v>
      </c>
      <c r="G218" s="31">
        <v>0.30465068633476744</v>
      </c>
      <c r="H218" s="31">
        <v>0.17373489039131326</v>
      </c>
      <c r="I218" s="32">
        <v>10247.007397444519</v>
      </c>
      <c r="J218" s="32">
        <v>-9474.2924528301883</v>
      </c>
      <c r="K218" s="31">
        <v>0.16434108527131783</v>
      </c>
      <c r="L218" s="31">
        <v>0.28860028860028858</v>
      </c>
      <c r="M218" s="31">
        <v>0.22568542568542568</v>
      </c>
      <c r="N218" s="31">
        <v>0.59399999999999997</v>
      </c>
      <c r="O218" s="31">
        <v>0.39002557544757033</v>
      </c>
      <c r="P218" s="31">
        <v>0.41694687289845328</v>
      </c>
    </row>
    <row r="219" spans="1:16" x14ac:dyDescent="0.4">
      <c r="A219" s="33">
        <v>216</v>
      </c>
      <c r="B219" s="30">
        <v>4.2632564145606011E-14</v>
      </c>
      <c r="C219" s="30">
        <v>6.5790994051861125E-17</v>
      </c>
      <c r="D219" s="35">
        <v>2</v>
      </c>
      <c r="E219" s="31">
        <v>0.33333333333333331</v>
      </c>
      <c r="F219" s="31">
        <v>0.33333333333333331</v>
      </c>
      <c r="G219" s="31">
        <v>0.30470347648261759</v>
      </c>
      <c r="H219" s="31">
        <v>0.17382413087934559</v>
      </c>
      <c r="I219" s="32">
        <v>10257.24832214765</v>
      </c>
      <c r="J219" s="32">
        <v>-9492</v>
      </c>
      <c r="K219" s="31">
        <v>0.16512345679012347</v>
      </c>
      <c r="L219" s="31">
        <v>0.2890040299366724</v>
      </c>
      <c r="M219" s="31">
        <v>0.22538860103626943</v>
      </c>
      <c r="N219" s="31">
        <v>0.59462151394422313</v>
      </c>
      <c r="O219" s="31">
        <v>0.38952745849297571</v>
      </c>
      <c r="P219" s="31">
        <v>0.41677852348993288</v>
      </c>
    </row>
    <row r="220" spans="1:16" x14ac:dyDescent="0.4">
      <c r="A220" s="33">
        <v>217</v>
      </c>
      <c r="B220" s="30">
        <v>4.2632564145606011E-14</v>
      </c>
      <c r="C220" s="30">
        <v>6.5487809747474671E-17</v>
      </c>
      <c r="D220" s="35">
        <v>2</v>
      </c>
      <c r="E220" s="31">
        <v>0.33333333333333331</v>
      </c>
      <c r="F220" s="31">
        <v>0.33333333333333331</v>
      </c>
      <c r="G220" s="31">
        <v>0.30426829268292682</v>
      </c>
      <c r="H220" s="31">
        <v>0.1733739837398374</v>
      </c>
      <c r="I220" s="32">
        <v>10252.638610554442</v>
      </c>
      <c r="J220" s="32">
        <v>-9493.3177022274322</v>
      </c>
      <c r="K220" s="31">
        <v>0.16589861751152074</v>
      </c>
      <c r="L220" s="31">
        <v>0.28995433789954339</v>
      </c>
      <c r="M220" s="31">
        <v>0.22431506849315069</v>
      </c>
      <c r="N220" s="31">
        <v>0.59153543307086609</v>
      </c>
      <c r="O220" s="31">
        <v>0.38931297709923662</v>
      </c>
      <c r="P220" s="31">
        <v>0.41750167000668004</v>
      </c>
    </row>
    <row r="221" spans="1:16" x14ac:dyDescent="0.4">
      <c r="A221" s="33">
        <v>218</v>
      </c>
      <c r="B221" s="30">
        <v>4.2632564145606011E-14</v>
      </c>
      <c r="C221" s="30">
        <v>6.5187406950467911E-17</v>
      </c>
      <c r="D221" s="35">
        <v>2</v>
      </c>
      <c r="E221" s="31">
        <v>0.33333333333333331</v>
      </c>
      <c r="F221" s="31">
        <v>0.33333333333333331</v>
      </c>
      <c r="G221" s="31">
        <v>0.30440938511326859</v>
      </c>
      <c r="H221" s="31">
        <v>0.17354368932038836</v>
      </c>
      <c r="I221" s="32">
        <v>10265.913621262458</v>
      </c>
      <c r="J221" s="32">
        <v>-9507.9254079254079</v>
      </c>
      <c r="K221" s="31">
        <v>0.16513761467889909</v>
      </c>
      <c r="L221" s="31">
        <v>0.2905328798185941</v>
      </c>
      <c r="M221" s="31">
        <v>0.22363945578231292</v>
      </c>
      <c r="N221" s="31">
        <v>0.59219512195121948</v>
      </c>
      <c r="O221" s="31">
        <v>0.38910012674271227</v>
      </c>
      <c r="P221" s="31">
        <v>0.41727574750830565</v>
      </c>
    </row>
    <row r="222" spans="1:16" x14ac:dyDescent="0.4">
      <c r="A222" s="33">
        <v>219</v>
      </c>
      <c r="B222" s="30">
        <v>4.1744385725905886E-14</v>
      </c>
      <c r="C222" s="30">
        <v>6.3537877817208346E-17</v>
      </c>
      <c r="D222" s="35">
        <v>2</v>
      </c>
      <c r="E222" s="31">
        <v>0.33333333333333331</v>
      </c>
      <c r="F222" s="31">
        <v>0.33333333333333331</v>
      </c>
      <c r="G222" s="31">
        <v>0.30436531884932611</v>
      </c>
      <c r="H222" s="31">
        <v>0.17380808690404345</v>
      </c>
      <c r="I222" s="32">
        <v>10249.570389953735</v>
      </c>
      <c r="J222" s="32">
        <v>-9493.0555555555547</v>
      </c>
      <c r="K222" s="31">
        <v>0.16438356164383561</v>
      </c>
      <c r="L222" s="31">
        <v>0.28973277074542897</v>
      </c>
      <c r="M222" s="31">
        <v>0.2239099859353024</v>
      </c>
      <c r="N222" s="31">
        <v>0.59126213592233012</v>
      </c>
      <c r="O222" s="31">
        <v>0.3907035175879397</v>
      </c>
      <c r="P222" s="31">
        <v>0.41639127561136813</v>
      </c>
    </row>
    <row r="223" spans="1:16" x14ac:dyDescent="0.4">
      <c r="A223" s="33">
        <v>220</v>
      </c>
      <c r="B223" s="30">
        <v>4.2632564145606011E-14</v>
      </c>
      <c r="C223" s="30">
        <v>6.4594794160009105E-17</v>
      </c>
      <c r="D223" s="35">
        <v>2</v>
      </c>
      <c r="E223" s="31">
        <v>0.33333333333333331</v>
      </c>
      <c r="F223" s="31">
        <v>0.33333333333333331</v>
      </c>
      <c r="G223" s="31">
        <v>0.30373925214957009</v>
      </c>
      <c r="H223" s="31">
        <v>0.17336532693461307</v>
      </c>
      <c r="I223" s="32">
        <v>10252.666227781436</v>
      </c>
      <c r="J223" s="32">
        <v>-9481.1995386389844</v>
      </c>
      <c r="K223" s="31">
        <v>0.16515151515151516</v>
      </c>
      <c r="L223" s="31">
        <v>0.29037656903765691</v>
      </c>
      <c r="M223" s="31">
        <v>0.22259414225941423</v>
      </c>
      <c r="N223" s="31">
        <v>0.58885686839577334</v>
      </c>
      <c r="O223" s="31">
        <v>0.39097744360902253</v>
      </c>
      <c r="P223" s="31">
        <v>0.41672152732060569</v>
      </c>
    </row>
    <row r="224" spans="1:16" x14ac:dyDescent="0.4">
      <c r="A224" s="33">
        <v>221</v>
      </c>
      <c r="B224" s="30">
        <v>4.4408920985006262E-14</v>
      </c>
      <c r="C224" s="30">
        <v>6.6981781274519245E-17</v>
      </c>
      <c r="D224" s="35">
        <v>2</v>
      </c>
      <c r="E224" s="31">
        <v>0.33333333333333331</v>
      </c>
      <c r="F224" s="31">
        <v>0.33333333333333331</v>
      </c>
      <c r="G224" s="31">
        <v>0.30388059701492537</v>
      </c>
      <c r="H224" s="31">
        <v>0.17333333333333334</v>
      </c>
      <c r="I224" s="32">
        <v>10238.244924688932</v>
      </c>
      <c r="J224" s="32">
        <v>-9459.47187141217</v>
      </c>
      <c r="K224" s="31">
        <v>0.16440422322775264</v>
      </c>
      <c r="L224" s="31">
        <v>0.29066223330562485</v>
      </c>
      <c r="M224" s="31">
        <v>0.22222222222222221</v>
      </c>
      <c r="N224" s="31">
        <v>0.59008579599618682</v>
      </c>
      <c r="O224" s="31">
        <v>0.39027431421446385</v>
      </c>
      <c r="P224" s="31">
        <v>0.4171578258022266</v>
      </c>
    </row>
    <row r="225" spans="1:16" x14ac:dyDescent="0.4">
      <c r="A225" s="33">
        <v>222</v>
      </c>
      <c r="B225" s="30">
        <v>4.2632564145606011E-14</v>
      </c>
      <c r="C225" s="30">
        <v>6.4012859077486503E-17</v>
      </c>
      <c r="D225" s="35">
        <v>2</v>
      </c>
      <c r="E225" s="31">
        <v>0.33333333333333331</v>
      </c>
      <c r="F225" s="31">
        <v>0.33333333333333331</v>
      </c>
      <c r="G225" s="31">
        <v>0.30360681728101468</v>
      </c>
      <c r="H225" s="31">
        <v>0.17300832342449465</v>
      </c>
      <c r="I225" s="32">
        <v>10250.522193211489</v>
      </c>
      <c r="J225" s="32">
        <v>-9458.4192439862545</v>
      </c>
      <c r="K225" s="31">
        <v>0.16366366366366367</v>
      </c>
      <c r="L225" s="31">
        <v>0.29090909090909089</v>
      </c>
      <c r="M225" s="31">
        <v>0.22148760330578512</v>
      </c>
      <c r="N225" s="31">
        <v>0.58996212121212122</v>
      </c>
      <c r="O225" s="31">
        <v>0.39054726368159204</v>
      </c>
      <c r="P225" s="31">
        <v>0.4177545691906005</v>
      </c>
    </row>
    <row r="226" spans="1:16" x14ac:dyDescent="0.4">
      <c r="A226" s="33">
        <v>223</v>
      </c>
      <c r="B226" s="30">
        <v>4.546363285840016E-14</v>
      </c>
      <c r="C226" s="30">
        <v>6.7957597695665411E-17</v>
      </c>
      <c r="D226" s="35">
        <v>2</v>
      </c>
      <c r="E226" s="31">
        <v>0.33333333333333331</v>
      </c>
      <c r="F226" s="31">
        <v>0.33333333333333331</v>
      </c>
      <c r="G226" s="31">
        <v>0.30369492195218334</v>
      </c>
      <c r="H226" s="31">
        <v>0.17308832246591582</v>
      </c>
      <c r="I226" s="32">
        <v>10253.415744957711</v>
      </c>
      <c r="J226" s="32">
        <v>-9453.0821917808225</v>
      </c>
      <c r="K226" s="31">
        <v>0.16442451420029897</v>
      </c>
      <c r="L226" s="31">
        <v>0.29080932784636487</v>
      </c>
      <c r="M226" s="31">
        <v>0.22167352537722909</v>
      </c>
      <c r="N226" s="31">
        <v>0.589622641509434</v>
      </c>
      <c r="O226" s="31">
        <v>0.3910891089108911</v>
      </c>
      <c r="P226" s="31">
        <v>0.41769681197137282</v>
      </c>
    </row>
    <row r="227" spans="1:16" x14ac:dyDescent="0.4">
      <c r="A227" s="33">
        <v>224</v>
      </c>
      <c r="B227" s="30">
        <v>4.5297099404706387E-14</v>
      </c>
      <c r="C227" s="30">
        <v>6.7406397923670213E-17</v>
      </c>
      <c r="D227" s="35">
        <v>2</v>
      </c>
      <c r="E227" s="31">
        <v>0.33333333333333331</v>
      </c>
      <c r="F227" s="31">
        <v>0.33333333333333331</v>
      </c>
      <c r="G227" s="31">
        <v>0.30383480825958703</v>
      </c>
      <c r="H227" s="31">
        <v>0.17325467059980335</v>
      </c>
      <c r="I227" s="32">
        <v>10241.488673139158</v>
      </c>
      <c r="J227" s="32">
        <v>-9430.7604994324629</v>
      </c>
      <c r="K227" s="31">
        <v>0.16369047619047619</v>
      </c>
      <c r="L227" s="31">
        <v>0.29190515126737532</v>
      </c>
      <c r="M227" s="31">
        <v>0.22076860179885527</v>
      </c>
      <c r="N227" s="31">
        <v>0.59103641456582634</v>
      </c>
      <c r="O227" s="31">
        <v>0.39012345679012345</v>
      </c>
      <c r="P227" s="31">
        <v>0.41747572815533979</v>
      </c>
    </row>
    <row r="228" spans="1:16" x14ac:dyDescent="0.4">
      <c r="A228" s="33">
        <v>225</v>
      </c>
      <c r="B228" s="30">
        <v>4.9737991503207013E-14</v>
      </c>
      <c r="C228" s="30">
        <v>7.3685913338084462E-17</v>
      </c>
      <c r="D228" s="35">
        <v>2</v>
      </c>
      <c r="E228" s="31">
        <v>0.33333333333333331</v>
      </c>
      <c r="F228" s="31">
        <v>0.33333333333333331</v>
      </c>
      <c r="G228" s="31">
        <v>0.30359937402190923</v>
      </c>
      <c r="H228" s="31">
        <v>0.17312206572769953</v>
      </c>
      <c r="I228" s="32">
        <v>10247.422680412372</v>
      </c>
      <c r="J228" s="32">
        <v>-9434.3502824858751</v>
      </c>
      <c r="K228" s="31">
        <v>0.16444444444444445</v>
      </c>
      <c r="L228" s="31">
        <v>0.29193722943722944</v>
      </c>
      <c r="M228" s="31">
        <v>0.22132034632034633</v>
      </c>
      <c r="N228" s="31">
        <v>0.59036144578313254</v>
      </c>
      <c r="O228" s="31">
        <v>0.38997555012224938</v>
      </c>
      <c r="P228" s="31">
        <v>0.4175257731958763</v>
      </c>
    </row>
    <row r="229" spans="1:16" x14ac:dyDescent="0.4">
      <c r="A229" s="33">
        <v>226</v>
      </c>
      <c r="B229" s="30">
        <v>4.9737991503207013E-14</v>
      </c>
      <c r="C229" s="30">
        <v>7.3359869473756655E-17</v>
      </c>
      <c r="D229" s="35">
        <v>2</v>
      </c>
      <c r="E229" s="31">
        <v>0.33333333333333331</v>
      </c>
      <c r="F229" s="31">
        <v>0.33333333333333331</v>
      </c>
      <c r="G229" s="31">
        <v>0.30336641369916328</v>
      </c>
      <c r="H229" s="31">
        <v>0.17318544463903482</v>
      </c>
      <c r="I229" s="32">
        <v>10247.402180885183</v>
      </c>
      <c r="J229" s="32">
        <v>-9443.9325842696635</v>
      </c>
      <c r="K229" s="31">
        <v>0.16371681415929204</v>
      </c>
      <c r="L229" s="31">
        <v>0.29170024174053183</v>
      </c>
      <c r="M229" s="31">
        <v>0.22186408810099381</v>
      </c>
      <c r="N229" s="31">
        <v>0.58931860036832417</v>
      </c>
      <c r="O229" s="31">
        <v>0.38983050847457629</v>
      </c>
      <c r="P229" s="31">
        <v>0.41693393200769724</v>
      </c>
    </row>
    <row r="230" spans="1:16" x14ac:dyDescent="0.4">
      <c r="A230" s="33">
        <v>227</v>
      </c>
      <c r="B230" s="30">
        <v>4.9737991503207013E-14</v>
      </c>
      <c r="C230" s="30">
        <v>7.3036698242594733E-17</v>
      </c>
      <c r="D230" s="35">
        <v>2</v>
      </c>
      <c r="E230" s="31">
        <v>0.33333333333333331</v>
      </c>
      <c r="F230" s="31">
        <v>0.33333333333333331</v>
      </c>
      <c r="G230" s="31">
        <v>0.30336426914153131</v>
      </c>
      <c r="H230" s="31">
        <v>0.17343387470997679</v>
      </c>
      <c r="I230" s="32">
        <v>10237.603569152327</v>
      </c>
      <c r="J230" s="32">
        <v>-9424.9721293199545</v>
      </c>
      <c r="K230" s="31">
        <v>0.16299559471365638</v>
      </c>
      <c r="L230" s="31">
        <v>0.29233226837060705</v>
      </c>
      <c r="M230" s="31">
        <v>0.22177848775292866</v>
      </c>
      <c r="N230" s="31">
        <v>0.58834244080145714</v>
      </c>
      <c r="O230" s="31">
        <v>0.38895558223289317</v>
      </c>
      <c r="P230" s="31">
        <v>0.41618865519439135</v>
      </c>
    </row>
    <row r="231" spans="1:16" x14ac:dyDescent="0.4">
      <c r="A231" s="33">
        <v>228</v>
      </c>
      <c r="B231" s="30">
        <v>5.0626169922907138E-14</v>
      </c>
      <c r="C231" s="30">
        <v>7.4014868308343765E-17</v>
      </c>
      <c r="D231" s="35">
        <v>2</v>
      </c>
      <c r="E231" s="31">
        <v>0.33333333333333331</v>
      </c>
      <c r="F231" s="31">
        <v>0.33333333333333331</v>
      </c>
      <c r="G231" s="31">
        <v>0.30318740399385563</v>
      </c>
      <c r="H231" s="31">
        <v>0.17261904761904762</v>
      </c>
      <c r="I231" s="32">
        <v>10229.005699810006</v>
      </c>
      <c r="J231" s="32">
        <v>-9411.5684093437158</v>
      </c>
      <c r="K231" s="31">
        <v>0.16228070175438597</v>
      </c>
      <c r="L231" s="31">
        <v>0.29113924050632911</v>
      </c>
      <c r="M231" s="31">
        <v>0.22178270042194093</v>
      </c>
      <c r="N231" s="31">
        <v>0.58876811594202894</v>
      </c>
      <c r="O231" s="31">
        <v>0.39120095124851367</v>
      </c>
      <c r="P231" s="31">
        <v>0.41861937935402155</v>
      </c>
    </row>
    <row r="232" spans="1:16" x14ac:dyDescent="0.4">
      <c r="A232" s="33">
        <v>229</v>
      </c>
      <c r="B232" s="30">
        <v>4.8322457146809938E-14</v>
      </c>
      <c r="C232" s="30">
        <v>7.0338365570320142E-17</v>
      </c>
      <c r="D232" s="35">
        <v>2</v>
      </c>
      <c r="E232" s="31">
        <v>0.33333333333333331</v>
      </c>
      <c r="F232" s="31">
        <v>0.33333333333333331</v>
      </c>
      <c r="G232" s="31">
        <v>0.30280480824270178</v>
      </c>
      <c r="H232" s="31">
        <v>0.17229536348025187</v>
      </c>
      <c r="I232" s="32">
        <v>10219.155639571518</v>
      </c>
      <c r="J232" s="32">
        <v>-9402.1040974529351</v>
      </c>
      <c r="K232" s="31">
        <v>0.16157205240174671</v>
      </c>
      <c r="L232" s="31">
        <v>0.29150326797385623</v>
      </c>
      <c r="M232" s="31">
        <v>0.22143790849673203</v>
      </c>
      <c r="N232" s="31">
        <v>0.58744394618834084</v>
      </c>
      <c r="O232" s="31">
        <v>0.38961038961038963</v>
      </c>
      <c r="P232" s="31">
        <v>0.41902961562696911</v>
      </c>
    </row>
    <row r="233" spans="1:16" x14ac:dyDescent="0.4">
      <c r="A233" s="33">
        <v>230</v>
      </c>
      <c r="B233" s="30">
        <v>4.9737991503207013E-14</v>
      </c>
      <c r="C233" s="30">
        <v>7.2084045656821753E-17</v>
      </c>
      <c r="D233" s="35">
        <v>2</v>
      </c>
      <c r="E233" s="31">
        <v>0.33333333333333331</v>
      </c>
      <c r="F233" s="31">
        <v>0.33333333333333331</v>
      </c>
      <c r="G233" s="31">
        <v>0.30277145026575553</v>
      </c>
      <c r="H233" s="31">
        <v>0.1727410782080486</v>
      </c>
      <c r="I233" s="32">
        <v>10218.244514106584</v>
      </c>
      <c r="J233" s="32">
        <v>-9398.2417582417584</v>
      </c>
      <c r="K233" s="31">
        <v>0.16086956521739129</v>
      </c>
      <c r="L233" s="31">
        <v>0.29101765316718586</v>
      </c>
      <c r="M233" s="31">
        <v>0.22092419522326065</v>
      </c>
      <c r="N233" s="31">
        <v>0.58786797502230148</v>
      </c>
      <c r="O233" s="31">
        <v>0.39012925969447709</v>
      </c>
      <c r="P233" s="31">
        <v>0.41755485893416927</v>
      </c>
    </row>
    <row r="234" spans="1:16" x14ac:dyDescent="0.4">
      <c r="A234" s="33">
        <v>231</v>
      </c>
      <c r="B234" s="30">
        <v>5.3290705182007514E-14</v>
      </c>
      <c r="C234" s="30">
        <v>7.6898564476201316E-17</v>
      </c>
      <c r="D234" s="35">
        <v>2</v>
      </c>
      <c r="E234" s="31">
        <v>0.33333333333333331</v>
      </c>
      <c r="F234" s="31">
        <v>0.33333333333333331</v>
      </c>
      <c r="G234" s="31">
        <v>0.30275575688939221</v>
      </c>
      <c r="H234" s="31">
        <v>0.17251793129482823</v>
      </c>
      <c r="I234" s="32">
        <v>10216.271820448877</v>
      </c>
      <c r="J234" s="32">
        <v>-9393.2166301969373</v>
      </c>
      <c r="K234" s="31">
        <v>0.16017316017316016</v>
      </c>
      <c r="L234" s="31">
        <v>0.29082946934569809</v>
      </c>
      <c r="M234" s="31">
        <v>0.21973209685729006</v>
      </c>
      <c r="N234" s="31">
        <v>0.58990256864481838</v>
      </c>
      <c r="O234" s="31">
        <v>0.39038686987104337</v>
      </c>
      <c r="P234" s="31">
        <v>0.41832917705735662</v>
      </c>
    </row>
    <row r="235" spans="1:16" x14ac:dyDescent="0.4">
      <c r="A235" s="33">
        <v>232</v>
      </c>
      <c r="B235" s="30">
        <v>5.6843418860808015E-14</v>
      </c>
      <c r="C235" s="30">
        <v>8.167157882300002E-17</v>
      </c>
      <c r="D235" s="35">
        <v>2</v>
      </c>
      <c r="E235" s="31">
        <v>0.33333333333333331</v>
      </c>
      <c r="F235" s="31">
        <v>0.33333333333333331</v>
      </c>
      <c r="G235" s="31">
        <v>0.30285929270127915</v>
      </c>
      <c r="H235" s="31">
        <v>0.17231000752445447</v>
      </c>
      <c r="I235" s="32">
        <v>10237.329192546584</v>
      </c>
      <c r="J235" s="32">
        <v>-9389.3013100436674</v>
      </c>
      <c r="K235" s="31">
        <v>0.16091954022988506</v>
      </c>
      <c r="L235" s="31">
        <v>0.29102564102564105</v>
      </c>
      <c r="M235" s="31">
        <v>0.21897435897435896</v>
      </c>
      <c r="N235" s="31">
        <v>0.59118942731277535</v>
      </c>
      <c r="O235" s="31">
        <v>0.38992974238875877</v>
      </c>
      <c r="P235" s="31">
        <v>0.41925465838509318</v>
      </c>
    </row>
    <row r="236" spans="1:16" x14ac:dyDescent="0.4">
      <c r="A236" s="33">
        <v>233</v>
      </c>
      <c r="B236" s="30">
        <v>5.6843418860808015E-14</v>
      </c>
      <c r="C236" s="30">
        <v>8.1321057025476416E-17</v>
      </c>
      <c r="D236" s="35">
        <v>2</v>
      </c>
      <c r="E236" s="31">
        <v>0.33333333333333331</v>
      </c>
      <c r="F236" s="31">
        <v>0.33333333333333331</v>
      </c>
      <c r="G236" s="31">
        <v>0.30280898876404494</v>
      </c>
      <c r="H236" s="31">
        <v>0.17228464419475656</v>
      </c>
      <c r="I236" s="32">
        <v>10241.991341991343</v>
      </c>
      <c r="J236" s="32">
        <v>-9408.4782608695659</v>
      </c>
      <c r="K236" s="31">
        <v>0.16022889842632332</v>
      </c>
      <c r="L236" s="31">
        <v>0.29051987767584098</v>
      </c>
      <c r="M236" s="31">
        <v>0.21916411824668705</v>
      </c>
      <c r="N236" s="31">
        <v>0.59210526315789469</v>
      </c>
      <c r="O236" s="31">
        <v>0.38953488372093026</v>
      </c>
      <c r="P236" s="31">
        <v>0.41929499072356213</v>
      </c>
    </row>
    <row r="237" spans="1:16" x14ac:dyDescent="0.4">
      <c r="A237" s="33">
        <v>234</v>
      </c>
      <c r="B237" s="30">
        <v>5.6843418860808015E-14</v>
      </c>
      <c r="C237" s="30">
        <v>8.0973531140752162E-17</v>
      </c>
      <c r="D237" s="35">
        <v>2</v>
      </c>
      <c r="E237" s="31">
        <v>0.33333333333333331</v>
      </c>
      <c r="F237" s="31">
        <v>0.33333333333333331</v>
      </c>
      <c r="G237" s="31">
        <v>0.30270774976657328</v>
      </c>
      <c r="H237" s="31">
        <v>0.17217553688141923</v>
      </c>
      <c r="I237" s="32">
        <v>10245.897594077729</v>
      </c>
      <c r="J237" s="32">
        <v>-9416.2689804772235</v>
      </c>
      <c r="K237" s="31">
        <v>0.16096866096866097</v>
      </c>
      <c r="L237" s="31">
        <v>0.29068291444529071</v>
      </c>
      <c r="M237" s="31">
        <v>0.21934501142421933</v>
      </c>
      <c r="N237" s="31">
        <v>0.59126637554585149</v>
      </c>
      <c r="O237" s="31">
        <v>0.38773148148148145</v>
      </c>
      <c r="P237" s="31">
        <v>0.41949413942011105</v>
      </c>
    </row>
    <row r="238" spans="1:16" x14ac:dyDescent="0.4">
      <c r="A238" s="33">
        <v>235</v>
      </c>
      <c r="B238" s="30">
        <v>5.6843418860808015E-14</v>
      </c>
      <c r="C238" s="30">
        <v>8.0628962923131941E-17</v>
      </c>
      <c r="D238" s="35">
        <v>2</v>
      </c>
      <c r="E238" s="31">
        <v>0.33333333333333331</v>
      </c>
      <c r="F238" s="31">
        <v>0.33333333333333331</v>
      </c>
      <c r="G238" s="31">
        <v>0.30264136904761907</v>
      </c>
      <c r="H238" s="31">
        <v>0.17224702380952381</v>
      </c>
      <c r="I238" s="32">
        <v>10241.671788567917</v>
      </c>
      <c r="J238" s="32">
        <v>-9417.2786177105827</v>
      </c>
      <c r="K238" s="31">
        <v>0.16028368794326242</v>
      </c>
      <c r="L238" s="31">
        <v>0.29217171717171719</v>
      </c>
      <c r="M238" s="31">
        <v>0.21893939393939393</v>
      </c>
      <c r="N238" s="31">
        <v>0.59031979256698353</v>
      </c>
      <c r="O238" s="31">
        <v>0.38638985005767013</v>
      </c>
      <c r="P238" s="31">
        <v>0.41917639827904118</v>
      </c>
    </row>
    <row r="239" spans="1:16" x14ac:dyDescent="0.4">
      <c r="A239" s="33">
        <v>236</v>
      </c>
      <c r="B239" s="30">
        <v>5.6843418860808015E-14</v>
      </c>
      <c r="C239" s="30">
        <v>8.0287314775152563E-17</v>
      </c>
      <c r="D239" s="35">
        <v>2</v>
      </c>
      <c r="E239" s="31">
        <v>0.33333333333333331</v>
      </c>
      <c r="F239" s="31">
        <v>0.33333333333333331</v>
      </c>
      <c r="G239" s="31">
        <v>0.30244173140954494</v>
      </c>
      <c r="H239" s="31">
        <v>0.17184609692933778</v>
      </c>
      <c r="I239" s="32">
        <v>10265.688073394496</v>
      </c>
      <c r="J239" s="32">
        <v>-9412.5941872981693</v>
      </c>
      <c r="K239" s="31">
        <v>0.1596045197740113</v>
      </c>
      <c r="L239" s="31">
        <v>0.29348370927318296</v>
      </c>
      <c r="M239" s="31">
        <v>0.21879699248120302</v>
      </c>
      <c r="N239" s="31">
        <v>0.58838599487617416</v>
      </c>
      <c r="O239" s="31">
        <v>0.38602520045819017</v>
      </c>
      <c r="P239" s="31">
        <v>0.42018348623853213</v>
      </c>
    </row>
    <row r="240" spans="1:16" x14ac:dyDescent="0.4">
      <c r="A240" s="33">
        <v>237</v>
      </c>
      <c r="B240" s="30">
        <v>5.6843418860808015E-14</v>
      </c>
      <c r="C240" s="30">
        <v>7.9948549733907195E-17</v>
      </c>
      <c r="D240" s="35">
        <v>2</v>
      </c>
      <c r="E240" s="31">
        <v>0.33333333333333331</v>
      </c>
      <c r="F240" s="31">
        <v>0.33333333333333331</v>
      </c>
      <c r="G240" s="31">
        <v>0.30237700386954119</v>
      </c>
      <c r="H240" s="31">
        <v>0.17191818684355997</v>
      </c>
      <c r="I240" s="32">
        <v>10264.107251675807</v>
      </c>
      <c r="J240" s="32">
        <v>-9414.0407288317256</v>
      </c>
      <c r="K240" s="31">
        <v>0.16033755274261605</v>
      </c>
      <c r="L240" s="31">
        <v>0.29319371727748689</v>
      </c>
      <c r="M240" s="31">
        <v>0.21964597357267515</v>
      </c>
      <c r="N240" s="31">
        <v>0.5875850340136054</v>
      </c>
      <c r="O240" s="31">
        <v>0.38706015891032919</v>
      </c>
      <c r="P240" s="31">
        <v>0.4198659354052407</v>
      </c>
    </row>
    <row r="241" spans="1:16" x14ac:dyDescent="0.4">
      <c r="A241" s="33">
        <v>238</v>
      </c>
      <c r="B241" s="30">
        <v>5.6843418860808015E-14</v>
      </c>
      <c r="C241" s="30">
        <v>7.9612631457714307E-17</v>
      </c>
      <c r="D241" s="35">
        <v>2</v>
      </c>
      <c r="E241" s="31">
        <v>0.33333333333333331</v>
      </c>
      <c r="F241" s="31">
        <v>0.33333333333333331</v>
      </c>
      <c r="G241" s="31">
        <v>0.30261221486387047</v>
      </c>
      <c r="H241" s="31">
        <v>0.17200147167034585</v>
      </c>
      <c r="I241" s="32">
        <v>10271.975683890578</v>
      </c>
      <c r="J241" s="32">
        <v>-9438.823529411764</v>
      </c>
      <c r="K241" s="31">
        <v>0.16106442577030813</v>
      </c>
      <c r="L241" s="31">
        <v>0.29328358208955224</v>
      </c>
      <c r="M241" s="31">
        <v>0.21965174129353235</v>
      </c>
      <c r="N241" s="31">
        <v>0.58863443596268028</v>
      </c>
      <c r="O241" s="31">
        <v>0.38731596828992071</v>
      </c>
      <c r="P241" s="31">
        <v>0.41945288753799392</v>
      </c>
    </row>
    <row r="242" spans="1:16" x14ac:dyDescent="0.4">
      <c r="A242" s="33">
        <v>239</v>
      </c>
      <c r="B242" s="30">
        <v>5.6177285046032921E-14</v>
      </c>
      <c r="C242" s="30">
        <v>7.8350467288748839E-17</v>
      </c>
      <c r="D242" s="35">
        <v>2</v>
      </c>
      <c r="E242" s="31">
        <v>0.33333333333333331</v>
      </c>
      <c r="F242" s="31">
        <v>0.33333333333333331</v>
      </c>
      <c r="G242" s="31">
        <v>0.30274725274725273</v>
      </c>
      <c r="H242" s="31">
        <v>0.17197802197802198</v>
      </c>
      <c r="I242" s="32">
        <v>10261.282516636418</v>
      </c>
      <c r="J242" s="32">
        <v>-9450.0532481363152</v>
      </c>
      <c r="K242" s="31">
        <v>0.16039051603905161</v>
      </c>
      <c r="L242" s="31">
        <v>0.29376854599406527</v>
      </c>
      <c r="M242" s="31">
        <v>0.21983184965380811</v>
      </c>
      <c r="N242" s="31">
        <v>0.58670033670033672</v>
      </c>
      <c r="O242" s="31">
        <v>0.38920134983127108</v>
      </c>
      <c r="P242" s="31">
        <v>0.41923774954627951</v>
      </c>
    </row>
    <row r="243" spans="1:16" x14ac:dyDescent="0.4">
      <c r="A243" s="33">
        <v>240</v>
      </c>
      <c r="B243" s="30">
        <v>5.5067062021407764E-14</v>
      </c>
      <c r="C243" s="30">
        <v>7.6482030585288561E-17</v>
      </c>
      <c r="D243" s="35">
        <v>2</v>
      </c>
      <c r="E243" s="31">
        <v>0.33333333333333331</v>
      </c>
      <c r="F243" s="31">
        <v>0.33333333333333331</v>
      </c>
      <c r="G243" s="31">
        <v>0.30286444079547525</v>
      </c>
      <c r="H243" s="31">
        <v>0.17204889618682723</v>
      </c>
      <c r="I243" s="32">
        <v>10247.409638554216</v>
      </c>
      <c r="J243" s="32">
        <v>-9434.5705196182389</v>
      </c>
      <c r="K243" s="31">
        <v>0.15972222222222221</v>
      </c>
      <c r="L243" s="31">
        <v>0.29372693726937271</v>
      </c>
      <c r="M243" s="31">
        <v>0.21943419434194342</v>
      </c>
      <c r="N243" s="31">
        <v>0.58626465661641536</v>
      </c>
      <c r="O243" s="31">
        <v>0.39125560538116594</v>
      </c>
      <c r="P243" s="31">
        <v>0.41927710843373495</v>
      </c>
    </row>
    <row r="244" spans="1:16" x14ac:dyDescent="0.4">
      <c r="A244" s="33">
        <v>241</v>
      </c>
      <c r="B244" s="30">
        <v>5.5067062021407764E-14</v>
      </c>
      <c r="C244" s="30">
        <v>7.6164677761283216E-17</v>
      </c>
      <c r="D244" s="35">
        <v>2</v>
      </c>
      <c r="E244" s="31">
        <v>0.33333333333333331</v>
      </c>
      <c r="F244" s="31">
        <v>0.33333333333333331</v>
      </c>
      <c r="G244" s="31">
        <v>0.30246913580246915</v>
      </c>
      <c r="H244" s="31">
        <v>0.17193173565722586</v>
      </c>
      <c r="I244" s="32">
        <v>10244.657863145258</v>
      </c>
      <c r="J244" s="32">
        <v>-9425.237592397043</v>
      </c>
      <c r="K244" s="31">
        <v>0.1590594744121715</v>
      </c>
      <c r="L244" s="31">
        <v>0.29349951124144674</v>
      </c>
      <c r="M244" s="31">
        <v>0.21920821114369501</v>
      </c>
      <c r="N244" s="31">
        <v>0.58534554537885097</v>
      </c>
      <c r="O244" s="31">
        <v>0.39018952062430323</v>
      </c>
      <c r="P244" s="31">
        <v>0.4189675870348139</v>
      </c>
    </row>
    <row r="245" spans="1:16" x14ac:dyDescent="0.4">
      <c r="A245" s="33">
        <v>242</v>
      </c>
      <c r="B245" s="30">
        <v>5.6843418860808015E-14</v>
      </c>
      <c r="C245" s="30">
        <v>7.8296720193950436E-17</v>
      </c>
      <c r="D245" s="35">
        <v>2</v>
      </c>
      <c r="E245" s="31">
        <v>0.33333333333333331</v>
      </c>
      <c r="F245" s="31">
        <v>0.33333333333333331</v>
      </c>
      <c r="G245" s="31">
        <v>0.30263633080534491</v>
      </c>
      <c r="H245" s="31">
        <v>0.1722643553629469</v>
      </c>
      <c r="I245" s="32">
        <v>10230.608591885442</v>
      </c>
      <c r="J245" s="32">
        <v>-9394.7589098532499</v>
      </c>
      <c r="K245" s="31">
        <v>0.15977961432506887</v>
      </c>
      <c r="L245" s="31">
        <v>0.2930616205725376</v>
      </c>
      <c r="M245" s="31">
        <v>0.21931101407083939</v>
      </c>
      <c r="N245" s="31">
        <v>0.58692052980132448</v>
      </c>
      <c r="O245" s="31">
        <v>0.39048672566371684</v>
      </c>
      <c r="P245" s="31">
        <v>0.41825775656324582</v>
      </c>
    </row>
    <row r="246" spans="1:16" x14ac:dyDescent="0.4">
      <c r="A246" s="33">
        <v>243</v>
      </c>
      <c r="B246" s="30">
        <v>5.3290705182007514E-14</v>
      </c>
      <c r="C246" s="30">
        <v>7.310110450206792E-17</v>
      </c>
      <c r="D246" s="35">
        <v>2</v>
      </c>
      <c r="E246" s="31">
        <v>0.33333333333333331</v>
      </c>
      <c r="F246" s="31">
        <v>0.33333333333333331</v>
      </c>
      <c r="G246" s="31">
        <v>0.30275229357798167</v>
      </c>
      <c r="H246" s="31">
        <v>0.17215326497571506</v>
      </c>
      <c r="I246" s="32">
        <v>10225.668449197861</v>
      </c>
      <c r="J246" s="32">
        <v>-9389.5506792058513</v>
      </c>
      <c r="K246" s="31">
        <v>0.15912208504801098</v>
      </c>
      <c r="L246" s="31">
        <v>0.29230026550808591</v>
      </c>
      <c r="M246" s="31">
        <v>0.21916485638426261</v>
      </c>
      <c r="N246" s="31">
        <v>0.58794384805945499</v>
      </c>
      <c r="O246" s="31">
        <v>0.39207048458149779</v>
      </c>
      <c r="P246" s="31">
        <v>0.41889483065953653</v>
      </c>
    </row>
    <row r="247" spans="1:16" x14ac:dyDescent="0.4">
      <c r="A247" s="33">
        <v>244</v>
      </c>
      <c r="B247" s="30">
        <v>5.3290705182007514E-14</v>
      </c>
      <c r="C247" s="30">
        <v>7.2801509811485669E-17</v>
      </c>
      <c r="D247" s="35">
        <v>2</v>
      </c>
      <c r="E247" s="31">
        <v>0.33333333333333331</v>
      </c>
      <c r="F247" s="31">
        <v>0.33333333333333331</v>
      </c>
      <c r="G247" s="31">
        <v>0.30288375425398534</v>
      </c>
      <c r="H247" s="31">
        <v>0.17195056421278881</v>
      </c>
      <c r="I247" s="32">
        <v>10239.976345357776</v>
      </c>
      <c r="J247" s="32">
        <v>-9403.9583333333339</v>
      </c>
      <c r="K247" s="31">
        <v>0.15846994535519127</v>
      </c>
      <c r="L247" s="31">
        <v>0.29301655867530596</v>
      </c>
      <c r="M247" s="31">
        <v>0.21886249100071994</v>
      </c>
      <c r="N247" s="31">
        <v>0.58722358722358725</v>
      </c>
      <c r="O247" s="31">
        <v>0.39364035087719296</v>
      </c>
      <c r="P247" s="31">
        <v>0.41986989946777054</v>
      </c>
    </row>
    <row r="248" spans="1:16" x14ac:dyDescent="0.4">
      <c r="A248" s="33">
        <v>245</v>
      </c>
      <c r="B248" s="30">
        <v>5.6843418860808015E-14</v>
      </c>
      <c r="C248" s="30">
        <v>7.733798484463675E-17</v>
      </c>
      <c r="D248" s="35">
        <v>2</v>
      </c>
      <c r="E248" s="31">
        <v>0.33333333333333331</v>
      </c>
      <c r="F248" s="31">
        <v>0.33333333333333331</v>
      </c>
      <c r="G248" s="31">
        <v>0.30249554367201426</v>
      </c>
      <c r="H248" s="31">
        <v>0.17183600713012478</v>
      </c>
      <c r="I248" s="32">
        <v>10242.663523865645</v>
      </c>
      <c r="J248" s="32">
        <v>-9418.8796680497926</v>
      </c>
      <c r="K248" s="31">
        <v>0.15918367346938775</v>
      </c>
      <c r="L248" s="31">
        <v>0.29208392942298522</v>
      </c>
      <c r="M248" s="31">
        <v>0.21959942775393418</v>
      </c>
      <c r="N248" s="31">
        <v>0.58693877551020412</v>
      </c>
      <c r="O248" s="31">
        <v>0.39305103148751358</v>
      </c>
      <c r="P248" s="31">
        <v>0.41956393635827932</v>
      </c>
    </row>
    <row r="249" spans="1:16" x14ac:dyDescent="0.4">
      <c r="A249" s="33">
        <v>246</v>
      </c>
      <c r="B249" s="30">
        <v>5.6843418860808015E-14</v>
      </c>
      <c r="C249" s="30">
        <v>7.7023602792422784E-17</v>
      </c>
      <c r="D249" s="35">
        <v>2</v>
      </c>
      <c r="E249" s="31">
        <v>0.33333333333333331</v>
      </c>
      <c r="F249" s="31">
        <v>0.33333333333333331</v>
      </c>
      <c r="G249" s="31">
        <v>0.30243296039779788</v>
      </c>
      <c r="H249" s="31">
        <v>0.17190552299769135</v>
      </c>
      <c r="I249" s="32">
        <v>10237.815619495008</v>
      </c>
      <c r="J249" s="32">
        <v>-9414.2561983471078</v>
      </c>
      <c r="K249" s="31">
        <v>0.15853658536585366</v>
      </c>
      <c r="L249" s="31">
        <v>0.29157769869513644</v>
      </c>
      <c r="M249" s="31">
        <v>0.2199288256227758</v>
      </c>
      <c r="N249" s="31">
        <v>0.58746948738812044</v>
      </c>
      <c r="O249" s="31">
        <v>0.39266450916936352</v>
      </c>
      <c r="P249" s="31">
        <v>0.4192601291837933</v>
      </c>
    </row>
    <row r="250" spans="1:16" x14ac:dyDescent="0.4">
      <c r="A250" s="33">
        <v>247</v>
      </c>
      <c r="B250" s="30">
        <v>5.6843418860808015E-14</v>
      </c>
      <c r="C250" s="30">
        <v>7.6711766343870462E-17</v>
      </c>
      <c r="D250" s="35">
        <v>2</v>
      </c>
      <c r="E250" s="31">
        <v>0.33333333333333331</v>
      </c>
      <c r="F250" s="31">
        <v>0.33333333333333331</v>
      </c>
      <c r="G250" s="31">
        <v>0.30238726790450926</v>
      </c>
      <c r="H250" s="31">
        <v>0.17170645446507515</v>
      </c>
      <c r="I250" s="32">
        <v>10224.970760233919</v>
      </c>
      <c r="J250" s="32">
        <v>-9404.9433573635433</v>
      </c>
      <c r="K250" s="31">
        <v>0.15789473684210525</v>
      </c>
      <c r="L250" s="31">
        <v>0.29110639301722102</v>
      </c>
      <c r="M250" s="31">
        <v>0.22033498466619486</v>
      </c>
      <c r="N250" s="31">
        <v>0.58670988654781198</v>
      </c>
      <c r="O250" s="31">
        <v>0.39400428265524623</v>
      </c>
      <c r="P250" s="31">
        <v>0.41988304093567252</v>
      </c>
    </row>
    <row r="251" spans="1:16" x14ac:dyDescent="0.4">
      <c r="A251" s="33">
        <v>248</v>
      </c>
      <c r="B251" s="30">
        <v>5.6843418860808015E-14</v>
      </c>
      <c r="C251" s="30">
        <v>7.6402444705387123E-17</v>
      </c>
      <c r="D251" s="35">
        <v>2</v>
      </c>
      <c r="E251" s="31">
        <v>0.33333333333333331</v>
      </c>
      <c r="F251" s="31">
        <v>0.33333333333333331</v>
      </c>
      <c r="G251" s="31">
        <v>0.30216587427363972</v>
      </c>
      <c r="H251" s="31">
        <v>0.17203733051593589</v>
      </c>
      <c r="I251" s="32">
        <v>10233.391608391608</v>
      </c>
      <c r="J251" s="32">
        <v>-9424.7697031729786</v>
      </c>
      <c r="K251" s="31">
        <v>0.15860215053763441</v>
      </c>
      <c r="L251" s="31">
        <v>0.29064039408866993</v>
      </c>
      <c r="M251" s="31">
        <v>0.22050199390100869</v>
      </c>
      <c r="N251" s="31">
        <v>0.58595641646489105</v>
      </c>
      <c r="O251" s="31">
        <v>0.39574468085106385</v>
      </c>
      <c r="P251" s="31">
        <v>0.4184149184149184</v>
      </c>
    </row>
    <row r="252" spans="1:16" x14ac:dyDescent="0.4">
      <c r="A252" s="33">
        <v>249</v>
      </c>
      <c r="B252" s="30">
        <v>5.5400128928795311E-14</v>
      </c>
      <c r="C252" s="30">
        <v>7.4163492541894658E-17</v>
      </c>
      <c r="D252" s="35">
        <v>2</v>
      </c>
      <c r="E252" s="31">
        <v>0.33333333333333331</v>
      </c>
      <c r="F252" s="31">
        <v>0.33333333333333331</v>
      </c>
      <c r="G252" s="31">
        <v>0.30180416885619199</v>
      </c>
      <c r="H252" s="31">
        <v>0.17148362235067438</v>
      </c>
      <c r="I252" s="32">
        <v>10240.452698781195</v>
      </c>
      <c r="J252" s="32">
        <v>-9421.8590398365686</v>
      </c>
      <c r="K252" s="31">
        <v>0.15930388219544847</v>
      </c>
      <c r="L252" s="31">
        <v>0.29093873747961796</v>
      </c>
      <c r="M252" s="31">
        <v>0.22012578616352202</v>
      </c>
      <c r="N252" s="31">
        <v>0.58446757405924743</v>
      </c>
      <c r="O252" s="31">
        <v>0.39576719576719577</v>
      </c>
      <c r="P252" s="31">
        <v>0.4196169471851422</v>
      </c>
    </row>
    <row r="253" spans="1:16" x14ac:dyDescent="0.4">
      <c r="A253" s="33">
        <v>250</v>
      </c>
      <c r="B253" s="30">
        <v>5.6843418860808015E-14</v>
      </c>
      <c r="C253" s="30">
        <v>7.5791225147744017E-17</v>
      </c>
      <c r="D253" s="35">
        <v>2</v>
      </c>
      <c r="E253" s="31">
        <v>0.33333333333333331</v>
      </c>
      <c r="F253" s="31">
        <v>0.33333333333333331</v>
      </c>
      <c r="G253" s="31">
        <v>0.30193615907901622</v>
      </c>
      <c r="H253" s="31">
        <v>0.17146345717774289</v>
      </c>
      <c r="I253" s="32">
        <v>10223.050259965337</v>
      </c>
      <c r="J253" s="32">
        <v>-9412.4109867751777</v>
      </c>
      <c r="K253" s="31">
        <v>0.15866666666666668</v>
      </c>
      <c r="L253" s="31">
        <v>0.2904794996525365</v>
      </c>
      <c r="M253" s="31">
        <v>0.2207551540421589</v>
      </c>
      <c r="N253" s="31">
        <v>0.58452950558213712</v>
      </c>
      <c r="O253" s="31">
        <v>0.39664218258132217</v>
      </c>
      <c r="P253" s="31">
        <v>0.41998844598497981</v>
      </c>
    </row>
    <row r="254" spans="1:16" x14ac:dyDescent="0.4">
      <c r="A254" s="33">
        <v>251</v>
      </c>
      <c r="B254" s="30">
        <v>5.6843418860808015E-14</v>
      </c>
      <c r="C254" s="30">
        <v>7.5489268075442245E-17</v>
      </c>
      <c r="D254" s="35">
        <v>2</v>
      </c>
      <c r="E254" s="31">
        <v>0.33333333333333331</v>
      </c>
      <c r="F254" s="31">
        <v>0.33333333333333331</v>
      </c>
      <c r="G254" s="31">
        <v>0.30181121560431906</v>
      </c>
      <c r="H254" s="31">
        <v>0.17154301637060257</v>
      </c>
      <c r="I254" s="32">
        <v>10240.103866128102</v>
      </c>
      <c r="J254" s="32">
        <v>-9444.0609137055835</v>
      </c>
      <c r="K254" s="31">
        <v>0.15936254980079681</v>
      </c>
      <c r="L254" s="31">
        <v>0.29033749422098937</v>
      </c>
      <c r="M254" s="31">
        <v>0.22052704576976423</v>
      </c>
      <c r="N254" s="31">
        <v>0.58439490445859876</v>
      </c>
      <c r="O254" s="31">
        <v>0.39622641509433965</v>
      </c>
      <c r="P254" s="31">
        <v>0.41950375072129253</v>
      </c>
    </row>
    <row r="255" spans="1:16" x14ac:dyDescent="0.4">
      <c r="A255" s="33">
        <v>252</v>
      </c>
      <c r="B255" s="30">
        <v>5.6843418860808015E-14</v>
      </c>
      <c r="C255" s="30">
        <v>7.5189707487841285E-17</v>
      </c>
      <c r="D255" s="35">
        <v>2</v>
      </c>
      <c r="E255" s="31">
        <v>0.33333333333333331</v>
      </c>
      <c r="F255" s="31">
        <v>0.33333333333333331</v>
      </c>
      <c r="G255" s="31">
        <v>0.30173611111111109</v>
      </c>
      <c r="H255" s="31">
        <v>0.17152777777777778</v>
      </c>
      <c r="I255" s="32">
        <v>10237.16915995397</v>
      </c>
      <c r="J255" s="32">
        <v>-9441.8016194331976</v>
      </c>
      <c r="K255" s="31">
        <v>0.16005291005291006</v>
      </c>
      <c r="L255" s="31">
        <v>0.29005524861878451</v>
      </c>
      <c r="M255" s="31">
        <v>0.22122467771639043</v>
      </c>
      <c r="N255" s="31">
        <v>0.58412698412698416</v>
      </c>
      <c r="O255" s="31">
        <v>0.39646201873048909</v>
      </c>
      <c r="P255" s="31">
        <v>0.41944764096662829</v>
      </c>
    </row>
    <row r="256" spans="1:16" x14ac:dyDescent="0.4">
      <c r="A256" s="33">
        <v>253</v>
      </c>
      <c r="B256" s="30">
        <v>5.6843418860808015E-14</v>
      </c>
      <c r="C256" s="30">
        <v>7.4892514968126505E-17</v>
      </c>
      <c r="D256" s="35">
        <v>2</v>
      </c>
      <c r="E256" s="31">
        <v>0.33333333333333331</v>
      </c>
      <c r="F256" s="31">
        <v>0.33333333333333331</v>
      </c>
      <c r="G256" s="31">
        <v>0.30171073094867806</v>
      </c>
      <c r="H256" s="31">
        <v>0.17176429929151546</v>
      </c>
      <c r="I256" s="32">
        <v>10229.209621993126</v>
      </c>
      <c r="J256" s="32">
        <v>-9438.128772635815</v>
      </c>
      <c r="K256" s="31">
        <v>0.16073781291172595</v>
      </c>
      <c r="L256" s="31">
        <v>0.28894989704873025</v>
      </c>
      <c r="M256" s="31">
        <v>0.22237474262182566</v>
      </c>
      <c r="N256" s="31">
        <v>0.58432304038004745</v>
      </c>
      <c r="O256" s="31">
        <v>0.39506172839506171</v>
      </c>
      <c r="P256" s="31">
        <v>0.4186712485681558</v>
      </c>
    </row>
    <row r="257" spans="1:16" x14ac:dyDescent="0.4">
      <c r="A257" s="33">
        <v>254</v>
      </c>
      <c r="B257" s="30">
        <v>5.6843418860808015E-14</v>
      </c>
      <c r="C257" s="30">
        <v>7.4597662546992144E-17</v>
      </c>
      <c r="D257" s="35">
        <v>2</v>
      </c>
      <c r="E257" s="31">
        <v>0.33333333333333331</v>
      </c>
      <c r="F257" s="31">
        <v>0.33333333333333331</v>
      </c>
      <c r="G257" s="31">
        <v>0.30179248534987935</v>
      </c>
      <c r="H257" s="31">
        <v>0.17183729748362633</v>
      </c>
      <c r="I257" s="32">
        <v>10229.811536264991</v>
      </c>
      <c r="J257" s="32">
        <v>-9457.8736208625869</v>
      </c>
      <c r="K257" s="31">
        <v>0.16141732283464566</v>
      </c>
      <c r="L257" s="31">
        <v>0.28864569083447333</v>
      </c>
      <c r="M257" s="31">
        <v>0.22207022343821251</v>
      </c>
      <c r="N257" s="31">
        <v>0.58530805687203791</v>
      </c>
      <c r="O257" s="31">
        <v>0.39527720739219713</v>
      </c>
      <c r="P257" s="31">
        <v>0.41861793260993718</v>
      </c>
    </row>
    <row r="258" spans="1:16" x14ac:dyDescent="0.4">
      <c r="A258" s="33">
        <v>255</v>
      </c>
      <c r="B258" s="30">
        <v>5.6843418860808015E-14</v>
      </c>
      <c r="C258" s="30">
        <v>7.4305122693866681E-17</v>
      </c>
      <c r="D258" s="35">
        <v>2</v>
      </c>
      <c r="E258" s="31">
        <v>0.33333333333333331</v>
      </c>
      <c r="F258" s="31">
        <v>0.33333333333333331</v>
      </c>
      <c r="G258" s="31">
        <v>0.3019062339000515</v>
      </c>
      <c r="H258" s="31">
        <v>0.17156105100463678</v>
      </c>
      <c r="I258" s="32">
        <v>10235.324232081912</v>
      </c>
      <c r="J258" s="32">
        <v>-9462.9629629629635</v>
      </c>
      <c r="K258" s="31">
        <v>0.16078431372549021</v>
      </c>
      <c r="L258" s="31">
        <v>0.28953936918538686</v>
      </c>
      <c r="M258" s="31">
        <v>0.22191967324710687</v>
      </c>
      <c r="N258" s="31">
        <v>0.58385579937304077</v>
      </c>
      <c r="O258" s="31">
        <v>0.39570552147239263</v>
      </c>
      <c r="P258" s="31">
        <v>0.41979522184300339</v>
      </c>
    </row>
    <row r="259" spans="1:16" x14ac:dyDescent="0.4">
      <c r="A259" s="33">
        <v>256</v>
      </c>
      <c r="B259" s="30">
        <v>5.6843418860808015E-14</v>
      </c>
      <c r="C259" s="30">
        <v>7.4014868308343765E-17</v>
      </c>
      <c r="D259" s="35">
        <v>2</v>
      </c>
      <c r="E259" s="31">
        <v>0.33333333333333331</v>
      </c>
      <c r="F259" s="31">
        <v>0.33333333333333331</v>
      </c>
      <c r="G259" s="31">
        <v>0.30203523174277408</v>
      </c>
      <c r="H259" s="31">
        <v>0.17171198905421584</v>
      </c>
      <c r="I259" s="32">
        <v>10224.745186862967</v>
      </c>
      <c r="J259" s="32">
        <v>-9449.9003984063747</v>
      </c>
      <c r="K259" s="31">
        <v>0.16015625</v>
      </c>
      <c r="L259" s="31">
        <v>0.28864816068607541</v>
      </c>
      <c r="M259" s="31">
        <v>0.22162040171518846</v>
      </c>
      <c r="N259" s="31">
        <v>0.58405003909304143</v>
      </c>
      <c r="O259" s="31">
        <v>0.39613034623217924</v>
      </c>
      <c r="P259" s="31">
        <v>0.41959229898074746</v>
      </c>
    </row>
    <row r="260" spans="1:16" x14ac:dyDescent="0.4">
      <c r="A260" s="33">
        <v>257</v>
      </c>
      <c r="B260" s="30">
        <v>5.6843418860808015E-14</v>
      </c>
      <c r="C260" s="30">
        <v>7.3726872711813246E-17</v>
      </c>
      <c r="D260" s="35">
        <v>2</v>
      </c>
      <c r="E260" s="31">
        <v>0.33333333333333331</v>
      </c>
      <c r="F260" s="31">
        <v>0.33333333333333331</v>
      </c>
      <c r="G260" s="31">
        <v>0.30197682344921611</v>
      </c>
      <c r="H260" s="31">
        <v>0.17177914110429449</v>
      </c>
      <c r="I260" s="32">
        <v>10218.510158013543</v>
      </c>
      <c r="J260" s="32">
        <v>-9434.5238095238092</v>
      </c>
      <c r="K260" s="31">
        <v>0.15953307392996108</v>
      </c>
      <c r="L260" s="31">
        <v>0.28818508535489668</v>
      </c>
      <c r="M260" s="31">
        <v>0.22192273135669363</v>
      </c>
      <c r="N260" s="31">
        <v>0.58378799688230709</v>
      </c>
      <c r="O260" s="31">
        <v>0.39676113360323889</v>
      </c>
      <c r="P260" s="31">
        <v>0.41930022573363429</v>
      </c>
    </row>
    <row r="261" spans="1:16" x14ac:dyDescent="0.4">
      <c r="A261" s="33">
        <v>258</v>
      </c>
      <c r="B261" s="30">
        <v>5.6843418860808015E-14</v>
      </c>
      <c r="C261" s="30">
        <v>7.3441109639286844E-17</v>
      </c>
      <c r="D261" s="35">
        <v>2</v>
      </c>
      <c r="E261" s="31">
        <v>0.33333333333333331</v>
      </c>
      <c r="F261" s="31">
        <v>0.33333333333333331</v>
      </c>
      <c r="G261" s="31">
        <v>0.30193482688391038</v>
      </c>
      <c r="H261" s="31">
        <v>0.17209775967413443</v>
      </c>
      <c r="I261" s="32">
        <v>10205.84598088814</v>
      </c>
      <c r="J261" s="32">
        <v>-9424.9506903353049</v>
      </c>
      <c r="K261" s="31">
        <v>0.15891472868217055</v>
      </c>
      <c r="L261" s="31">
        <v>0.28775692582663093</v>
      </c>
      <c r="M261" s="31">
        <v>0.22184986595174264</v>
      </c>
      <c r="N261" s="31">
        <v>0.58229813664596275</v>
      </c>
      <c r="O261" s="31">
        <v>0.3987915407854985</v>
      </c>
      <c r="P261" s="31">
        <v>0.41821247892074198</v>
      </c>
    </row>
    <row r="262" spans="1:16" x14ac:dyDescent="0.4">
      <c r="A262" s="33">
        <v>259</v>
      </c>
      <c r="B262" s="30">
        <v>5.6843418860808015E-14</v>
      </c>
      <c r="C262" s="30">
        <v>7.3157553231413144E-17</v>
      </c>
      <c r="D262" s="35">
        <v>2</v>
      </c>
      <c r="E262" s="31">
        <v>0.33333333333333331</v>
      </c>
      <c r="F262" s="31">
        <v>0.33333333333333331</v>
      </c>
      <c r="G262" s="31">
        <v>0.30177215189873419</v>
      </c>
      <c r="H262" s="31">
        <v>0.1719831223628692</v>
      </c>
      <c r="I262" s="32">
        <v>10226.510067114094</v>
      </c>
      <c r="J262" s="32">
        <v>-9434.4455348380761</v>
      </c>
      <c r="K262" s="31">
        <v>0.15958815958815958</v>
      </c>
      <c r="L262" s="31">
        <v>0.2878687070303837</v>
      </c>
      <c r="M262" s="31">
        <v>0.22133510756265248</v>
      </c>
      <c r="N262" s="31">
        <v>0.58243451463790452</v>
      </c>
      <c r="O262" s="31">
        <v>0.3997995991983968</v>
      </c>
      <c r="P262" s="31">
        <v>0.41834451901565994</v>
      </c>
    </row>
    <row r="263" spans="1:16" x14ac:dyDescent="0.4">
      <c r="A263" s="33">
        <v>260</v>
      </c>
      <c r="B263" s="30">
        <v>5.6843418860808015E-14</v>
      </c>
      <c r="C263" s="30">
        <v>7.2876178026676942E-17</v>
      </c>
      <c r="D263" s="35">
        <v>2</v>
      </c>
      <c r="E263" s="31">
        <v>0.33333333333333331</v>
      </c>
      <c r="F263" s="31">
        <v>0.33333333333333331</v>
      </c>
      <c r="G263" s="31">
        <v>0.30183594407950143</v>
      </c>
      <c r="H263" s="31">
        <v>0.17197237662118917</v>
      </c>
      <c r="I263" s="32">
        <v>10228.236607142857</v>
      </c>
      <c r="J263" s="32">
        <v>-9435.5533790401569</v>
      </c>
      <c r="K263" s="31">
        <v>0.16025641025641027</v>
      </c>
      <c r="L263" s="31">
        <v>0.28843176288431766</v>
      </c>
      <c r="M263" s="31">
        <v>0.22096881220968811</v>
      </c>
      <c r="N263" s="31">
        <v>0.58282208588957052</v>
      </c>
      <c r="O263" s="31">
        <v>0.39939939939939939</v>
      </c>
      <c r="P263" s="31">
        <v>0.4185267857142857</v>
      </c>
    </row>
    <row r="264" spans="1:16" x14ac:dyDescent="0.4">
      <c r="A264" s="33">
        <v>261</v>
      </c>
      <c r="B264" s="30">
        <v>5.6843418860808015E-14</v>
      </c>
      <c r="C264" s="30">
        <v>7.2596958953777801E-17</v>
      </c>
      <c r="D264" s="35">
        <v>2</v>
      </c>
      <c r="E264" s="31">
        <v>0.33333333333333331</v>
      </c>
      <c r="F264" s="31">
        <v>0.33333333333333331</v>
      </c>
      <c r="G264" s="31">
        <v>0.30196275792652238</v>
      </c>
      <c r="H264" s="31">
        <v>0.17211877201811776</v>
      </c>
      <c r="I264" s="32">
        <v>10216.833333333334</v>
      </c>
      <c r="J264" s="32">
        <v>-9426.9005847953213</v>
      </c>
      <c r="K264" s="31">
        <v>0.15964240102171137</v>
      </c>
      <c r="L264" s="31">
        <v>0.28844884488448846</v>
      </c>
      <c r="M264" s="31">
        <v>0.22046204620462045</v>
      </c>
      <c r="N264" s="31">
        <v>0.58352402745995424</v>
      </c>
      <c r="O264" s="31">
        <v>0.39920159680638723</v>
      </c>
      <c r="P264" s="31">
        <v>0.41833333333333333</v>
      </c>
    </row>
    <row r="265" spans="1:16" x14ac:dyDescent="0.4">
      <c r="A265" s="33">
        <v>262</v>
      </c>
      <c r="B265" s="30">
        <v>5.6621374255882984E-14</v>
      </c>
      <c r="C265" s="30">
        <v>7.2037371826823131E-17</v>
      </c>
      <c r="D265" s="35">
        <v>2</v>
      </c>
      <c r="E265" s="31">
        <v>0.33333333333333331</v>
      </c>
      <c r="F265" s="31">
        <v>0.33333333333333331</v>
      </c>
      <c r="G265" s="31">
        <v>0.30172269610302727</v>
      </c>
      <c r="H265" s="31">
        <v>0.17193510620505101</v>
      </c>
      <c r="I265" s="32">
        <v>10210.864745011086</v>
      </c>
      <c r="J265" s="32">
        <v>-9435.7976653696496</v>
      </c>
      <c r="K265" s="31">
        <v>0.15903307888040713</v>
      </c>
      <c r="L265" s="31">
        <v>0.2890642121411352</v>
      </c>
      <c r="M265" s="31">
        <v>0.21959237343852728</v>
      </c>
      <c r="N265" s="31">
        <v>0.58150113722517061</v>
      </c>
      <c r="O265" s="31">
        <v>0.39920159680638723</v>
      </c>
      <c r="P265" s="31">
        <v>0.41796008869179602</v>
      </c>
    </row>
    <row r="266" spans="1:16" x14ac:dyDescent="0.4">
      <c r="A266" s="33">
        <v>263</v>
      </c>
      <c r="B266" s="30">
        <v>6.1284310959308641E-14</v>
      </c>
      <c r="C266" s="30">
        <v>7.767339792054327E-17</v>
      </c>
      <c r="D266" s="35">
        <v>2</v>
      </c>
      <c r="E266" s="31">
        <v>0.33333333333333331</v>
      </c>
      <c r="F266" s="31">
        <v>0.33333333333333331</v>
      </c>
      <c r="G266" s="31">
        <v>0.3016824920872897</v>
      </c>
      <c r="H266" s="31">
        <v>0.17158087622855239</v>
      </c>
      <c r="I266" s="32">
        <v>10228.768636112645</v>
      </c>
      <c r="J266" s="32">
        <v>-9443.3009708737864</v>
      </c>
      <c r="K266" s="31">
        <v>0.1596958174904943</v>
      </c>
      <c r="L266" s="31">
        <v>0.28864181382166992</v>
      </c>
      <c r="M266" s="31">
        <v>0.21975147155003269</v>
      </c>
      <c r="N266" s="31">
        <v>0.58081570996978849</v>
      </c>
      <c r="O266" s="31">
        <v>0.39781746031746029</v>
      </c>
      <c r="P266" s="31">
        <v>0.41910546659304254</v>
      </c>
    </row>
    <row r="267" spans="1:16" x14ac:dyDescent="0.4">
      <c r="A267" s="33">
        <v>264</v>
      </c>
      <c r="B267" s="30">
        <v>6.5281113847959205E-14</v>
      </c>
      <c r="C267" s="30">
        <v>8.2425648797928289E-17</v>
      </c>
      <c r="D267" s="35">
        <v>2</v>
      </c>
      <c r="E267" s="31">
        <v>0.33333333333333331</v>
      </c>
      <c r="F267" s="31">
        <v>0.33333333333333331</v>
      </c>
      <c r="G267" s="31">
        <v>0.30150837062821151</v>
      </c>
      <c r="H267" s="31">
        <v>0.17172219459638655</v>
      </c>
      <c r="I267" s="32">
        <v>10227.047828477185</v>
      </c>
      <c r="J267" s="32">
        <v>-9433.6872586872578</v>
      </c>
      <c r="K267" s="31">
        <v>0.16035353535353536</v>
      </c>
      <c r="L267" s="31">
        <v>0.28871561620099634</v>
      </c>
      <c r="M267" s="31">
        <v>0.22027290448343079</v>
      </c>
      <c r="N267" s="31">
        <v>0.58064516129032262</v>
      </c>
      <c r="O267" s="31">
        <v>0.39724680432645032</v>
      </c>
      <c r="P267" s="31">
        <v>0.41836173721825176</v>
      </c>
    </row>
    <row r="268" spans="1:16" x14ac:dyDescent="0.4">
      <c r="A268" s="33">
        <v>265</v>
      </c>
      <c r="B268" s="30">
        <v>6.3948846218409017E-14</v>
      </c>
      <c r="C268" s="30">
        <v>8.0438800274728317E-17</v>
      </c>
      <c r="D268" s="35">
        <v>2</v>
      </c>
      <c r="E268" s="31">
        <v>0.33333333333333331</v>
      </c>
      <c r="F268" s="31">
        <v>0.33333333333333331</v>
      </c>
      <c r="G268" s="31">
        <v>0.30146937427769521</v>
      </c>
      <c r="H268" s="31">
        <v>0.17186726102030708</v>
      </c>
      <c r="I268" s="32">
        <v>10226.670317634173</v>
      </c>
      <c r="J268" s="32">
        <v>-9452.6416906820359</v>
      </c>
      <c r="K268" s="31">
        <v>0.15974842767295597</v>
      </c>
      <c r="L268" s="31">
        <v>0.2893772893772894</v>
      </c>
      <c r="M268" s="31">
        <v>0.21978021978021978</v>
      </c>
      <c r="N268" s="31">
        <v>0.58078927773641098</v>
      </c>
      <c r="O268" s="31">
        <v>0.396078431372549</v>
      </c>
      <c r="P268" s="31">
        <v>0.41785323110624317</v>
      </c>
    </row>
    <row r="269" spans="1:16" x14ac:dyDescent="0.4">
      <c r="A269" s="33">
        <v>266</v>
      </c>
      <c r="B269" s="30">
        <v>6.3282712403633923E-14</v>
      </c>
      <c r="C269" s="30">
        <v>7.9301644616082612E-17</v>
      </c>
      <c r="D269" s="35">
        <v>2</v>
      </c>
      <c r="E269" s="31">
        <v>0.33333333333333331</v>
      </c>
      <c r="F269" s="31">
        <v>0.33333333333333331</v>
      </c>
      <c r="G269" s="31">
        <v>0.3011335633316905</v>
      </c>
      <c r="H269" s="31">
        <v>0.17184162970264499</v>
      </c>
      <c r="I269" s="32">
        <v>10209.710856519367</v>
      </c>
      <c r="J269" s="32">
        <v>-9434.7036328871891</v>
      </c>
      <c r="K269" s="31">
        <v>0.15914786967418545</v>
      </c>
      <c r="L269" s="31">
        <v>0.28923142795975165</v>
      </c>
      <c r="M269" s="31">
        <v>0.21922500535217299</v>
      </c>
      <c r="N269" s="31">
        <v>0.5803108808290155</v>
      </c>
      <c r="O269" s="31">
        <v>0.396484375</v>
      </c>
      <c r="P269" s="31">
        <v>0.41734860883797054</v>
      </c>
    </row>
    <row r="270" spans="1:16" x14ac:dyDescent="0.4">
      <c r="A270" s="33">
        <v>267</v>
      </c>
      <c r="B270" s="30">
        <v>6.3060667798708891E-14</v>
      </c>
      <c r="C270" s="30">
        <v>7.8727425466552918E-17</v>
      </c>
      <c r="D270" s="35">
        <v>2</v>
      </c>
      <c r="E270" s="31">
        <v>0.33333333333333331</v>
      </c>
      <c r="F270" s="31">
        <v>0.33333333333333331</v>
      </c>
      <c r="G270" s="31">
        <v>0.30109638357061036</v>
      </c>
      <c r="H270" s="31">
        <v>0.17198494518082147</v>
      </c>
      <c r="I270" s="32">
        <v>10196.630434782608</v>
      </c>
      <c r="J270" s="32">
        <v>-9417.6974310180776</v>
      </c>
      <c r="K270" s="31">
        <v>0.15855181023720349</v>
      </c>
      <c r="L270" s="31">
        <v>0.28881789137380193</v>
      </c>
      <c r="M270" s="31">
        <v>0.21959531416400427</v>
      </c>
      <c r="N270" s="31">
        <v>0.57964601769911506</v>
      </c>
      <c r="O270" s="31">
        <v>0.39670223084384093</v>
      </c>
      <c r="P270" s="31">
        <v>0.41684782608695653</v>
      </c>
    </row>
    <row r="271" spans="1:16" x14ac:dyDescent="0.4">
      <c r="A271" s="33">
        <v>268</v>
      </c>
      <c r="B271" s="30">
        <v>6.0396132539608516E-14</v>
      </c>
      <c r="C271" s="30">
        <v>7.5119567835333978E-17</v>
      </c>
      <c r="D271" s="35">
        <v>2</v>
      </c>
      <c r="E271" s="31">
        <v>0.33333333333333331</v>
      </c>
      <c r="F271" s="31">
        <v>0.33333333333333331</v>
      </c>
      <c r="G271" s="31">
        <v>0.30115956230605911</v>
      </c>
      <c r="H271" s="31">
        <v>0.17213784092764983</v>
      </c>
      <c r="I271" s="32">
        <v>10197.505422993492</v>
      </c>
      <c r="J271" s="32">
        <v>-9423.7191650853892</v>
      </c>
      <c r="K271" s="31">
        <v>0.15920398009950248</v>
      </c>
      <c r="L271" s="31">
        <v>0.28871892925430209</v>
      </c>
      <c r="M271" s="31">
        <v>0.21988527724665391</v>
      </c>
      <c r="N271" s="31">
        <v>0.58057395143487855</v>
      </c>
      <c r="O271" s="31">
        <v>0.39613526570048307</v>
      </c>
      <c r="P271" s="31">
        <v>0.41648590021691972</v>
      </c>
    </row>
    <row r="272" spans="1:16" x14ac:dyDescent="0.4">
      <c r="A272" s="33">
        <v>269</v>
      </c>
      <c r="B272" s="30">
        <v>5.6843418860808015E-14</v>
      </c>
      <c r="C272" s="30">
        <v>7.0437941587122696E-17</v>
      </c>
      <c r="D272" s="35">
        <v>2</v>
      </c>
      <c r="E272" s="31">
        <v>0.33333333333333331</v>
      </c>
      <c r="F272" s="31">
        <v>0.33333333333333331</v>
      </c>
      <c r="G272" s="31">
        <v>0.30122249388753058</v>
      </c>
      <c r="H272" s="31">
        <v>0.17229013854930725</v>
      </c>
      <c r="I272" s="32">
        <v>10200.216450216451</v>
      </c>
      <c r="J272" s="32">
        <v>-9436.5184484389774</v>
      </c>
      <c r="K272" s="31">
        <v>0.15985130111524162</v>
      </c>
      <c r="L272" s="31">
        <v>0.28840856113583385</v>
      </c>
      <c r="M272" s="31">
        <v>0.2199618563254927</v>
      </c>
      <c r="N272" s="31">
        <v>0.58045554739162386</v>
      </c>
      <c r="O272" s="31">
        <v>0.39595375722543352</v>
      </c>
      <c r="P272" s="31">
        <v>0.41612554112554112</v>
      </c>
    </row>
    <row r="273" spans="1:16" x14ac:dyDescent="0.4">
      <c r="A273" s="33">
        <v>270</v>
      </c>
      <c r="B273" s="30">
        <v>6.0396132539608516E-14</v>
      </c>
      <c r="C273" s="30">
        <v>7.456312659210928E-17</v>
      </c>
      <c r="D273" s="35">
        <v>2</v>
      </c>
      <c r="E273" s="31">
        <v>0.33333333333333331</v>
      </c>
      <c r="F273" s="31">
        <v>0.33333333333333331</v>
      </c>
      <c r="G273" s="31">
        <v>0.30136319376825704</v>
      </c>
      <c r="H273" s="31">
        <v>0.17250892567348264</v>
      </c>
      <c r="I273" s="32">
        <v>10186.645126548196</v>
      </c>
      <c r="J273" s="32">
        <v>-9425.2116650987773</v>
      </c>
      <c r="K273" s="31">
        <v>0.15925925925925927</v>
      </c>
      <c r="L273" s="31">
        <v>0.28845343447113359</v>
      </c>
      <c r="M273" s="31">
        <v>0.21997471554993678</v>
      </c>
      <c r="N273" s="31">
        <v>0.58071585098612122</v>
      </c>
      <c r="O273" s="31">
        <v>0.39655172413793105</v>
      </c>
      <c r="P273" s="31">
        <v>0.41572428648357568</v>
      </c>
    </row>
    <row r="274" spans="1:16" x14ac:dyDescent="0.4">
      <c r="A274" s="33">
        <v>271</v>
      </c>
      <c r="B274" s="30">
        <v>6.0396132539608516E-14</v>
      </c>
      <c r="C274" s="30">
        <v>7.4287985903577515E-17</v>
      </c>
      <c r="D274" s="35">
        <v>2</v>
      </c>
      <c r="E274" s="31">
        <v>0.33333333333333331</v>
      </c>
      <c r="F274" s="31">
        <v>0.33333333333333331</v>
      </c>
      <c r="G274" s="31">
        <v>0.30134108902892226</v>
      </c>
      <c r="H274" s="31">
        <v>0.17256422685409598</v>
      </c>
      <c r="I274" s="32">
        <v>10181.76943699732</v>
      </c>
      <c r="J274" s="32">
        <v>-9422.2846441947568</v>
      </c>
      <c r="K274" s="31">
        <v>0.15867158671586715</v>
      </c>
      <c r="L274" s="31">
        <v>0.28912633563796353</v>
      </c>
      <c r="M274" s="31">
        <v>0.21935889377749843</v>
      </c>
      <c r="N274" s="31">
        <v>0.5818840579710145</v>
      </c>
      <c r="O274" s="31">
        <v>0.39541547277936961</v>
      </c>
      <c r="P274" s="31">
        <v>0.41554959785522788</v>
      </c>
    </row>
    <row r="275" spans="1:16" x14ac:dyDescent="0.4">
      <c r="A275" s="33">
        <v>272</v>
      </c>
      <c r="B275" s="30">
        <v>6.0396132539608516E-14</v>
      </c>
      <c r="C275" s="30">
        <v>7.4014868308343765E-17</v>
      </c>
      <c r="D275" s="35">
        <v>2</v>
      </c>
      <c r="E275" s="31">
        <v>0.33333333333333331</v>
      </c>
      <c r="F275" s="31">
        <v>0.33333333333333331</v>
      </c>
      <c r="G275" s="31">
        <v>0.30118932819029254</v>
      </c>
      <c r="H275" s="31">
        <v>0.17245258759241403</v>
      </c>
      <c r="I275" s="32">
        <v>10172.465314834579</v>
      </c>
      <c r="J275" s="32">
        <v>-9412.488350419384</v>
      </c>
      <c r="K275" s="31">
        <v>0.15808823529411764</v>
      </c>
      <c r="L275" s="31">
        <v>0.28922180607573866</v>
      </c>
      <c r="M275" s="31">
        <v>0.21930919683728672</v>
      </c>
      <c r="N275" s="31">
        <v>0.58201438848920861</v>
      </c>
      <c r="O275" s="31">
        <v>0.39563567362428842</v>
      </c>
      <c r="P275" s="31">
        <v>0.41568836712913554</v>
      </c>
    </row>
    <row r="276" spans="1:16" x14ac:dyDescent="0.4">
      <c r="A276" s="33">
        <v>273</v>
      </c>
      <c r="B276" s="30">
        <v>6.0840221749458578E-14</v>
      </c>
      <c r="C276" s="30">
        <v>7.4285985042073961E-17</v>
      </c>
      <c r="D276" s="35">
        <v>2</v>
      </c>
      <c r="E276" s="31">
        <v>0.33333333333333331</v>
      </c>
      <c r="F276" s="31">
        <v>0.33333333333333331</v>
      </c>
      <c r="G276" s="31">
        <v>0.30099263528658343</v>
      </c>
      <c r="H276" s="31">
        <v>0.17211015049631764</v>
      </c>
      <c r="I276" s="32">
        <v>10156.329787234043</v>
      </c>
      <c r="J276" s="32">
        <v>-9400.4651162790706</v>
      </c>
      <c r="K276" s="31">
        <v>0.1575091575091575</v>
      </c>
      <c r="L276" s="31">
        <v>0.28881987577639751</v>
      </c>
      <c r="M276" s="31">
        <v>0.21946169772256729</v>
      </c>
      <c r="N276" s="31">
        <v>0.58136200716845876</v>
      </c>
      <c r="O276" s="31">
        <v>0.39528301886792455</v>
      </c>
      <c r="P276" s="31">
        <v>0.41648936170212764</v>
      </c>
    </row>
    <row r="277" spans="1:16" x14ac:dyDescent="0.4">
      <c r="A277" s="33">
        <v>274</v>
      </c>
      <c r="B277" s="30">
        <v>5.6843418860808015E-14</v>
      </c>
      <c r="C277" s="30">
        <v>6.9152577689547465E-17</v>
      </c>
      <c r="D277" s="35">
        <v>2</v>
      </c>
      <c r="E277" s="31">
        <v>0.33333333333333331</v>
      </c>
      <c r="F277" s="31">
        <v>0.33333333333333331</v>
      </c>
      <c r="G277" s="31">
        <v>0.30068482242395284</v>
      </c>
      <c r="H277" s="31">
        <v>0.17200191113234592</v>
      </c>
      <c r="I277" s="32">
        <v>10151.006355932202</v>
      </c>
      <c r="J277" s="32">
        <v>-9385.8333333333339</v>
      </c>
      <c r="K277" s="31">
        <v>0.15693430656934307</v>
      </c>
      <c r="L277" s="31">
        <v>0.28788813489615461</v>
      </c>
      <c r="M277" s="31">
        <v>0.21961752004935226</v>
      </c>
      <c r="N277" s="31">
        <v>0.58071428571428574</v>
      </c>
      <c r="O277" s="31">
        <v>0.3960674157303371</v>
      </c>
      <c r="P277" s="31">
        <v>0.4163135593220339</v>
      </c>
    </row>
    <row r="278" spans="1:16" x14ac:dyDescent="0.4">
      <c r="A278" s="33">
        <v>275</v>
      </c>
      <c r="B278" s="30">
        <v>5.8619775700208265E-14</v>
      </c>
      <c r="C278" s="30">
        <v>7.105427357601002E-17</v>
      </c>
      <c r="D278" s="35">
        <v>2</v>
      </c>
      <c r="E278" s="31">
        <v>0.33333333333333331</v>
      </c>
      <c r="F278" s="31">
        <v>0.33333333333333331</v>
      </c>
      <c r="G278" s="31">
        <v>0.30063492063492064</v>
      </c>
      <c r="H278" s="31">
        <v>0.17174603174603176</v>
      </c>
      <c r="I278" s="32">
        <v>10137.486800422386</v>
      </c>
      <c r="J278" s="32">
        <v>-9380.6839186691304</v>
      </c>
      <c r="K278" s="31">
        <v>0.15636363636363637</v>
      </c>
      <c r="L278" s="31">
        <v>0.28808353808353809</v>
      </c>
      <c r="M278" s="31">
        <v>0.21928746928746928</v>
      </c>
      <c r="N278" s="31">
        <v>0.58137882018479037</v>
      </c>
      <c r="O278" s="31">
        <v>0.39589169000933705</v>
      </c>
      <c r="P278" s="31">
        <v>0.41710665258711721</v>
      </c>
    </row>
    <row r="279" spans="1:16" x14ac:dyDescent="0.4">
      <c r="A279" s="33">
        <v>276</v>
      </c>
      <c r="B279" s="30">
        <v>5.6843418860808015E-14</v>
      </c>
      <c r="C279" s="30">
        <v>6.8651472054115957E-17</v>
      </c>
      <c r="D279" s="35">
        <v>2</v>
      </c>
      <c r="E279" s="31">
        <v>0.33333333333333331</v>
      </c>
      <c r="F279" s="31">
        <v>0.33333333333333331</v>
      </c>
      <c r="G279" s="31">
        <v>0.30060088551549652</v>
      </c>
      <c r="H279" s="31">
        <v>0.17172675521821631</v>
      </c>
      <c r="I279" s="32">
        <v>10130.142030510258</v>
      </c>
      <c r="J279" s="32">
        <v>-9380.3867403314925</v>
      </c>
      <c r="K279" s="31">
        <v>0.15579710144927536</v>
      </c>
      <c r="L279" s="31">
        <v>0.28810105949470255</v>
      </c>
      <c r="M279" s="31">
        <v>0.21943765281173594</v>
      </c>
      <c r="N279" s="31">
        <v>0.58132956152758131</v>
      </c>
      <c r="O279" s="31">
        <v>0.3955431754874652</v>
      </c>
      <c r="P279" s="31">
        <v>0.41714886901630721</v>
      </c>
    </row>
    <row r="280" spans="1:16" x14ac:dyDescent="0.4">
      <c r="A280" s="33">
        <v>277</v>
      </c>
      <c r="B280" s="30">
        <v>5.6843418860808015E-14</v>
      </c>
      <c r="C280" s="30">
        <v>6.8403632804823125E-17</v>
      </c>
      <c r="D280" s="35">
        <v>2</v>
      </c>
      <c r="E280" s="31">
        <v>0.33333333333333331</v>
      </c>
      <c r="F280" s="31">
        <v>0.33333333333333331</v>
      </c>
      <c r="G280" s="31">
        <v>0.30056710775047257</v>
      </c>
      <c r="H280" s="31">
        <v>0.17170762444864524</v>
      </c>
      <c r="I280" s="32">
        <v>10124.737945492663</v>
      </c>
      <c r="J280" s="32">
        <v>-9377.7064220183493</v>
      </c>
      <c r="K280" s="31">
        <v>0.1552346570397112</v>
      </c>
      <c r="L280" s="31">
        <v>0.28791565287915655</v>
      </c>
      <c r="M280" s="31">
        <v>0.21958637469586376</v>
      </c>
      <c r="N280" s="31">
        <v>0.58028169014084507</v>
      </c>
      <c r="O280" s="31">
        <v>0.39519852262234534</v>
      </c>
      <c r="P280" s="31">
        <v>0.41719077568134172</v>
      </c>
    </row>
    <row r="281" spans="1:16" x14ac:dyDescent="0.4">
      <c r="A281" s="33">
        <v>278</v>
      </c>
      <c r="B281" s="30">
        <v>5.595524044110789E-14</v>
      </c>
      <c r="C281" s="30">
        <v>6.7092614437779246E-17</v>
      </c>
      <c r="D281" s="35">
        <v>2</v>
      </c>
      <c r="E281" s="31">
        <v>0.33333333333333331</v>
      </c>
      <c r="F281" s="31">
        <v>0.33333333333333331</v>
      </c>
      <c r="G281" s="31">
        <v>0.30053358443188949</v>
      </c>
      <c r="H281" s="31">
        <v>0.17168863779033269</v>
      </c>
      <c r="I281" s="32">
        <v>10130.287206266319</v>
      </c>
      <c r="J281" s="32">
        <v>-9377.6965265082272</v>
      </c>
      <c r="K281" s="31">
        <v>0.15467625899280577</v>
      </c>
      <c r="L281" s="31">
        <v>0.28874092009685232</v>
      </c>
      <c r="M281" s="31">
        <v>0.21933010492332528</v>
      </c>
      <c r="N281" s="31">
        <v>0.5800139762403913</v>
      </c>
      <c r="O281" s="31">
        <v>0.39374425022999082</v>
      </c>
      <c r="P281" s="31">
        <v>0.41723237597911228</v>
      </c>
    </row>
    <row r="282" spans="1:16" x14ac:dyDescent="0.4">
      <c r="A282" s="33">
        <v>279</v>
      </c>
      <c r="B282" s="30">
        <v>5.6843418860808015E-14</v>
      </c>
      <c r="C282" s="30">
        <v>6.7913284182566322E-17</v>
      </c>
      <c r="D282" s="35">
        <v>2</v>
      </c>
      <c r="E282" s="31">
        <v>0.33333333333333331</v>
      </c>
      <c r="F282" s="31">
        <v>0.33333333333333331</v>
      </c>
      <c r="G282" s="31">
        <v>0.30061061531235322</v>
      </c>
      <c r="H282" s="31">
        <v>0.17191169563175199</v>
      </c>
      <c r="I282" s="32">
        <v>10132.5</v>
      </c>
      <c r="J282" s="32">
        <v>-9382.6047358834239</v>
      </c>
      <c r="K282" s="31">
        <v>0.15531660692951016</v>
      </c>
      <c r="L282" s="31">
        <v>0.28827197746932209</v>
      </c>
      <c r="M282" s="31">
        <v>0.21967410983705493</v>
      </c>
      <c r="N282" s="31">
        <v>0.58060013956734124</v>
      </c>
      <c r="O282" s="31">
        <v>0.39377289377289376</v>
      </c>
      <c r="P282" s="31">
        <v>0.41666666666666669</v>
      </c>
    </row>
    <row r="283" spans="1:16" x14ac:dyDescent="0.4">
      <c r="A283" s="33">
        <v>280</v>
      </c>
      <c r="B283" s="30">
        <v>5.6843418860808015E-14</v>
      </c>
      <c r="C283" s="30">
        <v>6.7670736739057167E-17</v>
      </c>
      <c r="D283" s="35">
        <v>2</v>
      </c>
      <c r="E283" s="31">
        <v>0.33333333333333331</v>
      </c>
      <c r="F283" s="31">
        <v>0.33333333333333331</v>
      </c>
      <c r="G283" s="31">
        <v>0.30074836295603369</v>
      </c>
      <c r="H283" s="31">
        <v>0.17181166198939818</v>
      </c>
      <c r="I283" s="32">
        <v>10127.112493519959</v>
      </c>
      <c r="J283" s="32">
        <v>-9379.9455535390207</v>
      </c>
      <c r="K283" s="31">
        <v>0.15476190476190477</v>
      </c>
      <c r="L283" s="31">
        <v>0.28751500600240099</v>
      </c>
      <c r="M283" s="31">
        <v>0.21988795518207283</v>
      </c>
      <c r="N283" s="31">
        <v>0.58037578288100211</v>
      </c>
      <c r="O283" s="31">
        <v>0.39490445859872614</v>
      </c>
      <c r="P283" s="31">
        <v>0.41731467081389323</v>
      </c>
    </row>
    <row r="284" spans="1:16" x14ac:dyDescent="0.4">
      <c r="A284" s="33">
        <v>281</v>
      </c>
      <c r="B284" s="30">
        <v>5.6843418860808015E-14</v>
      </c>
      <c r="C284" s="30">
        <v>6.7429915611871909E-17</v>
      </c>
      <c r="D284" s="35">
        <v>2</v>
      </c>
      <c r="E284" s="31">
        <v>0.33333333333333331</v>
      </c>
      <c r="F284" s="31">
        <v>0.33333333333333331</v>
      </c>
      <c r="G284" s="31">
        <v>0.30083955223880599</v>
      </c>
      <c r="H284" s="31">
        <v>0.17164179104477612</v>
      </c>
      <c r="I284" s="32">
        <v>10119.121447028423</v>
      </c>
      <c r="J284" s="32">
        <v>-9381.06884057971</v>
      </c>
      <c r="K284" s="31">
        <v>0.15421115065243179</v>
      </c>
      <c r="L284" s="31">
        <v>0.2878787878787879</v>
      </c>
      <c r="M284" s="31">
        <v>0.2196969696969697</v>
      </c>
      <c r="N284" s="31">
        <v>0.58102493074792239</v>
      </c>
      <c r="O284" s="31">
        <v>0.39473684210526316</v>
      </c>
      <c r="P284" s="31">
        <v>0.41808785529715764</v>
      </c>
    </row>
    <row r="285" spans="1:16" x14ac:dyDescent="0.4">
      <c r="A285" s="33">
        <v>282</v>
      </c>
      <c r="B285" s="30">
        <v>5.6843418860808015E-14</v>
      </c>
      <c r="C285" s="30">
        <v>6.7190802435943278E-17</v>
      </c>
      <c r="D285" s="35">
        <v>2</v>
      </c>
      <c r="E285" s="31">
        <v>0.33333333333333331</v>
      </c>
      <c r="F285" s="31">
        <v>0.33333333333333331</v>
      </c>
      <c r="G285" s="31">
        <v>0.30108527131782947</v>
      </c>
      <c r="H285" s="31">
        <v>0.1717829457364341</v>
      </c>
      <c r="I285" s="32">
        <v>10103.810504634397</v>
      </c>
      <c r="J285" s="32">
        <v>-9371.5703971119128</v>
      </c>
      <c r="K285" s="31">
        <v>0.15366430260047281</v>
      </c>
      <c r="L285" s="31">
        <v>0.28724672228843862</v>
      </c>
      <c r="M285" s="31">
        <v>0.21970599920540326</v>
      </c>
      <c r="N285" s="31">
        <v>0.58160442600276629</v>
      </c>
      <c r="O285" s="31">
        <v>0.39692585895117538</v>
      </c>
      <c r="P285" s="31">
        <v>0.41761071060762101</v>
      </c>
    </row>
    <row r="286" spans="1:16" x14ac:dyDescent="0.4">
      <c r="A286" s="33">
        <v>283</v>
      </c>
      <c r="B286" s="30">
        <v>5.6843418860808015E-14</v>
      </c>
      <c r="C286" s="30">
        <v>6.6953379105780931E-17</v>
      </c>
      <c r="D286" s="35">
        <v>2</v>
      </c>
      <c r="E286" s="31">
        <v>0.33333333333333331</v>
      </c>
      <c r="F286" s="31">
        <v>0.33333333333333331</v>
      </c>
      <c r="G286" s="31">
        <v>0.30117501546072972</v>
      </c>
      <c r="H286" s="31">
        <v>0.17176870748299319</v>
      </c>
      <c r="I286" s="32">
        <v>10095.94455852156</v>
      </c>
      <c r="J286" s="32">
        <v>-9373.1773177317737</v>
      </c>
      <c r="K286" s="31">
        <v>0.15312131919905772</v>
      </c>
      <c r="L286" s="31">
        <v>0.28681710213776723</v>
      </c>
      <c r="M286" s="31">
        <v>0.22011084718923199</v>
      </c>
      <c r="N286" s="31">
        <v>0.58178053830227738</v>
      </c>
      <c r="O286" s="31">
        <v>0.39748201438848924</v>
      </c>
      <c r="P286" s="31">
        <v>0.41786447638603696</v>
      </c>
    </row>
    <row r="287" spans="1:16" x14ac:dyDescent="0.4">
      <c r="A287" s="33">
        <v>284</v>
      </c>
      <c r="B287" s="30">
        <v>5.6843418860808015E-14</v>
      </c>
      <c r="C287" s="30">
        <v>6.6717627770901427E-17</v>
      </c>
      <c r="D287" s="35">
        <v>2</v>
      </c>
      <c r="E287" s="31">
        <v>0.33333333333333331</v>
      </c>
      <c r="F287" s="31">
        <v>0.33333333333333331</v>
      </c>
      <c r="G287" s="31">
        <v>0.30129390018484287</v>
      </c>
      <c r="H287" s="31">
        <v>0.17190388170055454</v>
      </c>
      <c r="I287" s="32">
        <v>10095.040899795502</v>
      </c>
      <c r="J287" s="32">
        <v>-9373.2974910394259</v>
      </c>
      <c r="K287" s="31">
        <v>0.15258215962441316</v>
      </c>
      <c r="L287" s="31">
        <v>0.28664302600472813</v>
      </c>
      <c r="M287" s="31">
        <v>0.22044917257683216</v>
      </c>
      <c r="N287" s="31">
        <v>0.5821305841924399</v>
      </c>
      <c r="O287" s="31">
        <v>0.39767649687220735</v>
      </c>
      <c r="P287" s="31">
        <v>0.41768916155419222</v>
      </c>
    </row>
    <row r="288" spans="1:16" x14ac:dyDescent="0.4">
      <c r="A288" s="33">
        <v>285</v>
      </c>
      <c r="B288" s="30">
        <v>5.6843418860808015E-14</v>
      </c>
      <c r="C288" s="30">
        <v>6.6483530831354405E-17</v>
      </c>
      <c r="D288" s="35">
        <v>2</v>
      </c>
      <c r="E288" s="31">
        <v>0.33333333333333331</v>
      </c>
      <c r="F288" s="31">
        <v>0.33333333333333331</v>
      </c>
      <c r="G288" s="31">
        <v>0.30127320141125941</v>
      </c>
      <c r="H288" s="31">
        <v>0.17211228716060745</v>
      </c>
      <c r="I288" s="32">
        <v>10097.9633401222</v>
      </c>
      <c r="J288" s="32">
        <v>-9382.442067736185</v>
      </c>
      <c r="K288" s="31">
        <v>0.15321637426900586</v>
      </c>
      <c r="L288" s="31">
        <v>0.2863021751910641</v>
      </c>
      <c r="M288" s="31">
        <v>0.21967470115618265</v>
      </c>
      <c r="N288" s="31">
        <v>0.58247775496235454</v>
      </c>
      <c r="O288" s="31">
        <v>0.39696699375557537</v>
      </c>
      <c r="P288" s="31">
        <v>0.41700610997963339</v>
      </c>
    </row>
    <row r="289" spans="1:16" x14ac:dyDescent="0.4">
      <c r="A289" s="33">
        <v>286</v>
      </c>
      <c r="B289" s="30">
        <v>5.6843418860808015E-14</v>
      </c>
      <c r="C289" s="30">
        <v>6.6251070933342675E-17</v>
      </c>
      <c r="D289" s="35">
        <v>2</v>
      </c>
      <c r="E289" s="31">
        <v>0.33333333333333331</v>
      </c>
      <c r="F289" s="31">
        <v>0.33333333333333331</v>
      </c>
      <c r="G289" s="31">
        <v>0.30136148080159092</v>
      </c>
      <c r="H289" s="31">
        <v>0.1720972923359339</v>
      </c>
      <c r="I289" s="32">
        <v>10091.928934010153</v>
      </c>
      <c r="J289" s="32">
        <v>-9377.5111111111109</v>
      </c>
      <c r="K289" s="31">
        <v>0.15268065268065267</v>
      </c>
      <c r="L289" s="31">
        <v>0.2862722124585042</v>
      </c>
      <c r="M289" s="31">
        <v>0.21909783245459871</v>
      </c>
      <c r="N289" s="31">
        <v>0.58321964529331516</v>
      </c>
      <c r="O289" s="31">
        <v>0.39661319073083778</v>
      </c>
      <c r="P289" s="31">
        <v>0.41725888324873095</v>
      </c>
    </row>
    <row r="290" spans="1:16" x14ac:dyDescent="0.4">
      <c r="A290" s="33">
        <v>287</v>
      </c>
      <c r="B290" s="30">
        <v>5.6843418860808015E-14</v>
      </c>
      <c r="C290" s="30">
        <v>6.6020230964933815E-17</v>
      </c>
      <c r="D290" s="35">
        <v>2</v>
      </c>
      <c r="E290" s="31">
        <v>0.33333333333333331</v>
      </c>
      <c r="F290" s="31">
        <v>0.33333333333333331</v>
      </c>
      <c r="G290" s="31">
        <v>0.3014054384356859</v>
      </c>
      <c r="H290" s="31">
        <v>0.1721662083715246</v>
      </c>
      <c r="I290" s="32">
        <v>10100.91231626964</v>
      </c>
      <c r="J290" s="32">
        <v>-9392.8127772848275</v>
      </c>
      <c r="K290" s="31">
        <v>0.15331010452961671</v>
      </c>
      <c r="L290" s="31">
        <v>0.28596491228070176</v>
      </c>
      <c r="M290" s="31">
        <v>0.21910331384015594</v>
      </c>
      <c r="N290" s="31">
        <v>0.58282208588957052</v>
      </c>
      <c r="O290" s="31">
        <v>0.39768683274021355</v>
      </c>
      <c r="P290" s="31">
        <v>0.41713127217435375</v>
      </c>
    </row>
    <row r="291" spans="1:16" x14ac:dyDescent="0.4">
      <c r="A291" s="33">
        <v>288</v>
      </c>
      <c r="B291" s="30">
        <v>5.6843418860808015E-14</v>
      </c>
      <c r="C291" s="30">
        <v>6.5790994051861125E-17</v>
      </c>
      <c r="D291" s="35">
        <v>2</v>
      </c>
      <c r="E291" s="31">
        <v>0.33333333333333331</v>
      </c>
      <c r="F291" s="31">
        <v>0.33333333333333331</v>
      </c>
      <c r="G291" s="31">
        <v>0.30124695863746959</v>
      </c>
      <c r="H291" s="31">
        <v>0.17183698296836983</v>
      </c>
      <c r="I291" s="32">
        <v>10115.598182735992</v>
      </c>
      <c r="J291" s="32">
        <v>-9394.3362831858412</v>
      </c>
      <c r="K291" s="31">
        <v>0.15277777777777779</v>
      </c>
      <c r="L291" s="31">
        <v>0.28527131782945736</v>
      </c>
      <c r="M291" s="31">
        <v>0.21879844961240311</v>
      </c>
      <c r="N291" s="31">
        <v>0.58355978260869568</v>
      </c>
      <c r="O291" s="31">
        <v>0.39769707705934454</v>
      </c>
      <c r="P291" s="31">
        <v>0.41797072185764766</v>
      </c>
    </row>
    <row r="292" spans="1:16" x14ac:dyDescent="0.4">
      <c r="A292" s="33">
        <v>289</v>
      </c>
      <c r="B292" s="30">
        <v>5.3290705182007514E-14</v>
      </c>
      <c r="C292" s="30">
        <v>6.146563458132355E-17</v>
      </c>
      <c r="D292" s="35">
        <v>2</v>
      </c>
      <c r="E292" s="31">
        <v>0.33333333333333331</v>
      </c>
      <c r="F292" s="31">
        <v>0.33333333333333331</v>
      </c>
      <c r="G292" s="31">
        <v>0.30125586321682551</v>
      </c>
      <c r="H292" s="31">
        <v>0.17188682100166439</v>
      </c>
      <c r="I292" s="32">
        <v>10115.118031140131</v>
      </c>
      <c r="J292" s="32">
        <v>-9376.7605633802814</v>
      </c>
      <c r="K292" s="31">
        <v>0.15224913494809689</v>
      </c>
      <c r="L292" s="31">
        <v>0.28480647024841133</v>
      </c>
      <c r="M292" s="31">
        <v>0.21914115155016367</v>
      </c>
      <c r="N292" s="31">
        <v>0.58417849898580121</v>
      </c>
      <c r="O292" s="31">
        <v>0.39718804920913886</v>
      </c>
      <c r="P292" s="31">
        <v>0.41788046207935708</v>
      </c>
    </row>
    <row r="293" spans="1:16" x14ac:dyDescent="0.4">
      <c r="A293" s="33">
        <v>290</v>
      </c>
      <c r="B293" s="30">
        <v>5.6843418860808015E-14</v>
      </c>
      <c r="C293" s="30">
        <v>6.5337263058400016E-17</v>
      </c>
      <c r="D293" s="35">
        <v>2</v>
      </c>
      <c r="E293" s="31">
        <v>0.33333333333333331</v>
      </c>
      <c r="F293" s="31">
        <v>0.33333333333333331</v>
      </c>
      <c r="G293" s="31">
        <v>0.30117753623188404</v>
      </c>
      <c r="H293" s="31">
        <v>0.17164855072463769</v>
      </c>
      <c r="I293" s="32">
        <v>10142.95739348371</v>
      </c>
      <c r="J293" s="32">
        <v>-9382.5857519788915</v>
      </c>
      <c r="K293" s="31">
        <v>0.1528735632183908</v>
      </c>
      <c r="L293" s="31">
        <v>0.28494623655913981</v>
      </c>
      <c r="M293" s="31">
        <v>0.21908602150537634</v>
      </c>
      <c r="N293" s="31">
        <v>0.58423180592991919</v>
      </c>
      <c r="O293" s="31">
        <v>0.39614373356704646</v>
      </c>
      <c r="P293" s="31">
        <v>0.41854636591478694</v>
      </c>
    </row>
    <row r="294" spans="1:16" x14ac:dyDescent="0.4">
      <c r="A294" s="33">
        <v>291</v>
      </c>
      <c r="B294" s="30">
        <v>5.6843418860808015E-14</v>
      </c>
      <c r="C294" s="30">
        <v>6.5112736381223388E-17</v>
      </c>
      <c r="D294" s="35">
        <v>2</v>
      </c>
      <c r="E294" s="31">
        <v>0.33333333333333331</v>
      </c>
      <c r="F294" s="31">
        <v>0.33333333333333331</v>
      </c>
      <c r="G294" s="31">
        <v>0.30105105105105107</v>
      </c>
      <c r="H294" s="31">
        <v>0.17147147147147146</v>
      </c>
      <c r="I294" s="32">
        <v>10146.832917705735</v>
      </c>
      <c r="J294" s="32">
        <v>-9387.040280210158</v>
      </c>
      <c r="K294" s="31">
        <v>0.15349369988545247</v>
      </c>
      <c r="L294" s="31">
        <v>0.28546910755148741</v>
      </c>
      <c r="M294" s="31">
        <v>0.21872616323417238</v>
      </c>
      <c r="N294" s="31">
        <v>0.58450233800935203</v>
      </c>
      <c r="O294" s="31">
        <v>0.39581517000871841</v>
      </c>
      <c r="P294" s="31">
        <v>0.41895261845386533</v>
      </c>
    </row>
    <row r="295" spans="1:16" x14ac:dyDescent="0.4">
      <c r="A295" s="33">
        <v>292</v>
      </c>
      <c r="B295" s="30">
        <v>5.6843418860808015E-14</v>
      </c>
      <c r="C295" s="30">
        <v>6.4889747558000013E-17</v>
      </c>
      <c r="D295" s="35">
        <v>2</v>
      </c>
      <c r="E295" s="31">
        <v>0.33333333333333331</v>
      </c>
      <c r="F295" s="31">
        <v>0.33333333333333331</v>
      </c>
      <c r="G295" s="31">
        <v>0.30098831985624436</v>
      </c>
      <c r="H295" s="31">
        <v>0.1711590296495957</v>
      </c>
      <c r="I295" s="32">
        <v>10152.487562189055</v>
      </c>
      <c r="J295" s="32">
        <v>-9385.8267716535429</v>
      </c>
      <c r="K295" s="31">
        <v>0.1541095890410959</v>
      </c>
      <c r="L295" s="31">
        <v>0.28506271379703535</v>
      </c>
      <c r="M295" s="31">
        <v>0.21816799695933106</v>
      </c>
      <c r="N295" s="31">
        <v>0.58533333333333337</v>
      </c>
      <c r="O295" s="31">
        <v>0.39634146341463417</v>
      </c>
      <c r="P295" s="31">
        <v>0.4199004975124378</v>
      </c>
    </row>
    <row r="296" spans="1:16" x14ac:dyDescent="0.4">
      <c r="A296" s="33">
        <v>293</v>
      </c>
      <c r="B296" s="30">
        <v>5.6843418860808015E-14</v>
      </c>
      <c r="C296" s="30">
        <v>6.4668280842784996E-17</v>
      </c>
      <c r="D296" s="35">
        <v>2</v>
      </c>
      <c r="E296" s="31">
        <v>0.33333333333333331</v>
      </c>
      <c r="F296" s="31">
        <v>0.33333333333333331</v>
      </c>
      <c r="G296" s="31">
        <v>0.30065652044165919</v>
      </c>
      <c r="H296" s="31">
        <v>0.1708445240226798</v>
      </c>
      <c r="I296" s="32">
        <v>10155.086848635236</v>
      </c>
      <c r="J296" s="32">
        <v>-9393.8864628820957</v>
      </c>
      <c r="K296" s="31">
        <v>0.15358361774744028</v>
      </c>
      <c r="L296" s="31">
        <v>0.28566023458191447</v>
      </c>
      <c r="M296" s="31">
        <v>0.21717744986757473</v>
      </c>
      <c r="N296" s="31">
        <v>0.58410596026490069</v>
      </c>
      <c r="O296" s="31">
        <v>0.39634146341463417</v>
      </c>
      <c r="P296" s="31">
        <v>0.42034739454094294</v>
      </c>
    </row>
    <row r="297" spans="1:16" x14ac:dyDescent="0.4">
      <c r="A297" s="33">
        <v>294</v>
      </c>
      <c r="B297" s="30">
        <v>5.6843418860808015E-14</v>
      </c>
      <c r="C297" s="30">
        <v>6.4448320703863964E-17</v>
      </c>
      <c r="D297" s="35">
        <v>2</v>
      </c>
      <c r="E297" s="31">
        <v>0.33333333333333331</v>
      </c>
      <c r="F297" s="31">
        <v>0.33333333333333331</v>
      </c>
      <c r="G297" s="31">
        <v>0.30078763560707383</v>
      </c>
      <c r="H297" s="31">
        <v>0.17105067617773814</v>
      </c>
      <c r="I297" s="32">
        <v>10146.59090909091</v>
      </c>
      <c r="J297" s="32">
        <v>-9381.5812337098178</v>
      </c>
      <c r="K297" s="31">
        <v>0.15306122448979592</v>
      </c>
      <c r="L297" s="31">
        <v>0.28552606813476378</v>
      </c>
      <c r="M297" s="31">
        <v>0.21663843402973837</v>
      </c>
      <c r="N297" s="31">
        <v>0.58470665787738962</v>
      </c>
      <c r="O297" s="31">
        <v>0.39617723718505649</v>
      </c>
      <c r="P297" s="31">
        <v>0.41996047430830041</v>
      </c>
    </row>
    <row r="298" spans="1:16" x14ac:dyDescent="0.4">
      <c r="A298" s="33">
        <v>295</v>
      </c>
      <c r="B298" s="30">
        <v>5.6843418860808015E-14</v>
      </c>
      <c r="C298" s="30">
        <v>6.4229851820122053E-17</v>
      </c>
      <c r="D298" s="35">
        <v>2</v>
      </c>
      <c r="E298" s="31">
        <v>0.33333333333333331</v>
      </c>
      <c r="F298" s="31">
        <v>0.33333333333333331</v>
      </c>
      <c r="G298" s="31">
        <v>0.30086002372479242</v>
      </c>
      <c r="H298" s="31">
        <v>0.17111506524317913</v>
      </c>
      <c r="I298" s="32">
        <v>10153.12962050271</v>
      </c>
      <c r="J298" s="32">
        <v>-9398.7868284228771</v>
      </c>
      <c r="K298" s="31">
        <v>0.1536723163841808</v>
      </c>
      <c r="L298" s="31">
        <v>0.28528528528528529</v>
      </c>
      <c r="M298" s="31">
        <v>0.21677927927927929</v>
      </c>
      <c r="N298" s="31">
        <v>0.58486842105263159</v>
      </c>
      <c r="O298" s="31">
        <v>0.39740259740259742</v>
      </c>
      <c r="P298" s="31">
        <v>0.41991128634795466</v>
      </c>
    </row>
    <row r="299" spans="1:16" x14ac:dyDescent="0.4">
      <c r="A299" s="33">
        <v>296</v>
      </c>
      <c r="B299" s="30">
        <v>5.8619775700208265E-14</v>
      </c>
      <c r="C299" s="30">
        <v>6.601326092365796E-17</v>
      </c>
      <c r="D299" s="35">
        <v>2</v>
      </c>
      <c r="E299" s="31">
        <v>0.33333333333333331</v>
      </c>
      <c r="F299" s="31">
        <v>0.33333333333333331</v>
      </c>
      <c r="G299" s="31">
        <v>0.30082742316784872</v>
      </c>
      <c r="H299" s="31">
        <v>0.17095153664302601</v>
      </c>
      <c r="I299" s="32">
        <v>10139.292730844794</v>
      </c>
      <c r="J299" s="32">
        <v>-9390.751944684529</v>
      </c>
      <c r="K299" s="31">
        <v>0.15315315315315314</v>
      </c>
      <c r="L299" s="31">
        <v>0.2853139013452915</v>
      </c>
      <c r="M299" s="31">
        <v>0.21636771300448429</v>
      </c>
      <c r="N299" s="31">
        <v>0.58546168958742628</v>
      </c>
      <c r="O299" s="31">
        <v>0.39810017271157166</v>
      </c>
      <c r="P299" s="31">
        <v>0.4204322200392927</v>
      </c>
    </row>
    <row r="300" spans="1:16" x14ac:dyDescent="0.4">
      <c r="A300" s="33">
        <v>297</v>
      </c>
      <c r="B300" s="30">
        <v>6.0396132539608516E-14</v>
      </c>
      <c r="C300" s="30">
        <v>6.7784660538281162E-17</v>
      </c>
      <c r="D300" s="35">
        <v>2</v>
      </c>
      <c r="E300" s="31">
        <v>0.33333333333333331</v>
      </c>
      <c r="F300" s="31">
        <v>0.33333333333333331</v>
      </c>
      <c r="G300" s="31">
        <v>0.30094228504122494</v>
      </c>
      <c r="H300" s="31">
        <v>0.17108362779740871</v>
      </c>
      <c r="I300" s="32">
        <v>10130.528375733855</v>
      </c>
      <c r="J300" s="32">
        <v>-9384.0791738382104</v>
      </c>
      <c r="K300" s="31">
        <v>0.1526374859708193</v>
      </c>
      <c r="L300" s="31">
        <v>0.28515625</v>
      </c>
      <c r="M300" s="31">
        <v>0.21688988095238096</v>
      </c>
      <c r="N300" s="31">
        <v>0.58577951728636657</v>
      </c>
      <c r="O300" s="31">
        <v>0.39879931389365353</v>
      </c>
      <c r="P300" s="31">
        <v>0.42025440313111545</v>
      </c>
    </row>
    <row r="301" spans="1:16" x14ac:dyDescent="0.4">
      <c r="A301" s="33">
        <v>298</v>
      </c>
      <c r="B301" s="30">
        <v>5.8619775700208265E-14</v>
      </c>
      <c r="C301" s="30">
        <v>6.5570218904036095E-17</v>
      </c>
      <c r="D301" s="35">
        <v>2</v>
      </c>
      <c r="E301" s="31">
        <v>0.33333333333333331</v>
      </c>
      <c r="F301" s="31">
        <v>0.33333333333333331</v>
      </c>
      <c r="G301" s="31">
        <v>0.30107053820208241</v>
      </c>
      <c r="H301" s="31">
        <v>0.17113946326440826</v>
      </c>
      <c r="I301" s="32">
        <v>10110.423770092548</v>
      </c>
      <c r="J301" s="32">
        <v>-9369.4087403598969</v>
      </c>
      <c r="K301" s="31">
        <v>0.15212527964205816</v>
      </c>
      <c r="L301" s="31">
        <v>0.28484175458078848</v>
      </c>
      <c r="M301" s="31">
        <v>0.2172866925781973</v>
      </c>
      <c r="N301" s="31">
        <v>0.58544509421702406</v>
      </c>
      <c r="O301" s="31">
        <v>0.40034071550255534</v>
      </c>
      <c r="P301" s="31">
        <v>0.42036044812469558</v>
      </c>
    </row>
    <row r="302" spans="1:16" x14ac:dyDescent="0.4">
      <c r="A302" s="33">
        <v>299</v>
      </c>
      <c r="B302" s="30">
        <v>5.9507954119908391E-14</v>
      </c>
      <c r="C302" s="30">
        <v>6.634108597537167E-17</v>
      </c>
      <c r="D302" s="35">
        <v>2</v>
      </c>
      <c r="E302" s="31">
        <v>0.33333333333333331</v>
      </c>
      <c r="F302" s="31">
        <v>0.33333333333333331</v>
      </c>
      <c r="G302" s="31">
        <v>0.30103755662721027</v>
      </c>
      <c r="H302" s="31">
        <v>0.17097764138535729</v>
      </c>
      <c r="I302" s="32">
        <v>10100.339805825242</v>
      </c>
      <c r="J302" s="32">
        <v>-9365.8119658119649</v>
      </c>
      <c r="K302" s="31">
        <v>0.1516164994425864</v>
      </c>
      <c r="L302" s="31">
        <v>0.28487193661323013</v>
      </c>
      <c r="M302" s="31">
        <v>0.21761562557582459</v>
      </c>
      <c r="N302" s="31">
        <v>0.58473479948253559</v>
      </c>
      <c r="O302" s="31">
        <v>0.40135478408128705</v>
      </c>
      <c r="P302" s="31">
        <v>0.42087378640776701</v>
      </c>
    </row>
    <row r="303" spans="1:16" x14ac:dyDescent="0.4">
      <c r="A303" s="33">
        <v>300</v>
      </c>
      <c r="B303" s="30">
        <v>5.9063864910058328E-14</v>
      </c>
      <c r="C303" s="30">
        <v>6.5626516566731479E-17</v>
      </c>
      <c r="D303" s="35">
        <v>2</v>
      </c>
      <c r="E303" s="31">
        <v>0.33333333333333331</v>
      </c>
      <c r="F303" s="31">
        <v>0.33333333333333331</v>
      </c>
      <c r="G303" s="31">
        <v>0.30090168702734149</v>
      </c>
      <c r="H303" s="31">
        <v>0.1705933682373473</v>
      </c>
      <c r="I303" s="32">
        <v>10094.055099081683</v>
      </c>
      <c r="J303" s="32">
        <v>-9362.2335890878094</v>
      </c>
      <c r="K303" s="31">
        <v>0.15111111111111111</v>
      </c>
      <c r="L303" s="31">
        <v>0.28424908424908424</v>
      </c>
      <c r="M303" s="31">
        <v>0.21794871794871795</v>
      </c>
      <c r="N303" s="31">
        <v>0.58440721649484539</v>
      </c>
      <c r="O303" s="31">
        <v>0.4008403361344538</v>
      </c>
      <c r="P303" s="31">
        <v>0.4219429676172064</v>
      </c>
    </row>
    <row r="304" spans="1:16" x14ac:dyDescent="0.4">
      <c r="A304" s="33">
        <v>301</v>
      </c>
      <c r="B304" s="30">
        <v>5.8619775700208265E-14</v>
      </c>
      <c r="C304" s="30">
        <v>6.491669512758391E-17</v>
      </c>
      <c r="D304" s="35">
        <v>2</v>
      </c>
      <c r="E304" s="31">
        <v>0.33333333333333331</v>
      </c>
      <c r="F304" s="31">
        <v>0.33333333333333331</v>
      </c>
      <c r="G304" s="31">
        <v>0.30104257167680276</v>
      </c>
      <c r="H304" s="31">
        <v>0.17043150883289893</v>
      </c>
      <c r="I304" s="32">
        <v>10092.544492544492</v>
      </c>
      <c r="J304" s="32">
        <v>-9359.0484282073066</v>
      </c>
      <c r="K304" s="31">
        <v>0.15171650055370986</v>
      </c>
      <c r="L304" s="31">
        <v>0.28469945355191256</v>
      </c>
      <c r="M304" s="31">
        <v>0.21785063752276868</v>
      </c>
      <c r="N304" s="31">
        <v>0.58413307741522713</v>
      </c>
      <c r="O304" s="31">
        <v>0.40050167224080269</v>
      </c>
      <c r="P304" s="31">
        <v>0.42279942279942279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975</vt:i4>
      </vt:variant>
    </vt:vector>
  </HeadingPairs>
  <TitlesOfParts>
    <vt:vector size="1023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あさひ!Newアガリ数</vt:lpstr>
      <vt:lpstr>いっしー!Newアガリ数</vt:lpstr>
      <vt:lpstr>がくと!Newアガリ数</vt:lpstr>
      <vt:lpstr>かこたろう!Newアガリ数</vt:lpstr>
      <vt:lpstr>だいち!Newアガリ数</vt:lpstr>
      <vt:lpstr>たかの!Newアガリ数</vt:lpstr>
      <vt:lpstr>ただ!Newアガリ数</vt:lpstr>
      <vt:lpstr>ともき!Newアガリ数</vt:lpstr>
      <vt:lpstr>ぱぱ!Newアガリ数</vt:lpstr>
      <vt:lpstr>まっつん!Newアガリ数</vt:lpstr>
      <vt:lpstr>やがさき!Newアガリ数</vt:lpstr>
      <vt:lpstr>りくと!Newアガリ数</vt:lpstr>
      <vt:lpstr>れんたろう!Newアガリ数</vt:lpstr>
      <vt:lpstr>全体!Newアガリ数</vt:lpstr>
      <vt:lpstr>Newアガリ数</vt:lpstr>
      <vt:lpstr>あさひ!New局数</vt:lpstr>
      <vt:lpstr>いっしー!New局数</vt:lpstr>
      <vt:lpstr>がくと!New局数</vt:lpstr>
      <vt:lpstr>かこたろう!New局数</vt:lpstr>
      <vt:lpstr>だいち!New局数</vt:lpstr>
      <vt:lpstr>たかの!New局数</vt:lpstr>
      <vt:lpstr>ただ!New局数</vt:lpstr>
      <vt:lpstr>ともき!New局数</vt:lpstr>
      <vt:lpstr>ぱぱ!New局数</vt:lpstr>
      <vt:lpstr>まっつん!New局数</vt:lpstr>
      <vt:lpstr>やがさき!New局数</vt:lpstr>
      <vt:lpstr>りくと!New局数</vt:lpstr>
      <vt:lpstr>れんたろう!New局数</vt:lpstr>
      <vt:lpstr>全体!New局数</vt:lpstr>
      <vt:lpstr>New局数</vt:lpstr>
      <vt:lpstr>Template1!アガリ数</vt:lpstr>
      <vt:lpstr>あさひ!アガリ数</vt:lpstr>
      <vt:lpstr>いっしー!アガリ数</vt:lpstr>
      <vt:lpstr>がくと!アガリ数</vt:lpstr>
      <vt:lpstr>かこたろう!アガリ数</vt:lpstr>
      <vt:lpstr>だいち!アガリ数</vt:lpstr>
      <vt:lpstr>たかの!アガリ数</vt:lpstr>
      <vt:lpstr>ただ!アガリ数</vt:lpstr>
      <vt:lpstr>ともき!アガリ数</vt:lpstr>
      <vt:lpstr>ぱぱ!アガリ数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Template1!アガリ率</vt:lpstr>
      <vt:lpstr>あさひ!アガリ率</vt:lpstr>
      <vt:lpstr>いっしー!アガリ率</vt:lpstr>
      <vt:lpstr>がくと!アガリ率</vt:lpstr>
      <vt:lpstr>かこたろう!アガリ率</vt:lpstr>
      <vt:lpstr>だいち!アガリ率</vt:lpstr>
      <vt:lpstr>たかの!アガリ率</vt:lpstr>
      <vt:lpstr>ただ!アガリ率</vt:lpstr>
      <vt:lpstr>ともき!アガリ率</vt:lpstr>
      <vt:lpstr>ぱぱ!アガリ率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Template1!ダマアガリ数</vt:lpstr>
      <vt:lpstr>あさひ!ダマアガリ数</vt:lpstr>
      <vt:lpstr>いっしー!ダマアガリ数</vt:lpstr>
      <vt:lpstr>がくと!ダマアガリ数</vt:lpstr>
      <vt:lpstr>かこたろう!ダマアガリ数</vt:lpstr>
      <vt:lpstr>だいち!ダマアガリ数</vt:lpstr>
      <vt:lpstr>たかの!ダマアガリ数</vt:lpstr>
      <vt:lpstr>ただ!ダマアガリ数</vt:lpstr>
      <vt:lpstr>ともき!ダマアガリ数</vt:lpstr>
      <vt:lpstr>ぱぱ!ダマアガリ数</vt:lpstr>
      <vt:lpstr>まっつん!ダマアガリ数</vt:lpstr>
      <vt:lpstr>やがさき!ダマアガリ数</vt:lpstr>
      <vt:lpstr>りくと!ダマアガリ数</vt:lpstr>
      <vt:lpstr>れんたろう!ダマアガリ数</vt:lpstr>
      <vt:lpstr>全体!ダマアガリ数</vt:lpstr>
      <vt:lpstr>Template1!ダマアガリ率</vt:lpstr>
      <vt:lpstr>あさひ!ダマアガリ率</vt:lpstr>
      <vt:lpstr>いっしー!ダマアガリ率</vt:lpstr>
      <vt:lpstr>がくと!ダマアガリ率</vt:lpstr>
      <vt:lpstr>かこたろう!ダマアガリ率</vt:lpstr>
      <vt:lpstr>だいち!ダマアガリ率</vt:lpstr>
      <vt:lpstr>たかの!ダマアガリ率</vt:lpstr>
      <vt:lpstr>ただ!ダマアガリ率</vt:lpstr>
      <vt:lpstr>ともき!ダマアガリ率</vt:lpstr>
      <vt:lpstr>ぱぱ!ダマアガリ率</vt:lpstr>
      <vt:lpstr>まっつん!ダマアガリ率</vt:lpstr>
      <vt:lpstr>やがさき!ダマアガリ率</vt:lpstr>
      <vt:lpstr>りくと!ダマアガリ率</vt:lpstr>
      <vt:lpstr>れんたろう!ダマアガリ率</vt:lpstr>
      <vt:lpstr>全体!ダマアガリ率</vt:lpstr>
      <vt:lpstr>Template1!チョンボ数</vt:lpstr>
      <vt:lpstr>あさひ!チョンボ数</vt:lpstr>
      <vt:lpstr>いっしー!チョンボ数</vt:lpstr>
      <vt:lpstr>がくと!チョンボ数</vt:lpstr>
      <vt:lpstr>かこたろう!チョンボ数</vt:lpstr>
      <vt:lpstr>だいち!チョンボ数</vt:lpstr>
      <vt:lpstr>たかの!チョンボ数</vt:lpstr>
      <vt:lpstr>ただ!チョンボ数</vt:lpstr>
      <vt:lpstr>ともき!チョンボ数</vt:lpstr>
      <vt:lpstr>ぱぱ!チョンボ数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Template1!チョンボ率</vt:lpstr>
      <vt:lpstr>あさひ!チョンボ率</vt:lpstr>
      <vt:lpstr>いっしー!チョンボ率</vt:lpstr>
      <vt:lpstr>がくと!チョンボ率</vt:lpstr>
      <vt:lpstr>かこたろう!チョンボ率</vt:lpstr>
      <vt:lpstr>だいち!チョンボ率</vt:lpstr>
      <vt:lpstr>たかの!チョンボ率</vt:lpstr>
      <vt:lpstr>ただ!チョンボ率</vt:lpstr>
      <vt:lpstr>ともき!チョンボ率</vt:lpstr>
      <vt:lpstr>ぱぱ!チョンボ率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Template1!ツモ数</vt:lpstr>
      <vt:lpstr>あさひ!ツモ数</vt:lpstr>
      <vt:lpstr>いっしー!ツモ数</vt:lpstr>
      <vt:lpstr>がくと!ツモ数</vt:lpstr>
      <vt:lpstr>かこたろう!ツモ数</vt:lpstr>
      <vt:lpstr>だいち!ツモ数</vt:lpstr>
      <vt:lpstr>たかの!ツモ数</vt:lpstr>
      <vt:lpstr>ただ!ツモ数</vt:lpstr>
      <vt:lpstr>ともき!ツモ数</vt:lpstr>
      <vt:lpstr>ぱぱ!ツモ数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Template1!ツモ率</vt:lpstr>
      <vt:lpstr>あさひ!ツモ率</vt:lpstr>
      <vt:lpstr>いっしー!ツモ率</vt:lpstr>
      <vt:lpstr>がくと!ツモ率</vt:lpstr>
      <vt:lpstr>かこたろう!ツモ率</vt:lpstr>
      <vt:lpstr>だいち!ツモ率</vt:lpstr>
      <vt:lpstr>たかの!ツモ率</vt:lpstr>
      <vt:lpstr>ただ!ツモ率</vt:lpstr>
      <vt:lpstr>ともき!ツモ率</vt:lpstr>
      <vt:lpstr>ぱぱ!ツモ率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Template1!トップ数</vt:lpstr>
      <vt:lpstr>あさひ!トップ数</vt:lpstr>
      <vt:lpstr>いっしー!トップ数</vt:lpstr>
      <vt:lpstr>がくと!トップ数</vt:lpstr>
      <vt:lpstr>かこたろう!トップ数</vt:lpstr>
      <vt:lpstr>だいち!トップ数</vt:lpstr>
      <vt:lpstr>たかの!トップ数</vt:lpstr>
      <vt:lpstr>ただ!トップ数</vt:lpstr>
      <vt:lpstr>ともき!トップ数</vt:lpstr>
      <vt:lpstr>ぱぱ!トップ数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Template1!トップ率</vt:lpstr>
      <vt:lpstr>あさひ!トップ率</vt:lpstr>
      <vt:lpstr>いっしー!トップ率</vt:lpstr>
      <vt:lpstr>がくと!トップ率</vt:lpstr>
      <vt:lpstr>かこたろう!トップ率</vt:lpstr>
      <vt:lpstr>だいち!トップ率</vt:lpstr>
      <vt:lpstr>たかの!トップ率</vt:lpstr>
      <vt:lpstr>ただ!トップ率</vt:lpstr>
      <vt:lpstr>ともき!トップ率</vt:lpstr>
      <vt:lpstr>ぱぱ!トップ率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あさひ!バランス</vt:lpstr>
      <vt:lpstr>いっしー!バランス</vt:lpstr>
      <vt:lpstr>がくと!バランス</vt:lpstr>
      <vt:lpstr>かこたろう!バランス</vt:lpstr>
      <vt:lpstr>だいち!バランス</vt:lpstr>
      <vt:lpstr>たかの!バランス</vt:lpstr>
      <vt:lpstr>ただ!バランス</vt:lpstr>
      <vt:lpstr>ともき!バランス</vt:lpstr>
      <vt:lpstr>ぱぱ!バランス</vt:lpstr>
      <vt:lpstr>まっつん!バランス</vt:lpstr>
      <vt:lpstr>やがさき!バランス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あさひ!ふっとび数</vt:lpstr>
      <vt:lpstr>いっしー!ふっとび数</vt:lpstr>
      <vt:lpstr>がくと!ふっとび数</vt:lpstr>
      <vt:lpstr>かこたろう!ふっとび数</vt:lpstr>
      <vt:lpstr>だいち!ふっとび数</vt:lpstr>
      <vt:lpstr>たかの!ふっとび数</vt:lpstr>
      <vt:lpstr>ただ!ふっとび数</vt:lpstr>
      <vt:lpstr>ともき!ふっとび数</vt:lpstr>
      <vt:lpstr>ぱぱ!ふっとび数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Template1!ふっとび率</vt:lpstr>
      <vt:lpstr>あさひ!ふっとび率</vt:lpstr>
      <vt:lpstr>いっしー!ふっとび率</vt:lpstr>
      <vt:lpstr>がくと!ふっとび率</vt:lpstr>
      <vt:lpstr>かこたろう!ふっとび率</vt:lpstr>
      <vt:lpstr>だいち!ふっとび率</vt:lpstr>
      <vt:lpstr>たかの!ふっとび率</vt:lpstr>
      <vt:lpstr>ただ!ふっとび率</vt:lpstr>
      <vt:lpstr>ともき!ふっとび率</vt:lpstr>
      <vt:lpstr>ぱぱ!ふっとび率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Template1!ラス数</vt:lpstr>
      <vt:lpstr>あさひ!ラス数</vt:lpstr>
      <vt:lpstr>いっしー!ラス数</vt:lpstr>
      <vt:lpstr>がくと!ラス数</vt:lpstr>
      <vt:lpstr>かこたろう!ラス数</vt:lpstr>
      <vt:lpstr>だいち!ラス数</vt:lpstr>
      <vt:lpstr>たかの!ラス数</vt:lpstr>
      <vt:lpstr>ただ!ラス数</vt:lpstr>
      <vt:lpstr>ともき!ラス数</vt:lpstr>
      <vt:lpstr>ぱぱ!ラス数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Template1!ラス率</vt:lpstr>
      <vt:lpstr>あさひ!ラス率</vt:lpstr>
      <vt:lpstr>いっしー!ラス率</vt:lpstr>
      <vt:lpstr>がくと!ラス率</vt:lpstr>
      <vt:lpstr>かこたろう!ラス率</vt:lpstr>
      <vt:lpstr>だいち!ラス率</vt:lpstr>
      <vt:lpstr>たかの!ラス率</vt:lpstr>
      <vt:lpstr>ただ!ラス率</vt:lpstr>
      <vt:lpstr>ともき!ラス率</vt:lpstr>
      <vt:lpstr>ぱぱ!ラス率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Template1!リーチアガリ数</vt:lpstr>
      <vt:lpstr>あさひ!リーチアガリ数</vt:lpstr>
      <vt:lpstr>いっしー!リーチアガリ数</vt:lpstr>
      <vt:lpstr>がくと!リーチアガリ数</vt:lpstr>
      <vt:lpstr>かこたろう!リーチアガリ数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ぱぱ!リーチアガリ数</vt:lpstr>
      <vt:lpstr>まっつん!リーチアガリ数</vt:lpstr>
      <vt:lpstr>やがさき!リーチアガリ数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あさひ!リーチアガリ率</vt:lpstr>
      <vt:lpstr>いっしー!リーチアガリ率</vt:lpstr>
      <vt:lpstr>がくと!リーチアガリ率</vt:lpstr>
      <vt:lpstr>かこたろう!リーチアガリ率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ぱぱ!リーチアガリ率</vt:lpstr>
      <vt:lpstr>まっつん!リーチアガリ率</vt:lpstr>
      <vt:lpstr>やがさき!リーチアガリ率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あさひ!リーチ数</vt:lpstr>
      <vt:lpstr>いっしー!リーチ数</vt:lpstr>
      <vt:lpstr>がくと!リーチ数</vt:lpstr>
      <vt:lpstr>かこたろう!リーチ数</vt:lpstr>
      <vt:lpstr>だいち!リーチ数</vt:lpstr>
      <vt:lpstr>たかの!リーチ数</vt:lpstr>
      <vt:lpstr>ただ!リーチ数</vt:lpstr>
      <vt:lpstr>ともき!リーチ数</vt:lpstr>
      <vt:lpstr>ぱぱ!リーチ数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Template1!リーチ成功数</vt:lpstr>
      <vt:lpstr>あさひ!リーチ成功数</vt:lpstr>
      <vt:lpstr>いっしー!リーチ成功数</vt:lpstr>
      <vt:lpstr>がくと!リーチ成功数</vt:lpstr>
      <vt:lpstr>かこたろう!リーチ成功数</vt:lpstr>
      <vt:lpstr>だいち!リーチ成功数</vt:lpstr>
      <vt:lpstr>たかの!リーチ成功数</vt:lpstr>
      <vt:lpstr>ただ!リーチ成功数</vt:lpstr>
      <vt:lpstr>ともき!リーチ成功数</vt:lpstr>
      <vt:lpstr>ぱぱ!リーチ成功数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Template1!リーチ成功率</vt:lpstr>
      <vt:lpstr>あさひ!リーチ成功率</vt:lpstr>
      <vt:lpstr>いっしー!リーチ成功率</vt:lpstr>
      <vt:lpstr>がくと!リーチ成功率</vt:lpstr>
      <vt:lpstr>かこたろう!リーチ成功率</vt:lpstr>
      <vt:lpstr>だいち!リーチ成功率</vt:lpstr>
      <vt:lpstr>たかの!リーチ成功率</vt:lpstr>
      <vt:lpstr>ただ!リーチ成功率</vt:lpstr>
      <vt:lpstr>ともき!リーチ成功率</vt:lpstr>
      <vt:lpstr>ぱぱ!リーチ成功率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Template1!リーチ率</vt:lpstr>
      <vt:lpstr>あさひ!リーチ率</vt:lpstr>
      <vt:lpstr>いっしー!リーチ率</vt:lpstr>
      <vt:lpstr>がくと!リーチ率</vt:lpstr>
      <vt:lpstr>かこたろう!リーチ率</vt:lpstr>
      <vt:lpstr>だいち!リーチ率</vt:lpstr>
      <vt:lpstr>たかの!リーチ率</vt:lpstr>
      <vt:lpstr>ただ!リーチ率</vt:lpstr>
      <vt:lpstr>ともき!リーチ率</vt:lpstr>
      <vt:lpstr>ぱぱ!リーチ率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あさひ!レーティング</vt:lpstr>
      <vt:lpstr>いっしー!レーティング</vt:lpstr>
      <vt:lpstr>がくと!レーティング</vt:lpstr>
      <vt:lpstr>かこたろう!レーティング</vt:lpstr>
      <vt:lpstr>だいち!レーティング</vt:lpstr>
      <vt:lpstr>たかの!レーティング</vt:lpstr>
      <vt:lpstr>ただ!レーティング</vt:lpstr>
      <vt:lpstr>ともき!レーティング</vt:lpstr>
      <vt:lpstr>ぱぱ!レーティング</vt:lpstr>
      <vt:lpstr>まっつん!レーティング</vt:lpstr>
      <vt:lpstr>やがさき!レーティング</vt:lpstr>
      <vt:lpstr>りくと!レーティング</vt:lpstr>
      <vt:lpstr>れんたろう!レーティング</vt:lpstr>
      <vt:lpstr>全体!レーティング</vt:lpstr>
      <vt:lpstr>レーティング</vt:lpstr>
      <vt:lpstr>Template1!ロン数</vt:lpstr>
      <vt:lpstr>あさひ!ロン数</vt:lpstr>
      <vt:lpstr>いっしー!ロン数</vt:lpstr>
      <vt:lpstr>がくと!ロン数</vt:lpstr>
      <vt:lpstr>かこたろう!ロン数</vt:lpstr>
      <vt:lpstr>だいち!ロン数</vt:lpstr>
      <vt:lpstr>たかの!ロン数</vt:lpstr>
      <vt:lpstr>ただ!ロン数</vt:lpstr>
      <vt:lpstr>ともき!ロン数</vt:lpstr>
      <vt:lpstr>ぱぱ!ロン数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Template1!ロン率</vt:lpstr>
      <vt:lpstr>あさひ!ロン率</vt:lpstr>
      <vt:lpstr>いっしー!ロン率</vt:lpstr>
      <vt:lpstr>がくと!ロン率</vt:lpstr>
      <vt:lpstr>かこたろう!ロン率</vt:lpstr>
      <vt:lpstr>だいち!ロン率</vt:lpstr>
      <vt:lpstr>たかの!ロン率</vt:lpstr>
      <vt:lpstr>ただ!ロン率</vt:lpstr>
      <vt:lpstr>ともき!ロン率</vt:lpstr>
      <vt:lpstr>ぱぱ!ロン率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あさひ!一位スコア</vt:lpstr>
      <vt:lpstr>いっしー!一位スコア</vt:lpstr>
      <vt:lpstr>がくと!一位スコア</vt:lpstr>
      <vt:lpstr>かこたろう!一位スコア</vt:lpstr>
      <vt:lpstr>だいち!一位スコア</vt:lpstr>
      <vt:lpstr>たかの!一位スコア</vt:lpstr>
      <vt:lpstr>ただ!一位スコア</vt:lpstr>
      <vt:lpstr>ともき!一位スコア</vt:lpstr>
      <vt:lpstr>ぱぱ!一位スコア</vt:lpstr>
      <vt:lpstr>まっつん!一位スコア</vt:lpstr>
      <vt:lpstr>やがさき!一位スコア</vt:lpstr>
      <vt:lpstr>りくと!一位スコア</vt:lpstr>
      <vt:lpstr>れんたろう!一位スコア</vt:lpstr>
      <vt:lpstr>全体!一位スコア</vt:lpstr>
      <vt:lpstr>一位スコア</vt:lpstr>
      <vt:lpstr>あさひ!一位通算スコア</vt:lpstr>
      <vt:lpstr>いっしー!一位通算スコア</vt:lpstr>
      <vt:lpstr>がくと!一位通算スコア</vt:lpstr>
      <vt:lpstr>かこたろう!一位通算スコア</vt:lpstr>
      <vt:lpstr>だいち!一位通算スコア</vt:lpstr>
      <vt:lpstr>たかの!一位通算スコア</vt:lpstr>
      <vt:lpstr>ただ!一位通算スコア</vt:lpstr>
      <vt:lpstr>ともき!一位通算スコア</vt:lpstr>
      <vt:lpstr>ぱぱ!一位通算スコア</vt:lpstr>
      <vt:lpstr>まっつん!一位通算スコア</vt:lpstr>
      <vt:lpstr>やがさき!一位通算スコア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あさひ!一翻数</vt:lpstr>
      <vt:lpstr>いっしー!一翻数</vt:lpstr>
      <vt:lpstr>がくと!一翻数</vt:lpstr>
      <vt:lpstr>かこたろう!一翻数</vt:lpstr>
      <vt:lpstr>だいち!一翻数</vt:lpstr>
      <vt:lpstr>たかの!一翻数</vt:lpstr>
      <vt:lpstr>ただ!一翻数</vt:lpstr>
      <vt:lpstr>ともき!一翻数</vt:lpstr>
      <vt:lpstr>ぱぱ!一翻数</vt:lpstr>
      <vt:lpstr>まっつん!一翻数</vt:lpstr>
      <vt:lpstr>やがさき!一翻数</vt:lpstr>
      <vt:lpstr>りくと!一翻数</vt:lpstr>
      <vt:lpstr>れんたろう!一翻数</vt:lpstr>
      <vt:lpstr>全体!一翻数</vt:lpstr>
      <vt:lpstr>一翻数</vt:lpstr>
      <vt:lpstr>あさひ!一翻率</vt:lpstr>
      <vt:lpstr>いっしー!一翻率</vt:lpstr>
      <vt:lpstr>がくと!一翻率</vt:lpstr>
      <vt:lpstr>かこたろう!一翻率</vt:lpstr>
      <vt:lpstr>だいち!一翻率</vt:lpstr>
      <vt:lpstr>たかの!一翻率</vt:lpstr>
      <vt:lpstr>ただ!一翻率</vt:lpstr>
      <vt:lpstr>ともき!一翻率</vt:lpstr>
      <vt:lpstr>ぱぱ!一翻率</vt:lpstr>
      <vt:lpstr>まっつん!一翻率</vt:lpstr>
      <vt:lpstr>やがさき!一翻率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あさひ!現行連続アガリ</vt:lpstr>
      <vt:lpstr>いっしー!現行連続アガリ</vt:lpstr>
      <vt:lpstr>がくと!現行連続アガリ</vt:lpstr>
      <vt:lpstr>かこたろう!現行連続アガリ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ぱぱ!現行連続アガリ</vt:lpstr>
      <vt:lpstr>まっつん!現行連続アガリ</vt:lpstr>
      <vt:lpstr>やがさき!現行連続アガリ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あさひ!現行連続無放銃</vt:lpstr>
      <vt:lpstr>いっしー!現行連続無放銃</vt:lpstr>
      <vt:lpstr>がくと!現行連続無放銃</vt:lpstr>
      <vt:lpstr>かこたろう!現行連続無放銃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ぱぱ!現行連続無放銃</vt:lpstr>
      <vt:lpstr>まっつん!現行連続無放銃</vt:lpstr>
      <vt:lpstr>やがさき!現行連続無放銃</vt:lpstr>
      <vt:lpstr>りくと!現行連続無放銃</vt:lpstr>
      <vt:lpstr>れんたろう!現行連続無放銃</vt:lpstr>
      <vt:lpstr>全体!現行連続無放銃</vt:lpstr>
      <vt:lpstr>Template1!最高点</vt:lpstr>
      <vt:lpstr>あさひ!最高点</vt:lpstr>
      <vt:lpstr>いっしー!最高点</vt:lpstr>
      <vt:lpstr>がくと!最高点</vt:lpstr>
      <vt:lpstr>かこたろう!最高点</vt:lpstr>
      <vt:lpstr>だいち!最高点</vt:lpstr>
      <vt:lpstr>たかの!最高点</vt:lpstr>
      <vt:lpstr>ただ!最高点</vt:lpstr>
      <vt:lpstr>ともき!最高点</vt:lpstr>
      <vt:lpstr>ぱぱ!最高点</vt:lpstr>
      <vt:lpstr>まっつん!最高点</vt:lpstr>
      <vt:lpstr>やがさき!最高点</vt:lpstr>
      <vt:lpstr>りくと!最高点</vt:lpstr>
      <vt:lpstr>れんたろう!最高点</vt:lpstr>
      <vt:lpstr>全体!最高点</vt:lpstr>
      <vt:lpstr>Template1!最大ドラ数</vt:lpstr>
      <vt:lpstr>あさひ!最大ドラ数</vt:lpstr>
      <vt:lpstr>いっしー!最大ドラ数</vt:lpstr>
      <vt:lpstr>がくと!最大ドラ数</vt:lpstr>
      <vt:lpstr>かこたろう!最大ドラ数</vt:lpstr>
      <vt:lpstr>だいち!最大ドラ数</vt:lpstr>
      <vt:lpstr>たかの!最大ドラ数</vt:lpstr>
      <vt:lpstr>ただ!最大ドラ数</vt:lpstr>
      <vt:lpstr>ともき!最大ドラ数</vt:lpstr>
      <vt:lpstr>ぱぱ!最大ドラ数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Template1!最大点数</vt:lpstr>
      <vt:lpstr>あさひ!最大点数</vt:lpstr>
      <vt:lpstr>いっしー!最大点数</vt:lpstr>
      <vt:lpstr>がくと!最大点数</vt:lpstr>
      <vt:lpstr>かこたろう!最大点数</vt:lpstr>
      <vt:lpstr>だいち!最大点数</vt:lpstr>
      <vt:lpstr>たかの!最大点数</vt:lpstr>
      <vt:lpstr>ただ!最大点数</vt:lpstr>
      <vt:lpstr>ともき!最大点数</vt:lpstr>
      <vt:lpstr>ぱぱ!最大点数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あさひ!三位スコア</vt:lpstr>
      <vt:lpstr>いっしー!三位スコア</vt:lpstr>
      <vt:lpstr>がくと!三位スコア</vt:lpstr>
      <vt:lpstr>かこたろう!三位スコア</vt:lpstr>
      <vt:lpstr>だいち!三位スコア</vt:lpstr>
      <vt:lpstr>たかの!三位スコア</vt:lpstr>
      <vt:lpstr>ただ!三位スコア</vt:lpstr>
      <vt:lpstr>ともき!三位スコア</vt:lpstr>
      <vt:lpstr>ぱぱ!三位スコア</vt:lpstr>
      <vt:lpstr>まっつん!三位スコア</vt:lpstr>
      <vt:lpstr>やがさき!三位スコア</vt:lpstr>
      <vt:lpstr>りくと!三位スコア</vt:lpstr>
      <vt:lpstr>れんたろう!三位スコア</vt:lpstr>
      <vt:lpstr>全体!三位スコア</vt:lpstr>
      <vt:lpstr>三位スコア</vt:lpstr>
      <vt:lpstr>あさひ!三位通算スコア</vt:lpstr>
      <vt:lpstr>いっしー!三位通算スコア</vt:lpstr>
      <vt:lpstr>がくと!三位通算スコア</vt:lpstr>
      <vt:lpstr>かこたろう!三位通算スコア</vt:lpstr>
      <vt:lpstr>だいち!三位通算スコア</vt:lpstr>
      <vt:lpstr>たかの!三位通算スコア</vt:lpstr>
      <vt:lpstr>ただ!三位通算スコア</vt:lpstr>
      <vt:lpstr>ともき!三位通算スコア</vt:lpstr>
      <vt:lpstr>ぱぱ!三位通算スコア</vt:lpstr>
      <vt:lpstr>まっつん!三位通算スコア</vt:lpstr>
      <vt:lpstr>やがさき!三位通算スコア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あさひ!総局数</vt:lpstr>
      <vt:lpstr>いっしー!総局数</vt:lpstr>
      <vt:lpstr>がくと!総局数</vt:lpstr>
      <vt:lpstr>かこたろう!総局数</vt:lpstr>
      <vt:lpstr>だいち!総局数</vt:lpstr>
      <vt:lpstr>たかの!総局数</vt:lpstr>
      <vt:lpstr>ただ!総局数</vt:lpstr>
      <vt:lpstr>ともき!総局数</vt:lpstr>
      <vt:lpstr>ぱぱ!総局数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Template1!対戦数</vt:lpstr>
      <vt:lpstr>あさひ!対戦数</vt:lpstr>
      <vt:lpstr>いっしー!対戦数</vt:lpstr>
      <vt:lpstr>がくと!対戦数</vt:lpstr>
      <vt:lpstr>かこたろう!対戦数</vt:lpstr>
      <vt:lpstr>だいち!対戦数</vt:lpstr>
      <vt:lpstr>たかの!対戦数</vt:lpstr>
      <vt:lpstr>ただ!対戦数</vt:lpstr>
      <vt:lpstr>ともき!対戦数</vt:lpstr>
      <vt:lpstr>ぱぱ!対戦数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Template1!通算アガリ点</vt:lpstr>
      <vt:lpstr>あさひ!通算アガリ点</vt:lpstr>
      <vt:lpstr>いっしー!通算アガリ点</vt:lpstr>
      <vt:lpstr>がくと!通算アガリ点</vt:lpstr>
      <vt:lpstr>かこたろう!通算アガリ点</vt:lpstr>
      <vt:lpstr>だいち!通算アガリ点</vt:lpstr>
      <vt:lpstr>たかの!通算アガリ点</vt:lpstr>
      <vt:lpstr>ただ!通算アガリ点</vt:lpstr>
      <vt:lpstr>ともき!通算アガリ点</vt:lpstr>
      <vt:lpstr>ぱぱ!通算アガリ点</vt:lpstr>
      <vt:lpstr>まっつん!通算アガリ点</vt:lpstr>
      <vt:lpstr>やがさき!通算アガリ点</vt:lpstr>
      <vt:lpstr>りくと!通算アガリ点</vt:lpstr>
      <vt:lpstr>れんたろう!通算アガリ点</vt:lpstr>
      <vt:lpstr>全体!通算アガリ点</vt:lpstr>
      <vt:lpstr>Template1!通算スコア</vt:lpstr>
      <vt:lpstr>あさひ!通算スコア</vt:lpstr>
      <vt:lpstr>いっしー!通算スコア</vt:lpstr>
      <vt:lpstr>がくと!通算スコア</vt:lpstr>
      <vt:lpstr>かこたろう!通算スコア</vt:lpstr>
      <vt:lpstr>だいち!通算スコア</vt:lpstr>
      <vt:lpstr>たかの!通算スコア</vt:lpstr>
      <vt:lpstr>ただ!通算スコア</vt:lpstr>
      <vt:lpstr>ともき!通算スコア</vt:lpstr>
      <vt:lpstr>ぱぱ!通算スコア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Template1!通算副露アガリ点</vt:lpstr>
      <vt:lpstr>あさひ!通算副露アガリ点</vt:lpstr>
      <vt:lpstr>いっしー!通算副露アガリ点</vt:lpstr>
      <vt:lpstr>がくと!通算副露アガリ点</vt:lpstr>
      <vt:lpstr>かこたろう!通算副露アガリ点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ぱぱ!通算副露アガリ点</vt:lpstr>
      <vt:lpstr>まっつん!通算副露アガリ点</vt:lpstr>
      <vt:lpstr>やがさき!通算副露アガリ点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あさひ!通算放銃点</vt:lpstr>
      <vt:lpstr>いっしー!通算放銃点</vt:lpstr>
      <vt:lpstr>がくと!通算放銃点</vt:lpstr>
      <vt:lpstr>かこたろう!通算放銃点</vt:lpstr>
      <vt:lpstr>だいち!通算放銃点</vt:lpstr>
      <vt:lpstr>たかの!通算放銃点</vt:lpstr>
      <vt:lpstr>ただ!通算放銃点</vt:lpstr>
      <vt:lpstr>ともき!通算放銃点</vt:lpstr>
      <vt:lpstr>ぱぱ!通算放銃点</vt:lpstr>
      <vt:lpstr>まっつん!通算放銃点</vt:lpstr>
      <vt:lpstr>やがさき!通算放銃点</vt:lpstr>
      <vt:lpstr>りくと!通算放銃点</vt:lpstr>
      <vt:lpstr>れんたろう!通算放銃点</vt:lpstr>
      <vt:lpstr>全体!通算放銃点</vt:lpstr>
      <vt:lpstr>Template1!通算門前アガリ点</vt:lpstr>
      <vt:lpstr>あさひ!通算門前アガリ点</vt:lpstr>
      <vt:lpstr>いっしー!通算門前アガリ点</vt:lpstr>
      <vt:lpstr>がくと!通算門前アガリ点</vt:lpstr>
      <vt:lpstr>かこたろう!通算門前アガリ点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ぱぱ!通算門前アガリ点</vt:lpstr>
      <vt:lpstr>まっつん!通算門前アガリ点</vt:lpstr>
      <vt:lpstr>やがさき!通算門前アガリ点</vt:lpstr>
      <vt:lpstr>りくと!通算門前アガリ点</vt:lpstr>
      <vt:lpstr>れんたろう!通算門前アガリ点</vt:lpstr>
      <vt:lpstr>全体!通算門前アガリ点</vt:lpstr>
      <vt:lpstr>あさひ!二位スコア</vt:lpstr>
      <vt:lpstr>いっしー!二位スコア</vt:lpstr>
      <vt:lpstr>がくと!二位スコア</vt:lpstr>
      <vt:lpstr>かこたろう!二位スコア</vt:lpstr>
      <vt:lpstr>だいち!二位スコア</vt:lpstr>
      <vt:lpstr>たかの!二位スコア</vt:lpstr>
      <vt:lpstr>ただ!二位スコア</vt:lpstr>
      <vt:lpstr>ともき!二位スコア</vt:lpstr>
      <vt:lpstr>ぱぱ!二位スコア</vt:lpstr>
      <vt:lpstr>まっつん!二位スコア</vt:lpstr>
      <vt:lpstr>やがさき!二位スコア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あさひ!二位数</vt:lpstr>
      <vt:lpstr>いっしー!二位数</vt:lpstr>
      <vt:lpstr>がくと!二位数</vt:lpstr>
      <vt:lpstr>かこたろう!二位数</vt:lpstr>
      <vt:lpstr>だいち!二位数</vt:lpstr>
      <vt:lpstr>たかの!二位数</vt:lpstr>
      <vt:lpstr>ただ!二位数</vt:lpstr>
      <vt:lpstr>ともき!二位数</vt:lpstr>
      <vt:lpstr>ぱぱ!二位数</vt:lpstr>
      <vt:lpstr>まっつん!二位数</vt:lpstr>
      <vt:lpstr>やがさき!二位数</vt:lpstr>
      <vt:lpstr>りくと!二位数</vt:lpstr>
      <vt:lpstr>れんたろう!二位数</vt:lpstr>
      <vt:lpstr>全体!二位数</vt:lpstr>
      <vt:lpstr>あさひ!二位通算スコア</vt:lpstr>
      <vt:lpstr>いっしー!二位通算スコア</vt:lpstr>
      <vt:lpstr>がくと!二位通算スコア</vt:lpstr>
      <vt:lpstr>かこたろう!二位通算スコア</vt:lpstr>
      <vt:lpstr>だいち!二位通算スコア</vt:lpstr>
      <vt:lpstr>たかの!二位通算スコア</vt:lpstr>
      <vt:lpstr>ただ!二位通算スコア</vt:lpstr>
      <vt:lpstr>ともき!二位通算スコア</vt:lpstr>
      <vt:lpstr>ぱぱ!二位通算スコア</vt:lpstr>
      <vt:lpstr>まっつん!二位通算スコア</vt:lpstr>
      <vt:lpstr>やがさき!二位通算スコア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あさひ!二位率</vt:lpstr>
      <vt:lpstr>いっしー!二位率</vt:lpstr>
      <vt:lpstr>がくと!二位率</vt:lpstr>
      <vt:lpstr>かこたろう!二位率</vt:lpstr>
      <vt:lpstr>だいち!二位率</vt:lpstr>
      <vt:lpstr>たかの!二位率</vt:lpstr>
      <vt:lpstr>ただ!二位率</vt:lpstr>
      <vt:lpstr>ともき!二位率</vt:lpstr>
      <vt:lpstr>ぱぱ!二位率</vt:lpstr>
      <vt:lpstr>まっつん!二位率</vt:lpstr>
      <vt:lpstr>やがさき!二位率</vt:lpstr>
      <vt:lpstr>りくと!二位率</vt:lpstr>
      <vt:lpstr>れんたろう!二位率</vt:lpstr>
      <vt:lpstr>全体!二位率</vt:lpstr>
      <vt:lpstr>Template1!副露アガリ数</vt:lpstr>
      <vt:lpstr>あさひ!副露アガリ数</vt:lpstr>
      <vt:lpstr>いっしー!副露アガリ数</vt:lpstr>
      <vt:lpstr>がくと!副露アガリ数</vt:lpstr>
      <vt:lpstr>かこたろう!副露アガリ数</vt:lpstr>
      <vt:lpstr>だいち!副露アガリ数</vt:lpstr>
      <vt:lpstr>たかの!副露アガリ数</vt:lpstr>
      <vt:lpstr>ただ!副露アガリ数</vt:lpstr>
      <vt:lpstr>ともき!副露アガリ数</vt:lpstr>
      <vt:lpstr>ぱぱ!副露アガリ数</vt:lpstr>
      <vt:lpstr>まっつん!副露アガリ数</vt:lpstr>
      <vt:lpstr>やがさき!副露アガリ数</vt:lpstr>
      <vt:lpstr>りくと!副露アガリ数</vt:lpstr>
      <vt:lpstr>れんたろう!副露アガリ数</vt:lpstr>
      <vt:lpstr>全体!副露アガリ数</vt:lpstr>
      <vt:lpstr>Template1!副露アガリ点</vt:lpstr>
      <vt:lpstr>あさひ!副露アガリ点</vt:lpstr>
      <vt:lpstr>いっしー!副露アガリ点</vt:lpstr>
      <vt:lpstr>がくと!副露アガリ点</vt:lpstr>
      <vt:lpstr>かこたろう!副露アガリ点</vt:lpstr>
      <vt:lpstr>だいち!副露アガリ点</vt:lpstr>
      <vt:lpstr>たかの!副露アガリ点</vt:lpstr>
      <vt:lpstr>ただ!副露アガリ点</vt:lpstr>
      <vt:lpstr>ともき!副露アガリ点</vt:lpstr>
      <vt:lpstr>ぱぱ!副露アガリ点</vt:lpstr>
      <vt:lpstr>まっつん!副露アガリ点</vt:lpstr>
      <vt:lpstr>やがさき!副露アガリ点</vt:lpstr>
      <vt:lpstr>りくと!副露アガリ点</vt:lpstr>
      <vt:lpstr>れんたろう!副露アガリ点</vt:lpstr>
      <vt:lpstr>全体!副露アガリ点</vt:lpstr>
      <vt:lpstr>Template1!副露アガリ率</vt:lpstr>
      <vt:lpstr>あさひ!副露アガリ率</vt:lpstr>
      <vt:lpstr>いっしー!副露アガリ率</vt:lpstr>
      <vt:lpstr>がくと!副露アガリ率</vt:lpstr>
      <vt:lpstr>かこたろう!副露アガリ率</vt:lpstr>
      <vt:lpstr>だいち!副露アガリ率</vt:lpstr>
      <vt:lpstr>たかの!副露アガリ率</vt:lpstr>
      <vt:lpstr>ただ!副露アガリ率</vt:lpstr>
      <vt:lpstr>ともき!副露アガリ率</vt:lpstr>
      <vt:lpstr>ぱぱ!副露アガリ率</vt:lpstr>
      <vt:lpstr>まっつん!副露アガリ率</vt:lpstr>
      <vt:lpstr>やがさき!副露アガリ率</vt:lpstr>
      <vt:lpstr>りくと!副露アガリ率</vt:lpstr>
      <vt:lpstr>れんたろう!副露アガリ率</vt:lpstr>
      <vt:lpstr>全体!副露アガリ率</vt:lpstr>
      <vt:lpstr>Template1!副露数</vt:lpstr>
      <vt:lpstr>あさひ!副露数</vt:lpstr>
      <vt:lpstr>いっしー!副露数</vt:lpstr>
      <vt:lpstr>がくと!副露数</vt:lpstr>
      <vt:lpstr>かこたろう!副露数</vt:lpstr>
      <vt:lpstr>だいち!副露数</vt:lpstr>
      <vt:lpstr>たかの!副露数</vt:lpstr>
      <vt:lpstr>ただ!副露数</vt:lpstr>
      <vt:lpstr>ともき!副露数</vt:lpstr>
      <vt:lpstr>ぱぱ!副露数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Template1!副露成功数</vt:lpstr>
      <vt:lpstr>あさひ!副露成功数</vt:lpstr>
      <vt:lpstr>いっしー!副露成功数</vt:lpstr>
      <vt:lpstr>がくと!副露成功数</vt:lpstr>
      <vt:lpstr>かこたろう!副露成功数</vt:lpstr>
      <vt:lpstr>だいち!副露成功数</vt:lpstr>
      <vt:lpstr>たかの!副露成功数</vt:lpstr>
      <vt:lpstr>ただ!副露成功数</vt:lpstr>
      <vt:lpstr>ともき!副露成功数</vt:lpstr>
      <vt:lpstr>ぱぱ!副露成功数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Template1!副露成功率</vt:lpstr>
      <vt:lpstr>あさひ!副露成功率</vt:lpstr>
      <vt:lpstr>いっしー!副露成功率</vt:lpstr>
      <vt:lpstr>がくと!副露成功率</vt:lpstr>
      <vt:lpstr>かこたろう!副露成功率</vt:lpstr>
      <vt:lpstr>だいち!副露成功率</vt:lpstr>
      <vt:lpstr>たかの!副露成功率</vt:lpstr>
      <vt:lpstr>ただ!副露成功率</vt:lpstr>
      <vt:lpstr>ともき!副露成功率</vt:lpstr>
      <vt:lpstr>ぱぱ!副露成功率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Template1!副露率</vt:lpstr>
      <vt:lpstr>あさひ!副露率</vt:lpstr>
      <vt:lpstr>いっしー!副露率</vt:lpstr>
      <vt:lpstr>がくと!副露率</vt:lpstr>
      <vt:lpstr>かこたろう!副露率</vt:lpstr>
      <vt:lpstr>だいち!副露率</vt:lpstr>
      <vt:lpstr>たかの!副露率</vt:lpstr>
      <vt:lpstr>ただ!副露率</vt:lpstr>
      <vt:lpstr>ともき!副露率</vt:lpstr>
      <vt:lpstr>ぱぱ!副露率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Template1!平均アガリ点</vt:lpstr>
      <vt:lpstr>あさひ!平均アガリ点</vt:lpstr>
      <vt:lpstr>いっしー!平均アガリ点</vt:lpstr>
      <vt:lpstr>がくと!平均アガリ点</vt:lpstr>
      <vt:lpstr>かこたろう!平均アガリ点</vt:lpstr>
      <vt:lpstr>だいち!平均アガリ点</vt:lpstr>
      <vt:lpstr>たかの!平均アガリ点</vt:lpstr>
      <vt:lpstr>ただ!平均アガリ点</vt:lpstr>
      <vt:lpstr>ともき!平均アガリ点</vt:lpstr>
      <vt:lpstr>ぱぱ!平均アガリ点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Template1!平均スコア</vt:lpstr>
      <vt:lpstr>あさひ!平均スコア</vt:lpstr>
      <vt:lpstr>いっしー!平均スコア</vt:lpstr>
      <vt:lpstr>がくと!平均スコア</vt:lpstr>
      <vt:lpstr>かこたろう!平均スコア</vt:lpstr>
      <vt:lpstr>だいち!平均スコア</vt:lpstr>
      <vt:lpstr>たかの!平均スコア</vt:lpstr>
      <vt:lpstr>ただ!平均スコア</vt:lpstr>
      <vt:lpstr>ともき!平均スコア</vt:lpstr>
      <vt:lpstr>ぱぱ!平均スコア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Template1!平均順位</vt:lpstr>
      <vt:lpstr>あさひ!平均順位</vt:lpstr>
      <vt:lpstr>いっしー!平均順位</vt:lpstr>
      <vt:lpstr>がくと!平均順位</vt:lpstr>
      <vt:lpstr>かこたろう!平均順位</vt:lpstr>
      <vt:lpstr>だいち!平均順位</vt:lpstr>
      <vt:lpstr>たかの!平均順位</vt:lpstr>
      <vt:lpstr>ただ!平均順位</vt:lpstr>
      <vt:lpstr>ともき!平均順位</vt:lpstr>
      <vt:lpstr>ぱぱ!平均順位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Template1!平均放銃点</vt:lpstr>
      <vt:lpstr>あさひ!平均放銃点</vt:lpstr>
      <vt:lpstr>いっしー!平均放銃点</vt:lpstr>
      <vt:lpstr>がくと!平均放銃点</vt:lpstr>
      <vt:lpstr>かこたろう!平均放銃点</vt:lpstr>
      <vt:lpstr>だいち!平均放銃点</vt:lpstr>
      <vt:lpstr>たかの!平均放銃点</vt:lpstr>
      <vt:lpstr>ただ!平均放銃点</vt:lpstr>
      <vt:lpstr>ともき!平均放銃点</vt:lpstr>
      <vt:lpstr>ぱぱ!平均放銃点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Template1!放銃数</vt:lpstr>
      <vt:lpstr>あさひ!放銃数</vt:lpstr>
      <vt:lpstr>いっしー!放銃数</vt:lpstr>
      <vt:lpstr>がくと!放銃数</vt:lpstr>
      <vt:lpstr>かこたろう!放銃数</vt:lpstr>
      <vt:lpstr>だいち!放銃数</vt:lpstr>
      <vt:lpstr>たかの!放銃数</vt:lpstr>
      <vt:lpstr>ただ!放銃数</vt:lpstr>
      <vt:lpstr>ともき!放銃数</vt:lpstr>
      <vt:lpstr>ぱぱ!放銃数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Template1!放銃率</vt:lpstr>
      <vt:lpstr>あさひ!放銃率</vt:lpstr>
      <vt:lpstr>いっしー!放銃率</vt:lpstr>
      <vt:lpstr>がくと!放銃率</vt:lpstr>
      <vt:lpstr>かこたろう!放銃率</vt:lpstr>
      <vt:lpstr>だいち!放銃率</vt:lpstr>
      <vt:lpstr>たかの!放銃率</vt:lpstr>
      <vt:lpstr>ただ!放銃率</vt:lpstr>
      <vt:lpstr>ともき!放銃率</vt:lpstr>
      <vt:lpstr>ぱぱ!放銃率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Template1!名前</vt:lpstr>
      <vt:lpstr>あさひ!名前</vt:lpstr>
      <vt:lpstr>いっしー!名前</vt:lpstr>
      <vt:lpstr>がくと!名前</vt:lpstr>
      <vt:lpstr>かこたろう!名前</vt:lpstr>
      <vt:lpstr>だいち!名前</vt:lpstr>
      <vt:lpstr>たかの!名前</vt:lpstr>
      <vt:lpstr>ただ!名前</vt:lpstr>
      <vt:lpstr>ともき!名前</vt:lpstr>
      <vt:lpstr>ぱぱ!名前</vt:lpstr>
      <vt:lpstr>まっつん!名前</vt:lpstr>
      <vt:lpstr>やがさき!名前</vt:lpstr>
      <vt:lpstr>りくと!名前</vt:lpstr>
      <vt:lpstr>れんたろう!名前</vt:lpstr>
      <vt:lpstr>全体!名前</vt:lpstr>
      <vt:lpstr>Template1!門前アガリ点</vt:lpstr>
      <vt:lpstr>あさひ!門前アガリ点</vt:lpstr>
      <vt:lpstr>いっしー!門前アガリ点</vt:lpstr>
      <vt:lpstr>がくと!門前アガリ点</vt:lpstr>
      <vt:lpstr>かこたろう!門前アガリ点</vt:lpstr>
      <vt:lpstr>だいち!門前アガリ点</vt:lpstr>
      <vt:lpstr>たかの!門前アガリ点</vt:lpstr>
      <vt:lpstr>ただ!門前アガリ点</vt:lpstr>
      <vt:lpstr>ともき!門前アガリ点</vt:lpstr>
      <vt:lpstr>ぱぱ!門前アガリ点</vt:lpstr>
      <vt:lpstr>まっつん!門前アガリ点</vt:lpstr>
      <vt:lpstr>やがさき!門前アガリ点</vt:lpstr>
      <vt:lpstr>りくと!門前アガリ点</vt:lpstr>
      <vt:lpstr>れんたろう!門前アガリ点</vt:lpstr>
      <vt:lpstr>全体!門前アガリ点</vt:lpstr>
      <vt:lpstr>Template1!連続アガリ</vt:lpstr>
      <vt:lpstr>あさひ!連続アガリ</vt:lpstr>
      <vt:lpstr>いっしー!連続アガリ</vt:lpstr>
      <vt:lpstr>がくと!連続アガリ</vt:lpstr>
      <vt:lpstr>かこたろう!連続アガリ</vt:lpstr>
      <vt:lpstr>だいち!連続アガリ</vt:lpstr>
      <vt:lpstr>たかの!連続アガリ</vt:lpstr>
      <vt:lpstr>ただ!連続アガリ</vt:lpstr>
      <vt:lpstr>ともき!連続アガリ</vt:lpstr>
      <vt:lpstr>ぱぱ!連続アガリ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Template1!連続無放銃</vt:lpstr>
      <vt:lpstr>あさひ!連続無放銃</vt:lpstr>
      <vt:lpstr>いっしー!連続無放銃</vt:lpstr>
      <vt:lpstr>がくと!連続無放銃</vt:lpstr>
      <vt:lpstr>かこたろう!連続無放銃</vt:lpstr>
      <vt:lpstr>だいち!連続無放銃</vt:lpstr>
      <vt:lpstr>たかの!連続無放銃</vt:lpstr>
      <vt:lpstr>ただ!連続無放銃</vt:lpstr>
      <vt:lpstr>ともき!連続無放銃</vt:lpstr>
      <vt:lpstr>ぱぱ!連続無放銃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2020-10-12T16:55:53Z</dcterms:modified>
</cp:coreProperties>
</file>