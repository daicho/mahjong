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08F70083-23F0-414C-8E8A-DC62215A150C}" xr6:coauthVersionLast="44" xr6:coauthVersionMax="44" xr10:uidLastSave="{00000000-0000-0000-0000-000000000000}"/>
  <bookViews>
    <workbookView xWindow="-120" yWindow="-120" windowWidth="29040" windowHeight="15990" tabRatio="663" xr2:uid="{4FDB0271-42AC-4C1F-BA12-2E989A379038}"/>
  </bookViews>
  <sheets>
    <sheet name="Template1" sheetId="2228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25" r:id="rId6"/>
    <sheet name="だいち" sheetId="6127" r:id="rId7"/>
    <sheet name="かこたろう" sheetId="6129" r:id="rId8"/>
    <sheet name="ともき" sheetId="6131" r:id="rId9"/>
    <sheet name="りくと" sheetId="6133" r:id="rId10"/>
    <sheet name="いっしー" sheetId="6135" r:id="rId11"/>
    <sheet name="がくと" sheetId="6137" r:id="rId12"/>
    <sheet name="たかの" sheetId="6139" r:id="rId13"/>
    <sheet name="ただ" sheetId="6141" r:id="rId14"/>
    <sheet name="やがさき" sheetId="6143" r:id="rId15"/>
    <sheet name="れんたろう" sheetId="6145" r:id="rId16"/>
    <sheet name="あさひ" sheetId="6147" r:id="rId17"/>
    <sheet name="まっつん" sheetId="6149" r:id="rId18"/>
    <sheet name="ぱぱ" sheetId="6151" r:id="rId19"/>
    <sheet name="ぱぱ2" sheetId="6152" state="hidden" r:id="rId20"/>
    <sheet name="まっつん2" sheetId="6150" state="hidden" r:id="rId21"/>
    <sheet name="あさひ2" sheetId="6148" state="hidden" r:id="rId22"/>
    <sheet name="れんたろう2" sheetId="6146" state="hidden" r:id="rId23"/>
    <sheet name="やがさき2" sheetId="6144" state="hidden" r:id="rId24"/>
    <sheet name="ただ2" sheetId="6142" state="hidden" r:id="rId25"/>
    <sheet name="たかの2" sheetId="6140" state="hidden" r:id="rId26"/>
    <sheet name="がくと2" sheetId="6138" state="hidden" r:id="rId27"/>
    <sheet name="いっしー2" sheetId="6136" state="hidden" r:id="rId28"/>
    <sheet name="りくと2" sheetId="6134" state="hidden" r:id="rId29"/>
    <sheet name="ともき2" sheetId="6132" state="hidden" r:id="rId30"/>
    <sheet name="かこたろう2" sheetId="6130" state="hidden" r:id="rId31"/>
    <sheet name="だいち2" sheetId="6128" state="hidden" r:id="rId32"/>
    <sheet name="全体2" sheetId="612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あさひ!$B$51</definedName>
    <definedName name="newアガリ数" localSheetId="10">いっしー!$B$51</definedName>
    <definedName name="newアガリ数" localSheetId="11">がくと!$B$51</definedName>
    <definedName name="newアガリ数" localSheetId="7">かこたろう!$B$51</definedName>
    <definedName name="newアガリ数" localSheetId="6">だいち!$B$51</definedName>
    <definedName name="newアガリ数" localSheetId="12">たかの!$B$51</definedName>
    <definedName name="newアガリ数" localSheetId="13">ただ!$B$51</definedName>
    <definedName name="newアガリ数" localSheetId="8">ともき!$B$51</definedName>
    <definedName name="newアガリ数" localSheetId="18">ぱぱ!$B$51</definedName>
    <definedName name="newアガリ数" localSheetId="17">まっつん!$B$51</definedName>
    <definedName name="newアガリ数" localSheetId="14">やがさき!$B$51</definedName>
    <definedName name="newアガリ数" localSheetId="9">りくと!$B$51</definedName>
    <definedName name="newアガリ数" localSheetId="15">れんたろう!$B$51</definedName>
    <definedName name="newアガリ数" localSheetId="5">全体!$B$51</definedName>
    <definedName name="newアガリ数">Template1!$B$51</definedName>
    <definedName name="newアガリ率" localSheetId="16">あさひ!$C$51</definedName>
    <definedName name="newアガリ率" localSheetId="10">いっしー!$C$51</definedName>
    <definedName name="newアガリ率" localSheetId="11">がくと!$C$51</definedName>
    <definedName name="newアガリ率" localSheetId="7">かこたろう!$C$51</definedName>
    <definedName name="newアガリ率" localSheetId="6">だいち!$C$51</definedName>
    <definedName name="newアガリ率" localSheetId="12">たかの!$C$51</definedName>
    <definedName name="newアガリ率" localSheetId="13">ただ!$C$51</definedName>
    <definedName name="newアガリ率" localSheetId="8">ともき!$C$51</definedName>
    <definedName name="newアガリ率" localSheetId="18">ぱぱ!$C$51</definedName>
    <definedName name="newアガリ率" localSheetId="17">まっつん!$C$51</definedName>
    <definedName name="newアガリ率" localSheetId="14">やがさき!$C$51</definedName>
    <definedName name="newアガリ率" localSheetId="9">りくと!$C$51</definedName>
    <definedName name="newアガリ率" localSheetId="15">れんたろう!$C$51</definedName>
    <definedName name="newアガリ率" localSheetId="5">全体!$C$51</definedName>
    <definedName name="newアガリ率">Template1!$C$51</definedName>
    <definedName name="new局数" localSheetId="16">あさひ!$B$50</definedName>
    <definedName name="new局数" localSheetId="10">いっしー!$B$50</definedName>
    <definedName name="new局数" localSheetId="11">がくと!$B$50</definedName>
    <definedName name="new局数" localSheetId="7">かこたろう!$B$50</definedName>
    <definedName name="new局数" localSheetId="6">だいち!$B$50</definedName>
    <definedName name="new局数" localSheetId="12">たかの!$B$50</definedName>
    <definedName name="new局数" localSheetId="13">ただ!$B$50</definedName>
    <definedName name="new局数" localSheetId="8">ともき!$B$50</definedName>
    <definedName name="new局数" localSheetId="18">ぱぱ!$B$50</definedName>
    <definedName name="new局数" localSheetId="17">まっつん!$B$50</definedName>
    <definedName name="new局数" localSheetId="14">やがさき!$B$50</definedName>
    <definedName name="new局数" localSheetId="9">りくと!$B$50</definedName>
    <definedName name="new局数" localSheetId="15">れんたろう!$B$50</definedName>
    <definedName name="new局数" localSheetId="5">全体!$B$50</definedName>
    <definedName name="new局数">Template1!$B$50</definedName>
    <definedName name="アガリ数" localSheetId="16">あさひ!$B$19</definedName>
    <definedName name="アガリ数" localSheetId="10">いっしー!$B$19</definedName>
    <definedName name="アガリ数" localSheetId="11">がくと!$B$19</definedName>
    <definedName name="アガリ数" localSheetId="7">かこたろう!$B$19</definedName>
    <definedName name="アガリ数" localSheetId="6">だいち!$B$19</definedName>
    <definedName name="アガリ数" localSheetId="12">たかの!$B$19</definedName>
    <definedName name="アガリ数" localSheetId="13">ただ!$B$19</definedName>
    <definedName name="アガリ数" localSheetId="8">ともき!$B$19</definedName>
    <definedName name="アガリ数" localSheetId="18">ぱぱ!$B$19</definedName>
    <definedName name="アガリ数" localSheetId="17">まっつん!$B$19</definedName>
    <definedName name="アガリ数" localSheetId="14">やがさき!$B$19</definedName>
    <definedName name="アガリ数" localSheetId="9">りくと!$B$19</definedName>
    <definedName name="アガリ数" localSheetId="15">れんたろう!$B$19</definedName>
    <definedName name="アガリ数" localSheetId="5">全体!$B$19</definedName>
    <definedName name="アガリ数">Template1!$B$19</definedName>
    <definedName name="アガリ率" localSheetId="16">あさひ!$C$19</definedName>
    <definedName name="アガリ率" localSheetId="10">いっしー!$C$19</definedName>
    <definedName name="アガリ率" localSheetId="11">がくと!$C$19</definedName>
    <definedName name="アガリ率" localSheetId="7">かこたろう!$C$19</definedName>
    <definedName name="アガリ率" localSheetId="6">だいち!$C$19</definedName>
    <definedName name="アガリ率" localSheetId="12">たかの!$C$19</definedName>
    <definedName name="アガリ率" localSheetId="13">ただ!$C$19</definedName>
    <definedName name="アガリ率" localSheetId="8">ともき!$C$19</definedName>
    <definedName name="アガリ率" localSheetId="18">ぱぱ!$C$19</definedName>
    <definedName name="アガリ率" localSheetId="17">まっつん!$C$19</definedName>
    <definedName name="アガリ率" localSheetId="14">やがさき!$C$19</definedName>
    <definedName name="アガリ率" localSheetId="9">りくと!$C$19</definedName>
    <definedName name="アガリ率" localSheetId="15">れんたろう!$C$19</definedName>
    <definedName name="アガリ率" localSheetId="5">全体!$C$19</definedName>
    <definedName name="アガリ率">Template1!$C$19</definedName>
    <definedName name="ダマアガリ数" localSheetId="16">あさひ!$B$25</definedName>
    <definedName name="ダマアガリ数" localSheetId="10">いっしー!$B$25</definedName>
    <definedName name="ダマアガリ数" localSheetId="11">がくと!$B$25</definedName>
    <definedName name="ダマアガリ数" localSheetId="7">かこたろう!$B$25</definedName>
    <definedName name="ダマアガリ数" localSheetId="6">だいち!$B$25</definedName>
    <definedName name="ダマアガリ数" localSheetId="12">たかの!$B$25</definedName>
    <definedName name="ダマアガリ数" localSheetId="13">ただ!$B$25</definedName>
    <definedName name="ダマアガリ数" localSheetId="8">ともき!$B$25</definedName>
    <definedName name="ダマアガリ数" localSheetId="18">ぱぱ!$B$25</definedName>
    <definedName name="ダマアガリ数" localSheetId="17">まっつん!$B$25</definedName>
    <definedName name="ダマアガリ数" localSheetId="14">やがさき!$B$25</definedName>
    <definedName name="ダマアガリ数" localSheetId="9">りくと!$B$25</definedName>
    <definedName name="ダマアガリ数" localSheetId="15">れんたろう!$B$25</definedName>
    <definedName name="ダマアガリ数" localSheetId="5">全体!$B$25</definedName>
    <definedName name="ダマアガリ数">Template1!$B$25</definedName>
    <definedName name="ダマアガリ点" localSheetId="16">あさひ!#REF!</definedName>
    <definedName name="ダマアガリ点" localSheetId="10">いっしー!#REF!</definedName>
    <definedName name="ダマアガリ点" localSheetId="11">がくと!#REF!</definedName>
    <definedName name="ダマアガリ点" localSheetId="7">かこたろう!#REF!</definedName>
    <definedName name="ダマアガリ点" localSheetId="6">だいち!#REF!</definedName>
    <definedName name="ダマアガリ点" localSheetId="12">たかの!#REF!</definedName>
    <definedName name="ダマアガリ点" localSheetId="13">ただ!#REF!</definedName>
    <definedName name="ダマアガリ点" localSheetId="8">ともき!#REF!</definedName>
    <definedName name="ダマアガリ点" localSheetId="18">ぱぱ!#REF!</definedName>
    <definedName name="ダマアガリ点" localSheetId="17">まっつん!#REF!</definedName>
    <definedName name="ダマアガリ点" localSheetId="14">やがさき!#REF!</definedName>
    <definedName name="ダマアガリ点" localSheetId="9">りくと!#REF!</definedName>
    <definedName name="ダマアガリ点" localSheetId="15">れんたろう!#REF!</definedName>
    <definedName name="ダマアガリ点" localSheetId="5">全体!#REF!</definedName>
    <definedName name="ダマアガリ点">Template1!#REF!</definedName>
    <definedName name="ダマアガリ率" localSheetId="16">あさひ!$C$25</definedName>
    <definedName name="ダマアガリ率" localSheetId="10">いっしー!$C$25</definedName>
    <definedName name="ダマアガリ率" localSheetId="11">がくと!$C$25</definedName>
    <definedName name="ダマアガリ率" localSheetId="7">かこたろう!$C$25</definedName>
    <definedName name="ダマアガリ率" localSheetId="6">だいち!$C$25</definedName>
    <definedName name="ダマアガリ率" localSheetId="12">たかの!$C$25</definedName>
    <definedName name="ダマアガリ率" localSheetId="13">ただ!$C$25</definedName>
    <definedName name="ダマアガリ率" localSheetId="8">ともき!$C$25</definedName>
    <definedName name="ダマアガリ率" localSheetId="18">ぱぱ!$C$25</definedName>
    <definedName name="ダマアガリ率" localSheetId="17">まっつん!$C$25</definedName>
    <definedName name="ダマアガリ率" localSheetId="14">やがさき!$C$25</definedName>
    <definedName name="ダマアガリ率" localSheetId="9">りくと!$C$25</definedName>
    <definedName name="ダマアガリ率" localSheetId="15">れんたろう!$C$25</definedName>
    <definedName name="ダマアガリ率" localSheetId="5">全体!$C$25</definedName>
    <definedName name="ダマアガリ率">Template1!$C$25</definedName>
    <definedName name="チョンボ数" localSheetId="16">あさひ!$B$34</definedName>
    <definedName name="チョンボ数" localSheetId="10">いっしー!$B$34</definedName>
    <definedName name="チョンボ数" localSheetId="11">がくと!$B$34</definedName>
    <definedName name="チョンボ数" localSheetId="7">かこたろう!$B$34</definedName>
    <definedName name="チョンボ数" localSheetId="6">だいち!$B$34</definedName>
    <definedName name="チョンボ数" localSheetId="12">たかの!$B$34</definedName>
    <definedName name="チョンボ数" localSheetId="13">ただ!$B$34</definedName>
    <definedName name="チョンボ数" localSheetId="8">ともき!$B$34</definedName>
    <definedName name="チョンボ数" localSheetId="18">ぱぱ!$B$34</definedName>
    <definedName name="チョンボ数" localSheetId="17">まっつん!$B$34</definedName>
    <definedName name="チョンボ数" localSheetId="14">やがさき!$B$34</definedName>
    <definedName name="チョンボ数" localSheetId="9">りくと!$B$34</definedName>
    <definedName name="チョンボ数" localSheetId="15">れんたろう!$B$34</definedName>
    <definedName name="チョンボ数" localSheetId="5">全体!$B$34</definedName>
    <definedName name="チョンボ数">Template1!$B$34</definedName>
    <definedName name="チョンボ率" localSheetId="16">あさひ!$C$34</definedName>
    <definedName name="チョンボ率" localSheetId="10">いっしー!$C$34</definedName>
    <definedName name="チョンボ率" localSheetId="11">がくと!$C$34</definedName>
    <definedName name="チョンボ率" localSheetId="7">かこたろう!$C$34</definedName>
    <definedName name="チョンボ率" localSheetId="6">だいち!$C$34</definedName>
    <definedName name="チョンボ率" localSheetId="12">たかの!$C$34</definedName>
    <definedName name="チョンボ率" localSheetId="13">ただ!$C$34</definedName>
    <definedName name="チョンボ率" localSheetId="8">ともき!$C$34</definedName>
    <definedName name="チョンボ率" localSheetId="18">ぱぱ!$C$34</definedName>
    <definedName name="チョンボ率" localSheetId="17">まっつん!$C$34</definedName>
    <definedName name="チョンボ率" localSheetId="14">やがさき!$C$34</definedName>
    <definedName name="チョンボ率" localSheetId="9">りくと!$C$34</definedName>
    <definedName name="チョンボ率" localSheetId="15">れんたろう!$C$34</definedName>
    <definedName name="チョンボ率" localSheetId="5">全体!$C$34</definedName>
    <definedName name="チョンボ率">Template1!$C$34</definedName>
    <definedName name="ツモ数" localSheetId="16">あさひ!$B$21</definedName>
    <definedName name="ツモ数" localSheetId="10">いっしー!$B$21</definedName>
    <definedName name="ツモ数" localSheetId="11">がくと!$B$21</definedName>
    <definedName name="ツモ数" localSheetId="7">かこたろう!$B$21</definedName>
    <definedName name="ツモ数" localSheetId="6">だいち!$B$21</definedName>
    <definedName name="ツモ数" localSheetId="12">たかの!$B$21</definedName>
    <definedName name="ツモ数" localSheetId="13">ただ!$B$21</definedName>
    <definedName name="ツモ数" localSheetId="8">ともき!$B$21</definedName>
    <definedName name="ツモ数" localSheetId="18">ぱぱ!$B$21</definedName>
    <definedName name="ツモ数" localSheetId="17">まっつん!$B$21</definedName>
    <definedName name="ツモ数" localSheetId="14">やがさき!$B$21</definedName>
    <definedName name="ツモ数" localSheetId="9">りくと!$B$21</definedName>
    <definedName name="ツモ数" localSheetId="15">れんたろう!$B$21</definedName>
    <definedName name="ツモ数" localSheetId="5">全体!$B$21</definedName>
    <definedName name="ツモ数">Template1!$B$21</definedName>
    <definedName name="ツモ率" localSheetId="16">あさひ!$C$21</definedName>
    <definedName name="ツモ率" localSheetId="10">いっしー!$C$21</definedName>
    <definedName name="ツモ率" localSheetId="11">がくと!$C$21</definedName>
    <definedName name="ツモ率" localSheetId="7">かこたろう!$C$21</definedName>
    <definedName name="ツモ率" localSheetId="6">だいち!$C$21</definedName>
    <definedName name="ツモ率" localSheetId="12">たかの!$C$21</definedName>
    <definedName name="ツモ率" localSheetId="13">ただ!$C$21</definedName>
    <definedName name="ツモ率" localSheetId="8">ともき!$C$21</definedName>
    <definedName name="ツモ率" localSheetId="18">ぱぱ!$C$21</definedName>
    <definedName name="ツモ率" localSheetId="17">まっつん!$C$21</definedName>
    <definedName name="ツモ率" localSheetId="14">やがさき!$C$21</definedName>
    <definedName name="ツモ率" localSheetId="9">りくと!$C$21</definedName>
    <definedName name="ツモ率" localSheetId="15">れんたろう!$C$21</definedName>
    <definedName name="ツモ率" localSheetId="5">全体!$C$21</definedName>
    <definedName name="ツモ率">Template1!$C$21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バランス" localSheetId="16">あさひ!$B$13</definedName>
    <definedName name="バランス" localSheetId="10">いっしー!$B$13</definedName>
    <definedName name="バランス" localSheetId="11">がくと!$B$13</definedName>
    <definedName name="バランス" localSheetId="7">かこたろう!$B$13</definedName>
    <definedName name="バランス" localSheetId="6">だいち!$B$13</definedName>
    <definedName name="バランス" localSheetId="12">たかの!$B$13</definedName>
    <definedName name="バランス" localSheetId="13">ただ!$B$13</definedName>
    <definedName name="バランス" localSheetId="8">ともき!$B$13</definedName>
    <definedName name="バランス" localSheetId="18">ぱぱ!$B$13</definedName>
    <definedName name="バランス" localSheetId="17">まっつん!$B$13</definedName>
    <definedName name="バランス" localSheetId="14">やがさき!$B$13</definedName>
    <definedName name="バランス" localSheetId="9">りくと!$B$13</definedName>
    <definedName name="バランス" localSheetId="15">れんたろう!$B$13</definedName>
    <definedName name="バランス" localSheetId="5">全体!$B$13</definedName>
    <definedName name="バランス">Template1!$B$13</definedName>
    <definedName name="ふっとばし数" localSheetId="16">あさひ!#REF!</definedName>
    <definedName name="ふっとばし数" localSheetId="10">いっしー!#REF!</definedName>
    <definedName name="ふっとばし数" localSheetId="11">がくと!#REF!</definedName>
    <definedName name="ふっとばし数" localSheetId="7">かこたろう!#REF!</definedName>
    <definedName name="ふっとばし数" localSheetId="6">だいち!#REF!</definedName>
    <definedName name="ふっとばし数" localSheetId="12">たかの!#REF!</definedName>
    <definedName name="ふっとばし数" localSheetId="13">ただ!#REF!</definedName>
    <definedName name="ふっとばし数" localSheetId="8">ともき!#REF!</definedName>
    <definedName name="ふっとばし数" localSheetId="18">ぱぱ!#REF!</definedName>
    <definedName name="ふっとばし数" localSheetId="17">まっつん!#REF!</definedName>
    <definedName name="ふっとばし数" localSheetId="14">やがさき!#REF!</definedName>
    <definedName name="ふっとばし数" localSheetId="9">りくと!#REF!</definedName>
    <definedName name="ふっとばし数" localSheetId="15">れんたろう!#REF!</definedName>
    <definedName name="ふっとばし数" localSheetId="5">全体!#REF!</definedName>
    <definedName name="ふっとばし数">Template1!#REF!</definedName>
    <definedName name="ふっとばし率" localSheetId="16">あさひ!#REF!</definedName>
    <definedName name="ふっとばし率" localSheetId="10">いっしー!#REF!</definedName>
    <definedName name="ふっとばし率" localSheetId="11">がくと!#REF!</definedName>
    <definedName name="ふっとばし率" localSheetId="7">かこたろう!#REF!</definedName>
    <definedName name="ふっとばし率" localSheetId="6">だいち!#REF!</definedName>
    <definedName name="ふっとばし率" localSheetId="12">たかの!#REF!</definedName>
    <definedName name="ふっとばし率" localSheetId="13">ただ!#REF!</definedName>
    <definedName name="ふっとばし率" localSheetId="8">ともき!#REF!</definedName>
    <definedName name="ふっとばし率" localSheetId="18">ぱぱ!#REF!</definedName>
    <definedName name="ふっとばし率" localSheetId="17">まっつん!#REF!</definedName>
    <definedName name="ふっとばし率" localSheetId="14">やがさき!#REF!</definedName>
    <definedName name="ふっとばし率" localSheetId="9">りくと!#REF!</definedName>
    <definedName name="ふっとばし率" localSheetId="15">れんたろう!#REF!</definedName>
    <definedName name="ふっとばし率" localSheetId="5">全体!#REF!</definedName>
    <definedName name="ふっとばし率">Template1!#REF!</definedName>
    <definedName name="ふっとび数" localSheetId="16">あさひ!$B$14</definedName>
    <definedName name="ふっとび数" localSheetId="10">いっしー!$B$14</definedName>
    <definedName name="ふっとび数" localSheetId="11">がくと!$B$14</definedName>
    <definedName name="ふっとび数" localSheetId="7">かこたろう!$B$14</definedName>
    <definedName name="ふっとび数" localSheetId="6">だいち!$B$14</definedName>
    <definedName name="ふっとび数" localSheetId="12">たかの!$B$14</definedName>
    <definedName name="ふっとび数" localSheetId="13">ただ!$B$14</definedName>
    <definedName name="ふっとび数" localSheetId="8">ともき!$B$14</definedName>
    <definedName name="ふっとび数" localSheetId="18">ぱぱ!$B$14</definedName>
    <definedName name="ふっとび数" localSheetId="17">まっつん!$B$14</definedName>
    <definedName name="ふっとび数" localSheetId="14">やがさき!$B$14</definedName>
    <definedName name="ふっとび数" localSheetId="9">りくと!$B$14</definedName>
    <definedName name="ふっとび数" localSheetId="15">れんたろう!$B$14</definedName>
    <definedName name="ふっとび数" localSheetId="5">全体!$B$14</definedName>
    <definedName name="ふっとび数">Template1!$B$14</definedName>
    <definedName name="ふっとび率" localSheetId="16">あさひ!$C$14</definedName>
    <definedName name="ふっとび率" localSheetId="10">いっしー!$C$14</definedName>
    <definedName name="ふっとび率" localSheetId="11">がくと!$C$14</definedName>
    <definedName name="ふっとび率" localSheetId="7">かこたろう!$C$14</definedName>
    <definedName name="ふっとび率" localSheetId="6">だいち!$C$14</definedName>
    <definedName name="ふっとび率" localSheetId="12">たかの!$C$14</definedName>
    <definedName name="ふっとび率" localSheetId="13">ただ!$C$14</definedName>
    <definedName name="ふっとび率" localSheetId="8">ともき!$C$14</definedName>
    <definedName name="ふっとび率" localSheetId="18">ぱぱ!$C$14</definedName>
    <definedName name="ふっとび率" localSheetId="17">まっつん!$C$14</definedName>
    <definedName name="ふっとび率" localSheetId="14">やがさき!$C$14</definedName>
    <definedName name="ふっとび率" localSheetId="9">りくと!$C$14</definedName>
    <definedName name="ふっとび率" localSheetId="15">れんたろう!$C$14</definedName>
    <definedName name="ふっとび率" localSheetId="5">全体!$C$14</definedName>
    <definedName name="ふっとび率">Template1!$C$14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あさひ!$B$23</definedName>
    <definedName name="リーチアガリ数" localSheetId="10">いっしー!$B$23</definedName>
    <definedName name="リーチアガリ数" localSheetId="11">がくと!$B$23</definedName>
    <definedName name="リーチアガリ数" localSheetId="7">かこたろう!$B$23</definedName>
    <definedName name="リーチアガリ数" localSheetId="6">だいち!$B$23</definedName>
    <definedName name="リーチアガリ数" localSheetId="12">たかの!$B$23</definedName>
    <definedName name="リーチアガリ数" localSheetId="13">ただ!$B$23</definedName>
    <definedName name="リーチアガリ数" localSheetId="8">ともき!$B$23</definedName>
    <definedName name="リーチアガリ数" localSheetId="18">ぱぱ!$B$23</definedName>
    <definedName name="リーチアガリ数" localSheetId="17">まっつん!$B$23</definedName>
    <definedName name="リーチアガリ数" localSheetId="14">やがさき!$B$23</definedName>
    <definedName name="リーチアガリ数" localSheetId="9">りくと!$B$23</definedName>
    <definedName name="リーチアガリ数" localSheetId="15">れんたろう!$B$23</definedName>
    <definedName name="リーチアガリ数" localSheetId="5">全体!$B$23</definedName>
    <definedName name="リーチアガリ数">Template1!$B$23</definedName>
    <definedName name="リーチアガリ率" localSheetId="16">あさひ!$C$23</definedName>
    <definedName name="リーチアガリ率" localSheetId="10">いっしー!$C$23</definedName>
    <definedName name="リーチアガリ率" localSheetId="11">がくと!$C$23</definedName>
    <definedName name="リーチアガリ率" localSheetId="7">かこたろう!$C$23</definedName>
    <definedName name="リーチアガリ率" localSheetId="6">だいち!$C$23</definedName>
    <definedName name="リーチアガリ率" localSheetId="12">たかの!$C$23</definedName>
    <definedName name="リーチアガリ率" localSheetId="13">ただ!$C$23</definedName>
    <definedName name="リーチアガリ率" localSheetId="8">ともき!$C$23</definedName>
    <definedName name="リーチアガリ率" localSheetId="18">ぱぱ!$C$23</definedName>
    <definedName name="リーチアガリ率" localSheetId="17">まっつん!$C$23</definedName>
    <definedName name="リーチアガリ率" localSheetId="14">やがさき!$C$23</definedName>
    <definedName name="リーチアガリ率" localSheetId="9">りくと!$C$23</definedName>
    <definedName name="リーチアガリ率" localSheetId="15">れんたろう!$C$23</definedName>
    <definedName name="リーチアガリ率" localSheetId="5">全体!$C$23</definedName>
    <definedName name="リーチアガリ率">Template1!$C$23</definedName>
    <definedName name="リーチ数" localSheetId="16">あさひ!$B$15</definedName>
    <definedName name="リーチ数" localSheetId="10">いっしー!$B$15</definedName>
    <definedName name="リーチ数" localSheetId="11">がくと!$B$15</definedName>
    <definedName name="リーチ数" localSheetId="7">かこたろう!$B$15</definedName>
    <definedName name="リーチ数" localSheetId="6">だいち!$B$15</definedName>
    <definedName name="リーチ数" localSheetId="12">たかの!$B$15</definedName>
    <definedName name="リーチ数" localSheetId="13">ただ!$B$15</definedName>
    <definedName name="リーチ数" localSheetId="8">ともき!$B$15</definedName>
    <definedName name="リーチ数" localSheetId="18">ぱぱ!$B$15</definedName>
    <definedName name="リーチ数" localSheetId="17">まっつん!$B$15</definedName>
    <definedName name="リーチ数" localSheetId="14">やがさき!$B$15</definedName>
    <definedName name="リーチ数" localSheetId="9">りくと!$B$15</definedName>
    <definedName name="リーチ数" localSheetId="15">れんたろう!$B$15</definedName>
    <definedName name="リーチ数" localSheetId="5">全体!$B$15</definedName>
    <definedName name="リーチ数">Template1!$B$15</definedName>
    <definedName name="リーチ成功数" localSheetId="16">あさひ!$B$17</definedName>
    <definedName name="リーチ成功数" localSheetId="10">いっしー!$B$17</definedName>
    <definedName name="リーチ成功数" localSheetId="11">がくと!$B$17</definedName>
    <definedName name="リーチ成功数" localSheetId="7">かこたろう!$B$17</definedName>
    <definedName name="リーチ成功数" localSheetId="6">だいち!$B$17</definedName>
    <definedName name="リーチ成功数" localSheetId="12">たかの!$B$17</definedName>
    <definedName name="リーチ成功数" localSheetId="13">ただ!$B$17</definedName>
    <definedName name="リーチ成功数" localSheetId="8">ともき!$B$17</definedName>
    <definedName name="リーチ成功数" localSheetId="18">ぱぱ!$B$17</definedName>
    <definedName name="リーチ成功数" localSheetId="17">まっつん!$B$17</definedName>
    <definedName name="リーチ成功数" localSheetId="14">やがさき!$B$17</definedName>
    <definedName name="リーチ成功数" localSheetId="9">りくと!$B$17</definedName>
    <definedName name="リーチ成功数" localSheetId="15">れんたろう!$B$17</definedName>
    <definedName name="リーチ成功数" localSheetId="5">全体!$B$17</definedName>
    <definedName name="リーチ成功数">Template1!$B$17</definedName>
    <definedName name="リーチ成功率" localSheetId="16">あさひ!$C$17</definedName>
    <definedName name="リーチ成功率" localSheetId="10">いっしー!$C$17</definedName>
    <definedName name="リーチ成功率" localSheetId="11">がくと!$C$17</definedName>
    <definedName name="リーチ成功率" localSheetId="7">かこたろう!$C$17</definedName>
    <definedName name="リーチ成功率" localSheetId="6">だいち!$C$17</definedName>
    <definedName name="リーチ成功率" localSheetId="12">たかの!$C$17</definedName>
    <definedName name="リーチ成功率" localSheetId="13">ただ!$C$17</definedName>
    <definedName name="リーチ成功率" localSheetId="8">ともき!$C$17</definedName>
    <definedName name="リーチ成功率" localSheetId="18">ぱぱ!$C$17</definedName>
    <definedName name="リーチ成功率" localSheetId="17">まっつん!$C$17</definedName>
    <definedName name="リーチ成功率" localSheetId="14">やがさき!$C$17</definedName>
    <definedName name="リーチ成功率" localSheetId="9">りくと!$C$17</definedName>
    <definedName name="リーチ成功率" localSheetId="15">れんたろう!$C$17</definedName>
    <definedName name="リーチ成功率" localSheetId="5">全体!$C$17</definedName>
    <definedName name="リーチ成功率">Template1!$C$17</definedName>
    <definedName name="リーチ率" localSheetId="16">あさひ!$C$15</definedName>
    <definedName name="リーチ率" localSheetId="10">いっしー!$C$15</definedName>
    <definedName name="リーチ率" localSheetId="11">がくと!$C$15</definedName>
    <definedName name="リーチ率" localSheetId="7">かこたろう!$C$15</definedName>
    <definedName name="リーチ率" localSheetId="6">だいち!$C$15</definedName>
    <definedName name="リーチ率" localSheetId="12">たかの!$C$15</definedName>
    <definedName name="リーチ率" localSheetId="13">ただ!$C$15</definedName>
    <definedName name="リーチ率" localSheetId="8">ともき!$C$15</definedName>
    <definedName name="リーチ率" localSheetId="18">ぱぱ!$C$15</definedName>
    <definedName name="リーチ率" localSheetId="17">まっつん!$C$15</definedName>
    <definedName name="リーチ率" localSheetId="14">やがさき!$C$15</definedName>
    <definedName name="リーチ率" localSheetId="9">りくと!$C$15</definedName>
    <definedName name="リーチ率" localSheetId="15">れんたろう!$C$15</definedName>
    <definedName name="リーチ率" localSheetId="5">全体!$C$15</definedName>
    <definedName name="リーチ率">Template1!$C$15</definedName>
    <definedName name="ロン数" localSheetId="16">あさひ!$B$22</definedName>
    <definedName name="ロン数" localSheetId="10">いっしー!$B$22</definedName>
    <definedName name="ロン数" localSheetId="11">がくと!$B$22</definedName>
    <definedName name="ロン数" localSheetId="7">かこたろう!$B$22</definedName>
    <definedName name="ロン数" localSheetId="6">だいち!$B$22</definedName>
    <definedName name="ロン数" localSheetId="12">たかの!$B$22</definedName>
    <definedName name="ロン数" localSheetId="13">ただ!$B$22</definedName>
    <definedName name="ロン数" localSheetId="8">ともき!$B$22</definedName>
    <definedName name="ロン数" localSheetId="18">ぱぱ!$B$22</definedName>
    <definedName name="ロン数" localSheetId="17">まっつん!$B$22</definedName>
    <definedName name="ロン数" localSheetId="14">やがさき!$B$22</definedName>
    <definedName name="ロン数" localSheetId="9">りくと!$B$22</definedName>
    <definedName name="ロン数" localSheetId="15">れんたろう!$B$22</definedName>
    <definedName name="ロン数" localSheetId="5">全体!$B$22</definedName>
    <definedName name="ロン数">Template1!$B$22</definedName>
    <definedName name="ロン率" localSheetId="16">あさひ!$C$22</definedName>
    <definedName name="ロン率" localSheetId="10">いっしー!$C$22</definedName>
    <definedName name="ロン率" localSheetId="11">がくと!$C$22</definedName>
    <definedName name="ロン率" localSheetId="7">かこたろう!$C$22</definedName>
    <definedName name="ロン率" localSheetId="6">だいち!$C$22</definedName>
    <definedName name="ロン率" localSheetId="12">たかの!$C$22</definedName>
    <definedName name="ロン率" localSheetId="13">ただ!$C$22</definedName>
    <definedName name="ロン率" localSheetId="8">ともき!$C$22</definedName>
    <definedName name="ロン率" localSheetId="18">ぱぱ!$C$22</definedName>
    <definedName name="ロン率" localSheetId="17">まっつん!$C$22</definedName>
    <definedName name="ロン率" localSheetId="14">やがさき!$C$22</definedName>
    <definedName name="ロン率" localSheetId="9">りくと!$C$22</definedName>
    <definedName name="ロン率" localSheetId="15">れんたろう!$C$22</definedName>
    <definedName name="ロン率" localSheetId="5">全体!$C$22</definedName>
    <definedName name="ロン率">Template1!$C$22</definedName>
    <definedName name="一位スコア" localSheetId="16">あさひ!$B$10</definedName>
    <definedName name="一位スコア" localSheetId="10">いっしー!$B$10</definedName>
    <definedName name="一位スコア" localSheetId="11">がくと!$B$10</definedName>
    <definedName name="一位スコア" localSheetId="7">かこたろう!$B$10</definedName>
    <definedName name="一位スコア" localSheetId="6">だいち!$B$10</definedName>
    <definedName name="一位スコア" localSheetId="12">たかの!$B$10</definedName>
    <definedName name="一位スコア" localSheetId="13">ただ!$B$10</definedName>
    <definedName name="一位スコア" localSheetId="8">ともき!$B$10</definedName>
    <definedName name="一位スコア" localSheetId="18">ぱぱ!$B$10</definedName>
    <definedName name="一位スコア" localSheetId="17">まっつん!$B$10</definedName>
    <definedName name="一位スコア" localSheetId="14">やがさき!$B$10</definedName>
    <definedName name="一位スコア" localSheetId="9">りくと!$B$10</definedName>
    <definedName name="一位スコア" localSheetId="15">れんたろう!$B$10</definedName>
    <definedName name="一位スコア" localSheetId="5">全体!$B$10</definedName>
    <definedName name="一位スコア">Template1!$B$10</definedName>
    <definedName name="一位通算スコア" localSheetId="16">あさひ!$C$10</definedName>
    <definedName name="一位通算スコア" localSheetId="10">いっしー!$C$10</definedName>
    <definedName name="一位通算スコア" localSheetId="11">がくと!$C$10</definedName>
    <definedName name="一位通算スコア" localSheetId="7">かこたろう!$C$10</definedName>
    <definedName name="一位通算スコア" localSheetId="6">だいち!$C$10</definedName>
    <definedName name="一位通算スコア" localSheetId="12">たかの!$C$10</definedName>
    <definedName name="一位通算スコア" localSheetId="13">ただ!$C$10</definedName>
    <definedName name="一位通算スコア" localSheetId="8">ともき!$C$10</definedName>
    <definedName name="一位通算スコア" localSheetId="18">ぱぱ!$C$10</definedName>
    <definedName name="一位通算スコア" localSheetId="17">まっつん!$C$10</definedName>
    <definedName name="一位通算スコア" localSheetId="14">やがさき!$C$10</definedName>
    <definedName name="一位通算スコア" localSheetId="9">りくと!$C$10</definedName>
    <definedName name="一位通算スコア" localSheetId="15">れんたろう!$C$10</definedName>
    <definedName name="一位通算スコア" localSheetId="5">全体!$C$10</definedName>
    <definedName name="一位通算スコア">Template1!$C$10</definedName>
    <definedName name="一翻数" localSheetId="16">あさひ!$B$36</definedName>
    <definedName name="一翻数" localSheetId="10">いっしー!$B$36</definedName>
    <definedName name="一翻数" localSheetId="11">がくと!$B$36</definedName>
    <definedName name="一翻数" localSheetId="7">かこたろう!$B$36</definedName>
    <definedName name="一翻数" localSheetId="6">だいち!$B$36</definedName>
    <definedName name="一翻数" localSheetId="12">たかの!$B$36</definedName>
    <definedName name="一翻数" localSheetId="13">ただ!$B$36</definedName>
    <definedName name="一翻数" localSheetId="8">ともき!$B$36</definedName>
    <definedName name="一翻数" localSheetId="18">ぱぱ!$B$36</definedName>
    <definedName name="一翻数" localSheetId="17">まっつん!$B$36</definedName>
    <definedName name="一翻数" localSheetId="14">やがさき!$B$36</definedName>
    <definedName name="一翻数" localSheetId="9">りくと!$B$36</definedName>
    <definedName name="一翻数" localSheetId="15">れんたろう!$B$36</definedName>
    <definedName name="一翻数" localSheetId="5">全体!$B$36</definedName>
    <definedName name="一翻数">Template1!$B$36</definedName>
    <definedName name="一翻率" localSheetId="16">あさひ!$C$36</definedName>
    <definedName name="一翻率" localSheetId="10">いっしー!$C$36</definedName>
    <definedName name="一翻率" localSheetId="11">がくと!$C$36</definedName>
    <definedName name="一翻率" localSheetId="7">かこたろう!$C$36</definedName>
    <definedName name="一翻率" localSheetId="6">だいち!$C$36</definedName>
    <definedName name="一翻率" localSheetId="12">たかの!$C$36</definedName>
    <definedName name="一翻率" localSheetId="13">ただ!$C$36</definedName>
    <definedName name="一翻率" localSheetId="8">ともき!$C$36</definedName>
    <definedName name="一翻率" localSheetId="18">ぱぱ!$C$36</definedName>
    <definedName name="一翻率" localSheetId="17">まっつん!$C$36</definedName>
    <definedName name="一翻率" localSheetId="14">やがさき!$C$36</definedName>
    <definedName name="一翻率" localSheetId="9">りくと!$C$36</definedName>
    <definedName name="一翻率" localSheetId="15">れんたろう!$C$36</definedName>
    <definedName name="一翻率" localSheetId="5">全体!$C$36</definedName>
    <definedName name="一翻率">Template1!$C$36</definedName>
    <definedName name="逆転数" localSheetId="16">あさひ!#REF!</definedName>
    <definedName name="逆転数" localSheetId="10">いっしー!#REF!</definedName>
    <definedName name="逆転数" localSheetId="11">がくと!#REF!</definedName>
    <definedName name="逆転数" localSheetId="7">かこたろう!#REF!</definedName>
    <definedName name="逆転数" localSheetId="6">だいち!#REF!</definedName>
    <definedName name="逆転数" localSheetId="12">たかの!#REF!</definedName>
    <definedName name="逆転数" localSheetId="13">ただ!#REF!</definedName>
    <definedName name="逆転数" localSheetId="8">ともき!#REF!</definedName>
    <definedName name="逆転数" localSheetId="18">ぱぱ!#REF!</definedName>
    <definedName name="逆転数" localSheetId="17">まっつん!#REF!</definedName>
    <definedName name="逆転数" localSheetId="14">やがさき!#REF!</definedName>
    <definedName name="逆転数" localSheetId="9">りくと!#REF!</definedName>
    <definedName name="逆転数" localSheetId="15">れんたろう!#REF!</definedName>
    <definedName name="逆転数" localSheetId="5">全体!#REF!</definedName>
    <definedName name="逆転数">Template1!#REF!</definedName>
    <definedName name="逆転率" localSheetId="16">あさひ!#REF!</definedName>
    <definedName name="逆転率" localSheetId="10">いっしー!#REF!</definedName>
    <definedName name="逆転率" localSheetId="11">がくと!#REF!</definedName>
    <definedName name="逆転率" localSheetId="7">かこたろう!#REF!</definedName>
    <definedName name="逆転率" localSheetId="6">だいち!#REF!</definedName>
    <definedName name="逆転率" localSheetId="12">たかの!#REF!</definedName>
    <definedName name="逆転率" localSheetId="13">ただ!#REF!</definedName>
    <definedName name="逆転率" localSheetId="8">ともき!#REF!</definedName>
    <definedName name="逆転率" localSheetId="18">ぱぱ!#REF!</definedName>
    <definedName name="逆転率" localSheetId="17">まっつん!#REF!</definedName>
    <definedName name="逆転率" localSheetId="14">やがさき!#REF!</definedName>
    <definedName name="逆転率" localSheetId="9">りくと!#REF!</definedName>
    <definedName name="逆転率" localSheetId="15">れんたろう!#REF!</definedName>
    <definedName name="逆転率" localSheetId="5">全体!#REF!</definedName>
    <definedName name="逆転率">Template1!#REF!</definedName>
    <definedName name="現行連続アガリ" localSheetId="16">あさひ!$C$30</definedName>
    <definedName name="現行連続アガリ" localSheetId="10">いっしー!$C$30</definedName>
    <definedName name="現行連続アガリ" localSheetId="11">がくと!$C$30</definedName>
    <definedName name="現行連続アガリ" localSheetId="7">かこたろう!$C$30</definedName>
    <definedName name="現行連続アガリ" localSheetId="6">だいち!$C$30</definedName>
    <definedName name="現行連続アガリ" localSheetId="12">たかの!$C$30</definedName>
    <definedName name="現行連続アガリ" localSheetId="13">ただ!$C$30</definedName>
    <definedName name="現行連続アガリ" localSheetId="8">ともき!$C$30</definedName>
    <definedName name="現行連続アガリ" localSheetId="18">ぱぱ!$C$30</definedName>
    <definedName name="現行連続アガリ" localSheetId="17">まっつん!$C$30</definedName>
    <definedName name="現行連続アガリ" localSheetId="14">やがさき!$C$30</definedName>
    <definedName name="現行連続アガリ" localSheetId="9">りくと!$C$30</definedName>
    <definedName name="現行連続アガリ" localSheetId="15">れんたろう!$C$30</definedName>
    <definedName name="現行連続アガリ" localSheetId="5">全体!$C$30</definedName>
    <definedName name="現行連続アガリ">Template1!$C$30</definedName>
    <definedName name="現行連続無放銃" localSheetId="16">あさひ!$C$31</definedName>
    <definedName name="現行連続無放銃" localSheetId="10">いっしー!$C$31</definedName>
    <definedName name="現行連続無放銃" localSheetId="11">がくと!$C$31</definedName>
    <definedName name="現行連続無放銃" localSheetId="7">かこたろう!$C$31</definedName>
    <definedName name="現行連続無放銃" localSheetId="6">だいち!$C$31</definedName>
    <definedName name="現行連続無放銃" localSheetId="12">たかの!$C$31</definedName>
    <definedName name="現行連続無放銃" localSheetId="13">ただ!$C$31</definedName>
    <definedName name="現行連続無放銃" localSheetId="8">ともき!$C$31</definedName>
    <definedName name="現行連続無放銃" localSheetId="18">ぱぱ!$C$31</definedName>
    <definedName name="現行連続無放銃" localSheetId="17">まっつん!$C$31</definedName>
    <definedName name="現行連続無放銃" localSheetId="14">やがさき!$C$31</definedName>
    <definedName name="現行連続無放銃" localSheetId="9">りくと!$C$31</definedName>
    <definedName name="現行連続無放銃" localSheetId="15">れんたろう!$C$31</definedName>
    <definedName name="現行連続無放銃" localSheetId="5">全体!$C$31</definedName>
    <definedName name="現行連続無放銃">Template1!$C$31</definedName>
    <definedName name="最高点" localSheetId="16">あさひ!$B$33</definedName>
    <definedName name="最高点" localSheetId="10">いっしー!$B$33</definedName>
    <definedName name="最高点" localSheetId="11">がくと!$B$33</definedName>
    <definedName name="最高点" localSheetId="7">かこたろう!$B$33</definedName>
    <definedName name="最高点" localSheetId="6">だいち!$B$33</definedName>
    <definedName name="最高点" localSheetId="12">たかの!$B$33</definedName>
    <definedName name="最高点" localSheetId="13">ただ!$B$33</definedName>
    <definedName name="最高点" localSheetId="8">ともき!$B$33</definedName>
    <definedName name="最高点" localSheetId="18">ぱぱ!$B$33</definedName>
    <definedName name="最高点" localSheetId="17">まっつん!$B$33</definedName>
    <definedName name="最高点" localSheetId="14">やがさき!$B$33</definedName>
    <definedName name="最高点" localSheetId="9">りくと!$B$33</definedName>
    <definedName name="最高点" localSheetId="15">れんたろう!$B$33</definedName>
    <definedName name="最高点" localSheetId="5">全体!$B$33</definedName>
    <definedName name="最高点">Template1!$B$33</definedName>
    <definedName name="最大ドラ数" localSheetId="16">あさひ!$B$32</definedName>
    <definedName name="最大ドラ数" localSheetId="10">いっしー!$B$32</definedName>
    <definedName name="最大ドラ数" localSheetId="11">がくと!$B$32</definedName>
    <definedName name="最大ドラ数" localSheetId="7">かこたろう!$B$32</definedName>
    <definedName name="最大ドラ数" localSheetId="6">だいち!$B$32</definedName>
    <definedName name="最大ドラ数" localSheetId="12">たかの!$B$32</definedName>
    <definedName name="最大ドラ数" localSheetId="13">ただ!$B$32</definedName>
    <definedName name="最大ドラ数" localSheetId="8">ともき!$B$32</definedName>
    <definedName name="最大ドラ数" localSheetId="18">ぱぱ!$B$32</definedName>
    <definedName name="最大ドラ数" localSheetId="17">まっつん!$B$32</definedName>
    <definedName name="最大ドラ数" localSheetId="14">やがさき!$B$32</definedName>
    <definedName name="最大ドラ数" localSheetId="9">りくと!$B$32</definedName>
    <definedName name="最大ドラ数" localSheetId="15">れんたろう!$B$32</definedName>
    <definedName name="最大ドラ数" localSheetId="5">全体!$B$32</definedName>
    <definedName name="最大ドラ数">Template1!$B$32</definedName>
    <definedName name="最大点数" localSheetId="16">あさひ!$B$33</definedName>
    <definedName name="最大点数" localSheetId="10">いっしー!$B$33</definedName>
    <definedName name="最大点数" localSheetId="11">がくと!$B$33</definedName>
    <definedName name="最大点数" localSheetId="7">かこたろう!$B$33</definedName>
    <definedName name="最大点数" localSheetId="6">だいち!$B$33</definedName>
    <definedName name="最大点数" localSheetId="12">たかの!$B$33</definedName>
    <definedName name="最大点数" localSheetId="13">ただ!$B$33</definedName>
    <definedName name="最大点数" localSheetId="8">ともき!$B$33</definedName>
    <definedName name="最大点数" localSheetId="18">ぱぱ!$B$33</definedName>
    <definedName name="最大点数" localSheetId="17">まっつん!$B$33</definedName>
    <definedName name="最大点数" localSheetId="14">やがさき!$B$33</definedName>
    <definedName name="最大点数" localSheetId="9">りくと!$B$33</definedName>
    <definedName name="最大点数" localSheetId="15">れんたろう!$B$33</definedName>
    <definedName name="最大点数" localSheetId="5">全体!$B$33</definedName>
    <definedName name="最大点数">Template1!$B$33</definedName>
    <definedName name="三位スコア" localSheetId="16">あさひ!$B$12</definedName>
    <definedName name="三位スコア" localSheetId="10">いっしー!$B$12</definedName>
    <definedName name="三位スコア" localSheetId="11">がくと!$B$12</definedName>
    <definedName name="三位スコア" localSheetId="7">かこたろう!$B$12</definedName>
    <definedName name="三位スコア" localSheetId="6">だいち!$B$12</definedName>
    <definedName name="三位スコア" localSheetId="12">たかの!$B$12</definedName>
    <definedName name="三位スコア" localSheetId="13">ただ!$B$12</definedName>
    <definedName name="三位スコア" localSheetId="8">ともき!$B$12</definedName>
    <definedName name="三位スコア" localSheetId="18">ぱぱ!$B$12</definedName>
    <definedName name="三位スコア" localSheetId="17">まっつん!$B$12</definedName>
    <definedName name="三位スコア" localSheetId="14">やがさき!$B$12</definedName>
    <definedName name="三位スコア" localSheetId="9">りくと!$B$12</definedName>
    <definedName name="三位スコア" localSheetId="15">れんたろう!$B$12</definedName>
    <definedName name="三位スコア" localSheetId="5">全体!$B$12</definedName>
    <definedName name="三位スコア">Template1!$B$12</definedName>
    <definedName name="三位通算スコア" localSheetId="16">あさひ!$C$12</definedName>
    <definedName name="三位通算スコア" localSheetId="10">いっしー!$C$12</definedName>
    <definedName name="三位通算スコア" localSheetId="11">がくと!$C$12</definedName>
    <definedName name="三位通算スコア" localSheetId="7">かこたろう!$C$12</definedName>
    <definedName name="三位通算スコア" localSheetId="6">だいち!$C$12</definedName>
    <definedName name="三位通算スコア" localSheetId="12">たかの!$C$12</definedName>
    <definedName name="三位通算スコア" localSheetId="13">ただ!$C$12</definedName>
    <definedName name="三位通算スコア" localSheetId="8">ともき!$C$12</definedName>
    <definedName name="三位通算スコア" localSheetId="18">ぱぱ!$C$12</definedName>
    <definedName name="三位通算スコア" localSheetId="17">まっつん!$C$12</definedName>
    <definedName name="三位通算スコア" localSheetId="14">やがさき!$C$12</definedName>
    <definedName name="三位通算スコア" localSheetId="9">りくと!$C$12</definedName>
    <definedName name="三位通算スコア" localSheetId="15">れんたろう!$C$12</definedName>
    <definedName name="三位通算スコア" localSheetId="5">全体!$C$12</definedName>
    <definedName name="三位通算スコア">Template1!$C$12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あさひ!$C$26</definedName>
    <definedName name="通算アガリ点" localSheetId="10">いっしー!$C$26</definedName>
    <definedName name="通算アガリ点" localSheetId="11">がくと!$C$26</definedName>
    <definedName name="通算アガリ点" localSheetId="7">かこたろう!$C$26</definedName>
    <definedName name="通算アガリ点" localSheetId="6">だいち!$C$26</definedName>
    <definedName name="通算アガリ点" localSheetId="12">たかの!$C$26</definedName>
    <definedName name="通算アガリ点" localSheetId="13">ただ!$C$26</definedName>
    <definedName name="通算アガリ点" localSheetId="8">ともき!$C$26</definedName>
    <definedName name="通算アガリ点" localSheetId="18">ぱぱ!$C$26</definedName>
    <definedName name="通算アガリ点" localSheetId="17">まっつん!$C$26</definedName>
    <definedName name="通算アガリ点" localSheetId="14">やがさき!$C$26</definedName>
    <definedName name="通算アガリ点" localSheetId="9">りくと!$C$26</definedName>
    <definedName name="通算アガリ点" localSheetId="15">れんたろう!$C$26</definedName>
    <definedName name="通算アガリ点" localSheetId="5">全体!$C$26</definedName>
    <definedName name="通算アガリ点">Template1!$C$26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あさひ!$C$28</definedName>
    <definedName name="通算副露アガリ点" localSheetId="10">いっしー!$C$28</definedName>
    <definedName name="通算副露アガリ点" localSheetId="11">がくと!$C$28</definedName>
    <definedName name="通算副露アガリ点" localSheetId="7">かこたろう!$C$28</definedName>
    <definedName name="通算副露アガリ点" localSheetId="6">だいち!$C$28</definedName>
    <definedName name="通算副露アガリ点" localSheetId="12">たかの!$C$28</definedName>
    <definedName name="通算副露アガリ点" localSheetId="13">ただ!$C$28</definedName>
    <definedName name="通算副露アガリ点" localSheetId="8">ともき!$C$28</definedName>
    <definedName name="通算副露アガリ点" localSheetId="18">ぱぱ!$C$28</definedName>
    <definedName name="通算副露アガリ点" localSheetId="17">まっつん!$C$28</definedName>
    <definedName name="通算副露アガリ点" localSheetId="14">やがさき!$C$28</definedName>
    <definedName name="通算副露アガリ点" localSheetId="9">りくと!$C$28</definedName>
    <definedName name="通算副露アガリ点" localSheetId="15">れんたろう!$C$28</definedName>
    <definedName name="通算副露アガリ点" localSheetId="5">全体!$C$28</definedName>
    <definedName name="通算副露アガリ点">Template1!$C$28</definedName>
    <definedName name="通算放銃点" localSheetId="16">あさひ!$C$29</definedName>
    <definedName name="通算放銃点" localSheetId="10">いっしー!$C$29</definedName>
    <definedName name="通算放銃点" localSheetId="11">がくと!$C$29</definedName>
    <definedName name="通算放銃点" localSheetId="7">かこたろう!$C$29</definedName>
    <definedName name="通算放銃点" localSheetId="6">だいち!$C$29</definedName>
    <definedName name="通算放銃点" localSheetId="12">たかの!$C$29</definedName>
    <definedName name="通算放銃点" localSheetId="13">ただ!$C$29</definedName>
    <definedName name="通算放銃点" localSheetId="8">ともき!$C$29</definedName>
    <definedName name="通算放銃点" localSheetId="18">ぱぱ!$C$29</definedName>
    <definedName name="通算放銃点" localSheetId="17">まっつん!$C$29</definedName>
    <definedName name="通算放銃点" localSheetId="14">やがさき!$C$29</definedName>
    <definedName name="通算放銃点" localSheetId="9">りくと!$C$29</definedName>
    <definedName name="通算放銃点" localSheetId="15">れんたろう!$C$29</definedName>
    <definedName name="通算放銃点" localSheetId="5">全体!$C$29</definedName>
    <definedName name="通算放銃点">Template1!$C$29</definedName>
    <definedName name="通算門前アガリ点" localSheetId="16">あさひ!$C$27</definedName>
    <definedName name="通算門前アガリ点" localSheetId="10">いっしー!$C$27</definedName>
    <definedName name="通算門前アガリ点" localSheetId="11">がくと!$C$27</definedName>
    <definedName name="通算門前アガリ点" localSheetId="7">かこたろう!$C$27</definedName>
    <definedName name="通算門前アガリ点" localSheetId="6">だいち!$C$27</definedName>
    <definedName name="通算門前アガリ点" localSheetId="12">たかの!$C$27</definedName>
    <definedName name="通算門前アガリ点" localSheetId="13">ただ!$C$27</definedName>
    <definedName name="通算門前アガリ点" localSheetId="8">ともき!$C$27</definedName>
    <definedName name="通算門前アガリ点" localSheetId="18">ぱぱ!$C$27</definedName>
    <definedName name="通算門前アガリ点" localSheetId="17">まっつん!$C$27</definedName>
    <definedName name="通算門前アガリ点" localSheetId="14">やがさき!$C$27</definedName>
    <definedName name="通算門前アガリ点" localSheetId="9">りくと!$C$27</definedName>
    <definedName name="通算門前アガリ点" localSheetId="15">れんたろう!$C$27</definedName>
    <definedName name="通算門前アガリ点" localSheetId="5">全体!$C$27</definedName>
    <definedName name="通算門前アガリ点">Template1!$C$27</definedName>
    <definedName name="二位スコア" localSheetId="16">あさひ!$B$11</definedName>
    <definedName name="二位スコア" localSheetId="10">いっしー!$B$11</definedName>
    <definedName name="二位スコア" localSheetId="11">がくと!$B$11</definedName>
    <definedName name="二位スコア" localSheetId="7">かこたろう!$B$11</definedName>
    <definedName name="二位スコア" localSheetId="6">だいち!$B$11</definedName>
    <definedName name="二位スコア" localSheetId="12">たかの!$B$11</definedName>
    <definedName name="二位スコア" localSheetId="13">ただ!$B$11</definedName>
    <definedName name="二位スコア" localSheetId="8">ともき!$B$11</definedName>
    <definedName name="二位スコア" localSheetId="18">ぱぱ!$B$11</definedName>
    <definedName name="二位スコア" localSheetId="17">まっつん!$B$11</definedName>
    <definedName name="二位スコア" localSheetId="14">やがさき!$B$11</definedName>
    <definedName name="二位スコア" localSheetId="9">りくと!$B$11</definedName>
    <definedName name="二位スコア" localSheetId="15">れんたろう!$B$11</definedName>
    <definedName name="二位スコア" localSheetId="5">全体!$B$11</definedName>
    <definedName name="二位スコア">Template1!$B$11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通算スコア" localSheetId="16">あさひ!$C$11</definedName>
    <definedName name="二位通算スコア" localSheetId="10">いっしー!$C$11</definedName>
    <definedName name="二位通算スコア" localSheetId="11">がくと!$C$11</definedName>
    <definedName name="二位通算スコア" localSheetId="7">かこたろう!$C$11</definedName>
    <definedName name="二位通算スコア" localSheetId="6">だいち!$C$11</definedName>
    <definedName name="二位通算スコア" localSheetId="12">たかの!$C$11</definedName>
    <definedName name="二位通算スコア" localSheetId="13">ただ!$C$11</definedName>
    <definedName name="二位通算スコア" localSheetId="8">ともき!$C$11</definedName>
    <definedName name="二位通算スコア" localSheetId="18">ぱぱ!$C$11</definedName>
    <definedName name="二位通算スコア" localSheetId="17">まっつん!$C$11</definedName>
    <definedName name="二位通算スコア" localSheetId="14">やがさき!$C$11</definedName>
    <definedName name="二位通算スコア" localSheetId="9">りくと!$C$11</definedName>
    <definedName name="二位通算スコア" localSheetId="15">れんたろう!$C$11</definedName>
    <definedName name="二位通算スコア" localSheetId="5">全体!$C$11</definedName>
    <definedName name="二位通算スコア">Template1!$C$11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あさひ!$B$24</definedName>
    <definedName name="副露アガリ数" localSheetId="10">いっしー!$B$24</definedName>
    <definedName name="副露アガリ数" localSheetId="11">がくと!$B$24</definedName>
    <definedName name="副露アガリ数" localSheetId="7">かこたろう!$B$24</definedName>
    <definedName name="副露アガリ数" localSheetId="6">だいち!$B$24</definedName>
    <definedName name="副露アガリ数" localSheetId="12">たかの!$B$24</definedName>
    <definedName name="副露アガリ数" localSheetId="13">ただ!$B$24</definedName>
    <definedName name="副露アガリ数" localSheetId="8">ともき!$B$24</definedName>
    <definedName name="副露アガリ数" localSheetId="18">ぱぱ!$B$24</definedName>
    <definedName name="副露アガリ数" localSheetId="17">まっつん!$B$24</definedName>
    <definedName name="副露アガリ数" localSheetId="14">やがさき!$B$24</definedName>
    <definedName name="副露アガリ数" localSheetId="9">りくと!$B$24</definedName>
    <definedName name="副露アガリ数" localSheetId="15">れんたろう!$B$24</definedName>
    <definedName name="副露アガリ数" localSheetId="5">全体!$B$24</definedName>
    <definedName name="副露アガリ数">Template1!$B$24</definedName>
    <definedName name="副露アガリ点" localSheetId="16">あさひ!$B$28</definedName>
    <definedName name="副露アガリ点" localSheetId="10">いっしー!$B$28</definedName>
    <definedName name="副露アガリ点" localSheetId="11">がくと!$B$28</definedName>
    <definedName name="副露アガリ点" localSheetId="7">かこたろう!$B$28</definedName>
    <definedName name="副露アガリ点" localSheetId="6">だいち!$B$28</definedName>
    <definedName name="副露アガリ点" localSheetId="12">たかの!$B$28</definedName>
    <definedName name="副露アガリ点" localSheetId="13">ただ!$B$28</definedName>
    <definedName name="副露アガリ点" localSheetId="8">ともき!$B$28</definedName>
    <definedName name="副露アガリ点" localSheetId="18">ぱぱ!$B$28</definedName>
    <definedName name="副露アガリ点" localSheetId="17">まっつん!$B$28</definedName>
    <definedName name="副露アガリ点" localSheetId="14">やがさき!$B$28</definedName>
    <definedName name="副露アガリ点" localSheetId="9">りくと!$B$28</definedName>
    <definedName name="副露アガリ点" localSheetId="15">れんたろう!$B$28</definedName>
    <definedName name="副露アガリ点" localSheetId="5">全体!$B$28</definedName>
    <definedName name="副露アガリ点">Template1!$B$28</definedName>
    <definedName name="副露アガリ率" localSheetId="16">あさひ!$C$24</definedName>
    <definedName name="副露アガリ率" localSheetId="10">いっしー!$C$24</definedName>
    <definedName name="副露アガリ率" localSheetId="11">がくと!$C$24</definedName>
    <definedName name="副露アガリ率" localSheetId="7">かこたろう!$C$24</definedName>
    <definedName name="副露アガリ率" localSheetId="6">だいち!$C$24</definedName>
    <definedName name="副露アガリ率" localSheetId="12">たかの!$C$24</definedName>
    <definedName name="副露アガリ率" localSheetId="13">ただ!$C$24</definedName>
    <definedName name="副露アガリ率" localSheetId="8">ともき!$C$24</definedName>
    <definedName name="副露アガリ率" localSheetId="18">ぱぱ!$C$24</definedName>
    <definedName name="副露アガリ率" localSheetId="17">まっつん!$C$24</definedName>
    <definedName name="副露アガリ率" localSheetId="14">やがさき!$C$24</definedName>
    <definedName name="副露アガリ率" localSheetId="9">りくと!$C$24</definedName>
    <definedName name="副露アガリ率" localSheetId="15">れんたろう!$C$24</definedName>
    <definedName name="副露アガリ率" localSheetId="5">全体!$C$24</definedName>
    <definedName name="副露アガリ率">Template1!$C$24</definedName>
    <definedName name="副露数" localSheetId="16">あさひ!$B$16</definedName>
    <definedName name="副露数" localSheetId="10">いっしー!$B$16</definedName>
    <definedName name="副露数" localSheetId="11">がくと!$B$16</definedName>
    <definedName name="副露数" localSheetId="7">かこたろう!$B$16</definedName>
    <definedName name="副露数" localSheetId="6">だいち!$B$16</definedName>
    <definedName name="副露数" localSheetId="12">たかの!$B$16</definedName>
    <definedName name="副露数" localSheetId="13">ただ!$B$16</definedName>
    <definedName name="副露数" localSheetId="8">ともき!$B$16</definedName>
    <definedName name="副露数" localSheetId="18">ぱぱ!$B$16</definedName>
    <definedName name="副露数" localSheetId="17">まっつん!$B$16</definedName>
    <definedName name="副露数" localSheetId="14">やがさき!$B$16</definedName>
    <definedName name="副露数" localSheetId="9">りくと!$B$16</definedName>
    <definedName name="副露数" localSheetId="15">れんたろう!$B$16</definedName>
    <definedName name="副露数" localSheetId="5">全体!$B$16</definedName>
    <definedName name="副露数">Template1!$B$16</definedName>
    <definedName name="副露成功数" localSheetId="16">あさひ!$B$18</definedName>
    <definedName name="副露成功数" localSheetId="10">いっしー!$B$18</definedName>
    <definedName name="副露成功数" localSheetId="11">がくと!$B$18</definedName>
    <definedName name="副露成功数" localSheetId="7">かこたろう!$B$18</definedName>
    <definedName name="副露成功数" localSheetId="6">だいち!$B$18</definedName>
    <definedName name="副露成功数" localSheetId="12">たかの!$B$18</definedName>
    <definedName name="副露成功数" localSheetId="13">ただ!$B$18</definedName>
    <definedName name="副露成功数" localSheetId="8">ともき!$B$18</definedName>
    <definedName name="副露成功数" localSheetId="18">ぱぱ!$B$18</definedName>
    <definedName name="副露成功数" localSheetId="17">まっつん!$B$18</definedName>
    <definedName name="副露成功数" localSheetId="14">やがさき!$B$18</definedName>
    <definedName name="副露成功数" localSheetId="9">りくと!$B$18</definedName>
    <definedName name="副露成功数" localSheetId="15">れんたろう!$B$18</definedName>
    <definedName name="副露成功数" localSheetId="5">全体!$B$18</definedName>
    <definedName name="副露成功数">Template1!$B$18</definedName>
    <definedName name="副露成功率" localSheetId="16">あさひ!$C$18</definedName>
    <definedName name="副露成功率" localSheetId="10">いっしー!$C$18</definedName>
    <definedName name="副露成功率" localSheetId="11">がくと!$C$18</definedName>
    <definedName name="副露成功率" localSheetId="7">かこたろう!$C$18</definedName>
    <definedName name="副露成功率" localSheetId="6">だいち!$C$18</definedName>
    <definedName name="副露成功率" localSheetId="12">たかの!$C$18</definedName>
    <definedName name="副露成功率" localSheetId="13">ただ!$C$18</definedName>
    <definedName name="副露成功率" localSheetId="8">ともき!$C$18</definedName>
    <definedName name="副露成功率" localSheetId="18">ぱぱ!$C$18</definedName>
    <definedName name="副露成功率" localSheetId="17">まっつん!$C$18</definedName>
    <definedName name="副露成功率" localSheetId="14">やがさき!$C$18</definedName>
    <definedName name="副露成功率" localSheetId="9">りくと!$C$18</definedName>
    <definedName name="副露成功率" localSheetId="15">れんたろう!$C$18</definedName>
    <definedName name="副露成功率" localSheetId="5">全体!$C$18</definedName>
    <definedName name="副露成功率">Template1!$C$18</definedName>
    <definedName name="副露率" localSheetId="16">あさひ!$C$16</definedName>
    <definedName name="副露率" localSheetId="10">いっしー!$C$16</definedName>
    <definedName name="副露率" localSheetId="11">がくと!$C$16</definedName>
    <definedName name="副露率" localSheetId="7">かこたろう!$C$16</definedName>
    <definedName name="副露率" localSheetId="6">だいち!$C$16</definedName>
    <definedName name="副露率" localSheetId="12">たかの!$C$16</definedName>
    <definedName name="副露率" localSheetId="13">ただ!$C$16</definedName>
    <definedName name="副露率" localSheetId="8">ともき!$C$16</definedName>
    <definedName name="副露率" localSheetId="18">ぱぱ!$C$16</definedName>
    <definedName name="副露率" localSheetId="17">まっつん!$C$16</definedName>
    <definedName name="副露率" localSheetId="14">やがさき!$C$16</definedName>
    <definedName name="副露率" localSheetId="9">りくと!$C$16</definedName>
    <definedName name="副露率" localSheetId="15">れんたろう!$C$16</definedName>
    <definedName name="副露率" localSheetId="5">全体!$C$16</definedName>
    <definedName name="副露率">Template1!$C$16</definedName>
    <definedName name="平均アガリ点" localSheetId="16">あさひ!$B$26</definedName>
    <definedName name="平均アガリ点" localSheetId="10">いっしー!$B$26</definedName>
    <definedName name="平均アガリ点" localSheetId="11">がくと!$B$26</definedName>
    <definedName name="平均アガリ点" localSheetId="7">かこたろう!$B$26</definedName>
    <definedName name="平均アガリ点" localSheetId="6">だいち!$B$26</definedName>
    <definedName name="平均アガリ点" localSheetId="12">たかの!$B$26</definedName>
    <definedName name="平均アガリ点" localSheetId="13">ただ!$B$26</definedName>
    <definedName name="平均アガリ点" localSheetId="8">ともき!$B$26</definedName>
    <definedName name="平均アガリ点" localSheetId="18">ぱぱ!$B$26</definedName>
    <definedName name="平均アガリ点" localSheetId="17">まっつん!$B$26</definedName>
    <definedName name="平均アガリ点" localSheetId="14">やがさき!$B$26</definedName>
    <definedName name="平均アガリ点" localSheetId="9">りくと!$B$26</definedName>
    <definedName name="平均アガリ点" localSheetId="15">れんたろう!$B$26</definedName>
    <definedName name="平均アガリ点" localSheetId="5">全体!$B$26</definedName>
    <definedName name="平均アガリ点">Template1!$B$26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あさひ!$B$29</definedName>
    <definedName name="平均放銃点" localSheetId="10">いっしー!$B$29</definedName>
    <definedName name="平均放銃点" localSheetId="11">がくと!$B$29</definedName>
    <definedName name="平均放銃点" localSheetId="7">かこたろう!$B$29</definedName>
    <definedName name="平均放銃点" localSheetId="6">だいち!$B$29</definedName>
    <definedName name="平均放銃点" localSheetId="12">たかの!$B$29</definedName>
    <definedName name="平均放銃点" localSheetId="13">ただ!$B$29</definedName>
    <definedName name="平均放銃点" localSheetId="8">ともき!$B$29</definedName>
    <definedName name="平均放銃点" localSheetId="18">ぱぱ!$B$29</definedName>
    <definedName name="平均放銃点" localSheetId="17">まっつん!$B$29</definedName>
    <definedName name="平均放銃点" localSheetId="14">やがさき!$B$29</definedName>
    <definedName name="平均放銃点" localSheetId="9">りくと!$B$29</definedName>
    <definedName name="平均放銃点" localSheetId="15">れんたろう!$B$29</definedName>
    <definedName name="平均放銃点" localSheetId="5">全体!$B$29</definedName>
    <definedName name="平均放銃点">Template1!$B$29</definedName>
    <definedName name="放銃数" localSheetId="16">あさひ!$B$20</definedName>
    <definedName name="放銃数" localSheetId="10">いっしー!$B$20</definedName>
    <definedName name="放銃数" localSheetId="11">がくと!$B$20</definedName>
    <definedName name="放銃数" localSheetId="7">かこたろう!$B$20</definedName>
    <definedName name="放銃数" localSheetId="6">だいち!$B$20</definedName>
    <definedName name="放銃数" localSheetId="12">たかの!$B$20</definedName>
    <definedName name="放銃数" localSheetId="13">ただ!$B$20</definedName>
    <definedName name="放銃数" localSheetId="8">ともき!$B$20</definedName>
    <definedName name="放銃数" localSheetId="18">ぱぱ!$B$20</definedName>
    <definedName name="放銃数" localSheetId="17">まっつん!$B$20</definedName>
    <definedName name="放銃数" localSheetId="14">やがさき!$B$20</definedName>
    <definedName name="放銃数" localSheetId="9">りくと!$B$20</definedName>
    <definedName name="放銃数" localSheetId="15">れんたろう!$B$20</definedName>
    <definedName name="放銃数" localSheetId="5">全体!$B$20</definedName>
    <definedName name="放銃数">Template1!$B$20</definedName>
    <definedName name="放銃率" localSheetId="16">あさひ!$C$20</definedName>
    <definedName name="放銃率" localSheetId="10">いっしー!$C$20</definedName>
    <definedName name="放銃率" localSheetId="11">がくと!$C$20</definedName>
    <definedName name="放銃率" localSheetId="7">かこたろう!$C$20</definedName>
    <definedName name="放銃率" localSheetId="6">だいち!$C$20</definedName>
    <definedName name="放銃率" localSheetId="12">たかの!$C$20</definedName>
    <definedName name="放銃率" localSheetId="13">ただ!$C$20</definedName>
    <definedName name="放銃率" localSheetId="8">ともき!$C$20</definedName>
    <definedName name="放銃率" localSheetId="18">ぱぱ!$C$20</definedName>
    <definedName name="放銃率" localSheetId="17">まっつん!$C$20</definedName>
    <definedName name="放銃率" localSheetId="14">やがさき!$C$20</definedName>
    <definedName name="放銃率" localSheetId="9">りくと!$C$20</definedName>
    <definedName name="放銃率" localSheetId="15">れんたろう!$C$20</definedName>
    <definedName name="放銃率" localSheetId="5">全体!$C$20</definedName>
    <definedName name="放銃率">Template1!$C$20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あさひ!$B$27</definedName>
    <definedName name="門前アガリ点" localSheetId="10">いっしー!$B$27</definedName>
    <definedName name="門前アガリ点" localSheetId="11">がくと!$B$27</definedName>
    <definedName name="門前アガリ点" localSheetId="7">かこたろう!$B$27</definedName>
    <definedName name="門前アガリ点" localSheetId="6">だいち!$B$27</definedName>
    <definedName name="門前アガリ点" localSheetId="12">たかの!$B$27</definedName>
    <definedName name="門前アガリ点" localSheetId="13">ただ!$B$27</definedName>
    <definedName name="門前アガリ点" localSheetId="8">ともき!$B$27</definedName>
    <definedName name="門前アガリ点" localSheetId="18">ぱぱ!$B$27</definedName>
    <definedName name="門前アガリ点" localSheetId="17">まっつん!$B$27</definedName>
    <definedName name="門前アガリ点" localSheetId="14">やがさき!$B$27</definedName>
    <definedName name="門前アガリ点" localSheetId="9">りくと!$B$27</definedName>
    <definedName name="門前アガリ点" localSheetId="15">れんたろう!$B$27</definedName>
    <definedName name="門前アガリ点" localSheetId="5">全体!$B$27</definedName>
    <definedName name="門前アガリ点">Template1!$B$27</definedName>
    <definedName name="連続アガリ" localSheetId="16">あさひ!$B$30</definedName>
    <definedName name="連続アガリ" localSheetId="10">いっしー!$B$30</definedName>
    <definedName name="連続アガリ" localSheetId="11">がくと!$B$30</definedName>
    <definedName name="連続アガリ" localSheetId="7">かこたろう!$B$30</definedName>
    <definedName name="連続アガリ" localSheetId="6">だいち!$B$30</definedName>
    <definedName name="連続アガリ" localSheetId="12">たかの!$B$30</definedName>
    <definedName name="連続アガリ" localSheetId="13">ただ!$B$30</definedName>
    <definedName name="連続アガリ" localSheetId="8">ともき!$B$30</definedName>
    <definedName name="連続アガリ" localSheetId="18">ぱぱ!$B$30</definedName>
    <definedName name="連続アガリ" localSheetId="17">まっつん!$B$30</definedName>
    <definedName name="連続アガリ" localSheetId="14">やがさき!$B$30</definedName>
    <definedName name="連続アガリ" localSheetId="9">りくと!$B$30</definedName>
    <definedName name="連続アガリ" localSheetId="15">れんたろう!$B$30</definedName>
    <definedName name="連続アガリ" localSheetId="5">全体!$B$30</definedName>
    <definedName name="連続アガリ">Template1!$B$30</definedName>
    <definedName name="連続無放銃" localSheetId="16">あさひ!$B$31</definedName>
    <definedName name="連続無放銃" localSheetId="10">いっしー!$B$31</definedName>
    <definedName name="連続無放銃" localSheetId="11">がくと!$B$31</definedName>
    <definedName name="連続無放銃" localSheetId="7">かこたろう!$B$31</definedName>
    <definedName name="連続無放銃" localSheetId="6">だいち!$B$31</definedName>
    <definedName name="連続無放銃" localSheetId="12">たかの!$B$31</definedName>
    <definedName name="連続無放銃" localSheetId="13">ただ!$B$31</definedName>
    <definedName name="連続無放銃" localSheetId="8">ともき!$B$31</definedName>
    <definedName name="連続無放銃" localSheetId="18">ぱぱ!$B$31</definedName>
    <definedName name="連続無放銃" localSheetId="17">まっつん!$B$31</definedName>
    <definedName name="連続無放銃" localSheetId="14">やがさき!$B$31</definedName>
    <definedName name="連続無放銃" localSheetId="9">りくと!$B$31</definedName>
    <definedName name="連続無放銃" localSheetId="15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1" l="1"/>
  <c r="O20" i="6151"/>
  <c r="O15" i="6145" l="1"/>
  <c r="O19" i="6151"/>
  <c r="O15" i="6133" l="1"/>
  <c r="O21" i="6151"/>
  <c r="O17" i="6143" l="1"/>
  <c r="O18" i="6151"/>
  <c r="O16" i="6151"/>
  <c r="O18" i="6127"/>
  <c r="O21" i="6135"/>
  <c r="O17" i="6135"/>
  <c r="O15" i="6151"/>
  <c r="O17" i="6151"/>
  <c r="H50" i="6151"/>
  <c r="H49" i="6151"/>
  <c r="H48" i="6151"/>
  <c r="H47" i="6151"/>
  <c r="H46" i="6151"/>
  <c r="H45" i="6151"/>
  <c r="H44" i="6151"/>
  <c r="H43" i="6151"/>
  <c r="H42" i="6151"/>
  <c r="H41" i="6151"/>
  <c r="H40" i="6151"/>
  <c r="H39" i="6151"/>
  <c r="H38" i="6151"/>
  <c r="H37" i="6151"/>
  <c r="H36" i="6151"/>
  <c r="H35" i="6151"/>
  <c r="H34" i="6151"/>
  <c r="C34" i="6151"/>
  <c r="H33" i="6151"/>
  <c r="H32" i="6151"/>
  <c r="H31" i="6151"/>
  <c r="H30" i="6151"/>
  <c r="H29" i="6151"/>
  <c r="B29" i="6151"/>
  <c r="H9" i="6151"/>
  <c r="H28" i="6151"/>
  <c r="H27" i="6151"/>
  <c r="H13" i="6151"/>
  <c r="H26" i="6151"/>
  <c r="H25" i="6151"/>
  <c r="H10" i="6151"/>
  <c r="H24" i="6151"/>
  <c r="H12" i="6151"/>
  <c r="C20" i="6151"/>
  <c r="H23" i="6151"/>
  <c r="B19" i="6151"/>
  <c r="H11" i="6151"/>
  <c r="B18" i="6151"/>
  <c r="B28" i="6151" s="1"/>
  <c r="H22" i="6151"/>
  <c r="C17" i="6151"/>
  <c r="B17" i="6151"/>
  <c r="H21" i="6151"/>
  <c r="C16" i="6151"/>
  <c r="H20" i="6151"/>
  <c r="C15" i="6151"/>
  <c r="H19" i="6151"/>
  <c r="C14" i="6151"/>
  <c r="H18" i="6151"/>
  <c r="O12" i="6151"/>
  <c r="H17" i="6151"/>
  <c r="B12" i="6151"/>
  <c r="O11" i="6151"/>
  <c r="H3" i="6151"/>
  <c r="B11" i="6151"/>
  <c r="O10" i="6151"/>
  <c r="H16" i="6151"/>
  <c r="B10" i="6151"/>
  <c r="H8" i="6151"/>
  <c r="C9" i="6151"/>
  <c r="H15" i="6151"/>
  <c r="C8" i="6151"/>
  <c r="O7" i="6151"/>
  <c r="H7" i="6151"/>
  <c r="C7" i="6151"/>
  <c r="O6" i="6151"/>
  <c r="H2" i="6151"/>
  <c r="B6" i="6151"/>
  <c r="O5" i="6151"/>
  <c r="H6" i="6151"/>
  <c r="B5" i="6151"/>
  <c r="O4" i="6151"/>
  <c r="H4" i="6151"/>
  <c r="O3" i="6151"/>
  <c r="H14" i="6151"/>
  <c r="O2" i="6151"/>
  <c r="H5" i="6151"/>
  <c r="O20" i="6149"/>
  <c r="O19" i="6149"/>
  <c r="O17" i="6125"/>
  <c r="B13" i="6151" l="1"/>
  <c r="B27" i="6151"/>
  <c r="C18" i="6151"/>
  <c r="C24" i="6151"/>
  <c r="C19" i="6151"/>
  <c r="C22" i="6151"/>
  <c r="B26" i="6151"/>
  <c r="C36" i="6151"/>
  <c r="C38" i="6151"/>
  <c r="C40" i="6151"/>
  <c r="C42" i="6151"/>
  <c r="C44" i="6151"/>
  <c r="C46" i="6151"/>
  <c r="C48" i="6151"/>
  <c r="C37" i="6151"/>
  <c r="C39" i="6151"/>
  <c r="C41" i="6151"/>
  <c r="C43" i="6151"/>
  <c r="C45" i="6151"/>
  <c r="C47" i="6151"/>
  <c r="C21" i="6151"/>
  <c r="C23" i="6151"/>
  <c r="C25" i="6151"/>
  <c r="O15" i="6135" l="1"/>
  <c r="O21" i="6143"/>
  <c r="O20" i="6143"/>
  <c r="O17" i="6145"/>
  <c r="O19" i="6133" l="1"/>
  <c r="O16" i="6143"/>
  <c r="O19" i="6141"/>
  <c r="O18" i="6143"/>
  <c r="O21" i="6133" l="1"/>
  <c r="O16" i="6149"/>
  <c r="O22" i="6149" l="1"/>
  <c r="O17" i="6127"/>
  <c r="O21" i="6141" l="1"/>
  <c r="O17" i="6147"/>
  <c r="O15" i="6137"/>
  <c r="O16" i="6137"/>
  <c r="O18" i="6145"/>
  <c r="O25" i="6145"/>
  <c r="O15" i="6149"/>
  <c r="O17" i="6149"/>
  <c r="O19" i="6135"/>
  <c r="O18" i="6139"/>
  <c r="O21" i="6149" l="1"/>
  <c r="O18" i="6149"/>
  <c r="H50" i="6149"/>
  <c r="H49" i="6149"/>
  <c r="H48" i="6149"/>
  <c r="H47" i="6149"/>
  <c r="H46" i="6149"/>
  <c r="H45" i="6149"/>
  <c r="H44" i="6149"/>
  <c r="H43" i="6149"/>
  <c r="H42" i="6149"/>
  <c r="H41" i="6149"/>
  <c r="H40" i="6149"/>
  <c r="H39" i="6149"/>
  <c r="H38" i="6149"/>
  <c r="H37" i="6149"/>
  <c r="H36" i="6149"/>
  <c r="H35" i="6149"/>
  <c r="H34" i="6149"/>
  <c r="C34" i="6149"/>
  <c r="H33" i="6149"/>
  <c r="H32" i="6149"/>
  <c r="H21" i="6149"/>
  <c r="H20" i="6149"/>
  <c r="H31" i="6149"/>
  <c r="B29" i="6149"/>
  <c r="H8" i="6149"/>
  <c r="H30" i="6149"/>
  <c r="H29" i="6149"/>
  <c r="H11" i="6149"/>
  <c r="H19" i="6149"/>
  <c r="H28" i="6149"/>
  <c r="H7" i="6149"/>
  <c r="H27" i="6149"/>
  <c r="H14" i="6149"/>
  <c r="C20" i="6149"/>
  <c r="H26" i="6149"/>
  <c r="B19" i="6149"/>
  <c r="H17" i="6149"/>
  <c r="B18" i="6149"/>
  <c r="B28" i="6149" s="1"/>
  <c r="H13" i="6149"/>
  <c r="B17" i="6149"/>
  <c r="C17" i="6149" s="1"/>
  <c r="H18" i="6149"/>
  <c r="C16" i="6149"/>
  <c r="H25" i="6149"/>
  <c r="C15" i="6149"/>
  <c r="H24" i="6149"/>
  <c r="C14" i="6149"/>
  <c r="H23" i="6149"/>
  <c r="O12" i="6149"/>
  <c r="H22" i="6149"/>
  <c r="B12" i="6149"/>
  <c r="O11" i="6149"/>
  <c r="H3" i="6149"/>
  <c r="B11" i="6149"/>
  <c r="O10" i="6149"/>
  <c r="H16" i="6149"/>
  <c r="B10" i="6149"/>
  <c r="H10" i="6149"/>
  <c r="C9" i="6149"/>
  <c r="H15" i="6149"/>
  <c r="C8" i="6149"/>
  <c r="O7" i="6149"/>
  <c r="H6" i="6149"/>
  <c r="C7" i="6149"/>
  <c r="O6" i="6149"/>
  <c r="H2" i="6149"/>
  <c r="B6" i="6149"/>
  <c r="O5" i="6149"/>
  <c r="H9" i="6149"/>
  <c r="B5" i="6149"/>
  <c r="O4" i="6149"/>
  <c r="H4" i="6149"/>
  <c r="O3" i="6149"/>
  <c r="H12" i="6149"/>
  <c r="O2" i="6149"/>
  <c r="H5" i="6149"/>
  <c r="O15" i="6139"/>
  <c r="O16" i="6141"/>
  <c r="O18" i="6125"/>
  <c r="O24" i="6135"/>
  <c r="O18" i="6137"/>
  <c r="O18" i="6147"/>
  <c r="O15" i="6147"/>
  <c r="C18" i="6149" l="1"/>
  <c r="B13" i="6149"/>
  <c r="B27" i="6149"/>
  <c r="B26" i="6149"/>
  <c r="C48" i="6149"/>
  <c r="C38" i="6149"/>
  <c r="C46" i="6149"/>
  <c r="C19" i="6149"/>
  <c r="C22" i="6149"/>
  <c r="C36" i="6149"/>
  <c r="C44" i="6149"/>
  <c r="C40" i="6149"/>
  <c r="C24" i="6149"/>
  <c r="C42" i="6149"/>
  <c r="C37" i="6149"/>
  <c r="C39" i="6149"/>
  <c r="C41" i="6149"/>
  <c r="C43" i="6149"/>
  <c r="C45" i="6149"/>
  <c r="C47" i="6149"/>
  <c r="C21" i="6149"/>
  <c r="C23" i="6149"/>
  <c r="C25" i="6149"/>
  <c r="O22" i="6145" l="1"/>
  <c r="O16" i="6133"/>
  <c r="O16" i="6131"/>
  <c r="O18" i="6131"/>
  <c r="O16" i="6145"/>
  <c r="O24" i="6133"/>
  <c r="O27" i="6125"/>
  <c r="O19" i="6147"/>
  <c r="O16" i="6147"/>
  <c r="H50" i="6147"/>
  <c r="H49" i="6147"/>
  <c r="H48" i="6147"/>
  <c r="H47" i="6147"/>
  <c r="H46" i="6147"/>
  <c r="H45" i="6147"/>
  <c r="H44" i="6147"/>
  <c r="H43" i="6147"/>
  <c r="H42" i="6147"/>
  <c r="H41" i="6147"/>
  <c r="H40" i="6147"/>
  <c r="H39" i="6147"/>
  <c r="H38" i="6147"/>
  <c r="H37" i="6147"/>
  <c r="H36" i="6147"/>
  <c r="H35" i="6147"/>
  <c r="H34" i="6147"/>
  <c r="C34" i="6147"/>
  <c r="H33" i="6147"/>
  <c r="H32" i="6147"/>
  <c r="H31" i="6147"/>
  <c r="H14" i="6147"/>
  <c r="H30" i="6147"/>
  <c r="B29" i="6147"/>
  <c r="H12" i="6147"/>
  <c r="H29" i="6147"/>
  <c r="H28" i="6147"/>
  <c r="H11" i="6147"/>
  <c r="H27" i="6147"/>
  <c r="H26" i="6147"/>
  <c r="H25" i="6147"/>
  <c r="H24" i="6147"/>
  <c r="H23" i="6147"/>
  <c r="C20" i="6147"/>
  <c r="H22" i="6147"/>
  <c r="B19" i="6147"/>
  <c r="H21" i="6147"/>
  <c r="C18" i="6147"/>
  <c r="B18" i="6147"/>
  <c r="B28" i="6147" s="1"/>
  <c r="H20" i="6147"/>
  <c r="B17" i="6147"/>
  <c r="C17" i="6147" s="1"/>
  <c r="H19" i="6147"/>
  <c r="C16" i="6147"/>
  <c r="H18" i="6147"/>
  <c r="C15" i="6147"/>
  <c r="H17" i="6147"/>
  <c r="C14" i="6147"/>
  <c r="H16" i="6147"/>
  <c r="O12" i="6147"/>
  <c r="H15" i="6147"/>
  <c r="B12" i="6147"/>
  <c r="O11" i="6147"/>
  <c r="H5" i="6147"/>
  <c r="B11" i="6147"/>
  <c r="B13" i="6147" s="1"/>
  <c r="O10" i="6147"/>
  <c r="H13" i="6147"/>
  <c r="B10" i="6147"/>
  <c r="H8" i="6147"/>
  <c r="C9" i="6147"/>
  <c r="H10" i="6147"/>
  <c r="C8" i="6147"/>
  <c r="O7" i="6147"/>
  <c r="H7" i="6147"/>
  <c r="C7" i="6147"/>
  <c r="O6" i="6147"/>
  <c r="H4" i="6147"/>
  <c r="B6" i="6147"/>
  <c r="O5" i="6147"/>
  <c r="H6" i="6147"/>
  <c r="B5" i="6147"/>
  <c r="O4" i="6147"/>
  <c r="H3" i="6147"/>
  <c r="O3" i="6147"/>
  <c r="H9" i="6147"/>
  <c r="O2" i="6147"/>
  <c r="H2" i="6147"/>
  <c r="B27" i="6147" l="1"/>
  <c r="C24" i="6147"/>
  <c r="C19" i="6147"/>
  <c r="C22" i="6147"/>
  <c r="B26" i="6147"/>
  <c r="C36" i="6147"/>
  <c r="C38" i="6147"/>
  <c r="C40" i="6147"/>
  <c r="C42" i="6147"/>
  <c r="C44" i="6147"/>
  <c r="C46" i="6147"/>
  <c r="C48" i="6147"/>
  <c r="C37" i="6147"/>
  <c r="C39" i="6147"/>
  <c r="C41" i="6147"/>
  <c r="C43" i="6147"/>
  <c r="C45" i="6147"/>
  <c r="C47" i="6147"/>
  <c r="C21" i="6147"/>
  <c r="C23" i="6147"/>
  <c r="C25" i="6147"/>
  <c r="O17" i="6139" l="1"/>
  <c r="O20" i="6145"/>
  <c r="O17" i="6133"/>
  <c r="O20" i="6139"/>
  <c r="O23" i="6141" l="1"/>
  <c r="O22" i="6135"/>
  <c r="O17" i="6141" l="1"/>
  <c r="O24" i="6145"/>
  <c r="O25" i="6135" l="1"/>
  <c r="O19" i="6145"/>
  <c r="O18" i="6133" l="1"/>
  <c r="O23" i="6145"/>
  <c r="O21" i="6145"/>
  <c r="H50" i="6145"/>
  <c r="H49" i="6145"/>
  <c r="H48" i="6145"/>
  <c r="H47" i="6145"/>
  <c r="H46" i="6145"/>
  <c r="H45" i="6145"/>
  <c r="H44" i="6145"/>
  <c r="H43" i="6145"/>
  <c r="H42" i="6145"/>
  <c r="H41" i="6145"/>
  <c r="H40" i="6145"/>
  <c r="H39" i="6145"/>
  <c r="H38" i="6145"/>
  <c r="H37" i="6145"/>
  <c r="H36" i="6145"/>
  <c r="H35" i="6145"/>
  <c r="H34" i="6145"/>
  <c r="C34" i="6145"/>
  <c r="H33" i="6145"/>
  <c r="H21" i="6145"/>
  <c r="H28" i="6145"/>
  <c r="H17" i="6145"/>
  <c r="H27" i="6145"/>
  <c r="B29" i="6145"/>
  <c r="H9" i="6145"/>
  <c r="H32" i="6145"/>
  <c r="H26" i="6145"/>
  <c r="H12" i="6145"/>
  <c r="H25" i="6145"/>
  <c r="H24" i="6145"/>
  <c r="H15" i="6145"/>
  <c r="H31" i="6145"/>
  <c r="H16" i="6145"/>
  <c r="C20" i="6145"/>
  <c r="H30" i="6145"/>
  <c r="B19" i="6145"/>
  <c r="H19" i="6145"/>
  <c r="B18" i="6145"/>
  <c r="B28" i="6145" s="1"/>
  <c r="H13" i="6145"/>
  <c r="B17" i="6145"/>
  <c r="C17" i="6145" s="1"/>
  <c r="H23" i="6145"/>
  <c r="C16" i="6145"/>
  <c r="H29" i="6145"/>
  <c r="C15" i="6145"/>
  <c r="H20" i="6145"/>
  <c r="C14" i="6145"/>
  <c r="H22" i="6145"/>
  <c r="O12" i="6145"/>
  <c r="H18" i="6145"/>
  <c r="B12" i="6145"/>
  <c r="O11" i="6145"/>
  <c r="H5" i="6145"/>
  <c r="B11" i="6145"/>
  <c r="O10" i="6145"/>
  <c r="H14" i="6145"/>
  <c r="B10" i="6145"/>
  <c r="H10" i="6145"/>
  <c r="C9" i="6145"/>
  <c r="H8" i="6145"/>
  <c r="C8" i="6145"/>
  <c r="O7" i="6145"/>
  <c r="H7" i="6145"/>
  <c r="C7" i="6145"/>
  <c r="O6" i="6145"/>
  <c r="H2" i="6145"/>
  <c r="B6" i="6145"/>
  <c r="O5" i="6145"/>
  <c r="H6" i="6145"/>
  <c r="B5" i="6145"/>
  <c r="O4" i="6145"/>
  <c r="H3" i="6145"/>
  <c r="O3" i="6145"/>
  <c r="H11" i="6145"/>
  <c r="O2" i="6145"/>
  <c r="H4" i="6145"/>
  <c r="O20" i="6127"/>
  <c r="O22" i="6125"/>
  <c r="B13" i="6145" l="1"/>
  <c r="B27" i="6145"/>
  <c r="C18" i="6145"/>
  <c r="B26" i="6145"/>
  <c r="C24" i="6145"/>
  <c r="C19" i="6145"/>
  <c r="C22" i="6145"/>
  <c r="C36" i="6145"/>
  <c r="C38" i="6145"/>
  <c r="C40" i="6145"/>
  <c r="C42" i="6145"/>
  <c r="C44" i="6145"/>
  <c r="C46" i="6145"/>
  <c r="C48" i="6145"/>
  <c r="C37" i="6145"/>
  <c r="C39" i="6145"/>
  <c r="C41" i="6145"/>
  <c r="C43" i="6145"/>
  <c r="C45" i="6145"/>
  <c r="C47" i="6145"/>
  <c r="C21" i="6145"/>
  <c r="C23" i="6145"/>
  <c r="C25" i="6145"/>
  <c r="O22" i="6133" l="1"/>
  <c r="O18" i="6141"/>
  <c r="O15" i="6143" l="1"/>
  <c r="O19" i="6143"/>
  <c r="H50" i="6143"/>
  <c r="H49" i="6143"/>
  <c r="H48" i="6143"/>
  <c r="H47" i="6143"/>
  <c r="H46" i="6143"/>
  <c r="H45" i="6143"/>
  <c r="H44" i="6143"/>
  <c r="H43" i="6143"/>
  <c r="H42" i="6143"/>
  <c r="H41" i="6143"/>
  <c r="H40" i="6143"/>
  <c r="H39" i="6143"/>
  <c r="H38" i="6143"/>
  <c r="H37" i="6143"/>
  <c r="H36" i="6143"/>
  <c r="H35" i="6143"/>
  <c r="H34" i="6143"/>
  <c r="C34" i="6143"/>
  <c r="H33" i="6143"/>
  <c r="H32" i="6143"/>
  <c r="H19" i="6143"/>
  <c r="H18" i="6143"/>
  <c r="H31" i="6143"/>
  <c r="B29" i="6143"/>
  <c r="H9" i="6143"/>
  <c r="H30" i="6143"/>
  <c r="H29" i="6143"/>
  <c r="H17" i="6143"/>
  <c r="H28" i="6143"/>
  <c r="H27" i="6143"/>
  <c r="H16" i="6143"/>
  <c r="H26" i="6143"/>
  <c r="H25" i="6143"/>
  <c r="C20" i="6143"/>
  <c r="H24" i="6143"/>
  <c r="B19" i="6143"/>
  <c r="H15" i="6143"/>
  <c r="B18" i="6143"/>
  <c r="B28" i="6143" s="1"/>
  <c r="H13" i="6143"/>
  <c r="B17" i="6143"/>
  <c r="C17" i="6143" s="1"/>
  <c r="H23" i="6143"/>
  <c r="C16" i="6143"/>
  <c r="H22" i="6143"/>
  <c r="C15" i="6143"/>
  <c r="H21" i="6143"/>
  <c r="C14" i="6143"/>
  <c r="H20" i="6143"/>
  <c r="O12" i="6143"/>
  <c r="H14" i="6143"/>
  <c r="B12" i="6143"/>
  <c r="O11" i="6143"/>
  <c r="H6" i="6143"/>
  <c r="B11" i="6143"/>
  <c r="O10" i="6143"/>
  <c r="H12" i="6143"/>
  <c r="B10" i="6143"/>
  <c r="H11" i="6143"/>
  <c r="C9" i="6143"/>
  <c r="H10" i="6143"/>
  <c r="C8" i="6143"/>
  <c r="O7" i="6143"/>
  <c r="H7" i="6143"/>
  <c r="C7" i="6143"/>
  <c r="O6" i="6143"/>
  <c r="H2" i="6143"/>
  <c r="B6" i="6143"/>
  <c r="O5" i="6143"/>
  <c r="H4" i="6143"/>
  <c r="B5" i="6143"/>
  <c r="O4" i="6143"/>
  <c r="H5" i="6143"/>
  <c r="O3" i="6143"/>
  <c r="H8" i="6143"/>
  <c r="O2" i="6143"/>
  <c r="H3" i="6143"/>
  <c r="O21" i="6139"/>
  <c r="O22" i="6127"/>
  <c r="O23" i="6125"/>
  <c r="C18" i="6143" l="1"/>
  <c r="B27" i="6143"/>
  <c r="B13" i="6143"/>
  <c r="B26" i="6143"/>
  <c r="C24" i="6143"/>
  <c r="C19" i="6143"/>
  <c r="C22" i="6143"/>
  <c r="C36" i="6143"/>
  <c r="C38" i="6143"/>
  <c r="C40" i="6143"/>
  <c r="C42" i="6143"/>
  <c r="C44" i="6143"/>
  <c r="C46" i="6143"/>
  <c r="C48" i="6143"/>
  <c r="C37" i="6143"/>
  <c r="C39" i="6143"/>
  <c r="C41" i="6143"/>
  <c r="C43" i="6143"/>
  <c r="C45" i="6143"/>
  <c r="C47" i="6143"/>
  <c r="C21" i="6143"/>
  <c r="C23" i="6143"/>
  <c r="C25" i="6143"/>
  <c r="O16" i="6135" l="1"/>
  <c r="O15" i="6129"/>
  <c r="O22" i="6141" l="1"/>
  <c r="O20" i="6141"/>
  <c r="H50" i="6141"/>
  <c r="H49" i="6141"/>
  <c r="H48" i="6141"/>
  <c r="H47" i="6141"/>
  <c r="H46" i="6141"/>
  <c r="H45" i="6141"/>
  <c r="H44" i="6141"/>
  <c r="H43" i="6141"/>
  <c r="H42" i="6141"/>
  <c r="H41" i="6141"/>
  <c r="H40" i="6141"/>
  <c r="H39" i="6141"/>
  <c r="H38" i="6141"/>
  <c r="H37" i="6141"/>
  <c r="H36" i="6141"/>
  <c r="H35" i="6141"/>
  <c r="H34" i="6141"/>
  <c r="C34" i="6141"/>
  <c r="H33" i="6141"/>
  <c r="H21" i="6141"/>
  <c r="H32" i="6141"/>
  <c r="H17" i="6141"/>
  <c r="H31" i="6141"/>
  <c r="B29" i="6141"/>
  <c r="H9" i="6141"/>
  <c r="H30" i="6141"/>
  <c r="H29" i="6141"/>
  <c r="H15" i="6141"/>
  <c r="H28" i="6141"/>
  <c r="H24" i="6141"/>
  <c r="H16" i="6141"/>
  <c r="H27" i="6141"/>
  <c r="H14" i="6141"/>
  <c r="C20" i="6141"/>
  <c r="H26" i="6141"/>
  <c r="B19" i="6141"/>
  <c r="B26" i="6141" s="1"/>
  <c r="H20" i="6141"/>
  <c r="C18" i="6141"/>
  <c r="B18" i="6141"/>
  <c r="B28" i="6141" s="1"/>
  <c r="H13" i="6141"/>
  <c r="B17" i="6141"/>
  <c r="C17" i="6141" s="1"/>
  <c r="H19" i="6141"/>
  <c r="C16" i="6141"/>
  <c r="H25" i="6141"/>
  <c r="C15" i="6141"/>
  <c r="H23" i="6141"/>
  <c r="C14" i="6141"/>
  <c r="H22" i="6141"/>
  <c r="O12" i="6141"/>
  <c r="H18" i="6141"/>
  <c r="B12" i="6141"/>
  <c r="O11" i="6141"/>
  <c r="H4" i="6141"/>
  <c r="B11" i="6141"/>
  <c r="O10" i="6141"/>
  <c r="H12" i="6141"/>
  <c r="B10" i="6141"/>
  <c r="H11" i="6141"/>
  <c r="C9" i="6141"/>
  <c r="H8" i="6141"/>
  <c r="C8" i="6141"/>
  <c r="O7" i="6141"/>
  <c r="H7" i="6141"/>
  <c r="C7" i="6141"/>
  <c r="O6" i="6141"/>
  <c r="H2" i="6141"/>
  <c r="B6" i="6141"/>
  <c r="O5" i="6141"/>
  <c r="H6" i="6141"/>
  <c r="B5" i="6141"/>
  <c r="O4" i="6141"/>
  <c r="H3" i="6141"/>
  <c r="O3" i="6141"/>
  <c r="H10" i="6141"/>
  <c r="O2" i="6141"/>
  <c r="H5" i="6141"/>
  <c r="O19" i="6139"/>
  <c r="O16" i="6139"/>
  <c r="H50" i="6139"/>
  <c r="H49" i="6139"/>
  <c r="H48" i="6139"/>
  <c r="H47" i="6139"/>
  <c r="H46" i="6139"/>
  <c r="H45" i="6139"/>
  <c r="H44" i="6139"/>
  <c r="H43" i="6139"/>
  <c r="H42" i="6139"/>
  <c r="H41" i="6139"/>
  <c r="H40" i="6139"/>
  <c r="H39" i="6139"/>
  <c r="H38" i="6139"/>
  <c r="H37" i="6139"/>
  <c r="H36" i="6139"/>
  <c r="H35" i="6139"/>
  <c r="H34" i="6139"/>
  <c r="C34" i="6139"/>
  <c r="H33" i="6139"/>
  <c r="H32" i="6139"/>
  <c r="H31" i="6139"/>
  <c r="H30" i="6139"/>
  <c r="H29" i="6139"/>
  <c r="B29" i="6139"/>
  <c r="H10" i="6139"/>
  <c r="H28" i="6139"/>
  <c r="H27" i="6139"/>
  <c r="H14" i="6139"/>
  <c r="H26" i="6139"/>
  <c r="H25" i="6139"/>
  <c r="H17" i="6139"/>
  <c r="H24" i="6139"/>
  <c r="H15" i="6139"/>
  <c r="C20" i="6139"/>
  <c r="H23" i="6139"/>
  <c r="B19" i="6139"/>
  <c r="H16" i="6139"/>
  <c r="B18" i="6139"/>
  <c r="B28" i="6139" s="1"/>
  <c r="H13" i="6139"/>
  <c r="B17" i="6139"/>
  <c r="C17" i="6139" s="1"/>
  <c r="H19" i="6139"/>
  <c r="C16" i="6139"/>
  <c r="H22" i="6139"/>
  <c r="C15" i="6139"/>
  <c r="H18" i="6139"/>
  <c r="C14" i="6139"/>
  <c r="H21" i="6139"/>
  <c r="O12" i="6139"/>
  <c r="H20" i="6139"/>
  <c r="B12" i="6139"/>
  <c r="O11" i="6139"/>
  <c r="H4" i="6139"/>
  <c r="B11" i="6139"/>
  <c r="O10" i="6139"/>
  <c r="H12" i="6139"/>
  <c r="B10" i="6139"/>
  <c r="H11" i="6139"/>
  <c r="C9" i="6139"/>
  <c r="H9" i="6139"/>
  <c r="C8" i="6139"/>
  <c r="O7" i="6139"/>
  <c r="H6" i="6139"/>
  <c r="C7" i="6139"/>
  <c r="O6" i="6139"/>
  <c r="H2" i="6139"/>
  <c r="B6" i="6139"/>
  <c r="O5" i="6139"/>
  <c r="H8" i="6139"/>
  <c r="B5" i="6139"/>
  <c r="O4" i="6139"/>
  <c r="H3" i="6139"/>
  <c r="O3" i="6139"/>
  <c r="H7" i="6139"/>
  <c r="O2" i="6139"/>
  <c r="H5" i="6139"/>
  <c r="O24" i="6127"/>
  <c r="O19" i="6127"/>
  <c r="O24" i="6125"/>
  <c r="O19" i="6125"/>
  <c r="C18" i="6139" l="1"/>
  <c r="B27" i="6139"/>
  <c r="B13" i="6141"/>
  <c r="B13" i="6139"/>
  <c r="C19" i="6141"/>
  <c r="C37" i="6141"/>
  <c r="C41" i="6141"/>
  <c r="C45" i="6141"/>
  <c r="C47" i="6141"/>
  <c r="C23" i="6141"/>
  <c r="C25" i="6141"/>
  <c r="C36" i="6141"/>
  <c r="C38" i="6141"/>
  <c r="C40" i="6141"/>
  <c r="C42" i="6141"/>
  <c r="C44" i="6141"/>
  <c r="C46" i="6141"/>
  <c r="C48" i="6141"/>
  <c r="C39" i="6141"/>
  <c r="C43" i="6141"/>
  <c r="C21" i="6141"/>
  <c r="B27" i="6141"/>
  <c r="C22" i="6141"/>
  <c r="C24" i="6141"/>
  <c r="C48" i="6139"/>
  <c r="C46" i="6139"/>
  <c r="C19" i="6139"/>
  <c r="C40" i="6139"/>
  <c r="C38" i="6139"/>
  <c r="C44" i="6139"/>
  <c r="C36" i="6139"/>
  <c r="C42" i="6139"/>
  <c r="C22" i="6139"/>
  <c r="C24" i="6139"/>
  <c r="B26" i="6139"/>
  <c r="C37" i="6139"/>
  <c r="C39" i="6139"/>
  <c r="C41" i="6139"/>
  <c r="C43" i="6139"/>
  <c r="C45" i="6139"/>
  <c r="C47" i="6139"/>
  <c r="C21" i="6139"/>
  <c r="C23" i="6139"/>
  <c r="C25" i="6139"/>
  <c r="O18" i="6135" l="1"/>
  <c r="O19" i="6137"/>
  <c r="O17" i="6137"/>
  <c r="H50" i="6137"/>
  <c r="H49" i="6137"/>
  <c r="H48" i="6137"/>
  <c r="H47" i="6137"/>
  <c r="H46" i="6137"/>
  <c r="H45" i="6137"/>
  <c r="H44" i="6137"/>
  <c r="H43" i="6137"/>
  <c r="H42" i="6137"/>
  <c r="H41" i="6137"/>
  <c r="H40" i="6137"/>
  <c r="H39" i="6137"/>
  <c r="H38" i="6137"/>
  <c r="H37" i="6137"/>
  <c r="H36" i="6137"/>
  <c r="H35" i="6137"/>
  <c r="H34" i="6137"/>
  <c r="C34" i="6137"/>
  <c r="H33" i="6137"/>
  <c r="H32" i="6137"/>
  <c r="H31" i="6137"/>
  <c r="H30" i="6137"/>
  <c r="H29" i="6137"/>
  <c r="B29" i="6137"/>
  <c r="H28" i="6137"/>
  <c r="H27" i="6137"/>
  <c r="H26" i="6137"/>
  <c r="H11" i="6137"/>
  <c r="H25" i="6137"/>
  <c r="H24" i="6137"/>
  <c r="H23" i="6137"/>
  <c r="H22" i="6137"/>
  <c r="H21" i="6137"/>
  <c r="C20" i="6137"/>
  <c r="H20" i="6137"/>
  <c r="B19" i="6137"/>
  <c r="C19" i="6137" s="1"/>
  <c r="H8" i="6137"/>
  <c r="C18" i="6137"/>
  <c r="B18" i="6137"/>
  <c r="B28" i="6137" s="1"/>
  <c r="H19" i="6137"/>
  <c r="C17" i="6137"/>
  <c r="B17" i="6137"/>
  <c r="H18" i="6137"/>
  <c r="C16" i="6137"/>
  <c r="H17" i="6137"/>
  <c r="C15" i="6137"/>
  <c r="H16" i="6137"/>
  <c r="C14" i="6137"/>
  <c r="H15" i="6137"/>
  <c r="O12" i="6137"/>
  <c r="H14" i="6137"/>
  <c r="B12" i="6137"/>
  <c r="O11" i="6137"/>
  <c r="H5" i="6137"/>
  <c r="B11" i="6137"/>
  <c r="O10" i="6137"/>
  <c r="H13" i="6137"/>
  <c r="B10" i="6137"/>
  <c r="H12" i="6137"/>
  <c r="C9" i="6137"/>
  <c r="H10" i="6137"/>
  <c r="C8" i="6137"/>
  <c r="O7" i="6137"/>
  <c r="H6" i="6137"/>
  <c r="C7" i="6137"/>
  <c r="O6" i="6137"/>
  <c r="H3" i="6137"/>
  <c r="B6" i="6137"/>
  <c r="O5" i="6137"/>
  <c r="H7" i="6137"/>
  <c r="B5" i="6137"/>
  <c r="O4" i="6137"/>
  <c r="H9" i="6137"/>
  <c r="O3" i="6137"/>
  <c r="H4" i="6137"/>
  <c r="O2" i="6137"/>
  <c r="H2" i="6137"/>
  <c r="O15" i="6127"/>
  <c r="O16" i="6125"/>
  <c r="B13" i="6137" l="1"/>
  <c r="B27" i="6137"/>
  <c r="B26" i="6137"/>
  <c r="C40" i="6137"/>
  <c r="C48" i="6137"/>
  <c r="C24" i="6137"/>
  <c r="C38" i="6137"/>
  <c r="C46" i="6137"/>
  <c r="C22" i="6137"/>
  <c r="C36" i="6137"/>
  <c r="C44" i="6137"/>
  <c r="C42" i="6137"/>
  <c r="C37" i="6137"/>
  <c r="C39" i="6137"/>
  <c r="C41" i="6137"/>
  <c r="C43" i="6137"/>
  <c r="C45" i="6137"/>
  <c r="C47" i="6137"/>
  <c r="C21" i="6137"/>
  <c r="C23" i="6137"/>
  <c r="C25" i="6137"/>
  <c r="O20" i="6135" l="1"/>
  <c r="O23" i="6135"/>
  <c r="H50" i="6135"/>
  <c r="H49" i="6135"/>
  <c r="H48" i="6135"/>
  <c r="H47" i="6135"/>
  <c r="H46" i="6135"/>
  <c r="H45" i="6135"/>
  <c r="H44" i="6135"/>
  <c r="H43" i="6135"/>
  <c r="H42" i="6135"/>
  <c r="H41" i="6135"/>
  <c r="H40" i="6135"/>
  <c r="H39" i="6135"/>
  <c r="H38" i="6135"/>
  <c r="H37" i="6135"/>
  <c r="H36" i="6135"/>
  <c r="H35" i="6135"/>
  <c r="H34" i="6135"/>
  <c r="C34" i="6135"/>
  <c r="H33" i="6135"/>
  <c r="H18" i="6135"/>
  <c r="H32" i="6135"/>
  <c r="H16" i="6135"/>
  <c r="H31" i="6135"/>
  <c r="B29" i="6135"/>
  <c r="H10" i="6135"/>
  <c r="H30" i="6135"/>
  <c r="H29" i="6135"/>
  <c r="H14" i="6135"/>
  <c r="H28" i="6135"/>
  <c r="H27" i="6135"/>
  <c r="H9" i="6135"/>
  <c r="H26" i="6135"/>
  <c r="H13" i="6135"/>
  <c r="C20" i="6135"/>
  <c r="H25" i="6135"/>
  <c r="B19" i="6135"/>
  <c r="B26" i="6135" s="1"/>
  <c r="H24" i="6135"/>
  <c r="C18" i="6135"/>
  <c r="B18" i="6135"/>
  <c r="B28" i="6135" s="1"/>
  <c r="H17" i="6135"/>
  <c r="B17" i="6135"/>
  <c r="C17" i="6135" s="1"/>
  <c r="H23" i="6135"/>
  <c r="C16" i="6135"/>
  <c r="H22" i="6135"/>
  <c r="C15" i="6135"/>
  <c r="H21" i="6135"/>
  <c r="C14" i="6135"/>
  <c r="H20" i="6135"/>
  <c r="O12" i="6135"/>
  <c r="H19" i="6135"/>
  <c r="B12" i="6135"/>
  <c r="O11" i="6135"/>
  <c r="H4" i="6135"/>
  <c r="B11" i="6135"/>
  <c r="O10" i="6135"/>
  <c r="H15" i="6135"/>
  <c r="B10" i="6135"/>
  <c r="H12" i="6135"/>
  <c r="C9" i="6135"/>
  <c r="H8" i="6135"/>
  <c r="C8" i="6135"/>
  <c r="O7" i="6135"/>
  <c r="H6" i="6135"/>
  <c r="C7" i="6135"/>
  <c r="O6" i="6135"/>
  <c r="H2" i="6135"/>
  <c r="B6" i="6135"/>
  <c r="O5" i="6135"/>
  <c r="H7" i="6135"/>
  <c r="B5" i="6135"/>
  <c r="O4" i="6135"/>
  <c r="H3" i="6135"/>
  <c r="O3" i="6135"/>
  <c r="H11" i="6135"/>
  <c r="O2" i="6135"/>
  <c r="H5" i="6135"/>
  <c r="O20" i="6133"/>
  <c r="O23" i="6133"/>
  <c r="H50" i="6133"/>
  <c r="H49" i="6133"/>
  <c r="H48" i="6133"/>
  <c r="H47" i="6133"/>
  <c r="H46" i="6133"/>
  <c r="H45" i="6133"/>
  <c r="H44" i="6133"/>
  <c r="H43" i="6133"/>
  <c r="H42" i="6133"/>
  <c r="H41" i="6133"/>
  <c r="H40" i="6133"/>
  <c r="H39" i="6133"/>
  <c r="H38" i="6133"/>
  <c r="H37" i="6133"/>
  <c r="H36" i="6133"/>
  <c r="H35" i="6133"/>
  <c r="H34" i="6133"/>
  <c r="C34" i="6133"/>
  <c r="H33" i="6133"/>
  <c r="H32" i="6133"/>
  <c r="H21" i="6133"/>
  <c r="H16" i="6133"/>
  <c r="H31" i="6133"/>
  <c r="B29" i="6133"/>
  <c r="H8" i="6133"/>
  <c r="H27" i="6133"/>
  <c r="H26" i="6133"/>
  <c r="H12" i="6133"/>
  <c r="H20" i="6133"/>
  <c r="H19" i="6133"/>
  <c r="H13" i="6133"/>
  <c r="H30" i="6133"/>
  <c r="H14" i="6133"/>
  <c r="C20" i="6133"/>
  <c r="H25" i="6133"/>
  <c r="B19" i="6133"/>
  <c r="H18" i="6133"/>
  <c r="B18" i="6133"/>
  <c r="B28" i="6133" s="1"/>
  <c r="H17" i="6133"/>
  <c r="B17" i="6133"/>
  <c r="C17" i="6133" s="1"/>
  <c r="H29" i="6133"/>
  <c r="C16" i="6133"/>
  <c r="H28" i="6133"/>
  <c r="C15" i="6133"/>
  <c r="H24" i="6133"/>
  <c r="C14" i="6133"/>
  <c r="H23" i="6133"/>
  <c r="O12" i="6133"/>
  <c r="H22" i="6133"/>
  <c r="B12" i="6133"/>
  <c r="O11" i="6133"/>
  <c r="H5" i="6133"/>
  <c r="B11" i="6133"/>
  <c r="O10" i="6133"/>
  <c r="H15" i="6133"/>
  <c r="B10" i="6133"/>
  <c r="H11" i="6133"/>
  <c r="C9" i="6133"/>
  <c r="H9" i="6133"/>
  <c r="C8" i="6133"/>
  <c r="O7" i="6133"/>
  <c r="H6" i="6133"/>
  <c r="C7" i="6133"/>
  <c r="O6" i="6133"/>
  <c r="H2" i="6133"/>
  <c r="B6" i="6133"/>
  <c r="O5" i="6133"/>
  <c r="H7" i="6133"/>
  <c r="B5" i="6133"/>
  <c r="O4" i="6133"/>
  <c r="H3" i="6133"/>
  <c r="O3" i="6133"/>
  <c r="H10" i="6133"/>
  <c r="O2" i="6133"/>
  <c r="H4" i="6133"/>
  <c r="O25" i="6127"/>
  <c r="O21" i="6127"/>
  <c r="O25" i="6125"/>
  <c r="O21" i="6125"/>
  <c r="C18" i="6133" l="1"/>
  <c r="B27" i="6133"/>
  <c r="B13" i="6135"/>
  <c r="C19" i="6135"/>
  <c r="B13" i="6133"/>
  <c r="C37" i="6135"/>
  <c r="C39" i="6135"/>
  <c r="C41" i="6135"/>
  <c r="C43" i="6135"/>
  <c r="C45" i="6135"/>
  <c r="C47" i="6135"/>
  <c r="C21" i="6135"/>
  <c r="C23" i="6135"/>
  <c r="C25" i="6135"/>
  <c r="B27" i="6135"/>
  <c r="C36" i="6135"/>
  <c r="C38" i="6135"/>
  <c r="C40" i="6135"/>
  <c r="C42" i="6135"/>
  <c r="C44" i="6135"/>
  <c r="C46" i="6135"/>
  <c r="C48" i="6135"/>
  <c r="C22" i="6135"/>
  <c r="C24" i="6135"/>
  <c r="C19" i="6133"/>
  <c r="C36" i="6133"/>
  <c r="C38" i="6133"/>
  <c r="C40" i="6133"/>
  <c r="C42" i="6133"/>
  <c r="C44" i="6133"/>
  <c r="C46" i="6133"/>
  <c r="C48" i="6133"/>
  <c r="C22" i="6133"/>
  <c r="C24" i="6133"/>
  <c r="B26" i="6133"/>
  <c r="C37" i="6133"/>
  <c r="C39" i="6133"/>
  <c r="C41" i="6133"/>
  <c r="C43" i="6133"/>
  <c r="C45" i="6133"/>
  <c r="C47" i="6133"/>
  <c r="C21" i="6133"/>
  <c r="C23" i="6133"/>
  <c r="C25" i="6133"/>
  <c r="O15" i="6131" l="1"/>
  <c r="O17" i="6131"/>
  <c r="H50" i="6131"/>
  <c r="H49" i="6131"/>
  <c r="H48" i="6131"/>
  <c r="H47" i="6131"/>
  <c r="H46" i="6131"/>
  <c r="H45" i="6131"/>
  <c r="H44" i="6131"/>
  <c r="H43" i="6131"/>
  <c r="H42" i="6131"/>
  <c r="H41" i="6131"/>
  <c r="H40" i="6131"/>
  <c r="H39" i="6131"/>
  <c r="H38" i="6131"/>
  <c r="H37" i="6131"/>
  <c r="H36" i="6131"/>
  <c r="H35" i="6131"/>
  <c r="H34" i="6131"/>
  <c r="C34" i="6131"/>
  <c r="H33" i="6131"/>
  <c r="H32" i="6131"/>
  <c r="H31" i="6131"/>
  <c r="H30" i="6131"/>
  <c r="H29" i="6131"/>
  <c r="B29" i="6131"/>
  <c r="H7" i="6131"/>
  <c r="H28" i="6131"/>
  <c r="H27" i="6131"/>
  <c r="H12" i="6131"/>
  <c r="H26" i="6131"/>
  <c r="H25" i="6131"/>
  <c r="H11" i="6131"/>
  <c r="H24" i="6131"/>
  <c r="H23" i="6131"/>
  <c r="C20" i="6131"/>
  <c r="H22" i="6131"/>
  <c r="B19" i="6131"/>
  <c r="C47" i="6131" s="1"/>
  <c r="H21" i="6131"/>
  <c r="C18" i="6131"/>
  <c r="B18" i="6131"/>
  <c r="H20" i="6131"/>
  <c r="B17" i="6131"/>
  <c r="C17" i="6131" s="1"/>
  <c r="H19" i="6131"/>
  <c r="C16" i="6131"/>
  <c r="H18" i="6131"/>
  <c r="C15" i="6131"/>
  <c r="H17" i="6131"/>
  <c r="C14" i="6131"/>
  <c r="H16" i="6131"/>
  <c r="O12" i="6131"/>
  <c r="H15" i="6131"/>
  <c r="B12" i="6131"/>
  <c r="O11" i="6131"/>
  <c r="H3" i="6131"/>
  <c r="B11" i="6131"/>
  <c r="O10" i="6131"/>
  <c r="H10" i="6131"/>
  <c r="B10" i="6131"/>
  <c r="H14" i="6131"/>
  <c r="C9" i="6131"/>
  <c r="H9" i="6131"/>
  <c r="C8" i="6131"/>
  <c r="O7" i="6131"/>
  <c r="H8" i="6131"/>
  <c r="C7" i="6131"/>
  <c r="O6" i="6131"/>
  <c r="H6" i="6131"/>
  <c r="B6" i="6131"/>
  <c r="O5" i="6131"/>
  <c r="H5" i="6131"/>
  <c r="B5" i="6131"/>
  <c r="O4" i="6131"/>
  <c r="H2" i="6131"/>
  <c r="O3" i="6131"/>
  <c r="H13" i="6131"/>
  <c r="O2" i="6131"/>
  <c r="H4" i="6131"/>
  <c r="O17" i="6129"/>
  <c r="O16" i="6129"/>
  <c r="H50" i="6129"/>
  <c r="H49" i="6129"/>
  <c r="H48" i="6129"/>
  <c r="C48" i="6129"/>
  <c r="H47" i="6129"/>
  <c r="H46" i="6129"/>
  <c r="H45" i="6129"/>
  <c r="H44" i="6129"/>
  <c r="H43" i="6129"/>
  <c r="H42" i="6129"/>
  <c r="C42" i="6129"/>
  <c r="H41" i="6129"/>
  <c r="H40" i="6129"/>
  <c r="C40" i="6129"/>
  <c r="H39" i="6129"/>
  <c r="H38" i="6129"/>
  <c r="C38" i="6129"/>
  <c r="H37" i="6129"/>
  <c r="H36" i="6129"/>
  <c r="H35" i="6129"/>
  <c r="H34" i="6129"/>
  <c r="C34" i="6129"/>
  <c r="H33" i="6129"/>
  <c r="H32" i="6129"/>
  <c r="H31" i="6129"/>
  <c r="H30" i="6129"/>
  <c r="H29" i="6129"/>
  <c r="B29" i="6129"/>
  <c r="H28" i="6129"/>
  <c r="H27" i="6129"/>
  <c r="H26" i="6129"/>
  <c r="B26" i="6129"/>
  <c r="H25" i="6129"/>
  <c r="C25" i="6129"/>
  <c r="H24" i="6129"/>
  <c r="C24" i="6129"/>
  <c r="H23" i="6129"/>
  <c r="C23" i="6129"/>
  <c r="H22" i="6129"/>
  <c r="C22" i="6129"/>
  <c r="H21" i="6129"/>
  <c r="C21" i="6129"/>
  <c r="H20" i="6129"/>
  <c r="C20" i="6129"/>
  <c r="H19" i="6129"/>
  <c r="C19" i="6129"/>
  <c r="B19" i="6129"/>
  <c r="C47" i="6129" s="1"/>
  <c r="H18" i="6129"/>
  <c r="C18" i="6129"/>
  <c r="B18" i="6129"/>
  <c r="B27" i="6129" s="1"/>
  <c r="H17" i="6129"/>
  <c r="C17" i="6129"/>
  <c r="B17" i="6129"/>
  <c r="H16" i="6129"/>
  <c r="C16" i="6129"/>
  <c r="H15" i="6129"/>
  <c r="C15" i="6129"/>
  <c r="H14" i="6129"/>
  <c r="C14" i="6129"/>
  <c r="H13" i="6129"/>
  <c r="O12" i="6129"/>
  <c r="H12" i="6129"/>
  <c r="B12" i="6129"/>
  <c r="B13" i="6129" s="1"/>
  <c r="O11" i="6129"/>
  <c r="H11" i="6129"/>
  <c r="B11" i="6129"/>
  <c r="O10" i="6129"/>
  <c r="H10" i="6129"/>
  <c r="B10" i="6129"/>
  <c r="H9" i="6129"/>
  <c r="C9" i="6129"/>
  <c r="H8" i="6129"/>
  <c r="C8" i="6129"/>
  <c r="O7" i="6129"/>
  <c r="H7" i="6129"/>
  <c r="C7" i="6129"/>
  <c r="O6" i="6129"/>
  <c r="H6" i="6129"/>
  <c r="B6" i="6129"/>
  <c r="O5" i="6129"/>
  <c r="H5" i="6129"/>
  <c r="B5" i="6129"/>
  <c r="O4" i="6129"/>
  <c r="H4" i="6129"/>
  <c r="O3" i="6129"/>
  <c r="H3" i="6129"/>
  <c r="O2" i="6129"/>
  <c r="H2" i="6129"/>
  <c r="O26" i="6125"/>
  <c r="O23" i="6127"/>
  <c r="O16" i="6127"/>
  <c r="H50" i="6127"/>
  <c r="H49" i="6127"/>
  <c r="H48" i="6127"/>
  <c r="H47" i="6127"/>
  <c r="H46" i="6127"/>
  <c r="H29" i="6127"/>
  <c r="H45" i="6127"/>
  <c r="H44" i="6127"/>
  <c r="H43" i="6127"/>
  <c r="H42" i="6127"/>
  <c r="H41" i="6127"/>
  <c r="H40" i="6127"/>
  <c r="H39" i="6127"/>
  <c r="H38" i="6127"/>
  <c r="H37" i="6127"/>
  <c r="H36" i="6127"/>
  <c r="H28" i="6127"/>
  <c r="C34" i="6127"/>
  <c r="H35" i="6127"/>
  <c r="H27" i="6127"/>
  <c r="H23" i="6127"/>
  <c r="H16" i="6127"/>
  <c r="H26" i="6127"/>
  <c r="B29" i="6127"/>
  <c r="H8" i="6127"/>
  <c r="H34" i="6127"/>
  <c r="H25" i="6127"/>
  <c r="H12" i="6127"/>
  <c r="H22" i="6127"/>
  <c r="H33" i="6127"/>
  <c r="H14" i="6127"/>
  <c r="H32" i="6127"/>
  <c r="H15" i="6127"/>
  <c r="C20" i="6127"/>
  <c r="H31" i="6127"/>
  <c r="B19" i="6127"/>
  <c r="H18" i="6127"/>
  <c r="B18" i="6127"/>
  <c r="C18" i="6127" s="1"/>
  <c r="H17" i="6127"/>
  <c r="B17" i="6127"/>
  <c r="C17" i="6127" s="1"/>
  <c r="H20" i="6127"/>
  <c r="C16" i="6127"/>
  <c r="H30" i="6127"/>
  <c r="C15" i="6127"/>
  <c r="H19" i="6127"/>
  <c r="C14" i="6127"/>
  <c r="H24" i="6127"/>
  <c r="O12" i="6127"/>
  <c r="H21" i="6127"/>
  <c r="B12" i="6127"/>
  <c r="O11" i="6127"/>
  <c r="H5" i="6127"/>
  <c r="B11" i="6127"/>
  <c r="O10" i="6127"/>
  <c r="H13" i="6127"/>
  <c r="B10" i="6127"/>
  <c r="H11" i="6127"/>
  <c r="C9" i="6127"/>
  <c r="H9" i="6127"/>
  <c r="C8" i="6127"/>
  <c r="O7" i="6127"/>
  <c r="H7" i="6127"/>
  <c r="C7" i="6127"/>
  <c r="O6" i="6127"/>
  <c r="H2" i="6127"/>
  <c r="B6" i="6127"/>
  <c r="O5" i="6127"/>
  <c r="H6" i="6127"/>
  <c r="B5" i="6127"/>
  <c r="O4" i="6127"/>
  <c r="H3" i="6127"/>
  <c r="O3" i="6127"/>
  <c r="H10" i="6127"/>
  <c r="O2" i="6127"/>
  <c r="H4" i="6127"/>
  <c r="O20" i="6125"/>
  <c r="O15" i="6125"/>
  <c r="H50" i="6125"/>
  <c r="H49" i="6125"/>
  <c r="H48" i="6125"/>
  <c r="H47" i="6125"/>
  <c r="H46" i="6125"/>
  <c r="H32" i="6125"/>
  <c r="H45" i="6125"/>
  <c r="H44" i="6125"/>
  <c r="H43" i="6125"/>
  <c r="H42" i="6125"/>
  <c r="H41" i="6125"/>
  <c r="H40" i="6125"/>
  <c r="H39" i="6125"/>
  <c r="H38" i="6125"/>
  <c r="H37" i="6125"/>
  <c r="H36" i="6125"/>
  <c r="H31" i="6125"/>
  <c r="C34" i="6125"/>
  <c r="H35" i="6125"/>
  <c r="H24" i="6125"/>
  <c r="H22" i="6125"/>
  <c r="H17" i="6125"/>
  <c r="H28" i="6125"/>
  <c r="B29" i="6125"/>
  <c r="H8" i="6125"/>
  <c r="H30" i="6125"/>
  <c r="H27" i="6125"/>
  <c r="H12" i="6125"/>
  <c r="H23" i="6125"/>
  <c r="H26" i="6125"/>
  <c r="H14" i="6125"/>
  <c r="H34" i="6125"/>
  <c r="H15" i="6125"/>
  <c r="C20" i="6125"/>
  <c r="H29" i="6125"/>
  <c r="B19" i="6125"/>
  <c r="C47" i="6125" s="1"/>
  <c r="H18" i="6125"/>
  <c r="B18" i="6125"/>
  <c r="C18" i="6125" s="1"/>
  <c r="H16" i="6125"/>
  <c r="B17" i="6125"/>
  <c r="C17" i="6125" s="1"/>
  <c r="H21" i="6125"/>
  <c r="C16" i="6125"/>
  <c r="H33" i="6125"/>
  <c r="C15" i="6125"/>
  <c r="H20" i="6125"/>
  <c r="C14" i="6125"/>
  <c r="H25" i="6125"/>
  <c r="O12" i="6125"/>
  <c r="H19" i="6125"/>
  <c r="B12" i="6125"/>
  <c r="O11" i="6125"/>
  <c r="H4" i="6125"/>
  <c r="B11" i="6125"/>
  <c r="O10" i="6125"/>
  <c r="H13" i="6125"/>
  <c r="B10" i="6125"/>
  <c r="H11" i="6125"/>
  <c r="C9" i="6125"/>
  <c r="H9" i="6125"/>
  <c r="C8" i="6125"/>
  <c r="O7" i="6125"/>
  <c r="H6" i="6125"/>
  <c r="C7" i="6125"/>
  <c r="O6" i="6125"/>
  <c r="H2" i="6125"/>
  <c r="B6" i="6125"/>
  <c r="O5" i="6125"/>
  <c r="H7" i="6125"/>
  <c r="B5" i="6125"/>
  <c r="O4" i="6125"/>
  <c r="H3" i="6125"/>
  <c r="O3" i="6125"/>
  <c r="H10" i="6125"/>
  <c r="O2" i="6125"/>
  <c r="H5" i="6125"/>
  <c r="B27" i="6131" l="1"/>
  <c r="C19" i="6131"/>
  <c r="C25" i="6131"/>
  <c r="B28" i="6127"/>
  <c r="B13" i="6131"/>
  <c r="B27" i="6127"/>
  <c r="C46" i="6129"/>
  <c r="C36" i="6129"/>
  <c r="C44" i="6129"/>
  <c r="B13" i="6127"/>
  <c r="C23" i="6131"/>
  <c r="C21" i="6131"/>
  <c r="C36" i="6131"/>
  <c r="C38" i="6131"/>
  <c r="C40" i="6131"/>
  <c r="C42" i="6131"/>
  <c r="C44" i="6131"/>
  <c r="C46" i="6131"/>
  <c r="C48" i="6131"/>
  <c r="C22" i="6131"/>
  <c r="C24" i="6131"/>
  <c r="B26" i="6131"/>
  <c r="B28" i="6131"/>
  <c r="C37" i="6131"/>
  <c r="C39" i="6131"/>
  <c r="C41" i="6131"/>
  <c r="C43" i="6131"/>
  <c r="C45" i="6131"/>
  <c r="B28" i="6129"/>
  <c r="C37" i="6129"/>
  <c r="C39" i="6129"/>
  <c r="C41" i="6129"/>
  <c r="C43" i="6129"/>
  <c r="C45" i="6129"/>
  <c r="B13" i="6125"/>
  <c r="B26" i="6127"/>
  <c r="C40" i="6127"/>
  <c r="C48" i="6127"/>
  <c r="C19" i="6127"/>
  <c r="C24" i="6127"/>
  <c r="C38" i="6127"/>
  <c r="C46" i="6127"/>
  <c r="C22" i="6127"/>
  <c r="C36" i="6127"/>
  <c r="C44" i="6127"/>
  <c r="C42" i="6127"/>
  <c r="C37" i="6127"/>
  <c r="C39" i="6127"/>
  <c r="C41" i="6127"/>
  <c r="C43" i="6127"/>
  <c r="C45" i="6127"/>
  <c r="C47" i="6127"/>
  <c r="C21" i="6127"/>
  <c r="C23" i="6127"/>
  <c r="C25" i="6127"/>
  <c r="C19" i="6125"/>
  <c r="C21" i="6125"/>
  <c r="C23" i="6125"/>
  <c r="B27" i="6125"/>
  <c r="C25" i="6125"/>
  <c r="C36" i="6125"/>
  <c r="C38" i="6125"/>
  <c r="C40" i="6125"/>
  <c r="C42" i="6125"/>
  <c r="C44" i="6125"/>
  <c r="C46" i="6125"/>
  <c r="C48" i="6125"/>
  <c r="C22" i="6125"/>
  <c r="C24" i="6125"/>
  <c r="B26" i="6125"/>
  <c r="B28" i="6125"/>
  <c r="C37" i="6125"/>
  <c r="C39" i="6125"/>
  <c r="C41" i="6125"/>
  <c r="C43" i="6125"/>
  <c r="C45" i="6125"/>
  <c r="B12" i="2228" l="1"/>
  <c r="B11" i="2228"/>
  <c r="B10" i="2228"/>
  <c r="B13" i="2228" s="1"/>
  <c r="H6" i="2228" l="1"/>
  <c r="H15" i="2228" l="1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7" i="2228"/>
  <c r="C19" i="2228"/>
  <c r="C18" i="2228"/>
  <c r="C15" i="2228"/>
  <c r="C16" i="2228"/>
  <c r="B18" i="2228" l="1"/>
  <c r="B17" i="2228"/>
  <c r="B5" i="2228"/>
  <c r="C20" i="2228"/>
  <c r="B29" i="2228"/>
  <c r="C8" i="2228"/>
  <c r="B28" i="2228" l="1"/>
  <c r="C34" i="2228" l="1"/>
  <c r="B19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5" i="2228" l="1"/>
  <c r="C23" i="2228"/>
  <c r="C21" i="2228"/>
  <c r="C22" i="2228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<sst xmlns="http://schemas.openxmlformats.org/spreadsheetml/2006/main" count="3880" uniqueCount="280">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</sst>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9-49A0-A368-50809589F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9-45E6-ACDB-8BC399E3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8C1-8E2D-EE782388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B62-8CF4-AD414586F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EEA-B6A3-1B10D11F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E-454D-AC85-A4F77A1D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1-49DB-BEBD-7F527F4ED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B-4D8E-AA07-14D4C65C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E31-AEA5-4E3115B6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5F-4474-A765-6F5F56BC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4-4700-9868-A9EE9FB6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C3E-97FA-63CEF0629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5-4948-83C6-F2DC839D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F-4DED-921B-64DA3AE0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F1D-9B02-035BDDB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F-4C1A-86CB-96A10674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00B-97B2-CFE98ADC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4-436B-ADC7-CC0AA98D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3-8FD8-1D282924D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626-AA14-97DAF3F3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2-4AA4-A4C3-D5722B74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9D2-910B-54A81A7F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0-46DB-B489-305F1174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F3A-AC3A-1CBB2485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6-4D87-AA3D-8933574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9-468C-9164-D58DB330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0-4E5C-AE15-1DB6DDB2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4-425F-AA56-D7FCA956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367-BDEB-721E0542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2-43F3-B22B-2986EE86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280-AEFF-F311C5EB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3-4B14-991B-B5E6E2EB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0EF-9300-A62027D7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B-4835-B601-D0A7AA8CC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7-4B62-8C1E-65B505232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B4C-A90C-109D4EE9B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0-441A-A196-145A35E4F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3-4229-93C8-3AD9FE0F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C-4801-BB99-1BF06661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D-4A22-AA3A-7E58E9F9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B-48CE-B18D-61BB5EDA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C-4C95-A41F-710973E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tabSelected="1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91" customWidth="1"/>
    <col min="13" max="13" width="3.625" style="1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1"/>
  </cols>
  <sheetData>
    <row r="1" spans="1:17" x14ac:dyDescent="0.4">
      <c r="A1" s="17" t="s">
        <v>0</v>
      </c>
      <c r="B1" s="144"/>
      <c r="C1" s="145"/>
      <c r="E1" s="120" t="s">
        <v>160</v>
      </c>
      <c r="F1" s="134" t="s">
        <v>115</v>
      </c>
      <c r="G1" s="133" t="s">
        <v>116</v>
      </c>
      <c r="H1" s="121" t="s">
        <v>117</v>
      </c>
      <c r="I1" s="134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">
      <c r="A2" s="18" t="s">
        <v>9</v>
      </c>
      <c r="B2" s="146">
        <v>0</v>
      </c>
      <c r="C2" s="147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1">IF(P2=0,0,Q2/P2)</f>
        <v>0</v>
      </c>
      <c r="P2" s="109">
        <v>0</v>
      </c>
      <c r="Q2" s="93">
        <v>0</v>
      </c>
    </row>
    <row r="3" spans="1:17" x14ac:dyDescent="0.4">
      <c r="A3" s="19" t="s">
        <v>8</v>
      </c>
      <c r="B3" s="148">
        <v>0</v>
      </c>
      <c r="C3" s="149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/>
      <c r="N3" s="106" t="s">
        <v>131</v>
      </c>
      <c r="O3" s="113">
        <f t="shared" si="1"/>
        <v>0</v>
      </c>
      <c r="P3" s="110">
        <v>0</v>
      </c>
      <c r="Q3" s="94">
        <v>0</v>
      </c>
    </row>
    <row r="4" spans="1:17" x14ac:dyDescent="0.4">
      <c r="A4" s="19" t="s">
        <v>6</v>
      </c>
      <c r="B4" s="150">
        <v>0</v>
      </c>
      <c r="C4" s="151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/>
      <c r="N4" s="106" t="s">
        <v>132</v>
      </c>
      <c r="O4" s="113">
        <f t="shared" si="1"/>
        <v>0</v>
      </c>
      <c r="P4" s="110">
        <v>0</v>
      </c>
      <c r="Q4" s="94">
        <v>0</v>
      </c>
    </row>
    <row r="5" spans="1:17" x14ac:dyDescent="0.4">
      <c r="A5" s="19" t="s">
        <v>7</v>
      </c>
      <c r="B5" s="152">
        <f>IF(B$2=0,0,B$4/B$2)</f>
        <v>0</v>
      </c>
      <c r="C5" s="153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/>
      <c r="N5" s="106" t="s">
        <v>133</v>
      </c>
      <c r="O5" s="113">
        <f t="shared" si="1"/>
        <v>0</v>
      </c>
      <c r="P5" s="110">
        <v>0</v>
      </c>
      <c r="Q5" s="94">
        <v>0</v>
      </c>
    </row>
    <row r="6" spans="1:17" x14ac:dyDescent="0.4">
      <c r="A6" s="19" t="s">
        <v>1</v>
      </c>
      <c r="B6" s="160">
        <f>IF(B$2=0,0,(B$7*1+B$8*2+B$9*3)/B$2)</f>
        <v>0</v>
      </c>
      <c r="C6" s="161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/>
      <c r="N6" s="106" t="s">
        <v>134</v>
      </c>
      <c r="O6" s="113">
        <f t="shared" si="1"/>
        <v>0</v>
      </c>
      <c r="P6" s="110">
        <v>0</v>
      </c>
      <c r="Q6" s="94">
        <v>0</v>
      </c>
    </row>
    <row r="7" spans="1:17" x14ac:dyDescent="0.4">
      <c r="A7" s="19" t="s">
        <v>2</v>
      </c>
      <c r="B7" s="13">
        <v>0</v>
      </c>
      <c r="C7" s="6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/>
      <c r="N7" s="107" t="s">
        <v>135</v>
      </c>
      <c r="O7" s="114">
        <f t="shared" si="1"/>
        <v>0</v>
      </c>
      <c r="P7" s="111">
        <v>0</v>
      </c>
      <c r="Q7" s="95">
        <v>0</v>
      </c>
    </row>
    <row r="8" spans="1:17" x14ac:dyDescent="0.4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/>
      <c r="N8" s="37"/>
      <c r="O8" s="118"/>
      <c r="P8" s="102"/>
      <c r="Q8" s="100"/>
    </row>
    <row r="9" spans="1:17" x14ac:dyDescent="0.4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0</v>
      </c>
      <c r="C12" s="141">
        <v>0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2">
        <f>AVERAGE(B10:B12)</f>
        <v>0</v>
      </c>
      <c r="C13" s="153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/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">
      <c r="A15" s="22" t="s">
        <v>121</v>
      </c>
      <c r="B15" s="15">
        <v>0</v>
      </c>
      <c r="C15" s="11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/>
      <c r="N15" s="105"/>
      <c r="O15" s="115"/>
      <c r="P15" s="109"/>
      <c r="Q15" s="97"/>
    </row>
    <row r="16" spans="1:17" x14ac:dyDescent="0.4">
      <c r="A16" s="19" t="s">
        <v>118</v>
      </c>
      <c r="B16" s="13">
        <v>0</v>
      </c>
      <c r="C16" s="6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/>
    </row>
    <row r="17" spans="1:9" x14ac:dyDescent="0.4">
      <c r="A17" s="18" t="s">
        <v>123</v>
      </c>
      <c r="B17" s="12">
        <f>B23</f>
        <v>0</v>
      </c>
      <c r="C17" s="4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/>
    </row>
    <row r="18" spans="1:9" x14ac:dyDescent="0.4">
      <c r="A18" s="18" t="s">
        <v>124</v>
      </c>
      <c r="B18" s="12">
        <f>B24</f>
        <v>0</v>
      </c>
      <c r="C18" s="4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/>
    </row>
    <row r="19" spans="1:9" x14ac:dyDescent="0.4">
      <c r="A19" s="18" t="s">
        <v>10</v>
      </c>
      <c r="B19" s="12">
        <f>B22+B21</f>
        <v>0</v>
      </c>
      <c r="C19" s="4">
        <f>IF(B$3=0,0,B19/B$3)</f>
        <v>0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/>
    </row>
    <row r="20" spans="1:9" x14ac:dyDescent="0.4">
      <c r="A20" s="47" t="s">
        <v>13</v>
      </c>
      <c r="B20" s="40">
        <v>0</v>
      </c>
      <c r="C20" s="33">
        <f>IF(B$3=0,0,B20/B$3)</f>
        <v>0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/>
    </row>
    <row r="21" spans="1:9" x14ac:dyDescent="0.4">
      <c r="A21" s="19" t="s">
        <v>12</v>
      </c>
      <c r="B21" s="13">
        <v>0</v>
      </c>
      <c r="C21" s="6">
        <f>IF(B$19=0,0,B21/B$19)</f>
        <v>0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/>
    </row>
    <row r="22" spans="1:9" x14ac:dyDescent="0.4">
      <c r="A22" s="19" t="s">
        <v>11</v>
      </c>
      <c r="B22" s="13">
        <v>0</v>
      </c>
      <c r="C22" s="6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/>
    </row>
    <row r="23" spans="1:9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/>
    </row>
    <row r="24" spans="1:9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/>
    </row>
    <row r="25" spans="1:9" x14ac:dyDescent="0.4">
      <c r="A25" s="19" t="s">
        <v>188</v>
      </c>
      <c r="B25" s="40">
        <v>0</v>
      </c>
      <c r="C25" s="33">
        <f>IF(B$19=0,0,B25/B$19)</f>
        <v>0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/>
    </row>
    <row r="26" spans="1:9" x14ac:dyDescent="0.4">
      <c r="A26" s="19" t="s">
        <v>5</v>
      </c>
      <c r="B26" s="16">
        <f>IF(B$19=0,0,C26/B$19)</f>
        <v>0</v>
      </c>
      <c r="C26" s="8">
        <v>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/>
    </row>
    <row r="27" spans="1:9" x14ac:dyDescent="0.4">
      <c r="A27" s="48" t="s">
        <v>171</v>
      </c>
      <c r="B27" s="127">
        <f>IF($B$19-B$18=0,0,C27/($B$19-B$18))</f>
        <v>0</v>
      </c>
      <c r="C27" s="128">
        <v>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/>
    </row>
    <row r="28" spans="1:9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/>
    </row>
    <row r="29" spans="1:9" x14ac:dyDescent="0.4">
      <c r="A29" s="48" t="s">
        <v>170</v>
      </c>
      <c r="B29" s="127">
        <f>IF(B$20=0,0,C29/B$20)</f>
        <v>0</v>
      </c>
      <c r="C29" s="128">
        <v>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/>
    </row>
    <row r="30" spans="1:9" x14ac:dyDescent="0.4">
      <c r="A30" s="47" t="s">
        <v>162</v>
      </c>
      <c r="B30" s="40">
        <v>0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/>
    </row>
    <row r="31" spans="1:9" x14ac:dyDescent="0.4">
      <c r="A31" s="47" t="s">
        <v>163</v>
      </c>
      <c r="B31" s="40">
        <v>0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/>
    </row>
    <row r="32" spans="1:9" x14ac:dyDescent="0.4">
      <c r="A32" s="82" t="s">
        <v>138</v>
      </c>
      <c r="B32" s="158">
        <v>0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/>
    </row>
    <row r="33" spans="1:9" x14ac:dyDescent="0.4">
      <c r="A33" s="50" t="s">
        <v>186</v>
      </c>
      <c r="B33" s="156">
        <v>-1000000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/>
    </row>
    <row r="34" spans="1:9" x14ac:dyDescent="0.4">
      <c r="A34" s="21" t="s">
        <v>139</v>
      </c>
      <c r="B34" s="26">
        <v>0</v>
      </c>
      <c r="C34" s="9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49" si="3">IF(B$51=0,0,G34/B$51)</f>
        <v>0</v>
      </c>
      <c r="I34" s="86"/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/>
    </row>
    <row r="36" spans="1:9" x14ac:dyDescent="0.4">
      <c r="A36" s="82" t="s">
        <v>177</v>
      </c>
      <c r="B36" s="129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/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/>
    </row>
    <row r="38" spans="1:9" x14ac:dyDescent="0.4">
      <c r="A38" s="47" t="s">
        <v>174</v>
      </c>
      <c r="B38" s="130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/>
    </row>
    <row r="39" spans="1:9" x14ac:dyDescent="0.4">
      <c r="A39" s="47" t="s">
        <v>175</v>
      </c>
      <c r="B39" s="130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/>
    </row>
    <row r="40" spans="1:9" x14ac:dyDescent="0.4">
      <c r="A40" s="47" t="s">
        <v>176</v>
      </c>
      <c r="B40" s="130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/>
    </row>
    <row r="41" spans="1:9" x14ac:dyDescent="0.4">
      <c r="A41" s="47" t="s">
        <v>178</v>
      </c>
      <c r="B41" s="130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/>
    </row>
    <row r="42" spans="1:9" x14ac:dyDescent="0.4">
      <c r="A42" s="47" t="s">
        <v>179</v>
      </c>
      <c r="B42" s="130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/>
    </row>
    <row r="43" spans="1:9" x14ac:dyDescent="0.4">
      <c r="A43" s="47" t="s">
        <v>180</v>
      </c>
      <c r="B43" s="130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/>
    </row>
    <row r="44" spans="1:9" x14ac:dyDescent="0.4">
      <c r="A44" s="47" t="s">
        <v>181</v>
      </c>
      <c r="B44" s="130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/>
    </row>
    <row r="45" spans="1:9" x14ac:dyDescent="0.4">
      <c r="A45" s="47" t="s">
        <v>182</v>
      </c>
      <c r="B45" s="130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/>
    </row>
    <row r="46" spans="1:9" x14ac:dyDescent="0.4">
      <c r="A46" s="47" t="s">
        <v>183</v>
      </c>
      <c r="B46" s="130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/>
    </row>
    <row r="47" spans="1:9" x14ac:dyDescent="0.4">
      <c r="A47" s="47" t="s">
        <v>184</v>
      </c>
      <c r="B47" s="130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/>
    </row>
    <row r="48" spans="1:9" x14ac:dyDescent="0.4">
      <c r="A48" s="49" t="s">
        <v>185</v>
      </c>
      <c r="B48" s="131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/>
    </row>
    <row r="49" spans="1:9" x14ac:dyDescent="0.4">
      <c r="E49" s="56" t="s">
        <v>111</v>
      </c>
      <c r="F49" s="53" t="s">
        <v>63</v>
      </c>
      <c r="G49" s="42">
        <v>0</v>
      </c>
      <c r="H49" s="125">
        <f t="shared" si="3"/>
        <v>0</v>
      </c>
      <c r="I49" s="87"/>
    </row>
    <row r="50" spans="1:9" x14ac:dyDescent="0.4">
      <c r="A50" s="82" t="s">
        <v>197</v>
      </c>
      <c r="B50" s="146">
        <v>0</v>
      </c>
      <c r="C50" s="147"/>
    </row>
    <row r="51" spans="1:9" x14ac:dyDescent="0.4">
      <c r="A51" s="49" t="s">
        <v>198</v>
      </c>
      <c r="B51" s="154">
        <v>0</v>
      </c>
      <c r="C51" s="155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4" customWidth="1"/>
    <col min="2" max="2" width="19.25" style="25" customWidth="1"/>
    <col min="3" max="16384" width="9" style="24"/>
  </cols>
  <sheetData>
    <row r="1" spans="1:14" x14ac:dyDescent="0.4">
      <c r="A1" s="23">
        <v>32874</v>
      </c>
      <c r="B1" s="23">
        <v>2958465</v>
      </c>
    </row>
    <row r="2" spans="1:14" x14ac:dyDescent="0.4">
      <c r="A2" s="24" t="s">
        <v>199</v>
      </c>
      <c r="B2" s="25">
        <v>43515.368194444447</v>
      </c>
      <c r="C2" s="24" t="s">
        <v>128</v>
      </c>
    </row>
    <row r="3" spans="1:14" x14ac:dyDescent="0.4">
      <c r="A3" s="24" t="s">
        <v>202</v>
      </c>
      <c r="B3" s="25">
        <v>43472.765682870369</v>
      </c>
      <c r="C3" s="24" t="s">
        <v>128</v>
      </c>
    </row>
    <row r="4" spans="1:14" x14ac:dyDescent="0.4">
      <c r="A4" s="24" t="s">
        <v>203</v>
      </c>
      <c r="B4" s="25">
        <v>43472.765682870369</v>
      </c>
      <c r="C4" s="24" t="s">
        <v>128</v>
      </c>
    </row>
    <row r="5" spans="1:14" x14ac:dyDescent="0.4">
      <c r="A5" s="24" t="s">
        <v>204</v>
      </c>
      <c r="B5" s="25">
        <v>43472.765682870369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">
      <c r="A6" s="24" t="s">
        <v>206</v>
      </c>
      <c r="B6" s="25">
        <v>43472.765682870369</v>
      </c>
      <c r="C6" s="24" t="s">
        <v>128</v>
      </c>
    </row>
    <row r="7" spans="1:14" x14ac:dyDescent="0.4">
      <c r="A7" s="24" t="s">
        <v>207</v>
      </c>
      <c r="B7" s="25">
        <v>43472.765682870369</v>
      </c>
      <c r="C7" s="24" t="s">
        <v>128</v>
      </c>
      <c r="D7" s="24" t="s">
        <v>129</v>
      </c>
      <c r="E7" s="24" t="s">
        <v>167</v>
      </c>
    </row>
    <row r="8" spans="1:14" x14ac:dyDescent="0.4">
      <c r="A8" s="24" t="s">
        <v>208</v>
      </c>
      <c r="B8" s="25">
        <v>43492.926504629628</v>
      </c>
      <c r="C8" s="24" t="s">
        <v>128</v>
      </c>
      <c r="D8" s="24" t="s">
        <v>129</v>
      </c>
    </row>
    <row r="9" spans="1:14" x14ac:dyDescent="0.4">
      <c r="A9" s="24" t="s">
        <v>209</v>
      </c>
      <c r="B9" s="25">
        <v>43472.765682870369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">
      <c r="A10" s="24" t="s">
        <v>210</v>
      </c>
      <c r="B10" s="25">
        <v>43515.368194444447</v>
      </c>
      <c r="C10" s="24" t="s">
        <v>128</v>
      </c>
      <c r="D10" s="24" t="s">
        <v>129</v>
      </c>
      <c r="E10" s="24" t="s">
        <v>167</v>
      </c>
    </row>
    <row r="11" spans="1:14" x14ac:dyDescent="0.4">
      <c r="A11" s="24" t="s">
        <v>211</v>
      </c>
      <c r="B11" s="25">
        <v>43472.765682870369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">
      <c r="A12" s="24" t="s">
        <v>212</v>
      </c>
      <c r="B12" s="25">
        <v>43503.414918981478</v>
      </c>
      <c r="C12" s="24" t="s">
        <v>128</v>
      </c>
    </row>
    <row r="13" spans="1:14" x14ac:dyDescent="0.4">
      <c r="A13" s="24" t="s">
        <v>213</v>
      </c>
      <c r="B13" s="25">
        <v>43472.765682870369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">
      <c r="A14" s="24" t="s">
        <v>217</v>
      </c>
      <c r="B14" s="25">
        <v>43472.765682870369</v>
      </c>
      <c r="C14" s="24" t="s">
        <v>128</v>
      </c>
      <c r="D14" s="24" t="s">
        <v>129</v>
      </c>
      <c r="E14" s="24" t="s">
        <v>167</v>
      </c>
    </row>
    <row r="15" spans="1:14" x14ac:dyDescent="0.4">
      <c r="A15" s="24" t="s">
        <v>218</v>
      </c>
      <c r="B15" s="25">
        <v>43472.765682870369</v>
      </c>
      <c r="C15" s="24" t="s">
        <v>128</v>
      </c>
      <c r="D15" s="24" t="s">
        <v>129</v>
      </c>
      <c r="E15" s="24" t="s">
        <v>167</v>
      </c>
    </row>
    <row r="16" spans="1:14" x14ac:dyDescent="0.4">
      <c r="A16" s="24" t="s">
        <v>219</v>
      </c>
      <c r="B16" s="25">
        <v>43753.952048611114</v>
      </c>
      <c r="C16" s="24" t="s">
        <v>128</v>
      </c>
      <c r="D16" s="24" t="s">
        <v>129</v>
      </c>
      <c r="E16" s="24" t="s">
        <v>167</v>
      </c>
    </row>
    <row r="17" spans="1:9" x14ac:dyDescent="0.4">
      <c r="A17" s="24" t="s">
        <v>220</v>
      </c>
      <c r="B17" s="25">
        <v>43753.952048611114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">
      <c r="A18" s="24" t="s">
        <v>221</v>
      </c>
      <c r="B18" s="25">
        <v>43472.765682870369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">
      <c r="A19" s="24" t="s">
        <v>222</v>
      </c>
      <c r="B19" s="25">
        <v>43472.765682870369</v>
      </c>
      <c r="C19" s="24" t="s">
        <v>128</v>
      </c>
      <c r="D19" s="24" t="s">
        <v>129</v>
      </c>
    </row>
    <row r="20" spans="1:9" x14ac:dyDescent="0.4">
      <c r="A20" s="24" t="s">
        <v>223</v>
      </c>
      <c r="B20" s="25">
        <v>43472.765682870369</v>
      </c>
      <c r="C20" s="24" t="s">
        <v>128</v>
      </c>
      <c r="D20" s="24" t="s">
        <v>129</v>
      </c>
      <c r="E20" s="24" t="s">
        <v>167</v>
      </c>
    </row>
    <row r="21" spans="1:9" x14ac:dyDescent="0.4">
      <c r="A21" s="24" t="s">
        <v>224</v>
      </c>
      <c r="B21" s="25">
        <v>43486.376875000002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">
      <c r="A22" s="24" t="s">
        <v>225</v>
      </c>
      <c r="B22" s="25">
        <v>43472.765682870369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">
      <c r="A23" s="24" t="s">
        <v>226</v>
      </c>
      <c r="B23" s="25">
        <v>43472.765682870369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">
      <c r="A24" s="24" t="s">
        <v>227</v>
      </c>
      <c r="B24" s="25">
        <v>43472.765682870369</v>
      </c>
      <c r="C24" s="24" t="s">
        <v>128</v>
      </c>
      <c r="D24" s="24" t="s">
        <v>129</v>
      </c>
      <c r="E24" s="24" t="s">
        <v>167</v>
      </c>
    </row>
    <row r="25" spans="1:9" x14ac:dyDescent="0.4">
      <c r="A25" s="24" t="s">
        <v>228</v>
      </c>
      <c r="B25" s="25">
        <v>43472.765682870369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">
      <c r="A26" s="24" t="s">
        <v>229</v>
      </c>
      <c r="B26" s="25">
        <v>43472.765682870369</v>
      </c>
      <c r="C26" s="24" t="s">
        <v>128</v>
      </c>
      <c r="D26" s="24" t="s">
        <v>129</v>
      </c>
    </row>
    <row r="27" spans="1:9" x14ac:dyDescent="0.4">
      <c r="A27" s="24" t="s">
        <v>230</v>
      </c>
      <c r="B27" s="25">
        <v>43472.765682870369</v>
      </c>
      <c r="C27" s="24" t="s">
        <v>128</v>
      </c>
      <c r="D27" s="24" t="s">
        <v>129</v>
      </c>
    </row>
    <row r="28" spans="1:9" x14ac:dyDescent="0.4">
      <c r="A28" s="24" t="s">
        <v>231</v>
      </c>
      <c r="B28" s="25">
        <v>43472.765682870369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">
      <c r="A29" s="24" t="s">
        <v>232</v>
      </c>
      <c r="B29" s="25">
        <v>43472.765682870369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">
      <c r="A30" s="24" t="s">
        <v>233</v>
      </c>
      <c r="B30" s="25">
        <v>43472.765682870369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">
      <c r="A31" s="24" t="s">
        <v>234</v>
      </c>
      <c r="B31" s="25">
        <v>43472.765682870369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">
      <c r="A32" s="24" t="s">
        <v>235</v>
      </c>
      <c r="B32" s="25">
        <v>43476.556539351855</v>
      </c>
      <c r="C32" s="24" t="s">
        <v>128</v>
      </c>
    </row>
    <row r="33" spans="1:10" x14ac:dyDescent="0.4">
      <c r="A33" s="24" t="s">
        <v>236</v>
      </c>
      <c r="B33" s="25">
        <v>43480.364594907405</v>
      </c>
      <c r="C33" s="24" t="s">
        <v>128</v>
      </c>
      <c r="D33" s="24" t="s">
        <v>129</v>
      </c>
      <c r="E33" s="24" t="s">
        <v>167</v>
      </c>
    </row>
    <row r="34" spans="1:10" x14ac:dyDescent="0.4">
      <c r="A34" s="24" t="s">
        <v>238</v>
      </c>
      <c r="B34" s="25">
        <v>43480.364594907405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">
      <c r="A35" s="24" t="s">
        <v>239</v>
      </c>
      <c r="B35" s="25">
        <v>43753.952048611114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">
      <c r="A36" s="24" t="s">
        <v>240</v>
      </c>
      <c r="B36" s="25">
        <v>43483.396608796298</v>
      </c>
      <c r="C36" s="24" t="s">
        <v>128</v>
      </c>
      <c r="D36" s="24" t="s">
        <v>129</v>
      </c>
      <c r="E36" s="24" t="s">
        <v>167</v>
      </c>
    </row>
    <row r="37" spans="1:10" x14ac:dyDescent="0.4">
      <c r="A37" s="24" t="s">
        <v>241</v>
      </c>
      <c r="B37" s="25">
        <v>43483.396608796298</v>
      </c>
      <c r="C37" s="24" t="s">
        <v>128</v>
      </c>
      <c r="D37" s="24" t="s">
        <v>129</v>
      </c>
    </row>
    <row r="38" spans="1:10" x14ac:dyDescent="0.4">
      <c r="A38" s="24" t="s">
        <v>242</v>
      </c>
      <c r="B38" s="25">
        <v>43483.396608796298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">
      <c r="A39" s="24" t="s">
        <v>243</v>
      </c>
      <c r="B39" s="25">
        <v>43486.376875000002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">
      <c r="A40" s="24" t="s">
        <v>244</v>
      </c>
      <c r="B40" s="25">
        <v>43486.376875000002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">
      <c r="A41" s="24" t="s">
        <v>245</v>
      </c>
      <c r="B41" s="25">
        <v>43486.376875000002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">
      <c r="A42" s="24" t="s">
        <v>246</v>
      </c>
      <c r="B42" s="25">
        <v>43753.952048611114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">
      <c r="A43" s="24" t="s">
        <v>247</v>
      </c>
      <c r="B43" s="25">
        <v>43488.434178240743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">
      <c r="A44" s="24" t="s">
        <v>248</v>
      </c>
      <c r="B44" s="25">
        <v>43489.37259259259</v>
      </c>
      <c r="C44" s="24" t="s">
        <v>128</v>
      </c>
      <c r="D44" s="24" t="s">
        <v>129</v>
      </c>
      <c r="E44" s="24" t="s">
        <v>167</v>
      </c>
    </row>
    <row r="45" spans="1:10" x14ac:dyDescent="0.4">
      <c r="A45" s="24" t="s">
        <v>249</v>
      </c>
      <c r="B45" s="25">
        <v>43492.926504629628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">
      <c r="A46" s="24" t="s">
        <v>250</v>
      </c>
      <c r="B46" s="25">
        <v>43789.384386574071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">
      <c r="A47" s="24" t="s">
        <v>251</v>
      </c>
      <c r="B47" s="25">
        <v>43492.926504629628</v>
      </c>
      <c r="C47" s="24" t="s">
        <v>128</v>
      </c>
      <c r="D47" s="24" t="s">
        <v>129</v>
      </c>
      <c r="E47" s="24" t="s">
        <v>167</v>
      </c>
    </row>
    <row r="48" spans="1:10" x14ac:dyDescent="0.4">
      <c r="A48" s="24" t="s">
        <v>252</v>
      </c>
      <c r="B48" s="25">
        <v>43493.787962962961</v>
      </c>
      <c r="C48" s="24" t="s">
        <v>128</v>
      </c>
      <c r="D48" s="24" t="s">
        <v>129</v>
      </c>
    </row>
    <row r="49" spans="1:14" x14ac:dyDescent="0.4">
      <c r="A49" s="24" t="s">
        <v>253</v>
      </c>
      <c r="B49" s="25">
        <v>43503.414918981478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">
      <c r="A50" s="24" t="s">
        <v>254</v>
      </c>
      <c r="B50" s="25">
        <v>43503.414918981478</v>
      </c>
      <c r="C50" s="24" t="s">
        <v>128</v>
      </c>
      <c r="D50" s="24" t="s">
        <v>129</v>
      </c>
      <c r="E50" s="24" t="s">
        <v>167</v>
      </c>
    </row>
    <row r="51" spans="1:14" x14ac:dyDescent="0.4">
      <c r="A51" s="24" t="s">
        <v>255</v>
      </c>
      <c r="B51" s="25">
        <v>43503.414918981478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">
      <c r="A52" s="24" t="s">
        <v>256</v>
      </c>
      <c r="B52" s="25">
        <v>43503.414918981478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">
      <c r="A53" s="24" t="s">
        <v>257</v>
      </c>
      <c r="B53" s="25">
        <v>43503.414918981478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">
      <c r="A54" s="24" t="s">
        <v>258</v>
      </c>
      <c r="B54" s="25">
        <v>43503.414918981478</v>
      </c>
      <c r="C54" s="24" t="s">
        <v>128</v>
      </c>
      <c r="D54" s="24" t="s">
        <v>129</v>
      </c>
    </row>
    <row r="55" spans="1:14" x14ac:dyDescent="0.4">
      <c r="A55" s="24" t="s">
        <v>259</v>
      </c>
      <c r="B55" s="25">
        <v>43515.368194444447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">
      <c r="A56" s="24" t="s">
        <v>260</v>
      </c>
      <c r="B56" s="25">
        <v>43515.368194444447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">
      <c r="A57" s="24" t="s">
        <v>261</v>
      </c>
      <c r="B57" s="25">
        <v>43515.368194444447</v>
      </c>
      <c r="C57" s="24" t="s">
        <v>128</v>
      </c>
      <c r="D57" s="24" t="s">
        <v>129</v>
      </c>
      <c r="E57" s="24" t="s">
        <v>167</v>
      </c>
    </row>
    <row r="58" spans="1:14" x14ac:dyDescent="0.4">
      <c r="A58" s="24" t="s">
        <v>262</v>
      </c>
      <c r="B58" s="25">
        <v>43515.368194444447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">
      <c r="A59" s="24" t="s">
        <v>263</v>
      </c>
      <c r="B59" s="25">
        <v>43515.368194444447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">
      <c r="A60" s="24" t="s">
        <v>264</v>
      </c>
      <c r="B60" s="25">
        <v>43515.368194444447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">
      <c r="A61" s="24" t="s">
        <v>265</v>
      </c>
      <c r="B61" s="25">
        <v>43515.368194444447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">
      <c r="A62" s="24" t="s">
        <v>266</v>
      </c>
      <c r="B62" s="25">
        <v>43515.368194444447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">
      <c r="A63" s="24" t="s">
        <v>267</v>
      </c>
      <c r="B63" s="25">
        <v>43529.628333333334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">
      <c r="A64" s="24" t="s">
        <v>268</v>
      </c>
      <c r="B64" s="25">
        <v>43753.952048611114</v>
      </c>
      <c r="C64" s="24" t="s">
        <v>128</v>
      </c>
      <c r="D64" s="24" t="s">
        <v>129</v>
      </c>
      <c r="E64" s="24" t="s">
        <v>167</v>
      </c>
    </row>
    <row r="65" spans="1:9" x14ac:dyDescent="0.4">
      <c r="A65" s="24" t="s">
        <v>269</v>
      </c>
      <c r="B65" s="25">
        <v>43529.628333333334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">
      <c r="A66" s="24" t="s">
        <v>270</v>
      </c>
      <c r="B66" s="25">
        <v>43529.628333333334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">
      <c r="A67" s="24" t="s">
        <v>271</v>
      </c>
      <c r="B67" s="25">
        <v>43753.952048611114</v>
      </c>
      <c r="C67" s="24" t="s">
        <v>128</v>
      </c>
      <c r="D67" s="24" t="s">
        <v>129</v>
      </c>
    </row>
    <row r="68" spans="1:9" x14ac:dyDescent="0.4">
      <c r="A68" s="24" t="s">
        <v>272</v>
      </c>
      <c r="B68" s="25">
        <v>43529.628333333334</v>
      </c>
      <c r="C68" s="24" t="s">
        <v>128</v>
      </c>
      <c r="D68" s="24" t="s">
        <v>129</v>
      </c>
      <c r="E68" s="24" t="s">
        <v>167</v>
      </c>
    </row>
    <row r="69" spans="1:9" x14ac:dyDescent="0.4">
      <c r="A69" s="24" t="s">
        <v>273</v>
      </c>
      <c r="B69" s="25">
        <v>43753.952048611114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6" x14ac:dyDescent="0.4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200</v>
      </c>
      <c r="B3">
        <v>4</v>
      </c>
    </row>
    <row r="4" spans="1:2" x14ac:dyDescent="0.4">
      <c r="A4" t="s">
        <v>201</v>
      </c>
      <c r="B4">
        <v>4</v>
      </c>
    </row>
    <row r="5" spans="1:2" x14ac:dyDescent="0.4">
      <c r="A5" t="s">
        <v>166</v>
      </c>
      <c r="B5">
        <v>142</v>
      </c>
    </row>
    <row r="6" spans="1:2" x14ac:dyDescent="0.4">
      <c r="A6" t="s">
        <v>196</v>
      </c>
      <c r="B6">
        <v>65</v>
      </c>
    </row>
    <row r="7" spans="1:2" x14ac:dyDescent="0.4">
      <c r="A7" t="s">
        <v>205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214</v>
      </c>
      <c r="B10">
        <v>33</v>
      </c>
    </row>
    <row r="11" spans="1:2" x14ac:dyDescent="0.4">
      <c r="A11" t="s">
        <v>164</v>
      </c>
      <c r="B11">
        <v>131</v>
      </c>
    </row>
    <row r="12" spans="1:2" x14ac:dyDescent="0.4">
      <c r="A12" t="s">
        <v>237</v>
      </c>
      <c r="B12">
        <v>6</v>
      </c>
    </row>
    <row r="13" spans="1:2" x14ac:dyDescent="0.4">
      <c r="A13" t="s">
        <v>165</v>
      </c>
      <c r="B13">
        <v>36</v>
      </c>
    </row>
    <row r="14" spans="1:2" x14ac:dyDescent="0.4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zoomScale="130" zoomScaleNormal="130" workbookViewId="0"/>
  </sheetViews>
  <sheetFormatPr defaultColWidth="9" defaultRowHeight="18.75" x14ac:dyDescent="0.4"/>
  <cols>
    <col min="1" max="1" width="6" style="74" customWidth="1"/>
    <col min="2" max="2" width="10.75" style="77" customWidth="1"/>
    <col min="3" max="3" width="10.75" style="143" customWidth="1"/>
    <col min="4" max="4" width="10.75" style="75" customWidth="1"/>
    <col min="5" max="5" width="10.75" style="76" customWidth="1"/>
    <col min="6" max="6" width="10.75" style="77" customWidth="1"/>
    <col min="7" max="7" width="10.75" style="89" customWidth="1"/>
    <col min="8" max="8" width="10.75" style="77" customWidth="1"/>
    <col min="9" max="9" width="10.75" style="89" customWidth="1"/>
    <col min="10" max="10" width="10.75" style="77" customWidth="1"/>
    <col min="11" max="11" width="10.75" style="78" customWidth="1"/>
    <col min="12" max="12" width="10.75" style="77" customWidth="1"/>
    <col min="13" max="13" width="10.75" style="79" customWidth="1"/>
    <col min="14" max="14" width="10.75" style="77" customWidth="1"/>
    <col min="15" max="15" width="10.75" style="79" customWidth="1"/>
    <col min="16" max="16" width="10.75" style="77" customWidth="1"/>
    <col min="17" max="17" width="10.75" style="80" customWidth="1"/>
    <col min="18" max="18" width="10.75" style="77" customWidth="1"/>
    <col min="19" max="19" width="10.75" style="80" customWidth="1"/>
    <col min="20" max="20" width="10.75" style="77" customWidth="1"/>
    <col min="21" max="21" width="10.75" style="81" customWidth="1"/>
    <col min="22" max="22" width="10.75" style="77" customWidth="1"/>
    <col min="23" max="23" width="10.75" style="81" customWidth="1"/>
    <col min="24" max="24" width="10.75" style="77" customWidth="1"/>
    <col min="25" max="25" width="10.75" style="79" customWidth="1"/>
    <col min="26" max="26" width="10.75" style="77" customWidth="1"/>
    <col min="27" max="27" width="10.75" style="80" customWidth="1"/>
    <col min="28" max="28" width="10.75" style="77" customWidth="1"/>
    <col min="29" max="29" width="10.75" style="80" customWidth="1"/>
    <col min="30" max="30" width="10.75" style="77" customWidth="1"/>
    <col min="31" max="31" width="10.75" style="80" customWidth="1"/>
    <col min="32" max="32" width="10.75" style="77" customWidth="1"/>
    <col min="33" max="33" width="10.75" style="80" customWidth="1"/>
    <col min="34" max="34" width="10.75" style="77" customWidth="1"/>
    <col min="35" max="35" width="10.75" style="80" customWidth="1"/>
    <col min="36" max="36" width="10.75" style="77" customWidth="1"/>
    <col min="37" max="37" width="10.75" style="84" customWidth="1"/>
    <col min="38" max="16384" width="9" style="65"/>
  </cols>
  <sheetData>
    <row r="1" spans="1:37" x14ac:dyDescent="0.4">
      <c r="A1" s="64"/>
      <c r="B1" s="162" t="s">
        <v>9</v>
      </c>
      <c r="C1" s="163"/>
      <c r="D1" s="162" t="s">
        <v>6</v>
      </c>
      <c r="E1" s="163"/>
      <c r="F1" s="162" t="s">
        <v>7</v>
      </c>
      <c r="G1" s="163"/>
      <c r="H1" s="168" t="s">
        <v>279</v>
      </c>
      <c r="I1" s="169"/>
      <c r="J1" s="162" t="s">
        <v>15</v>
      </c>
      <c r="K1" s="163"/>
      <c r="L1" s="162" t="s">
        <v>14</v>
      </c>
      <c r="M1" s="163"/>
      <c r="N1" s="162" t="s">
        <v>155</v>
      </c>
      <c r="O1" s="163"/>
      <c r="P1" s="162" t="s">
        <v>145</v>
      </c>
      <c r="Q1" s="163"/>
      <c r="R1" s="162" t="s">
        <v>146</v>
      </c>
      <c r="S1" s="163"/>
      <c r="T1" s="162" t="s">
        <v>5</v>
      </c>
      <c r="U1" s="163"/>
      <c r="V1" s="162" t="s">
        <v>16</v>
      </c>
      <c r="W1" s="163"/>
      <c r="X1" s="162" t="s">
        <v>17</v>
      </c>
      <c r="Y1" s="163"/>
      <c r="Z1" s="162" t="s">
        <v>122</v>
      </c>
      <c r="AA1" s="163"/>
      <c r="AB1" s="162" t="s">
        <v>119</v>
      </c>
      <c r="AC1" s="163"/>
      <c r="AD1" s="162" t="s">
        <v>125</v>
      </c>
      <c r="AE1" s="163"/>
      <c r="AF1" s="162" t="s">
        <v>147</v>
      </c>
      <c r="AG1" s="163"/>
      <c r="AH1" s="162" t="s">
        <v>140</v>
      </c>
      <c r="AI1" s="163"/>
      <c r="AJ1" s="162" t="s">
        <v>186</v>
      </c>
      <c r="AK1" s="163"/>
    </row>
    <row r="2" spans="1:37" x14ac:dyDescent="0.4">
      <c r="A2" s="64" t="s">
        <v>154</v>
      </c>
      <c r="B2" s="164">
        <v>0.6609574010625473</v>
      </c>
      <c r="C2" s="165"/>
      <c r="D2" s="166"/>
      <c r="E2" s="167"/>
      <c r="F2" s="166"/>
      <c r="G2" s="167"/>
      <c r="H2" s="164">
        <v>0.13084065747269072</v>
      </c>
      <c r="I2" s="165"/>
      <c r="J2" s="164">
        <v>0.75717035300968927</v>
      </c>
      <c r="K2" s="165"/>
      <c r="L2" s="164">
        <v>0.80347363292564766</v>
      </c>
      <c r="M2" s="165"/>
      <c r="N2" s="164">
        <v>0.70350326051239553</v>
      </c>
      <c r="O2" s="165"/>
      <c r="P2" s="164">
        <v>0.66459550405676926</v>
      </c>
      <c r="Q2" s="165"/>
      <c r="R2" s="164">
        <v>0.61609329088972298</v>
      </c>
      <c r="S2" s="165"/>
      <c r="T2" s="164">
        <v>4.7221925567155591E-2</v>
      </c>
      <c r="U2" s="165"/>
      <c r="V2" s="164">
        <v>0.17084977812679661</v>
      </c>
      <c r="W2" s="165"/>
      <c r="X2" s="164">
        <v>0.5511640470807514</v>
      </c>
      <c r="Y2" s="165"/>
      <c r="Z2" s="164">
        <v>0.26872572164020259</v>
      </c>
      <c r="AA2" s="165"/>
      <c r="AB2" s="164">
        <v>-0.19369011238098316</v>
      </c>
      <c r="AC2" s="165"/>
      <c r="AD2" s="164">
        <v>0.60927769289166878</v>
      </c>
      <c r="AE2" s="165"/>
      <c r="AF2" s="164">
        <v>0.58315174289470817</v>
      </c>
      <c r="AG2" s="165"/>
      <c r="AH2" s="164">
        <v>-0.47163957090416997</v>
      </c>
      <c r="AI2" s="165"/>
      <c r="AJ2" s="164">
        <v>0.38076401722417619</v>
      </c>
      <c r="AK2" s="165"/>
    </row>
    <row r="3" spans="1:37" x14ac:dyDescent="0.4">
      <c r="A3" s="66">
        <v>1</v>
      </c>
      <c r="B3" s="69" t="s">
        <v>141</v>
      </c>
      <c r="C3" s="142">
        <v>301</v>
      </c>
      <c r="D3" s="67" t="s">
        <v>126</v>
      </c>
      <c r="E3" s="68">
        <v>1889.9999999999993</v>
      </c>
      <c r="F3" s="69" t="s">
        <v>237</v>
      </c>
      <c r="G3" s="88">
        <v>8</v>
      </c>
      <c r="H3" s="69" t="s">
        <v>237</v>
      </c>
      <c r="I3" s="88">
        <v>4.0444444444444443</v>
      </c>
      <c r="J3" s="69" t="s">
        <v>126</v>
      </c>
      <c r="K3" s="70">
        <v>1.7470817120622568</v>
      </c>
      <c r="L3" s="69" t="s">
        <v>237</v>
      </c>
      <c r="M3" s="71">
        <v>0.5</v>
      </c>
      <c r="N3" s="69" t="s">
        <v>126</v>
      </c>
      <c r="O3" s="71">
        <v>0.19844357976653695</v>
      </c>
      <c r="P3" s="69" t="s">
        <v>237</v>
      </c>
      <c r="Q3" s="72">
        <v>0.38</v>
      </c>
      <c r="R3" s="69" t="s">
        <v>237</v>
      </c>
      <c r="S3" s="72">
        <v>0.08</v>
      </c>
      <c r="T3" s="69" t="s">
        <v>201</v>
      </c>
      <c r="U3" s="73">
        <v>12333.333333333334</v>
      </c>
      <c r="V3" s="69" t="s">
        <v>200</v>
      </c>
      <c r="W3" s="73">
        <v>-8240</v>
      </c>
      <c r="X3" s="69" t="s">
        <v>201</v>
      </c>
      <c r="Y3" s="71">
        <v>0</v>
      </c>
      <c r="Z3" s="69" t="s">
        <v>201</v>
      </c>
      <c r="AA3" s="72">
        <v>0.42105263157894735</v>
      </c>
      <c r="AB3" s="69" t="s">
        <v>165</v>
      </c>
      <c r="AC3" s="72">
        <v>0.35483870967741937</v>
      </c>
      <c r="AD3" s="69" t="s">
        <v>205</v>
      </c>
      <c r="AE3" s="72">
        <v>0.75</v>
      </c>
      <c r="AF3" s="69" t="s">
        <v>201</v>
      </c>
      <c r="AG3" s="72">
        <v>1</v>
      </c>
      <c r="AH3" s="69" t="s">
        <v>200</v>
      </c>
      <c r="AI3" s="72">
        <v>1</v>
      </c>
      <c r="AJ3" s="69" t="s">
        <v>164</v>
      </c>
      <c r="AK3" s="83">
        <v>124700</v>
      </c>
    </row>
    <row r="4" spans="1:37" x14ac:dyDescent="0.4">
      <c r="A4" s="74">
        <v>2</v>
      </c>
      <c r="B4" s="77" t="s">
        <v>126</v>
      </c>
      <c r="C4" s="143">
        <v>257</v>
      </c>
      <c r="D4" s="75" t="s">
        <v>196</v>
      </c>
      <c r="E4" s="76">
        <v>270.8</v>
      </c>
      <c r="F4" s="77" t="s">
        <v>126</v>
      </c>
      <c r="G4" s="89">
        <v>7.3540856031128374</v>
      </c>
      <c r="H4" s="77" t="s">
        <v>196</v>
      </c>
      <c r="I4" s="89">
        <v>2.1718428630193336</v>
      </c>
      <c r="J4" s="77" t="s">
        <v>237</v>
      </c>
      <c r="K4" s="78">
        <v>1.8333333333333333</v>
      </c>
      <c r="L4" s="77" t="s">
        <v>126</v>
      </c>
      <c r="M4" s="79">
        <v>0.45136186770428016</v>
      </c>
      <c r="N4" s="77" t="s">
        <v>201</v>
      </c>
      <c r="O4" s="79">
        <v>0.25</v>
      </c>
      <c r="P4" s="77" t="s">
        <v>126</v>
      </c>
      <c r="Q4" s="80">
        <v>0.35714285714285715</v>
      </c>
      <c r="R4" s="77" t="s">
        <v>126</v>
      </c>
      <c r="S4" s="80">
        <v>0.14028776978417265</v>
      </c>
      <c r="T4" s="77" t="s">
        <v>214</v>
      </c>
      <c r="U4" s="81">
        <v>11054.794520547945</v>
      </c>
      <c r="V4" s="77" t="s">
        <v>165</v>
      </c>
      <c r="W4" s="81">
        <v>-8745.2830188679254</v>
      </c>
      <c r="X4" s="77" t="s">
        <v>126</v>
      </c>
      <c r="Y4" s="79">
        <v>9.727626459143969E-2</v>
      </c>
      <c r="Z4" s="77" t="s">
        <v>237</v>
      </c>
      <c r="AA4" s="80">
        <v>0.42</v>
      </c>
      <c r="AB4" s="77" t="s">
        <v>196</v>
      </c>
      <c r="AC4" s="80">
        <v>0.29661016949152541</v>
      </c>
      <c r="AD4" s="77" t="s">
        <v>126</v>
      </c>
      <c r="AE4" s="80">
        <v>0.65486725663716816</v>
      </c>
      <c r="AF4" s="77" t="s">
        <v>237</v>
      </c>
      <c r="AG4" s="80">
        <v>0.5</v>
      </c>
      <c r="AH4" s="77" t="s">
        <v>161</v>
      </c>
      <c r="AI4" s="80">
        <v>0.47826086956521741</v>
      </c>
      <c r="AJ4" s="77" t="s">
        <v>141</v>
      </c>
      <c r="AK4" s="84">
        <v>124700</v>
      </c>
    </row>
    <row r="5" spans="1:37" x14ac:dyDescent="0.4">
      <c r="A5" s="74">
        <v>3</v>
      </c>
      <c r="B5" s="77" t="s">
        <v>166</v>
      </c>
      <c r="C5" s="143">
        <v>142</v>
      </c>
      <c r="D5" s="75" t="s">
        <v>127</v>
      </c>
      <c r="E5" s="76">
        <v>203.39999999999984</v>
      </c>
      <c r="F5" s="77" t="s">
        <v>196</v>
      </c>
      <c r="G5" s="89">
        <v>4.1661538461538461</v>
      </c>
      <c r="H5" s="77" t="s">
        <v>164</v>
      </c>
      <c r="I5" s="89">
        <v>1.6723219168717556</v>
      </c>
      <c r="J5" s="77" t="s">
        <v>196</v>
      </c>
      <c r="K5" s="78">
        <v>1.9230769230769231</v>
      </c>
      <c r="L5" s="77" t="s">
        <v>127</v>
      </c>
      <c r="M5" s="79">
        <v>0.37398373983739835</v>
      </c>
      <c r="N5" s="77" t="s">
        <v>196</v>
      </c>
      <c r="O5" s="79">
        <v>0.26153846153846155</v>
      </c>
      <c r="P5" s="77" t="s">
        <v>196</v>
      </c>
      <c r="Q5" s="80">
        <v>0.34388185654008441</v>
      </c>
      <c r="R5" s="77" t="s">
        <v>196</v>
      </c>
      <c r="S5" s="80">
        <v>0.15400843881856541</v>
      </c>
      <c r="T5" s="77" t="s">
        <v>166</v>
      </c>
      <c r="U5" s="81">
        <v>10792.708333333334</v>
      </c>
      <c r="V5" s="77" t="s">
        <v>196</v>
      </c>
      <c r="W5" s="81">
        <v>-8854.7945205479446</v>
      </c>
      <c r="X5" s="77" t="s">
        <v>196</v>
      </c>
      <c r="Y5" s="79">
        <v>0.1076923076923077</v>
      </c>
      <c r="Z5" s="77" t="s">
        <v>214</v>
      </c>
      <c r="AA5" s="80">
        <v>0.30851063829787234</v>
      </c>
      <c r="AB5" s="77" t="s">
        <v>161</v>
      </c>
      <c r="AC5" s="80">
        <v>0.28333333333333333</v>
      </c>
      <c r="AD5" s="77" t="s">
        <v>237</v>
      </c>
      <c r="AE5" s="80">
        <v>0.61904761904761907</v>
      </c>
      <c r="AF5" s="77" t="s">
        <v>126</v>
      </c>
      <c r="AG5" s="80">
        <v>0.49196141479099681</v>
      </c>
      <c r="AH5" s="77" t="s">
        <v>166</v>
      </c>
      <c r="AI5" s="80">
        <v>0.4548611111111111</v>
      </c>
      <c r="AJ5" s="77" t="s">
        <v>126</v>
      </c>
      <c r="AK5" s="84">
        <v>120200</v>
      </c>
    </row>
    <row r="6" spans="1:37" x14ac:dyDescent="0.4">
      <c r="A6" s="74">
        <v>4</v>
      </c>
      <c r="B6" s="77" t="s">
        <v>164</v>
      </c>
      <c r="C6" s="143">
        <v>131</v>
      </c>
      <c r="D6" s="75" t="s">
        <v>237</v>
      </c>
      <c r="E6" s="76">
        <v>48</v>
      </c>
      <c r="F6" s="77" t="s">
        <v>127</v>
      </c>
      <c r="G6" s="89">
        <v>1.6536585365853644</v>
      </c>
      <c r="H6" s="77" t="s">
        <v>214</v>
      </c>
      <c r="I6" s="89">
        <v>1.5583009583009602</v>
      </c>
      <c r="J6" s="77" t="s">
        <v>127</v>
      </c>
      <c r="K6" s="78">
        <v>1.9268292682926829</v>
      </c>
      <c r="L6" s="77" t="s">
        <v>196</v>
      </c>
      <c r="M6" s="79">
        <v>0.33846153846153848</v>
      </c>
      <c r="N6" s="77" t="s">
        <v>127</v>
      </c>
      <c r="O6" s="79">
        <v>0.30081300813008133</v>
      </c>
      <c r="P6" s="77" t="s">
        <v>141</v>
      </c>
      <c r="Q6" s="80">
        <v>0.30104257167680276</v>
      </c>
      <c r="R6" s="77" t="s">
        <v>127</v>
      </c>
      <c r="S6" s="80">
        <v>0.16059957173447537</v>
      </c>
      <c r="T6" s="77" t="s">
        <v>164</v>
      </c>
      <c r="U6" s="81">
        <v>10578.125</v>
      </c>
      <c r="V6" s="77" t="s">
        <v>214</v>
      </c>
      <c r="W6" s="81">
        <v>-8859.5744680851058</v>
      </c>
      <c r="X6" s="77" t="s">
        <v>127</v>
      </c>
      <c r="Y6" s="79">
        <v>0.11382113821138211</v>
      </c>
      <c r="Z6" s="77" t="s">
        <v>126</v>
      </c>
      <c r="AA6" s="80">
        <v>0.30335570469798656</v>
      </c>
      <c r="AB6" s="77" t="s">
        <v>190</v>
      </c>
      <c r="AC6" s="80">
        <v>0.27272727272727271</v>
      </c>
      <c r="AD6" s="77" t="s">
        <v>164</v>
      </c>
      <c r="AE6" s="80">
        <v>0.58445945945945943</v>
      </c>
      <c r="AF6" s="77" t="s">
        <v>196</v>
      </c>
      <c r="AG6" s="80">
        <v>0.42857142857142855</v>
      </c>
      <c r="AH6" s="77" t="s">
        <v>214</v>
      </c>
      <c r="AI6" s="80">
        <v>0.45205479452054792</v>
      </c>
      <c r="AJ6" s="77" t="s">
        <v>196</v>
      </c>
      <c r="AK6" s="84">
        <v>118000</v>
      </c>
    </row>
    <row r="7" spans="1:37" x14ac:dyDescent="0.4">
      <c r="A7" s="74">
        <v>5</v>
      </c>
      <c r="B7" s="77" t="s">
        <v>127</v>
      </c>
      <c r="C7" s="143">
        <v>123</v>
      </c>
      <c r="D7" s="75" t="s">
        <v>141</v>
      </c>
      <c r="E7" s="76">
        <v>5.8619775700208265E-14</v>
      </c>
      <c r="F7" s="77" t="s">
        <v>141</v>
      </c>
      <c r="G7" s="89">
        <v>6.491669512758391E-17</v>
      </c>
      <c r="H7" s="77" t="s">
        <v>126</v>
      </c>
      <c r="I7" s="89">
        <v>3.5311772218461122E-2</v>
      </c>
      <c r="J7" s="77" t="s">
        <v>141</v>
      </c>
      <c r="K7" s="78">
        <v>2</v>
      </c>
      <c r="L7" s="77" t="s">
        <v>214</v>
      </c>
      <c r="M7" s="79">
        <v>0.33333333333333331</v>
      </c>
      <c r="N7" s="77" t="s">
        <v>141</v>
      </c>
      <c r="O7" s="79">
        <v>0.33333333333333331</v>
      </c>
      <c r="P7" s="77" t="s">
        <v>127</v>
      </c>
      <c r="Q7" s="80">
        <v>0.29871520342612418</v>
      </c>
      <c r="R7" s="77" t="s">
        <v>201</v>
      </c>
      <c r="S7" s="80">
        <v>0.16666666666666666</v>
      </c>
      <c r="T7" s="77" t="s">
        <v>127</v>
      </c>
      <c r="U7" s="81">
        <v>10381.362007168458</v>
      </c>
      <c r="V7" s="77" t="s">
        <v>127</v>
      </c>
      <c r="W7" s="81">
        <v>-9180.6666666666661</v>
      </c>
      <c r="X7" s="77" t="s">
        <v>141</v>
      </c>
      <c r="Y7" s="79">
        <v>0.15171650055370986</v>
      </c>
      <c r="Z7" s="77" t="s">
        <v>164</v>
      </c>
      <c r="AA7" s="80">
        <v>0.30234933605720121</v>
      </c>
      <c r="AB7" s="77" t="s">
        <v>141</v>
      </c>
      <c r="AC7" s="80">
        <v>0.21785063752276868</v>
      </c>
      <c r="AD7" s="77" t="s">
        <v>141</v>
      </c>
      <c r="AE7" s="80">
        <v>0.58413307741522713</v>
      </c>
      <c r="AF7" s="77" t="s">
        <v>141</v>
      </c>
      <c r="AG7" s="80">
        <v>0.40050167224080269</v>
      </c>
      <c r="AH7" s="77" t="s">
        <v>164</v>
      </c>
      <c r="AI7" s="80">
        <v>0.4375</v>
      </c>
      <c r="AJ7" s="77" t="s">
        <v>127</v>
      </c>
      <c r="AK7" s="84">
        <v>109300</v>
      </c>
    </row>
    <row r="8" spans="1:37" x14ac:dyDescent="0.4">
      <c r="A8" s="74">
        <v>6</v>
      </c>
      <c r="B8" s="77" t="s">
        <v>161</v>
      </c>
      <c r="C8" s="143">
        <v>85</v>
      </c>
      <c r="D8" s="75" t="s">
        <v>214</v>
      </c>
      <c r="E8" s="76">
        <v>-9.3999999999999773</v>
      </c>
      <c r="F8" s="77" t="s">
        <v>214</v>
      </c>
      <c r="G8" s="89">
        <v>-0.28484848484848418</v>
      </c>
      <c r="H8" s="77" t="s">
        <v>141</v>
      </c>
      <c r="I8" s="89">
        <v>9.473903143468002E-15</v>
      </c>
      <c r="J8" s="77" t="s">
        <v>201</v>
      </c>
      <c r="K8" s="78">
        <v>2</v>
      </c>
      <c r="L8" s="77" t="s">
        <v>141</v>
      </c>
      <c r="M8" s="79">
        <v>0.33333333333333331</v>
      </c>
      <c r="N8" s="77" t="s">
        <v>237</v>
      </c>
      <c r="O8" s="79">
        <v>0.33333333333333331</v>
      </c>
      <c r="P8" s="77" t="s">
        <v>164</v>
      </c>
      <c r="Q8" s="80">
        <v>0.28346456692913385</v>
      </c>
      <c r="R8" s="77" t="s">
        <v>141</v>
      </c>
      <c r="S8" s="80">
        <v>0.17043150883289893</v>
      </c>
      <c r="T8" s="77" t="s">
        <v>141</v>
      </c>
      <c r="U8" s="81">
        <v>10092.544492544492</v>
      </c>
      <c r="V8" s="77" t="s">
        <v>190</v>
      </c>
      <c r="W8" s="81">
        <v>-9190.9090909090901</v>
      </c>
      <c r="X8" s="77" t="s">
        <v>237</v>
      </c>
      <c r="Y8" s="79">
        <v>0.16666666666666666</v>
      </c>
      <c r="Z8" s="77" t="s">
        <v>127</v>
      </c>
      <c r="AA8" s="80">
        <v>0.29702970297029702</v>
      </c>
      <c r="AB8" s="77" t="s">
        <v>127</v>
      </c>
      <c r="AC8" s="80">
        <v>0.21534653465346534</v>
      </c>
      <c r="AD8" s="77" t="s">
        <v>196</v>
      </c>
      <c r="AE8" s="80">
        <v>0.58181818181818179</v>
      </c>
      <c r="AF8" s="77" t="s">
        <v>164</v>
      </c>
      <c r="AG8" s="80">
        <v>0.39226519337016574</v>
      </c>
      <c r="AH8" s="77" t="s">
        <v>127</v>
      </c>
      <c r="AI8" s="80">
        <v>0.43727598566308246</v>
      </c>
      <c r="AJ8" s="77" t="s">
        <v>214</v>
      </c>
      <c r="AK8" s="84">
        <v>109300</v>
      </c>
    </row>
    <row r="9" spans="1:37" x14ac:dyDescent="0.4">
      <c r="A9" s="74">
        <v>7</v>
      </c>
      <c r="B9" s="77" t="s">
        <v>196</v>
      </c>
      <c r="C9" s="143">
        <v>65</v>
      </c>
      <c r="D9" s="75" t="s">
        <v>201</v>
      </c>
      <c r="E9" s="76">
        <v>-15.5</v>
      </c>
      <c r="F9" s="77" t="s">
        <v>164</v>
      </c>
      <c r="G9" s="89">
        <v>-3.5213740458015259</v>
      </c>
      <c r="H9" s="77" t="s">
        <v>161</v>
      </c>
      <c r="I9" s="89">
        <v>-5.2108369712727885E-2</v>
      </c>
      <c r="J9" s="77" t="s">
        <v>214</v>
      </c>
      <c r="K9" s="78">
        <v>2.0606060606060606</v>
      </c>
      <c r="L9" s="77" t="s">
        <v>166</v>
      </c>
      <c r="M9" s="79">
        <v>0.28873239436619719</v>
      </c>
      <c r="N9" s="77" t="s">
        <v>214</v>
      </c>
      <c r="O9" s="79">
        <v>0.39393939393939392</v>
      </c>
      <c r="P9" s="77" t="s">
        <v>161</v>
      </c>
      <c r="Q9" s="80">
        <v>0.27878787878787881</v>
      </c>
      <c r="R9" s="77" t="s">
        <v>214</v>
      </c>
      <c r="S9" s="80">
        <v>0.17407407407407408</v>
      </c>
      <c r="T9" s="77" t="s">
        <v>126</v>
      </c>
      <c r="U9" s="81">
        <v>9923.1654676258986</v>
      </c>
      <c r="V9" s="77" t="s">
        <v>126</v>
      </c>
      <c r="W9" s="81">
        <v>-9277.6556776556772</v>
      </c>
      <c r="X9" s="77" t="s">
        <v>164</v>
      </c>
      <c r="Y9" s="79">
        <v>0.17557251908396945</v>
      </c>
      <c r="Z9" s="77" t="s">
        <v>166</v>
      </c>
      <c r="AA9" s="80">
        <v>0.28859857482185275</v>
      </c>
      <c r="AB9" s="77" t="s">
        <v>126</v>
      </c>
      <c r="AC9" s="80">
        <v>0.20872483221476509</v>
      </c>
      <c r="AD9" s="77" t="s">
        <v>166</v>
      </c>
      <c r="AE9" s="80">
        <v>0.58024691358024694</v>
      </c>
      <c r="AF9" s="77" t="s">
        <v>166</v>
      </c>
      <c r="AG9" s="80">
        <v>0.38926174496644295</v>
      </c>
      <c r="AH9" s="77" t="s">
        <v>196</v>
      </c>
      <c r="AI9" s="80">
        <v>0.42944785276073622</v>
      </c>
      <c r="AJ9" s="77" t="s">
        <v>161</v>
      </c>
      <c r="AK9" s="84">
        <v>103200</v>
      </c>
    </row>
    <row r="10" spans="1:37" x14ac:dyDescent="0.4">
      <c r="A10" s="74">
        <v>8</v>
      </c>
      <c r="B10" s="77" t="s">
        <v>165</v>
      </c>
      <c r="C10" s="143">
        <v>36</v>
      </c>
      <c r="D10" s="75" t="s">
        <v>205</v>
      </c>
      <c r="E10" s="76">
        <v>-86.4</v>
      </c>
      <c r="F10" s="77" t="s">
        <v>166</v>
      </c>
      <c r="G10" s="89">
        <v>-3.7922535211267596</v>
      </c>
      <c r="H10" s="77" t="s">
        <v>127</v>
      </c>
      <c r="I10" s="89">
        <v>-0.39465334900117455</v>
      </c>
      <c r="J10" s="77" t="s">
        <v>166</v>
      </c>
      <c r="K10" s="78">
        <v>2.1056338028169015</v>
      </c>
      <c r="L10" s="77" t="s">
        <v>201</v>
      </c>
      <c r="M10" s="79">
        <v>0.25</v>
      </c>
      <c r="N10" s="77" t="s">
        <v>166</v>
      </c>
      <c r="O10" s="79">
        <v>0.39436619718309857</v>
      </c>
      <c r="P10" s="77" t="s">
        <v>214</v>
      </c>
      <c r="Q10" s="80">
        <v>0.27037037037037037</v>
      </c>
      <c r="R10" s="77" t="s">
        <v>165</v>
      </c>
      <c r="S10" s="80">
        <v>0.18996415770609318</v>
      </c>
      <c r="T10" s="77" t="s">
        <v>196</v>
      </c>
      <c r="U10" s="81">
        <v>9707.3619631901838</v>
      </c>
      <c r="V10" s="77" t="s">
        <v>141</v>
      </c>
      <c r="W10" s="81">
        <v>-9359.0484282073066</v>
      </c>
      <c r="X10" s="77" t="s">
        <v>214</v>
      </c>
      <c r="Y10" s="79">
        <v>0.18181818181818182</v>
      </c>
      <c r="Z10" s="77" t="s">
        <v>141</v>
      </c>
      <c r="AA10" s="80">
        <v>0.28469945355191256</v>
      </c>
      <c r="AB10" s="77" t="s">
        <v>214</v>
      </c>
      <c r="AC10" s="80">
        <v>0.20744680851063829</v>
      </c>
      <c r="AD10" s="77" t="s">
        <v>127</v>
      </c>
      <c r="AE10" s="80">
        <v>0.55833333333333335</v>
      </c>
      <c r="AF10" s="77" t="s">
        <v>127</v>
      </c>
      <c r="AG10" s="80">
        <v>0.37931034482758619</v>
      </c>
      <c r="AH10" s="77" t="s">
        <v>141</v>
      </c>
      <c r="AI10" s="80">
        <v>0.42279942279942279</v>
      </c>
      <c r="AJ10" s="77" t="s">
        <v>166</v>
      </c>
      <c r="AK10" s="84">
        <v>97700</v>
      </c>
    </row>
    <row r="11" spans="1:37" x14ac:dyDescent="0.4">
      <c r="A11" s="74">
        <v>9</v>
      </c>
      <c r="B11" s="77" t="s">
        <v>214</v>
      </c>
      <c r="C11" s="143">
        <v>33</v>
      </c>
      <c r="D11" s="75" t="s">
        <v>200</v>
      </c>
      <c r="E11" s="76">
        <v>-132.1</v>
      </c>
      <c r="F11" s="77" t="s">
        <v>201</v>
      </c>
      <c r="G11" s="89">
        <v>-3.875</v>
      </c>
      <c r="H11" s="77" t="s">
        <v>166</v>
      </c>
      <c r="I11" s="89">
        <v>-0.76210188411408097</v>
      </c>
      <c r="J11" s="77" t="s">
        <v>164</v>
      </c>
      <c r="K11" s="78">
        <v>2.1603053435114505</v>
      </c>
      <c r="L11" s="77" t="s">
        <v>164</v>
      </c>
      <c r="M11" s="79">
        <v>0.24427480916030533</v>
      </c>
      <c r="N11" s="77" t="s">
        <v>205</v>
      </c>
      <c r="O11" s="79">
        <v>0.4</v>
      </c>
      <c r="P11" s="77" t="s">
        <v>205</v>
      </c>
      <c r="Q11" s="80">
        <v>0.27027027027027029</v>
      </c>
      <c r="R11" s="77" t="s">
        <v>166</v>
      </c>
      <c r="S11" s="80">
        <v>0.19038984587488667</v>
      </c>
      <c r="T11" s="77" t="s">
        <v>165</v>
      </c>
      <c r="U11" s="81">
        <v>9373.2142857142862</v>
      </c>
      <c r="V11" s="77" t="s">
        <v>164</v>
      </c>
      <c r="W11" s="81">
        <v>-9493.4010152284263</v>
      </c>
      <c r="X11" s="77" t="s">
        <v>161</v>
      </c>
      <c r="Y11" s="79">
        <v>0.18823529411764706</v>
      </c>
      <c r="Z11" s="77" t="s">
        <v>161</v>
      </c>
      <c r="AA11" s="80">
        <v>0.27291666666666664</v>
      </c>
      <c r="AB11" s="77" t="s">
        <v>164</v>
      </c>
      <c r="AC11" s="80">
        <v>0.18488253319713993</v>
      </c>
      <c r="AD11" s="77" t="s">
        <v>214</v>
      </c>
      <c r="AE11" s="80">
        <v>0.51724137931034486</v>
      </c>
      <c r="AF11" s="77" t="s">
        <v>161</v>
      </c>
      <c r="AG11" s="80">
        <v>0.36764705882352944</v>
      </c>
      <c r="AH11" s="77" t="s">
        <v>190</v>
      </c>
      <c r="AI11" s="80">
        <v>0.41176470588235292</v>
      </c>
      <c r="AJ11" s="77" t="s">
        <v>237</v>
      </c>
      <c r="AK11" s="84">
        <v>78000</v>
      </c>
    </row>
    <row r="12" spans="1:37" x14ac:dyDescent="0.4">
      <c r="A12" s="74">
        <v>10</v>
      </c>
      <c r="B12" s="77" t="s">
        <v>190</v>
      </c>
      <c r="C12" s="143">
        <v>12</v>
      </c>
      <c r="D12" s="75" t="s">
        <v>190</v>
      </c>
      <c r="E12" s="76">
        <v>-155.1</v>
      </c>
      <c r="F12" s="77" t="s">
        <v>161</v>
      </c>
      <c r="G12" s="89">
        <v>-6.5764705882352938</v>
      </c>
      <c r="H12" s="77" t="s">
        <v>190</v>
      </c>
      <c r="I12" s="89">
        <v>-1.3206349206349195</v>
      </c>
      <c r="J12" s="77" t="s">
        <v>205</v>
      </c>
      <c r="K12" s="78">
        <v>2.2000000000000002</v>
      </c>
      <c r="L12" s="77" t="s">
        <v>161</v>
      </c>
      <c r="M12" s="79">
        <v>0.22352941176470589</v>
      </c>
      <c r="N12" s="77" t="s">
        <v>164</v>
      </c>
      <c r="O12" s="79">
        <v>0.40458015267175573</v>
      </c>
      <c r="P12" s="77" t="s">
        <v>166</v>
      </c>
      <c r="Q12" s="80">
        <v>0.26110607434270172</v>
      </c>
      <c r="R12" s="77" t="s">
        <v>161</v>
      </c>
      <c r="S12" s="80">
        <v>0.19090909090909092</v>
      </c>
      <c r="T12" s="77" t="s">
        <v>237</v>
      </c>
      <c r="U12" s="81">
        <v>9163.1578947368416</v>
      </c>
      <c r="V12" s="77" t="s">
        <v>166</v>
      </c>
      <c r="W12" s="81">
        <v>-9621.4285714285706</v>
      </c>
      <c r="X12" s="77" t="s">
        <v>166</v>
      </c>
      <c r="Y12" s="79">
        <v>0.19014084507042253</v>
      </c>
      <c r="Z12" s="77" t="s">
        <v>205</v>
      </c>
      <c r="AA12" s="80">
        <v>0.25806451612903225</v>
      </c>
      <c r="AB12" s="77" t="s">
        <v>166</v>
      </c>
      <c r="AC12" s="80">
        <v>0.17695961995249407</v>
      </c>
      <c r="AD12" s="77" t="s">
        <v>161</v>
      </c>
      <c r="AE12" s="80">
        <v>0.48091603053435117</v>
      </c>
      <c r="AF12" s="77" t="s">
        <v>190</v>
      </c>
      <c r="AG12" s="80">
        <v>0.33333333333333331</v>
      </c>
      <c r="AH12" s="77" t="s">
        <v>126</v>
      </c>
      <c r="AI12" s="80">
        <v>0.38705035971223023</v>
      </c>
      <c r="AJ12" s="77" t="s">
        <v>165</v>
      </c>
      <c r="AK12" s="84">
        <v>67700</v>
      </c>
    </row>
    <row r="13" spans="1:37" x14ac:dyDescent="0.4">
      <c r="A13" s="74">
        <v>11</v>
      </c>
      <c r="B13" s="77" t="s">
        <v>237</v>
      </c>
      <c r="C13" s="143">
        <v>6</v>
      </c>
      <c r="D13" s="75" t="s">
        <v>165</v>
      </c>
      <c r="E13" s="76">
        <v>-454.89999999999992</v>
      </c>
      <c r="F13" s="77" t="s">
        <v>165</v>
      </c>
      <c r="G13" s="89">
        <v>-12.636111111111109</v>
      </c>
      <c r="H13" s="77" t="s">
        <v>165</v>
      </c>
      <c r="I13" s="89">
        <v>-1.4878968253968228</v>
      </c>
      <c r="J13" s="77" t="s">
        <v>161</v>
      </c>
      <c r="K13" s="78">
        <v>2.2117647058823531</v>
      </c>
      <c r="L13" s="77" t="s">
        <v>205</v>
      </c>
      <c r="M13" s="79">
        <v>0.2</v>
      </c>
      <c r="N13" s="77" t="s">
        <v>161</v>
      </c>
      <c r="O13" s="79">
        <v>0.43529411764705883</v>
      </c>
      <c r="P13" s="77" t="s">
        <v>201</v>
      </c>
      <c r="Q13" s="80">
        <v>0.25</v>
      </c>
      <c r="R13" s="77" t="s">
        <v>164</v>
      </c>
      <c r="S13" s="80">
        <v>0.19389763779527558</v>
      </c>
      <c r="T13" s="77" t="s">
        <v>161</v>
      </c>
      <c r="U13" s="81">
        <v>8946.1956521739139</v>
      </c>
      <c r="V13" s="77" t="s">
        <v>161</v>
      </c>
      <c r="W13" s="81">
        <v>-9651.5873015873021</v>
      </c>
      <c r="X13" s="77" t="s">
        <v>165</v>
      </c>
      <c r="Y13" s="79">
        <v>0.27777777777777779</v>
      </c>
      <c r="Z13" s="77" t="s">
        <v>196</v>
      </c>
      <c r="AA13" s="80">
        <v>0.23305084745762711</v>
      </c>
      <c r="AB13" s="77" t="s">
        <v>205</v>
      </c>
      <c r="AC13" s="80">
        <v>0.16129032258064516</v>
      </c>
      <c r="AD13" s="77" t="s">
        <v>165</v>
      </c>
      <c r="AE13" s="80">
        <v>0.46153846153846156</v>
      </c>
      <c r="AF13" s="77" t="s">
        <v>165</v>
      </c>
      <c r="AG13" s="80">
        <v>0.28282828282828282</v>
      </c>
      <c r="AH13" s="77" t="s">
        <v>165</v>
      </c>
      <c r="AI13" s="80">
        <v>0.375</v>
      </c>
      <c r="AJ13" s="77" t="s">
        <v>190</v>
      </c>
      <c r="AK13" s="84">
        <v>59500</v>
      </c>
    </row>
    <row r="14" spans="1:37" x14ac:dyDescent="0.4">
      <c r="A14" s="74">
        <v>12</v>
      </c>
      <c r="B14" s="77" t="s">
        <v>205</v>
      </c>
      <c r="C14" s="143">
        <v>5</v>
      </c>
      <c r="D14" s="75" t="s">
        <v>164</v>
      </c>
      <c r="E14" s="76">
        <v>-461.2999999999999</v>
      </c>
      <c r="F14" s="77" t="s">
        <v>190</v>
      </c>
      <c r="G14" s="89">
        <v>-12.924999999999999</v>
      </c>
      <c r="H14" s="77" t="s">
        <v>201</v>
      </c>
      <c r="I14" s="89">
        <v>-6</v>
      </c>
      <c r="J14" s="77" t="s">
        <v>165</v>
      </c>
      <c r="K14" s="78">
        <v>2.3888888888888888</v>
      </c>
      <c r="L14" s="77" t="s">
        <v>165</v>
      </c>
      <c r="M14" s="79">
        <v>0.19444444444444445</v>
      </c>
      <c r="N14" s="77" t="s">
        <v>165</v>
      </c>
      <c r="O14" s="79">
        <v>0.58333333333333337</v>
      </c>
      <c r="P14" s="77" t="s">
        <v>165</v>
      </c>
      <c r="Q14" s="80">
        <v>0.20071684587813621</v>
      </c>
      <c r="R14" s="77" t="s">
        <v>205</v>
      </c>
      <c r="S14" s="80">
        <v>0.21621621621621623</v>
      </c>
      <c r="T14" s="77" t="s">
        <v>190</v>
      </c>
      <c r="U14" s="81">
        <v>8670.5882352941171</v>
      </c>
      <c r="V14" s="77" t="s">
        <v>237</v>
      </c>
      <c r="W14" s="81">
        <v>-10025</v>
      </c>
      <c r="X14" s="77" t="s">
        <v>190</v>
      </c>
      <c r="Y14" s="79">
        <v>0.33333333333333331</v>
      </c>
      <c r="Z14" s="77" t="s">
        <v>165</v>
      </c>
      <c r="AA14" s="80">
        <v>0.13978494623655913</v>
      </c>
      <c r="AB14" s="77" t="s">
        <v>237</v>
      </c>
      <c r="AC14" s="80">
        <v>0.12</v>
      </c>
      <c r="AD14" s="77" t="s">
        <v>190</v>
      </c>
      <c r="AE14" s="80">
        <v>0.41666666666666669</v>
      </c>
      <c r="AF14" s="77" t="s">
        <v>214</v>
      </c>
      <c r="AG14" s="80">
        <v>0.23076923076923078</v>
      </c>
      <c r="AH14" s="77" t="s">
        <v>201</v>
      </c>
      <c r="AI14" s="80">
        <v>0.33333333333333331</v>
      </c>
      <c r="AJ14" s="77" t="s">
        <v>205</v>
      </c>
      <c r="AK14" s="84">
        <v>57800</v>
      </c>
    </row>
    <row r="15" spans="1:37" x14ac:dyDescent="0.4">
      <c r="A15" s="74">
        <v>13</v>
      </c>
      <c r="B15" s="77" t="s">
        <v>200</v>
      </c>
      <c r="C15" s="143">
        <v>4</v>
      </c>
      <c r="D15" s="75" t="s">
        <v>166</v>
      </c>
      <c r="E15" s="76">
        <v>-538.49999999999989</v>
      </c>
      <c r="F15" s="77" t="s">
        <v>205</v>
      </c>
      <c r="G15" s="89">
        <v>-17.28</v>
      </c>
      <c r="H15" s="77" t="s">
        <v>205</v>
      </c>
      <c r="I15" s="89">
        <v>-10.6</v>
      </c>
      <c r="J15" s="77" t="s">
        <v>190</v>
      </c>
      <c r="K15" s="78">
        <v>2.4166666666666665</v>
      </c>
      <c r="L15" s="77" t="s">
        <v>190</v>
      </c>
      <c r="M15" s="79">
        <v>0.16666666666666666</v>
      </c>
      <c r="N15" s="77" t="s">
        <v>190</v>
      </c>
      <c r="O15" s="79">
        <v>0.58333333333333337</v>
      </c>
      <c r="P15" s="77" t="s">
        <v>190</v>
      </c>
      <c r="Q15" s="80">
        <v>0.19318181818181818</v>
      </c>
      <c r="R15" s="77" t="s">
        <v>190</v>
      </c>
      <c r="S15" s="80">
        <v>0.25</v>
      </c>
      <c r="T15" s="77" t="s">
        <v>200</v>
      </c>
      <c r="U15" s="81">
        <v>7800</v>
      </c>
      <c r="V15" s="77" t="s">
        <v>201</v>
      </c>
      <c r="W15" s="81">
        <v>-12000</v>
      </c>
      <c r="X15" s="77" t="s">
        <v>205</v>
      </c>
      <c r="Y15" s="79">
        <v>0.4</v>
      </c>
      <c r="Z15" s="77" t="s">
        <v>190</v>
      </c>
      <c r="AA15" s="80">
        <v>0.13636363636363635</v>
      </c>
      <c r="AB15" s="77" t="s">
        <v>201</v>
      </c>
      <c r="AC15" s="80">
        <v>0.10526315789473684</v>
      </c>
      <c r="AD15" s="77" t="s">
        <v>201</v>
      </c>
      <c r="AE15" s="80">
        <v>0.25</v>
      </c>
      <c r="AF15" s="77" t="s">
        <v>205</v>
      </c>
      <c r="AG15" s="80">
        <v>0.2</v>
      </c>
      <c r="AH15" s="77" t="s">
        <v>237</v>
      </c>
      <c r="AI15" s="80">
        <v>0.31578947368421051</v>
      </c>
      <c r="AJ15" s="77" t="s">
        <v>201</v>
      </c>
      <c r="AK15" s="84">
        <v>46000</v>
      </c>
    </row>
    <row r="16" spans="1:37" x14ac:dyDescent="0.4">
      <c r="A16" s="74">
        <v>14</v>
      </c>
      <c r="B16" s="77" t="s">
        <v>201</v>
      </c>
      <c r="C16" s="143">
        <v>4</v>
      </c>
      <c r="D16" s="75" t="s">
        <v>161</v>
      </c>
      <c r="E16" s="76">
        <v>-559</v>
      </c>
      <c r="F16" s="77" t="s">
        <v>200</v>
      </c>
      <c r="G16" s="89">
        <v>-33.024999999999999</v>
      </c>
      <c r="H16" s="77" t="s">
        <v>200</v>
      </c>
      <c r="I16" s="89">
        <v>-11.008333333333333</v>
      </c>
      <c r="J16" s="77" t="s">
        <v>200</v>
      </c>
      <c r="K16" s="78">
        <v>3</v>
      </c>
      <c r="L16" s="77" t="s">
        <v>200</v>
      </c>
      <c r="M16" s="79">
        <v>0</v>
      </c>
      <c r="N16" s="77" t="s">
        <v>200</v>
      </c>
      <c r="O16" s="79">
        <v>1</v>
      </c>
      <c r="P16" s="77" t="s">
        <v>200</v>
      </c>
      <c r="Q16" s="80">
        <v>0.04</v>
      </c>
      <c r="R16" s="77" t="s">
        <v>200</v>
      </c>
      <c r="S16" s="80">
        <v>0.4</v>
      </c>
      <c r="T16" s="77" t="s">
        <v>205</v>
      </c>
      <c r="U16" s="81">
        <v>7100</v>
      </c>
      <c r="V16" s="77" t="s">
        <v>205</v>
      </c>
      <c r="W16" s="81">
        <v>-12487.5</v>
      </c>
      <c r="X16" s="77" t="s">
        <v>200</v>
      </c>
      <c r="Y16" s="79">
        <v>0.5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200</v>
      </c>
      <c r="AE16" s="80">
        <v>0</v>
      </c>
      <c r="AF16" s="77" t="s">
        <v>200</v>
      </c>
      <c r="AG16" s="80">
        <v>0</v>
      </c>
      <c r="AH16" s="77" t="s">
        <v>205</v>
      </c>
      <c r="AI16" s="80">
        <v>0.3</v>
      </c>
      <c r="AJ16" s="77" t="s">
        <v>200</v>
      </c>
      <c r="AK16" s="84">
        <v>13000</v>
      </c>
    </row>
  </sheetData>
  <sortState xmlns:xlrd2="http://schemas.microsoft.com/office/spreadsheetml/2017/richdata2" ref="AJ3:AK46">
    <sortCondition descending="1" ref="AK1"/>
  </sortState>
  <mergeCells count="36">
    <mergeCell ref="L1:M1"/>
    <mergeCell ref="P1:Q1"/>
    <mergeCell ref="N1:O1"/>
    <mergeCell ref="H1:I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ACE-3E7E-44C6-9087-957EB86E7902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141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903</v>
      </c>
      <c r="C2" s="147"/>
      <c r="E2" s="54" t="s">
        <v>274</v>
      </c>
      <c r="F2" s="51" t="s">
        <v>275</v>
      </c>
      <c r="G2" s="39">
        <v>1434</v>
      </c>
      <c r="H2" s="123">
        <f t="shared" ref="H2:H33" si="0">IF(B$51=0,0,G2/B$51)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-15.712682379349046</v>
      </c>
      <c r="P2" s="109">
        <v>891</v>
      </c>
      <c r="Q2" s="93">
        <v>-14000</v>
      </c>
    </row>
    <row r="3" spans="1:17" x14ac:dyDescent="0.4">
      <c r="A3" s="47" t="s">
        <v>8</v>
      </c>
      <c r="B3" s="148">
        <v>6906</v>
      </c>
      <c r="C3" s="149"/>
      <c r="E3" s="55" t="s">
        <v>66</v>
      </c>
      <c r="F3" s="52" t="s">
        <v>22</v>
      </c>
      <c r="G3" s="40">
        <v>1187</v>
      </c>
      <c r="H3" s="124">
        <f t="shared" si="0"/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1"/>
        <v>-3.4965034965034967</v>
      </c>
      <c r="P3" s="110">
        <v>858</v>
      </c>
      <c r="Q3" s="94">
        <v>-3000</v>
      </c>
    </row>
    <row r="4" spans="1:17" x14ac:dyDescent="0.4">
      <c r="A4" s="47" t="s">
        <v>6</v>
      </c>
      <c r="B4" s="150">
        <v>5.8619775700208265E-14</v>
      </c>
      <c r="C4" s="151"/>
      <c r="E4" s="55" t="s">
        <v>72</v>
      </c>
      <c r="F4" s="52" t="s">
        <v>27</v>
      </c>
      <c r="G4" s="40">
        <v>931</v>
      </c>
      <c r="H4" s="124">
        <f t="shared" si="0"/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1"/>
        <v>6.2189054726368163</v>
      </c>
      <c r="P4" s="110">
        <v>804</v>
      </c>
      <c r="Q4" s="94">
        <v>5000</v>
      </c>
    </row>
    <row r="5" spans="1:17" x14ac:dyDescent="0.4">
      <c r="A5" s="47" t="s">
        <v>7</v>
      </c>
      <c r="B5" s="152">
        <f>IF(B$2=0,0,B$4/B$2)</f>
        <v>6.491669512758391E-17</v>
      </c>
      <c r="C5" s="153"/>
      <c r="E5" s="55" t="s">
        <v>64</v>
      </c>
      <c r="F5" s="52" t="s">
        <v>20</v>
      </c>
      <c r="G5" s="40">
        <v>898</v>
      </c>
      <c r="H5" s="124">
        <f t="shared" si="0"/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1"/>
        <v>2.7662517289073305</v>
      </c>
      <c r="P5" s="110">
        <v>723</v>
      </c>
      <c r="Q5" s="94">
        <v>2000</v>
      </c>
    </row>
    <row r="6" spans="1:17" x14ac:dyDescent="0.4">
      <c r="A6" s="47" t="s">
        <v>1</v>
      </c>
      <c r="B6" s="160">
        <f>IF(B$2=0,0,(B$7*1+B$8*2+B$9*3)/B$2)</f>
        <v>2</v>
      </c>
      <c r="C6" s="161"/>
      <c r="E6" s="55" t="s">
        <v>68</v>
      </c>
      <c r="F6" s="52" t="s">
        <v>12</v>
      </c>
      <c r="G6" s="40">
        <v>514</v>
      </c>
      <c r="H6" s="124">
        <f t="shared" si="0"/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1"/>
        <v>11.0062893081761</v>
      </c>
      <c r="P6" s="110">
        <v>636</v>
      </c>
      <c r="Q6" s="94">
        <v>7000</v>
      </c>
    </row>
    <row r="7" spans="1:17" x14ac:dyDescent="0.4">
      <c r="A7" s="47" t="s">
        <v>2</v>
      </c>
      <c r="B7" s="40">
        <v>301</v>
      </c>
      <c r="C7" s="33">
        <f t="shared" ref="C7:C14" si="2">IF(B$2=0,0,B7/B$2)</f>
        <v>0.33333333333333331</v>
      </c>
      <c r="E7" s="55" t="s">
        <v>67</v>
      </c>
      <c r="F7" s="52" t="s">
        <v>23</v>
      </c>
      <c r="G7" s="40">
        <v>499</v>
      </c>
      <c r="H7" s="124">
        <f t="shared" si="0"/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1"/>
        <v>5.8139534883720927</v>
      </c>
      <c r="P7" s="111">
        <v>516</v>
      </c>
      <c r="Q7" s="95">
        <v>3000</v>
      </c>
    </row>
    <row r="8" spans="1:17" x14ac:dyDescent="0.4">
      <c r="A8" s="47" t="s">
        <v>3</v>
      </c>
      <c r="B8" s="40">
        <v>301</v>
      </c>
      <c r="C8" s="33">
        <f t="shared" si="2"/>
        <v>0.33333333333333331</v>
      </c>
      <c r="E8" s="55" t="s">
        <v>89</v>
      </c>
      <c r="F8" s="52" t="s">
        <v>44</v>
      </c>
      <c r="G8" s="40">
        <v>249</v>
      </c>
      <c r="H8" s="124">
        <f t="shared" si="0"/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">
      <c r="A9" s="48" t="s">
        <v>4</v>
      </c>
      <c r="B9" s="41">
        <v>301</v>
      </c>
      <c r="C9" s="34">
        <f t="shared" si="2"/>
        <v>0.33333333333333331</v>
      </c>
      <c r="E9" s="55" t="s">
        <v>69</v>
      </c>
      <c r="F9" s="52" t="s">
        <v>24</v>
      </c>
      <c r="G9" s="40">
        <v>242</v>
      </c>
      <c r="H9" s="124">
        <f t="shared" si="0"/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30.094684385382077</v>
      </c>
      <c r="C10" s="141">
        <v>9058.5000000000055</v>
      </c>
      <c r="E10" s="55" t="s">
        <v>65</v>
      </c>
      <c r="F10" s="52" t="s">
        <v>21</v>
      </c>
      <c r="G10" s="40">
        <v>204</v>
      </c>
      <c r="H10" s="124">
        <f t="shared" si="0"/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">
      <c r="A11" s="48" t="s">
        <v>277</v>
      </c>
      <c r="B11" s="140">
        <f>IF(B8=0,0,C11/B8)</f>
        <v>-1.3431893687707626</v>
      </c>
      <c r="C11" s="141">
        <v>-404.2999999999995</v>
      </c>
      <c r="E11" s="55" t="s">
        <v>70</v>
      </c>
      <c r="F11" s="52" t="s">
        <v>25</v>
      </c>
      <c r="G11" s="40">
        <v>161</v>
      </c>
      <c r="H11" s="124">
        <f t="shared" si="0"/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">
      <c r="A12" s="48" t="s">
        <v>278</v>
      </c>
      <c r="B12" s="140">
        <f>IF(B9=0,0,C12/B9)</f>
        <v>-28.751495016611287</v>
      </c>
      <c r="C12" s="141">
        <v>-8654.1999999999971</v>
      </c>
      <c r="E12" s="55" t="s">
        <v>86</v>
      </c>
      <c r="F12" s="52" t="s">
        <v>41</v>
      </c>
      <c r="G12" s="40">
        <v>112</v>
      </c>
      <c r="H12" s="124">
        <f t="shared" si="0"/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">
      <c r="A13" s="48" t="s">
        <v>279</v>
      </c>
      <c r="B13" s="152">
        <f>AVERAGE(B10:B12)</f>
        <v>9.473903143468002E-15</v>
      </c>
      <c r="C13" s="153"/>
      <c r="E13" s="55" t="s">
        <v>71</v>
      </c>
      <c r="F13" s="52" t="s">
        <v>26</v>
      </c>
      <c r="G13" s="40">
        <v>79</v>
      </c>
      <c r="H13" s="124">
        <f t="shared" si="0"/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137</v>
      </c>
      <c r="C14" s="36">
        <f t="shared" si="2"/>
        <v>0.15171650055370986</v>
      </c>
      <c r="E14" s="55" t="s">
        <v>83</v>
      </c>
      <c r="F14" s="52" t="s">
        <v>38</v>
      </c>
      <c r="G14" s="40">
        <v>74</v>
      </c>
      <c r="H14" s="124">
        <f t="shared" si="0"/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1563</v>
      </c>
      <c r="C15" s="38">
        <f>IF(B$50=0,0,B15/B$50)</f>
        <v>0.28469945355191256</v>
      </c>
      <c r="E15" s="55" t="s">
        <v>81</v>
      </c>
      <c r="F15" s="52" t="s">
        <v>36</v>
      </c>
      <c r="G15" s="40">
        <v>49</v>
      </c>
      <c r="H15" s="124">
        <f t="shared" si="0"/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 t="shared" ref="O15:O27" si="3">IF(P15=0,0,Q15/P15)</f>
        <v>49.537499999999994</v>
      </c>
      <c r="P15" s="109">
        <v>8</v>
      </c>
      <c r="Q15" s="97">
        <v>396.29999999999995</v>
      </c>
    </row>
    <row r="16" spans="1:17" x14ac:dyDescent="0.4">
      <c r="A16" s="47" t="s">
        <v>118</v>
      </c>
      <c r="B16" s="40">
        <v>1196</v>
      </c>
      <c r="C16" s="33">
        <f>IF(B$50=0,0,B16/B$50)</f>
        <v>0.21785063752276868</v>
      </c>
      <c r="E16" s="55" t="s">
        <v>78</v>
      </c>
      <c r="F16" s="52" t="s">
        <v>33</v>
      </c>
      <c r="G16" s="40">
        <v>47</v>
      </c>
      <c r="H16" s="124">
        <f t="shared" si="0"/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 t="shared" si="3"/>
        <v>25.919999999999998</v>
      </c>
      <c r="P16" s="110">
        <v>10</v>
      </c>
      <c r="Q16" s="98">
        <v>259.2</v>
      </c>
    </row>
    <row r="17" spans="1:17" x14ac:dyDescent="0.4">
      <c r="A17" s="46" t="s">
        <v>123</v>
      </c>
      <c r="B17" s="39">
        <f>B23</f>
        <v>913</v>
      </c>
      <c r="C17" s="31">
        <f>IF(B$15=0,0,B17/B$15)</f>
        <v>0.58413307741522713</v>
      </c>
      <c r="E17" s="55" t="s">
        <v>91</v>
      </c>
      <c r="F17" s="52" t="s">
        <v>46</v>
      </c>
      <c r="G17" s="40">
        <v>32</v>
      </c>
      <c r="H17" s="124">
        <f t="shared" si="0"/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 t="shared" si="3"/>
        <v>19.387499999999999</v>
      </c>
      <c r="P17" s="110">
        <v>24</v>
      </c>
      <c r="Q17" s="98">
        <v>465.29999999999995</v>
      </c>
    </row>
    <row r="18" spans="1:17" x14ac:dyDescent="0.4">
      <c r="A18" s="46" t="s">
        <v>124</v>
      </c>
      <c r="B18" s="39">
        <f>B24</f>
        <v>479</v>
      </c>
      <c r="C18" s="31">
        <f>IF(B$16=0,0,B18/B$16)</f>
        <v>0.40050167224080269</v>
      </c>
      <c r="E18" s="55" t="s">
        <v>79</v>
      </c>
      <c r="F18" s="52" t="s">
        <v>34</v>
      </c>
      <c r="G18" s="40">
        <v>23</v>
      </c>
      <c r="H18" s="124">
        <f t="shared" si="0"/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 t="shared" si="3"/>
        <v>18.954166666666676</v>
      </c>
      <c r="P18" s="110">
        <v>72</v>
      </c>
      <c r="Q18" s="98">
        <v>1364.7000000000007</v>
      </c>
    </row>
    <row r="19" spans="1:17" x14ac:dyDescent="0.4">
      <c r="A19" s="46" t="s">
        <v>10</v>
      </c>
      <c r="B19" s="39">
        <f>B22+B21</f>
        <v>2079</v>
      </c>
      <c r="C19" s="31">
        <f>IF(B$3=0,0,B19/B$3)</f>
        <v>0.30104257167680276</v>
      </c>
      <c r="E19" s="55" t="s">
        <v>73</v>
      </c>
      <c r="F19" s="52" t="s">
        <v>28</v>
      </c>
      <c r="G19" s="40">
        <v>13</v>
      </c>
      <c r="H19" s="124">
        <f t="shared" si="0"/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 t="shared" si="3"/>
        <v>9.8647058823529399</v>
      </c>
      <c r="P19" s="110">
        <v>170</v>
      </c>
      <c r="Q19" s="98">
        <v>1676.9999999999998</v>
      </c>
    </row>
    <row r="20" spans="1:17" x14ac:dyDescent="0.4">
      <c r="A20" s="47" t="s">
        <v>13</v>
      </c>
      <c r="B20" s="40">
        <v>1177</v>
      </c>
      <c r="C20" s="33">
        <f>IF(B$3=0,0,B20/B$3)</f>
        <v>0.17043150883289893</v>
      </c>
      <c r="E20" s="55" t="s">
        <v>75</v>
      </c>
      <c r="F20" s="52" t="s">
        <v>30</v>
      </c>
      <c r="G20" s="40">
        <v>10</v>
      </c>
      <c r="H20" s="124">
        <f t="shared" si="0"/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 t="shared" si="3"/>
        <v>5.8125</v>
      </c>
      <c r="P20" s="110">
        <v>8</v>
      </c>
      <c r="Q20" s="98">
        <v>46.5</v>
      </c>
    </row>
    <row r="21" spans="1:17" x14ac:dyDescent="0.4">
      <c r="A21" s="47" t="s">
        <v>12</v>
      </c>
      <c r="B21" s="40">
        <v>879</v>
      </c>
      <c r="C21" s="33">
        <f>IF(B$19=0,0,B21/B$19)</f>
        <v>0.42279942279942279</v>
      </c>
      <c r="E21" s="55" t="s">
        <v>77</v>
      </c>
      <c r="F21" s="52" t="s">
        <v>32</v>
      </c>
      <c r="G21" s="40">
        <v>9</v>
      </c>
      <c r="H21" s="124">
        <f t="shared" si="0"/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 t="shared" si="3"/>
        <v>5.6883802816901392</v>
      </c>
      <c r="P21" s="110">
        <v>284</v>
      </c>
      <c r="Q21" s="98">
        <v>1615.4999999999995</v>
      </c>
    </row>
    <row r="22" spans="1:17" x14ac:dyDescent="0.4">
      <c r="A22" s="47" t="s">
        <v>11</v>
      </c>
      <c r="B22" s="40">
        <v>1200</v>
      </c>
      <c r="C22" s="33">
        <f>IF(B$19=0,0,B22/B$19)</f>
        <v>0.57720057720057716</v>
      </c>
      <c r="E22" s="55" t="s">
        <v>92</v>
      </c>
      <c r="F22" s="52" t="s">
        <v>47</v>
      </c>
      <c r="G22" s="40">
        <v>8</v>
      </c>
      <c r="H22" s="124">
        <f t="shared" si="0"/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 t="shared" si="3"/>
        <v>5.282061068702288</v>
      </c>
      <c r="P22" s="110">
        <v>262</v>
      </c>
      <c r="Q22" s="98">
        <v>1383.8999999999994</v>
      </c>
    </row>
    <row r="23" spans="1:17" x14ac:dyDescent="0.4">
      <c r="A23" s="47" t="s">
        <v>189</v>
      </c>
      <c r="B23" s="40">
        <v>913</v>
      </c>
      <c r="C23" s="33">
        <f>IF(B$19=0,0,B23/B$19)</f>
        <v>0.43915343915343913</v>
      </c>
      <c r="E23" s="55" t="s">
        <v>85</v>
      </c>
      <c r="F23" s="52" t="s">
        <v>40</v>
      </c>
      <c r="G23" s="40">
        <v>7</v>
      </c>
      <c r="H23" s="124">
        <f t="shared" si="0"/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 t="shared" si="3"/>
        <v>0.42727272727272869</v>
      </c>
      <c r="P23" s="110">
        <v>66</v>
      </c>
      <c r="Q23" s="98">
        <v>28.200000000000095</v>
      </c>
    </row>
    <row r="24" spans="1:17" x14ac:dyDescent="0.4">
      <c r="A24" s="47" t="s">
        <v>187</v>
      </c>
      <c r="B24" s="40">
        <v>479</v>
      </c>
      <c r="C24" s="33">
        <f>IF(B$19=0,0,B24/B$19)</f>
        <v>0.23039923039923041</v>
      </c>
      <c r="E24" s="55" t="s">
        <v>93</v>
      </c>
      <c r="F24" s="52" t="s">
        <v>48</v>
      </c>
      <c r="G24" s="40">
        <v>6</v>
      </c>
      <c r="H24" s="124">
        <f t="shared" si="0"/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 t="shared" si="3"/>
        <v>-2.4804878048780479</v>
      </c>
      <c r="P24" s="110">
        <v>246</v>
      </c>
      <c r="Q24" s="98">
        <v>-610.19999999999982</v>
      </c>
    </row>
    <row r="25" spans="1:17" x14ac:dyDescent="0.4">
      <c r="A25" s="47" t="s">
        <v>188</v>
      </c>
      <c r="B25" s="40">
        <v>687</v>
      </c>
      <c r="C25" s="33">
        <f>IF(B$19=0,0,B25/B$19)</f>
        <v>0.33044733044733043</v>
      </c>
      <c r="E25" s="55" t="s">
        <v>74</v>
      </c>
      <c r="F25" s="52" t="s">
        <v>29</v>
      </c>
      <c r="G25" s="40">
        <v>5</v>
      </c>
      <c r="H25" s="124">
        <f t="shared" si="0"/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 t="shared" si="3"/>
        <v>-6.2492307692307634</v>
      </c>
      <c r="P25" s="110">
        <v>130</v>
      </c>
      <c r="Q25" s="98">
        <v>-812.39999999999918</v>
      </c>
    </row>
    <row r="26" spans="1:17" x14ac:dyDescent="0.4">
      <c r="A26" s="47" t="s">
        <v>5</v>
      </c>
      <c r="B26" s="44">
        <f>IF(B$19=0,0,C26/B$19)</f>
        <v>10092.544492544492</v>
      </c>
      <c r="C26" s="35">
        <v>20982400</v>
      </c>
      <c r="E26" s="55" t="s">
        <v>84</v>
      </c>
      <c r="F26" s="52" t="s">
        <v>39</v>
      </c>
      <c r="G26" s="40">
        <v>4</v>
      </c>
      <c r="H26" s="124">
        <f t="shared" si="0"/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 t="shared" si="3"/>
        <v>-11.031128404669261</v>
      </c>
      <c r="P26" s="110">
        <v>514</v>
      </c>
      <c r="Q26" s="98">
        <v>-5670</v>
      </c>
    </row>
    <row r="27" spans="1:17" x14ac:dyDescent="0.4">
      <c r="A27" s="48" t="s">
        <v>171</v>
      </c>
      <c r="B27" s="127">
        <f>IF($B$19-B$18=0,0,C27/($B$19-B$18))</f>
        <v>10617.625</v>
      </c>
      <c r="C27" s="128">
        <v>16988200</v>
      </c>
      <c r="E27" s="55" t="s">
        <v>87</v>
      </c>
      <c r="F27" s="52" t="s">
        <v>42</v>
      </c>
      <c r="G27" s="40">
        <v>4</v>
      </c>
      <c r="H27" s="124">
        <f t="shared" si="0"/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 t="shared" si="3"/>
        <v>-12</v>
      </c>
      <c r="P27" s="110">
        <v>12</v>
      </c>
      <c r="Q27" s="98">
        <v>-144</v>
      </c>
    </row>
    <row r="28" spans="1:17" x14ac:dyDescent="0.4">
      <c r="A28" s="48" t="s">
        <v>172</v>
      </c>
      <c r="B28" s="127">
        <f>IF(B$18=0,0,C28/B$18)</f>
        <v>8338.6221294363258</v>
      </c>
      <c r="C28" s="128">
        <v>3994200</v>
      </c>
      <c r="E28" s="55" t="s">
        <v>90</v>
      </c>
      <c r="F28" s="52" t="s">
        <v>45</v>
      </c>
      <c r="G28" s="40">
        <v>2</v>
      </c>
      <c r="H28" s="124">
        <f t="shared" si="0"/>
        <v>1.2158054711246201E-3</v>
      </c>
      <c r="I28" s="86">
        <v>3</v>
      </c>
      <c r="K28" s="32">
        <v>26</v>
      </c>
      <c r="L28" s="91">
        <v>11.5</v>
      </c>
    </row>
    <row r="29" spans="1:17" x14ac:dyDescent="0.4">
      <c r="A29" s="48" t="s">
        <v>170</v>
      </c>
      <c r="B29" s="127">
        <f>IF(B$20=0,0,C29/B$20)</f>
        <v>-9359.0484282073066</v>
      </c>
      <c r="C29" s="128">
        <v>-11015600</v>
      </c>
      <c r="E29" s="55" t="s">
        <v>80</v>
      </c>
      <c r="F29" s="52" t="s">
        <v>35</v>
      </c>
      <c r="G29" s="40">
        <v>1</v>
      </c>
      <c r="H29" s="124">
        <f t="shared" si="0"/>
        <v>6.0790273556231007E-4</v>
      </c>
      <c r="I29" s="86">
        <v>2</v>
      </c>
      <c r="K29" s="32">
        <v>27</v>
      </c>
      <c r="L29" s="91">
        <v>0</v>
      </c>
    </row>
    <row r="30" spans="1:17" x14ac:dyDescent="0.4">
      <c r="A30" s="47" t="s">
        <v>162</v>
      </c>
      <c r="B30" s="40">
        <v>6</v>
      </c>
      <c r="C30" s="126">
        <v>0</v>
      </c>
      <c r="E30" s="55" t="s">
        <v>88</v>
      </c>
      <c r="F30" s="52" t="s">
        <v>43</v>
      </c>
      <c r="G30" s="40">
        <v>1</v>
      </c>
      <c r="H30" s="124">
        <f t="shared" si="0"/>
        <v>6.0790273556231007E-4</v>
      </c>
      <c r="I30" s="86">
        <v>2</v>
      </c>
      <c r="K30" s="32">
        <v>28</v>
      </c>
      <c r="L30" s="91">
        <v>-31.5</v>
      </c>
    </row>
    <row r="31" spans="1:17" x14ac:dyDescent="0.4">
      <c r="A31" s="47" t="s">
        <v>163</v>
      </c>
      <c r="B31" s="40">
        <v>35</v>
      </c>
      <c r="C31" s="126">
        <v>13</v>
      </c>
      <c r="E31" s="55" t="s">
        <v>95</v>
      </c>
      <c r="F31" s="52" t="s">
        <v>50</v>
      </c>
      <c r="G31" s="40">
        <v>1</v>
      </c>
      <c r="H31" s="124">
        <f t="shared" si="0"/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">
      <c r="A32" s="82" t="s">
        <v>138</v>
      </c>
      <c r="B32" s="158">
        <v>10</v>
      </c>
      <c r="C32" s="159"/>
      <c r="E32" s="55" t="s">
        <v>106</v>
      </c>
      <c r="F32" s="52" t="s">
        <v>113</v>
      </c>
      <c r="G32" s="40">
        <v>1</v>
      </c>
      <c r="H32" s="124">
        <f t="shared" si="0"/>
        <v>6.0790273556231007E-4</v>
      </c>
      <c r="I32" s="86">
        <v>2</v>
      </c>
      <c r="K32" s="32">
        <v>30</v>
      </c>
      <c r="L32" s="91">
        <v>0</v>
      </c>
    </row>
    <row r="33" spans="1:12" x14ac:dyDescent="0.4">
      <c r="A33" s="50" t="s">
        <v>186</v>
      </c>
      <c r="B33" s="156">
        <v>124700</v>
      </c>
      <c r="C33" s="157"/>
      <c r="E33" s="55" t="s">
        <v>76</v>
      </c>
      <c r="F33" s="52" t="s">
        <v>31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18.3</v>
      </c>
    </row>
    <row r="34" spans="1:12" x14ac:dyDescent="0.4">
      <c r="A34" s="49" t="s">
        <v>139</v>
      </c>
      <c r="B34" s="57">
        <v>20</v>
      </c>
      <c r="C34" s="36">
        <f>IF(B$3=0,0,B34/B$3)</f>
        <v>2.8960324355632784E-3</v>
      </c>
      <c r="E34" s="55" t="s">
        <v>82</v>
      </c>
      <c r="F34" s="52" t="s">
        <v>37</v>
      </c>
      <c r="G34" s="40">
        <v>0</v>
      </c>
      <c r="H34" s="124">
        <f t="shared" ref="H34:H65" si="4">IF(B$51=0,0,G34/B$51)</f>
        <v>0</v>
      </c>
      <c r="I34" s="86">
        <v>1</v>
      </c>
      <c r="K34" s="32">
        <v>32</v>
      </c>
      <c r="L34" s="91">
        <v>8.6000000000000014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1.7763568394002505E-15</v>
      </c>
    </row>
    <row r="36" spans="1:12" x14ac:dyDescent="0.4">
      <c r="A36" s="82" t="s">
        <v>177</v>
      </c>
      <c r="B36" s="136">
        <v>68</v>
      </c>
      <c r="C36" s="132">
        <f>IF(B$19=0,0,B36/B$19)</f>
        <v>3.2708032708032707E-2</v>
      </c>
      <c r="E36" s="55" t="s">
        <v>96</v>
      </c>
      <c r="F36" s="52" t="s">
        <v>51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12.800000000000002</v>
      </c>
    </row>
    <row r="37" spans="1:12" x14ac:dyDescent="0.4">
      <c r="A37" s="47" t="s">
        <v>173</v>
      </c>
      <c r="B37" s="40">
        <v>186</v>
      </c>
      <c r="C37" s="33">
        <f t="shared" ref="C37:C48" si="5">IF(B$19=0,0,B37/B$19)</f>
        <v>8.9466089466089471E-2</v>
      </c>
      <c r="E37" s="55" t="s">
        <v>97</v>
      </c>
      <c r="F37" s="52" t="s">
        <v>52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36.400000000000006</v>
      </c>
    </row>
    <row r="38" spans="1:12" x14ac:dyDescent="0.4">
      <c r="A38" s="47" t="s">
        <v>174</v>
      </c>
      <c r="B38" s="139">
        <v>294</v>
      </c>
      <c r="C38" s="33">
        <f>IF(B$19=0,0,B38/B$19)</f>
        <v>0.14141414141414141</v>
      </c>
      <c r="E38" s="55" t="s">
        <v>98</v>
      </c>
      <c r="F38" s="52" t="s">
        <v>53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7.1054273576010019E-15</v>
      </c>
    </row>
    <row r="39" spans="1:12" x14ac:dyDescent="0.4">
      <c r="A39" s="47" t="s">
        <v>175</v>
      </c>
      <c r="B39" s="139">
        <v>321</v>
      </c>
      <c r="C39" s="33">
        <f t="shared" si="5"/>
        <v>0.1544011544011544</v>
      </c>
      <c r="E39" s="55" t="s">
        <v>99</v>
      </c>
      <c r="F39" s="52" t="s">
        <v>54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57.000000000000007</v>
      </c>
    </row>
    <row r="40" spans="1:12" x14ac:dyDescent="0.4">
      <c r="A40" s="47" t="s">
        <v>176</v>
      </c>
      <c r="B40" s="139">
        <v>271</v>
      </c>
      <c r="C40" s="33">
        <f t="shared" si="5"/>
        <v>0.13035113035113036</v>
      </c>
      <c r="E40" s="55" t="s">
        <v>100</v>
      </c>
      <c r="F40" s="52" t="s">
        <v>55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32.600000000000009</v>
      </c>
    </row>
    <row r="41" spans="1:12" x14ac:dyDescent="0.4">
      <c r="A41" s="47" t="s">
        <v>178</v>
      </c>
      <c r="B41" s="139">
        <v>183</v>
      </c>
      <c r="C41" s="33">
        <f t="shared" si="5"/>
        <v>8.8023088023088017E-2</v>
      </c>
      <c r="E41" s="55" t="s">
        <v>101</v>
      </c>
      <c r="F41" s="52" t="s">
        <v>56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7.1054273576010019E-15</v>
      </c>
    </row>
    <row r="42" spans="1:12" x14ac:dyDescent="0.4">
      <c r="A42" s="47" t="s">
        <v>179</v>
      </c>
      <c r="B42" s="139">
        <v>121</v>
      </c>
      <c r="C42" s="33">
        <f t="shared" si="5"/>
        <v>5.8201058201058198E-2</v>
      </c>
      <c r="E42" s="55" t="s">
        <v>102</v>
      </c>
      <c r="F42" s="52" t="s">
        <v>57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-43.999999999999993</v>
      </c>
    </row>
    <row r="43" spans="1:12" x14ac:dyDescent="0.4">
      <c r="A43" s="47" t="s">
        <v>180</v>
      </c>
      <c r="B43" s="139">
        <v>74</v>
      </c>
      <c r="C43" s="33">
        <f t="shared" si="5"/>
        <v>3.5594035594035595E-2</v>
      </c>
      <c r="E43" s="55" t="s">
        <v>103</v>
      </c>
      <c r="F43" s="52" t="s">
        <v>58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22.000000000000007</v>
      </c>
    </row>
    <row r="44" spans="1:12" x14ac:dyDescent="0.4">
      <c r="A44" s="47" t="s">
        <v>181</v>
      </c>
      <c r="B44" s="139">
        <v>56</v>
      </c>
      <c r="C44" s="33">
        <f t="shared" si="5"/>
        <v>2.6936026936026935E-2</v>
      </c>
      <c r="E44" s="55" t="s">
        <v>104</v>
      </c>
      <c r="F44" s="52" t="s">
        <v>59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7.1054273576010019E-15</v>
      </c>
    </row>
    <row r="45" spans="1:12" x14ac:dyDescent="0.4">
      <c r="A45" s="47" t="s">
        <v>182</v>
      </c>
      <c r="B45" s="139">
        <v>24</v>
      </c>
      <c r="C45" s="33">
        <f t="shared" si="5"/>
        <v>1.1544011544011544E-2</v>
      </c>
      <c r="E45" s="55" t="s">
        <v>105</v>
      </c>
      <c r="F45" s="52" t="s">
        <v>112</v>
      </c>
      <c r="G45" s="40">
        <v>0</v>
      </c>
      <c r="H45" s="124">
        <f t="shared" si="4"/>
        <v>0</v>
      </c>
      <c r="I45" s="86">
        <v>1</v>
      </c>
      <c r="K45" s="32">
        <v>43</v>
      </c>
      <c r="L45" s="91">
        <v>-36.999999999999993</v>
      </c>
    </row>
    <row r="46" spans="1:12" x14ac:dyDescent="0.4">
      <c r="A46" s="47" t="s">
        <v>183</v>
      </c>
      <c r="B46" s="139">
        <v>14</v>
      </c>
      <c r="C46" s="33">
        <f t="shared" si="5"/>
        <v>6.7340067340067337E-3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-35.499999999999993</v>
      </c>
    </row>
    <row r="47" spans="1:12" x14ac:dyDescent="0.4">
      <c r="A47" s="47" t="s">
        <v>184</v>
      </c>
      <c r="B47" s="139">
        <v>6</v>
      </c>
      <c r="C47" s="33">
        <f t="shared" si="5"/>
        <v>2.886002886002886E-3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7.1054273576010019E-15</v>
      </c>
    </row>
    <row r="48" spans="1:12" x14ac:dyDescent="0.4">
      <c r="A48" s="49" t="s">
        <v>185</v>
      </c>
      <c r="B48" s="135">
        <v>27</v>
      </c>
      <c r="C48" s="36">
        <f t="shared" si="5"/>
        <v>1.2987012987012988E-2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1.6000000000000072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5.4000000000000075</v>
      </c>
    </row>
    <row r="50" spans="1:12" x14ac:dyDescent="0.4">
      <c r="A50" s="82" t="s">
        <v>197</v>
      </c>
      <c r="B50" s="146">
        <v>5490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7.1054273576010019E-15</v>
      </c>
    </row>
    <row r="51" spans="1:12" x14ac:dyDescent="0.4">
      <c r="A51" s="49" t="s">
        <v>198</v>
      </c>
      <c r="B51" s="154">
        <v>1645</v>
      </c>
      <c r="C51" s="155"/>
      <c r="K51" s="32">
        <v>49</v>
      </c>
      <c r="L51" s="91">
        <v>-21.399999999999991</v>
      </c>
    </row>
    <row r="52" spans="1:12" x14ac:dyDescent="0.4">
      <c r="K52" s="32">
        <v>50</v>
      </c>
      <c r="L52" s="91">
        <v>-53.899999999999991</v>
      </c>
    </row>
    <row r="53" spans="1:12" x14ac:dyDescent="0.4">
      <c r="K53" s="32">
        <v>51</v>
      </c>
      <c r="L53" s="91">
        <v>7.1054273576010019E-15</v>
      </c>
    </row>
    <row r="54" spans="1:12" x14ac:dyDescent="0.4">
      <c r="K54" s="32">
        <v>52</v>
      </c>
      <c r="L54" s="91">
        <v>14.900000000000007</v>
      </c>
    </row>
    <row r="55" spans="1:12" x14ac:dyDescent="0.4">
      <c r="K55" s="32">
        <v>53</v>
      </c>
      <c r="L55" s="91">
        <v>1.2000000000000082</v>
      </c>
    </row>
    <row r="56" spans="1:12" x14ac:dyDescent="0.4">
      <c r="K56" s="32">
        <v>54</v>
      </c>
      <c r="L56" s="91">
        <v>8.2156503822261584E-15</v>
      </c>
    </row>
    <row r="57" spans="1:12" x14ac:dyDescent="0.4">
      <c r="K57" s="32">
        <v>55</v>
      </c>
      <c r="L57" s="91">
        <v>57.20000000000001</v>
      </c>
    </row>
    <row r="58" spans="1:12" x14ac:dyDescent="0.4">
      <c r="K58" s="32">
        <v>56</v>
      </c>
      <c r="L58" s="91">
        <v>18.800000000000011</v>
      </c>
    </row>
    <row r="59" spans="1:12" x14ac:dyDescent="0.4">
      <c r="K59" s="32">
        <v>57</v>
      </c>
      <c r="L59" s="91">
        <v>1.0658141036401503E-14</v>
      </c>
    </row>
    <row r="60" spans="1:12" x14ac:dyDescent="0.4">
      <c r="K60" s="32">
        <v>58</v>
      </c>
      <c r="L60" s="91">
        <v>26.20000000000001</v>
      </c>
    </row>
    <row r="61" spans="1:12" x14ac:dyDescent="0.4">
      <c r="K61" s="32">
        <v>59</v>
      </c>
      <c r="L61" s="91">
        <v>1.0000000000000107</v>
      </c>
    </row>
    <row r="62" spans="1:12" x14ac:dyDescent="0.4">
      <c r="K62" s="32">
        <v>60</v>
      </c>
      <c r="L62" s="91">
        <v>1.0658141036401503E-14</v>
      </c>
    </row>
    <row r="63" spans="1:12" x14ac:dyDescent="0.4">
      <c r="K63" s="32">
        <v>61</v>
      </c>
      <c r="L63" s="91">
        <v>56.500000000000014</v>
      </c>
    </row>
    <row r="64" spans="1:12" x14ac:dyDescent="0.4">
      <c r="K64" s="32">
        <v>62</v>
      </c>
      <c r="L64" s="91">
        <v>10.000000000000014</v>
      </c>
    </row>
    <row r="65" spans="11:12" x14ac:dyDescent="0.4">
      <c r="K65" s="32">
        <v>63</v>
      </c>
      <c r="L65" s="91">
        <v>1.4210854715202004E-14</v>
      </c>
    </row>
    <row r="66" spans="11:12" x14ac:dyDescent="0.4">
      <c r="K66" s="32">
        <v>64</v>
      </c>
      <c r="L66" s="91">
        <v>-25.499999999999986</v>
      </c>
    </row>
    <row r="67" spans="11:12" x14ac:dyDescent="0.4">
      <c r="K67" s="32">
        <v>65</v>
      </c>
      <c r="L67" s="91">
        <v>-65.399999999999977</v>
      </c>
    </row>
    <row r="68" spans="11:12" x14ac:dyDescent="0.4">
      <c r="K68" s="32">
        <v>66</v>
      </c>
      <c r="L68" s="91">
        <v>2.8421709430404007E-14</v>
      </c>
    </row>
    <row r="69" spans="11:12" x14ac:dyDescent="0.4">
      <c r="K69" s="32">
        <v>67</v>
      </c>
      <c r="L69" s="91">
        <v>24.700000000000028</v>
      </c>
    </row>
    <row r="70" spans="11:12" x14ac:dyDescent="0.4">
      <c r="K70" s="32">
        <v>68</v>
      </c>
      <c r="L70" s="91">
        <v>-11.099999999999969</v>
      </c>
    </row>
    <row r="71" spans="11:12" x14ac:dyDescent="0.4">
      <c r="K71" s="32">
        <v>69</v>
      </c>
      <c r="L71" s="91">
        <v>3.0198066269804258E-14</v>
      </c>
    </row>
    <row r="72" spans="11:12" x14ac:dyDescent="0.4">
      <c r="K72" s="32">
        <v>70</v>
      </c>
      <c r="L72" s="91">
        <v>-6.4999999999999698</v>
      </c>
    </row>
    <row r="73" spans="11:12" x14ac:dyDescent="0.4">
      <c r="K73" s="32">
        <v>71</v>
      </c>
      <c r="L73" s="91">
        <v>-50.999999999999972</v>
      </c>
    </row>
    <row r="74" spans="11:12" x14ac:dyDescent="0.4">
      <c r="K74" s="32">
        <v>72</v>
      </c>
      <c r="L74" s="91">
        <v>2.8421709430404007E-14</v>
      </c>
    </row>
    <row r="75" spans="11:12" x14ac:dyDescent="0.4">
      <c r="K75" s="32">
        <v>73</v>
      </c>
      <c r="L75" s="91">
        <v>-33.699999999999974</v>
      </c>
    </row>
    <row r="76" spans="11:12" x14ac:dyDescent="0.4">
      <c r="K76" s="32">
        <v>74</v>
      </c>
      <c r="L76" s="91">
        <v>-17.199999999999974</v>
      </c>
    </row>
    <row r="77" spans="11:12" x14ac:dyDescent="0.4">
      <c r="K77" s="32">
        <v>75</v>
      </c>
      <c r="L77" s="91">
        <v>2.4868995751603507E-14</v>
      </c>
    </row>
    <row r="78" spans="11:12" x14ac:dyDescent="0.4">
      <c r="K78" s="32">
        <v>76</v>
      </c>
      <c r="L78" s="91">
        <v>23.900000000000023</v>
      </c>
    </row>
    <row r="79" spans="11:12" x14ac:dyDescent="0.4">
      <c r="K79" s="32">
        <v>77</v>
      </c>
      <c r="L79" s="91">
        <v>15.500000000000023</v>
      </c>
    </row>
    <row r="80" spans="11:12" x14ac:dyDescent="0.4">
      <c r="K80" s="32">
        <v>78</v>
      </c>
      <c r="L80" s="91">
        <v>2.3092638912203256E-14</v>
      </c>
    </row>
    <row r="81" spans="11:12" x14ac:dyDescent="0.4">
      <c r="K81" s="32">
        <v>79</v>
      </c>
      <c r="L81" s="91">
        <v>-36.999999999999979</v>
      </c>
    </row>
    <row r="82" spans="11:12" x14ac:dyDescent="0.4">
      <c r="K82" s="32">
        <v>80</v>
      </c>
      <c r="L82" s="91">
        <v>24.500000000000021</v>
      </c>
    </row>
    <row r="83" spans="11:12" x14ac:dyDescent="0.4">
      <c r="K83" s="32">
        <v>81</v>
      </c>
      <c r="L83" s="91">
        <v>2.1316282072803006E-14</v>
      </c>
    </row>
    <row r="84" spans="11:12" x14ac:dyDescent="0.4">
      <c r="K84" s="32">
        <v>82</v>
      </c>
      <c r="L84" s="91">
        <v>58.000000000000021</v>
      </c>
    </row>
    <row r="85" spans="11:12" x14ac:dyDescent="0.4">
      <c r="K85" s="32">
        <v>83</v>
      </c>
      <c r="L85" s="91">
        <v>41.500000000000021</v>
      </c>
    </row>
    <row r="86" spans="11:12" x14ac:dyDescent="0.4">
      <c r="K86" s="32">
        <v>84</v>
      </c>
      <c r="L86" s="91">
        <v>2.1316282072803006E-14</v>
      </c>
    </row>
    <row r="87" spans="11:12" x14ac:dyDescent="0.4">
      <c r="K87" s="32">
        <v>85</v>
      </c>
      <c r="L87" s="91">
        <v>-8.399999999999979</v>
      </c>
    </row>
    <row r="88" spans="11:12" x14ac:dyDescent="0.4">
      <c r="K88" s="32">
        <v>86</v>
      </c>
      <c r="L88" s="91">
        <v>19.300000000000018</v>
      </c>
    </row>
    <row r="89" spans="11:12" x14ac:dyDescent="0.4">
      <c r="K89" s="32">
        <v>87</v>
      </c>
      <c r="L89" s="91">
        <v>1.7763568394002505E-14</v>
      </c>
    </row>
    <row r="90" spans="11:12" x14ac:dyDescent="0.4">
      <c r="K90" s="32">
        <v>88</v>
      </c>
      <c r="L90" s="91">
        <v>53.300000000000011</v>
      </c>
    </row>
    <row r="91" spans="11:12" x14ac:dyDescent="0.4">
      <c r="K91" s="32">
        <v>89</v>
      </c>
      <c r="L91" s="91">
        <v>14.400000000000013</v>
      </c>
    </row>
    <row r="92" spans="11:12" x14ac:dyDescent="0.4">
      <c r="K92" s="32">
        <v>90</v>
      </c>
      <c r="L92" s="91">
        <v>1.2434497875801753E-14</v>
      </c>
    </row>
    <row r="93" spans="11:12" x14ac:dyDescent="0.4">
      <c r="K93" s="32">
        <v>91</v>
      </c>
      <c r="L93" s="91">
        <v>-13.999999999999988</v>
      </c>
    </row>
    <row r="94" spans="11:12" x14ac:dyDescent="0.4">
      <c r="K94" s="32">
        <v>92</v>
      </c>
      <c r="L94" s="91">
        <v>-51.999999999999986</v>
      </c>
    </row>
    <row r="95" spans="11:12" x14ac:dyDescent="0.4">
      <c r="K95" s="32">
        <v>93</v>
      </c>
      <c r="L95" s="91">
        <v>1.4210854715202004E-14</v>
      </c>
    </row>
    <row r="96" spans="11:12" x14ac:dyDescent="0.4">
      <c r="K96" s="32">
        <v>94</v>
      </c>
      <c r="L96" s="91">
        <v>60.700000000000017</v>
      </c>
    </row>
    <row r="97" spans="11:12" x14ac:dyDescent="0.4">
      <c r="K97" s="32">
        <v>95</v>
      </c>
      <c r="L97" s="91">
        <v>40.40000000000002</v>
      </c>
    </row>
    <row r="98" spans="11:12" x14ac:dyDescent="0.4">
      <c r="K98" s="32">
        <v>96</v>
      </c>
      <c r="L98" s="91">
        <v>2.1316282072803006E-14</v>
      </c>
    </row>
    <row r="99" spans="11:12" x14ac:dyDescent="0.4">
      <c r="K99" s="32">
        <v>97</v>
      </c>
      <c r="L99" s="91">
        <v>50.000000000000021</v>
      </c>
    </row>
    <row r="100" spans="11:12" x14ac:dyDescent="0.4">
      <c r="K100" s="32">
        <v>98</v>
      </c>
      <c r="L100" s="91">
        <v>41.500000000000021</v>
      </c>
    </row>
    <row r="101" spans="11:12" x14ac:dyDescent="0.4">
      <c r="K101" s="32">
        <v>99</v>
      </c>
      <c r="L101" s="91">
        <v>2.1316282072803006E-14</v>
      </c>
    </row>
    <row r="102" spans="11:12" x14ac:dyDescent="0.4">
      <c r="K102" s="32">
        <v>100</v>
      </c>
      <c r="L102" s="91">
        <v>-13.999999999999979</v>
      </c>
    </row>
    <row r="103" spans="11:12" x14ac:dyDescent="0.4">
      <c r="K103" s="32">
        <v>101</v>
      </c>
      <c r="L103" s="91">
        <v>-52.499999999999979</v>
      </c>
    </row>
    <row r="104" spans="11:12" x14ac:dyDescent="0.4">
      <c r="K104" s="32">
        <v>102</v>
      </c>
      <c r="L104" s="91">
        <v>2.1316282072803006E-14</v>
      </c>
    </row>
    <row r="105" spans="11:12" x14ac:dyDescent="0.4">
      <c r="K105" s="32">
        <v>103</v>
      </c>
      <c r="L105" s="91">
        <v>-3.3999999999999786</v>
      </c>
    </row>
    <row r="106" spans="11:12" x14ac:dyDescent="0.4">
      <c r="K106" s="32">
        <v>104</v>
      </c>
      <c r="L106" s="91">
        <v>-14.999999999999979</v>
      </c>
    </row>
    <row r="107" spans="11:12" x14ac:dyDescent="0.4">
      <c r="K107" s="32">
        <v>105</v>
      </c>
      <c r="L107" s="91">
        <v>2.1316282072803006E-14</v>
      </c>
    </row>
    <row r="108" spans="11:12" x14ac:dyDescent="0.4">
      <c r="K108" s="32">
        <v>106</v>
      </c>
      <c r="L108" s="91">
        <v>-17.09999999999998</v>
      </c>
    </row>
    <row r="109" spans="11:12" x14ac:dyDescent="0.4">
      <c r="K109" s="32">
        <v>107</v>
      </c>
      <c r="L109" s="91">
        <v>-16.799999999999979</v>
      </c>
    </row>
    <row r="110" spans="11:12" x14ac:dyDescent="0.4">
      <c r="K110" s="32">
        <v>108</v>
      </c>
      <c r="L110" s="91">
        <v>2.1316282072803006E-14</v>
      </c>
    </row>
    <row r="111" spans="11:12" x14ac:dyDescent="0.4">
      <c r="K111" s="32">
        <v>109</v>
      </c>
      <c r="L111" s="91">
        <v>21.100000000000023</v>
      </c>
    </row>
    <row r="112" spans="11:12" x14ac:dyDescent="0.4">
      <c r="K112" s="32">
        <v>110</v>
      </c>
      <c r="L112" s="91">
        <v>35.800000000000026</v>
      </c>
    </row>
    <row r="113" spans="11:12" x14ac:dyDescent="0.4">
      <c r="K113" s="32">
        <v>111</v>
      </c>
      <c r="L113" s="91">
        <v>2.8421709430404007E-14</v>
      </c>
    </row>
    <row r="114" spans="11:12" x14ac:dyDescent="0.4">
      <c r="K114" s="32">
        <v>112</v>
      </c>
      <c r="L114" s="91">
        <v>-50.599999999999973</v>
      </c>
    </row>
    <row r="115" spans="11:12" x14ac:dyDescent="0.4">
      <c r="K115" s="32">
        <v>113</v>
      </c>
      <c r="L115" s="91">
        <v>-2.599999999999973</v>
      </c>
    </row>
    <row r="116" spans="11:12" x14ac:dyDescent="0.4">
      <c r="K116" s="32">
        <v>114</v>
      </c>
      <c r="L116" s="91">
        <v>2.708944180085382E-14</v>
      </c>
    </row>
    <row r="117" spans="11:12" x14ac:dyDescent="0.4">
      <c r="K117" s="32">
        <v>115</v>
      </c>
      <c r="L117" s="91">
        <v>-8.1999999999999726</v>
      </c>
    </row>
    <row r="118" spans="11:12" x14ac:dyDescent="0.4">
      <c r="K118" s="32">
        <v>116</v>
      </c>
      <c r="L118" s="91">
        <v>-49.999999999999972</v>
      </c>
    </row>
    <row r="119" spans="11:12" x14ac:dyDescent="0.4">
      <c r="K119" s="32">
        <v>117</v>
      </c>
      <c r="L119" s="91">
        <v>2.8421709430404007E-14</v>
      </c>
    </row>
    <row r="120" spans="11:12" x14ac:dyDescent="0.4">
      <c r="K120" s="32">
        <v>118</v>
      </c>
      <c r="L120" s="91">
        <v>-6.9999999999999716</v>
      </c>
    </row>
    <row r="121" spans="11:12" x14ac:dyDescent="0.4">
      <c r="K121" s="32">
        <v>119</v>
      </c>
      <c r="L121" s="91">
        <v>-12.499999999999972</v>
      </c>
    </row>
    <row r="122" spans="11:12" x14ac:dyDescent="0.4">
      <c r="K122" s="32">
        <v>120</v>
      </c>
      <c r="L122" s="91">
        <v>2.8421709430404007E-14</v>
      </c>
    </row>
    <row r="123" spans="11:12" x14ac:dyDescent="0.4">
      <c r="K123" s="32">
        <v>121</v>
      </c>
      <c r="L123" s="91">
        <v>-36.39999999999997</v>
      </c>
    </row>
    <row r="124" spans="11:12" x14ac:dyDescent="0.4">
      <c r="K124" s="32">
        <v>122</v>
      </c>
      <c r="L124" s="91">
        <v>-11.499999999999972</v>
      </c>
    </row>
    <row r="125" spans="11:12" x14ac:dyDescent="0.4">
      <c r="K125" s="32">
        <v>123</v>
      </c>
      <c r="L125" s="91">
        <v>2.8421709430404007E-14</v>
      </c>
    </row>
    <row r="126" spans="11:12" x14ac:dyDescent="0.4">
      <c r="K126" s="32">
        <v>124</v>
      </c>
      <c r="L126" s="91">
        <v>-8.4999999999999716</v>
      </c>
    </row>
    <row r="127" spans="11:12" x14ac:dyDescent="0.4">
      <c r="K127" s="32">
        <v>125</v>
      </c>
      <c r="L127" s="91">
        <v>-5.4999999999999716</v>
      </c>
    </row>
    <row r="128" spans="11:12" x14ac:dyDescent="0.4">
      <c r="K128" s="32">
        <v>126</v>
      </c>
      <c r="L128" s="91">
        <v>2.8421709430404007E-14</v>
      </c>
    </row>
    <row r="129" spans="11:12" x14ac:dyDescent="0.4">
      <c r="K129" s="32">
        <v>127</v>
      </c>
      <c r="L129" s="91">
        <v>8.4000000000000288</v>
      </c>
    </row>
    <row r="130" spans="11:12" x14ac:dyDescent="0.4">
      <c r="K130" s="32">
        <v>128</v>
      </c>
      <c r="L130" s="91">
        <v>23.900000000000027</v>
      </c>
    </row>
    <row r="131" spans="11:12" x14ac:dyDescent="0.4">
      <c r="K131" s="32">
        <v>129</v>
      </c>
      <c r="L131" s="91">
        <v>2.8421709430404007E-14</v>
      </c>
    </row>
    <row r="132" spans="11:12" x14ac:dyDescent="0.4">
      <c r="K132" s="32">
        <v>130</v>
      </c>
      <c r="L132" s="91">
        <v>-10.399999999999972</v>
      </c>
    </row>
    <row r="133" spans="11:12" x14ac:dyDescent="0.4">
      <c r="K133" s="32">
        <v>131</v>
      </c>
      <c r="L133" s="91">
        <v>0.70000000000002771</v>
      </c>
    </row>
    <row r="134" spans="11:12" x14ac:dyDescent="0.4">
      <c r="K134" s="32">
        <v>132</v>
      </c>
      <c r="L134" s="91">
        <v>2.7755575615628914E-14</v>
      </c>
    </row>
    <row r="135" spans="11:12" x14ac:dyDescent="0.4">
      <c r="K135" s="32">
        <v>133</v>
      </c>
      <c r="L135" s="91">
        <v>27.900000000000027</v>
      </c>
    </row>
    <row r="136" spans="11:12" x14ac:dyDescent="0.4">
      <c r="K136" s="32">
        <v>134</v>
      </c>
      <c r="L136" s="91">
        <v>-7.9999999999999716</v>
      </c>
    </row>
    <row r="137" spans="11:12" x14ac:dyDescent="0.4">
      <c r="K137" s="32">
        <v>135</v>
      </c>
      <c r="L137" s="91">
        <v>2.8421709430404007E-14</v>
      </c>
    </row>
    <row r="138" spans="11:12" x14ac:dyDescent="0.4">
      <c r="K138" s="32">
        <v>136</v>
      </c>
      <c r="L138" s="91">
        <v>-20.499999999999972</v>
      </c>
    </row>
    <row r="139" spans="11:12" x14ac:dyDescent="0.4">
      <c r="K139" s="32">
        <v>137</v>
      </c>
      <c r="L139" s="91">
        <v>-25.199999999999971</v>
      </c>
    </row>
    <row r="140" spans="11:12" x14ac:dyDescent="0.4">
      <c r="K140" s="32">
        <v>138</v>
      </c>
      <c r="L140" s="91">
        <v>2.8421709430404007E-14</v>
      </c>
    </row>
    <row r="141" spans="11:12" x14ac:dyDescent="0.4">
      <c r="K141" s="32">
        <v>139</v>
      </c>
      <c r="L141" s="91">
        <v>-31.099999999999973</v>
      </c>
    </row>
    <row r="142" spans="11:12" x14ac:dyDescent="0.4">
      <c r="K142" s="32">
        <v>140</v>
      </c>
      <c r="L142" s="91">
        <v>-62.299999999999969</v>
      </c>
    </row>
    <row r="143" spans="11:12" x14ac:dyDescent="0.4">
      <c r="K143" s="32">
        <v>141</v>
      </c>
      <c r="L143" s="91">
        <v>2.8421709430404007E-14</v>
      </c>
    </row>
    <row r="144" spans="11:12" x14ac:dyDescent="0.4">
      <c r="K144" s="32">
        <v>142</v>
      </c>
      <c r="L144" s="91">
        <v>16.200000000000028</v>
      </c>
    </row>
    <row r="145" spans="11:12" x14ac:dyDescent="0.4">
      <c r="K145" s="32">
        <v>143</v>
      </c>
      <c r="L145" s="91">
        <v>-8.599999999999973</v>
      </c>
    </row>
    <row r="146" spans="11:12" x14ac:dyDescent="0.4">
      <c r="K146" s="32">
        <v>144</v>
      </c>
      <c r="L146" s="91">
        <v>2.6645352591003757E-14</v>
      </c>
    </row>
    <row r="147" spans="11:12" x14ac:dyDescent="0.4">
      <c r="K147" s="32">
        <v>145</v>
      </c>
      <c r="L147" s="91">
        <v>-4.8999999999999737</v>
      </c>
    </row>
    <row r="148" spans="11:12" x14ac:dyDescent="0.4">
      <c r="K148" s="32">
        <v>146</v>
      </c>
      <c r="L148" s="91">
        <v>-16.799999999999976</v>
      </c>
    </row>
    <row r="149" spans="11:12" x14ac:dyDescent="0.4">
      <c r="K149" s="32">
        <v>147</v>
      </c>
      <c r="L149" s="91">
        <v>2.4868995751603507E-14</v>
      </c>
    </row>
    <row r="150" spans="11:12" x14ac:dyDescent="0.4">
      <c r="K150" s="32">
        <v>148</v>
      </c>
      <c r="L150" s="91">
        <v>12.800000000000026</v>
      </c>
    </row>
    <row r="151" spans="11:12" x14ac:dyDescent="0.4">
      <c r="K151" s="32">
        <v>149</v>
      </c>
      <c r="L151" s="91">
        <v>16.700000000000024</v>
      </c>
    </row>
    <row r="152" spans="11:12" x14ac:dyDescent="0.4">
      <c r="K152" s="32">
        <v>150</v>
      </c>
      <c r="L152" s="91">
        <v>2.4868995751603507E-14</v>
      </c>
    </row>
    <row r="153" spans="11:12" x14ac:dyDescent="0.4">
      <c r="K153" s="32">
        <v>151</v>
      </c>
      <c r="L153" s="91">
        <v>0.70000000000002482</v>
      </c>
    </row>
    <row r="154" spans="11:12" x14ac:dyDescent="0.4">
      <c r="K154" s="32">
        <v>152</v>
      </c>
      <c r="L154" s="91">
        <v>43.900000000000027</v>
      </c>
    </row>
    <row r="155" spans="11:12" x14ac:dyDescent="0.4">
      <c r="K155" s="32">
        <v>153</v>
      </c>
      <c r="L155" s="91">
        <v>2.8421709430404007E-14</v>
      </c>
    </row>
    <row r="156" spans="11:12" x14ac:dyDescent="0.4">
      <c r="K156" s="32">
        <v>154</v>
      </c>
      <c r="L156" s="91">
        <v>-6.6999999999999718</v>
      </c>
    </row>
    <row r="157" spans="11:12" x14ac:dyDescent="0.4">
      <c r="K157" s="32">
        <v>155</v>
      </c>
      <c r="L157" s="91">
        <v>-9.4999999999999716</v>
      </c>
    </row>
    <row r="158" spans="11:12" x14ac:dyDescent="0.4">
      <c r="K158" s="32">
        <v>156</v>
      </c>
      <c r="L158" s="91">
        <v>2.8421709430404007E-14</v>
      </c>
    </row>
    <row r="159" spans="11:12" x14ac:dyDescent="0.4">
      <c r="K159" s="32">
        <v>157</v>
      </c>
      <c r="L159" s="91">
        <v>-27.999999999999972</v>
      </c>
    </row>
    <row r="160" spans="11:12" x14ac:dyDescent="0.4">
      <c r="K160" s="32">
        <v>158</v>
      </c>
      <c r="L160" s="91">
        <v>-82.999999999999972</v>
      </c>
    </row>
    <row r="161" spans="11:12" x14ac:dyDescent="0.4">
      <c r="K161" s="32">
        <v>159</v>
      </c>
      <c r="L161" s="91">
        <v>2.8421709430404007E-14</v>
      </c>
    </row>
    <row r="162" spans="11:12" x14ac:dyDescent="0.4">
      <c r="K162" s="32">
        <v>160</v>
      </c>
      <c r="L162" s="91">
        <v>16.700000000000028</v>
      </c>
    </row>
    <row r="163" spans="11:12" x14ac:dyDescent="0.4">
      <c r="K163" s="32">
        <v>161</v>
      </c>
      <c r="L163" s="91">
        <v>-20.999999999999975</v>
      </c>
    </row>
    <row r="164" spans="11:12" x14ac:dyDescent="0.4">
      <c r="K164" s="32">
        <v>162</v>
      </c>
      <c r="L164" s="91">
        <v>2.4868995751603507E-14</v>
      </c>
    </row>
    <row r="165" spans="11:12" x14ac:dyDescent="0.4">
      <c r="K165" s="32">
        <v>163</v>
      </c>
      <c r="L165" s="91">
        <v>-6.9999999999999751</v>
      </c>
    </row>
    <row r="166" spans="11:12" x14ac:dyDescent="0.4">
      <c r="K166" s="32">
        <v>164</v>
      </c>
      <c r="L166" s="91">
        <v>-12.899999999999975</v>
      </c>
    </row>
    <row r="167" spans="11:12" x14ac:dyDescent="0.4">
      <c r="K167" s="32">
        <v>165</v>
      </c>
      <c r="L167" s="91">
        <v>2.4868995751603507E-14</v>
      </c>
    </row>
    <row r="168" spans="11:12" x14ac:dyDescent="0.4">
      <c r="K168" s="32">
        <v>166</v>
      </c>
      <c r="L168" s="91">
        <v>31.600000000000026</v>
      </c>
    </row>
    <row r="169" spans="11:12" x14ac:dyDescent="0.4">
      <c r="K169" s="32">
        <v>167</v>
      </c>
      <c r="L169" s="91">
        <v>37.800000000000026</v>
      </c>
    </row>
    <row r="170" spans="11:12" x14ac:dyDescent="0.4">
      <c r="K170" s="32">
        <v>168</v>
      </c>
      <c r="L170" s="91">
        <v>2.8421709430404007E-14</v>
      </c>
    </row>
    <row r="171" spans="11:12" x14ac:dyDescent="0.4">
      <c r="K171" s="32">
        <v>169</v>
      </c>
      <c r="L171" s="91">
        <v>15.800000000000029</v>
      </c>
    </row>
    <row r="172" spans="11:12" x14ac:dyDescent="0.4">
      <c r="K172" s="32">
        <v>170</v>
      </c>
      <c r="L172" s="91">
        <v>-30.299999999999972</v>
      </c>
    </row>
    <row r="173" spans="11:12" x14ac:dyDescent="0.4">
      <c r="K173" s="32">
        <v>171</v>
      </c>
      <c r="L173" s="91">
        <v>2.8421709430404007E-14</v>
      </c>
    </row>
    <row r="174" spans="11:12" x14ac:dyDescent="0.4">
      <c r="K174" s="32">
        <v>172</v>
      </c>
      <c r="L174" s="91">
        <v>57.000000000000028</v>
      </c>
    </row>
    <row r="175" spans="11:12" x14ac:dyDescent="0.4">
      <c r="K175" s="32">
        <v>173</v>
      </c>
      <c r="L175" s="91">
        <v>6.5000000000000284</v>
      </c>
    </row>
    <row r="176" spans="11:12" x14ac:dyDescent="0.4">
      <c r="K176" s="32">
        <v>174</v>
      </c>
      <c r="L176" s="91">
        <v>2.8421709430404007E-14</v>
      </c>
    </row>
    <row r="177" spans="11:12" x14ac:dyDescent="0.4">
      <c r="K177" s="32">
        <v>175</v>
      </c>
      <c r="L177" s="91">
        <v>5.3000000000000282</v>
      </c>
    </row>
    <row r="178" spans="11:12" x14ac:dyDescent="0.4">
      <c r="K178" s="32">
        <v>176</v>
      </c>
      <c r="L178" s="91">
        <v>11.600000000000028</v>
      </c>
    </row>
    <row r="179" spans="11:12" x14ac:dyDescent="0.4">
      <c r="K179" s="32">
        <v>177</v>
      </c>
      <c r="L179" s="91">
        <v>2.8421709430404007E-14</v>
      </c>
    </row>
    <row r="180" spans="11:12" x14ac:dyDescent="0.4">
      <c r="K180" s="32">
        <v>178</v>
      </c>
      <c r="L180" s="91">
        <v>-36.199999999999974</v>
      </c>
    </row>
    <row r="181" spans="11:12" x14ac:dyDescent="0.4">
      <c r="K181" s="32">
        <v>179</v>
      </c>
      <c r="L181" s="91">
        <v>-17.499999999999975</v>
      </c>
    </row>
    <row r="182" spans="11:12" x14ac:dyDescent="0.4">
      <c r="K182" s="32">
        <v>180</v>
      </c>
      <c r="L182" s="91">
        <v>2.4868995751603507E-14</v>
      </c>
    </row>
    <row r="183" spans="11:12" x14ac:dyDescent="0.4">
      <c r="K183" s="32">
        <v>181</v>
      </c>
      <c r="L183" s="91">
        <v>-46.09999999999998</v>
      </c>
    </row>
    <row r="184" spans="11:12" x14ac:dyDescent="0.4">
      <c r="K184" s="32">
        <v>182</v>
      </c>
      <c r="L184" s="91">
        <v>-40.999999999999979</v>
      </c>
    </row>
    <row r="185" spans="11:12" x14ac:dyDescent="0.4">
      <c r="K185" s="32">
        <v>183</v>
      </c>
      <c r="L185" s="91">
        <v>2.1316282072803006E-14</v>
      </c>
    </row>
    <row r="186" spans="11:12" x14ac:dyDescent="0.4">
      <c r="K186" s="32">
        <v>184</v>
      </c>
      <c r="L186" s="91">
        <v>35.000000000000021</v>
      </c>
    </row>
    <row r="187" spans="11:12" x14ac:dyDescent="0.4">
      <c r="K187" s="32">
        <v>185</v>
      </c>
      <c r="L187" s="91">
        <v>10.500000000000021</v>
      </c>
    </row>
    <row r="188" spans="11:12" x14ac:dyDescent="0.4">
      <c r="K188" s="32">
        <v>186</v>
      </c>
      <c r="L188" s="91">
        <v>2.1316282072803006E-14</v>
      </c>
    </row>
    <row r="189" spans="11:12" x14ac:dyDescent="0.4">
      <c r="K189" s="32">
        <v>187</v>
      </c>
      <c r="L189" s="91">
        <v>21.100000000000023</v>
      </c>
    </row>
    <row r="190" spans="11:12" x14ac:dyDescent="0.4">
      <c r="K190" s="32">
        <v>188</v>
      </c>
      <c r="L190" s="91">
        <v>7.2000000000000224</v>
      </c>
    </row>
    <row r="191" spans="11:12" x14ac:dyDescent="0.4">
      <c r="K191" s="32">
        <v>189</v>
      </c>
      <c r="L191" s="91">
        <v>2.2204460492503131E-14</v>
      </c>
    </row>
    <row r="192" spans="11:12" x14ac:dyDescent="0.4">
      <c r="K192" s="32">
        <v>190</v>
      </c>
      <c r="L192" s="91">
        <v>-65.999999999999972</v>
      </c>
    </row>
    <row r="193" spans="11:12" x14ac:dyDescent="0.4">
      <c r="K193" s="32">
        <v>191</v>
      </c>
      <c r="L193" s="91">
        <v>-74.299999999999969</v>
      </c>
    </row>
    <row r="194" spans="11:12" x14ac:dyDescent="0.4">
      <c r="K194" s="32">
        <v>192</v>
      </c>
      <c r="L194" s="91">
        <v>2.8421709430404007E-14</v>
      </c>
    </row>
    <row r="195" spans="11:12" x14ac:dyDescent="0.4">
      <c r="K195" s="32">
        <v>193</v>
      </c>
      <c r="L195" s="91">
        <v>-4.9999999999999716</v>
      </c>
    </row>
    <row r="196" spans="11:12" x14ac:dyDescent="0.4">
      <c r="K196" s="32">
        <v>194</v>
      </c>
      <c r="L196" s="91">
        <v>-49.999999999999972</v>
      </c>
    </row>
    <row r="197" spans="11:12" x14ac:dyDescent="0.4">
      <c r="K197" s="32">
        <v>195</v>
      </c>
      <c r="L197" s="91">
        <v>2.8421709430404007E-14</v>
      </c>
    </row>
    <row r="198" spans="11:12" x14ac:dyDescent="0.4">
      <c r="K198" s="32">
        <v>196</v>
      </c>
      <c r="L198" s="91">
        <v>1.0000000000000284</v>
      </c>
    </row>
    <row r="199" spans="11:12" x14ac:dyDescent="0.4">
      <c r="K199" s="32">
        <v>197</v>
      </c>
      <c r="L199" s="91">
        <v>-34.999999999999972</v>
      </c>
    </row>
    <row r="200" spans="11:12" x14ac:dyDescent="0.4">
      <c r="K200" s="32">
        <v>198</v>
      </c>
      <c r="L200" s="91">
        <v>2.8421709430404007E-14</v>
      </c>
    </row>
    <row r="201" spans="11:12" x14ac:dyDescent="0.4">
      <c r="K201" s="32">
        <v>199</v>
      </c>
      <c r="L201" s="91">
        <v>31.60000000000003</v>
      </c>
    </row>
    <row r="202" spans="11:12" x14ac:dyDescent="0.4">
      <c r="K202" s="32">
        <v>200</v>
      </c>
      <c r="L202" s="91">
        <v>0.30000000000002913</v>
      </c>
    </row>
    <row r="203" spans="11:12" x14ac:dyDescent="0.4">
      <c r="K203" s="32">
        <v>201</v>
      </c>
      <c r="L203" s="91">
        <v>2.9143354396410359E-14</v>
      </c>
    </row>
    <row r="204" spans="11:12" x14ac:dyDescent="0.4">
      <c r="K204" s="32">
        <v>202</v>
      </c>
      <c r="L204" s="91">
        <v>-18.999999999999972</v>
      </c>
    </row>
    <row r="205" spans="11:12" x14ac:dyDescent="0.4">
      <c r="K205" s="32">
        <v>203</v>
      </c>
      <c r="L205" s="91">
        <v>45.000000000000028</v>
      </c>
    </row>
    <row r="206" spans="11:12" x14ac:dyDescent="0.4">
      <c r="K206" s="32">
        <v>204</v>
      </c>
      <c r="L206" s="91">
        <v>2.8421709430404007E-14</v>
      </c>
    </row>
    <row r="207" spans="11:12" x14ac:dyDescent="0.4">
      <c r="K207" s="32">
        <v>205</v>
      </c>
      <c r="L207" s="91">
        <v>-9.8999999999999719</v>
      </c>
    </row>
    <row r="208" spans="11:12" x14ac:dyDescent="0.4">
      <c r="K208" s="32">
        <v>206</v>
      </c>
      <c r="L208" s="91">
        <v>-6.7999999999999723</v>
      </c>
    </row>
    <row r="209" spans="11:12" x14ac:dyDescent="0.4">
      <c r="K209" s="32">
        <v>207</v>
      </c>
      <c r="L209" s="91">
        <v>2.7533531010703882E-14</v>
      </c>
    </row>
    <row r="210" spans="11:12" x14ac:dyDescent="0.4">
      <c r="K210" s="32">
        <v>208</v>
      </c>
      <c r="L210" s="91">
        <v>0.90000000000002756</v>
      </c>
    </row>
    <row r="211" spans="11:12" x14ac:dyDescent="0.4">
      <c r="K211" s="32">
        <v>209</v>
      </c>
      <c r="L211" s="91">
        <v>2.1000000000000276</v>
      </c>
    </row>
    <row r="212" spans="11:12" x14ac:dyDescent="0.4">
      <c r="K212" s="32">
        <v>210</v>
      </c>
      <c r="L212" s="91">
        <v>2.7533531010703882E-14</v>
      </c>
    </row>
    <row r="213" spans="11:12" x14ac:dyDescent="0.4">
      <c r="K213" s="32">
        <v>211</v>
      </c>
      <c r="L213" s="91">
        <v>32.300000000000026</v>
      </c>
    </row>
    <row r="214" spans="11:12" x14ac:dyDescent="0.4">
      <c r="K214" s="32">
        <v>212</v>
      </c>
      <c r="L214" s="91">
        <v>35.100000000000023</v>
      </c>
    </row>
    <row r="215" spans="11:12" x14ac:dyDescent="0.4">
      <c r="K215" s="32">
        <v>213</v>
      </c>
      <c r="L215" s="91">
        <v>2.1316282072803006E-14</v>
      </c>
    </row>
    <row r="216" spans="11:12" x14ac:dyDescent="0.4">
      <c r="K216" s="32">
        <v>214</v>
      </c>
      <c r="L216" s="91">
        <v>-45.999999999999979</v>
      </c>
    </row>
    <row r="217" spans="11:12" x14ac:dyDescent="0.4">
      <c r="K217" s="32">
        <v>215</v>
      </c>
      <c r="L217" s="91">
        <v>-1.3999999999999773</v>
      </c>
    </row>
    <row r="218" spans="11:12" x14ac:dyDescent="0.4">
      <c r="K218" s="32">
        <v>216</v>
      </c>
      <c r="L218" s="91">
        <v>2.2648549702353193E-14</v>
      </c>
    </row>
    <row r="219" spans="11:12" x14ac:dyDescent="0.4">
      <c r="K219" s="32">
        <v>217</v>
      </c>
      <c r="L219" s="91">
        <v>28.40000000000002</v>
      </c>
    </row>
    <row r="220" spans="11:12" x14ac:dyDescent="0.4">
      <c r="K220" s="32">
        <v>218</v>
      </c>
      <c r="L220" s="91">
        <v>27.000000000000021</v>
      </c>
    </row>
    <row r="221" spans="11:12" x14ac:dyDescent="0.4">
      <c r="K221" s="32">
        <v>219</v>
      </c>
      <c r="L221" s="91">
        <v>2.1316282072803006E-14</v>
      </c>
    </row>
    <row r="222" spans="11:12" x14ac:dyDescent="0.4">
      <c r="K222" s="32">
        <v>220</v>
      </c>
      <c r="L222" s="91">
        <v>-7.399999999999979</v>
      </c>
    </row>
    <row r="223" spans="11:12" x14ac:dyDescent="0.4">
      <c r="K223" s="32">
        <v>221</v>
      </c>
      <c r="L223" s="91">
        <v>-47.09999999999998</v>
      </c>
    </row>
    <row r="224" spans="11:12" x14ac:dyDescent="0.4">
      <c r="K224" s="32">
        <v>222</v>
      </c>
      <c r="L224" s="91">
        <v>2.1316282072803006E-14</v>
      </c>
    </row>
    <row r="225" spans="11:12" x14ac:dyDescent="0.4">
      <c r="K225" s="32">
        <v>223</v>
      </c>
      <c r="L225" s="91">
        <v>18.300000000000022</v>
      </c>
    </row>
    <row r="226" spans="11:12" x14ac:dyDescent="0.4">
      <c r="K226" s="32">
        <v>224</v>
      </c>
      <c r="L226" s="91">
        <v>-14.799999999999979</v>
      </c>
    </row>
    <row r="227" spans="11:12" x14ac:dyDescent="0.4">
      <c r="K227" s="32">
        <v>225</v>
      </c>
      <c r="L227" s="91">
        <v>2.1316282072803006E-14</v>
      </c>
    </row>
    <row r="228" spans="11:12" x14ac:dyDescent="0.4">
      <c r="K228" s="32">
        <v>226</v>
      </c>
      <c r="L228" s="91">
        <v>-13.899999999999979</v>
      </c>
    </row>
    <row r="229" spans="11:12" x14ac:dyDescent="0.4">
      <c r="K229" s="32">
        <v>227</v>
      </c>
      <c r="L229" s="91">
        <v>-32.09999999999998</v>
      </c>
    </row>
    <row r="230" spans="11:12" x14ac:dyDescent="0.4">
      <c r="K230" s="32">
        <v>228</v>
      </c>
      <c r="L230" s="91">
        <v>2.1316282072803006E-14</v>
      </c>
    </row>
    <row r="231" spans="11:12" x14ac:dyDescent="0.4">
      <c r="K231" s="32">
        <v>229</v>
      </c>
      <c r="L231" s="91">
        <v>40.000000000000021</v>
      </c>
    </row>
    <row r="232" spans="11:12" x14ac:dyDescent="0.4">
      <c r="K232" s="32">
        <v>230</v>
      </c>
      <c r="L232" s="91">
        <v>-0.39999999999997726</v>
      </c>
    </row>
    <row r="233" spans="11:12" x14ac:dyDescent="0.4">
      <c r="K233" s="32">
        <v>231</v>
      </c>
      <c r="L233" s="91">
        <v>2.2759572004815709E-14</v>
      </c>
    </row>
    <row r="234" spans="11:12" x14ac:dyDescent="0.4">
      <c r="K234" s="32">
        <v>232</v>
      </c>
      <c r="L234" s="91">
        <v>5.2000000000000233</v>
      </c>
    </row>
    <row r="235" spans="11:12" x14ac:dyDescent="0.4">
      <c r="K235" s="32">
        <v>233</v>
      </c>
      <c r="L235" s="91">
        <v>-5.7999999999999767</v>
      </c>
    </row>
    <row r="236" spans="11:12" x14ac:dyDescent="0.4">
      <c r="K236" s="32">
        <v>234</v>
      </c>
      <c r="L236" s="91">
        <v>2.3092638912203256E-14</v>
      </c>
    </row>
    <row r="237" spans="11:12" x14ac:dyDescent="0.4">
      <c r="K237" s="32">
        <v>235</v>
      </c>
      <c r="L237" s="91">
        <v>-13.699999999999976</v>
      </c>
    </row>
    <row r="238" spans="11:12" x14ac:dyDescent="0.4">
      <c r="K238" s="32">
        <v>236</v>
      </c>
      <c r="L238" s="91">
        <v>-29.499999999999979</v>
      </c>
    </row>
    <row r="239" spans="11:12" x14ac:dyDescent="0.4">
      <c r="K239" s="32">
        <v>237</v>
      </c>
      <c r="L239" s="91">
        <v>2.1316282072803006E-14</v>
      </c>
    </row>
    <row r="240" spans="11:12" x14ac:dyDescent="0.4">
      <c r="K240" s="32">
        <v>238</v>
      </c>
      <c r="L240" s="91">
        <v>-22.999999999999979</v>
      </c>
    </row>
    <row r="241" spans="11:12" x14ac:dyDescent="0.4">
      <c r="K241" s="32">
        <v>239</v>
      </c>
      <c r="L241" s="91">
        <v>-44.899999999999977</v>
      </c>
    </row>
    <row r="242" spans="11:12" x14ac:dyDescent="0.4">
      <c r="K242" s="32">
        <v>240</v>
      </c>
      <c r="L242" s="91">
        <v>2.1316282072803006E-14</v>
      </c>
    </row>
    <row r="243" spans="11:12" x14ac:dyDescent="0.4">
      <c r="K243" s="32">
        <v>241</v>
      </c>
      <c r="L243" s="91">
        <v>5.100000000000021</v>
      </c>
    </row>
    <row r="244" spans="11:12" x14ac:dyDescent="0.4">
      <c r="K244" s="32">
        <v>242</v>
      </c>
      <c r="L244" s="91">
        <v>16.40000000000002</v>
      </c>
    </row>
    <row r="245" spans="11:12" x14ac:dyDescent="0.4">
      <c r="K245" s="32">
        <v>243</v>
      </c>
      <c r="L245" s="91">
        <v>2.1316282072803006E-14</v>
      </c>
    </row>
    <row r="246" spans="11:12" x14ac:dyDescent="0.4">
      <c r="K246" s="32">
        <v>244</v>
      </c>
      <c r="L246" s="91">
        <v>31.90000000000002</v>
      </c>
    </row>
    <row r="247" spans="11:12" x14ac:dyDescent="0.4">
      <c r="K247" s="32">
        <v>245</v>
      </c>
      <c r="L247" s="91">
        <v>38.000000000000021</v>
      </c>
    </row>
    <row r="248" spans="11:12" x14ac:dyDescent="0.4">
      <c r="K248" s="32">
        <v>246</v>
      </c>
      <c r="L248" s="91">
        <v>2.1316282072803006E-14</v>
      </c>
    </row>
    <row r="249" spans="11:12" x14ac:dyDescent="0.4">
      <c r="K249" s="32">
        <v>247</v>
      </c>
      <c r="L249" s="91">
        <v>40.000000000000021</v>
      </c>
    </row>
    <row r="250" spans="11:12" x14ac:dyDescent="0.4">
      <c r="K250" s="32">
        <v>248</v>
      </c>
      <c r="L250" s="91">
        <v>-3.9999999999999787</v>
      </c>
    </row>
    <row r="251" spans="11:12" x14ac:dyDescent="0.4">
      <c r="K251" s="32">
        <v>249</v>
      </c>
      <c r="L251" s="91">
        <v>2.1316282072803006E-14</v>
      </c>
    </row>
    <row r="252" spans="11:12" x14ac:dyDescent="0.4">
      <c r="K252" s="32">
        <v>250</v>
      </c>
      <c r="L252" s="91">
        <v>22.500000000000021</v>
      </c>
    </row>
    <row r="253" spans="11:12" x14ac:dyDescent="0.4">
      <c r="K253" s="32">
        <v>251</v>
      </c>
      <c r="L253" s="91">
        <v>-18.499999999999979</v>
      </c>
    </row>
    <row r="254" spans="11:12" x14ac:dyDescent="0.4">
      <c r="K254" s="32">
        <v>252</v>
      </c>
      <c r="L254" s="91">
        <v>2.1316282072803006E-14</v>
      </c>
    </row>
    <row r="255" spans="11:12" x14ac:dyDescent="0.4">
      <c r="K255" s="32">
        <v>253</v>
      </c>
      <c r="L255" s="91">
        <v>31.500000000000021</v>
      </c>
    </row>
    <row r="256" spans="11:12" x14ac:dyDescent="0.4">
      <c r="K256" s="32">
        <v>254</v>
      </c>
      <c r="L256" s="91">
        <v>20.700000000000021</v>
      </c>
    </row>
    <row r="257" spans="11:12" x14ac:dyDescent="0.4">
      <c r="K257" s="32">
        <v>255</v>
      </c>
      <c r="L257" s="91">
        <v>2.1316282072803006E-14</v>
      </c>
    </row>
    <row r="258" spans="11:12" x14ac:dyDescent="0.4">
      <c r="K258" s="32">
        <v>256</v>
      </c>
      <c r="L258" s="91">
        <v>59.800000000000018</v>
      </c>
    </row>
    <row r="259" spans="11:12" x14ac:dyDescent="0.4">
      <c r="K259" s="32">
        <v>257</v>
      </c>
      <c r="L259" s="91">
        <v>24.300000000000018</v>
      </c>
    </row>
    <row r="260" spans="11:12" x14ac:dyDescent="0.4">
      <c r="K260" s="32">
        <v>258</v>
      </c>
      <c r="L260" s="91">
        <v>1.7763568394002505E-14</v>
      </c>
    </row>
    <row r="261" spans="11:12" x14ac:dyDescent="0.4">
      <c r="K261" s="32">
        <v>259</v>
      </c>
      <c r="L261" s="91">
        <v>11.100000000000017</v>
      </c>
    </row>
    <row r="262" spans="11:12" x14ac:dyDescent="0.4">
      <c r="K262" s="32">
        <v>260</v>
      </c>
      <c r="L262" s="91">
        <v>-15.999999999999984</v>
      </c>
    </row>
    <row r="263" spans="11:12" x14ac:dyDescent="0.4">
      <c r="K263" s="32">
        <v>261</v>
      </c>
      <c r="L263" s="91">
        <v>1.5987211554602254E-14</v>
      </c>
    </row>
    <row r="264" spans="11:12" x14ac:dyDescent="0.4">
      <c r="K264" s="32">
        <v>262</v>
      </c>
      <c r="L264" s="91">
        <v>1.6000000000000161</v>
      </c>
    </row>
    <row r="265" spans="11:12" x14ac:dyDescent="0.4">
      <c r="K265" s="32">
        <v>263</v>
      </c>
      <c r="L265" s="91">
        <v>24.200000000000017</v>
      </c>
    </row>
    <row r="266" spans="11:12" x14ac:dyDescent="0.4">
      <c r="K266" s="32">
        <v>264</v>
      </c>
      <c r="L266" s="91">
        <v>1.7763568394002505E-14</v>
      </c>
    </row>
    <row r="267" spans="11:12" x14ac:dyDescent="0.4">
      <c r="K267" s="32">
        <v>265</v>
      </c>
      <c r="L267" s="91">
        <v>-21.399999999999981</v>
      </c>
    </row>
    <row r="268" spans="11:12" x14ac:dyDescent="0.4">
      <c r="K268" s="32">
        <v>266</v>
      </c>
      <c r="L268" s="91">
        <v>-5.7999999999999812</v>
      </c>
    </row>
    <row r="269" spans="11:12" x14ac:dyDescent="0.4">
      <c r="K269" s="32">
        <v>267</v>
      </c>
      <c r="L269" s="91">
        <v>1.865174681370263E-14</v>
      </c>
    </row>
    <row r="270" spans="11:12" x14ac:dyDescent="0.4">
      <c r="K270" s="32">
        <v>268</v>
      </c>
      <c r="L270" s="91">
        <v>3.5000000000000187</v>
      </c>
    </row>
    <row r="271" spans="11:12" x14ac:dyDescent="0.4">
      <c r="K271" s="32">
        <v>269</v>
      </c>
      <c r="L271" s="91">
        <v>4.1000000000000183</v>
      </c>
    </row>
    <row r="272" spans="11:12" x14ac:dyDescent="0.4">
      <c r="K272" s="32">
        <v>270</v>
      </c>
      <c r="L272" s="91">
        <v>1.865174681370263E-14</v>
      </c>
    </row>
    <row r="273" spans="11:12" x14ac:dyDescent="0.4">
      <c r="K273" s="32">
        <v>271</v>
      </c>
      <c r="L273" s="91">
        <v>-43.399999999999977</v>
      </c>
    </row>
    <row r="274" spans="11:12" x14ac:dyDescent="0.4">
      <c r="K274" s="32">
        <v>272</v>
      </c>
      <c r="L274" s="91">
        <v>-3.1999999999999744</v>
      </c>
    </row>
    <row r="275" spans="11:12" x14ac:dyDescent="0.4">
      <c r="K275" s="32">
        <v>273</v>
      </c>
      <c r="L275" s="91">
        <v>2.5757174171303632E-14</v>
      </c>
    </row>
    <row r="276" spans="11:12" x14ac:dyDescent="0.4">
      <c r="K276" s="32">
        <v>274</v>
      </c>
      <c r="L276" s="91">
        <v>-45.499999999999972</v>
      </c>
    </row>
    <row r="277" spans="11:12" x14ac:dyDescent="0.4">
      <c r="K277" s="32">
        <v>275</v>
      </c>
      <c r="L277" s="91">
        <v>-27.999999999999972</v>
      </c>
    </row>
    <row r="278" spans="11:12" x14ac:dyDescent="0.4">
      <c r="K278" s="32">
        <v>276</v>
      </c>
      <c r="L278" s="91">
        <v>2.8421709430404007E-14</v>
      </c>
    </row>
    <row r="279" spans="11:12" x14ac:dyDescent="0.4">
      <c r="K279" s="32">
        <v>277</v>
      </c>
      <c r="L279" s="91">
        <v>-0.59999999999997156</v>
      </c>
    </row>
    <row r="280" spans="11:12" x14ac:dyDescent="0.4">
      <c r="K280" s="32">
        <v>278</v>
      </c>
      <c r="L280" s="91">
        <v>-39.099999999999973</v>
      </c>
    </row>
    <row r="281" spans="11:12" x14ac:dyDescent="0.4">
      <c r="K281" s="32">
        <v>279</v>
      </c>
      <c r="L281" s="91">
        <v>2.8421709430404007E-14</v>
      </c>
    </row>
    <row r="282" spans="11:12" x14ac:dyDescent="0.4">
      <c r="K282" s="32">
        <v>280</v>
      </c>
      <c r="L282" s="91">
        <v>26.400000000000027</v>
      </c>
    </row>
    <row r="283" spans="11:12" x14ac:dyDescent="0.4">
      <c r="K283" s="32">
        <v>281</v>
      </c>
      <c r="L283" s="91">
        <v>-1.9999999999999716</v>
      </c>
    </row>
    <row r="284" spans="11:12" x14ac:dyDescent="0.4">
      <c r="K284" s="32">
        <v>282</v>
      </c>
      <c r="L284" s="91">
        <v>2.8421709430404007E-14</v>
      </c>
    </row>
    <row r="285" spans="11:12" x14ac:dyDescent="0.4">
      <c r="K285" s="32">
        <v>283</v>
      </c>
      <c r="L285" s="91">
        <v>9.7000000000000277</v>
      </c>
    </row>
    <row r="286" spans="11:12" x14ac:dyDescent="0.4">
      <c r="K286" s="32">
        <v>284</v>
      </c>
      <c r="L286" s="91">
        <v>-32.699999999999974</v>
      </c>
    </row>
    <row r="287" spans="11:12" x14ac:dyDescent="0.4">
      <c r="K287" s="32">
        <v>285</v>
      </c>
      <c r="L287" s="91">
        <v>2.8421709430404007E-14</v>
      </c>
    </row>
    <row r="288" spans="11:12" x14ac:dyDescent="0.4">
      <c r="K288" s="32">
        <v>286</v>
      </c>
      <c r="L288" s="91">
        <v>21.10000000000003</v>
      </c>
    </row>
    <row r="289" spans="11:12" x14ac:dyDescent="0.4">
      <c r="K289" s="32">
        <v>287</v>
      </c>
      <c r="L289" s="91">
        <v>-14.599999999999973</v>
      </c>
    </row>
    <row r="290" spans="11:12" x14ac:dyDescent="0.4">
      <c r="K290" s="32">
        <v>288</v>
      </c>
      <c r="L290" s="91">
        <v>2.6645352591003757E-14</v>
      </c>
    </row>
    <row r="291" spans="11:12" x14ac:dyDescent="0.4">
      <c r="K291" s="32">
        <v>289</v>
      </c>
      <c r="L291" s="91">
        <v>-48.699999999999974</v>
      </c>
    </row>
    <row r="292" spans="11:12" x14ac:dyDescent="0.4">
      <c r="K292" s="32">
        <v>290</v>
      </c>
      <c r="L292" s="91">
        <v>-47.999999999999972</v>
      </c>
    </row>
    <row r="293" spans="11:12" x14ac:dyDescent="0.4">
      <c r="K293" s="32">
        <v>291</v>
      </c>
      <c r="L293" s="91">
        <v>2.8421709430404007E-14</v>
      </c>
    </row>
    <row r="294" spans="11:12" x14ac:dyDescent="0.4">
      <c r="K294" s="32">
        <v>292</v>
      </c>
      <c r="L294" s="91">
        <v>-15.999999999999972</v>
      </c>
    </row>
    <row r="295" spans="11:12" x14ac:dyDescent="0.4">
      <c r="K295" s="32">
        <v>293</v>
      </c>
      <c r="L295" s="91">
        <v>-3.7999999999999723</v>
      </c>
    </row>
    <row r="296" spans="11:12" x14ac:dyDescent="0.4">
      <c r="K296" s="32">
        <v>294</v>
      </c>
      <c r="L296" s="91">
        <v>2.7533531010703882E-14</v>
      </c>
    </row>
    <row r="297" spans="11:12" x14ac:dyDescent="0.4">
      <c r="K297" s="32">
        <v>295</v>
      </c>
      <c r="L297" s="91">
        <v>43.10000000000003</v>
      </c>
    </row>
    <row r="298" spans="11:12" x14ac:dyDescent="0.4">
      <c r="K298" s="32">
        <v>296</v>
      </c>
      <c r="L298" s="91">
        <v>5.8000000000000327</v>
      </c>
    </row>
    <row r="299" spans="11:12" x14ac:dyDescent="0.4">
      <c r="K299" s="32">
        <v>297</v>
      </c>
      <c r="L299" s="91">
        <v>3.2862601528904634E-14</v>
      </c>
    </row>
    <row r="300" spans="11:12" x14ac:dyDescent="0.4">
      <c r="K300" s="32">
        <v>298</v>
      </c>
      <c r="L300" s="91">
        <v>-5.9999999999999671</v>
      </c>
    </row>
    <row r="301" spans="11:12" x14ac:dyDescent="0.4">
      <c r="K301" s="32">
        <v>299</v>
      </c>
      <c r="L301" s="91">
        <v>-57.899999999999963</v>
      </c>
    </row>
    <row r="302" spans="11:12" x14ac:dyDescent="0.4">
      <c r="K302" s="32">
        <v>300</v>
      </c>
      <c r="L302" s="91">
        <v>3.5527136788005009E-14</v>
      </c>
    </row>
    <row r="303" spans="11:12" x14ac:dyDescent="0.4">
      <c r="K303" s="32">
        <v>301</v>
      </c>
      <c r="L303" s="91">
        <v>-37.499999999999964</v>
      </c>
    </row>
    <row r="304" spans="11:12" x14ac:dyDescent="0.4">
      <c r="K304" s="32">
        <v>302</v>
      </c>
      <c r="L304" s="91">
        <v>-49.499999999999964</v>
      </c>
    </row>
    <row r="305" spans="11:12" x14ac:dyDescent="0.4">
      <c r="K305" s="32">
        <v>303</v>
      </c>
      <c r="L305" s="91">
        <v>3.5527136788005009E-14</v>
      </c>
    </row>
    <row r="306" spans="11:12" x14ac:dyDescent="0.4">
      <c r="K306" s="32">
        <v>304</v>
      </c>
      <c r="L306" s="91">
        <v>-39.499999999999964</v>
      </c>
    </row>
    <row r="307" spans="11:12" x14ac:dyDescent="0.4">
      <c r="K307" s="32">
        <v>305</v>
      </c>
      <c r="L307" s="91">
        <v>9.5000000000000355</v>
      </c>
    </row>
    <row r="308" spans="11:12" x14ac:dyDescent="0.4">
      <c r="K308" s="32">
        <v>306</v>
      </c>
      <c r="L308" s="91">
        <v>3.5527136788005009E-14</v>
      </c>
    </row>
    <row r="309" spans="11:12" x14ac:dyDescent="0.4">
      <c r="K309" s="32">
        <v>307</v>
      </c>
      <c r="L309" s="91">
        <v>11.100000000000035</v>
      </c>
    </row>
    <row r="310" spans="11:12" x14ac:dyDescent="0.4">
      <c r="K310" s="32">
        <v>308</v>
      </c>
      <c r="L310" s="91">
        <v>-2.6999999999999655</v>
      </c>
    </row>
    <row r="311" spans="11:12" x14ac:dyDescent="0.4">
      <c r="K311" s="32">
        <v>309</v>
      </c>
      <c r="L311" s="91">
        <v>3.4638958368304884E-14</v>
      </c>
    </row>
    <row r="312" spans="11:12" x14ac:dyDescent="0.4">
      <c r="K312" s="32">
        <v>310</v>
      </c>
      <c r="L312" s="91">
        <v>-1.9999999999999654</v>
      </c>
    </row>
    <row r="313" spans="11:12" x14ac:dyDescent="0.4">
      <c r="K313" s="32">
        <v>311</v>
      </c>
      <c r="L313" s="91">
        <v>39.000000000000036</v>
      </c>
    </row>
    <row r="314" spans="11:12" x14ac:dyDescent="0.4">
      <c r="K314" s="32">
        <v>312</v>
      </c>
      <c r="L314" s="91">
        <v>3.5527136788005009E-14</v>
      </c>
    </row>
    <row r="315" spans="11:12" x14ac:dyDescent="0.4">
      <c r="K315" s="32">
        <v>313</v>
      </c>
      <c r="L315" s="91">
        <v>43.500000000000036</v>
      </c>
    </row>
    <row r="316" spans="11:12" x14ac:dyDescent="0.4">
      <c r="K316" s="32">
        <v>314</v>
      </c>
      <c r="L316" s="91">
        <v>40.100000000000037</v>
      </c>
    </row>
    <row r="317" spans="11:12" x14ac:dyDescent="0.4">
      <c r="K317" s="32">
        <v>315</v>
      </c>
      <c r="L317" s="91">
        <v>3.5527136788005009E-14</v>
      </c>
    </row>
    <row r="318" spans="11:12" x14ac:dyDescent="0.4">
      <c r="K318" s="32">
        <v>316</v>
      </c>
      <c r="L318" s="91">
        <v>-5.5999999999999641</v>
      </c>
    </row>
    <row r="319" spans="11:12" x14ac:dyDescent="0.4">
      <c r="K319" s="32">
        <v>317</v>
      </c>
      <c r="L319" s="91">
        <v>66.000000000000028</v>
      </c>
    </row>
    <row r="320" spans="11:12" x14ac:dyDescent="0.4">
      <c r="K320" s="32">
        <v>318</v>
      </c>
      <c r="L320" s="91">
        <v>2.8421709430404007E-14</v>
      </c>
    </row>
    <row r="321" spans="11:12" x14ac:dyDescent="0.4">
      <c r="K321" s="32">
        <v>319</v>
      </c>
      <c r="L321" s="91">
        <v>-7.3999999999999719</v>
      </c>
    </row>
    <row r="322" spans="11:12" x14ac:dyDescent="0.4">
      <c r="K322" s="32">
        <v>320</v>
      </c>
      <c r="L322" s="91">
        <v>24.10000000000003</v>
      </c>
    </row>
    <row r="323" spans="11:12" x14ac:dyDescent="0.4">
      <c r="K323" s="32">
        <v>321</v>
      </c>
      <c r="L323" s="91">
        <v>2.8421709430404007E-14</v>
      </c>
    </row>
    <row r="324" spans="11:12" x14ac:dyDescent="0.4">
      <c r="K324" s="32">
        <v>322</v>
      </c>
      <c r="L324" s="91">
        <v>-37.999999999999972</v>
      </c>
    </row>
    <row r="325" spans="11:12" x14ac:dyDescent="0.4">
      <c r="K325" s="32">
        <v>323</v>
      </c>
      <c r="L325" s="91">
        <v>-2.599999999999973</v>
      </c>
    </row>
    <row r="326" spans="11:12" x14ac:dyDescent="0.4">
      <c r="K326" s="32">
        <v>324</v>
      </c>
      <c r="L326" s="91">
        <v>2.708944180085382E-14</v>
      </c>
    </row>
    <row r="327" spans="11:12" x14ac:dyDescent="0.4">
      <c r="K327" s="32">
        <v>325</v>
      </c>
      <c r="L327" s="91">
        <v>-18.799999999999972</v>
      </c>
    </row>
    <row r="328" spans="11:12" x14ac:dyDescent="0.4">
      <c r="K328" s="32">
        <v>326</v>
      </c>
      <c r="L328" s="91">
        <v>-7.2999999999999723</v>
      </c>
    </row>
    <row r="329" spans="11:12" x14ac:dyDescent="0.4">
      <c r="K329" s="32">
        <v>327</v>
      </c>
      <c r="L329" s="91">
        <v>2.7533531010703882E-14</v>
      </c>
    </row>
    <row r="330" spans="11:12" x14ac:dyDescent="0.4">
      <c r="K330" s="32">
        <v>328</v>
      </c>
      <c r="L330" s="91">
        <v>27.000000000000028</v>
      </c>
    </row>
    <row r="331" spans="11:12" x14ac:dyDescent="0.4">
      <c r="K331" s="32">
        <v>329</v>
      </c>
      <c r="L331" s="91">
        <v>36.10000000000003</v>
      </c>
    </row>
    <row r="332" spans="11:12" x14ac:dyDescent="0.4">
      <c r="K332" s="32">
        <v>330</v>
      </c>
      <c r="L332" s="91">
        <v>2.8421709430404007E-14</v>
      </c>
    </row>
    <row r="333" spans="11:12" x14ac:dyDescent="0.4">
      <c r="K333" s="32">
        <v>331</v>
      </c>
      <c r="L333" s="91">
        <v>44.60000000000003</v>
      </c>
    </row>
    <row r="334" spans="11:12" x14ac:dyDescent="0.4">
      <c r="K334" s="32">
        <v>332</v>
      </c>
      <c r="L334" s="91">
        <v>39.400000000000027</v>
      </c>
    </row>
    <row r="335" spans="11:12" x14ac:dyDescent="0.4">
      <c r="K335" s="32">
        <v>333</v>
      </c>
      <c r="L335" s="91">
        <v>2.8421709430404007E-14</v>
      </c>
    </row>
    <row r="336" spans="11:12" x14ac:dyDescent="0.4">
      <c r="K336" s="32">
        <v>334</v>
      </c>
      <c r="L336" s="91">
        <v>7.0000000000000284</v>
      </c>
    </row>
    <row r="337" spans="11:12" x14ac:dyDescent="0.4">
      <c r="K337" s="32">
        <v>335</v>
      </c>
      <c r="L337" s="91">
        <v>40.000000000000028</v>
      </c>
    </row>
    <row r="338" spans="11:12" x14ac:dyDescent="0.4">
      <c r="K338" s="32">
        <v>336</v>
      </c>
      <c r="L338" s="91">
        <v>2.8421709430404007E-14</v>
      </c>
    </row>
    <row r="339" spans="11:12" x14ac:dyDescent="0.4">
      <c r="K339" s="32">
        <v>337</v>
      </c>
      <c r="L339" s="91">
        <v>-11.299999999999972</v>
      </c>
    </row>
    <row r="340" spans="11:12" x14ac:dyDescent="0.4">
      <c r="K340" s="32">
        <v>338</v>
      </c>
      <c r="L340" s="91">
        <v>-6.0999999999999721</v>
      </c>
    </row>
    <row r="341" spans="11:12" x14ac:dyDescent="0.4">
      <c r="K341" s="32">
        <v>339</v>
      </c>
      <c r="L341" s="91">
        <v>2.7533531010703882E-14</v>
      </c>
    </row>
    <row r="342" spans="11:12" x14ac:dyDescent="0.4">
      <c r="K342" s="32">
        <v>340</v>
      </c>
      <c r="L342" s="91">
        <v>-15.499999999999972</v>
      </c>
    </row>
    <row r="343" spans="11:12" x14ac:dyDescent="0.4">
      <c r="K343" s="32">
        <v>341</v>
      </c>
      <c r="L343" s="91">
        <v>-50.999999999999972</v>
      </c>
    </row>
    <row r="344" spans="11:12" x14ac:dyDescent="0.4">
      <c r="K344" s="32">
        <v>342</v>
      </c>
      <c r="L344" s="91">
        <v>2.8421709430404007E-14</v>
      </c>
    </row>
    <row r="345" spans="11:12" x14ac:dyDescent="0.4">
      <c r="K345" s="32">
        <v>343</v>
      </c>
      <c r="L345" s="91">
        <v>-19.299999999999972</v>
      </c>
    </row>
    <row r="346" spans="11:12" x14ac:dyDescent="0.4">
      <c r="K346" s="32">
        <v>344</v>
      </c>
      <c r="L346" s="91">
        <v>-3.099999999999973</v>
      </c>
    </row>
    <row r="347" spans="11:12" x14ac:dyDescent="0.4">
      <c r="K347" s="32">
        <v>345</v>
      </c>
      <c r="L347" s="91">
        <v>2.708944180085382E-14</v>
      </c>
    </row>
    <row r="348" spans="11:12" x14ac:dyDescent="0.4">
      <c r="K348" s="32">
        <v>346</v>
      </c>
      <c r="L348" s="91">
        <v>24.000000000000028</v>
      </c>
    </row>
    <row r="349" spans="11:12" x14ac:dyDescent="0.4">
      <c r="K349" s="32">
        <v>347</v>
      </c>
      <c r="L349" s="91">
        <v>18.10000000000003</v>
      </c>
    </row>
    <row r="350" spans="11:12" x14ac:dyDescent="0.4">
      <c r="K350" s="32">
        <v>348</v>
      </c>
      <c r="L350" s="91">
        <v>2.8421709430404007E-14</v>
      </c>
    </row>
    <row r="351" spans="11:12" x14ac:dyDescent="0.4">
      <c r="K351" s="32">
        <v>349</v>
      </c>
      <c r="L351" s="91">
        <v>28.300000000000029</v>
      </c>
    </row>
    <row r="352" spans="11:12" x14ac:dyDescent="0.4">
      <c r="K352" s="32">
        <v>350</v>
      </c>
      <c r="L352" s="91">
        <v>8.1000000000000298</v>
      </c>
    </row>
    <row r="353" spans="11:12" x14ac:dyDescent="0.4">
      <c r="K353" s="32">
        <v>351</v>
      </c>
      <c r="L353" s="91">
        <v>3.0198066269804258E-14</v>
      </c>
    </row>
    <row r="354" spans="11:12" x14ac:dyDescent="0.4">
      <c r="K354" s="32">
        <v>352</v>
      </c>
      <c r="L354" s="91">
        <v>-31.499999999999972</v>
      </c>
    </row>
    <row r="355" spans="11:12" x14ac:dyDescent="0.4">
      <c r="K355" s="32">
        <v>353</v>
      </c>
      <c r="L355" s="91">
        <v>18.500000000000028</v>
      </c>
    </row>
    <row r="356" spans="11:12" x14ac:dyDescent="0.4">
      <c r="K356" s="32">
        <v>354</v>
      </c>
      <c r="L356" s="91">
        <v>2.8421709430404007E-14</v>
      </c>
    </row>
    <row r="357" spans="11:12" x14ac:dyDescent="0.4">
      <c r="K357" s="32">
        <v>355</v>
      </c>
      <c r="L357" s="91">
        <v>19.500000000000028</v>
      </c>
    </row>
    <row r="358" spans="11:12" x14ac:dyDescent="0.4">
      <c r="K358" s="32">
        <v>356</v>
      </c>
      <c r="L358" s="91">
        <v>7.4000000000000288</v>
      </c>
    </row>
    <row r="359" spans="11:12" x14ac:dyDescent="0.4">
      <c r="K359" s="32">
        <v>357</v>
      </c>
      <c r="L359" s="91">
        <v>2.8421709430404007E-14</v>
      </c>
    </row>
    <row r="360" spans="11:12" x14ac:dyDescent="0.4">
      <c r="K360" s="32">
        <v>358</v>
      </c>
      <c r="L360" s="91">
        <v>-5.3999999999999719</v>
      </c>
    </row>
    <row r="361" spans="11:12" x14ac:dyDescent="0.4">
      <c r="K361" s="32">
        <v>359</v>
      </c>
      <c r="L361" s="91">
        <v>10.400000000000029</v>
      </c>
    </row>
    <row r="362" spans="11:12" x14ac:dyDescent="0.4">
      <c r="K362" s="32">
        <v>360</v>
      </c>
      <c r="L362" s="91">
        <v>2.8421709430404007E-14</v>
      </c>
    </row>
    <row r="363" spans="11:12" x14ac:dyDescent="0.4">
      <c r="K363" s="32">
        <v>361</v>
      </c>
      <c r="L363" s="91">
        <v>56.000000000000028</v>
      </c>
    </row>
    <row r="364" spans="11:12" x14ac:dyDescent="0.4">
      <c r="K364" s="32">
        <v>362</v>
      </c>
      <c r="L364" s="91">
        <v>38.000000000000028</v>
      </c>
    </row>
    <row r="365" spans="11:12" x14ac:dyDescent="0.4">
      <c r="K365" s="32">
        <v>363</v>
      </c>
      <c r="L365" s="91">
        <v>2.8421709430404007E-14</v>
      </c>
    </row>
    <row r="366" spans="11:12" x14ac:dyDescent="0.4">
      <c r="K366" s="32">
        <v>364</v>
      </c>
      <c r="L366" s="91">
        <v>43.000000000000028</v>
      </c>
    </row>
    <row r="367" spans="11:12" x14ac:dyDescent="0.4">
      <c r="K367" s="32">
        <v>365</v>
      </c>
      <c r="L367" s="91">
        <v>2.0000000000000284</v>
      </c>
    </row>
    <row r="368" spans="11:12" x14ac:dyDescent="0.4">
      <c r="K368" s="32">
        <v>366</v>
      </c>
      <c r="L368" s="91">
        <v>2.8421709430404007E-14</v>
      </c>
    </row>
    <row r="369" spans="11:12" x14ac:dyDescent="0.4">
      <c r="K369" s="32">
        <v>367</v>
      </c>
      <c r="L369" s="91">
        <v>-13.999999999999972</v>
      </c>
    </row>
    <row r="370" spans="11:12" x14ac:dyDescent="0.4">
      <c r="K370" s="32">
        <v>368</v>
      </c>
      <c r="L370" s="91">
        <v>-21.199999999999971</v>
      </c>
    </row>
    <row r="371" spans="11:12" x14ac:dyDescent="0.4">
      <c r="K371" s="32">
        <v>369</v>
      </c>
      <c r="L371" s="91">
        <v>2.8421709430404007E-14</v>
      </c>
    </row>
    <row r="372" spans="11:12" x14ac:dyDescent="0.4">
      <c r="K372" s="32">
        <v>370</v>
      </c>
      <c r="L372" s="91">
        <v>-48.39999999999997</v>
      </c>
    </row>
    <row r="373" spans="11:12" x14ac:dyDescent="0.4">
      <c r="K373" s="32">
        <v>371</v>
      </c>
      <c r="L373" s="91">
        <v>-14.999999999999972</v>
      </c>
    </row>
    <row r="374" spans="11:12" x14ac:dyDescent="0.4">
      <c r="K374" s="32">
        <v>372</v>
      </c>
      <c r="L374" s="91">
        <v>2.8421709430404007E-14</v>
      </c>
    </row>
    <row r="375" spans="11:12" x14ac:dyDescent="0.4">
      <c r="K375" s="32">
        <v>373</v>
      </c>
      <c r="L375" s="91">
        <v>44.900000000000027</v>
      </c>
    </row>
    <row r="376" spans="11:12" x14ac:dyDescent="0.4">
      <c r="K376" s="32">
        <v>374</v>
      </c>
      <c r="L376" s="91">
        <v>39.300000000000026</v>
      </c>
    </row>
    <row r="377" spans="11:12" x14ac:dyDescent="0.4">
      <c r="K377" s="32">
        <v>375</v>
      </c>
      <c r="L377" s="91">
        <v>2.8421709430404007E-14</v>
      </c>
    </row>
    <row r="378" spans="11:12" x14ac:dyDescent="0.4">
      <c r="K378" s="32">
        <v>376</v>
      </c>
      <c r="L378" s="91">
        <v>17.10000000000003</v>
      </c>
    </row>
    <row r="379" spans="11:12" x14ac:dyDescent="0.4">
      <c r="K379" s="32">
        <v>377</v>
      </c>
      <c r="L379" s="91">
        <v>-9.8999999999999702</v>
      </c>
    </row>
    <row r="380" spans="11:12" x14ac:dyDescent="0.4">
      <c r="K380" s="32">
        <v>378</v>
      </c>
      <c r="L380" s="91">
        <v>3.0198066269804258E-14</v>
      </c>
    </row>
    <row r="381" spans="11:12" x14ac:dyDescent="0.4">
      <c r="K381" s="32">
        <v>379</v>
      </c>
      <c r="L381" s="91">
        <v>-37.999999999999972</v>
      </c>
    </row>
    <row r="382" spans="11:12" x14ac:dyDescent="0.4">
      <c r="K382" s="32">
        <v>380</v>
      </c>
      <c r="L382" s="91">
        <v>-32.799999999999969</v>
      </c>
    </row>
    <row r="383" spans="11:12" x14ac:dyDescent="0.4">
      <c r="K383" s="32">
        <v>381</v>
      </c>
      <c r="L383" s="91">
        <v>2.8421709430404007E-14</v>
      </c>
    </row>
    <row r="384" spans="11:12" x14ac:dyDescent="0.4">
      <c r="K384" s="32">
        <v>382</v>
      </c>
      <c r="L384" s="91">
        <v>16.500000000000028</v>
      </c>
    </row>
    <row r="385" spans="11:12" x14ac:dyDescent="0.4">
      <c r="K385" s="32">
        <v>383</v>
      </c>
      <c r="L385" s="91">
        <v>8.8000000000000291</v>
      </c>
    </row>
    <row r="386" spans="11:12" x14ac:dyDescent="0.4">
      <c r="K386" s="32">
        <v>384</v>
      </c>
      <c r="L386" s="91">
        <v>2.8421709430404007E-14</v>
      </c>
    </row>
    <row r="387" spans="11:12" x14ac:dyDescent="0.4">
      <c r="K387" s="32">
        <v>385</v>
      </c>
      <c r="L387" s="91">
        <v>8.7000000000000277</v>
      </c>
    </row>
    <row r="388" spans="11:12" x14ac:dyDescent="0.4">
      <c r="K388" s="32">
        <v>386</v>
      </c>
      <c r="L388" s="91">
        <v>20.300000000000026</v>
      </c>
    </row>
    <row r="389" spans="11:12" x14ac:dyDescent="0.4">
      <c r="K389" s="32">
        <v>387</v>
      </c>
      <c r="L389" s="91">
        <v>2.4868995751603507E-14</v>
      </c>
    </row>
    <row r="390" spans="11:12" x14ac:dyDescent="0.4">
      <c r="K390" s="32">
        <v>388</v>
      </c>
      <c r="L390" s="91">
        <v>20.700000000000024</v>
      </c>
    </row>
    <row r="391" spans="11:12" x14ac:dyDescent="0.4">
      <c r="K391" s="32">
        <v>389</v>
      </c>
      <c r="L391" s="91">
        <v>-22.799999999999976</v>
      </c>
    </row>
    <row r="392" spans="11:12" x14ac:dyDescent="0.4">
      <c r="K392" s="32">
        <v>390</v>
      </c>
      <c r="L392" s="91">
        <v>2.4868995751603507E-14</v>
      </c>
    </row>
    <row r="393" spans="11:12" x14ac:dyDescent="0.4">
      <c r="K393" s="32">
        <v>391</v>
      </c>
      <c r="L393" s="91">
        <v>15.300000000000026</v>
      </c>
    </row>
    <row r="394" spans="11:12" x14ac:dyDescent="0.4">
      <c r="K394" s="32">
        <v>392</v>
      </c>
      <c r="L394" s="91">
        <v>8.5000000000000249</v>
      </c>
    </row>
    <row r="395" spans="11:12" x14ac:dyDescent="0.4">
      <c r="K395" s="32">
        <v>393</v>
      </c>
      <c r="L395" s="91">
        <v>2.4868995751603507E-14</v>
      </c>
    </row>
    <row r="396" spans="11:12" x14ac:dyDescent="0.4">
      <c r="K396" s="32">
        <v>394</v>
      </c>
      <c r="L396" s="91">
        <v>11.600000000000025</v>
      </c>
    </row>
    <row r="397" spans="11:12" x14ac:dyDescent="0.4">
      <c r="K397" s="32">
        <v>395</v>
      </c>
      <c r="L397" s="91">
        <v>31.200000000000024</v>
      </c>
    </row>
    <row r="398" spans="11:12" x14ac:dyDescent="0.4">
      <c r="K398" s="32">
        <v>396</v>
      </c>
      <c r="L398" s="91">
        <v>2.4868995751603507E-14</v>
      </c>
    </row>
    <row r="399" spans="11:12" x14ac:dyDescent="0.4">
      <c r="K399" s="32">
        <v>397</v>
      </c>
      <c r="L399" s="91">
        <v>8.2000000000000242</v>
      </c>
    </row>
    <row r="400" spans="11:12" x14ac:dyDescent="0.4">
      <c r="K400" s="32">
        <v>398</v>
      </c>
      <c r="L400" s="91">
        <v>-11.799999999999976</v>
      </c>
    </row>
    <row r="401" spans="11:12" x14ac:dyDescent="0.4">
      <c r="K401" s="32">
        <v>399</v>
      </c>
      <c r="L401" s="91">
        <v>2.4868995751603507E-14</v>
      </c>
    </row>
    <row r="402" spans="11:12" x14ac:dyDescent="0.4">
      <c r="K402" s="32">
        <v>400</v>
      </c>
      <c r="L402" s="91">
        <v>24.500000000000025</v>
      </c>
    </row>
    <row r="403" spans="11:12" x14ac:dyDescent="0.4">
      <c r="K403" s="32">
        <v>401</v>
      </c>
      <c r="L403" s="91">
        <v>19.600000000000023</v>
      </c>
    </row>
    <row r="404" spans="11:12" x14ac:dyDescent="0.4">
      <c r="K404" s="32">
        <v>402</v>
      </c>
      <c r="L404" s="91">
        <v>2.1316282072803006E-14</v>
      </c>
    </row>
    <row r="405" spans="11:12" x14ac:dyDescent="0.4">
      <c r="K405" s="32">
        <v>403</v>
      </c>
      <c r="L405" s="91">
        <v>16.90000000000002</v>
      </c>
    </row>
    <row r="406" spans="11:12" x14ac:dyDescent="0.4">
      <c r="K406" s="32">
        <v>404</v>
      </c>
      <c r="L406" s="91">
        <v>18.100000000000019</v>
      </c>
    </row>
    <row r="407" spans="11:12" x14ac:dyDescent="0.4">
      <c r="K407" s="32">
        <v>405</v>
      </c>
      <c r="L407" s="91">
        <v>1.7763568394002505E-14</v>
      </c>
    </row>
    <row r="408" spans="11:12" x14ac:dyDescent="0.4">
      <c r="K408" s="32">
        <v>406</v>
      </c>
      <c r="L408" s="91">
        <v>-37.499999999999986</v>
      </c>
    </row>
    <row r="409" spans="11:12" x14ac:dyDescent="0.4">
      <c r="K409" s="32">
        <v>407</v>
      </c>
      <c r="L409" s="91">
        <v>-11.999999999999986</v>
      </c>
    </row>
    <row r="410" spans="11:12" x14ac:dyDescent="0.4">
      <c r="K410" s="32">
        <v>408</v>
      </c>
      <c r="L410" s="91">
        <v>1.4210854715202004E-14</v>
      </c>
    </row>
    <row r="411" spans="11:12" x14ac:dyDescent="0.4">
      <c r="K411" s="32">
        <v>409</v>
      </c>
      <c r="L411" s="91">
        <v>38.500000000000014</v>
      </c>
    </row>
    <row r="412" spans="11:12" x14ac:dyDescent="0.4">
      <c r="K412" s="32">
        <v>410</v>
      </c>
      <c r="L412" s="91">
        <v>0.50000000000001421</v>
      </c>
    </row>
    <row r="413" spans="11:12" x14ac:dyDescent="0.4">
      <c r="K413" s="32">
        <v>411</v>
      </c>
      <c r="L413" s="91">
        <v>1.4210854715202004E-14</v>
      </c>
    </row>
    <row r="414" spans="11:12" x14ac:dyDescent="0.4">
      <c r="K414" s="32">
        <v>412</v>
      </c>
      <c r="L414" s="91">
        <v>-46.499999999999986</v>
      </c>
    </row>
    <row r="415" spans="11:12" x14ac:dyDescent="0.4">
      <c r="K415" s="32">
        <v>413</v>
      </c>
      <c r="L415" s="91">
        <v>-41.999999999999986</v>
      </c>
    </row>
    <row r="416" spans="11:12" x14ac:dyDescent="0.4">
      <c r="K416" s="32">
        <v>414</v>
      </c>
      <c r="L416" s="91">
        <v>1.4210854715202004E-14</v>
      </c>
    </row>
    <row r="417" spans="11:12" x14ac:dyDescent="0.4">
      <c r="K417" s="32">
        <v>415</v>
      </c>
      <c r="L417" s="91">
        <v>13.200000000000014</v>
      </c>
    </row>
    <row r="418" spans="11:12" x14ac:dyDescent="0.4">
      <c r="K418" s="32">
        <v>416</v>
      </c>
      <c r="L418" s="91">
        <v>5.8000000000000131</v>
      </c>
    </row>
    <row r="419" spans="11:12" x14ac:dyDescent="0.4">
      <c r="K419" s="32">
        <v>417</v>
      </c>
      <c r="L419" s="91">
        <v>1.3322676295501878E-14</v>
      </c>
    </row>
    <row r="420" spans="11:12" x14ac:dyDescent="0.4">
      <c r="K420" s="32">
        <v>418</v>
      </c>
      <c r="L420" s="91">
        <v>-19.499999999999986</v>
      </c>
    </row>
    <row r="421" spans="11:12" x14ac:dyDescent="0.4">
      <c r="K421" s="32">
        <v>419</v>
      </c>
      <c r="L421" s="91">
        <v>-1.6999999999999851</v>
      </c>
    </row>
    <row r="422" spans="11:12" x14ac:dyDescent="0.4">
      <c r="K422" s="32">
        <v>420</v>
      </c>
      <c r="L422" s="91">
        <v>1.4876988529977098E-14</v>
      </c>
    </row>
    <row r="423" spans="11:12" x14ac:dyDescent="0.4">
      <c r="K423" s="32">
        <v>421</v>
      </c>
      <c r="L423" s="91">
        <v>41.400000000000013</v>
      </c>
    </row>
    <row r="424" spans="11:12" x14ac:dyDescent="0.4">
      <c r="K424" s="32">
        <v>422</v>
      </c>
      <c r="L424" s="91">
        <v>15.000000000000014</v>
      </c>
    </row>
    <row r="425" spans="11:12" x14ac:dyDescent="0.4">
      <c r="K425" s="32">
        <v>423</v>
      </c>
      <c r="L425" s="91">
        <v>1.4210854715202004E-14</v>
      </c>
    </row>
    <row r="426" spans="11:12" x14ac:dyDescent="0.4">
      <c r="K426" s="32">
        <v>424</v>
      </c>
      <c r="L426" s="91">
        <v>27.100000000000016</v>
      </c>
    </row>
    <row r="427" spans="11:12" x14ac:dyDescent="0.4">
      <c r="K427" s="32">
        <v>425</v>
      </c>
      <c r="L427" s="91">
        <v>-23.499999999999986</v>
      </c>
    </row>
    <row r="428" spans="11:12" x14ac:dyDescent="0.4">
      <c r="K428" s="32">
        <v>426</v>
      </c>
      <c r="L428" s="91">
        <v>1.4210854715202004E-14</v>
      </c>
    </row>
    <row r="429" spans="11:12" x14ac:dyDescent="0.4">
      <c r="K429" s="32">
        <v>427</v>
      </c>
      <c r="L429" s="91">
        <v>8.5000000000000142</v>
      </c>
    </row>
    <row r="430" spans="11:12" x14ac:dyDescent="0.4">
      <c r="K430" s="32">
        <v>428</v>
      </c>
      <c r="L430" s="91">
        <v>34.200000000000017</v>
      </c>
    </row>
    <row r="431" spans="11:12" x14ac:dyDescent="0.4">
      <c r="K431" s="32">
        <v>429</v>
      </c>
      <c r="L431" s="91">
        <v>1.4210854715202004E-14</v>
      </c>
    </row>
    <row r="432" spans="11:12" x14ac:dyDescent="0.4">
      <c r="K432" s="32">
        <v>430</v>
      </c>
      <c r="L432" s="91">
        <v>4.800000000000014</v>
      </c>
    </row>
    <row r="433" spans="11:12" x14ac:dyDescent="0.4">
      <c r="K433" s="32">
        <v>431</v>
      </c>
      <c r="L433" s="91">
        <v>-11.999999999999986</v>
      </c>
    </row>
    <row r="434" spans="11:12" x14ac:dyDescent="0.4">
      <c r="K434" s="32">
        <v>432</v>
      </c>
      <c r="L434" s="91">
        <v>1.4210854715202004E-14</v>
      </c>
    </row>
    <row r="435" spans="11:12" x14ac:dyDescent="0.4">
      <c r="K435" s="32">
        <v>433</v>
      </c>
      <c r="L435" s="91">
        <v>43.300000000000011</v>
      </c>
    </row>
    <row r="436" spans="11:12" x14ac:dyDescent="0.4">
      <c r="K436" s="32">
        <v>434</v>
      </c>
      <c r="L436" s="91">
        <v>35.500000000000014</v>
      </c>
    </row>
    <row r="437" spans="11:12" x14ac:dyDescent="0.4">
      <c r="K437" s="32">
        <v>435</v>
      </c>
      <c r="L437" s="91">
        <v>1.4210854715202004E-14</v>
      </c>
    </row>
    <row r="438" spans="11:12" x14ac:dyDescent="0.4">
      <c r="K438" s="32">
        <v>436</v>
      </c>
      <c r="L438" s="91">
        <v>26.000000000000014</v>
      </c>
    </row>
    <row r="439" spans="11:12" x14ac:dyDescent="0.4">
      <c r="K439" s="32">
        <v>437</v>
      </c>
      <c r="L439" s="91">
        <v>20.700000000000014</v>
      </c>
    </row>
    <row r="440" spans="11:12" x14ac:dyDescent="0.4">
      <c r="K440" s="32">
        <v>438</v>
      </c>
      <c r="L440" s="91">
        <v>1.4210854715202004E-14</v>
      </c>
    </row>
    <row r="441" spans="11:12" x14ac:dyDescent="0.4">
      <c r="K441" s="32">
        <v>439</v>
      </c>
      <c r="L441" s="91">
        <v>11.000000000000014</v>
      </c>
    </row>
    <row r="442" spans="11:12" x14ac:dyDescent="0.4">
      <c r="K442" s="32">
        <v>440</v>
      </c>
      <c r="L442" s="91">
        <v>-21.799999999999983</v>
      </c>
    </row>
    <row r="443" spans="11:12" x14ac:dyDescent="0.4">
      <c r="K443" s="32">
        <v>441</v>
      </c>
      <c r="L443" s="91">
        <v>1.7763568394002505E-14</v>
      </c>
    </row>
    <row r="444" spans="11:12" x14ac:dyDescent="0.4">
      <c r="K444" s="32">
        <v>442</v>
      </c>
      <c r="L444" s="91">
        <v>41.000000000000014</v>
      </c>
    </row>
    <row r="445" spans="11:12" x14ac:dyDescent="0.4">
      <c r="K445" s="32">
        <v>443</v>
      </c>
      <c r="L445" s="91">
        <v>-4.4999999999999858</v>
      </c>
    </row>
    <row r="446" spans="11:12" x14ac:dyDescent="0.4">
      <c r="K446" s="32">
        <v>444</v>
      </c>
      <c r="L446" s="91">
        <v>1.4210854715202004E-14</v>
      </c>
    </row>
    <row r="447" spans="11:12" x14ac:dyDescent="0.4">
      <c r="K447" s="32">
        <v>445</v>
      </c>
      <c r="L447" s="91">
        <v>25.000000000000014</v>
      </c>
    </row>
    <row r="448" spans="11:12" x14ac:dyDescent="0.4">
      <c r="K448" s="32">
        <v>446</v>
      </c>
      <c r="L448" s="91">
        <v>-10.499999999999986</v>
      </c>
    </row>
    <row r="449" spans="11:12" x14ac:dyDescent="0.4">
      <c r="K449" s="32">
        <v>447</v>
      </c>
      <c r="L449" s="91">
        <v>1.4210854715202004E-14</v>
      </c>
    </row>
    <row r="450" spans="11:12" x14ac:dyDescent="0.4">
      <c r="K450" s="32">
        <v>448</v>
      </c>
      <c r="L450" s="91">
        <v>-19.799999999999986</v>
      </c>
    </row>
    <row r="451" spans="11:12" x14ac:dyDescent="0.4">
      <c r="K451" s="32">
        <v>449</v>
      </c>
      <c r="L451" s="91">
        <v>-29.799999999999986</v>
      </c>
    </row>
    <row r="452" spans="11:12" x14ac:dyDescent="0.4">
      <c r="K452" s="32">
        <v>450</v>
      </c>
      <c r="L452" s="91">
        <v>1.4210854715202004E-14</v>
      </c>
    </row>
    <row r="453" spans="11:12" x14ac:dyDescent="0.4">
      <c r="K453" s="32">
        <v>451</v>
      </c>
      <c r="L453" s="91">
        <v>37.600000000000016</v>
      </c>
    </row>
    <row r="454" spans="11:12" x14ac:dyDescent="0.4">
      <c r="K454" s="32">
        <v>452</v>
      </c>
      <c r="L454" s="91">
        <v>36.500000000000014</v>
      </c>
    </row>
    <row r="455" spans="11:12" x14ac:dyDescent="0.4">
      <c r="K455" s="32">
        <v>453</v>
      </c>
      <c r="L455" s="91">
        <v>1.4210854715202004E-14</v>
      </c>
    </row>
    <row r="456" spans="11:12" x14ac:dyDescent="0.4">
      <c r="K456" s="32">
        <v>454</v>
      </c>
      <c r="L456" s="91">
        <v>7.800000000000014</v>
      </c>
    </row>
    <row r="457" spans="11:12" x14ac:dyDescent="0.4">
      <c r="K457" s="32">
        <v>455</v>
      </c>
      <c r="L457" s="91">
        <v>-29.399999999999988</v>
      </c>
    </row>
    <row r="458" spans="11:12" x14ac:dyDescent="0.4">
      <c r="K458" s="32">
        <v>456</v>
      </c>
      <c r="L458" s="91">
        <v>1.0658141036401503E-14</v>
      </c>
    </row>
    <row r="459" spans="11:12" x14ac:dyDescent="0.4">
      <c r="K459" s="32">
        <v>457</v>
      </c>
      <c r="L459" s="91">
        <v>68.100000000000009</v>
      </c>
    </row>
    <row r="460" spans="11:12" x14ac:dyDescent="0.4">
      <c r="K460" s="32">
        <v>458</v>
      </c>
      <c r="L460" s="91">
        <v>26.800000000000011</v>
      </c>
    </row>
    <row r="461" spans="11:12" x14ac:dyDescent="0.4">
      <c r="K461" s="32">
        <v>459</v>
      </c>
      <c r="L461" s="91">
        <v>1.0658141036401503E-14</v>
      </c>
    </row>
    <row r="462" spans="11:12" x14ac:dyDescent="0.4">
      <c r="K462" s="32">
        <v>460</v>
      </c>
      <c r="L462" s="91">
        <v>-1.9999999999999893</v>
      </c>
    </row>
    <row r="463" spans="11:12" x14ac:dyDescent="0.4">
      <c r="K463" s="32">
        <v>461</v>
      </c>
      <c r="L463" s="91">
        <v>-18.399999999999988</v>
      </c>
    </row>
    <row r="464" spans="11:12" x14ac:dyDescent="0.4">
      <c r="K464" s="32">
        <v>462</v>
      </c>
      <c r="L464" s="91">
        <v>1.0658141036401503E-14</v>
      </c>
    </row>
    <row r="465" spans="11:12" x14ac:dyDescent="0.4">
      <c r="K465" s="32">
        <v>463</v>
      </c>
      <c r="L465" s="91">
        <v>5.2000000000000108</v>
      </c>
    </row>
    <row r="466" spans="11:12" x14ac:dyDescent="0.4">
      <c r="K466" s="32">
        <v>464</v>
      </c>
      <c r="L466" s="91">
        <v>-26.499999999999989</v>
      </c>
    </row>
    <row r="467" spans="11:12" x14ac:dyDescent="0.4">
      <c r="K467" s="32">
        <v>465</v>
      </c>
      <c r="L467" s="91">
        <v>1.0658141036401503E-14</v>
      </c>
    </row>
    <row r="468" spans="11:12" x14ac:dyDescent="0.4">
      <c r="K468" s="32">
        <v>466</v>
      </c>
      <c r="L468" s="91">
        <v>16.20000000000001</v>
      </c>
    </row>
    <row r="469" spans="11:12" x14ac:dyDescent="0.4">
      <c r="K469" s="32">
        <v>467</v>
      </c>
      <c r="L469" s="91">
        <v>11.30000000000001</v>
      </c>
    </row>
    <row r="470" spans="11:12" x14ac:dyDescent="0.4">
      <c r="K470" s="32">
        <v>468</v>
      </c>
      <c r="L470" s="91">
        <v>8.8817841970012523E-15</v>
      </c>
    </row>
    <row r="471" spans="11:12" x14ac:dyDescent="0.4">
      <c r="K471" s="32">
        <v>469</v>
      </c>
      <c r="L471" s="91">
        <v>24.20000000000001</v>
      </c>
    </row>
    <row r="472" spans="11:12" x14ac:dyDescent="0.4">
      <c r="K472" s="32">
        <v>470</v>
      </c>
      <c r="L472" s="91">
        <v>9.3000000000000096</v>
      </c>
    </row>
    <row r="473" spans="11:12" x14ac:dyDescent="0.4">
      <c r="K473" s="32">
        <v>471</v>
      </c>
      <c r="L473" s="91">
        <v>8.8817841970012523E-15</v>
      </c>
    </row>
    <row r="474" spans="11:12" x14ac:dyDescent="0.4">
      <c r="K474" s="32">
        <v>472</v>
      </c>
      <c r="L474" s="91">
        <v>20.600000000000009</v>
      </c>
    </row>
    <row r="475" spans="11:12" x14ac:dyDescent="0.4">
      <c r="K475" s="32">
        <v>473</v>
      </c>
      <c r="L475" s="91">
        <v>-25.099999999999994</v>
      </c>
    </row>
    <row r="476" spans="11:12" x14ac:dyDescent="0.4">
      <c r="K476" s="32">
        <v>474</v>
      </c>
      <c r="L476" s="91">
        <v>7.1054273576010019E-15</v>
      </c>
    </row>
    <row r="477" spans="11:12" x14ac:dyDescent="0.4">
      <c r="K477" s="32">
        <v>475</v>
      </c>
      <c r="L477" s="91">
        <v>7.3000000000000069</v>
      </c>
    </row>
    <row r="478" spans="11:12" x14ac:dyDescent="0.4">
      <c r="K478" s="32">
        <v>476</v>
      </c>
      <c r="L478" s="91">
        <v>33.500000000000007</v>
      </c>
    </row>
    <row r="479" spans="11:12" x14ac:dyDescent="0.4">
      <c r="K479" s="32">
        <v>477</v>
      </c>
      <c r="L479" s="91">
        <v>7.1054273576010019E-15</v>
      </c>
    </row>
    <row r="480" spans="11:12" x14ac:dyDescent="0.4">
      <c r="K480" s="32">
        <v>478</v>
      </c>
      <c r="L480" s="91">
        <v>4.8000000000000069</v>
      </c>
    </row>
    <row r="481" spans="11:12" x14ac:dyDescent="0.4">
      <c r="K481" s="32">
        <v>479</v>
      </c>
      <c r="L481" s="91">
        <v>37.500000000000007</v>
      </c>
    </row>
    <row r="482" spans="11:12" x14ac:dyDescent="0.4">
      <c r="K482" s="32">
        <v>480</v>
      </c>
      <c r="L482" s="91">
        <v>7.1054273576010019E-15</v>
      </c>
    </row>
    <row r="483" spans="11:12" x14ac:dyDescent="0.4">
      <c r="K483" s="32">
        <v>481</v>
      </c>
      <c r="L483" s="91">
        <v>4.1000000000000068</v>
      </c>
    </row>
    <row r="484" spans="11:12" x14ac:dyDescent="0.4">
      <c r="K484" s="32">
        <v>482</v>
      </c>
      <c r="L484" s="91">
        <v>9.4000000000000057</v>
      </c>
    </row>
    <row r="485" spans="11:12" x14ac:dyDescent="0.4">
      <c r="K485" s="32">
        <v>483</v>
      </c>
      <c r="L485" s="91">
        <v>5.3290705182007514E-15</v>
      </c>
    </row>
    <row r="486" spans="11:12" x14ac:dyDescent="0.4">
      <c r="K486" s="32">
        <v>484</v>
      </c>
      <c r="L486" s="91">
        <v>-11.999999999999995</v>
      </c>
    </row>
    <row r="487" spans="11:12" x14ac:dyDescent="0.4">
      <c r="K487" s="32">
        <v>485</v>
      </c>
      <c r="L487" s="91">
        <v>-0.49999999999999467</v>
      </c>
    </row>
    <row r="488" spans="11:12" x14ac:dyDescent="0.4">
      <c r="K488" s="32">
        <v>486</v>
      </c>
      <c r="L488" s="91">
        <v>5.3290705182007514E-15</v>
      </c>
    </row>
    <row r="489" spans="11:12" x14ac:dyDescent="0.4">
      <c r="K489" s="32">
        <v>487</v>
      </c>
      <c r="L489" s="91">
        <v>12.500000000000005</v>
      </c>
    </row>
    <row r="490" spans="11:12" x14ac:dyDescent="0.4">
      <c r="K490" s="32">
        <v>488</v>
      </c>
      <c r="L490" s="91">
        <v>0.40000000000000568</v>
      </c>
    </row>
    <row r="491" spans="11:12" x14ac:dyDescent="0.4">
      <c r="K491" s="32">
        <v>489</v>
      </c>
      <c r="L491" s="91">
        <v>5.6621374255882984E-15</v>
      </c>
    </row>
    <row r="492" spans="11:12" x14ac:dyDescent="0.4">
      <c r="K492" s="32">
        <v>490</v>
      </c>
      <c r="L492" s="91">
        <v>-12.899999999999995</v>
      </c>
    </row>
    <row r="493" spans="11:12" x14ac:dyDescent="0.4">
      <c r="K493" s="32">
        <v>491</v>
      </c>
      <c r="L493" s="91">
        <v>-18.099999999999994</v>
      </c>
    </row>
    <row r="494" spans="11:12" x14ac:dyDescent="0.4">
      <c r="K494" s="32">
        <v>492</v>
      </c>
      <c r="L494" s="91">
        <v>7.1054273576010019E-15</v>
      </c>
    </row>
    <row r="495" spans="11:12" x14ac:dyDescent="0.4">
      <c r="K495" s="32">
        <v>493</v>
      </c>
      <c r="L495" s="91">
        <v>15.600000000000007</v>
      </c>
    </row>
    <row r="496" spans="11:12" x14ac:dyDescent="0.4">
      <c r="K496" s="32">
        <v>494</v>
      </c>
      <c r="L496" s="91">
        <v>-22.79999999999999</v>
      </c>
    </row>
    <row r="497" spans="11:12" x14ac:dyDescent="0.4">
      <c r="K497" s="32">
        <v>495</v>
      </c>
      <c r="L497" s="91">
        <v>1.0658141036401503E-14</v>
      </c>
    </row>
    <row r="498" spans="11:12" x14ac:dyDescent="0.4">
      <c r="K498" s="32">
        <v>496</v>
      </c>
      <c r="L498" s="91">
        <v>15.60000000000001</v>
      </c>
    </row>
    <row r="499" spans="11:12" x14ac:dyDescent="0.4">
      <c r="K499" s="32">
        <v>497</v>
      </c>
      <c r="L499" s="91">
        <v>2.8000000000000096</v>
      </c>
    </row>
    <row r="500" spans="11:12" x14ac:dyDescent="0.4">
      <c r="K500" s="32">
        <v>498</v>
      </c>
      <c r="L500" s="91">
        <v>9.7699626167013776E-15</v>
      </c>
    </row>
    <row r="501" spans="11:12" x14ac:dyDescent="0.4">
      <c r="K501" s="32">
        <v>499</v>
      </c>
      <c r="L501" s="91">
        <v>-35.999999999999993</v>
      </c>
    </row>
    <row r="502" spans="11:12" x14ac:dyDescent="0.4">
      <c r="K502" s="32">
        <v>500</v>
      </c>
      <c r="L502" s="91">
        <v>7.1054273576010019E-15</v>
      </c>
    </row>
    <row r="503" spans="11:12" x14ac:dyDescent="0.4">
      <c r="K503" s="32">
        <v>501</v>
      </c>
      <c r="L503" s="91">
        <v>7.1054273576010019E-15</v>
      </c>
    </row>
    <row r="504" spans="11:12" x14ac:dyDescent="0.4">
      <c r="K504" s="32">
        <v>502</v>
      </c>
      <c r="L504" s="91">
        <v>-29.599999999999994</v>
      </c>
    </row>
    <row r="505" spans="11:12" x14ac:dyDescent="0.4">
      <c r="K505" s="32">
        <v>503</v>
      </c>
      <c r="L505" s="91">
        <v>-78.699999999999989</v>
      </c>
    </row>
    <row r="506" spans="11:12" x14ac:dyDescent="0.4">
      <c r="K506" s="32">
        <v>504</v>
      </c>
      <c r="L506" s="91">
        <v>1.4210854715202004E-14</v>
      </c>
    </row>
    <row r="507" spans="11:12" x14ac:dyDescent="0.4">
      <c r="K507" s="32">
        <v>505</v>
      </c>
      <c r="L507" s="91">
        <v>6.800000000000014</v>
      </c>
    </row>
    <row r="508" spans="11:12" x14ac:dyDescent="0.4">
      <c r="K508" s="32">
        <v>506</v>
      </c>
      <c r="L508" s="91">
        <v>4.2000000000000135</v>
      </c>
    </row>
    <row r="509" spans="11:12" x14ac:dyDescent="0.4">
      <c r="K509" s="32">
        <v>507</v>
      </c>
      <c r="L509" s="91">
        <v>1.3322676295501878E-14</v>
      </c>
    </row>
    <row r="510" spans="11:12" x14ac:dyDescent="0.4">
      <c r="K510" s="32">
        <v>508</v>
      </c>
      <c r="L510" s="91">
        <v>-13.999999999999986</v>
      </c>
    </row>
    <row r="511" spans="11:12" x14ac:dyDescent="0.4">
      <c r="K511" s="32">
        <v>509</v>
      </c>
      <c r="L511" s="91">
        <v>-26.499999999999986</v>
      </c>
    </row>
    <row r="512" spans="11:12" x14ac:dyDescent="0.4">
      <c r="K512" s="32">
        <v>510</v>
      </c>
      <c r="L512" s="91">
        <v>1.4210854715202004E-14</v>
      </c>
    </row>
    <row r="513" spans="11:12" x14ac:dyDescent="0.4">
      <c r="K513" s="32">
        <v>511</v>
      </c>
      <c r="L513" s="91">
        <v>-9.9999999999999858</v>
      </c>
    </row>
    <row r="514" spans="11:12" x14ac:dyDescent="0.4">
      <c r="K514" s="32">
        <v>512</v>
      </c>
      <c r="L514" s="91">
        <v>50.500000000000014</v>
      </c>
    </row>
    <row r="515" spans="11:12" x14ac:dyDescent="0.4">
      <c r="K515" s="32">
        <v>513</v>
      </c>
      <c r="L515" s="91">
        <v>1.4210854715202004E-14</v>
      </c>
    </row>
    <row r="516" spans="11:12" x14ac:dyDescent="0.4">
      <c r="K516" s="32">
        <v>514</v>
      </c>
      <c r="L516" s="91">
        <v>44.600000000000016</v>
      </c>
    </row>
    <row r="517" spans="11:12" x14ac:dyDescent="0.4">
      <c r="K517" s="32">
        <v>515</v>
      </c>
      <c r="L517" s="91">
        <v>15.100000000000016</v>
      </c>
    </row>
    <row r="518" spans="11:12" x14ac:dyDescent="0.4">
      <c r="K518" s="32">
        <v>516</v>
      </c>
      <c r="L518" s="91">
        <v>1.5987211554602254E-14</v>
      </c>
    </row>
    <row r="519" spans="11:12" x14ac:dyDescent="0.4">
      <c r="K519" s="32">
        <v>517</v>
      </c>
      <c r="L519" s="91">
        <v>-4.6999999999999842</v>
      </c>
    </row>
    <row r="520" spans="11:12" x14ac:dyDescent="0.4">
      <c r="K520" s="32">
        <v>518</v>
      </c>
      <c r="L520" s="91">
        <v>13.900000000000016</v>
      </c>
    </row>
    <row r="521" spans="11:12" x14ac:dyDescent="0.4">
      <c r="K521" s="32">
        <v>519</v>
      </c>
      <c r="L521" s="91">
        <v>1.5987211554602254E-14</v>
      </c>
    </row>
    <row r="522" spans="11:12" x14ac:dyDescent="0.4">
      <c r="K522" s="32">
        <v>520</v>
      </c>
      <c r="L522" s="91">
        <v>12.500000000000016</v>
      </c>
    </row>
    <row r="523" spans="11:12" x14ac:dyDescent="0.4">
      <c r="K523" s="32">
        <v>521</v>
      </c>
      <c r="L523" s="91">
        <v>-1.6999999999999833</v>
      </c>
    </row>
    <row r="524" spans="11:12" x14ac:dyDescent="0.4">
      <c r="K524" s="32">
        <v>522</v>
      </c>
      <c r="L524" s="91">
        <v>1.6653345369377348E-14</v>
      </c>
    </row>
    <row r="525" spans="11:12" x14ac:dyDescent="0.4">
      <c r="K525" s="32">
        <v>523</v>
      </c>
      <c r="L525" s="91">
        <v>14.400000000000016</v>
      </c>
    </row>
    <row r="526" spans="11:12" x14ac:dyDescent="0.4">
      <c r="K526" s="32">
        <v>524</v>
      </c>
      <c r="L526" s="91">
        <v>26.700000000000017</v>
      </c>
    </row>
    <row r="527" spans="11:12" x14ac:dyDescent="0.4">
      <c r="K527" s="32">
        <v>525</v>
      </c>
      <c r="L527" s="91">
        <v>1.7763568394002505E-14</v>
      </c>
    </row>
    <row r="528" spans="11:12" x14ac:dyDescent="0.4">
      <c r="K528" s="32">
        <v>526</v>
      </c>
      <c r="L528" s="91">
        <v>-13.999999999999982</v>
      </c>
    </row>
    <row r="529" spans="11:12" x14ac:dyDescent="0.4">
      <c r="K529" s="32">
        <v>527</v>
      </c>
      <c r="L529" s="91">
        <v>-74.299999999999983</v>
      </c>
    </row>
    <row r="530" spans="11:12" x14ac:dyDescent="0.4">
      <c r="K530" s="32">
        <v>528</v>
      </c>
      <c r="L530" s="91">
        <v>1.4210854715202004E-14</v>
      </c>
    </row>
    <row r="531" spans="11:12" x14ac:dyDescent="0.4">
      <c r="K531" s="32">
        <v>529</v>
      </c>
      <c r="L531" s="91">
        <v>7.1000000000000139</v>
      </c>
    </row>
    <row r="532" spans="11:12" x14ac:dyDescent="0.4">
      <c r="K532" s="32">
        <v>530</v>
      </c>
      <c r="L532" s="91">
        <v>-0.89999999999998614</v>
      </c>
    </row>
    <row r="533" spans="11:12" x14ac:dyDescent="0.4">
      <c r="K533" s="32">
        <v>531</v>
      </c>
      <c r="L533" s="91">
        <v>1.3877787807814457E-14</v>
      </c>
    </row>
    <row r="534" spans="11:12" x14ac:dyDescent="0.4">
      <c r="K534" s="32">
        <v>532</v>
      </c>
      <c r="L534" s="91">
        <v>19.700000000000014</v>
      </c>
    </row>
    <row r="535" spans="11:12" x14ac:dyDescent="0.4">
      <c r="K535" s="32">
        <v>533</v>
      </c>
      <c r="L535" s="91">
        <v>3.8000000000000131</v>
      </c>
    </row>
    <row r="536" spans="11:12" x14ac:dyDescent="0.4">
      <c r="K536" s="32">
        <v>534</v>
      </c>
      <c r="L536" s="91">
        <v>1.3322676295501878E-14</v>
      </c>
    </row>
    <row r="537" spans="11:12" x14ac:dyDescent="0.4">
      <c r="K537" s="32">
        <v>535</v>
      </c>
      <c r="L537" s="91">
        <v>23.800000000000015</v>
      </c>
    </row>
    <row r="538" spans="11:12" x14ac:dyDescent="0.4">
      <c r="K538" s="32">
        <v>536</v>
      </c>
      <c r="L538" s="91">
        <v>25.500000000000014</v>
      </c>
    </row>
    <row r="539" spans="11:12" x14ac:dyDescent="0.4">
      <c r="K539" s="32">
        <v>537</v>
      </c>
      <c r="L539" s="91">
        <v>1.4210854715202004E-14</v>
      </c>
    </row>
    <row r="540" spans="11:12" x14ac:dyDescent="0.4">
      <c r="K540" s="32">
        <v>538</v>
      </c>
      <c r="L540" s="91">
        <v>3.5000000000000142</v>
      </c>
    </row>
    <row r="541" spans="11:12" x14ac:dyDescent="0.4">
      <c r="K541" s="32">
        <v>539</v>
      </c>
      <c r="L541" s="91">
        <v>-5.9999999999999858</v>
      </c>
    </row>
    <row r="542" spans="11:12" x14ac:dyDescent="0.4">
      <c r="K542" s="32">
        <v>540</v>
      </c>
      <c r="L542" s="91">
        <v>1.4210854715202004E-14</v>
      </c>
    </row>
    <row r="543" spans="11:12" x14ac:dyDescent="0.4">
      <c r="K543" s="32">
        <v>541</v>
      </c>
      <c r="L543" s="91">
        <v>-4.7999999999999856</v>
      </c>
    </row>
    <row r="544" spans="11:12" x14ac:dyDescent="0.4">
      <c r="K544" s="32">
        <v>542</v>
      </c>
      <c r="L544" s="91">
        <v>21.000000000000014</v>
      </c>
    </row>
    <row r="545" spans="11:12" x14ac:dyDescent="0.4">
      <c r="K545" s="32">
        <v>543</v>
      </c>
      <c r="L545" s="91">
        <v>1.4210854715202004E-14</v>
      </c>
    </row>
    <row r="546" spans="11:12" x14ac:dyDescent="0.4">
      <c r="K546" s="32">
        <v>544</v>
      </c>
      <c r="L546" s="91">
        <v>32.500000000000014</v>
      </c>
    </row>
    <row r="547" spans="11:12" x14ac:dyDescent="0.4">
      <c r="K547" s="32">
        <v>545</v>
      </c>
      <c r="L547" s="91">
        <v>11.900000000000013</v>
      </c>
    </row>
    <row r="548" spans="11:12" x14ac:dyDescent="0.4">
      <c r="K548" s="32">
        <v>546</v>
      </c>
      <c r="L548" s="91">
        <v>1.2434497875801753E-14</v>
      </c>
    </row>
    <row r="549" spans="11:12" x14ac:dyDescent="0.4">
      <c r="K549" s="32">
        <v>547</v>
      </c>
      <c r="L549" s="91">
        <v>17.100000000000016</v>
      </c>
    </row>
    <row r="550" spans="11:12" x14ac:dyDescent="0.4">
      <c r="K550" s="32">
        <v>548</v>
      </c>
      <c r="L550" s="91">
        <v>17.500000000000014</v>
      </c>
    </row>
    <row r="551" spans="11:12" x14ac:dyDescent="0.4">
      <c r="K551" s="32">
        <v>549</v>
      </c>
      <c r="L551" s="91">
        <v>1.4210854715202004E-14</v>
      </c>
    </row>
    <row r="552" spans="11:12" x14ac:dyDescent="0.4">
      <c r="K552" s="32">
        <v>550</v>
      </c>
      <c r="L552" s="91">
        <v>12.300000000000015</v>
      </c>
    </row>
    <row r="553" spans="11:12" x14ac:dyDescent="0.4">
      <c r="K553" s="32">
        <v>551</v>
      </c>
      <c r="L553" s="91">
        <v>23.100000000000016</v>
      </c>
    </row>
    <row r="554" spans="11:12" x14ac:dyDescent="0.4">
      <c r="K554" s="32">
        <v>552</v>
      </c>
      <c r="L554" s="91">
        <v>1.4210854715202004E-14</v>
      </c>
    </row>
    <row r="555" spans="11:12" x14ac:dyDescent="0.4">
      <c r="K555" s="32">
        <v>553</v>
      </c>
      <c r="L555" s="91">
        <v>24.300000000000015</v>
      </c>
    </row>
    <row r="556" spans="11:12" x14ac:dyDescent="0.4">
      <c r="K556" s="32">
        <v>554</v>
      </c>
      <c r="L556" s="91">
        <v>11.400000000000015</v>
      </c>
    </row>
    <row r="557" spans="11:12" x14ac:dyDescent="0.4">
      <c r="K557" s="32">
        <v>555</v>
      </c>
      <c r="L557" s="91">
        <v>1.4210854715202004E-14</v>
      </c>
    </row>
    <row r="558" spans="11:12" x14ac:dyDescent="0.4">
      <c r="K558" s="32">
        <v>556</v>
      </c>
      <c r="L558" s="91">
        <v>-12.199999999999985</v>
      </c>
    </row>
    <row r="559" spans="11:12" x14ac:dyDescent="0.4">
      <c r="K559" s="32">
        <v>557</v>
      </c>
      <c r="L559" s="91">
        <v>-7.2999999999999847</v>
      </c>
    </row>
    <row r="560" spans="11:12" x14ac:dyDescent="0.4">
      <c r="K560" s="32">
        <v>558</v>
      </c>
      <c r="L560" s="91">
        <v>1.5099033134902129E-14</v>
      </c>
    </row>
    <row r="561" spans="11:12" x14ac:dyDescent="0.4">
      <c r="K561" s="32">
        <v>559</v>
      </c>
      <c r="L561" s="91">
        <v>-1.9999999999999849</v>
      </c>
    </row>
    <row r="562" spans="11:12" x14ac:dyDescent="0.4">
      <c r="K562" s="32">
        <v>560</v>
      </c>
      <c r="L562" s="91">
        <v>4.6000000000000147</v>
      </c>
    </row>
    <row r="563" spans="11:12" x14ac:dyDescent="0.4">
      <c r="K563" s="32">
        <v>561</v>
      </c>
      <c r="L563" s="91">
        <v>1.5099033134902129E-14</v>
      </c>
    </row>
    <row r="564" spans="11:12" x14ac:dyDescent="0.4">
      <c r="K564" s="32">
        <v>562</v>
      </c>
      <c r="L564" s="91">
        <v>-40.599999999999987</v>
      </c>
    </row>
    <row r="565" spans="11:12" x14ac:dyDescent="0.4">
      <c r="K565" s="32">
        <v>563</v>
      </c>
      <c r="L565" s="91">
        <v>-76.499999999999986</v>
      </c>
    </row>
    <row r="566" spans="11:12" x14ac:dyDescent="0.4">
      <c r="K566" s="32">
        <v>564</v>
      </c>
      <c r="L566" s="91">
        <v>1.4210854715202004E-14</v>
      </c>
    </row>
    <row r="567" spans="11:12" x14ac:dyDescent="0.4">
      <c r="K567" s="32">
        <v>565</v>
      </c>
      <c r="L567" s="91">
        <v>21.700000000000014</v>
      </c>
    </row>
    <row r="568" spans="11:12" x14ac:dyDescent="0.4">
      <c r="K568" s="32">
        <v>566</v>
      </c>
      <c r="L568" s="91">
        <v>35.800000000000011</v>
      </c>
    </row>
    <row r="569" spans="11:12" x14ac:dyDescent="0.4">
      <c r="K569" s="32">
        <v>567</v>
      </c>
      <c r="L569" s="91">
        <v>1.4210854715202004E-14</v>
      </c>
    </row>
    <row r="570" spans="11:12" x14ac:dyDescent="0.4">
      <c r="K570" s="32">
        <v>568</v>
      </c>
      <c r="L570" s="91">
        <v>40.700000000000017</v>
      </c>
    </row>
    <row r="571" spans="11:12" x14ac:dyDescent="0.4">
      <c r="K571" s="32">
        <v>569</v>
      </c>
      <c r="L571" s="91">
        <v>2.2000000000000171</v>
      </c>
    </row>
    <row r="572" spans="11:12" x14ac:dyDescent="0.4">
      <c r="K572" s="32">
        <v>570</v>
      </c>
      <c r="L572" s="91">
        <v>1.6875389974302379E-14</v>
      </c>
    </row>
    <row r="573" spans="11:12" x14ac:dyDescent="0.4">
      <c r="K573" s="32">
        <v>571</v>
      </c>
      <c r="L573" s="91">
        <v>8.0000000000000178</v>
      </c>
    </row>
    <row r="574" spans="11:12" x14ac:dyDescent="0.4">
      <c r="K574" s="32">
        <v>572</v>
      </c>
      <c r="L574" s="91">
        <v>16.90000000000002</v>
      </c>
    </row>
    <row r="575" spans="11:12" x14ac:dyDescent="0.4">
      <c r="K575" s="32">
        <v>573</v>
      </c>
      <c r="L575" s="91">
        <v>2.1316282072803006E-14</v>
      </c>
    </row>
    <row r="576" spans="11:12" x14ac:dyDescent="0.4">
      <c r="K576" s="32">
        <v>574</v>
      </c>
      <c r="L576" s="91">
        <v>7.7000000000000215</v>
      </c>
    </row>
    <row r="577" spans="11:12" x14ac:dyDescent="0.4">
      <c r="K577" s="32">
        <v>575</v>
      </c>
      <c r="L577" s="91">
        <v>37.40000000000002</v>
      </c>
    </row>
    <row r="578" spans="11:12" x14ac:dyDescent="0.4">
      <c r="K578" s="32">
        <v>576</v>
      </c>
      <c r="L578" s="91">
        <v>2.1316282072803006E-14</v>
      </c>
    </row>
    <row r="579" spans="11:12" x14ac:dyDescent="0.4">
      <c r="K579" s="32">
        <v>577</v>
      </c>
      <c r="L579" s="91">
        <v>-68.999999999999972</v>
      </c>
    </row>
    <row r="580" spans="11:12" x14ac:dyDescent="0.4">
      <c r="K580" s="32">
        <v>578</v>
      </c>
      <c r="L580" s="91">
        <v>-89.699999999999974</v>
      </c>
    </row>
    <row r="581" spans="11:12" x14ac:dyDescent="0.4">
      <c r="K581" s="32">
        <v>579</v>
      </c>
      <c r="L581" s="91">
        <v>2.8421709430404007E-14</v>
      </c>
    </row>
    <row r="582" spans="11:12" x14ac:dyDescent="0.4">
      <c r="K582" s="32">
        <v>580</v>
      </c>
      <c r="L582" s="91">
        <v>-2.9999999999999716</v>
      </c>
    </row>
    <row r="583" spans="11:12" x14ac:dyDescent="0.4">
      <c r="K583" s="32">
        <v>581</v>
      </c>
      <c r="L583" s="91">
        <v>-31.199999999999971</v>
      </c>
    </row>
    <row r="584" spans="11:12" x14ac:dyDescent="0.4">
      <c r="K584" s="32">
        <v>582</v>
      </c>
      <c r="L584" s="91">
        <v>2.8421709430404007E-14</v>
      </c>
    </row>
    <row r="585" spans="11:12" x14ac:dyDescent="0.4">
      <c r="K585" s="32">
        <v>583</v>
      </c>
      <c r="L585" s="91">
        <v>-2.5999999999999717</v>
      </c>
    </row>
    <row r="586" spans="11:12" x14ac:dyDescent="0.4">
      <c r="K586" s="32">
        <v>584</v>
      </c>
      <c r="L586" s="91">
        <v>-40.199999999999974</v>
      </c>
    </row>
    <row r="587" spans="11:12" x14ac:dyDescent="0.4">
      <c r="K587" s="32">
        <v>585</v>
      </c>
      <c r="L587" s="91">
        <v>2.8421709430404007E-14</v>
      </c>
    </row>
    <row r="588" spans="11:12" x14ac:dyDescent="0.4">
      <c r="K588" s="32">
        <v>586</v>
      </c>
      <c r="L588" s="91">
        <v>59.000000000000028</v>
      </c>
    </row>
    <row r="589" spans="11:12" x14ac:dyDescent="0.4">
      <c r="K589" s="32">
        <v>587</v>
      </c>
      <c r="L589" s="91">
        <v>21.000000000000028</v>
      </c>
    </row>
    <row r="590" spans="11:12" x14ac:dyDescent="0.4">
      <c r="K590" s="32">
        <v>588</v>
      </c>
      <c r="L590" s="91">
        <v>2.8421709430404007E-14</v>
      </c>
    </row>
    <row r="591" spans="11:12" x14ac:dyDescent="0.4">
      <c r="K591" s="32">
        <v>589</v>
      </c>
      <c r="L591" s="91">
        <v>2.8421709430404007E-14</v>
      </c>
    </row>
    <row r="592" spans="11:12" x14ac:dyDescent="0.4">
      <c r="K592" s="32">
        <v>590</v>
      </c>
      <c r="L592" s="91">
        <v>36.000000000000028</v>
      </c>
    </row>
    <row r="593" spans="11:12" x14ac:dyDescent="0.4">
      <c r="K593" s="32">
        <v>591</v>
      </c>
      <c r="L593" s="91">
        <v>2.8421709430404007E-14</v>
      </c>
    </row>
    <row r="594" spans="11:12" x14ac:dyDescent="0.4">
      <c r="K594" s="32">
        <v>592</v>
      </c>
      <c r="L594" s="91">
        <v>-20.499999999999972</v>
      </c>
    </row>
    <row r="595" spans="11:12" x14ac:dyDescent="0.4">
      <c r="K595" s="32">
        <v>593</v>
      </c>
      <c r="L595" s="91">
        <v>9.400000000000027</v>
      </c>
    </row>
    <row r="596" spans="11:12" x14ac:dyDescent="0.4">
      <c r="K596" s="32">
        <v>594</v>
      </c>
      <c r="L596" s="91">
        <v>2.6645352591003757E-14</v>
      </c>
    </row>
    <row r="597" spans="11:12" x14ac:dyDescent="0.4">
      <c r="K597" s="32">
        <v>595</v>
      </c>
      <c r="L597" s="91">
        <v>14.500000000000027</v>
      </c>
    </row>
    <row r="598" spans="11:12" x14ac:dyDescent="0.4">
      <c r="K598" s="32">
        <v>596</v>
      </c>
      <c r="L598" s="91">
        <v>23.400000000000027</v>
      </c>
    </row>
    <row r="599" spans="11:12" x14ac:dyDescent="0.4">
      <c r="K599" s="32">
        <v>597</v>
      </c>
      <c r="L599" s="91">
        <v>2.8421709430404007E-14</v>
      </c>
    </row>
    <row r="600" spans="11:12" x14ac:dyDescent="0.4">
      <c r="K600" s="32">
        <v>598</v>
      </c>
      <c r="L600" s="91">
        <v>15.900000000000029</v>
      </c>
    </row>
    <row r="601" spans="11:12" x14ac:dyDescent="0.4">
      <c r="K601" s="32">
        <v>599</v>
      </c>
      <c r="L601" s="91">
        <v>39.400000000000027</v>
      </c>
    </row>
    <row r="602" spans="11:12" x14ac:dyDescent="0.4">
      <c r="K602" s="32">
        <v>600</v>
      </c>
      <c r="L602" s="91">
        <v>2.8421709430404007E-14</v>
      </c>
    </row>
    <row r="603" spans="11:12" x14ac:dyDescent="0.4">
      <c r="K603" s="32">
        <v>601</v>
      </c>
      <c r="L603" s="91">
        <v>-3.3999999999999715</v>
      </c>
    </row>
    <row r="604" spans="11:12" x14ac:dyDescent="0.4">
      <c r="K604" s="32">
        <v>602</v>
      </c>
      <c r="L604" s="91">
        <v>-17.89999999999997</v>
      </c>
    </row>
    <row r="605" spans="11:12" x14ac:dyDescent="0.4">
      <c r="K605" s="32">
        <v>603</v>
      </c>
      <c r="L605" s="91">
        <v>2.8421709430404007E-14</v>
      </c>
    </row>
    <row r="606" spans="11:12" x14ac:dyDescent="0.4">
      <c r="K606" s="32">
        <v>604</v>
      </c>
      <c r="L606" s="91">
        <v>4.4000000000000288</v>
      </c>
    </row>
    <row r="607" spans="11:12" x14ac:dyDescent="0.4">
      <c r="K607" s="32">
        <v>605</v>
      </c>
      <c r="L607" s="91">
        <v>-1.399999999999971</v>
      </c>
    </row>
    <row r="608" spans="11:12" x14ac:dyDescent="0.4">
      <c r="K608" s="32">
        <v>606</v>
      </c>
      <c r="L608" s="91">
        <v>2.886579864025407E-14</v>
      </c>
    </row>
    <row r="609" spans="11:12" x14ac:dyDescent="0.4">
      <c r="K609" s="32">
        <v>607</v>
      </c>
      <c r="L609" s="91">
        <v>39.500000000000028</v>
      </c>
    </row>
    <row r="610" spans="11:12" x14ac:dyDescent="0.4">
      <c r="K610" s="32">
        <v>608</v>
      </c>
      <c r="L610" s="91">
        <v>2.8000000000000256</v>
      </c>
    </row>
    <row r="611" spans="11:12" x14ac:dyDescent="0.4">
      <c r="K611" s="32">
        <v>609</v>
      </c>
      <c r="L611" s="91">
        <v>2.5757174171303632E-14</v>
      </c>
    </row>
    <row r="612" spans="11:12" x14ac:dyDescent="0.4">
      <c r="K612" s="32">
        <v>610</v>
      </c>
      <c r="L612" s="91">
        <v>61.000000000000028</v>
      </c>
    </row>
    <row r="613" spans="11:12" x14ac:dyDescent="0.4">
      <c r="K613" s="32">
        <v>611</v>
      </c>
      <c r="L613" s="91">
        <v>13.500000000000028</v>
      </c>
    </row>
    <row r="614" spans="11:12" x14ac:dyDescent="0.4">
      <c r="K614" s="32">
        <v>612</v>
      </c>
      <c r="L614" s="91">
        <v>2.8421709430404007E-14</v>
      </c>
    </row>
    <row r="615" spans="11:12" x14ac:dyDescent="0.4">
      <c r="K615" s="32">
        <v>613</v>
      </c>
      <c r="L615" s="91">
        <v>11.700000000000028</v>
      </c>
    </row>
    <row r="616" spans="11:12" x14ac:dyDescent="0.4">
      <c r="K616" s="32">
        <v>614</v>
      </c>
      <c r="L616" s="91">
        <v>-11.799999999999972</v>
      </c>
    </row>
    <row r="617" spans="11:12" x14ac:dyDescent="0.4">
      <c r="K617" s="32">
        <v>615</v>
      </c>
      <c r="L617" s="91">
        <v>2.8421709430404007E-14</v>
      </c>
    </row>
    <row r="618" spans="11:12" x14ac:dyDescent="0.4">
      <c r="K618" s="32">
        <v>616</v>
      </c>
      <c r="L618" s="91">
        <v>16.10000000000003</v>
      </c>
    </row>
    <row r="619" spans="11:12" x14ac:dyDescent="0.4">
      <c r="K619" s="32">
        <v>617</v>
      </c>
      <c r="L619" s="91">
        <v>15.10000000000003</v>
      </c>
    </row>
    <row r="620" spans="11:12" x14ac:dyDescent="0.4">
      <c r="K620" s="32">
        <v>618</v>
      </c>
      <c r="L620" s="91">
        <v>3.0198066269804258E-14</v>
      </c>
    </row>
    <row r="621" spans="11:12" x14ac:dyDescent="0.4">
      <c r="K621" s="32">
        <v>619</v>
      </c>
      <c r="L621" s="91">
        <v>57.500000000000028</v>
      </c>
    </row>
    <row r="622" spans="11:12" x14ac:dyDescent="0.4">
      <c r="K622" s="32">
        <v>620</v>
      </c>
      <c r="L622" s="91">
        <v>11.700000000000031</v>
      </c>
    </row>
    <row r="623" spans="11:12" x14ac:dyDescent="0.4">
      <c r="K623" s="32">
        <v>621</v>
      </c>
      <c r="L623" s="91">
        <v>3.1974423109204508E-14</v>
      </c>
    </row>
    <row r="624" spans="11:12" x14ac:dyDescent="0.4">
      <c r="K624" s="32">
        <v>622</v>
      </c>
      <c r="L624" s="91">
        <v>-12.499999999999968</v>
      </c>
    </row>
    <row r="625" spans="11:12" x14ac:dyDescent="0.4">
      <c r="K625" s="32">
        <v>623</v>
      </c>
      <c r="L625" s="91">
        <v>-56.399999999999963</v>
      </c>
    </row>
    <row r="626" spans="11:12" x14ac:dyDescent="0.4">
      <c r="K626" s="32">
        <v>624</v>
      </c>
      <c r="L626" s="91">
        <v>3.5527136788005009E-14</v>
      </c>
    </row>
    <row r="627" spans="11:12" x14ac:dyDescent="0.4">
      <c r="K627" s="32">
        <v>625</v>
      </c>
      <c r="L627" s="91">
        <v>-41.999999999999964</v>
      </c>
    </row>
    <row r="628" spans="11:12" x14ac:dyDescent="0.4">
      <c r="K628" s="32">
        <v>626</v>
      </c>
      <c r="L628" s="91">
        <v>-44.999999999999964</v>
      </c>
    </row>
    <row r="629" spans="11:12" x14ac:dyDescent="0.4">
      <c r="K629" s="32">
        <v>627</v>
      </c>
      <c r="L629" s="91">
        <v>3.5527136788005009E-14</v>
      </c>
    </row>
    <row r="630" spans="11:12" x14ac:dyDescent="0.4">
      <c r="K630" s="32">
        <v>628</v>
      </c>
      <c r="L630" s="91">
        <v>10.700000000000035</v>
      </c>
    </row>
    <row r="631" spans="11:12" x14ac:dyDescent="0.4">
      <c r="K631" s="32">
        <v>629</v>
      </c>
      <c r="L631" s="91">
        <v>6.7000000000000348</v>
      </c>
    </row>
    <row r="632" spans="11:12" x14ac:dyDescent="0.4">
      <c r="K632" s="32">
        <v>630</v>
      </c>
      <c r="L632" s="91">
        <v>3.4638958368304884E-14</v>
      </c>
    </row>
    <row r="633" spans="11:12" x14ac:dyDescent="0.4">
      <c r="K633" s="32">
        <v>631</v>
      </c>
      <c r="L633" s="91">
        <v>31.100000000000037</v>
      </c>
    </row>
    <row r="634" spans="11:12" x14ac:dyDescent="0.4">
      <c r="K634" s="32">
        <v>632</v>
      </c>
      <c r="L634" s="91">
        <v>0.70000000000003837</v>
      </c>
    </row>
    <row r="635" spans="11:12" x14ac:dyDescent="0.4">
      <c r="K635" s="32">
        <v>633</v>
      </c>
      <c r="L635" s="91">
        <v>3.8413716652030416E-14</v>
      </c>
    </row>
    <row r="636" spans="11:12" x14ac:dyDescent="0.4">
      <c r="K636" s="32">
        <v>634</v>
      </c>
      <c r="L636" s="91">
        <v>10.200000000000038</v>
      </c>
    </row>
    <row r="637" spans="11:12" x14ac:dyDescent="0.4">
      <c r="K637" s="32">
        <v>635</v>
      </c>
      <c r="L637" s="91">
        <v>-10.099999999999962</v>
      </c>
    </row>
    <row r="638" spans="11:12" x14ac:dyDescent="0.4">
      <c r="K638" s="32">
        <v>636</v>
      </c>
      <c r="L638" s="91">
        <v>3.730349362740526E-14</v>
      </c>
    </row>
    <row r="639" spans="11:12" x14ac:dyDescent="0.4">
      <c r="K639" s="32">
        <v>637</v>
      </c>
      <c r="L639" s="91">
        <v>8.300000000000038</v>
      </c>
    </row>
    <row r="640" spans="11:12" x14ac:dyDescent="0.4">
      <c r="K640" s="32">
        <v>638</v>
      </c>
      <c r="L640" s="91">
        <v>35.80000000000004</v>
      </c>
    </row>
    <row r="641" spans="11:12" x14ac:dyDescent="0.4">
      <c r="K641" s="32">
        <v>639</v>
      </c>
      <c r="L641" s="91">
        <v>4.2632564145606011E-14</v>
      </c>
    </row>
    <row r="642" spans="11:12" x14ac:dyDescent="0.4">
      <c r="K642" s="32">
        <v>640</v>
      </c>
      <c r="L642" s="91">
        <v>-1.8999999999999573</v>
      </c>
    </row>
    <row r="643" spans="11:12" x14ac:dyDescent="0.4">
      <c r="K643" s="32">
        <v>641</v>
      </c>
      <c r="L643" s="91">
        <v>3.8000000000000429</v>
      </c>
    </row>
    <row r="644" spans="11:12" x14ac:dyDescent="0.4">
      <c r="K644" s="32">
        <v>642</v>
      </c>
      <c r="L644" s="91">
        <v>4.3076653355456074E-14</v>
      </c>
    </row>
    <row r="645" spans="11:12" x14ac:dyDescent="0.4">
      <c r="K645" s="32">
        <v>643</v>
      </c>
      <c r="L645" s="91">
        <v>0.50000000000004308</v>
      </c>
    </row>
    <row r="646" spans="11:12" x14ac:dyDescent="0.4">
      <c r="K646" s="32">
        <v>644</v>
      </c>
      <c r="L646" s="91">
        <v>13.700000000000042</v>
      </c>
    </row>
    <row r="647" spans="11:12" x14ac:dyDescent="0.4">
      <c r="K647" s="32">
        <v>645</v>
      </c>
      <c r="L647" s="91">
        <v>4.2632564145606011E-14</v>
      </c>
    </row>
    <row r="648" spans="11:12" x14ac:dyDescent="0.4">
      <c r="K648" s="32">
        <v>646</v>
      </c>
      <c r="L648" s="91">
        <v>48.000000000000043</v>
      </c>
    </row>
    <row r="649" spans="11:12" x14ac:dyDescent="0.4">
      <c r="K649" s="32">
        <v>647</v>
      </c>
      <c r="L649" s="91">
        <v>41.000000000000043</v>
      </c>
    </row>
    <row r="650" spans="11:12" x14ac:dyDescent="0.4">
      <c r="K650" s="32">
        <v>648</v>
      </c>
      <c r="L650" s="91">
        <v>4.2632564145606011E-14</v>
      </c>
    </row>
    <row r="651" spans="11:12" x14ac:dyDescent="0.4">
      <c r="K651" s="32">
        <v>649</v>
      </c>
      <c r="L651" s="91">
        <v>22.800000000000043</v>
      </c>
    </row>
    <row r="652" spans="11:12" x14ac:dyDescent="0.4">
      <c r="K652" s="32">
        <v>650</v>
      </c>
      <c r="L652" s="91">
        <v>43.100000000000044</v>
      </c>
    </row>
    <row r="653" spans="11:12" x14ac:dyDescent="0.4">
      <c r="K653" s="32">
        <v>651</v>
      </c>
      <c r="L653" s="91">
        <v>4.2632564145606011E-14</v>
      </c>
    </row>
    <row r="654" spans="11:12" x14ac:dyDescent="0.4">
      <c r="K654" s="32">
        <v>652</v>
      </c>
      <c r="L654" s="91">
        <v>6.0000000000000426</v>
      </c>
    </row>
    <row r="655" spans="11:12" x14ac:dyDescent="0.4">
      <c r="K655" s="32">
        <v>653</v>
      </c>
      <c r="L655" s="91">
        <v>4.2632564145606011E-14</v>
      </c>
    </row>
    <row r="656" spans="11:12" x14ac:dyDescent="0.4">
      <c r="K656" s="32">
        <v>654</v>
      </c>
      <c r="L656" s="91">
        <v>4.2632564145606011E-14</v>
      </c>
    </row>
    <row r="657" spans="11:12" x14ac:dyDescent="0.4">
      <c r="K657" s="32">
        <v>655</v>
      </c>
      <c r="L657" s="91">
        <v>-16.999999999999957</v>
      </c>
    </row>
    <row r="658" spans="11:12" x14ac:dyDescent="0.4">
      <c r="K658" s="32">
        <v>656</v>
      </c>
      <c r="L658" s="91">
        <v>3.7000000000000419</v>
      </c>
    </row>
    <row r="659" spans="11:12" x14ac:dyDescent="0.4">
      <c r="K659" s="32">
        <v>657</v>
      </c>
      <c r="L659" s="91">
        <v>4.1744385725905886E-14</v>
      </c>
    </row>
    <row r="660" spans="11:12" x14ac:dyDescent="0.4">
      <c r="K660" s="32">
        <v>658</v>
      </c>
      <c r="L660" s="91">
        <v>-26.199999999999957</v>
      </c>
    </row>
    <row r="661" spans="11:12" x14ac:dyDescent="0.4">
      <c r="K661" s="32">
        <v>659</v>
      </c>
      <c r="L661" s="91">
        <v>36.500000000000043</v>
      </c>
    </row>
    <row r="662" spans="11:12" x14ac:dyDescent="0.4">
      <c r="K662" s="32">
        <v>660</v>
      </c>
      <c r="L662" s="91">
        <v>4.2632564145606011E-14</v>
      </c>
    </row>
    <row r="663" spans="11:12" x14ac:dyDescent="0.4">
      <c r="K663" s="32">
        <v>661</v>
      </c>
      <c r="L663" s="91">
        <v>-18.899999999999956</v>
      </c>
    </row>
    <row r="664" spans="11:12" x14ac:dyDescent="0.4">
      <c r="K664" s="32">
        <v>662</v>
      </c>
      <c r="L664" s="91">
        <v>-12.299999999999956</v>
      </c>
    </row>
    <row r="665" spans="11:12" x14ac:dyDescent="0.4">
      <c r="K665" s="32">
        <v>663</v>
      </c>
      <c r="L665" s="91">
        <v>4.4408920985006262E-14</v>
      </c>
    </row>
    <row r="666" spans="11:12" x14ac:dyDescent="0.4">
      <c r="K666" s="32">
        <v>664</v>
      </c>
      <c r="L666" s="91">
        <v>36.000000000000043</v>
      </c>
    </row>
    <row r="667" spans="11:12" x14ac:dyDescent="0.4">
      <c r="K667" s="32">
        <v>665</v>
      </c>
      <c r="L667" s="91">
        <v>15.500000000000043</v>
      </c>
    </row>
    <row r="668" spans="11:12" x14ac:dyDescent="0.4">
      <c r="K668" s="32">
        <v>666</v>
      </c>
      <c r="L668" s="91">
        <v>4.2632564145606011E-14</v>
      </c>
    </row>
    <row r="669" spans="11:12" x14ac:dyDescent="0.4">
      <c r="K669" s="32">
        <v>667</v>
      </c>
      <c r="L669" s="91">
        <v>36.700000000000045</v>
      </c>
    </row>
    <row r="670" spans="11:12" x14ac:dyDescent="0.4">
      <c r="K670" s="32">
        <v>668</v>
      </c>
      <c r="L670" s="91">
        <v>-0.29999999999995453</v>
      </c>
    </row>
    <row r="671" spans="11:12" x14ac:dyDescent="0.4">
      <c r="K671" s="32">
        <v>669</v>
      </c>
      <c r="L671" s="91">
        <v>4.546363285840016E-14</v>
      </c>
    </row>
    <row r="672" spans="11:12" x14ac:dyDescent="0.4">
      <c r="K672" s="32">
        <v>670</v>
      </c>
      <c r="L672" s="91">
        <v>12.400000000000047</v>
      </c>
    </row>
    <row r="673" spans="11:12" x14ac:dyDescent="0.4">
      <c r="K673" s="32">
        <v>671</v>
      </c>
      <c r="L673" s="91">
        <v>-4.1999999999999549</v>
      </c>
    </row>
    <row r="674" spans="11:12" x14ac:dyDescent="0.4">
      <c r="K674" s="32">
        <v>672</v>
      </c>
      <c r="L674" s="91">
        <v>4.5297099404706387E-14</v>
      </c>
    </row>
    <row r="675" spans="11:12" x14ac:dyDescent="0.4">
      <c r="K675" s="32">
        <v>673</v>
      </c>
      <c r="L675" s="91">
        <v>14.000000000000046</v>
      </c>
    </row>
    <row r="676" spans="11:12" x14ac:dyDescent="0.4">
      <c r="K676" s="32">
        <v>674</v>
      </c>
      <c r="L676" s="91">
        <v>41.400000000000048</v>
      </c>
    </row>
    <row r="677" spans="11:12" x14ac:dyDescent="0.4">
      <c r="K677" s="32">
        <v>675</v>
      </c>
      <c r="L677" s="91">
        <v>4.9737991503207013E-14</v>
      </c>
    </row>
    <row r="678" spans="11:12" x14ac:dyDescent="0.4">
      <c r="K678" s="32">
        <v>676</v>
      </c>
      <c r="L678" s="91">
        <v>6.8000000000000496</v>
      </c>
    </row>
    <row r="679" spans="11:12" x14ac:dyDescent="0.4">
      <c r="K679" s="32">
        <v>677</v>
      </c>
      <c r="L679" s="91">
        <v>34.50000000000005</v>
      </c>
    </row>
    <row r="680" spans="11:12" x14ac:dyDescent="0.4">
      <c r="K680" s="32">
        <v>678</v>
      </c>
      <c r="L680" s="91">
        <v>4.9737991503207013E-14</v>
      </c>
    </row>
    <row r="681" spans="11:12" x14ac:dyDescent="0.4">
      <c r="K681" s="32">
        <v>679</v>
      </c>
      <c r="L681" s="91">
        <v>-7.5999999999999499</v>
      </c>
    </row>
    <row r="682" spans="11:12" x14ac:dyDescent="0.4">
      <c r="K682" s="32">
        <v>680</v>
      </c>
      <c r="L682" s="91">
        <v>-9.5999999999999499</v>
      </c>
    </row>
    <row r="683" spans="11:12" x14ac:dyDescent="0.4">
      <c r="K683" s="32">
        <v>681</v>
      </c>
      <c r="L683" s="91">
        <v>4.9737991503207013E-14</v>
      </c>
    </row>
    <row r="684" spans="11:12" x14ac:dyDescent="0.4">
      <c r="K684" s="32">
        <v>682</v>
      </c>
      <c r="L684" s="91">
        <v>26.200000000000049</v>
      </c>
    </row>
    <row r="685" spans="11:12" x14ac:dyDescent="0.4">
      <c r="K685" s="32">
        <v>683</v>
      </c>
      <c r="L685" s="91">
        <v>-2.1999999999999496</v>
      </c>
    </row>
    <row r="686" spans="11:12" x14ac:dyDescent="0.4">
      <c r="K686" s="32">
        <v>684</v>
      </c>
      <c r="L686" s="91">
        <v>5.0626169922907138E-14</v>
      </c>
    </row>
    <row r="687" spans="11:12" x14ac:dyDescent="0.4">
      <c r="K687" s="32">
        <v>685</v>
      </c>
      <c r="L687" s="91">
        <v>13.700000000000049</v>
      </c>
    </row>
    <row r="688" spans="11:12" x14ac:dyDescent="0.4">
      <c r="K688" s="32">
        <v>686</v>
      </c>
      <c r="L688" s="91">
        <v>-9.9999999999951683E-2</v>
      </c>
    </row>
    <row r="689" spans="11:12" x14ac:dyDescent="0.4">
      <c r="K689" s="32">
        <v>687</v>
      </c>
      <c r="L689" s="91">
        <v>4.8322457146809938E-14</v>
      </c>
    </row>
    <row r="690" spans="11:12" x14ac:dyDescent="0.4">
      <c r="K690" s="32">
        <v>688</v>
      </c>
      <c r="L690" s="91">
        <v>0.30000000000004834</v>
      </c>
    </row>
    <row r="691" spans="11:12" x14ac:dyDescent="0.4">
      <c r="K691" s="32">
        <v>689</v>
      </c>
      <c r="L691" s="91">
        <v>-16.599999999999952</v>
      </c>
    </row>
    <row r="692" spans="11:12" x14ac:dyDescent="0.4">
      <c r="K692" s="32">
        <v>690</v>
      </c>
      <c r="L692" s="91">
        <v>4.9737991503207013E-14</v>
      </c>
    </row>
    <row r="693" spans="11:12" x14ac:dyDescent="0.4">
      <c r="K693" s="32">
        <v>691</v>
      </c>
      <c r="L693" s="91">
        <v>-5.3999999999999506</v>
      </c>
    </row>
    <row r="694" spans="11:12" x14ac:dyDescent="0.4">
      <c r="K694" s="32">
        <v>692</v>
      </c>
      <c r="L694" s="91">
        <v>-30.799999999999947</v>
      </c>
    </row>
    <row r="695" spans="11:12" x14ac:dyDescent="0.4">
      <c r="K695" s="32">
        <v>693</v>
      </c>
      <c r="L695" s="91">
        <v>5.3290705182007514E-14</v>
      </c>
    </row>
    <row r="696" spans="11:12" x14ac:dyDescent="0.4">
      <c r="K696" s="32">
        <v>694</v>
      </c>
      <c r="L696" s="91">
        <v>-43.199999999999946</v>
      </c>
    </row>
    <row r="697" spans="11:12" x14ac:dyDescent="0.4">
      <c r="K697" s="32">
        <v>695</v>
      </c>
      <c r="L697" s="91">
        <v>-63.699999999999946</v>
      </c>
    </row>
    <row r="698" spans="11:12" x14ac:dyDescent="0.4">
      <c r="K698" s="32">
        <v>696</v>
      </c>
      <c r="L698" s="91">
        <v>5.6843418860808015E-14</v>
      </c>
    </row>
    <row r="699" spans="11:12" x14ac:dyDescent="0.4">
      <c r="K699" s="32">
        <v>697</v>
      </c>
      <c r="L699" s="91">
        <v>18.200000000000056</v>
      </c>
    </row>
    <row r="700" spans="11:12" x14ac:dyDescent="0.4">
      <c r="K700" s="32">
        <v>698</v>
      </c>
      <c r="L700" s="91">
        <v>-12.499999999999943</v>
      </c>
    </row>
    <row r="701" spans="11:12" x14ac:dyDescent="0.4">
      <c r="K701" s="32">
        <v>699</v>
      </c>
      <c r="L701" s="91">
        <v>5.6843418860808015E-14</v>
      </c>
    </row>
    <row r="702" spans="11:12" x14ac:dyDescent="0.4">
      <c r="K702" s="32">
        <v>700</v>
      </c>
      <c r="L702" s="91">
        <v>22.800000000000058</v>
      </c>
    </row>
    <row r="703" spans="11:12" x14ac:dyDescent="0.4">
      <c r="K703" s="32">
        <v>701</v>
      </c>
      <c r="L703" s="91">
        <v>-17.199999999999942</v>
      </c>
    </row>
    <row r="704" spans="11:12" x14ac:dyDescent="0.4">
      <c r="K704" s="32">
        <v>702</v>
      </c>
      <c r="L704" s="91">
        <v>5.6843418860808015E-14</v>
      </c>
    </row>
    <row r="705" spans="11:12" x14ac:dyDescent="0.4">
      <c r="K705" s="32">
        <v>703</v>
      </c>
      <c r="L705" s="91">
        <v>8.1000000000000565</v>
      </c>
    </row>
    <row r="706" spans="11:12" x14ac:dyDescent="0.4">
      <c r="K706" s="32">
        <v>704</v>
      </c>
      <c r="L706" s="91">
        <v>30.600000000000058</v>
      </c>
    </row>
    <row r="707" spans="11:12" x14ac:dyDescent="0.4">
      <c r="K707" s="32">
        <v>705</v>
      </c>
      <c r="L707" s="91">
        <v>5.6843418860808015E-14</v>
      </c>
    </row>
    <row r="708" spans="11:12" x14ac:dyDescent="0.4">
      <c r="K708" s="32">
        <v>706</v>
      </c>
      <c r="L708" s="91">
        <v>5.0000000000000568</v>
      </c>
    </row>
    <row r="709" spans="11:12" x14ac:dyDescent="0.4">
      <c r="K709" s="32">
        <v>707</v>
      </c>
      <c r="L709" s="91">
        <v>-23.799999999999944</v>
      </c>
    </row>
    <row r="710" spans="11:12" x14ac:dyDescent="0.4">
      <c r="K710" s="32">
        <v>708</v>
      </c>
      <c r="L710" s="91">
        <v>5.6843418860808015E-14</v>
      </c>
    </row>
    <row r="711" spans="11:12" x14ac:dyDescent="0.4">
      <c r="K711" s="32">
        <v>709</v>
      </c>
      <c r="L711" s="91">
        <v>-38.999999999999943</v>
      </c>
    </row>
    <row r="712" spans="11:12" x14ac:dyDescent="0.4">
      <c r="K712" s="32">
        <v>710</v>
      </c>
      <c r="L712" s="91">
        <v>-23.499999999999943</v>
      </c>
    </row>
    <row r="713" spans="11:12" x14ac:dyDescent="0.4">
      <c r="K713" s="32">
        <v>711</v>
      </c>
      <c r="L713" s="91">
        <v>5.6843418860808015E-14</v>
      </c>
    </row>
    <row r="714" spans="11:12" x14ac:dyDescent="0.4">
      <c r="K714" s="32">
        <v>712</v>
      </c>
      <c r="L714" s="91">
        <v>7.5000000000000568</v>
      </c>
    </row>
    <row r="715" spans="11:12" x14ac:dyDescent="0.4">
      <c r="K715" s="32">
        <v>713</v>
      </c>
      <c r="L715" s="91">
        <v>50.500000000000057</v>
      </c>
    </row>
    <row r="716" spans="11:12" x14ac:dyDescent="0.4">
      <c r="K716" s="32">
        <v>714</v>
      </c>
      <c r="L716" s="91">
        <v>5.6843418860808015E-14</v>
      </c>
    </row>
    <row r="717" spans="11:12" x14ac:dyDescent="0.4">
      <c r="K717" s="32">
        <v>715</v>
      </c>
      <c r="L717" s="91">
        <v>17.800000000000058</v>
      </c>
    </row>
    <row r="718" spans="11:12" x14ac:dyDescent="0.4">
      <c r="K718" s="32">
        <v>716</v>
      </c>
      <c r="L718" s="91">
        <v>-1.7999999999999439</v>
      </c>
    </row>
    <row r="719" spans="11:12" x14ac:dyDescent="0.4">
      <c r="K719" s="32">
        <v>717</v>
      </c>
      <c r="L719" s="91">
        <v>5.6177285046032921E-14</v>
      </c>
    </row>
    <row r="720" spans="11:12" x14ac:dyDescent="0.4">
      <c r="K720" s="32">
        <v>718</v>
      </c>
      <c r="L720" s="91">
        <v>8.2000000000000561</v>
      </c>
    </row>
    <row r="721" spans="11:12" x14ac:dyDescent="0.4">
      <c r="K721" s="32">
        <v>719</v>
      </c>
      <c r="L721" s="91">
        <v>-13.599999999999945</v>
      </c>
    </row>
    <row r="722" spans="11:12" x14ac:dyDescent="0.4">
      <c r="K722" s="32">
        <v>720</v>
      </c>
      <c r="L722" s="91">
        <v>5.5067062021407764E-14</v>
      </c>
    </row>
    <row r="723" spans="11:12" x14ac:dyDescent="0.4">
      <c r="K723" s="32">
        <v>721</v>
      </c>
      <c r="L723" s="91">
        <v>13.000000000000055</v>
      </c>
    </row>
    <row r="724" spans="11:12" x14ac:dyDescent="0.4">
      <c r="K724" s="32">
        <v>722</v>
      </c>
      <c r="L724" s="91">
        <v>15.100000000000055</v>
      </c>
    </row>
    <row r="725" spans="11:12" x14ac:dyDescent="0.4">
      <c r="K725" s="32">
        <v>723</v>
      </c>
      <c r="L725" s="91">
        <v>5.5067062021407764E-14</v>
      </c>
    </row>
    <row r="726" spans="11:12" x14ac:dyDescent="0.4">
      <c r="K726" s="32">
        <v>724</v>
      </c>
      <c r="L726" s="91">
        <v>-39.099999999999945</v>
      </c>
    </row>
    <row r="727" spans="11:12" x14ac:dyDescent="0.4">
      <c r="K727" s="32">
        <v>725</v>
      </c>
      <c r="L727" s="91">
        <v>-51.29999999999994</v>
      </c>
    </row>
    <row r="728" spans="11:12" x14ac:dyDescent="0.4">
      <c r="K728" s="32">
        <v>726</v>
      </c>
      <c r="L728" s="91">
        <v>5.6843418860808015E-14</v>
      </c>
    </row>
    <row r="729" spans="11:12" x14ac:dyDescent="0.4">
      <c r="K729" s="32">
        <v>727</v>
      </c>
      <c r="L729" s="91">
        <v>36.900000000000055</v>
      </c>
    </row>
    <row r="730" spans="11:12" x14ac:dyDescent="0.4">
      <c r="K730" s="32">
        <v>728</v>
      </c>
      <c r="L730" s="91">
        <v>25.100000000000055</v>
      </c>
    </row>
    <row r="731" spans="11:12" x14ac:dyDescent="0.4">
      <c r="K731" s="32">
        <v>729</v>
      </c>
      <c r="L731" s="91">
        <v>5.3290705182007514E-14</v>
      </c>
    </row>
    <row r="732" spans="11:12" x14ac:dyDescent="0.4">
      <c r="K732" s="32">
        <v>730</v>
      </c>
      <c r="L732" s="91">
        <v>11.000000000000053</v>
      </c>
    </row>
    <row r="733" spans="11:12" x14ac:dyDescent="0.4">
      <c r="K733" s="32">
        <v>731</v>
      </c>
      <c r="L733" s="91">
        <v>-0.49999999999994671</v>
      </c>
    </row>
    <row r="734" spans="11:12" x14ac:dyDescent="0.4">
      <c r="K734" s="32">
        <v>732</v>
      </c>
      <c r="L734" s="91">
        <v>5.3290705182007514E-14</v>
      </c>
    </row>
    <row r="735" spans="11:12" x14ac:dyDescent="0.4">
      <c r="K735" s="32">
        <v>733</v>
      </c>
      <c r="L735" s="91">
        <v>-36.999999999999943</v>
      </c>
    </row>
    <row r="736" spans="11:12" x14ac:dyDescent="0.4">
      <c r="K736" s="32">
        <v>734</v>
      </c>
      <c r="L736" s="91">
        <v>-32.999999999999943</v>
      </c>
    </row>
    <row r="737" spans="11:12" x14ac:dyDescent="0.4">
      <c r="K737" s="32">
        <v>735</v>
      </c>
      <c r="L737" s="91">
        <v>5.6843418860808015E-14</v>
      </c>
    </row>
    <row r="738" spans="11:12" x14ac:dyDescent="0.4">
      <c r="K738" s="32">
        <v>736</v>
      </c>
      <c r="L738" s="91">
        <v>10.300000000000058</v>
      </c>
    </row>
    <row r="739" spans="11:12" x14ac:dyDescent="0.4">
      <c r="K739" s="32">
        <v>737</v>
      </c>
      <c r="L739" s="91">
        <v>10.000000000000057</v>
      </c>
    </row>
    <row r="740" spans="11:12" x14ac:dyDescent="0.4">
      <c r="K740" s="32">
        <v>738</v>
      </c>
      <c r="L740" s="91">
        <v>5.6843418860808015E-14</v>
      </c>
    </row>
    <row r="741" spans="11:12" x14ac:dyDescent="0.4">
      <c r="K741" s="32">
        <v>739</v>
      </c>
      <c r="L741" s="91">
        <v>10.100000000000056</v>
      </c>
    </row>
    <row r="742" spans="11:12" x14ac:dyDescent="0.4">
      <c r="K742" s="32">
        <v>740</v>
      </c>
      <c r="L742" s="91">
        <v>34.20000000000006</v>
      </c>
    </row>
    <row r="743" spans="11:12" x14ac:dyDescent="0.4">
      <c r="K743" s="32">
        <v>741</v>
      </c>
      <c r="L743" s="91">
        <v>5.6843418860808015E-14</v>
      </c>
    </row>
    <row r="744" spans="11:12" x14ac:dyDescent="0.4">
      <c r="K744" s="32">
        <v>742</v>
      </c>
      <c r="L744" s="91">
        <v>21.700000000000056</v>
      </c>
    </row>
    <row r="745" spans="11:12" x14ac:dyDescent="0.4">
      <c r="K745" s="32">
        <v>743</v>
      </c>
      <c r="L745" s="91">
        <v>46.20000000000006</v>
      </c>
    </row>
    <row r="746" spans="11:12" x14ac:dyDescent="0.4">
      <c r="K746" s="32">
        <v>744</v>
      </c>
      <c r="L746" s="91">
        <v>5.6843418860808015E-14</v>
      </c>
    </row>
    <row r="747" spans="11:12" x14ac:dyDescent="0.4">
      <c r="K747" s="32">
        <v>745</v>
      </c>
      <c r="L747" s="91">
        <v>-40.399999999999942</v>
      </c>
    </row>
    <row r="748" spans="11:12" x14ac:dyDescent="0.4">
      <c r="K748" s="32">
        <v>746</v>
      </c>
      <c r="L748" s="91">
        <v>0.90000000000005542</v>
      </c>
    </row>
    <row r="749" spans="11:12" x14ac:dyDescent="0.4">
      <c r="K749" s="32">
        <v>747</v>
      </c>
      <c r="L749" s="91">
        <v>5.5400128928795311E-14</v>
      </c>
    </row>
    <row r="750" spans="11:12" x14ac:dyDescent="0.4">
      <c r="K750" s="32">
        <v>748</v>
      </c>
      <c r="L750" s="91">
        <v>5.6000000000000547</v>
      </c>
    </row>
    <row r="751" spans="11:12" x14ac:dyDescent="0.4">
      <c r="K751" s="32">
        <v>749</v>
      </c>
      <c r="L751" s="91">
        <v>17.000000000000057</v>
      </c>
    </row>
    <row r="752" spans="11:12" x14ac:dyDescent="0.4">
      <c r="K752" s="32">
        <v>750</v>
      </c>
      <c r="L752" s="91">
        <v>5.6843418860808015E-14</v>
      </c>
    </row>
    <row r="753" spans="11:12" x14ac:dyDescent="0.4">
      <c r="K753" s="32">
        <v>751</v>
      </c>
      <c r="L753" s="91">
        <v>-48.999999999999943</v>
      </c>
    </row>
    <row r="754" spans="11:12" x14ac:dyDescent="0.4">
      <c r="K754" s="32">
        <v>752</v>
      </c>
      <c r="L754" s="91">
        <v>-32.499999999999943</v>
      </c>
    </row>
    <row r="755" spans="11:12" x14ac:dyDescent="0.4">
      <c r="K755" s="32">
        <v>753</v>
      </c>
      <c r="L755" s="91">
        <v>5.6843418860808015E-14</v>
      </c>
    </row>
    <row r="756" spans="11:12" x14ac:dyDescent="0.4">
      <c r="K756" s="32">
        <v>754</v>
      </c>
      <c r="L756" s="91">
        <v>52.100000000000058</v>
      </c>
    </row>
    <row r="757" spans="11:12" x14ac:dyDescent="0.4">
      <c r="K757" s="32">
        <v>755</v>
      </c>
      <c r="L757" s="91">
        <v>36.70000000000006</v>
      </c>
    </row>
    <row r="758" spans="11:12" x14ac:dyDescent="0.4">
      <c r="K758" s="32">
        <v>756</v>
      </c>
      <c r="L758" s="91">
        <v>5.6843418860808015E-14</v>
      </c>
    </row>
    <row r="759" spans="11:12" x14ac:dyDescent="0.4">
      <c r="K759" s="32">
        <v>757</v>
      </c>
      <c r="L759" s="91">
        <v>4.5000000000000568</v>
      </c>
    </row>
    <row r="760" spans="11:12" x14ac:dyDescent="0.4">
      <c r="K760" s="32">
        <v>758</v>
      </c>
      <c r="L760" s="91">
        <v>47.000000000000057</v>
      </c>
    </row>
    <row r="761" spans="11:12" x14ac:dyDescent="0.4">
      <c r="K761" s="32">
        <v>759</v>
      </c>
      <c r="L761" s="91">
        <v>5.6843418860808015E-14</v>
      </c>
    </row>
    <row r="762" spans="11:12" x14ac:dyDescent="0.4">
      <c r="K762" s="32">
        <v>760</v>
      </c>
      <c r="L762" s="91">
        <v>-14.999999999999943</v>
      </c>
    </row>
    <row r="763" spans="11:12" x14ac:dyDescent="0.4">
      <c r="K763" s="32">
        <v>761</v>
      </c>
      <c r="L763" s="91">
        <v>-58.199999999999946</v>
      </c>
    </row>
    <row r="764" spans="11:12" x14ac:dyDescent="0.4">
      <c r="K764" s="32">
        <v>762</v>
      </c>
      <c r="L764" s="91">
        <v>5.6843418860808015E-14</v>
      </c>
    </row>
    <row r="765" spans="11:12" x14ac:dyDescent="0.4">
      <c r="K765" s="32">
        <v>763</v>
      </c>
      <c r="L765" s="91">
        <v>7.8000000000000567</v>
      </c>
    </row>
    <row r="766" spans="11:12" x14ac:dyDescent="0.4">
      <c r="K766" s="32">
        <v>764</v>
      </c>
      <c r="L766" s="91">
        <v>16.800000000000058</v>
      </c>
    </row>
    <row r="767" spans="11:12" x14ac:dyDescent="0.4">
      <c r="K767" s="32">
        <v>765</v>
      </c>
      <c r="L767" s="91">
        <v>5.6843418860808015E-14</v>
      </c>
    </row>
    <row r="768" spans="11:12" x14ac:dyDescent="0.4">
      <c r="K768" s="32">
        <v>766</v>
      </c>
      <c r="L768" s="91">
        <v>18.600000000000058</v>
      </c>
    </row>
    <row r="769" spans="11:12" x14ac:dyDescent="0.4">
      <c r="K769" s="32">
        <v>767</v>
      </c>
      <c r="L769" s="91">
        <v>16.600000000000058</v>
      </c>
    </row>
    <row r="770" spans="11:12" x14ac:dyDescent="0.4">
      <c r="K770" s="32">
        <v>768</v>
      </c>
      <c r="L770" s="91">
        <v>5.6843418860808015E-14</v>
      </c>
    </row>
    <row r="771" spans="11:12" x14ac:dyDescent="0.4">
      <c r="K771" s="32">
        <v>769</v>
      </c>
      <c r="L771" s="91">
        <v>6.200000000000057</v>
      </c>
    </row>
    <row r="772" spans="11:12" x14ac:dyDescent="0.4">
      <c r="K772" s="32">
        <v>770</v>
      </c>
      <c r="L772" s="91">
        <v>10.700000000000056</v>
      </c>
    </row>
    <row r="773" spans="11:12" x14ac:dyDescent="0.4">
      <c r="K773" s="32">
        <v>771</v>
      </c>
      <c r="L773" s="91">
        <v>5.6843418860808015E-14</v>
      </c>
    </row>
    <row r="774" spans="11:12" x14ac:dyDescent="0.4">
      <c r="K774" s="32">
        <v>772</v>
      </c>
      <c r="L774" s="91">
        <v>12.600000000000056</v>
      </c>
    </row>
    <row r="775" spans="11:12" x14ac:dyDescent="0.4">
      <c r="K775" s="32">
        <v>773</v>
      </c>
      <c r="L775" s="91">
        <v>13.400000000000057</v>
      </c>
    </row>
    <row r="776" spans="11:12" x14ac:dyDescent="0.4">
      <c r="K776" s="32">
        <v>774</v>
      </c>
      <c r="L776" s="91">
        <v>5.6843418860808015E-14</v>
      </c>
    </row>
    <row r="777" spans="11:12" x14ac:dyDescent="0.4">
      <c r="K777" s="32">
        <v>775</v>
      </c>
      <c r="L777" s="91">
        <v>4.0000000000000568</v>
      </c>
    </row>
    <row r="778" spans="11:12" x14ac:dyDescent="0.4">
      <c r="K778" s="32">
        <v>776</v>
      </c>
      <c r="L778" s="91">
        <v>-33.29999999999994</v>
      </c>
    </row>
    <row r="779" spans="11:12" x14ac:dyDescent="0.4">
      <c r="K779" s="32">
        <v>777</v>
      </c>
      <c r="L779" s="91">
        <v>5.6843418860808015E-14</v>
      </c>
    </row>
    <row r="780" spans="11:12" x14ac:dyDescent="0.4">
      <c r="K780" s="32">
        <v>778</v>
      </c>
      <c r="L780" s="91">
        <v>35.000000000000057</v>
      </c>
    </row>
    <row r="781" spans="11:12" x14ac:dyDescent="0.4">
      <c r="K781" s="32">
        <v>779</v>
      </c>
      <c r="L781" s="91">
        <v>-0.49999999999994316</v>
      </c>
    </row>
    <row r="782" spans="11:12" x14ac:dyDescent="0.4">
      <c r="K782" s="32">
        <v>780</v>
      </c>
      <c r="L782" s="91">
        <v>5.6843418860808015E-14</v>
      </c>
    </row>
    <row r="783" spans="11:12" x14ac:dyDescent="0.4">
      <c r="K783" s="32">
        <v>781</v>
      </c>
      <c r="L783" s="91">
        <v>13.400000000000057</v>
      </c>
    </row>
    <row r="784" spans="11:12" x14ac:dyDescent="0.4">
      <c r="K784" s="32">
        <v>782</v>
      </c>
      <c r="L784" s="91">
        <v>22.400000000000055</v>
      </c>
    </row>
    <row r="785" spans="11:12" x14ac:dyDescent="0.4">
      <c r="K785" s="32">
        <v>783</v>
      </c>
      <c r="L785" s="91">
        <v>5.6843418860808015E-14</v>
      </c>
    </row>
    <row r="786" spans="11:12" x14ac:dyDescent="0.4">
      <c r="K786" s="32">
        <v>784</v>
      </c>
      <c r="L786" s="91">
        <v>6.1000000000000565</v>
      </c>
    </row>
    <row r="787" spans="11:12" x14ac:dyDescent="0.4">
      <c r="K787" s="32">
        <v>785</v>
      </c>
      <c r="L787" s="91">
        <v>0.80000000000005667</v>
      </c>
    </row>
    <row r="788" spans="11:12" x14ac:dyDescent="0.4">
      <c r="K788" s="32">
        <v>786</v>
      </c>
      <c r="L788" s="91">
        <v>5.6621374255882984E-14</v>
      </c>
    </row>
    <row r="789" spans="11:12" x14ac:dyDescent="0.4">
      <c r="K789" s="32">
        <v>787</v>
      </c>
      <c r="L789" s="91">
        <v>66.70000000000006</v>
      </c>
    </row>
    <row r="790" spans="11:12" x14ac:dyDescent="0.4">
      <c r="K790" s="32">
        <v>788</v>
      </c>
      <c r="L790" s="91">
        <v>7.8000000000000611</v>
      </c>
    </row>
    <row r="791" spans="11:12" x14ac:dyDescent="0.4">
      <c r="K791" s="32">
        <v>789</v>
      </c>
      <c r="L791" s="91">
        <v>6.1284310959308641E-14</v>
      </c>
    </row>
    <row r="792" spans="11:12" x14ac:dyDescent="0.4">
      <c r="K792" s="32">
        <v>790</v>
      </c>
      <c r="L792" s="91">
        <v>-38.099999999999937</v>
      </c>
    </row>
    <row r="793" spans="11:12" x14ac:dyDescent="0.4">
      <c r="K793" s="32">
        <v>791</v>
      </c>
      <c r="L793" s="91">
        <v>2.6000000000000654</v>
      </c>
    </row>
    <row r="794" spans="11:12" x14ac:dyDescent="0.4">
      <c r="K794" s="32">
        <v>792</v>
      </c>
      <c r="L794" s="91">
        <v>6.5281113847959205E-14</v>
      </c>
    </row>
    <row r="795" spans="11:12" x14ac:dyDescent="0.4">
      <c r="K795" s="32">
        <v>793</v>
      </c>
      <c r="L795" s="91">
        <v>23.000000000000064</v>
      </c>
    </row>
    <row r="796" spans="11:12" x14ac:dyDescent="0.4">
      <c r="K796" s="32">
        <v>794</v>
      </c>
      <c r="L796" s="91">
        <v>14.500000000000064</v>
      </c>
    </row>
    <row r="797" spans="11:12" x14ac:dyDescent="0.4">
      <c r="K797" s="32">
        <v>795</v>
      </c>
      <c r="L797" s="91">
        <v>6.3948846218409017E-14</v>
      </c>
    </row>
    <row r="798" spans="11:12" x14ac:dyDescent="0.4">
      <c r="K798" s="32">
        <v>796</v>
      </c>
      <c r="L798" s="91">
        <v>9.5000000000000639</v>
      </c>
    </row>
    <row r="799" spans="11:12" x14ac:dyDescent="0.4">
      <c r="K799" s="32">
        <v>797</v>
      </c>
      <c r="L799" s="91">
        <v>-1.7999999999999368</v>
      </c>
    </row>
    <row r="800" spans="11:12" x14ac:dyDescent="0.4">
      <c r="K800" s="32">
        <v>798</v>
      </c>
      <c r="L800" s="91">
        <v>6.3282712403633923E-14</v>
      </c>
    </row>
    <row r="801" spans="11:12" x14ac:dyDescent="0.4">
      <c r="K801" s="32">
        <v>799</v>
      </c>
      <c r="L801" s="91">
        <v>5.0000000000000631</v>
      </c>
    </row>
    <row r="802" spans="11:12" x14ac:dyDescent="0.4">
      <c r="K802" s="32">
        <v>800</v>
      </c>
      <c r="L802" s="91">
        <v>5.7000000000000632</v>
      </c>
    </row>
    <row r="803" spans="11:12" x14ac:dyDescent="0.4">
      <c r="K803" s="32">
        <v>801</v>
      </c>
      <c r="L803" s="91">
        <v>6.3060667798708891E-14</v>
      </c>
    </row>
    <row r="804" spans="11:12" x14ac:dyDescent="0.4">
      <c r="K804" s="32">
        <v>802</v>
      </c>
      <c r="L804" s="91">
        <v>7.8000000000000629</v>
      </c>
    </row>
    <row r="805" spans="11:12" x14ac:dyDescent="0.4">
      <c r="K805" s="32">
        <v>803</v>
      </c>
      <c r="L805" s="91">
        <v>-31.699999999999939</v>
      </c>
    </row>
    <row r="806" spans="11:12" x14ac:dyDescent="0.4">
      <c r="K806" s="32">
        <v>804</v>
      </c>
      <c r="L806" s="91">
        <v>6.0396132539608516E-14</v>
      </c>
    </row>
    <row r="807" spans="11:12" x14ac:dyDescent="0.4">
      <c r="K807" s="32">
        <v>805</v>
      </c>
      <c r="L807" s="91">
        <v>42.300000000000054</v>
      </c>
    </row>
    <row r="808" spans="11:12" x14ac:dyDescent="0.4">
      <c r="K808" s="32">
        <v>806</v>
      </c>
      <c r="L808" s="91">
        <v>-2.9999999999999432</v>
      </c>
    </row>
    <row r="809" spans="11:12" x14ac:dyDescent="0.4">
      <c r="K809" s="32">
        <v>807</v>
      </c>
      <c r="L809" s="91">
        <v>5.6843418860808015E-14</v>
      </c>
    </row>
    <row r="810" spans="11:12" x14ac:dyDescent="0.4">
      <c r="K810" s="32">
        <v>808</v>
      </c>
      <c r="L810" s="91">
        <v>40.70000000000006</v>
      </c>
    </row>
    <row r="811" spans="11:12" x14ac:dyDescent="0.4">
      <c r="K811" s="32">
        <v>809</v>
      </c>
      <c r="L811" s="91">
        <v>13.00000000000006</v>
      </c>
    </row>
    <row r="812" spans="11:12" x14ac:dyDescent="0.4">
      <c r="K812" s="32">
        <v>810</v>
      </c>
      <c r="L812" s="91">
        <v>6.0396132539608516E-14</v>
      </c>
    </row>
    <row r="813" spans="11:12" x14ac:dyDescent="0.4">
      <c r="K813" s="32">
        <v>811</v>
      </c>
      <c r="L813" s="91">
        <v>0.1000000000000604</v>
      </c>
    </row>
    <row r="814" spans="11:12" x14ac:dyDescent="0.4">
      <c r="K814" s="32">
        <v>812</v>
      </c>
      <c r="L814" s="91">
        <v>8.60000000000006</v>
      </c>
    </row>
    <row r="815" spans="11:12" x14ac:dyDescent="0.4">
      <c r="K815" s="32">
        <v>813</v>
      </c>
      <c r="L815" s="91">
        <v>6.0396132539608516E-14</v>
      </c>
    </row>
    <row r="816" spans="11:12" x14ac:dyDescent="0.4">
      <c r="K816" s="32">
        <v>814</v>
      </c>
      <c r="L816" s="91">
        <v>12.20000000000006</v>
      </c>
    </row>
    <row r="817" spans="11:12" x14ac:dyDescent="0.4">
      <c r="K817" s="32">
        <v>815</v>
      </c>
      <c r="L817" s="91">
        <v>16.900000000000059</v>
      </c>
    </row>
    <row r="818" spans="11:12" x14ac:dyDescent="0.4">
      <c r="K818" s="32">
        <v>816</v>
      </c>
      <c r="L818" s="91">
        <v>6.0396132539608516E-14</v>
      </c>
    </row>
    <row r="819" spans="11:12" x14ac:dyDescent="0.4">
      <c r="K819" s="32">
        <v>817</v>
      </c>
      <c r="L819" s="91">
        <v>9.5000000000000604</v>
      </c>
    </row>
    <row r="820" spans="11:12" x14ac:dyDescent="0.4">
      <c r="K820" s="32">
        <v>818</v>
      </c>
      <c r="L820" s="91">
        <v>-1.0999999999999392</v>
      </c>
    </row>
    <row r="821" spans="11:12" x14ac:dyDescent="0.4">
      <c r="K821" s="32">
        <v>819</v>
      </c>
      <c r="L821" s="91">
        <v>6.0840221749458578E-14</v>
      </c>
    </row>
    <row r="822" spans="11:12" x14ac:dyDescent="0.4">
      <c r="K822" s="32">
        <v>820</v>
      </c>
      <c r="L822" s="91">
        <v>27.20000000000006</v>
      </c>
    </row>
    <row r="823" spans="11:12" x14ac:dyDescent="0.4">
      <c r="K823" s="32">
        <v>821</v>
      </c>
      <c r="L823" s="91">
        <v>33.000000000000057</v>
      </c>
    </row>
    <row r="824" spans="11:12" x14ac:dyDescent="0.4">
      <c r="K824" s="32">
        <v>822</v>
      </c>
      <c r="L824" s="91">
        <v>5.6843418860808015E-14</v>
      </c>
    </row>
    <row r="825" spans="11:12" x14ac:dyDescent="0.4">
      <c r="K825" s="32">
        <v>823</v>
      </c>
      <c r="L825" s="91">
        <v>-12.599999999999943</v>
      </c>
    </row>
    <row r="826" spans="11:12" x14ac:dyDescent="0.4">
      <c r="K826" s="32">
        <v>824</v>
      </c>
      <c r="L826" s="91">
        <v>7.5000000000000586</v>
      </c>
    </row>
    <row r="827" spans="11:12" x14ac:dyDescent="0.4">
      <c r="K827" s="32">
        <v>825</v>
      </c>
      <c r="L827" s="91">
        <v>5.8619775700208265E-14</v>
      </c>
    </row>
    <row r="828" spans="11:12" x14ac:dyDescent="0.4">
      <c r="K828" s="32">
        <v>826</v>
      </c>
      <c r="L828" s="91">
        <v>7.5000000000000586</v>
      </c>
    </row>
    <row r="829" spans="11:12" x14ac:dyDescent="0.4">
      <c r="K829" s="32">
        <v>827</v>
      </c>
      <c r="L829" s="91">
        <v>-17.599999999999945</v>
      </c>
    </row>
    <row r="830" spans="11:12" x14ac:dyDescent="0.4">
      <c r="K830" s="32">
        <v>828</v>
      </c>
      <c r="L830" s="91">
        <v>5.6843418860808015E-14</v>
      </c>
    </row>
    <row r="831" spans="11:12" x14ac:dyDescent="0.4">
      <c r="K831" s="32">
        <v>829</v>
      </c>
      <c r="L831" s="91">
        <v>-17.599999999999945</v>
      </c>
    </row>
    <row r="832" spans="11:12" x14ac:dyDescent="0.4">
      <c r="K832" s="32">
        <v>830</v>
      </c>
      <c r="L832" s="91">
        <v>8.0000000000000568</v>
      </c>
    </row>
    <row r="833" spans="11:12" x14ac:dyDescent="0.4">
      <c r="K833" s="32">
        <v>831</v>
      </c>
      <c r="L833" s="91">
        <v>5.6843418860808015E-14</v>
      </c>
    </row>
    <row r="834" spans="11:12" x14ac:dyDescent="0.4">
      <c r="K834" s="32">
        <v>832</v>
      </c>
      <c r="L834" s="91">
        <v>7.8000000000000567</v>
      </c>
    </row>
    <row r="835" spans="11:12" x14ac:dyDescent="0.4">
      <c r="K835" s="32">
        <v>833</v>
      </c>
      <c r="L835" s="91">
        <v>-6.5999999999999437</v>
      </c>
    </row>
    <row r="836" spans="11:12" x14ac:dyDescent="0.4">
      <c r="K836" s="32">
        <v>834</v>
      </c>
      <c r="L836" s="91">
        <v>5.595524044110789E-14</v>
      </c>
    </row>
    <row r="837" spans="11:12" x14ac:dyDescent="0.4">
      <c r="K837" s="32">
        <v>835</v>
      </c>
      <c r="L837" s="91">
        <v>46.900000000000055</v>
      </c>
    </row>
    <row r="838" spans="11:12" x14ac:dyDescent="0.4">
      <c r="K838" s="32">
        <v>836</v>
      </c>
      <c r="L838" s="91">
        <v>7.0000000000000568</v>
      </c>
    </row>
    <row r="839" spans="11:12" x14ac:dyDescent="0.4">
      <c r="K839" s="32">
        <v>837</v>
      </c>
      <c r="L839" s="91">
        <v>5.6843418860808015E-14</v>
      </c>
    </row>
    <row r="840" spans="11:12" x14ac:dyDescent="0.4">
      <c r="K840" s="32">
        <v>838</v>
      </c>
      <c r="L840" s="91">
        <v>6.3000000000000567</v>
      </c>
    </row>
    <row r="841" spans="11:12" x14ac:dyDescent="0.4">
      <c r="K841" s="32">
        <v>839</v>
      </c>
      <c r="L841" s="91">
        <v>6.0000000000000568</v>
      </c>
    </row>
    <row r="842" spans="11:12" x14ac:dyDescent="0.4">
      <c r="K842" s="32">
        <v>840</v>
      </c>
      <c r="L842" s="91">
        <v>5.6843418860808015E-14</v>
      </c>
    </row>
    <row r="843" spans="11:12" x14ac:dyDescent="0.4">
      <c r="K843" s="32">
        <v>841</v>
      </c>
      <c r="L843" s="91">
        <v>24.300000000000058</v>
      </c>
    </row>
    <row r="844" spans="11:12" x14ac:dyDescent="0.4">
      <c r="K844" s="32">
        <v>842</v>
      </c>
      <c r="L844" s="91">
        <v>-9.6999999999999424</v>
      </c>
    </row>
    <row r="845" spans="11:12" x14ac:dyDescent="0.4">
      <c r="K845" s="32">
        <v>843</v>
      </c>
      <c r="L845" s="91">
        <v>5.6843418860808015E-14</v>
      </c>
    </row>
    <row r="846" spans="11:12" x14ac:dyDescent="0.4">
      <c r="K846" s="32">
        <v>844</v>
      </c>
      <c r="L846" s="91">
        <v>-10.399999999999944</v>
      </c>
    </row>
    <row r="847" spans="11:12" x14ac:dyDescent="0.4">
      <c r="K847" s="32">
        <v>845</v>
      </c>
      <c r="L847" s="91">
        <v>-21.899999999999942</v>
      </c>
    </row>
    <row r="848" spans="11:12" x14ac:dyDescent="0.4">
      <c r="K848" s="32">
        <v>846</v>
      </c>
      <c r="L848" s="91">
        <v>5.6843418860808015E-14</v>
      </c>
    </row>
    <row r="849" spans="11:12" x14ac:dyDescent="0.4">
      <c r="K849" s="32">
        <v>847</v>
      </c>
      <c r="L849" s="91">
        <v>-17.199999999999942</v>
      </c>
    </row>
    <row r="850" spans="11:12" x14ac:dyDescent="0.4">
      <c r="K850" s="32">
        <v>848</v>
      </c>
      <c r="L850" s="91">
        <v>-26.499999999999943</v>
      </c>
    </row>
    <row r="851" spans="11:12" x14ac:dyDescent="0.4">
      <c r="K851" s="32">
        <v>849</v>
      </c>
      <c r="L851" s="91">
        <v>5.6843418860808015E-14</v>
      </c>
    </row>
    <row r="852" spans="11:12" x14ac:dyDescent="0.4">
      <c r="K852" s="32">
        <v>850</v>
      </c>
      <c r="L852" s="91">
        <v>-0.99999999999994316</v>
      </c>
    </row>
    <row r="853" spans="11:12" x14ac:dyDescent="0.4">
      <c r="K853" s="32">
        <v>851</v>
      </c>
      <c r="L853" s="91">
        <v>-17.999999999999943</v>
      </c>
    </row>
    <row r="854" spans="11:12" x14ac:dyDescent="0.4">
      <c r="K854" s="32">
        <v>852</v>
      </c>
      <c r="L854" s="91">
        <v>5.6843418860808015E-14</v>
      </c>
    </row>
    <row r="855" spans="11:12" x14ac:dyDescent="0.4">
      <c r="K855" s="32">
        <v>853</v>
      </c>
      <c r="L855" s="91">
        <v>19.800000000000058</v>
      </c>
    </row>
    <row r="856" spans="11:12" x14ac:dyDescent="0.4">
      <c r="K856" s="32">
        <v>854</v>
      </c>
      <c r="L856" s="91">
        <v>41.500000000000057</v>
      </c>
    </row>
    <row r="857" spans="11:12" x14ac:dyDescent="0.4">
      <c r="K857" s="32">
        <v>855</v>
      </c>
      <c r="L857" s="91">
        <v>5.6843418860808015E-14</v>
      </c>
    </row>
    <row r="858" spans="11:12" x14ac:dyDescent="0.4">
      <c r="K858" s="32">
        <v>856</v>
      </c>
      <c r="L858" s="91">
        <v>27.700000000000056</v>
      </c>
    </row>
    <row r="859" spans="11:12" x14ac:dyDescent="0.4">
      <c r="K859" s="32">
        <v>857</v>
      </c>
      <c r="L859" s="91">
        <v>25.900000000000055</v>
      </c>
    </row>
    <row r="860" spans="11:12" x14ac:dyDescent="0.4">
      <c r="K860" s="32">
        <v>858</v>
      </c>
      <c r="L860" s="91">
        <v>5.6843418860808015E-14</v>
      </c>
    </row>
    <row r="861" spans="11:12" x14ac:dyDescent="0.4">
      <c r="K861" s="32">
        <v>859</v>
      </c>
      <c r="L861" s="91">
        <v>7.5000000000000568</v>
      </c>
    </row>
    <row r="862" spans="11:12" x14ac:dyDescent="0.4">
      <c r="K862" s="32">
        <v>860</v>
      </c>
      <c r="L862" s="91">
        <v>45.500000000000057</v>
      </c>
    </row>
    <row r="863" spans="11:12" x14ac:dyDescent="0.4">
      <c r="K863" s="32">
        <v>861</v>
      </c>
      <c r="L863" s="91">
        <v>5.6843418860808015E-14</v>
      </c>
    </row>
    <row r="864" spans="11:12" x14ac:dyDescent="0.4">
      <c r="K864" s="32">
        <v>862</v>
      </c>
      <c r="L864" s="91">
        <v>31.500000000000057</v>
      </c>
    </row>
    <row r="865" spans="11:12" x14ac:dyDescent="0.4">
      <c r="K865" s="32">
        <v>863</v>
      </c>
      <c r="L865" s="91">
        <v>25.900000000000055</v>
      </c>
    </row>
    <row r="866" spans="11:12" x14ac:dyDescent="0.4">
      <c r="K866" s="32">
        <v>864</v>
      </c>
      <c r="L866" s="91">
        <v>5.6843418860808015E-14</v>
      </c>
    </row>
    <row r="867" spans="11:12" x14ac:dyDescent="0.4">
      <c r="K867" s="32">
        <v>865</v>
      </c>
      <c r="L867" s="91">
        <v>46.800000000000054</v>
      </c>
    </row>
    <row r="868" spans="11:12" x14ac:dyDescent="0.4">
      <c r="K868" s="32">
        <v>866</v>
      </c>
      <c r="L868" s="91">
        <v>26.300000000000054</v>
      </c>
    </row>
    <row r="869" spans="11:12" x14ac:dyDescent="0.4">
      <c r="K869" s="32">
        <v>867</v>
      </c>
      <c r="L869" s="91">
        <v>5.3290705182007514E-14</v>
      </c>
    </row>
    <row r="870" spans="11:12" x14ac:dyDescent="0.4">
      <c r="K870" s="32">
        <v>868</v>
      </c>
      <c r="L870" s="91">
        <v>52.500000000000057</v>
      </c>
    </row>
    <row r="871" spans="11:12" x14ac:dyDescent="0.4">
      <c r="K871" s="32">
        <v>869</v>
      </c>
      <c r="L871" s="91">
        <v>7.5000000000000568</v>
      </c>
    </row>
    <row r="872" spans="11:12" x14ac:dyDescent="0.4">
      <c r="K872" s="32">
        <v>870</v>
      </c>
      <c r="L872" s="91">
        <v>5.6843418860808015E-14</v>
      </c>
    </row>
    <row r="873" spans="11:12" x14ac:dyDescent="0.4">
      <c r="K873" s="32">
        <v>871</v>
      </c>
      <c r="L873" s="91">
        <v>-6.1999999999999433</v>
      </c>
    </row>
    <row r="874" spans="11:12" x14ac:dyDescent="0.4">
      <c r="K874" s="32">
        <v>872</v>
      </c>
      <c r="L874" s="91">
        <v>-44.699999999999946</v>
      </c>
    </row>
    <row r="875" spans="11:12" x14ac:dyDescent="0.4">
      <c r="K875" s="32">
        <v>873</v>
      </c>
      <c r="L875" s="91">
        <v>5.6843418860808015E-14</v>
      </c>
    </row>
    <row r="876" spans="11:12" x14ac:dyDescent="0.4">
      <c r="K876" s="32">
        <v>874</v>
      </c>
      <c r="L876" s="91">
        <v>-8.7999999999999439</v>
      </c>
    </row>
    <row r="877" spans="11:12" x14ac:dyDescent="0.4">
      <c r="K877" s="32">
        <v>875</v>
      </c>
      <c r="L877" s="91">
        <v>-44.199999999999946</v>
      </c>
    </row>
    <row r="878" spans="11:12" x14ac:dyDescent="0.4">
      <c r="K878" s="32">
        <v>876</v>
      </c>
      <c r="L878" s="91">
        <v>5.6843418860808015E-14</v>
      </c>
    </row>
    <row r="879" spans="11:12" x14ac:dyDescent="0.4">
      <c r="K879" s="32">
        <v>877</v>
      </c>
      <c r="L879" s="91">
        <v>18.500000000000057</v>
      </c>
    </row>
    <row r="880" spans="11:12" x14ac:dyDescent="0.4">
      <c r="K880" s="32">
        <v>878</v>
      </c>
      <c r="L880" s="91">
        <v>12.000000000000057</v>
      </c>
    </row>
    <row r="881" spans="11:12" x14ac:dyDescent="0.4">
      <c r="K881" s="32">
        <v>879</v>
      </c>
      <c r="L881" s="91">
        <v>5.6843418860808015E-14</v>
      </c>
    </row>
    <row r="882" spans="11:12" x14ac:dyDescent="0.4">
      <c r="K882" s="32">
        <v>880</v>
      </c>
      <c r="L882" s="91">
        <v>33.100000000000058</v>
      </c>
    </row>
    <row r="883" spans="11:12" x14ac:dyDescent="0.4">
      <c r="K883" s="32">
        <v>881</v>
      </c>
      <c r="L883" s="91">
        <v>24.600000000000058</v>
      </c>
    </row>
    <row r="884" spans="11:12" x14ac:dyDescent="0.4">
      <c r="K884" s="32">
        <v>882</v>
      </c>
      <c r="L884" s="91">
        <v>5.6843418860808015E-14</v>
      </c>
    </row>
    <row r="885" spans="11:12" x14ac:dyDescent="0.4">
      <c r="K885" s="32">
        <v>883</v>
      </c>
      <c r="L885" s="91">
        <v>68.000000000000057</v>
      </c>
    </row>
    <row r="886" spans="11:12" x14ac:dyDescent="0.4">
      <c r="K886" s="32">
        <v>884</v>
      </c>
      <c r="L886" s="91">
        <v>20.000000000000057</v>
      </c>
    </row>
    <row r="887" spans="11:12" x14ac:dyDescent="0.4">
      <c r="K887" s="32">
        <v>885</v>
      </c>
      <c r="L887" s="91">
        <v>5.6843418860808015E-14</v>
      </c>
    </row>
    <row r="888" spans="11:12" x14ac:dyDescent="0.4">
      <c r="K888" s="32">
        <v>886</v>
      </c>
      <c r="L888" s="91">
        <v>-21.899999999999942</v>
      </c>
    </row>
    <row r="889" spans="11:12" x14ac:dyDescent="0.4">
      <c r="K889" s="32">
        <v>887</v>
      </c>
      <c r="L889" s="91">
        <v>-7.3999999999999417</v>
      </c>
    </row>
    <row r="890" spans="11:12" x14ac:dyDescent="0.4">
      <c r="K890" s="32">
        <v>888</v>
      </c>
      <c r="L890" s="91">
        <v>5.8619775700208265E-14</v>
      </c>
    </row>
    <row r="891" spans="11:12" x14ac:dyDescent="0.4">
      <c r="K891" s="32">
        <v>889</v>
      </c>
      <c r="L891" s="91">
        <v>9.0000000000000586</v>
      </c>
    </row>
    <row r="892" spans="11:12" x14ac:dyDescent="0.4">
      <c r="K892" s="32">
        <v>890</v>
      </c>
      <c r="L892" s="91">
        <v>-17.199999999999939</v>
      </c>
    </row>
    <row r="893" spans="11:12" x14ac:dyDescent="0.4">
      <c r="K893" s="32">
        <v>891</v>
      </c>
      <c r="L893" s="91">
        <v>6.0396132539608516E-14</v>
      </c>
    </row>
    <row r="894" spans="11:12" x14ac:dyDescent="0.4">
      <c r="K894" s="32">
        <v>892</v>
      </c>
      <c r="L894" s="91">
        <v>18.70000000000006</v>
      </c>
    </row>
    <row r="895" spans="11:12" x14ac:dyDescent="0.4">
      <c r="K895" s="32">
        <v>893</v>
      </c>
      <c r="L895" s="91">
        <v>14.900000000000059</v>
      </c>
    </row>
    <row r="896" spans="11:12" x14ac:dyDescent="0.4">
      <c r="K896" s="32">
        <v>894</v>
      </c>
      <c r="L896" s="91">
        <v>5.8619775700208265E-14</v>
      </c>
    </row>
    <row r="897" spans="11:12" x14ac:dyDescent="0.4">
      <c r="K897" s="32">
        <v>895</v>
      </c>
      <c r="L897" s="91">
        <v>26.600000000000058</v>
      </c>
    </row>
    <row r="898" spans="11:12" x14ac:dyDescent="0.4">
      <c r="K898" s="32">
        <v>896</v>
      </c>
      <c r="L898" s="91">
        <v>7.7000000000000597</v>
      </c>
    </row>
    <row r="899" spans="11:12" x14ac:dyDescent="0.4">
      <c r="K899" s="32">
        <v>897</v>
      </c>
      <c r="L899" s="91">
        <v>5.9507954119908391E-14</v>
      </c>
    </row>
    <row r="900" spans="11:12" x14ac:dyDescent="0.4">
      <c r="K900" s="32">
        <v>898</v>
      </c>
      <c r="L900" s="91">
        <v>20.00000000000006</v>
      </c>
    </row>
    <row r="901" spans="11:12" x14ac:dyDescent="0.4">
      <c r="K901" s="32">
        <v>899</v>
      </c>
      <c r="L901" s="91">
        <v>1.400000000000059</v>
      </c>
    </row>
    <row r="902" spans="11:12" x14ac:dyDescent="0.4">
      <c r="K902" s="32">
        <v>900</v>
      </c>
      <c r="L902" s="91">
        <v>5.9063864910058328E-14</v>
      </c>
    </row>
    <row r="903" spans="11:12" x14ac:dyDescent="0.4">
      <c r="K903" s="32">
        <v>901</v>
      </c>
      <c r="L903" s="91">
        <v>-45.399999999999942</v>
      </c>
    </row>
    <row r="904" spans="11:12" x14ac:dyDescent="0.4">
      <c r="K904" s="32">
        <v>902</v>
      </c>
      <c r="L904" s="91">
        <v>-5.8999999999999417</v>
      </c>
    </row>
    <row r="905" spans="11:12" x14ac:dyDescent="0.4">
      <c r="K905" s="32">
        <v>903</v>
      </c>
      <c r="L905" s="91">
        <v>5.8619775700208265E-14</v>
      </c>
    </row>
  </sheetData>
  <sortState xmlns:xlrd2="http://schemas.microsoft.com/office/spreadsheetml/2017/richdata2" ref="E2:I906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0D45-0FDB-4AF5-BB1D-44A4CC4DB8BA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126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257</v>
      </c>
      <c r="C2" s="147"/>
      <c r="E2" s="54" t="s">
        <v>274</v>
      </c>
      <c r="F2" s="51" t="s">
        <v>275</v>
      </c>
      <c r="G2" s="39">
        <v>457</v>
      </c>
      <c r="H2" s="123">
        <f t="shared" ref="H2:H33" si="0">IF(B$51=0,0,G2/B$51)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1">IF(P2=0,0,Q2/P2)</f>
        <v>1510.6719367588933</v>
      </c>
      <c r="P2" s="109">
        <v>253</v>
      </c>
      <c r="Q2" s="93">
        <v>382200</v>
      </c>
    </row>
    <row r="3" spans="1:17" x14ac:dyDescent="0.4">
      <c r="A3" s="47" t="s">
        <v>8</v>
      </c>
      <c r="B3" s="148">
        <v>1946</v>
      </c>
      <c r="C3" s="149"/>
      <c r="E3" s="55" t="s">
        <v>66</v>
      </c>
      <c r="F3" s="52" t="s">
        <v>22</v>
      </c>
      <c r="G3" s="40">
        <v>390</v>
      </c>
      <c r="H3" s="124">
        <f t="shared" si="0"/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1"/>
        <v>627.86885245901635</v>
      </c>
      <c r="P3" s="110">
        <v>244</v>
      </c>
      <c r="Q3" s="94">
        <v>153200</v>
      </c>
    </row>
    <row r="4" spans="1:17" x14ac:dyDescent="0.4">
      <c r="A4" s="47" t="s">
        <v>6</v>
      </c>
      <c r="B4" s="150">
        <v>1889.9999999999993</v>
      </c>
      <c r="C4" s="151"/>
      <c r="E4" s="55" t="s">
        <v>64</v>
      </c>
      <c r="F4" s="52" t="s">
        <v>20</v>
      </c>
      <c r="G4" s="40">
        <v>294</v>
      </c>
      <c r="H4" s="124">
        <f t="shared" si="0"/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1"/>
        <v>2042.9824561403509</v>
      </c>
      <c r="P4" s="110">
        <v>228</v>
      </c>
      <c r="Q4" s="94">
        <v>465800</v>
      </c>
    </row>
    <row r="5" spans="1:17" x14ac:dyDescent="0.4">
      <c r="A5" s="47" t="s">
        <v>7</v>
      </c>
      <c r="B5" s="152">
        <f>IF(B$2=0,0,B$4/B$2)</f>
        <v>7.3540856031128374</v>
      </c>
      <c r="C5" s="153"/>
      <c r="E5" s="55" t="s">
        <v>72</v>
      </c>
      <c r="F5" s="52" t="s">
        <v>27</v>
      </c>
      <c r="G5" s="40">
        <v>294</v>
      </c>
      <c r="H5" s="124">
        <f t="shared" si="0"/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1"/>
        <v>1670.7317073170732</v>
      </c>
      <c r="P5" s="110">
        <v>205</v>
      </c>
      <c r="Q5" s="94">
        <v>342500</v>
      </c>
    </row>
    <row r="6" spans="1:17" x14ac:dyDescent="0.4">
      <c r="A6" s="47" t="s">
        <v>1</v>
      </c>
      <c r="B6" s="160">
        <f>IF(B$2=0,0,(B$7*1+B$8*2+B$9*3)/B$2)</f>
        <v>1.7470817120622568</v>
      </c>
      <c r="C6" s="161"/>
      <c r="E6" s="55" t="s">
        <v>67</v>
      </c>
      <c r="F6" s="52" t="s">
        <v>23</v>
      </c>
      <c r="G6" s="40">
        <v>161</v>
      </c>
      <c r="H6" s="124">
        <f t="shared" si="0"/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1"/>
        <v>1381.6666666666667</v>
      </c>
      <c r="P6" s="110">
        <v>180</v>
      </c>
      <c r="Q6" s="94">
        <v>248700</v>
      </c>
    </row>
    <row r="7" spans="1:17" x14ac:dyDescent="0.4">
      <c r="A7" s="47" t="s">
        <v>2</v>
      </c>
      <c r="B7" s="40">
        <v>116</v>
      </c>
      <c r="C7" s="33">
        <f t="shared" ref="C7:C14" si="2">IF(B$2=0,0,B7/B$2)</f>
        <v>0.45136186770428016</v>
      </c>
      <c r="E7" s="55" t="s">
        <v>68</v>
      </c>
      <c r="F7" s="52" t="s">
        <v>12</v>
      </c>
      <c r="G7" s="40">
        <v>161</v>
      </c>
      <c r="H7" s="124">
        <f t="shared" si="0"/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1"/>
        <v>1779.591836734694</v>
      </c>
      <c r="P7" s="111">
        <v>147</v>
      </c>
      <c r="Q7" s="95">
        <v>261600</v>
      </c>
    </row>
    <row r="8" spans="1:17" x14ac:dyDescent="0.4">
      <c r="A8" s="47" t="s">
        <v>3</v>
      </c>
      <c r="B8" s="40">
        <v>90</v>
      </c>
      <c r="C8" s="33">
        <f t="shared" si="2"/>
        <v>0.35019455252918286</v>
      </c>
      <c r="E8" s="55" t="s">
        <v>89</v>
      </c>
      <c r="F8" s="52" t="s">
        <v>44</v>
      </c>
      <c r="G8" s="40">
        <v>97</v>
      </c>
      <c r="H8" s="124">
        <f t="shared" si="0"/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51</v>
      </c>
      <c r="C9" s="34">
        <f t="shared" si="2"/>
        <v>0.19844357976653695</v>
      </c>
      <c r="E9" s="55" t="s">
        <v>69</v>
      </c>
      <c r="F9" s="52" t="s">
        <v>24</v>
      </c>
      <c r="G9" s="40">
        <v>83</v>
      </c>
      <c r="H9" s="124">
        <f t="shared" si="0"/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29.299137931034466</v>
      </c>
      <c r="C10" s="141">
        <v>3398.699999999998</v>
      </c>
      <c r="E10" s="55" t="s">
        <v>65</v>
      </c>
      <c r="F10" s="52" t="s">
        <v>21</v>
      </c>
      <c r="G10" s="40">
        <v>66</v>
      </c>
      <c r="H10" s="124">
        <f t="shared" si="0"/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">
      <c r="A11" s="48" t="s">
        <v>277</v>
      </c>
      <c r="B11" s="140">
        <f>IF(B8=0,0,C11/B8)</f>
        <v>-0.50888888888889028</v>
      </c>
      <c r="C11" s="141">
        <v>-45.800000000000125</v>
      </c>
      <c r="E11" s="55" t="s">
        <v>70</v>
      </c>
      <c r="F11" s="52" t="s">
        <v>25</v>
      </c>
      <c r="G11" s="40">
        <v>44</v>
      </c>
      <c r="H11" s="124">
        <f t="shared" si="0"/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">
      <c r="A12" s="48" t="s">
        <v>278</v>
      </c>
      <c r="B12" s="140">
        <f>IF(B9=0,0,C12/B9)</f>
        <v>-28.684313725490192</v>
      </c>
      <c r="C12" s="141">
        <v>-1462.8999999999999</v>
      </c>
      <c r="E12" s="55" t="s">
        <v>86</v>
      </c>
      <c r="F12" s="52" t="s">
        <v>41</v>
      </c>
      <c r="G12" s="40">
        <v>37</v>
      </c>
      <c r="H12" s="124">
        <f t="shared" si="0"/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">
      <c r="A13" s="48" t="s">
        <v>279</v>
      </c>
      <c r="B13" s="152">
        <f>AVERAGE(B10:B12)</f>
        <v>3.5311772218461122E-2</v>
      </c>
      <c r="C13" s="153"/>
      <c r="E13" s="55" t="s">
        <v>71</v>
      </c>
      <c r="F13" s="52" t="s">
        <v>26</v>
      </c>
      <c r="G13" s="40">
        <v>32</v>
      </c>
      <c r="H13" s="124">
        <f t="shared" si="0"/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25</v>
      </c>
      <c r="C14" s="36">
        <f t="shared" si="2"/>
        <v>9.727626459143969E-2</v>
      </c>
      <c r="E14" s="55" t="s">
        <v>83</v>
      </c>
      <c r="F14" s="52" t="s">
        <v>38</v>
      </c>
      <c r="G14" s="40">
        <v>19</v>
      </c>
      <c r="H14" s="124">
        <f t="shared" si="0"/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452</v>
      </c>
      <c r="C15" s="38">
        <f>IF(B$50=0,0,B15/B$50)</f>
        <v>0.30335570469798656</v>
      </c>
      <c r="E15" s="55" t="s">
        <v>81</v>
      </c>
      <c r="F15" s="52" t="s">
        <v>36</v>
      </c>
      <c r="G15" s="40">
        <v>11</v>
      </c>
      <c r="H15" s="124">
        <f t="shared" si="0"/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 t="shared" ref="O15:O25" si="3">IF(P15=0,0,Q15/P15)</f>
        <v>125.9</v>
      </c>
      <c r="P15" s="109">
        <v>1</v>
      </c>
      <c r="Q15" s="97">
        <v>125.9</v>
      </c>
    </row>
    <row r="16" spans="1:17" x14ac:dyDescent="0.4">
      <c r="A16" s="47" t="s">
        <v>118</v>
      </c>
      <c r="B16" s="40">
        <v>311</v>
      </c>
      <c r="C16" s="33">
        <f>IF(B$50=0,0,B16/B$50)</f>
        <v>0.20872483221476509</v>
      </c>
      <c r="E16" s="55" t="s">
        <v>91</v>
      </c>
      <c r="F16" s="52" t="s">
        <v>46</v>
      </c>
      <c r="G16" s="40">
        <v>8</v>
      </c>
      <c r="H16" s="124">
        <f t="shared" si="0"/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 t="shared" si="3"/>
        <v>71.75</v>
      </c>
      <c r="P16" s="110">
        <v>4</v>
      </c>
      <c r="Q16" s="98">
        <v>287</v>
      </c>
    </row>
    <row r="17" spans="1:17" x14ac:dyDescent="0.4">
      <c r="A17" s="46" t="s">
        <v>123</v>
      </c>
      <c r="B17" s="39">
        <f>B23</f>
        <v>296</v>
      </c>
      <c r="C17" s="31">
        <f>IF(B$15=0,0,B17/B$15)</f>
        <v>0.65486725663716816</v>
      </c>
      <c r="E17" s="55" t="s">
        <v>78</v>
      </c>
      <c r="F17" s="52" t="s">
        <v>33</v>
      </c>
      <c r="G17" s="40">
        <v>7</v>
      </c>
      <c r="H17" s="124">
        <f t="shared" si="0"/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 t="shared" si="3"/>
        <v>29.423999999999999</v>
      </c>
      <c r="P17" s="110">
        <v>25</v>
      </c>
      <c r="Q17" s="98">
        <v>735.6</v>
      </c>
    </row>
    <row r="18" spans="1:17" x14ac:dyDescent="0.4">
      <c r="A18" s="46" t="s">
        <v>124</v>
      </c>
      <c r="B18" s="39">
        <f>B24</f>
        <v>153</v>
      </c>
      <c r="C18" s="31">
        <f>IF(B$16=0,0,B18/B$16)</f>
        <v>0.49196141479099681</v>
      </c>
      <c r="E18" s="55" t="s">
        <v>79</v>
      </c>
      <c r="F18" s="52" t="s">
        <v>34</v>
      </c>
      <c r="G18" s="40">
        <v>5</v>
      </c>
      <c r="H18" s="124">
        <f t="shared" si="0"/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 t="shared" si="3"/>
        <v>26.587499999999995</v>
      </c>
      <c r="P18" s="110">
        <v>8</v>
      </c>
      <c r="Q18" s="98">
        <v>212.69999999999996</v>
      </c>
    </row>
    <row r="19" spans="1:17" x14ac:dyDescent="0.4">
      <c r="A19" s="46" t="s">
        <v>10</v>
      </c>
      <c r="B19" s="39">
        <f>B22+B21</f>
        <v>695</v>
      </c>
      <c r="C19" s="31">
        <f>IF(B$3=0,0,B19/B$3)</f>
        <v>0.35714285714285715</v>
      </c>
      <c r="E19" s="55" t="s">
        <v>75</v>
      </c>
      <c r="F19" s="52" t="s">
        <v>30</v>
      </c>
      <c r="G19" s="40">
        <v>4</v>
      </c>
      <c r="H19" s="124">
        <f t="shared" si="0"/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 t="shared" si="3"/>
        <v>17.172058823529412</v>
      </c>
      <c r="P19" s="110">
        <v>68</v>
      </c>
      <c r="Q19" s="98">
        <v>1167.7</v>
      </c>
    </row>
    <row r="20" spans="1:17" x14ac:dyDescent="0.4">
      <c r="A20" s="47" t="s">
        <v>13</v>
      </c>
      <c r="B20" s="40">
        <v>273</v>
      </c>
      <c r="C20" s="33">
        <f>IF(B$3=0,0,B20/B$3)</f>
        <v>0.14028776978417265</v>
      </c>
      <c r="E20" s="55" t="s">
        <v>77</v>
      </c>
      <c r="F20" s="52" t="s">
        <v>32</v>
      </c>
      <c r="G20" s="40">
        <v>4</v>
      </c>
      <c r="H20" s="124">
        <f t="shared" si="0"/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 t="shared" si="3"/>
        <v>11.685849056603773</v>
      </c>
      <c r="P20" s="110">
        <v>106</v>
      </c>
      <c r="Q20" s="98">
        <v>1238.7</v>
      </c>
    </row>
    <row r="21" spans="1:17" x14ac:dyDescent="0.4">
      <c r="A21" s="47" t="s">
        <v>12</v>
      </c>
      <c r="B21" s="40">
        <v>269</v>
      </c>
      <c r="C21" s="33">
        <f>IF(B$19=0,0,B21/B$19)</f>
        <v>0.38705035971223023</v>
      </c>
      <c r="E21" s="55" t="s">
        <v>73</v>
      </c>
      <c r="F21" s="52" t="s">
        <v>28</v>
      </c>
      <c r="G21" s="40">
        <v>3</v>
      </c>
      <c r="H21" s="124">
        <f t="shared" si="0"/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 t="shared" si="3"/>
        <v>10.037288135593213</v>
      </c>
      <c r="P21" s="110">
        <v>118</v>
      </c>
      <c r="Q21" s="98">
        <v>1184.3999999999992</v>
      </c>
    </row>
    <row r="22" spans="1:17" x14ac:dyDescent="0.4">
      <c r="A22" s="47" t="s">
        <v>11</v>
      </c>
      <c r="B22" s="40">
        <v>426</v>
      </c>
      <c r="C22" s="33">
        <f>IF(B$19=0,0,B22/B$19)</f>
        <v>0.61294964028776977</v>
      </c>
      <c r="E22" s="55" t="s">
        <v>85</v>
      </c>
      <c r="F22" s="52" t="s">
        <v>40</v>
      </c>
      <c r="G22" s="40">
        <v>3</v>
      </c>
      <c r="H22" s="124">
        <f t="shared" si="0"/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 t="shared" si="3"/>
        <v>9.1555555555555568</v>
      </c>
      <c r="P22" s="110">
        <v>27</v>
      </c>
      <c r="Q22" s="98">
        <v>247.20000000000005</v>
      </c>
    </row>
    <row r="23" spans="1:17" x14ac:dyDescent="0.4">
      <c r="A23" s="47" t="s">
        <v>189</v>
      </c>
      <c r="B23" s="40">
        <v>296</v>
      </c>
      <c r="C23" s="33">
        <f>IF(B$19=0,0,B23/B$19)</f>
        <v>0.42589928057553955</v>
      </c>
      <c r="E23" s="55" t="s">
        <v>92</v>
      </c>
      <c r="F23" s="52" t="s">
        <v>47</v>
      </c>
      <c r="G23" s="40">
        <v>3</v>
      </c>
      <c r="H23" s="124">
        <f t="shared" si="0"/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 t="shared" si="3"/>
        <v>8</v>
      </c>
      <c r="P23" s="110">
        <v>1</v>
      </c>
      <c r="Q23" s="98">
        <v>8</v>
      </c>
    </row>
    <row r="24" spans="1:17" x14ac:dyDescent="0.4">
      <c r="A24" s="47" t="s">
        <v>187</v>
      </c>
      <c r="B24" s="40">
        <v>153</v>
      </c>
      <c r="C24" s="33">
        <f>IF(B$19=0,0,B24/B$19)</f>
        <v>0.22014388489208633</v>
      </c>
      <c r="E24" s="55" t="s">
        <v>74</v>
      </c>
      <c r="F24" s="52" t="s">
        <v>29</v>
      </c>
      <c r="G24" s="40">
        <v>2</v>
      </c>
      <c r="H24" s="124">
        <f t="shared" si="0"/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 t="shared" si="3"/>
        <v>4.0227722772277232</v>
      </c>
      <c r="P24" s="110">
        <v>101</v>
      </c>
      <c r="Q24" s="98">
        <v>406.3</v>
      </c>
    </row>
    <row r="25" spans="1:17" x14ac:dyDescent="0.4">
      <c r="A25" s="47" t="s">
        <v>188</v>
      </c>
      <c r="B25" s="40">
        <v>246</v>
      </c>
      <c r="C25" s="33">
        <f>IF(B$19=0,0,B25/B$19)</f>
        <v>0.35395683453237409</v>
      </c>
      <c r="E25" s="55" t="s">
        <v>87</v>
      </c>
      <c r="F25" s="52" t="s">
        <v>42</v>
      </c>
      <c r="G25" s="40">
        <v>2</v>
      </c>
      <c r="H25" s="124">
        <f t="shared" si="0"/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 t="shared" si="3"/>
        <v>1.0272727272727264</v>
      </c>
      <c r="P25" s="110">
        <v>55</v>
      </c>
      <c r="Q25" s="98">
        <v>56.499999999999957</v>
      </c>
    </row>
    <row r="26" spans="1:17" x14ac:dyDescent="0.4">
      <c r="A26" s="47" t="s">
        <v>5</v>
      </c>
      <c r="B26" s="44">
        <f>IF(B$19=0,0,C26/B$19)</f>
        <v>9923.1654676258986</v>
      </c>
      <c r="C26" s="35">
        <v>6896600</v>
      </c>
      <c r="E26" s="55" t="s">
        <v>90</v>
      </c>
      <c r="F26" s="52" t="s">
        <v>45</v>
      </c>
      <c r="G26" s="40">
        <v>1</v>
      </c>
      <c r="H26" s="124">
        <f t="shared" si="0"/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">
      <c r="A27" s="48" t="s">
        <v>171</v>
      </c>
      <c r="B27" s="127">
        <f>IF($B$19-B$18=0,0,C27/($B$19-B$18))</f>
        <v>10081.918819188191</v>
      </c>
      <c r="C27" s="128">
        <v>5464400</v>
      </c>
      <c r="E27" s="55" t="s">
        <v>93</v>
      </c>
      <c r="F27" s="52" t="s">
        <v>48</v>
      </c>
      <c r="G27" s="40">
        <v>1</v>
      </c>
      <c r="H27" s="124">
        <f t="shared" si="0"/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">
      <c r="A28" s="48" t="s">
        <v>172</v>
      </c>
      <c r="B28" s="127">
        <f>IF(B$18=0,0,C28/B$18)</f>
        <v>9360.7843137254895</v>
      </c>
      <c r="C28" s="128">
        <v>1432200</v>
      </c>
      <c r="E28" s="55" t="s">
        <v>95</v>
      </c>
      <c r="F28" s="52" t="s">
        <v>50</v>
      </c>
      <c r="G28" s="40">
        <v>1</v>
      </c>
      <c r="H28" s="124">
        <f t="shared" si="0"/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">
      <c r="A29" s="48" t="s">
        <v>170</v>
      </c>
      <c r="B29" s="127">
        <f>IF(B$20=0,0,C29/B$20)</f>
        <v>-9277.6556776556772</v>
      </c>
      <c r="C29" s="128">
        <v>-2532800</v>
      </c>
      <c r="E29" s="55" t="s">
        <v>106</v>
      </c>
      <c r="F29" s="52" t="s">
        <v>113</v>
      </c>
      <c r="G29" s="40">
        <v>1</v>
      </c>
      <c r="H29" s="124">
        <f t="shared" si="0"/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76</v>
      </c>
      <c r="F30" s="52" t="s">
        <v>31</v>
      </c>
      <c r="G30" s="40">
        <v>0</v>
      </c>
      <c r="H30" s="124">
        <f t="shared" si="0"/>
        <v>0</v>
      </c>
      <c r="I30" s="86">
        <v>1</v>
      </c>
      <c r="K30" s="32">
        <v>28</v>
      </c>
      <c r="L30" s="91">
        <v>129.20000000000002</v>
      </c>
    </row>
    <row r="31" spans="1:17" x14ac:dyDescent="0.4">
      <c r="A31" s="47" t="s">
        <v>163</v>
      </c>
      <c r="B31" s="40">
        <v>32</v>
      </c>
      <c r="C31" s="126">
        <v>0</v>
      </c>
      <c r="E31" s="55" t="s">
        <v>80</v>
      </c>
      <c r="F31" s="52" t="s">
        <v>35</v>
      </c>
      <c r="G31" s="40">
        <v>0</v>
      </c>
      <c r="H31" s="124">
        <f t="shared" si="0"/>
        <v>0</v>
      </c>
      <c r="I31" s="86">
        <v>3</v>
      </c>
      <c r="K31" s="32">
        <v>29</v>
      </c>
      <c r="L31" s="91">
        <v>120.80000000000001</v>
      </c>
    </row>
    <row r="32" spans="1:17" x14ac:dyDescent="0.4">
      <c r="A32" s="82" t="s">
        <v>138</v>
      </c>
      <c r="B32" s="158">
        <v>10</v>
      </c>
      <c r="C32" s="159"/>
      <c r="E32" s="55" t="s">
        <v>82</v>
      </c>
      <c r="F32" s="52" t="s">
        <v>37</v>
      </c>
      <c r="G32" s="40">
        <v>0</v>
      </c>
      <c r="H32" s="124">
        <f t="shared" si="0"/>
        <v>0</v>
      </c>
      <c r="I32" s="86">
        <v>1</v>
      </c>
      <c r="K32" s="32">
        <v>30</v>
      </c>
      <c r="L32" s="91">
        <v>174.10000000000002</v>
      </c>
    </row>
    <row r="33" spans="1:12" x14ac:dyDescent="0.4">
      <c r="A33" s="50" t="s">
        <v>186</v>
      </c>
      <c r="B33" s="156">
        <v>120200</v>
      </c>
      <c r="C33" s="157"/>
      <c r="E33" s="55" t="s">
        <v>84</v>
      </c>
      <c r="F33" s="52" t="s">
        <v>39</v>
      </c>
      <c r="G33" s="40">
        <v>0</v>
      </c>
      <c r="H33" s="124">
        <f t="shared" si="0"/>
        <v>0</v>
      </c>
      <c r="I33" s="86">
        <v>5</v>
      </c>
      <c r="K33" s="32">
        <v>31</v>
      </c>
      <c r="L33" s="91">
        <v>160.10000000000002</v>
      </c>
    </row>
    <row r="34" spans="1:12" x14ac:dyDescent="0.4">
      <c r="A34" s="49" t="s">
        <v>139</v>
      </c>
      <c r="B34" s="57">
        <v>2</v>
      </c>
      <c r="C34" s="36">
        <f>IF(B$3=0,0,B34/B$3)</f>
        <v>1.0277492291880781E-3</v>
      </c>
      <c r="E34" s="55" t="s">
        <v>88</v>
      </c>
      <c r="F34" s="52" t="s">
        <v>43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220.8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270.8</v>
      </c>
    </row>
    <row r="36" spans="1:12" x14ac:dyDescent="0.4">
      <c r="A36" s="82" t="s">
        <v>177</v>
      </c>
      <c r="B36" s="136">
        <v>27</v>
      </c>
      <c r="C36" s="132">
        <f>IF(B$19=0,0,B36/B$19)</f>
        <v>3.884892086330935E-2</v>
      </c>
      <c r="E36" s="55" t="s">
        <v>96</v>
      </c>
      <c r="F36" s="52" t="s">
        <v>51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256.8</v>
      </c>
    </row>
    <row r="37" spans="1:12" x14ac:dyDescent="0.4">
      <c r="A37" s="47" t="s">
        <v>173</v>
      </c>
      <c r="B37" s="40">
        <v>53</v>
      </c>
      <c r="C37" s="33">
        <f t="shared" ref="C37:C48" si="5">IF(B$19=0,0,B37/B$19)</f>
        <v>7.6258992805755391E-2</v>
      </c>
      <c r="E37" s="55" t="s">
        <v>97</v>
      </c>
      <c r="F37" s="52" t="s">
        <v>52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253.4</v>
      </c>
    </row>
    <row r="38" spans="1:12" x14ac:dyDescent="0.4">
      <c r="A38" s="47" t="s">
        <v>174</v>
      </c>
      <c r="B38" s="139">
        <v>107</v>
      </c>
      <c r="C38" s="33">
        <f>IF(B$19=0,0,B38/B$19)</f>
        <v>0.1539568345323741</v>
      </c>
      <c r="E38" s="55" t="s">
        <v>98</v>
      </c>
      <c r="F38" s="52" t="s">
        <v>53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236.3</v>
      </c>
    </row>
    <row r="39" spans="1:12" x14ac:dyDescent="0.4">
      <c r="A39" s="47" t="s">
        <v>175</v>
      </c>
      <c r="B39" s="139">
        <v>111</v>
      </c>
      <c r="C39" s="33">
        <f t="shared" si="5"/>
        <v>0.15971223021582734</v>
      </c>
      <c r="E39" s="55" t="s">
        <v>99</v>
      </c>
      <c r="F39" s="52" t="s">
        <v>54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257.40000000000003</v>
      </c>
    </row>
    <row r="40" spans="1:12" x14ac:dyDescent="0.4">
      <c r="A40" s="47" t="s">
        <v>176</v>
      </c>
      <c r="B40" s="139">
        <v>80</v>
      </c>
      <c r="C40" s="33">
        <f t="shared" si="5"/>
        <v>0.11510791366906475</v>
      </c>
      <c r="E40" s="55" t="s">
        <v>100</v>
      </c>
      <c r="F40" s="52" t="s">
        <v>55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206.80000000000004</v>
      </c>
    </row>
    <row r="41" spans="1:12" x14ac:dyDescent="0.4">
      <c r="A41" s="47" t="s">
        <v>178</v>
      </c>
      <c r="B41" s="139">
        <v>58</v>
      </c>
      <c r="C41" s="33">
        <f t="shared" si="5"/>
        <v>8.3453237410071948E-2</v>
      </c>
      <c r="E41" s="55" t="s">
        <v>101</v>
      </c>
      <c r="F41" s="52" t="s">
        <v>56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198.60000000000005</v>
      </c>
    </row>
    <row r="42" spans="1:12" x14ac:dyDescent="0.4">
      <c r="A42" s="47" t="s">
        <v>179</v>
      </c>
      <c r="B42" s="139">
        <v>39</v>
      </c>
      <c r="C42" s="33">
        <f t="shared" si="5"/>
        <v>5.6115107913669061E-2</v>
      </c>
      <c r="E42" s="55" t="s">
        <v>102</v>
      </c>
      <c r="F42" s="52" t="s">
        <v>57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191.60000000000005</v>
      </c>
    </row>
    <row r="43" spans="1:12" x14ac:dyDescent="0.4">
      <c r="A43" s="47" t="s">
        <v>180</v>
      </c>
      <c r="B43" s="139">
        <v>27</v>
      </c>
      <c r="C43" s="33">
        <f t="shared" si="5"/>
        <v>3.884892086330935E-2</v>
      </c>
      <c r="E43" s="55" t="s">
        <v>103</v>
      </c>
      <c r="F43" s="52" t="s">
        <v>58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155.20000000000005</v>
      </c>
    </row>
    <row r="44" spans="1:12" x14ac:dyDescent="0.4">
      <c r="A44" s="47" t="s">
        <v>181</v>
      </c>
      <c r="B44" s="139">
        <v>17</v>
      </c>
      <c r="C44" s="33">
        <f t="shared" si="5"/>
        <v>2.4460431654676259E-2</v>
      </c>
      <c r="E44" s="55" t="s">
        <v>104</v>
      </c>
      <c r="F44" s="52" t="s">
        <v>59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146.70000000000005</v>
      </c>
    </row>
    <row r="45" spans="1:12" x14ac:dyDescent="0.4">
      <c r="A45" s="47" t="s">
        <v>182</v>
      </c>
      <c r="B45" s="139">
        <v>5</v>
      </c>
      <c r="C45" s="33">
        <f t="shared" si="5"/>
        <v>7.1942446043165471E-3</v>
      </c>
      <c r="E45" s="55" t="s">
        <v>105</v>
      </c>
      <c r="F45" s="52" t="s">
        <v>112</v>
      </c>
      <c r="G45" s="40">
        <v>0</v>
      </c>
      <c r="H45" s="124">
        <f t="shared" si="4"/>
        <v>0</v>
      </c>
      <c r="I45" s="86">
        <v>1</v>
      </c>
      <c r="K45" s="32">
        <v>43</v>
      </c>
      <c r="L45" s="91">
        <v>155.10000000000005</v>
      </c>
    </row>
    <row r="46" spans="1:12" x14ac:dyDescent="0.4">
      <c r="A46" s="47" t="s">
        <v>183</v>
      </c>
      <c r="B46" s="139">
        <v>4</v>
      </c>
      <c r="C46" s="33">
        <f t="shared" si="5"/>
        <v>5.7553956834532375E-3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144.70000000000005</v>
      </c>
    </row>
    <row r="47" spans="1:12" x14ac:dyDescent="0.4">
      <c r="A47" s="47" t="s">
        <v>184</v>
      </c>
      <c r="B47" s="139">
        <v>1</v>
      </c>
      <c r="C47" s="33">
        <f t="shared" si="5"/>
        <v>1.4388489208633094E-3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172.60000000000005</v>
      </c>
    </row>
    <row r="48" spans="1:12" x14ac:dyDescent="0.4">
      <c r="A48" s="49" t="s">
        <v>185</v>
      </c>
      <c r="B48" s="135">
        <v>10</v>
      </c>
      <c r="C48" s="36">
        <f t="shared" si="5"/>
        <v>1.4388489208633094E-2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152.10000000000005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121.00000000000006</v>
      </c>
    </row>
    <row r="50" spans="1:12" x14ac:dyDescent="0.4">
      <c r="A50" s="82" t="s">
        <v>197</v>
      </c>
      <c r="B50" s="146">
        <v>1490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137.20000000000005</v>
      </c>
    </row>
    <row r="51" spans="1:12" x14ac:dyDescent="0.4">
      <c r="A51" s="49" t="s">
        <v>198</v>
      </c>
      <c r="B51" s="154">
        <v>539</v>
      </c>
      <c r="C51" s="155"/>
      <c r="K51" s="32">
        <v>49</v>
      </c>
      <c r="L51" s="91">
        <v>132.30000000000004</v>
      </c>
    </row>
    <row r="52" spans="1:12" x14ac:dyDescent="0.4">
      <c r="K52" s="32">
        <v>50</v>
      </c>
      <c r="L52" s="91">
        <v>145.10000000000005</v>
      </c>
    </row>
    <row r="53" spans="1:12" x14ac:dyDescent="0.4">
      <c r="K53" s="32">
        <v>51</v>
      </c>
      <c r="L53" s="91">
        <v>145.80000000000004</v>
      </c>
    </row>
    <row r="54" spans="1:12" x14ac:dyDescent="0.4">
      <c r="K54" s="32">
        <v>52</v>
      </c>
      <c r="L54" s="91">
        <v>139.10000000000005</v>
      </c>
    </row>
    <row r="55" spans="1:12" x14ac:dyDescent="0.4">
      <c r="K55" s="32">
        <v>53</v>
      </c>
      <c r="L55" s="91">
        <v>111.10000000000005</v>
      </c>
    </row>
    <row r="56" spans="1:12" x14ac:dyDescent="0.4">
      <c r="K56" s="32">
        <v>54</v>
      </c>
      <c r="L56" s="91">
        <v>127.80000000000005</v>
      </c>
    </row>
    <row r="57" spans="1:12" x14ac:dyDescent="0.4">
      <c r="K57" s="32">
        <v>55</v>
      </c>
      <c r="L57" s="91">
        <v>120.80000000000005</v>
      </c>
    </row>
    <row r="58" spans="1:12" x14ac:dyDescent="0.4">
      <c r="K58" s="32">
        <v>56</v>
      </c>
      <c r="L58" s="91">
        <v>152.40000000000006</v>
      </c>
    </row>
    <row r="59" spans="1:12" x14ac:dyDescent="0.4">
      <c r="K59" s="32">
        <v>57</v>
      </c>
      <c r="L59" s="91">
        <v>168.20000000000007</v>
      </c>
    </row>
    <row r="60" spans="1:12" x14ac:dyDescent="0.4">
      <c r="K60" s="32">
        <v>58</v>
      </c>
      <c r="L60" s="91">
        <v>225.20000000000007</v>
      </c>
    </row>
    <row r="61" spans="1:12" x14ac:dyDescent="0.4">
      <c r="K61" s="32">
        <v>59</v>
      </c>
      <c r="L61" s="91">
        <v>230.50000000000009</v>
      </c>
    </row>
    <row r="62" spans="1:12" x14ac:dyDescent="0.4">
      <c r="K62" s="32">
        <v>60</v>
      </c>
      <c r="L62" s="91">
        <v>184.40000000000009</v>
      </c>
    </row>
    <row r="63" spans="1:12" x14ac:dyDescent="0.4">
      <c r="K63" s="32">
        <v>61</v>
      </c>
      <c r="L63" s="91">
        <v>205.50000000000009</v>
      </c>
    </row>
    <row r="64" spans="1:12" x14ac:dyDescent="0.4">
      <c r="K64" s="32">
        <v>62</v>
      </c>
      <c r="L64" s="91">
        <v>139.50000000000009</v>
      </c>
    </row>
    <row r="65" spans="11:12" x14ac:dyDescent="0.4">
      <c r="K65" s="32">
        <v>63</v>
      </c>
      <c r="L65" s="91">
        <v>134.50000000000009</v>
      </c>
    </row>
    <row r="66" spans="11:12" x14ac:dyDescent="0.4">
      <c r="K66" s="32">
        <v>64</v>
      </c>
      <c r="L66" s="91">
        <v>135.50000000000009</v>
      </c>
    </row>
    <row r="67" spans="11:12" x14ac:dyDescent="0.4">
      <c r="K67" s="32">
        <v>65</v>
      </c>
      <c r="L67" s="91">
        <v>167.10000000000008</v>
      </c>
    </row>
    <row r="68" spans="11:12" x14ac:dyDescent="0.4">
      <c r="K68" s="32">
        <v>66</v>
      </c>
      <c r="L68" s="91">
        <v>148.10000000000008</v>
      </c>
    </row>
    <row r="69" spans="11:12" x14ac:dyDescent="0.4">
      <c r="K69" s="32">
        <v>67</v>
      </c>
      <c r="L69" s="91">
        <v>138.20000000000007</v>
      </c>
    </row>
    <row r="70" spans="11:12" x14ac:dyDescent="0.4">
      <c r="K70" s="32">
        <v>68</v>
      </c>
      <c r="L70" s="91">
        <v>139.10000000000008</v>
      </c>
    </row>
    <row r="71" spans="11:12" x14ac:dyDescent="0.4">
      <c r="K71" s="32">
        <v>69</v>
      </c>
      <c r="L71" s="91">
        <v>171.40000000000009</v>
      </c>
    </row>
    <row r="72" spans="11:12" x14ac:dyDescent="0.4">
      <c r="K72" s="32">
        <v>70</v>
      </c>
      <c r="L72" s="91">
        <v>199.8000000000001</v>
      </c>
    </row>
    <row r="73" spans="11:12" x14ac:dyDescent="0.4">
      <c r="K73" s="32">
        <v>71</v>
      </c>
      <c r="L73" s="91">
        <v>192.40000000000009</v>
      </c>
    </row>
    <row r="74" spans="11:12" x14ac:dyDescent="0.4">
      <c r="K74" s="32">
        <v>72</v>
      </c>
      <c r="L74" s="91">
        <v>210.7000000000001</v>
      </c>
    </row>
    <row r="75" spans="11:12" x14ac:dyDescent="0.4">
      <c r="K75" s="32">
        <v>73</v>
      </c>
      <c r="L75" s="91">
        <v>196.8000000000001</v>
      </c>
    </row>
    <row r="76" spans="11:12" x14ac:dyDescent="0.4">
      <c r="K76" s="32">
        <v>74</v>
      </c>
      <c r="L76" s="91">
        <v>236.8000000000001</v>
      </c>
    </row>
    <row r="77" spans="11:12" x14ac:dyDescent="0.4">
      <c r="K77" s="32">
        <v>75</v>
      </c>
      <c r="L77" s="91">
        <v>242.00000000000009</v>
      </c>
    </row>
    <row r="78" spans="11:12" x14ac:dyDescent="0.4">
      <c r="K78" s="32">
        <v>76</v>
      </c>
      <c r="L78" s="91">
        <v>228.3000000000001</v>
      </c>
    </row>
    <row r="79" spans="11:12" x14ac:dyDescent="0.4">
      <c r="K79" s="32">
        <v>77</v>
      </c>
      <c r="L79" s="91">
        <v>233.40000000000009</v>
      </c>
    </row>
    <row r="80" spans="11:12" x14ac:dyDescent="0.4">
      <c r="K80" s="32">
        <v>78</v>
      </c>
      <c r="L80" s="91">
        <v>265.30000000000007</v>
      </c>
    </row>
    <row r="81" spans="11:12" x14ac:dyDescent="0.4">
      <c r="K81" s="32">
        <v>79</v>
      </c>
      <c r="L81" s="91">
        <v>305.30000000000007</v>
      </c>
    </row>
    <row r="82" spans="11:12" x14ac:dyDescent="0.4">
      <c r="K82" s="32">
        <v>80</v>
      </c>
      <c r="L82" s="91">
        <v>327.80000000000007</v>
      </c>
    </row>
    <row r="83" spans="11:12" x14ac:dyDescent="0.4">
      <c r="K83" s="32">
        <v>81</v>
      </c>
      <c r="L83" s="91">
        <v>359.30000000000007</v>
      </c>
    </row>
    <row r="84" spans="11:12" x14ac:dyDescent="0.4">
      <c r="K84" s="32">
        <v>82</v>
      </c>
      <c r="L84" s="91">
        <v>419.10000000000008</v>
      </c>
    </row>
    <row r="85" spans="11:12" x14ac:dyDescent="0.4">
      <c r="K85" s="32">
        <v>83</v>
      </c>
      <c r="L85" s="91">
        <v>430.2000000000001</v>
      </c>
    </row>
    <row r="86" spans="11:12" x14ac:dyDescent="0.4">
      <c r="K86" s="32">
        <v>84</v>
      </c>
      <c r="L86" s="91">
        <v>431.80000000000013</v>
      </c>
    </row>
    <row r="87" spans="11:12" x14ac:dyDescent="0.4">
      <c r="K87" s="32">
        <v>85</v>
      </c>
      <c r="L87" s="91">
        <v>410.40000000000015</v>
      </c>
    </row>
    <row r="88" spans="11:12" x14ac:dyDescent="0.4">
      <c r="K88" s="32">
        <v>86</v>
      </c>
      <c r="L88" s="91">
        <v>413.90000000000015</v>
      </c>
    </row>
    <row r="89" spans="11:12" x14ac:dyDescent="0.4">
      <c r="K89" s="32">
        <v>87</v>
      </c>
      <c r="L89" s="91">
        <v>368.40000000000015</v>
      </c>
    </row>
    <row r="90" spans="11:12" x14ac:dyDescent="0.4">
      <c r="K90" s="32">
        <v>88</v>
      </c>
      <c r="L90" s="91">
        <v>367.80000000000013</v>
      </c>
    </row>
    <row r="91" spans="11:12" x14ac:dyDescent="0.4">
      <c r="K91" s="32">
        <v>89</v>
      </c>
      <c r="L91" s="91">
        <v>394.2000000000001</v>
      </c>
    </row>
    <row r="92" spans="11:12" x14ac:dyDescent="0.4">
      <c r="K92" s="32">
        <v>90</v>
      </c>
      <c r="L92" s="91">
        <v>403.90000000000009</v>
      </c>
    </row>
    <row r="93" spans="11:12" x14ac:dyDescent="0.4">
      <c r="K93" s="32">
        <v>91</v>
      </c>
      <c r="L93" s="91">
        <v>425.00000000000011</v>
      </c>
    </row>
    <row r="94" spans="11:12" x14ac:dyDescent="0.4">
      <c r="K94" s="32">
        <v>92</v>
      </c>
      <c r="L94" s="91">
        <v>468.10000000000014</v>
      </c>
    </row>
    <row r="95" spans="11:12" x14ac:dyDescent="0.4">
      <c r="K95" s="32">
        <v>93</v>
      </c>
      <c r="L95" s="91">
        <v>462.10000000000014</v>
      </c>
    </row>
    <row r="96" spans="11:12" x14ac:dyDescent="0.4">
      <c r="K96" s="32">
        <v>94</v>
      </c>
      <c r="L96" s="91">
        <v>424.60000000000014</v>
      </c>
    </row>
    <row r="97" spans="11:12" x14ac:dyDescent="0.4">
      <c r="K97" s="32">
        <v>95</v>
      </c>
      <c r="L97" s="91">
        <v>385.10000000000014</v>
      </c>
    </row>
    <row r="98" spans="11:12" x14ac:dyDescent="0.4">
      <c r="K98" s="32">
        <v>96</v>
      </c>
      <c r="L98" s="91">
        <v>396.20000000000016</v>
      </c>
    </row>
    <row r="99" spans="11:12" x14ac:dyDescent="0.4">
      <c r="K99" s="32">
        <v>97</v>
      </c>
      <c r="L99" s="91">
        <v>394.20000000000016</v>
      </c>
    </row>
    <row r="100" spans="11:12" x14ac:dyDescent="0.4">
      <c r="K100" s="32">
        <v>98</v>
      </c>
      <c r="L100" s="91">
        <v>437.70000000000016</v>
      </c>
    </row>
    <row r="101" spans="11:12" x14ac:dyDescent="0.4">
      <c r="K101" s="32">
        <v>99</v>
      </c>
      <c r="L101" s="91">
        <v>432.10000000000014</v>
      </c>
    </row>
    <row r="102" spans="11:12" x14ac:dyDescent="0.4">
      <c r="K102" s="32">
        <v>100</v>
      </c>
      <c r="L102" s="91">
        <v>424.70000000000016</v>
      </c>
    </row>
    <row r="103" spans="11:12" x14ac:dyDescent="0.4">
      <c r="K103" s="32">
        <v>101</v>
      </c>
      <c r="L103" s="91">
        <v>386.70000000000016</v>
      </c>
    </row>
    <row r="104" spans="11:12" x14ac:dyDescent="0.4">
      <c r="K104" s="32">
        <v>102</v>
      </c>
      <c r="L104" s="91">
        <v>367.90000000000015</v>
      </c>
    </row>
    <row r="105" spans="11:12" x14ac:dyDescent="0.4">
      <c r="K105" s="32">
        <v>103</v>
      </c>
      <c r="L105" s="91">
        <v>394.90000000000015</v>
      </c>
    </row>
    <row r="106" spans="11:12" x14ac:dyDescent="0.4">
      <c r="K106" s="32">
        <v>104</v>
      </c>
      <c r="L106" s="91">
        <v>439.50000000000017</v>
      </c>
    </row>
    <row r="107" spans="11:12" x14ac:dyDescent="0.4">
      <c r="K107" s="32">
        <v>105</v>
      </c>
      <c r="L107" s="91">
        <v>446.50000000000017</v>
      </c>
    </row>
    <row r="108" spans="11:12" x14ac:dyDescent="0.4">
      <c r="K108" s="32">
        <v>106</v>
      </c>
      <c r="L108" s="91">
        <v>435.20000000000016</v>
      </c>
    </row>
    <row r="109" spans="11:12" x14ac:dyDescent="0.4">
      <c r="K109" s="32">
        <v>107</v>
      </c>
      <c r="L109" s="91">
        <v>419.70000000000016</v>
      </c>
    </row>
    <row r="110" spans="11:12" x14ac:dyDescent="0.4">
      <c r="K110" s="32">
        <v>108</v>
      </c>
      <c r="L110" s="91">
        <v>400.40000000000015</v>
      </c>
    </row>
    <row r="111" spans="11:12" x14ac:dyDescent="0.4">
      <c r="K111" s="32">
        <v>109</v>
      </c>
      <c r="L111" s="91">
        <v>424.40000000000015</v>
      </c>
    </row>
    <row r="112" spans="11:12" x14ac:dyDescent="0.4">
      <c r="K112" s="32">
        <v>110</v>
      </c>
      <c r="L112" s="91">
        <v>443.90000000000015</v>
      </c>
    </row>
    <row r="113" spans="11:12" x14ac:dyDescent="0.4">
      <c r="K113" s="32">
        <v>111</v>
      </c>
      <c r="L113" s="91">
        <v>438.50000000000017</v>
      </c>
    </row>
    <row r="114" spans="11:12" x14ac:dyDescent="0.4">
      <c r="K114" s="32">
        <v>112</v>
      </c>
      <c r="L114" s="91">
        <v>494.50000000000017</v>
      </c>
    </row>
    <row r="115" spans="11:12" x14ac:dyDescent="0.4">
      <c r="K115" s="32">
        <v>113</v>
      </c>
      <c r="L115" s="91">
        <v>511.60000000000019</v>
      </c>
    </row>
    <row r="116" spans="11:12" x14ac:dyDescent="0.4">
      <c r="K116" s="32">
        <v>114</v>
      </c>
      <c r="L116" s="91">
        <v>473.60000000000019</v>
      </c>
    </row>
    <row r="117" spans="11:12" x14ac:dyDescent="0.4">
      <c r="K117" s="32">
        <v>115</v>
      </c>
      <c r="L117" s="91">
        <v>490.10000000000019</v>
      </c>
    </row>
    <row r="118" spans="11:12" x14ac:dyDescent="0.4">
      <c r="K118" s="32">
        <v>116</v>
      </c>
      <c r="L118" s="91">
        <v>505.4000000000002</v>
      </c>
    </row>
    <row r="119" spans="11:12" x14ac:dyDescent="0.4">
      <c r="K119" s="32">
        <v>117</v>
      </c>
      <c r="L119" s="91">
        <v>517.00000000000023</v>
      </c>
    </row>
    <row r="120" spans="11:12" x14ac:dyDescent="0.4">
      <c r="K120" s="32">
        <v>118</v>
      </c>
      <c r="L120" s="91">
        <v>533.9000000000002</v>
      </c>
    </row>
    <row r="121" spans="11:12" x14ac:dyDescent="0.4">
      <c r="K121" s="32">
        <v>119</v>
      </c>
      <c r="L121" s="91">
        <v>496.4000000000002</v>
      </c>
    </row>
    <row r="122" spans="11:12" x14ac:dyDescent="0.4">
      <c r="K122" s="32">
        <v>120</v>
      </c>
      <c r="L122" s="91">
        <v>534.9000000000002</v>
      </c>
    </row>
    <row r="123" spans="11:12" x14ac:dyDescent="0.4">
      <c r="K123" s="32">
        <v>121</v>
      </c>
      <c r="L123" s="91">
        <v>488.4000000000002</v>
      </c>
    </row>
    <row r="124" spans="11:12" x14ac:dyDescent="0.4">
      <c r="K124" s="32">
        <v>122</v>
      </c>
      <c r="L124" s="91">
        <v>501.60000000000019</v>
      </c>
    </row>
    <row r="125" spans="11:12" x14ac:dyDescent="0.4">
      <c r="K125" s="32">
        <v>123</v>
      </c>
      <c r="L125" s="91">
        <v>482.10000000000019</v>
      </c>
    </row>
    <row r="126" spans="11:12" x14ac:dyDescent="0.4">
      <c r="K126" s="32">
        <v>124</v>
      </c>
      <c r="L126" s="91">
        <v>523.50000000000023</v>
      </c>
    </row>
    <row r="127" spans="11:12" x14ac:dyDescent="0.4">
      <c r="K127" s="32">
        <v>125</v>
      </c>
      <c r="L127" s="91">
        <v>550.60000000000025</v>
      </c>
    </row>
    <row r="128" spans="11:12" x14ac:dyDescent="0.4">
      <c r="K128" s="32">
        <v>126</v>
      </c>
      <c r="L128" s="91">
        <v>559.10000000000025</v>
      </c>
    </row>
    <row r="129" spans="11:12" x14ac:dyDescent="0.4">
      <c r="K129" s="32">
        <v>127</v>
      </c>
      <c r="L129" s="91">
        <v>602.4000000000002</v>
      </c>
    </row>
    <row r="130" spans="11:12" x14ac:dyDescent="0.4">
      <c r="K130" s="32">
        <v>128</v>
      </c>
      <c r="L130" s="91">
        <v>628.4000000000002</v>
      </c>
    </row>
    <row r="131" spans="11:12" x14ac:dyDescent="0.4">
      <c r="K131" s="32">
        <v>129</v>
      </c>
      <c r="L131" s="91">
        <v>639.4000000000002</v>
      </c>
    </row>
    <row r="132" spans="11:12" x14ac:dyDescent="0.4">
      <c r="K132" s="32">
        <v>130</v>
      </c>
      <c r="L132" s="91">
        <v>680.4000000000002</v>
      </c>
    </row>
    <row r="133" spans="11:12" x14ac:dyDescent="0.4">
      <c r="K133" s="32">
        <v>131</v>
      </c>
      <c r="L133" s="91">
        <v>660.60000000000025</v>
      </c>
    </row>
    <row r="134" spans="11:12" x14ac:dyDescent="0.4">
      <c r="K134" s="32">
        <v>132</v>
      </c>
      <c r="L134" s="91">
        <v>698.20000000000027</v>
      </c>
    </row>
    <row r="135" spans="11:12" x14ac:dyDescent="0.4">
      <c r="K135" s="32">
        <v>133</v>
      </c>
      <c r="L135" s="91">
        <v>706.00000000000023</v>
      </c>
    </row>
    <row r="136" spans="11:12" x14ac:dyDescent="0.4">
      <c r="K136" s="32">
        <v>134</v>
      </c>
      <c r="L136" s="91">
        <v>774.10000000000025</v>
      </c>
    </row>
    <row r="137" spans="11:12" x14ac:dyDescent="0.4">
      <c r="K137" s="32">
        <v>135</v>
      </c>
      <c r="L137" s="91">
        <v>779.3000000000003</v>
      </c>
    </row>
    <row r="138" spans="11:12" x14ac:dyDescent="0.4">
      <c r="K138" s="32">
        <v>136</v>
      </c>
      <c r="L138" s="91">
        <v>795.50000000000034</v>
      </c>
    </row>
    <row r="139" spans="11:12" x14ac:dyDescent="0.4">
      <c r="K139" s="32">
        <v>137</v>
      </c>
      <c r="L139" s="91">
        <v>819.70000000000039</v>
      </c>
    </row>
    <row r="140" spans="11:12" x14ac:dyDescent="0.4">
      <c r="K140" s="32">
        <v>138</v>
      </c>
      <c r="L140" s="91">
        <v>840.30000000000041</v>
      </c>
    </row>
    <row r="141" spans="11:12" x14ac:dyDescent="0.4">
      <c r="K141" s="32">
        <v>139</v>
      </c>
      <c r="L141" s="91">
        <v>847.60000000000036</v>
      </c>
    </row>
    <row r="142" spans="11:12" x14ac:dyDescent="0.4">
      <c r="K142" s="32">
        <v>140</v>
      </c>
      <c r="L142" s="91">
        <v>852.40000000000032</v>
      </c>
    </row>
    <row r="143" spans="11:12" x14ac:dyDescent="0.4">
      <c r="K143" s="32">
        <v>141</v>
      </c>
      <c r="L143" s="91">
        <v>856.50000000000034</v>
      </c>
    </row>
    <row r="144" spans="11:12" x14ac:dyDescent="0.4">
      <c r="K144" s="32">
        <v>142</v>
      </c>
      <c r="L144" s="91">
        <v>844.50000000000034</v>
      </c>
    </row>
    <row r="145" spans="11:12" x14ac:dyDescent="0.4">
      <c r="K145" s="32">
        <v>143</v>
      </c>
      <c r="L145" s="91">
        <v>857.00000000000034</v>
      </c>
    </row>
    <row r="146" spans="11:12" x14ac:dyDescent="0.4">
      <c r="K146" s="32">
        <v>144</v>
      </c>
      <c r="L146" s="91">
        <v>844.10000000000036</v>
      </c>
    </row>
    <row r="147" spans="11:12" x14ac:dyDescent="0.4">
      <c r="K147" s="32">
        <v>145</v>
      </c>
      <c r="L147" s="91">
        <v>859.70000000000039</v>
      </c>
    </row>
    <row r="148" spans="11:12" x14ac:dyDescent="0.4">
      <c r="K148" s="32">
        <v>146</v>
      </c>
      <c r="L148" s="91">
        <v>875.30000000000041</v>
      </c>
    </row>
    <row r="149" spans="11:12" x14ac:dyDescent="0.4">
      <c r="K149" s="32">
        <v>147</v>
      </c>
      <c r="L149" s="91">
        <v>839.30000000000041</v>
      </c>
    </row>
    <row r="150" spans="11:12" x14ac:dyDescent="0.4">
      <c r="K150" s="32">
        <v>148</v>
      </c>
      <c r="L150" s="91">
        <v>809.70000000000039</v>
      </c>
    </row>
    <row r="151" spans="11:12" x14ac:dyDescent="0.4">
      <c r="K151" s="32">
        <v>149</v>
      </c>
      <c r="L151" s="91">
        <v>816.50000000000034</v>
      </c>
    </row>
    <row r="152" spans="11:12" x14ac:dyDescent="0.4">
      <c r="K152" s="32">
        <v>150</v>
      </c>
      <c r="L152" s="91">
        <v>802.50000000000034</v>
      </c>
    </row>
    <row r="153" spans="11:12" x14ac:dyDescent="0.4">
      <c r="K153" s="32">
        <v>151</v>
      </c>
      <c r="L153" s="91">
        <v>792.50000000000034</v>
      </c>
    </row>
    <row r="154" spans="11:12" x14ac:dyDescent="0.4">
      <c r="K154" s="32">
        <v>152</v>
      </c>
      <c r="L154" s="91">
        <v>837.10000000000036</v>
      </c>
    </row>
    <row r="155" spans="11:12" x14ac:dyDescent="0.4">
      <c r="K155" s="32">
        <v>153</v>
      </c>
      <c r="L155" s="91">
        <v>832.40000000000032</v>
      </c>
    </row>
    <row r="156" spans="11:12" x14ac:dyDescent="0.4">
      <c r="K156" s="32">
        <v>154</v>
      </c>
      <c r="L156" s="91">
        <v>846.8000000000003</v>
      </c>
    </row>
    <row r="157" spans="11:12" x14ac:dyDescent="0.4">
      <c r="K157" s="32">
        <v>155</v>
      </c>
      <c r="L157" s="91">
        <v>832.8000000000003</v>
      </c>
    </row>
    <row r="158" spans="11:12" x14ac:dyDescent="0.4">
      <c r="K158" s="32">
        <v>156</v>
      </c>
      <c r="L158" s="91">
        <v>839.90000000000032</v>
      </c>
    </row>
    <row r="159" spans="11:12" x14ac:dyDescent="0.4">
      <c r="K159" s="32">
        <v>157</v>
      </c>
      <c r="L159" s="91">
        <v>859.60000000000036</v>
      </c>
    </row>
    <row r="160" spans="11:12" x14ac:dyDescent="0.4">
      <c r="K160" s="32">
        <v>158</v>
      </c>
      <c r="L160" s="91">
        <v>883.40000000000032</v>
      </c>
    </row>
    <row r="161" spans="11:12" x14ac:dyDescent="0.4">
      <c r="K161" s="32">
        <v>159</v>
      </c>
      <c r="L161" s="91">
        <v>878.60000000000036</v>
      </c>
    </row>
    <row r="162" spans="11:12" x14ac:dyDescent="0.4">
      <c r="K162" s="32">
        <v>160</v>
      </c>
      <c r="L162" s="91">
        <v>911.10000000000036</v>
      </c>
    </row>
    <row r="163" spans="11:12" x14ac:dyDescent="0.4">
      <c r="K163" s="32">
        <v>161</v>
      </c>
      <c r="L163" s="91">
        <v>928.20000000000039</v>
      </c>
    </row>
    <row r="164" spans="11:12" x14ac:dyDescent="0.4">
      <c r="K164" s="32">
        <v>162</v>
      </c>
      <c r="L164" s="91">
        <v>940.50000000000034</v>
      </c>
    </row>
    <row r="165" spans="11:12" x14ac:dyDescent="0.4">
      <c r="K165" s="32">
        <v>163</v>
      </c>
      <c r="L165" s="91">
        <v>964.8000000000003</v>
      </c>
    </row>
    <row r="166" spans="11:12" x14ac:dyDescent="0.4">
      <c r="K166" s="32">
        <v>164</v>
      </c>
      <c r="L166" s="91">
        <v>952.60000000000025</v>
      </c>
    </row>
    <row r="167" spans="11:12" x14ac:dyDescent="0.4">
      <c r="K167" s="32">
        <v>165</v>
      </c>
      <c r="L167" s="91">
        <v>950.60000000000025</v>
      </c>
    </row>
    <row r="168" spans="11:12" x14ac:dyDescent="0.4">
      <c r="K168" s="32">
        <v>166</v>
      </c>
      <c r="L168" s="91">
        <v>910.00000000000023</v>
      </c>
    </row>
    <row r="169" spans="11:12" x14ac:dyDescent="0.4">
      <c r="K169" s="32">
        <v>167</v>
      </c>
      <c r="L169" s="91">
        <v>931.70000000000027</v>
      </c>
    </row>
    <row r="170" spans="11:12" x14ac:dyDescent="0.4">
      <c r="K170" s="32">
        <v>168</v>
      </c>
      <c r="L170" s="91">
        <v>972.40000000000032</v>
      </c>
    </row>
    <row r="171" spans="11:12" x14ac:dyDescent="0.4">
      <c r="K171" s="32">
        <v>169</v>
      </c>
      <c r="L171" s="91">
        <v>980.40000000000032</v>
      </c>
    </row>
    <row r="172" spans="11:12" x14ac:dyDescent="0.4">
      <c r="K172" s="32">
        <v>170</v>
      </c>
      <c r="L172" s="91">
        <v>988.10000000000036</v>
      </c>
    </row>
    <row r="173" spans="11:12" x14ac:dyDescent="0.4">
      <c r="K173" s="32">
        <v>171</v>
      </c>
      <c r="L173" s="91">
        <v>919.10000000000036</v>
      </c>
    </row>
    <row r="174" spans="11:12" x14ac:dyDescent="0.4">
      <c r="K174" s="32">
        <v>172</v>
      </c>
      <c r="L174" s="91">
        <v>916.10000000000036</v>
      </c>
    </row>
    <row r="175" spans="11:12" x14ac:dyDescent="0.4">
      <c r="K175" s="32">
        <v>173</v>
      </c>
      <c r="L175" s="91">
        <v>913.50000000000034</v>
      </c>
    </row>
    <row r="176" spans="11:12" x14ac:dyDescent="0.4">
      <c r="K176" s="32">
        <v>174</v>
      </c>
      <c r="L176" s="91">
        <v>972.50000000000034</v>
      </c>
    </row>
    <row r="177" spans="11:12" x14ac:dyDescent="0.4">
      <c r="K177" s="32">
        <v>175</v>
      </c>
      <c r="L177" s="91">
        <v>972.50000000000034</v>
      </c>
    </row>
    <row r="178" spans="11:12" x14ac:dyDescent="0.4">
      <c r="K178" s="32">
        <v>176</v>
      </c>
      <c r="L178" s="91">
        <v>952.00000000000034</v>
      </c>
    </row>
    <row r="179" spans="11:12" x14ac:dyDescent="0.4">
      <c r="K179" s="32">
        <v>177</v>
      </c>
      <c r="L179" s="91">
        <v>948.60000000000036</v>
      </c>
    </row>
    <row r="180" spans="11:12" x14ac:dyDescent="0.4">
      <c r="K180" s="32">
        <v>178</v>
      </c>
      <c r="L180" s="91">
        <v>988.10000000000036</v>
      </c>
    </row>
    <row r="181" spans="11:12" x14ac:dyDescent="0.4">
      <c r="K181" s="32">
        <v>179</v>
      </c>
      <c r="L181" s="91">
        <v>1049.1000000000004</v>
      </c>
    </row>
    <row r="182" spans="11:12" x14ac:dyDescent="0.4">
      <c r="K182" s="32">
        <v>180</v>
      </c>
      <c r="L182" s="91">
        <v>1060.8000000000004</v>
      </c>
    </row>
    <row r="183" spans="11:12" x14ac:dyDescent="0.4">
      <c r="K183" s="32">
        <v>181</v>
      </c>
      <c r="L183" s="91">
        <v>1076.9000000000003</v>
      </c>
    </row>
    <row r="184" spans="11:12" x14ac:dyDescent="0.4">
      <c r="K184" s="32">
        <v>182</v>
      </c>
      <c r="L184" s="91">
        <v>1134.4000000000003</v>
      </c>
    </row>
    <row r="185" spans="11:12" x14ac:dyDescent="0.4">
      <c r="K185" s="32">
        <v>183</v>
      </c>
      <c r="L185" s="91">
        <v>1121.9000000000003</v>
      </c>
    </row>
    <row r="186" spans="11:12" x14ac:dyDescent="0.4">
      <c r="K186" s="32">
        <v>184</v>
      </c>
      <c r="L186" s="91">
        <v>1132.6000000000004</v>
      </c>
    </row>
    <row r="187" spans="11:12" x14ac:dyDescent="0.4">
      <c r="K187" s="32">
        <v>185</v>
      </c>
      <c r="L187" s="91">
        <v>1163.7000000000003</v>
      </c>
    </row>
    <row r="188" spans="11:12" x14ac:dyDescent="0.4">
      <c r="K188" s="32">
        <v>186</v>
      </c>
      <c r="L188" s="91">
        <v>1173.9000000000003</v>
      </c>
    </row>
    <row r="189" spans="11:12" x14ac:dyDescent="0.4">
      <c r="K189" s="32">
        <v>187</v>
      </c>
      <c r="L189" s="91">
        <v>1182.2000000000003</v>
      </c>
    </row>
    <row r="190" spans="11:12" x14ac:dyDescent="0.4">
      <c r="K190" s="32">
        <v>188</v>
      </c>
      <c r="L190" s="91">
        <v>1180.3000000000002</v>
      </c>
    </row>
    <row r="191" spans="11:12" x14ac:dyDescent="0.4">
      <c r="K191" s="32">
        <v>189</v>
      </c>
      <c r="L191" s="91">
        <v>1180.8000000000002</v>
      </c>
    </row>
    <row r="192" spans="11:12" x14ac:dyDescent="0.4">
      <c r="K192" s="32">
        <v>190</v>
      </c>
      <c r="L192" s="91">
        <v>1228.8000000000002</v>
      </c>
    </row>
    <row r="193" spans="11:12" x14ac:dyDescent="0.4">
      <c r="K193" s="32">
        <v>191</v>
      </c>
      <c r="L193" s="91">
        <v>1251.6000000000001</v>
      </c>
    </row>
    <row r="194" spans="11:12" x14ac:dyDescent="0.4">
      <c r="K194" s="32">
        <v>192</v>
      </c>
      <c r="L194" s="91">
        <v>1257.6000000000001</v>
      </c>
    </row>
    <row r="195" spans="11:12" x14ac:dyDescent="0.4">
      <c r="K195" s="32">
        <v>193</v>
      </c>
      <c r="L195" s="91">
        <v>1240.6000000000001</v>
      </c>
    </row>
    <row r="196" spans="11:12" x14ac:dyDescent="0.4">
      <c r="K196" s="32">
        <v>194</v>
      </c>
      <c r="L196" s="91">
        <v>1221.7</v>
      </c>
    </row>
    <row r="197" spans="11:12" x14ac:dyDescent="0.4">
      <c r="K197" s="32">
        <v>195</v>
      </c>
      <c r="L197" s="91">
        <v>1258.4000000000001</v>
      </c>
    </row>
    <row r="198" spans="11:12" x14ac:dyDescent="0.4">
      <c r="K198" s="32">
        <v>196</v>
      </c>
      <c r="L198" s="91">
        <v>1270.8000000000002</v>
      </c>
    </row>
    <row r="199" spans="11:12" x14ac:dyDescent="0.4">
      <c r="K199" s="32">
        <v>197</v>
      </c>
      <c r="L199" s="91">
        <v>1284.8000000000002</v>
      </c>
    </row>
    <row r="200" spans="11:12" x14ac:dyDescent="0.4">
      <c r="K200" s="32">
        <v>198</v>
      </c>
      <c r="L200" s="91">
        <v>1291.6000000000001</v>
      </c>
    </row>
    <row r="201" spans="11:12" x14ac:dyDescent="0.4">
      <c r="K201" s="32">
        <v>199</v>
      </c>
      <c r="L201" s="91">
        <v>1284.0000000000002</v>
      </c>
    </row>
    <row r="202" spans="11:12" x14ac:dyDescent="0.4">
      <c r="K202" s="32">
        <v>200</v>
      </c>
      <c r="L202" s="91">
        <v>1297.7000000000003</v>
      </c>
    </row>
    <row r="203" spans="11:12" x14ac:dyDescent="0.4">
      <c r="K203" s="32">
        <v>201</v>
      </c>
      <c r="L203" s="91">
        <v>1298.0000000000002</v>
      </c>
    </row>
    <row r="204" spans="11:12" x14ac:dyDescent="0.4">
      <c r="K204" s="32">
        <v>202</v>
      </c>
      <c r="L204" s="91">
        <v>1292.6000000000001</v>
      </c>
    </row>
    <row r="205" spans="11:12" x14ac:dyDescent="0.4">
      <c r="K205" s="32">
        <v>203</v>
      </c>
      <c r="L205" s="91">
        <v>1249.4000000000001</v>
      </c>
    </row>
    <row r="206" spans="11:12" x14ac:dyDescent="0.4">
      <c r="K206" s="32">
        <v>204</v>
      </c>
      <c r="L206" s="91">
        <v>1267.6000000000001</v>
      </c>
    </row>
    <row r="207" spans="11:12" x14ac:dyDescent="0.4">
      <c r="K207" s="32">
        <v>205</v>
      </c>
      <c r="L207" s="91">
        <v>1290.4000000000001</v>
      </c>
    </row>
    <row r="208" spans="11:12" x14ac:dyDescent="0.4">
      <c r="K208" s="32">
        <v>206</v>
      </c>
      <c r="L208" s="91">
        <v>1298.5</v>
      </c>
    </row>
    <row r="209" spans="11:12" x14ac:dyDescent="0.4">
      <c r="K209" s="32">
        <v>207</v>
      </c>
      <c r="L209" s="91">
        <v>1303.5</v>
      </c>
    </row>
    <row r="210" spans="11:12" x14ac:dyDescent="0.4">
      <c r="K210" s="32">
        <v>208</v>
      </c>
      <c r="L210" s="91">
        <v>1264.5</v>
      </c>
    </row>
    <row r="211" spans="11:12" x14ac:dyDescent="0.4">
      <c r="K211" s="32">
        <v>209</v>
      </c>
      <c r="L211" s="91">
        <v>1272.7</v>
      </c>
    </row>
    <row r="212" spans="11:12" x14ac:dyDescent="0.4">
      <c r="K212" s="32">
        <v>210</v>
      </c>
      <c r="L212" s="91">
        <v>1285.7</v>
      </c>
    </row>
    <row r="213" spans="11:12" x14ac:dyDescent="0.4">
      <c r="K213" s="32">
        <v>211</v>
      </c>
      <c r="L213" s="91">
        <v>1295.8</v>
      </c>
    </row>
    <row r="214" spans="11:12" x14ac:dyDescent="0.4">
      <c r="K214" s="32">
        <v>212</v>
      </c>
      <c r="L214" s="91">
        <v>1317.5</v>
      </c>
    </row>
    <row r="215" spans="11:12" x14ac:dyDescent="0.4">
      <c r="K215" s="32">
        <v>213</v>
      </c>
      <c r="L215" s="91">
        <v>1277.0999999999999</v>
      </c>
    </row>
    <row r="216" spans="11:12" x14ac:dyDescent="0.4">
      <c r="K216" s="32">
        <v>214</v>
      </c>
      <c r="L216" s="91">
        <v>1329.1999999999998</v>
      </c>
    </row>
    <row r="217" spans="11:12" x14ac:dyDescent="0.4">
      <c r="K217" s="32">
        <v>215</v>
      </c>
      <c r="L217" s="91">
        <v>1333.6999999999998</v>
      </c>
    </row>
    <row r="218" spans="11:12" x14ac:dyDescent="0.4">
      <c r="K218" s="32">
        <v>216</v>
      </c>
      <c r="L218" s="91">
        <v>1318.6999999999998</v>
      </c>
    </row>
    <row r="219" spans="11:12" x14ac:dyDescent="0.4">
      <c r="K219" s="32">
        <v>217</v>
      </c>
      <c r="L219" s="91">
        <v>1326.4999999999998</v>
      </c>
    </row>
    <row r="220" spans="11:12" x14ac:dyDescent="0.4">
      <c r="K220" s="32">
        <v>218</v>
      </c>
      <c r="L220" s="91">
        <v>1345.0999999999997</v>
      </c>
    </row>
    <row r="221" spans="11:12" x14ac:dyDescent="0.4">
      <c r="K221" s="32">
        <v>219</v>
      </c>
      <c r="L221" s="91">
        <v>1351.2999999999997</v>
      </c>
    </row>
    <row r="222" spans="11:12" x14ac:dyDescent="0.4">
      <c r="K222" s="32">
        <v>220</v>
      </c>
      <c r="L222" s="91">
        <v>1363.8999999999996</v>
      </c>
    </row>
    <row r="223" spans="11:12" x14ac:dyDescent="0.4">
      <c r="K223" s="32">
        <v>221</v>
      </c>
      <c r="L223" s="91">
        <v>1377.2999999999997</v>
      </c>
    </row>
    <row r="224" spans="11:12" x14ac:dyDescent="0.4">
      <c r="K224" s="32">
        <v>222</v>
      </c>
      <c r="L224" s="91">
        <v>1383.3999999999996</v>
      </c>
    </row>
    <row r="225" spans="11:12" x14ac:dyDescent="0.4">
      <c r="K225" s="32">
        <v>223</v>
      </c>
      <c r="L225" s="91">
        <v>1450.0999999999997</v>
      </c>
    </row>
    <row r="226" spans="11:12" x14ac:dyDescent="0.4">
      <c r="K226" s="32">
        <v>224</v>
      </c>
      <c r="L226" s="91">
        <v>1411.9999999999998</v>
      </c>
    </row>
    <row r="227" spans="11:12" x14ac:dyDescent="0.4">
      <c r="K227" s="32">
        <v>225</v>
      </c>
      <c r="L227" s="91">
        <v>1434.9999999999998</v>
      </c>
    </row>
    <row r="228" spans="11:12" x14ac:dyDescent="0.4">
      <c r="K228" s="32">
        <v>226</v>
      </c>
      <c r="L228" s="91">
        <v>1444.4999999999998</v>
      </c>
    </row>
    <row r="229" spans="11:12" x14ac:dyDescent="0.4">
      <c r="K229" s="32">
        <v>227</v>
      </c>
      <c r="L229" s="91">
        <v>1449.4999999999998</v>
      </c>
    </row>
    <row r="230" spans="11:12" x14ac:dyDescent="0.4">
      <c r="K230" s="32">
        <v>228</v>
      </c>
      <c r="L230" s="91">
        <v>1457.2999999999997</v>
      </c>
    </row>
    <row r="231" spans="11:12" x14ac:dyDescent="0.4">
      <c r="K231" s="32">
        <v>229</v>
      </c>
      <c r="L231" s="91">
        <v>1499.5999999999997</v>
      </c>
    </row>
    <row r="232" spans="11:12" x14ac:dyDescent="0.4">
      <c r="K232" s="32">
        <v>230</v>
      </c>
      <c r="L232" s="91">
        <v>1540.2999999999997</v>
      </c>
    </row>
    <row r="233" spans="11:12" x14ac:dyDescent="0.4">
      <c r="K233" s="32">
        <v>231</v>
      </c>
      <c r="L233" s="91">
        <v>1540.3999999999996</v>
      </c>
    </row>
    <row r="234" spans="11:12" x14ac:dyDescent="0.4">
      <c r="K234" s="32">
        <v>232</v>
      </c>
      <c r="L234" s="91">
        <v>1552.5999999999997</v>
      </c>
    </row>
    <row r="235" spans="11:12" x14ac:dyDescent="0.4">
      <c r="K235" s="32">
        <v>233</v>
      </c>
      <c r="L235" s="91">
        <v>1562.0999999999997</v>
      </c>
    </row>
    <row r="236" spans="11:12" x14ac:dyDescent="0.4">
      <c r="K236" s="32">
        <v>234</v>
      </c>
      <c r="L236" s="91">
        <v>1589.2999999999997</v>
      </c>
    </row>
    <row r="237" spans="11:12" x14ac:dyDescent="0.4">
      <c r="K237" s="32">
        <v>235</v>
      </c>
      <c r="L237" s="91">
        <v>1576.6999999999998</v>
      </c>
    </row>
    <row r="238" spans="11:12" x14ac:dyDescent="0.4">
      <c r="K238" s="32">
        <v>236</v>
      </c>
      <c r="L238" s="91">
        <v>1584.1999999999998</v>
      </c>
    </row>
    <row r="239" spans="11:12" x14ac:dyDescent="0.4">
      <c r="K239" s="32">
        <v>237</v>
      </c>
      <c r="L239" s="91">
        <v>1591.9999999999998</v>
      </c>
    </row>
    <row r="240" spans="11:12" x14ac:dyDescent="0.4">
      <c r="K240" s="32">
        <v>238</v>
      </c>
      <c r="L240" s="91">
        <v>1638.8999999999999</v>
      </c>
    </row>
    <row r="241" spans="11:12" x14ac:dyDescent="0.4">
      <c r="K241" s="32">
        <v>239</v>
      </c>
      <c r="L241" s="91">
        <v>1645.1999999999998</v>
      </c>
    </row>
    <row r="242" spans="11:12" x14ac:dyDescent="0.4">
      <c r="K242" s="32">
        <v>240</v>
      </c>
      <c r="L242" s="91">
        <v>1669.4999999999998</v>
      </c>
    </row>
    <row r="243" spans="11:12" x14ac:dyDescent="0.4">
      <c r="K243" s="32">
        <v>241</v>
      </c>
      <c r="L243" s="91">
        <v>1659.0999999999997</v>
      </c>
    </row>
    <row r="244" spans="11:12" x14ac:dyDescent="0.4">
      <c r="K244" s="32">
        <v>242</v>
      </c>
      <c r="L244" s="91">
        <v>1658.0999999999997</v>
      </c>
    </row>
    <row r="245" spans="11:12" x14ac:dyDescent="0.4">
      <c r="K245" s="32">
        <v>243</v>
      </c>
      <c r="L245" s="91">
        <v>1677.8999999999996</v>
      </c>
    </row>
    <row r="246" spans="11:12" x14ac:dyDescent="0.4">
      <c r="K246" s="32">
        <v>244</v>
      </c>
      <c r="L246" s="91">
        <v>1705.5999999999997</v>
      </c>
    </row>
    <row r="247" spans="11:12" x14ac:dyDescent="0.4">
      <c r="K247" s="32">
        <v>245</v>
      </c>
      <c r="L247" s="91">
        <v>1713.0999999999997</v>
      </c>
    </row>
    <row r="248" spans="11:12" x14ac:dyDescent="0.4">
      <c r="K248" s="32">
        <v>246</v>
      </c>
      <c r="L248" s="91">
        <v>1744.5999999999997</v>
      </c>
    </row>
    <row r="249" spans="11:12" x14ac:dyDescent="0.4">
      <c r="K249" s="32">
        <v>247</v>
      </c>
      <c r="L249" s="91">
        <v>1797.0999999999997</v>
      </c>
    </row>
    <row r="250" spans="11:12" x14ac:dyDescent="0.4">
      <c r="K250" s="32">
        <v>248</v>
      </c>
      <c r="L250" s="91">
        <v>1790.8999999999996</v>
      </c>
    </row>
    <row r="251" spans="11:12" x14ac:dyDescent="0.4">
      <c r="K251" s="32">
        <v>249</v>
      </c>
      <c r="L251" s="91">
        <v>1782.0999999999997</v>
      </c>
    </row>
    <row r="252" spans="11:12" x14ac:dyDescent="0.4">
      <c r="K252" s="32">
        <v>250</v>
      </c>
      <c r="L252" s="91">
        <v>1800.5999999999997</v>
      </c>
    </row>
    <row r="253" spans="11:12" x14ac:dyDescent="0.4">
      <c r="K253" s="32">
        <v>251</v>
      </c>
      <c r="L253" s="91">
        <v>1833.6999999999996</v>
      </c>
    </row>
    <row r="254" spans="11:12" x14ac:dyDescent="0.4">
      <c r="K254" s="32">
        <v>252</v>
      </c>
      <c r="L254" s="91">
        <v>1901.6999999999996</v>
      </c>
    </row>
    <row r="255" spans="11:12" x14ac:dyDescent="0.4">
      <c r="K255" s="32">
        <v>253</v>
      </c>
      <c r="L255" s="91">
        <v>1879.7999999999995</v>
      </c>
    </row>
    <row r="256" spans="11:12" x14ac:dyDescent="0.4">
      <c r="K256" s="32">
        <v>254</v>
      </c>
      <c r="L256" s="91">
        <v>1888.7999999999995</v>
      </c>
    </row>
    <row r="257" spans="11:12" x14ac:dyDescent="0.4">
      <c r="K257" s="32">
        <v>255</v>
      </c>
      <c r="L257" s="91">
        <v>1915.3999999999994</v>
      </c>
    </row>
    <row r="258" spans="11:12" x14ac:dyDescent="0.4">
      <c r="K258" s="32">
        <v>256</v>
      </c>
      <c r="L258" s="91">
        <v>1935.3999999999994</v>
      </c>
    </row>
    <row r="259" spans="11:12" x14ac:dyDescent="0.4">
      <c r="K259" s="32">
        <v>257</v>
      </c>
      <c r="L259" s="91">
        <v>1889.9999999999993</v>
      </c>
    </row>
  </sheetData>
  <sortState xmlns:xlrd2="http://schemas.microsoft.com/office/spreadsheetml/2017/richdata2" ref="E2:I260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A5D-9AB0-4C1D-B28E-B2C41163C4D0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200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4</v>
      </c>
      <c r="C2" s="147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-9250</v>
      </c>
      <c r="P2" s="109">
        <v>4</v>
      </c>
      <c r="Q2" s="93">
        <v>-37000</v>
      </c>
    </row>
    <row r="3" spans="1:17" x14ac:dyDescent="0.4">
      <c r="A3" s="47" t="s">
        <v>8</v>
      </c>
      <c r="B3" s="148">
        <v>25</v>
      </c>
      <c r="C3" s="149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1"/>
        <v>-7225</v>
      </c>
      <c r="P3" s="110">
        <v>4</v>
      </c>
      <c r="Q3" s="94">
        <v>-28900</v>
      </c>
    </row>
    <row r="4" spans="1:17" x14ac:dyDescent="0.4">
      <c r="A4" s="47" t="s">
        <v>6</v>
      </c>
      <c r="B4" s="150">
        <v>-132.1</v>
      </c>
      <c r="C4" s="151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1"/>
        <v>-10875</v>
      </c>
      <c r="P4" s="110">
        <v>4</v>
      </c>
      <c r="Q4" s="94">
        <v>-43500</v>
      </c>
    </row>
    <row r="5" spans="1:17" x14ac:dyDescent="0.4">
      <c r="A5" s="47" t="s">
        <v>7</v>
      </c>
      <c r="B5" s="152">
        <f>IF(B$2=0,0,B$4/B$2)</f>
        <v>-33.024999999999999</v>
      </c>
      <c r="C5" s="153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1"/>
        <v>-2850</v>
      </c>
      <c r="P5" s="110">
        <v>2</v>
      </c>
      <c r="Q5" s="94">
        <v>-5700</v>
      </c>
    </row>
    <row r="6" spans="1:17" x14ac:dyDescent="0.4">
      <c r="A6" s="47" t="s">
        <v>1</v>
      </c>
      <c r="B6" s="160">
        <f>IF(B$2=0,0,(B$7*1+B$8*2+B$9*3)/B$2)</f>
        <v>3</v>
      </c>
      <c r="C6" s="161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1"/>
        <v>-6000</v>
      </c>
      <c r="P6" s="110">
        <v>2</v>
      </c>
      <c r="Q6" s="94">
        <v>-12000</v>
      </c>
    </row>
    <row r="7" spans="1:17" x14ac:dyDescent="0.4">
      <c r="A7" s="47" t="s">
        <v>2</v>
      </c>
      <c r="B7" s="40">
        <v>0</v>
      </c>
      <c r="C7" s="33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>
        <v>14</v>
      </c>
      <c r="N7" s="107" t="s">
        <v>135</v>
      </c>
      <c r="O7" s="114">
        <f t="shared" si="1"/>
        <v>-5000</v>
      </c>
      <c r="P7" s="111">
        <v>1</v>
      </c>
      <c r="Q7" s="95">
        <v>-5000</v>
      </c>
    </row>
    <row r="8" spans="1:17" x14ac:dyDescent="0.4">
      <c r="A8" s="47" t="s">
        <v>3</v>
      </c>
      <c r="B8" s="40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>
        <v>13</v>
      </c>
      <c r="N8" s="37"/>
      <c r="O8" s="118"/>
      <c r="P8" s="102"/>
      <c r="Q8" s="100"/>
    </row>
    <row r="9" spans="1:17" x14ac:dyDescent="0.4">
      <c r="A9" s="48" t="s">
        <v>4</v>
      </c>
      <c r="B9" s="41">
        <v>4</v>
      </c>
      <c r="C9" s="34">
        <f t="shared" si="2"/>
        <v>1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">
      <c r="A12" s="48" t="s">
        <v>278</v>
      </c>
      <c r="B12" s="140">
        <f>IF(B9=0,0,C12/B9)</f>
        <v>-33.024999999999999</v>
      </c>
      <c r="C12" s="141">
        <v>-132.1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">
      <c r="A13" s="48" t="s">
        <v>279</v>
      </c>
      <c r="B13" s="152">
        <f>AVERAGE(B10:B12)</f>
        <v>-11.008333333333333</v>
      </c>
      <c r="C13" s="153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>
        <v>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2"/>
        <v>0.5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0</v>
      </c>
      <c r="C15" s="38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">
      <c r="A16" s="47" t="s">
        <v>118</v>
      </c>
      <c r="B16" s="40">
        <v>0</v>
      </c>
      <c r="C16" s="33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">
      <c r="A17" s="46" t="s">
        <v>123</v>
      </c>
      <c r="B17" s="39">
        <f>B23</f>
        <v>0</v>
      </c>
      <c r="C17" s="31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">
      <c r="A18" s="46" t="s">
        <v>124</v>
      </c>
      <c r="B18" s="39">
        <f>B24</f>
        <v>0</v>
      </c>
      <c r="C18" s="31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>
        <v>11</v>
      </c>
    </row>
    <row r="19" spans="1:17" x14ac:dyDescent="0.4">
      <c r="A19" s="46" t="s">
        <v>10</v>
      </c>
      <c r="B19" s="39">
        <f>B22+B21</f>
        <v>1</v>
      </c>
      <c r="C19" s="31">
        <f>IF(B$3=0,0,B19/B$3)</f>
        <v>0.04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>
        <v>3</v>
      </c>
    </row>
    <row r="20" spans="1:17" x14ac:dyDescent="0.4">
      <c r="A20" s="47" t="s">
        <v>13</v>
      </c>
      <c r="B20" s="40">
        <v>10</v>
      </c>
      <c r="C20" s="33">
        <f>IF(B$3=0,0,B20/B$3)</f>
        <v>0.4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1</v>
      </c>
      <c r="C21" s="33">
        <f>IF(B$19=0,0,B21/B$19)</f>
        <v>1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>
        <v>1</v>
      </c>
    </row>
    <row r="22" spans="1:17" x14ac:dyDescent="0.4">
      <c r="A22" s="47" t="s">
        <v>11</v>
      </c>
      <c r="B22" s="40">
        <v>0</v>
      </c>
      <c r="C22" s="33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>
        <v>12</v>
      </c>
    </row>
    <row r="23" spans="1:17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>
        <v>5</v>
      </c>
    </row>
    <row r="24" spans="1:17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>
        <v>6</v>
      </c>
    </row>
    <row r="25" spans="1:17" x14ac:dyDescent="0.4">
      <c r="A25" s="47" t="s">
        <v>188</v>
      </c>
      <c r="B25" s="40">
        <v>1</v>
      </c>
      <c r="C25" s="33">
        <f>IF(B$19=0,0,B25/B$19)</f>
        <v>1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>
        <v>14</v>
      </c>
    </row>
    <row r="26" spans="1:17" x14ac:dyDescent="0.4">
      <c r="A26" s="47" t="s">
        <v>5</v>
      </c>
      <c r="B26" s="44">
        <f>IF(B$19=0,0,C26/B$19)</f>
        <v>7800</v>
      </c>
      <c r="C26" s="35">
        <v>7800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7800</v>
      </c>
      <c r="C27" s="128">
        <v>7800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-8240</v>
      </c>
      <c r="C29" s="128">
        <v>-82400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1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4</v>
      </c>
      <c r="C31" s="126">
        <v>2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8">
        <v>0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56">
        <v>13000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0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54">
        <v>0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B8830-1B6C-4D39-99EC-86CF66D3A43D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201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4</v>
      </c>
      <c r="C2" s="147"/>
      <c r="E2" s="54" t="s">
        <v>66</v>
      </c>
      <c r="F2" s="51" t="s">
        <v>22</v>
      </c>
      <c r="G2" s="39">
        <v>5</v>
      </c>
      <c r="H2" s="123">
        <f t="shared" ref="H2:H33" si="0">IF(B$51=0,0,G2/B$51)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-7250</v>
      </c>
      <c r="P2" s="109">
        <v>4</v>
      </c>
      <c r="Q2" s="93">
        <v>-29000</v>
      </c>
    </row>
    <row r="3" spans="1:17" x14ac:dyDescent="0.4">
      <c r="A3" s="47" t="s">
        <v>8</v>
      </c>
      <c r="B3" s="148">
        <v>24</v>
      </c>
      <c r="C3" s="149"/>
      <c r="E3" s="55" t="s">
        <v>72</v>
      </c>
      <c r="F3" s="52" t="s">
        <v>27</v>
      </c>
      <c r="G3" s="40">
        <v>3</v>
      </c>
      <c r="H3" s="124">
        <f t="shared" si="0"/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1"/>
        <v>-3166.6666666666665</v>
      </c>
      <c r="P3" s="110">
        <v>3</v>
      </c>
      <c r="Q3" s="94">
        <v>-9500</v>
      </c>
    </row>
    <row r="4" spans="1:17" x14ac:dyDescent="0.4">
      <c r="A4" s="47" t="s">
        <v>6</v>
      </c>
      <c r="B4" s="150">
        <v>-15.5</v>
      </c>
      <c r="C4" s="151"/>
      <c r="E4" s="55" t="s">
        <v>64</v>
      </c>
      <c r="F4" s="52" t="s">
        <v>20</v>
      </c>
      <c r="G4" s="40">
        <v>2</v>
      </c>
      <c r="H4" s="124">
        <f t="shared" si="0"/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1"/>
        <v>-3666.6666666666665</v>
      </c>
      <c r="P4" s="110">
        <v>3</v>
      </c>
      <c r="Q4" s="94">
        <v>-11000</v>
      </c>
    </row>
    <row r="5" spans="1:17" x14ac:dyDescent="0.4">
      <c r="A5" s="47" t="s">
        <v>7</v>
      </c>
      <c r="B5" s="152">
        <f>IF(B$2=0,0,B$4/B$2)</f>
        <v>-3.875</v>
      </c>
      <c r="C5" s="153"/>
      <c r="E5" s="55" t="s">
        <v>67</v>
      </c>
      <c r="F5" s="52" t="s">
        <v>23</v>
      </c>
      <c r="G5" s="40">
        <v>2</v>
      </c>
      <c r="H5" s="124">
        <f t="shared" si="0"/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1"/>
        <v>4000</v>
      </c>
      <c r="P5" s="110">
        <v>2</v>
      </c>
      <c r="Q5" s="94">
        <v>8000</v>
      </c>
    </row>
    <row r="6" spans="1:17" x14ac:dyDescent="0.4">
      <c r="A6" s="47" t="s">
        <v>1</v>
      </c>
      <c r="B6" s="160">
        <f>IF(B$2=0,0,(B$7*1+B$8*2+B$9*3)/B$2)</f>
        <v>2</v>
      </c>
      <c r="C6" s="161"/>
      <c r="E6" s="55" t="s">
        <v>274</v>
      </c>
      <c r="F6" s="52" t="s">
        <v>275</v>
      </c>
      <c r="G6" s="40">
        <v>2</v>
      </c>
      <c r="H6" s="124">
        <f t="shared" si="0"/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1"/>
        <v>21500</v>
      </c>
      <c r="P6" s="110">
        <v>2</v>
      </c>
      <c r="Q6" s="94">
        <v>43000</v>
      </c>
    </row>
    <row r="7" spans="1:17" x14ac:dyDescent="0.4">
      <c r="A7" s="47" t="s">
        <v>2</v>
      </c>
      <c r="B7" s="40">
        <v>1</v>
      </c>
      <c r="C7" s="33">
        <f t="shared" ref="C7:C14" si="2">IF(B$2=0,0,B7/B$2)</f>
        <v>0.25</v>
      </c>
      <c r="E7" s="55" t="s">
        <v>89</v>
      </c>
      <c r="F7" s="52" t="s">
        <v>44</v>
      </c>
      <c r="G7" s="40">
        <v>2</v>
      </c>
      <c r="H7" s="124">
        <f t="shared" si="0"/>
        <v>0.5</v>
      </c>
      <c r="I7" s="86">
        <v>1</v>
      </c>
      <c r="N7" s="107" t="s">
        <v>135</v>
      </c>
      <c r="O7" s="114">
        <f t="shared" si="1"/>
        <v>-8500</v>
      </c>
      <c r="P7" s="111">
        <v>2</v>
      </c>
      <c r="Q7" s="95">
        <v>-17000</v>
      </c>
    </row>
    <row r="8" spans="1:17" x14ac:dyDescent="0.4">
      <c r="A8" s="47" t="s">
        <v>3</v>
      </c>
      <c r="B8" s="40">
        <v>2</v>
      </c>
      <c r="C8" s="33">
        <f t="shared" si="2"/>
        <v>0.5</v>
      </c>
      <c r="E8" s="55" t="s">
        <v>68</v>
      </c>
      <c r="F8" s="52" t="s">
        <v>12</v>
      </c>
      <c r="G8" s="40">
        <v>1</v>
      </c>
      <c r="H8" s="124">
        <f t="shared" si="0"/>
        <v>0.25</v>
      </c>
      <c r="I8" s="86">
        <v>10</v>
      </c>
      <c r="N8" s="37"/>
      <c r="O8" s="118"/>
      <c r="P8" s="102"/>
      <c r="Q8" s="100"/>
    </row>
    <row r="9" spans="1:17" x14ac:dyDescent="0.4">
      <c r="A9" s="48" t="s">
        <v>4</v>
      </c>
      <c r="B9" s="41">
        <v>1</v>
      </c>
      <c r="C9" s="34">
        <f t="shared" si="2"/>
        <v>0.25</v>
      </c>
      <c r="E9" s="55" t="s">
        <v>69</v>
      </c>
      <c r="F9" s="52" t="s">
        <v>24</v>
      </c>
      <c r="G9" s="40">
        <v>1</v>
      </c>
      <c r="H9" s="124">
        <f t="shared" si="0"/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11</v>
      </c>
      <c r="C10" s="141">
        <v>11</v>
      </c>
      <c r="E10" s="55" t="s">
        <v>71</v>
      </c>
      <c r="F10" s="52" t="s">
        <v>26</v>
      </c>
      <c r="G10" s="40">
        <v>1</v>
      </c>
      <c r="H10" s="124">
        <f t="shared" si="0"/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2.5</v>
      </c>
      <c r="C11" s="141">
        <v>5</v>
      </c>
      <c r="E11" s="55" t="s">
        <v>83</v>
      </c>
      <c r="F11" s="52" t="s">
        <v>38</v>
      </c>
      <c r="G11" s="40">
        <v>1</v>
      </c>
      <c r="H11" s="124">
        <f t="shared" si="0"/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">
      <c r="A12" s="48" t="s">
        <v>278</v>
      </c>
      <c r="B12" s="140">
        <f>IF(B9=0,0,C12/B9)</f>
        <v>-31.5</v>
      </c>
      <c r="C12" s="141">
        <v>-31.5</v>
      </c>
      <c r="E12" s="55" t="s">
        <v>86</v>
      </c>
      <c r="F12" s="52" t="s">
        <v>41</v>
      </c>
      <c r="G12" s="40">
        <v>1</v>
      </c>
      <c r="H12" s="124">
        <f t="shared" si="0"/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">
      <c r="A13" s="48" t="s">
        <v>279</v>
      </c>
      <c r="B13" s="152">
        <f>AVERAGE(B10:B12)</f>
        <v>-6</v>
      </c>
      <c r="C13" s="153"/>
      <c r="E13" s="55" t="s">
        <v>65</v>
      </c>
      <c r="F13" s="52" t="s">
        <v>21</v>
      </c>
      <c r="G13" s="40">
        <v>0</v>
      </c>
      <c r="H13" s="124">
        <f t="shared" si="0"/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70</v>
      </c>
      <c r="F14" s="52" t="s">
        <v>25</v>
      </c>
      <c r="G14" s="40">
        <v>0</v>
      </c>
      <c r="H14" s="124">
        <f t="shared" si="0"/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0.42105263157894735</v>
      </c>
      <c r="E15" s="55" t="s">
        <v>73</v>
      </c>
      <c r="F15" s="52" t="s">
        <v>28</v>
      </c>
      <c r="G15" s="40">
        <v>0</v>
      </c>
      <c r="H15" s="124">
        <f t="shared" si="0"/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">
      <c r="A16" s="47" t="s">
        <v>118</v>
      </c>
      <c r="B16" s="40">
        <v>2</v>
      </c>
      <c r="C16" s="33">
        <f>IF(B$50=0,0,B16/B$50)</f>
        <v>0.10526315789473684</v>
      </c>
      <c r="E16" s="55" t="s">
        <v>74</v>
      </c>
      <c r="F16" s="52" t="s">
        <v>29</v>
      </c>
      <c r="G16" s="40">
        <v>0</v>
      </c>
      <c r="H16" s="124">
        <f t="shared" si="0"/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">
      <c r="A17" s="46" t="s">
        <v>123</v>
      </c>
      <c r="B17" s="39">
        <f>B23</f>
        <v>2</v>
      </c>
      <c r="C17" s="31">
        <f>IF(B$15=0,0,B17/B$15)</f>
        <v>0.25</v>
      </c>
      <c r="E17" s="55" t="s">
        <v>75</v>
      </c>
      <c r="F17" s="52" t="s">
        <v>30</v>
      </c>
      <c r="G17" s="40">
        <v>0</v>
      </c>
      <c r="H17" s="124">
        <f t="shared" si="0"/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">
      <c r="A18" s="46" t="s">
        <v>124</v>
      </c>
      <c r="B18" s="39">
        <f>B24</f>
        <v>2</v>
      </c>
      <c r="C18" s="31">
        <f>IF(B$16=0,0,B18/B$16)</f>
        <v>1</v>
      </c>
      <c r="E18" s="55" t="s">
        <v>76</v>
      </c>
      <c r="F18" s="52" t="s">
        <v>31</v>
      </c>
      <c r="G18" s="40">
        <v>0</v>
      </c>
      <c r="H18" s="124">
        <f t="shared" si="0"/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">
      <c r="A19" s="46" t="s">
        <v>10</v>
      </c>
      <c r="B19" s="39">
        <f>B22+B21</f>
        <v>6</v>
      </c>
      <c r="C19" s="31">
        <f>IF(B$3=0,0,B19/B$3)</f>
        <v>0.25</v>
      </c>
      <c r="E19" s="55" t="s">
        <v>77</v>
      </c>
      <c r="F19" s="52" t="s">
        <v>32</v>
      </c>
      <c r="G19" s="40">
        <v>0</v>
      </c>
      <c r="H19" s="124">
        <f t="shared" si="0"/>
        <v>0</v>
      </c>
      <c r="I19" s="86">
        <v>7</v>
      </c>
    </row>
    <row r="20" spans="1:17" x14ac:dyDescent="0.4">
      <c r="A20" s="47" t="s">
        <v>13</v>
      </c>
      <c r="B20" s="40">
        <v>4</v>
      </c>
      <c r="C20" s="33">
        <f>IF(B$3=0,0,B20/B$3)</f>
        <v>0.16666666666666666</v>
      </c>
      <c r="E20" s="55" t="s">
        <v>78</v>
      </c>
      <c r="F20" s="52" t="s">
        <v>33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2</v>
      </c>
      <c r="C21" s="33">
        <f>IF(B$19=0,0,B21/B$19)</f>
        <v>0.33333333333333331</v>
      </c>
      <c r="E21" s="55" t="s">
        <v>79</v>
      </c>
      <c r="F21" s="52" t="s">
        <v>34</v>
      </c>
      <c r="G21" s="40">
        <v>0</v>
      </c>
      <c r="H21" s="124">
        <f t="shared" si="0"/>
        <v>0</v>
      </c>
      <c r="I21" s="86">
        <v>11</v>
      </c>
    </row>
    <row r="22" spans="1:17" x14ac:dyDescent="0.4">
      <c r="A22" s="47" t="s">
        <v>11</v>
      </c>
      <c r="B22" s="40">
        <v>4</v>
      </c>
      <c r="C22" s="33">
        <f>IF(B$19=0,0,B22/B$19)</f>
        <v>0.66666666666666663</v>
      </c>
      <c r="E22" s="55" t="s">
        <v>80</v>
      </c>
      <c r="F22" s="52" t="s">
        <v>35</v>
      </c>
      <c r="G22" s="40">
        <v>0</v>
      </c>
      <c r="H22" s="124">
        <f t="shared" si="0"/>
        <v>0</v>
      </c>
      <c r="I22" s="86">
        <v>3</v>
      </c>
    </row>
    <row r="23" spans="1:17" x14ac:dyDescent="0.4">
      <c r="A23" s="47" t="s">
        <v>189</v>
      </c>
      <c r="B23" s="40">
        <v>2</v>
      </c>
      <c r="C23" s="33">
        <f>IF(B$19=0,0,B23/B$19)</f>
        <v>0.33333333333333331</v>
      </c>
      <c r="E23" s="55" t="s">
        <v>81</v>
      </c>
      <c r="F23" s="52" t="s">
        <v>36</v>
      </c>
      <c r="G23" s="40">
        <v>0</v>
      </c>
      <c r="H23" s="124">
        <f t="shared" si="0"/>
        <v>0</v>
      </c>
      <c r="I23" s="86">
        <v>10</v>
      </c>
    </row>
    <row r="24" spans="1:17" x14ac:dyDescent="0.4">
      <c r="A24" s="47" t="s">
        <v>187</v>
      </c>
      <c r="B24" s="40">
        <v>2</v>
      </c>
      <c r="C24" s="33">
        <f>IF(B$19=0,0,B24/B$19)</f>
        <v>0.33333333333333331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2</v>
      </c>
      <c r="C25" s="33">
        <f>IF(B$19=0,0,B25/B$19)</f>
        <v>0.33333333333333331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</row>
    <row r="26" spans="1:17" x14ac:dyDescent="0.4">
      <c r="A26" s="47" t="s">
        <v>5</v>
      </c>
      <c r="B26" s="44">
        <f>IF(B$19=0,0,C26/B$19)</f>
        <v>12333.333333333334</v>
      </c>
      <c r="C26" s="35">
        <v>74000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12000</v>
      </c>
      <c r="C27" s="128">
        <v>48000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13000</v>
      </c>
      <c r="C28" s="128">
        <v>26000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-12000</v>
      </c>
      <c r="C29" s="128">
        <v>-48000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11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8">
        <v>3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56">
        <v>46000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4"/>
        <v>0.33333333333333331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0.16666666666666666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1</v>
      </c>
      <c r="C45" s="33">
        <f t="shared" si="4"/>
        <v>0.16666666666666666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19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54">
        <v>4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121A-8169-4973-8691-4C42B65F7FA1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166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142</v>
      </c>
      <c r="C2" s="147"/>
      <c r="E2" s="54" t="s">
        <v>274</v>
      </c>
      <c r="F2" s="51" t="s">
        <v>275</v>
      </c>
      <c r="G2" s="39">
        <v>178</v>
      </c>
      <c r="H2" s="123">
        <f t="shared" ref="H2:H33" si="0">IF(B$51=0,0,G2/B$51)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-1066.4285714285713</v>
      </c>
      <c r="P2" s="109">
        <v>140</v>
      </c>
      <c r="Q2" s="93">
        <v>-149300</v>
      </c>
    </row>
    <row r="3" spans="1:17" x14ac:dyDescent="0.4">
      <c r="A3" s="47" t="s">
        <v>8</v>
      </c>
      <c r="B3" s="148">
        <v>1103</v>
      </c>
      <c r="C3" s="149"/>
      <c r="E3" s="55" t="s">
        <v>66</v>
      </c>
      <c r="F3" s="52" t="s">
        <v>22</v>
      </c>
      <c r="G3" s="40">
        <v>154</v>
      </c>
      <c r="H3" s="124">
        <f t="shared" si="0"/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1"/>
        <v>-1137.5</v>
      </c>
      <c r="P3" s="110">
        <v>136</v>
      </c>
      <c r="Q3" s="94">
        <v>-154700</v>
      </c>
    </row>
    <row r="4" spans="1:17" x14ac:dyDescent="0.4">
      <c r="A4" s="47" t="s">
        <v>6</v>
      </c>
      <c r="B4" s="150">
        <v>-538.49999999999989</v>
      </c>
      <c r="C4" s="151"/>
      <c r="E4" s="55" t="s">
        <v>64</v>
      </c>
      <c r="F4" s="52" t="s">
        <v>20</v>
      </c>
      <c r="G4" s="40">
        <v>139</v>
      </c>
      <c r="H4" s="124">
        <f t="shared" si="0"/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1"/>
        <v>1198.4732824427481</v>
      </c>
      <c r="P4" s="110">
        <v>131</v>
      </c>
      <c r="Q4" s="94">
        <v>157000</v>
      </c>
    </row>
    <row r="5" spans="1:17" x14ac:dyDescent="0.4">
      <c r="A5" s="47" t="s">
        <v>7</v>
      </c>
      <c r="B5" s="152">
        <f>IF(B$2=0,0,B$4/B$2)</f>
        <v>-3.7922535211267596</v>
      </c>
      <c r="C5" s="153"/>
      <c r="E5" s="55" t="s">
        <v>72</v>
      </c>
      <c r="F5" s="52" t="s">
        <v>27</v>
      </c>
      <c r="G5" s="40">
        <v>115</v>
      </c>
      <c r="H5" s="124">
        <f t="shared" si="0"/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1"/>
        <v>-956.41025641025647</v>
      </c>
      <c r="P5" s="110">
        <v>117</v>
      </c>
      <c r="Q5" s="94">
        <v>-111900</v>
      </c>
    </row>
    <row r="6" spans="1:17" x14ac:dyDescent="0.4">
      <c r="A6" s="47" t="s">
        <v>1</v>
      </c>
      <c r="B6" s="160">
        <f>IF(B$2=0,0,(B$7*1+B$8*2+B$9*3)/B$2)</f>
        <v>2.1056338028169015</v>
      </c>
      <c r="C6" s="161"/>
      <c r="E6" s="55" t="s">
        <v>68</v>
      </c>
      <c r="F6" s="52" t="s">
        <v>12</v>
      </c>
      <c r="G6" s="40">
        <v>84</v>
      </c>
      <c r="H6" s="124">
        <f t="shared" si="0"/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1"/>
        <v>-1676.2376237623762</v>
      </c>
      <c r="P6" s="110">
        <v>101</v>
      </c>
      <c r="Q6" s="94">
        <v>-169300</v>
      </c>
    </row>
    <row r="7" spans="1:17" x14ac:dyDescent="0.4">
      <c r="A7" s="47" t="s">
        <v>2</v>
      </c>
      <c r="B7" s="40">
        <v>41</v>
      </c>
      <c r="C7" s="33">
        <f t="shared" ref="C7:C14" si="2">IF(B$2=0,0,B7/B$2)</f>
        <v>0.28873239436619719</v>
      </c>
      <c r="E7" s="55" t="s">
        <v>67</v>
      </c>
      <c r="F7" s="52" t="s">
        <v>23</v>
      </c>
      <c r="G7" s="40">
        <v>68</v>
      </c>
      <c r="H7" s="124">
        <f t="shared" si="0"/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1"/>
        <v>-1628.75</v>
      </c>
      <c r="P7" s="111">
        <v>80</v>
      </c>
      <c r="Q7" s="95">
        <v>-130300</v>
      </c>
    </row>
    <row r="8" spans="1:17" x14ac:dyDescent="0.4">
      <c r="A8" s="47" t="s">
        <v>3</v>
      </c>
      <c r="B8" s="40">
        <v>45</v>
      </c>
      <c r="C8" s="33">
        <f t="shared" si="2"/>
        <v>0.31690140845070425</v>
      </c>
      <c r="E8" s="55" t="s">
        <v>89</v>
      </c>
      <c r="F8" s="52" t="s">
        <v>44</v>
      </c>
      <c r="G8" s="40">
        <v>40</v>
      </c>
      <c r="H8" s="124">
        <f t="shared" si="0"/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">
      <c r="A9" s="48" t="s">
        <v>4</v>
      </c>
      <c r="B9" s="41">
        <v>56</v>
      </c>
      <c r="C9" s="34">
        <f t="shared" si="2"/>
        <v>0.39436619718309857</v>
      </c>
      <c r="E9" s="55" t="s">
        <v>69</v>
      </c>
      <c r="F9" s="52" t="s">
        <v>24</v>
      </c>
      <c r="G9" s="40">
        <v>35</v>
      </c>
      <c r="H9" s="124">
        <f t="shared" si="0"/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28.726829268292683</v>
      </c>
      <c r="C10" s="141">
        <v>1177.8</v>
      </c>
      <c r="E10" s="55" t="s">
        <v>65</v>
      </c>
      <c r="F10" s="52" t="s">
        <v>21</v>
      </c>
      <c r="G10" s="40">
        <v>34</v>
      </c>
      <c r="H10" s="124">
        <f t="shared" si="0"/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">
      <c r="A11" s="48" t="s">
        <v>277</v>
      </c>
      <c r="B11" s="140">
        <f>IF(B8=0,0,C11/B8)</f>
        <v>-1.8577777777777773</v>
      </c>
      <c r="C11" s="141">
        <v>-83.59999999999998</v>
      </c>
      <c r="E11" s="55" t="s">
        <v>70</v>
      </c>
      <c r="F11" s="52" t="s">
        <v>25</v>
      </c>
      <c r="G11" s="40">
        <v>30</v>
      </c>
      <c r="H11" s="124">
        <f t="shared" si="0"/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">
      <c r="A12" s="48" t="s">
        <v>278</v>
      </c>
      <c r="B12" s="140">
        <f>IF(B9=0,0,C12/B9)</f>
        <v>-29.155357142857149</v>
      </c>
      <c r="C12" s="141">
        <v>-1632.7000000000003</v>
      </c>
      <c r="E12" s="55" t="s">
        <v>86</v>
      </c>
      <c r="F12" s="52" t="s">
        <v>41</v>
      </c>
      <c r="G12" s="40">
        <v>20</v>
      </c>
      <c r="H12" s="124">
        <f t="shared" si="0"/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">
      <c r="A13" s="48" t="s">
        <v>279</v>
      </c>
      <c r="B13" s="152">
        <f>AVERAGE(B10:B12)</f>
        <v>-0.76210188411408097</v>
      </c>
      <c r="C13" s="153"/>
      <c r="E13" s="55" t="s">
        <v>83</v>
      </c>
      <c r="F13" s="52" t="s">
        <v>38</v>
      </c>
      <c r="G13" s="40">
        <v>16</v>
      </c>
      <c r="H13" s="124">
        <f t="shared" si="0"/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27</v>
      </c>
      <c r="C14" s="36">
        <f t="shared" si="2"/>
        <v>0.19014084507042253</v>
      </c>
      <c r="E14" s="55" t="s">
        <v>81</v>
      </c>
      <c r="F14" s="52" t="s">
        <v>36</v>
      </c>
      <c r="G14" s="40">
        <v>10</v>
      </c>
      <c r="H14" s="124">
        <f t="shared" si="0"/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243</v>
      </c>
      <c r="C15" s="38">
        <f>IF(B$50=0,0,B15/B$50)</f>
        <v>0.28859857482185275</v>
      </c>
      <c r="E15" s="55" t="s">
        <v>71</v>
      </c>
      <c r="F15" s="52" t="s">
        <v>26</v>
      </c>
      <c r="G15" s="40">
        <v>7</v>
      </c>
      <c r="H15" s="124">
        <f t="shared" si="0"/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 t="shared" ref="O15:O24" si="3">IF(P15=0,0,Q15/P15)</f>
        <v>53.3</v>
      </c>
      <c r="P15" s="109">
        <v>2</v>
      </c>
      <c r="Q15" s="97">
        <v>106.6</v>
      </c>
    </row>
    <row r="16" spans="1:17" x14ac:dyDescent="0.4">
      <c r="A16" s="47" t="s">
        <v>118</v>
      </c>
      <c r="B16" s="40">
        <v>149</v>
      </c>
      <c r="C16" s="33">
        <f>IF(B$50=0,0,B16/B$50)</f>
        <v>0.17695961995249407</v>
      </c>
      <c r="E16" s="55" t="s">
        <v>91</v>
      </c>
      <c r="F16" s="52" t="s">
        <v>46</v>
      </c>
      <c r="G16" s="40">
        <v>7</v>
      </c>
      <c r="H16" s="124">
        <f t="shared" si="0"/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 t="shared" si="3"/>
        <v>26.466666666666669</v>
      </c>
      <c r="P16" s="110">
        <v>3</v>
      </c>
      <c r="Q16" s="98">
        <v>79.400000000000006</v>
      </c>
    </row>
    <row r="17" spans="1:17" x14ac:dyDescent="0.4">
      <c r="A17" s="46" t="s">
        <v>123</v>
      </c>
      <c r="B17" s="39">
        <f>B23</f>
        <v>141</v>
      </c>
      <c r="C17" s="31">
        <f>IF(B$15=0,0,B17/B$15)</f>
        <v>0.58024691358024694</v>
      </c>
      <c r="E17" s="55" t="s">
        <v>78</v>
      </c>
      <c r="F17" s="52" t="s">
        <v>33</v>
      </c>
      <c r="G17" s="40">
        <v>5</v>
      </c>
      <c r="H17" s="124">
        <f t="shared" si="0"/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 t="shared" si="3"/>
        <v>22.345454545454547</v>
      </c>
      <c r="P17" s="110">
        <v>22</v>
      </c>
      <c r="Q17" s="98">
        <v>491.6</v>
      </c>
    </row>
    <row r="18" spans="1:17" x14ac:dyDescent="0.4">
      <c r="A18" s="46" t="s">
        <v>124</v>
      </c>
      <c r="B18" s="39">
        <f>B24</f>
        <v>58</v>
      </c>
      <c r="C18" s="31">
        <f>IF(B$16=0,0,B18/B$16)</f>
        <v>0.38926174496644295</v>
      </c>
      <c r="E18" s="55" t="s">
        <v>79</v>
      </c>
      <c r="F18" s="52" t="s">
        <v>34</v>
      </c>
      <c r="G18" s="40">
        <v>3</v>
      </c>
      <c r="H18" s="124">
        <f t="shared" si="0"/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 t="shared" si="3"/>
        <v>3.1104166666666644</v>
      </c>
      <c r="P18" s="110">
        <v>48</v>
      </c>
      <c r="Q18" s="98">
        <v>149.2999999999999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0.26110607434270172</v>
      </c>
      <c r="E19" s="55" t="s">
        <v>84</v>
      </c>
      <c r="F19" s="52" t="s">
        <v>39</v>
      </c>
      <c r="G19" s="40">
        <v>2</v>
      </c>
      <c r="H19" s="124">
        <f t="shared" si="0"/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 t="shared" si="3"/>
        <v>-0.14444444444444493</v>
      </c>
      <c r="P19" s="110">
        <v>9</v>
      </c>
      <c r="Q19" s="98">
        <v>-1.3000000000000043</v>
      </c>
    </row>
    <row r="20" spans="1:17" x14ac:dyDescent="0.4">
      <c r="A20" s="47" t="s">
        <v>13</v>
      </c>
      <c r="B20" s="40">
        <v>210</v>
      </c>
      <c r="C20" s="33">
        <f>IF(B$3=0,0,B20/B$3)</f>
        <v>0.19038984587488667</v>
      </c>
      <c r="E20" s="55" t="s">
        <v>85</v>
      </c>
      <c r="F20" s="52" t="s">
        <v>40</v>
      </c>
      <c r="G20" s="40">
        <v>2</v>
      </c>
      <c r="H20" s="124">
        <f t="shared" si="0"/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 t="shared" si="3"/>
        <v>-10.037288135593213</v>
      </c>
      <c r="P20" s="110">
        <v>118</v>
      </c>
      <c r="Q20" s="98">
        <v>-1184.3999999999992</v>
      </c>
    </row>
    <row r="21" spans="1:17" x14ac:dyDescent="0.4">
      <c r="A21" s="47" t="s">
        <v>12</v>
      </c>
      <c r="B21" s="40">
        <v>131</v>
      </c>
      <c r="C21" s="33">
        <f>IF(B$19=0,0,B21/B$19)</f>
        <v>0.4548611111111111</v>
      </c>
      <c r="E21" s="55" t="s">
        <v>92</v>
      </c>
      <c r="F21" s="52" t="s">
        <v>47</v>
      </c>
      <c r="G21" s="40">
        <v>2</v>
      </c>
      <c r="H21" s="124">
        <f t="shared" si="0"/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 t="shared" si="3"/>
        <v>-10.366666666666665</v>
      </c>
      <c r="P21" s="110">
        <v>3</v>
      </c>
      <c r="Q21" s="98">
        <v>-31.099999999999998</v>
      </c>
    </row>
    <row r="22" spans="1:17" x14ac:dyDescent="0.4">
      <c r="A22" s="47" t="s">
        <v>11</v>
      </c>
      <c r="B22" s="40">
        <v>157</v>
      </c>
      <c r="C22" s="33">
        <f>IF(B$19=0,0,B22/B$19)</f>
        <v>0.54513888888888884</v>
      </c>
      <c r="E22" s="55" t="s">
        <v>73</v>
      </c>
      <c r="F22" s="52" t="s">
        <v>28</v>
      </c>
      <c r="G22" s="40">
        <v>1</v>
      </c>
      <c r="H22" s="124">
        <f t="shared" si="0"/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 t="shared" si="3"/>
        <v>-13.897297297297296</v>
      </c>
      <c r="P22" s="110">
        <v>37</v>
      </c>
      <c r="Q22" s="98">
        <v>-514.19999999999993</v>
      </c>
    </row>
    <row r="23" spans="1:17" x14ac:dyDescent="0.4">
      <c r="A23" s="47" t="s">
        <v>189</v>
      </c>
      <c r="B23" s="40">
        <v>141</v>
      </c>
      <c r="C23" s="33">
        <f>IF(B$19=0,0,B23/B$19)</f>
        <v>0.48958333333333331</v>
      </c>
      <c r="E23" s="55" t="s">
        <v>74</v>
      </c>
      <c r="F23" s="52" t="s">
        <v>29</v>
      </c>
      <c r="G23" s="40">
        <v>1</v>
      </c>
      <c r="H23" s="124">
        <f t="shared" si="0"/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 t="shared" si="3"/>
        <v>-15.958974358974352</v>
      </c>
      <c r="P23" s="110">
        <v>39</v>
      </c>
      <c r="Q23" s="98">
        <v>-622.39999999999975</v>
      </c>
    </row>
    <row r="24" spans="1:17" x14ac:dyDescent="0.4">
      <c r="A24" s="47" t="s">
        <v>187</v>
      </c>
      <c r="B24" s="40">
        <v>58</v>
      </c>
      <c r="C24" s="33">
        <f>IF(B$19=0,0,B24/B$19)</f>
        <v>0.2013888888888889</v>
      </c>
      <c r="E24" s="55" t="s">
        <v>75</v>
      </c>
      <c r="F24" s="52" t="s">
        <v>30</v>
      </c>
      <c r="G24" s="40">
        <v>1</v>
      </c>
      <c r="H24" s="124">
        <f t="shared" si="0"/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 t="shared" si="3"/>
        <v>-29.666666666666668</v>
      </c>
      <c r="P24" s="110">
        <v>3</v>
      </c>
      <c r="Q24" s="98">
        <v>-89</v>
      </c>
    </row>
    <row r="25" spans="1:17" x14ac:dyDescent="0.4">
      <c r="A25" s="47" t="s">
        <v>188</v>
      </c>
      <c r="B25" s="40">
        <v>89</v>
      </c>
      <c r="C25" s="33">
        <f>IF(B$19=0,0,B25/B$19)</f>
        <v>0.30902777777777779</v>
      </c>
      <c r="E25" s="55" t="s">
        <v>80</v>
      </c>
      <c r="F25" s="52" t="s">
        <v>35</v>
      </c>
      <c r="G25" s="40">
        <v>1</v>
      </c>
      <c r="H25" s="124">
        <f t="shared" si="0"/>
        <v>4.4052863436123352E-3</v>
      </c>
      <c r="I25" s="86">
        <v>1</v>
      </c>
      <c r="K25" s="32">
        <v>23</v>
      </c>
      <c r="L25" s="91">
        <v>-111.3</v>
      </c>
    </row>
    <row r="26" spans="1:17" x14ac:dyDescent="0.4">
      <c r="A26" s="47" t="s">
        <v>5</v>
      </c>
      <c r="B26" s="44">
        <f>IF(B$19=0,0,C26/B$19)</f>
        <v>10792.708333333334</v>
      </c>
      <c r="C26" s="35">
        <v>3108300</v>
      </c>
      <c r="E26" s="55" t="s">
        <v>87</v>
      </c>
      <c r="F26" s="52" t="s">
        <v>42</v>
      </c>
      <c r="G26" s="40">
        <v>1</v>
      </c>
      <c r="H26" s="124">
        <f t="shared" si="0"/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">
      <c r="A27" s="48" t="s">
        <v>171</v>
      </c>
      <c r="B27" s="127">
        <f>IF($B$19-B$18=0,0,C27/($B$19-B$18))</f>
        <v>11046.08695652174</v>
      </c>
      <c r="C27" s="128">
        <v>2540600</v>
      </c>
      <c r="E27" s="55" t="s">
        <v>88</v>
      </c>
      <c r="F27" s="52" t="s">
        <v>43</v>
      </c>
      <c r="G27" s="40">
        <v>1</v>
      </c>
      <c r="H27" s="124">
        <f t="shared" si="0"/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">
      <c r="A28" s="48" t="s">
        <v>172</v>
      </c>
      <c r="B28" s="127">
        <f>IF(B$18=0,0,C28/B$18)</f>
        <v>9787.9310344827591</v>
      </c>
      <c r="C28" s="128">
        <v>567700</v>
      </c>
      <c r="E28" s="55" t="s">
        <v>76</v>
      </c>
      <c r="F28" s="52" t="s">
        <v>31</v>
      </c>
      <c r="G28" s="40">
        <v>0</v>
      </c>
      <c r="H28" s="124">
        <f t="shared" si="0"/>
        <v>0</v>
      </c>
      <c r="I28" s="86">
        <v>1</v>
      </c>
      <c r="K28" s="32">
        <v>26</v>
      </c>
      <c r="L28" s="91">
        <v>-125.89999999999999</v>
      </c>
    </row>
    <row r="29" spans="1:17" x14ac:dyDescent="0.4">
      <c r="A29" s="48" t="s">
        <v>170</v>
      </c>
      <c r="B29" s="127">
        <f>IF(B$20=0,0,C29/B$20)</f>
        <v>-9621.4285714285706</v>
      </c>
      <c r="C29" s="128">
        <v>-2020500</v>
      </c>
      <c r="E29" s="55" t="s">
        <v>77</v>
      </c>
      <c r="F29" s="52" t="s">
        <v>32</v>
      </c>
      <c r="G29" s="40">
        <v>0</v>
      </c>
      <c r="H29" s="124">
        <f t="shared" si="0"/>
        <v>0</v>
      </c>
      <c r="I29" s="86">
        <v>7</v>
      </c>
      <c r="K29" s="32">
        <v>27</v>
      </c>
      <c r="L29" s="91">
        <v>-163.6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82</v>
      </c>
      <c r="F30" s="52" t="s">
        <v>37</v>
      </c>
      <c r="G30" s="40">
        <v>0</v>
      </c>
      <c r="H30" s="124">
        <f t="shared" si="0"/>
        <v>0</v>
      </c>
      <c r="I30" s="86">
        <v>1</v>
      </c>
      <c r="K30" s="32">
        <v>28</v>
      </c>
      <c r="L30" s="91">
        <v>-169.5</v>
      </c>
    </row>
    <row r="31" spans="1:17" x14ac:dyDescent="0.4">
      <c r="A31" s="47" t="s">
        <v>163</v>
      </c>
      <c r="B31" s="40">
        <v>31</v>
      </c>
      <c r="C31" s="126">
        <v>8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-163.30000000000001</v>
      </c>
    </row>
    <row r="32" spans="1:17" x14ac:dyDescent="0.4">
      <c r="A32" s="82" t="s">
        <v>138</v>
      </c>
      <c r="B32" s="158">
        <v>10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-209.4</v>
      </c>
    </row>
    <row r="33" spans="1:12" x14ac:dyDescent="0.4">
      <c r="A33" s="50" t="s">
        <v>186</v>
      </c>
      <c r="B33" s="156">
        <v>97700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-259.89999999999998</v>
      </c>
    </row>
    <row r="34" spans="1:12" x14ac:dyDescent="0.4">
      <c r="A34" s="49" t="s">
        <v>139</v>
      </c>
      <c r="B34" s="57">
        <v>4</v>
      </c>
      <c r="C34" s="36">
        <f>IF(B$3=0,0,B34/B$3)</f>
        <v>3.6264732547597461E-3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-253.59999999999997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-234.89999999999998</v>
      </c>
    </row>
    <row r="36" spans="1:12" x14ac:dyDescent="0.4">
      <c r="A36" s="82" t="s">
        <v>177</v>
      </c>
      <c r="B36" s="136">
        <v>4</v>
      </c>
      <c r="C36" s="132">
        <f>IF(B$19=0,0,B36/B$19)</f>
        <v>1.3888888888888888E-2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-229.79999999999998</v>
      </c>
    </row>
    <row r="37" spans="1:12" x14ac:dyDescent="0.4">
      <c r="A37" s="47" t="s">
        <v>173</v>
      </c>
      <c r="B37" s="40">
        <v>22</v>
      </c>
      <c r="C37" s="33">
        <f t="shared" ref="C37:C48" si="5">IF(B$19=0,0,B37/B$19)</f>
        <v>7.6388888888888895E-2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-254.29999999999998</v>
      </c>
    </row>
    <row r="38" spans="1:12" x14ac:dyDescent="0.4">
      <c r="A38" s="47" t="s">
        <v>174</v>
      </c>
      <c r="B38" s="139">
        <v>46</v>
      </c>
      <c r="C38" s="33">
        <f>IF(B$19=0,0,B38/B$19)</f>
        <v>0.15972222222222221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-204.29999999999998</v>
      </c>
    </row>
    <row r="39" spans="1:12" x14ac:dyDescent="0.4">
      <c r="A39" s="47" t="s">
        <v>175</v>
      </c>
      <c r="B39" s="139">
        <v>38</v>
      </c>
      <c r="C39" s="33">
        <f t="shared" si="5"/>
        <v>0.13194444444444445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-249.29999999999998</v>
      </c>
    </row>
    <row r="40" spans="1:12" x14ac:dyDescent="0.4">
      <c r="A40" s="47" t="s">
        <v>176</v>
      </c>
      <c r="B40" s="139">
        <v>37</v>
      </c>
      <c r="C40" s="33">
        <f t="shared" si="5"/>
        <v>0.12847222222222221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-242.49999999999997</v>
      </c>
    </row>
    <row r="41" spans="1:12" x14ac:dyDescent="0.4">
      <c r="A41" s="47" t="s">
        <v>178</v>
      </c>
      <c r="B41" s="139">
        <v>32</v>
      </c>
      <c r="C41" s="33">
        <f t="shared" si="5"/>
        <v>0.1111111111111111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-244.59999999999997</v>
      </c>
    </row>
    <row r="42" spans="1:12" x14ac:dyDescent="0.4">
      <c r="A42" s="47" t="s">
        <v>179</v>
      </c>
      <c r="B42" s="139">
        <v>21</v>
      </c>
      <c r="C42" s="33">
        <f t="shared" si="5"/>
        <v>7.2916666666666671E-2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-279.7</v>
      </c>
    </row>
    <row r="43" spans="1:12" x14ac:dyDescent="0.4">
      <c r="A43" s="47" t="s">
        <v>180</v>
      </c>
      <c r="B43" s="139">
        <v>8</v>
      </c>
      <c r="C43" s="33">
        <f t="shared" si="5"/>
        <v>2.7777777777777776E-2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-320.09999999999997</v>
      </c>
    </row>
    <row r="44" spans="1:12" x14ac:dyDescent="0.4">
      <c r="A44" s="47" t="s">
        <v>181</v>
      </c>
      <c r="B44" s="139">
        <v>9</v>
      </c>
      <c r="C44" s="33">
        <f t="shared" si="5"/>
        <v>3.125E-2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-314.29999999999995</v>
      </c>
    </row>
    <row r="45" spans="1:12" x14ac:dyDescent="0.4">
      <c r="A45" s="47" t="s">
        <v>182</v>
      </c>
      <c r="B45" s="139">
        <v>1</v>
      </c>
      <c r="C45" s="33">
        <f t="shared" si="5"/>
        <v>3.472222222222222E-3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-284.79999999999995</v>
      </c>
    </row>
    <row r="46" spans="1:12" x14ac:dyDescent="0.4">
      <c r="A46" s="47" t="s">
        <v>183</v>
      </c>
      <c r="B46" s="139">
        <v>2</v>
      </c>
      <c r="C46" s="33">
        <f t="shared" si="5"/>
        <v>6.9444444444444441E-3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-239.89999999999995</v>
      </c>
    </row>
    <row r="47" spans="1:12" x14ac:dyDescent="0.4">
      <c r="A47" s="47" t="s">
        <v>184</v>
      </c>
      <c r="B47" s="139">
        <v>2</v>
      </c>
      <c r="C47" s="33">
        <f t="shared" si="5"/>
        <v>6.9444444444444441E-3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-256.29999999999995</v>
      </c>
    </row>
    <row r="48" spans="1:12" x14ac:dyDescent="0.4">
      <c r="A48" s="49" t="s">
        <v>185</v>
      </c>
      <c r="B48" s="135">
        <v>5</v>
      </c>
      <c r="C48" s="36">
        <f t="shared" si="5"/>
        <v>1.7361111111111112E-2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-280.59999999999997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-264.59999999999997</v>
      </c>
    </row>
    <row r="50" spans="1:12" x14ac:dyDescent="0.4">
      <c r="A50" s="82" t="s">
        <v>197</v>
      </c>
      <c r="B50" s="146">
        <v>842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-288.79999999999995</v>
      </c>
    </row>
    <row r="51" spans="1:12" x14ac:dyDescent="0.4">
      <c r="A51" s="49" t="s">
        <v>198</v>
      </c>
      <c r="B51" s="154">
        <v>227</v>
      </c>
      <c r="C51" s="155"/>
      <c r="K51" s="32">
        <v>49</v>
      </c>
      <c r="L51" s="91">
        <v>-282.99999999999994</v>
      </c>
    </row>
    <row r="52" spans="1:12" x14ac:dyDescent="0.4">
      <c r="K52" s="32">
        <v>50</v>
      </c>
      <c r="L52" s="91">
        <v>-287.09999999999997</v>
      </c>
    </row>
    <row r="53" spans="1:12" x14ac:dyDescent="0.4">
      <c r="K53" s="32">
        <v>51</v>
      </c>
      <c r="L53" s="91">
        <v>-269.59999999999997</v>
      </c>
    </row>
    <row r="54" spans="1:12" x14ac:dyDescent="0.4">
      <c r="K54" s="32">
        <v>52</v>
      </c>
      <c r="L54" s="91">
        <v>-308.09999999999997</v>
      </c>
    </row>
    <row r="55" spans="1:12" x14ac:dyDescent="0.4">
      <c r="K55" s="32">
        <v>53</v>
      </c>
      <c r="L55" s="91">
        <v>-336.49999999999994</v>
      </c>
    </row>
    <row r="56" spans="1:12" x14ac:dyDescent="0.4">
      <c r="K56" s="32">
        <v>54</v>
      </c>
      <c r="L56" s="91">
        <v>-378.89999999999992</v>
      </c>
    </row>
    <row r="57" spans="1:12" x14ac:dyDescent="0.4">
      <c r="K57" s="32">
        <v>55</v>
      </c>
      <c r="L57" s="91">
        <v>-364.2999999999999</v>
      </c>
    </row>
    <row r="58" spans="1:12" x14ac:dyDescent="0.4">
      <c r="K58" s="32">
        <v>56</v>
      </c>
      <c r="L58" s="91">
        <v>-316.2999999999999</v>
      </c>
    </row>
    <row r="59" spans="1:12" x14ac:dyDescent="0.4">
      <c r="K59" s="32">
        <v>57</v>
      </c>
      <c r="L59" s="91">
        <v>-312.49999999999989</v>
      </c>
    </row>
    <row r="60" spans="1:12" x14ac:dyDescent="0.4">
      <c r="K60" s="32">
        <v>58</v>
      </c>
      <c r="L60" s="91">
        <v>-254.59999999999988</v>
      </c>
    </row>
    <row r="61" spans="1:12" x14ac:dyDescent="0.4">
      <c r="K61" s="32">
        <v>59</v>
      </c>
      <c r="L61" s="91">
        <v>-205.09999999999988</v>
      </c>
    </row>
    <row r="62" spans="1:12" x14ac:dyDescent="0.4">
      <c r="K62" s="32">
        <v>60</v>
      </c>
      <c r="L62" s="91">
        <v>-214.59999999999988</v>
      </c>
    </row>
    <row r="63" spans="1:12" x14ac:dyDescent="0.4">
      <c r="K63" s="32">
        <v>61</v>
      </c>
      <c r="L63" s="91">
        <v>-211.89999999999989</v>
      </c>
    </row>
    <row r="64" spans="1:12" x14ac:dyDescent="0.4">
      <c r="K64" s="32">
        <v>62</v>
      </c>
      <c r="L64" s="91">
        <v>-250.89999999999989</v>
      </c>
    </row>
    <row r="65" spans="11:12" x14ac:dyDescent="0.4">
      <c r="K65" s="32">
        <v>63</v>
      </c>
      <c r="L65" s="91">
        <v>-290.99999999999989</v>
      </c>
    </row>
    <row r="66" spans="11:12" x14ac:dyDescent="0.4">
      <c r="K66" s="32">
        <v>64</v>
      </c>
      <c r="L66" s="91">
        <v>-356.99999999999989</v>
      </c>
    </row>
    <row r="67" spans="11:12" x14ac:dyDescent="0.4">
      <c r="K67" s="32">
        <v>65</v>
      </c>
      <c r="L67" s="91">
        <v>-381.09999999999991</v>
      </c>
    </row>
    <row r="68" spans="11:12" x14ac:dyDescent="0.4">
      <c r="K68" s="32">
        <v>66</v>
      </c>
      <c r="L68" s="91">
        <v>-378.49999999999989</v>
      </c>
    </row>
    <row r="69" spans="11:12" x14ac:dyDescent="0.4">
      <c r="K69" s="32">
        <v>67</v>
      </c>
      <c r="L69" s="91">
        <v>-371.19999999999987</v>
      </c>
    </row>
    <row r="70" spans="11:12" x14ac:dyDescent="0.4">
      <c r="K70" s="32">
        <v>68</v>
      </c>
      <c r="L70" s="91">
        <v>-407.2999999999999</v>
      </c>
    </row>
    <row r="71" spans="11:12" x14ac:dyDescent="0.4">
      <c r="K71" s="32">
        <v>69</v>
      </c>
      <c r="L71" s="91">
        <v>-412.49999999999989</v>
      </c>
    </row>
    <row r="72" spans="11:12" x14ac:dyDescent="0.4">
      <c r="K72" s="32">
        <v>70</v>
      </c>
      <c r="L72" s="91">
        <v>-379.49999999999989</v>
      </c>
    </row>
    <row r="73" spans="11:12" x14ac:dyDescent="0.4">
      <c r="K73" s="32">
        <v>71</v>
      </c>
      <c r="L73" s="91">
        <v>-374.2999999999999</v>
      </c>
    </row>
    <row r="74" spans="11:12" x14ac:dyDescent="0.4">
      <c r="K74" s="32">
        <v>72</v>
      </c>
      <c r="L74" s="91">
        <v>-409.7999999999999</v>
      </c>
    </row>
    <row r="75" spans="11:12" x14ac:dyDescent="0.4">
      <c r="K75" s="32">
        <v>73</v>
      </c>
      <c r="L75" s="91">
        <v>-393.59999999999991</v>
      </c>
    </row>
    <row r="76" spans="11:12" x14ac:dyDescent="0.4">
      <c r="K76" s="32">
        <v>74</v>
      </c>
      <c r="L76" s="91">
        <v>-399.49999999999989</v>
      </c>
    </row>
    <row r="77" spans="11:12" x14ac:dyDescent="0.4">
      <c r="K77" s="32">
        <v>75</v>
      </c>
      <c r="L77" s="91">
        <v>-419.69999999999987</v>
      </c>
    </row>
    <row r="78" spans="11:12" x14ac:dyDescent="0.4">
      <c r="K78" s="32">
        <v>76</v>
      </c>
      <c r="L78" s="91">
        <v>-369.69999999999987</v>
      </c>
    </row>
    <row r="79" spans="11:12" x14ac:dyDescent="0.4">
      <c r="K79" s="32">
        <v>77</v>
      </c>
      <c r="L79" s="91">
        <v>-381.7999999999999</v>
      </c>
    </row>
    <row r="80" spans="11:12" x14ac:dyDescent="0.4">
      <c r="K80" s="32">
        <v>78</v>
      </c>
      <c r="L80" s="91">
        <v>-365.99999999999989</v>
      </c>
    </row>
    <row r="81" spans="11:12" x14ac:dyDescent="0.4">
      <c r="K81" s="32">
        <v>79</v>
      </c>
      <c r="L81" s="91">
        <v>-383.99999999999989</v>
      </c>
    </row>
    <row r="82" spans="11:12" x14ac:dyDescent="0.4">
      <c r="K82" s="32">
        <v>80</v>
      </c>
      <c r="L82" s="91">
        <v>-390.7999999999999</v>
      </c>
    </row>
    <row r="83" spans="11:12" x14ac:dyDescent="0.4">
      <c r="K83" s="32">
        <v>81</v>
      </c>
      <c r="L83" s="91">
        <v>-378.99999999999989</v>
      </c>
    </row>
    <row r="84" spans="11:12" x14ac:dyDescent="0.4">
      <c r="K84" s="32">
        <v>82</v>
      </c>
      <c r="L84" s="91">
        <v>-398.59999999999991</v>
      </c>
    </row>
    <row r="85" spans="11:12" x14ac:dyDescent="0.4">
      <c r="K85" s="32">
        <v>83</v>
      </c>
      <c r="L85" s="91">
        <v>-397.39999999999992</v>
      </c>
    </row>
    <row r="86" spans="11:12" x14ac:dyDescent="0.4">
      <c r="K86" s="32">
        <v>84</v>
      </c>
      <c r="L86" s="91">
        <v>-371.89999999999992</v>
      </c>
    </row>
    <row r="87" spans="11:12" x14ac:dyDescent="0.4">
      <c r="K87" s="32">
        <v>85</v>
      </c>
      <c r="L87" s="91">
        <v>-409.89999999999992</v>
      </c>
    </row>
    <row r="88" spans="11:12" x14ac:dyDescent="0.4">
      <c r="K88" s="32">
        <v>86</v>
      </c>
      <c r="L88" s="91">
        <v>-386.39999999999992</v>
      </c>
    </row>
    <row r="89" spans="11:12" x14ac:dyDescent="0.4">
      <c r="K89" s="32">
        <v>87</v>
      </c>
      <c r="L89" s="91">
        <v>-360.69999999999993</v>
      </c>
    </row>
    <row r="90" spans="11:12" x14ac:dyDescent="0.4">
      <c r="K90" s="32">
        <v>88</v>
      </c>
      <c r="L90" s="91">
        <v>-377.49999999999994</v>
      </c>
    </row>
    <row r="91" spans="11:12" x14ac:dyDescent="0.4">
      <c r="K91" s="32">
        <v>89</v>
      </c>
      <c r="L91" s="91">
        <v>-410.29999999999995</v>
      </c>
    </row>
    <row r="92" spans="11:12" x14ac:dyDescent="0.4">
      <c r="K92" s="32">
        <v>90</v>
      </c>
      <c r="L92" s="91">
        <v>-405.79999999999995</v>
      </c>
    </row>
    <row r="93" spans="11:12" x14ac:dyDescent="0.4">
      <c r="K93" s="32">
        <v>91</v>
      </c>
      <c r="L93" s="91">
        <v>-395.29999999999995</v>
      </c>
    </row>
    <row r="94" spans="11:12" x14ac:dyDescent="0.4">
      <c r="K94" s="32">
        <v>92</v>
      </c>
      <c r="L94" s="91">
        <v>-365.49999999999994</v>
      </c>
    </row>
    <row r="95" spans="11:12" x14ac:dyDescent="0.4">
      <c r="K95" s="32">
        <v>93</v>
      </c>
      <c r="L95" s="91">
        <v>-401.99999999999994</v>
      </c>
    </row>
    <row r="96" spans="11:12" x14ac:dyDescent="0.4">
      <c r="K96" s="32">
        <v>94</v>
      </c>
      <c r="L96" s="91">
        <v>-372.59999999999997</v>
      </c>
    </row>
    <row r="97" spans="11:12" x14ac:dyDescent="0.4">
      <c r="K97" s="32">
        <v>95</v>
      </c>
      <c r="L97" s="91">
        <v>-399.4</v>
      </c>
    </row>
    <row r="98" spans="11:12" x14ac:dyDescent="0.4">
      <c r="K98" s="32">
        <v>96</v>
      </c>
      <c r="L98" s="91">
        <v>-381</v>
      </c>
    </row>
    <row r="99" spans="11:12" x14ac:dyDescent="0.4">
      <c r="K99" s="32">
        <v>97</v>
      </c>
      <c r="L99" s="91">
        <v>-393.5</v>
      </c>
    </row>
    <row r="100" spans="11:12" x14ac:dyDescent="0.4">
      <c r="K100" s="32">
        <v>98</v>
      </c>
      <c r="L100" s="91">
        <v>-333</v>
      </c>
    </row>
    <row r="101" spans="11:12" x14ac:dyDescent="0.4">
      <c r="K101" s="32">
        <v>99</v>
      </c>
      <c r="L101" s="91">
        <v>-362.5</v>
      </c>
    </row>
    <row r="102" spans="11:12" x14ac:dyDescent="0.4">
      <c r="K102" s="32">
        <v>100</v>
      </c>
      <c r="L102" s="91">
        <v>-376.4</v>
      </c>
    </row>
    <row r="103" spans="11:12" x14ac:dyDescent="0.4">
      <c r="K103" s="32">
        <v>101</v>
      </c>
      <c r="L103" s="91">
        <v>-374.7</v>
      </c>
    </row>
    <row r="104" spans="11:12" x14ac:dyDescent="0.4">
      <c r="K104" s="32">
        <v>102</v>
      </c>
      <c r="L104" s="91">
        <v>-401.4</v>
      </c>
    </row>
    <row r="105" spans="11:12" x14ac:dyDescent="0.4">
      <c r="K105" s="32">
        <v>103</v>
      </c>
      <c r="L105" s="91">
        <v>-426.9</v>
      </c>
    </row>
    <row r="106" spans="11:12" x14ac:dyDescent="0.4">
      <c r="K106" s="32">
        <v>104</v>
      </c>
      <c r="L106" s="91">
        <v>-436.4</v>
      </c>
    </row>
    <row r="107" spans="11:12" x14ac:dyDescent="0.4">
      <c r="K107" s="32">
        <v>105</v>
      </c>
      <c r="L107" s="91">
        <v>-425.59999999999997</v>
      </c>
    </row>
    <row r="108" spans="11:12" x14ac:dyDescent="0.4">
      <c r="K108" s="32">
        <v>106</v>
      </c>
      <c r="L108" s="91">
        <v>-438.49999999999994</v>
      </c>
    </row>
    <row r="109" spans="11:12" x14ac:dyDescent="0.4">
      <c r="K109" s="32">
        <v>107</v>
      </c>
      <c r="L109" s="91">
        <v>-433.59999999999997</v>
      </c>
    </row>
    <row r="110" spans="11:12" x14ac:dyDescent="0.4">
      <c r="K110" s="32">
        <v>108</v>
      </c>
      <c r="L110" s="91">
        <v>-426.99999999999994</v>
      </c>
    </row>
    <row r="111" spans="11:12" x14ac:dyDescent="0.4">
      <c r="K111" s="32">
        <v>109</v>
      </c>
      <c r="L111" s="91">
        <v>-462.89999999999992</v>
      </c>
    </row>
    <row r="112" spans="11:12" x14ac:dyDescent="0.4">
      <c r="K112" s="32">
        <v>110</v>
      </c>
      <c r="L112" s="91">
        <v>-486.2999999999999</v>
      </c>
    </row>
    <row r="113" spans="11:12" x14ac:dyDescent="0.4">
      <c r="K113" s="32">
        <v>111</v>
      </c>
      <c r="L113" s="91">
        <v>-468.39999999999992</v>
      </c>
    </row>
    <row r="114" spans="11:12" x14ac:dyDescent="0.4">
      <c r="K114" s="32">
        <v>112</v>
      </c>
      <c r="L114" s="91">
        <v>-447.69999999999993</v>
      </c>
    </row>
    <row r="115" spans="11:12" x14ac:dyDescent="0.4">
      <c r="K115" s="32">
        <v>113</v>
      </c>
      <c r="L115" s="91">
        <v>-384.99999999999994</v>
      </c>
    </row>
    <row r="116" spans="11:12" x14ac:dyDescent="0.4">
      <c r="K116" s="32">
        <v>114</v>
      </c>
      <c r="L116" s="91">
        <v>-372.69999999999993</v>
      </c>
    </row>
    <row r="117" spans="11:12" x14ac:dyDescent="0.4">
      <c r="K117" s="32">
        <v>115</v>
      </c>
      <c r="L117" s="91">
        <v>-388.19999999999993</v>
      </c>
    </row>
    <row r="118" spans="11:12" x14ac:dyDescent="0.4">
      <c r="K118" s="32">
        <v>116</v>
      </c>
      <c r="L118" s="91">
        <v>-383.99999999999994</v>
      </c>
    </row>
    <row r="119" spans="11:12" x14ac:dyDescent="0.4">
      <c r="K119" s="32">
        <v>117</v>
      </c>
      <c r="L119" s="91">
        <v>-374.39999999999992</v>
      </c>
    </row>
    <row r="120" spans="11:12" x14ac:dyDescent="0.4">
      <c r="K120" s="32">
        <v>118</v>
      </c>
      <c r="L120" s="91">
        <v>-374.2999999999999</v>
      </c>
    </row>
    <row r="121" spans="11:12" x14ac:dyDescent="0.4">
      <c r="K121" s="32">
        <v>119</v>
      </c>
      <c r="L121" s="91">
        <v>-394.7999999999999</v>
      </c>
    </row>
    <row r="122" spans="11:12" x14ac:dyDescent="0.4">
      <c r="K122" s="32">
        <v>120</v>
      </c>
      <c r="L122" s="91">
        <v>-433.89999999999992</v>
      </c>
    </row>
    <row r="123" spans="11:12" x14ac:dyDescent="0.4">
      <c r="K123" s="32">
        <v>121</v>
      </c>
      <c r="L123" s="91">
        <v>-396.99999999999994</v>
      </c>
    </row>
    <row r="124" spans="11:12" x14ac:dyDescent="0.4">
      <c r="K124" s="32">
        <v>122</v>
      </c>
      <c r="L124" s="91">
        <v>-408.49999999999994</v>
      </c>
    </row>
    <row r="125" spans="11:12" x14ac:dyDescent="0.4">
      <c r="K125" s="32">
        <v>123</v>
      </c>
      <c r="L125" s="91">
        <v>-451.69999999999993</v>
      </c>
    </row>
    <row r="126" spans="11:12" x14ac:dyDescent="0.4">
      <c r="K126" s="32">
        <v>124</v>
      </c>
      <c r="L126" s="91">
        <v>-442.69999999999993</v>
      </c>
    </row>
    <row r="127" spans="11:12" x14ac:dyDescent="0.4">
      <c r="K127" s="32">
        <v>125</v>
      </c>
      <c r="L127" s="91">
        <v>-444.69999999999993</v>
      </c>
    </row>
    <row r="128" spans="11:12" x14ac:dyDescent="0.4">
      <c r="K128" s="32">
        <v>126</v>
      </c>
      <c r="L128" s="91">
        <v>-411.39999999999992</v>
      </c>
    </row>
    <row r="129" spans="11:12" x14ac:dyDescent="0.4">
      <c r="K129" s="32">
        <v>127</v>
      </c>
      <c r="L129" s="91">
        <v>-410.89999999999992</v>
      </c>
    </row>
    <row r="130" spans="11:12" x14ac:dyDescent="0.4">
      <c r="K130" s="32">
        <v>128</v>
      </c>
      <c r="L130" s="91">
        <v>-416.19999999999993</v>
      </c>
    </row>
    <row r="131" spans="11:12" x14ac:dyDescent="0.4">
      <c r="K131" s="32">
        <v>129</v>
      </c>
      <c r="L131" s="91">
        <v>-423.99999999999994</v>
      </c>
    </row>
    <row r="132" spans="11:12" x14ac:dyDescent="0.4">
      <c r="K132" s="32">
        <v>130</v>
      </c>
      <c r="L132" s="91">
        <v>-426.59999999999997</v>
      </c>
    </row>
    <row r="133" spans="11:12" x14ac:dyDescent="0.4">
      <c r="K133" s="32">
        <v>131</v>
      </c>
      <c r="L133" s="91">
        <v>-441.09999999999997</v>
      </c>
    </row>
    <row r="134" spans="11:12" x14ac:dyDescent="0.4">
      <c r="K134" s="32">
        <v>132</v>
      </c>
      <c r="L134" s="91">
        <v>-449.7</v>
      </c>
    </row>
    <row r="135" spans="11:12" x14ac:dyDescent="0.4">
      <c r="K135" s="32">
        <v>133</v>
      </c>
      <c r="L135" s="91">
        <v>-489.59999999999997</v>
      </c>
    </row>
    <row r="136" spans="11:12" x14ac:dyDescent="0.4">
      <c r="K136" s="32">
        <v>134</v>
      </c>
      <c r="L136" s="91">
        <v>-489.9</v>
      </c>
    </row>
    <row r="137" spans="11:12" x14ac:dyDescent="0.4">
      <c r="K137" s="32">
        <v>135</v>
      </c>
      <c r="L137" s="91">
        <v>-480.2</v>
      </c>
    </row>
    <row r="138" spans="11:12" x14ac:dyDescent="0.4">
      <c r="K138" s="32">
        <v>136</v>
      </c>
      <c r="L138" s="91">
        <v>-497.4</v>
      </c>
    </row>
    <row r="139" spans="11:12" x14ac:dyDescent="0.4">
      <c r="K139" s="32">
        <v>137</v>
      </c>
      <c r="L139" s="91">
        <v>-505.9</v>
      </c>
    </row>
    <row r="140" spans="11:12" x14ac:dyDescent="0.4">
      <c r="K140" s="32">
        <v>138</v>
      </c>
      <c r="L140" s="91">
        <v>-553.9</v>
      </c>
    </row>
    <row r="141" spans="11:12" x14ac:dyDescent="0.4">
      <c r="K141" s="32">
        <v>139</v>
      </c>
      <c r="L141" s="91">
        <v>-539.4</v>
      </c>
    </row>
    <row r="142" spans="11:12" x14ac:dyDescent="0.4">
      <c r="K142" s="32">
        <v>140</v>
      </c>
      <c r="L142" s="91">
        <v>-522.19999999999993</v>
      </c>
    </row>
    <row r="143" spans="11:12" x14ac:dyDescent="0.4">
      <c r="K143" s="32">
        <v>141</v>
      </c>
      <c r="L143" s="91">
        <v>-537.09999999999991</v>
      </c>
    </row>
    <row r="144" spans="11:12" x14ac:dyDescent="0.4">
      <c r="K144" s="32">
        <v>142</v>
      </c>
      <c r="L144" s="91">
        <v>-538.49999999999989</v>
      </c>
    </row>
  </sheetData>
  <sortState xmlns:xlrd2="http://schemas.microsoft.com/office/spreadsheetml/2017/richdata2" ref="E2:I145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9845-FF0A-44CC-9C93-CA3F2CC1AC06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196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65</v>
      </c>
      <c r="C2" s="147"/>
      <c r="E2" s="54" t="s">
        <v>274</v>
      </c>
      <c r="F2" s="51" t="s">
        <v>275</v>
      </c>
      <c r="G2" s="39">
        <v>69</v>
      </c>
      <c r="H2" s="123">
        <f t="shared" ref="H2:H33" si="0">IF(B$51=0,0,G2/B$51)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-164.61538461538461</v>
      </c>
      <c r="P2" s="109">
        <v>65</v>
      </c>
      <c r="Q2" s="93">
        <v>-10700</v>
      </c>
    </row>
    <row r="3" spans="1:17" x14ac:dyDescent="0.4">
      <c r="A3" s="47" t="s">
        <v>8</v>
      </c>
      <c r="B3" s="148">
        <v>474</v>
      </c>
      <c r="C3" s="149"/>
      <c r="E3" s="55" t="s">
        <v>66</v>
      </c>
      <c r="F3" s="52" t="s">
        <v>22</v>
      </c>
      <c r="G3" s="40">
        <v>65</v>
      </c>
      <c r="H3" s="124">
        <f t="shared" si="0"/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1"/>
        <v>2222.5806451612902</v>
      </c>
      <c r="P3" s="110">
        <v>62</v>
      </c>
      <c r="Q3" s="94">
        <v>137800</v>
      </c>
    </row>
    <row r="4" spans="1:17" x14ac:dyDescent="0.4">
      <c r="A4" s="47" t="s">
        <v>6</v>
      </c>
      <c r="B4" s="150">
        <v>270.8</v>
      </c>
      <c r="C4" s="151"/>
      <c r="E4" s="55" t="s">
        <v>72</v>
      </c>
      <c r="F4" s="52" t="s">
        <v>27</v>
      </c>
      <c r="G4" s="40">
        <v>49</v>
      </c>
      <c r="H4" s="124">
        <f t="shared" si="0"/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1"/>
        <v>-1800</v>
      </c>
      <c r="P4" s="110">
        <v>59</v>
      </c>
      <c r="Q4" s="94">
        <v>-106200</v>
      </c>
    </row>
    <row r="5" spans="1:17" x14ac:dyDescent="0.4">
      <c r="A5" s="47" t="s">
        <v>7</v>
      </c>
      <c r="B5" s="152">
        <f>IF(B$2=0,0,B$4/B$2)</f>
        <v>4.1661538461538461</v>
      </c>
      <c r="C5" s="153"/>
      <c r="E5" s="55" t="s">
        <v>64</v>
      </c>
      <c r="F5" s="52" t="s">
        <v>20</v>
      </c>
      <c r="G5" s="40">
        <v>31</v>
      </c>
      <c r="H5" s="124">
        <f t="shared" si="0"/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1"/>
        <v>-832</v>
      </c>
      <c r="P5" s="110">
        <v>50</v>
      </c>
      <c r="Q5" s="94">
        <v>-41600</v>
      </c>
    </row>
    <row r="6" spans="1:17" x14ac:dyDescent="0.4">
      <c r="A6" s="47" t="s">
        <v>1</v>
      </c>
      <c r="B6" s="160">
        <f>IF(B$2=0,0,(B$7*1+B$8*2+B$9*3)/B$2)</f>
        <v>1.9230769230769231</v>
      </c>
      <c r="C6" s="161"/>
      <c r="E6" s="55" t="s">
        <v>68</v>
      </c>
      <c r="F6" s="52" t="s">
        <v>12</v>
      </c>
      <c r="G6" s="40">
        <v>20</v>
      </c>
      <c r="H6" s="124">
        <f t="shared" si="0"/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1"/>
        <v>6852.272727272727</v>
      </c>
      <c r="P6" s="110">
        <v>44</v>
      </c>
      <c r="Q6" s="94">
        <v>301500</v>
      </c>
    </row>
    <row r="7" spans="1:17" x14ac:dyDescent="0.4">
      <c r="A7" s="47" t="s">
        <v>2</v>
      </c>
      <c r="B7" s="40">
        <v>22</v>
      </c>
      <c r="C7" s="33">
        <f t="shared" ref="C7:C14" si="2">IF(B$2=0,0,B7/B$2)</f>
        <v>0.33846153846153848</v>
      </c>
      <c r="E7" s="55" t="s">
        <v>67</v>
      </c>
      <c r="F7" s="52" t="s">
        <v>23</v>
      </c>
      <c r="G7" s="40">
        <v>19</v>
      </c>
      <c r="H7" s="124">
        <f t="shared" si="0"/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1"/>
        <v>-237.5</v>
      </c>
      <c r="P7" s="111">
        <v>32</v>
      </c>
      <c r="Q7" s="95">
        <v>-7600</v>
      </c>
    </row>
    <row r="8" spans="1:17" x14ac:dyDescent="0.4">
      <c r="A8" s="47" t="s">
        <v>3</v>
      </c>
      <c r="B8" s="40">
        <v>26</v>
      </c>
      <c r="C8" s="33">
        <f t="shared" si="2"/>
        <v>0.4</v>
      </c>
      <c r="E8" s="55" t="s">
        <v>69</v>
      </c>
      <c r="F8" s="52" t="s">
        <v>24</v>
      </c>
      <c r="G8" s="40">
        <v>8</v>
      </c>
      <c r="H8" s="124">
        <f t="shared" si="0"/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">
      <c r="A9" s="48" t="s">
        <v>4</v>
      </c>
      <c r="B9" s="41">
        <v>17</v>
      </c>
      <c r="C9" s="34">
        <f t="shared" si="2"/>
        <v>0.26153846153846155</v>
      </c>
      <c r="E9" s="55" t="s">
        <v>83</v>
      </c>
      <c r="F9" s="52" t="s">
        <v>38</v>
      </c>
      <c r="G9" s="40">
        <v>8</v>
      </c>
      <c r="H9" s="124">
        <f t="shared" si="0"/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33.93181818181818</v>
      </c>
      <c r="C10" s="141">
        <v>746.5</v>
      </c>
      <c r="E10" s="55" t="s">
        <v>89</v>
      </c>
      <c r="F10" s="52" t="s">
        <v>44</v>
      </c>
      <c r="G10" s="40">
        <v>6</v>
      </c>
      <c r="H10" s="124">
        <f t="shared" si="0"/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">
      <c r="A11" s="48" t="s">
        <v>277</v>
      </c>
      <c r="B11" s="140">
        <f>IF(B8=0,0,C11/B8)</f>
        <v>-1.0692307692307694</v>
      </c>
      <c r="C11" s="141">
        <v>-27.800000000000004</v>
      </c>
      <c r="E11" s="55" t="s">
        <v>65</v>
      </c>
      <c r="F11" s="52" t="s">
        <v>21</v>
      </c>
      <c r="G11" s="40">
        <v>5</v>
      </c>
      <c r="H11" s="124">
        <f t="shared" si="0"/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">
      <c r="A12" s="48" t="s">
        <v>278</v>
      </c>
      <c r="B12" s="140">
        <f>IF(B9=0,0,C12/B9)</f>
        <v>-26.347058823529409</v>
      </c>
      <c r="C12" s="141">
        <v>-447.9</v>
      </c>
      <c r="E12" s="55" t="s">
        <v>70</v>
      </c>
      <c r="F12" s="52" t="s">
        <v>25</v>
      </c>
      <c r="G12" s="40">
        <v>5</v>
      </c>
      <c r="H12" s="124">
        <f t="shared" si="0"/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">
      <c r="A13" s="48" t="s">
        <v>279</v>
      </c>
      <c r="B13" s="152">
        <f>AVERAGE(B10:B12)</f>
        <v>2.1718428630193336</v>
      </c>
      <c r="C13" s="153"/>
      <c r="E13" s="55" t="s">
        <v>81</v>
      </c>
      <c r="F13" s="52" t="s">
        <v>36</v>
      </c>
      <c r="G13" s="40">
        <v>4</v>
      </c>
      <c r="H13" s="124">
        <f t="shared" si="0"/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7</v>
      </c>
      <c r="C14" s="36">
        <f t="shared" si="2"/>
        <v>0.1076923076923077</v>
      </c>
      <c r="E14" s="55" t="s">
        <v>86</v>
      </c>
      <c r="F14" s="52" t="s">
        <v>41</v>
      </c>
      <c r="G14" s="40">
        <v>3</v>
      </c>
      <c r="H14" s="124">
        <f t="shared" si="0"/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55</v>
      </c>
      <c r="C15" s="38">
        <f>IF(B$50=0,0,B15/B$50)</f>
        <v>0.23305084745762711</v>
      </c>
      <c r="E15" s="55" t="s">
        <v>71</v>
      </c>
      <c r="F15" s="52" t="s">
        <v>26</v>
      </c>
      <c r="G15" s="40">
        <v>2</v>
      </c>
      <c r="H15" s="124">
        <f t="shared" si="0"/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 t="shared" ref="O15:O25" si="3">IF(P15=0,0,Q15/P15)</f>
        <v>34</v>
      </c>
      <c r="P15" s="109">
        <v>1</v>
      </c>
      <c r="Q15" s="97">
        <v>34</v>
      </c>
    </row>
    <row r="16" spans="1:17" x14ac:dyDescent="0.4">
      <c r="A16" s="47" t="s">
        <v>118</v>
      </c>
      <c r="B16" s="40">
        <v>70</v>
      </c>
      <c r="C16" s="33">
        <f>IF(B$50=0,0,B16/B$50)</f>
        <v>0.29661016949152541</v>
      </c>
      <c r="E16" s="55" t="s">
        <v>91</v>
      </c>
      <c r="F16" s="52" t="s">
        <v>46</v>
      </c>
      <c r="G16" s="40">
        <v>2</v>
      </c>
      <c r="H16" s="124">
        <f t="shared" si="0"/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 t="shared" si="3"/>
        <v>26.766666666666666</v>
      </c>
      <c r="P16" s="110">
        <v>3</v>
      </c>
      <c r="Q16" s="98">
        <v>80.3</v>
      </c>
    </row>
    <row r="17" spans="1:17" x14ac:dyDescent="0.4">
      <c r="A17" s="46" t="s">
        <v>123</v>
      </c>
      <c r="B17" s="39">
        <f>B23</f>
        <v>32</v>
      </c>
      <c r="C17" s="31">
        <f>IF(B$15=0,0,B17/B$15)</f>
        <v>0.58181818181818179</v>
      </c>
      <c r="E17" s="55" t="s">
        <v>78</v>
      </c>
      <c r="F17" s="52" t="s">
        <v>33</v>
      </c>
      <c r="G17" s="40">
        <v>1</v>
      </c>
      <c r="H17" s="124">
        <f t="shared" si="0"/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 t="shared" si="3"/>
        <v>24.85</v>
      </c>
      <c r="P17" s="110">
        <v>2</v>
      </c>
      <c r="Q17" s="98">
        <v>49.7</v>
      </c>
    </row>
    <row r="18" spans="1:17" x14ac:dyDescent="0.4">
      <c r="A18" s="46" t="s">
        <v>124</v>
      </c>
      <c r="B18" s="39">
        <f>B24</f>
        <v>30</v>
      </c>
      <c r="C18" s="31">
        <f>IF(B$16=0,0,B18/B$16)</f>
        <v>0.42857142857142855</v>
      </c>
      <c r="E18" s="55" t="s">
        <v>93</v>
      </c>
      <c r="F18" s="52" t="s">
        <v>48</v>
      </c>
      <c r="G18" s="40">
        <v>1</v>
      </c>
      <c r="H18" s="124">
        <f t="shared" si="0"/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 t="shared" si="3"/>
        <v>21.200000000000003</v>
      </c>
      <c r="P18" s="110">
        <v>3</v>
      </c>
      <c r="Q18" s="98">
        <v>63.600000000000009</v>
      </c>
    </row>
    <row r="19" spans="1:17" x14ac:dyDescent="0.4">
      <c r="A19" s="46" t="s">
        <v>10</v>
      </c>
      <c r="B19" s="39">
        <f>B22+B21</f>
        <v>163</v>
      </c>
      <c r="C19" s="31">
        <f>IF(B$3=0,0,B19/B$3)</f>
        <v>0.34388185654008441</v>
      </c>
      <c r="E19" s="55" t="s">
        <v>73</v>
      </c>
      <c r="F19" s="52" t="s">
        <v>28</v>
      </c>
      <c r="G19" s="40">
        <v>0</v>
      </c>
      <c r="H19" s="124">
        <f t="shared" si="0"/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 t="shared" si="3"/>
        <v>16.333333333333332</v>
      </c>
      <c r="P19" s="110">
        <v>3</v>
      </c>
      <c r="Q19" s="98">
        <v>48.999999999999993</v>
      </c>
    </row>
    <row r="20" spans="1:17" x14ac:dyDescent="0.4">
      <c r="A20" s="47" t="s">
        <v>13</v>
      </c>
      <c r="B20" s="40">
        <v>73</v>
      </c>
      <c r="C20" s="33">
        <f>IF(B$3=0,0,B20/B$3)</f>
        <v>0.15400843881856541</v>
      </c>
      <c r="E20" s="55" t="s">
        <v>74</v>
      </c>
      <c r="F20" s="52" t="s">
        <v>29</v>
      </c>
      <c r="G20" s="40">
        <v>0</v>
      </c>
      <c r="H20" s="124">
        <f t="shared" si="0"/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 t="shared" si="3"/>
        <v>15.958974358974352</v>
      </c>
      <c r="P20" s="110">
        <v>39</v>
      </c>
      <c r="Q20" s="98">
        <v>622.39999999999975</v>
      </c>
    </row>
    <row r="21" spans="1:17" x14ac:dyDescent="0.4">
      <c r="A21" s="47" t="s">
        <v>12</v>
      </c>
      <c r="B21" s="40">
        <v>70</v>
      </c>
      <c r="C21" s="33">
        <f>IF(B$19=0,0,B21/B$19)</f>
        <v>0.42944785276073622</v>
      </c>
      <c r="E21" s="55" t="s">
        <v>75</v>
      </c>
      <c r="F21" s="52" t="s">
        <v>30</v>
      </c>
      <c r="G21" s="40">
        <v>0</v>
      </c>
      <c r="H21" s="124">
        <f t="shared" si="0"/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 t="shared" si="3"/>
        <v>9.65</v>
      </c>
      <c r="P21" s="110">
        <v>2</v>
      </c>
      <c r="Q21" s="98">
        <v>19.3</v>
      </c>
    </row>
    <row r="22" spans="1:17" x14ac:dyDescent="0.4">
      <c r="A22" s="47" t="s">
        <v>11</v>
      </c>
      <c r="B22" s="40">
        <v>93</v>
      </c>
      <c r="C22" s="33">
        <f>IF(B$19=0,0,B22/B$19)</f>
        <v>0.57055214723926384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 t="shared" si="3"/>
        <v>8.3750000000000036</v>
      </c>
      <c r="P22" s="110">
        <v>8</v>
      </c>
      <c r="Q22" s="98">
        <v>67.000000000000028</v>
      </c>
    </row>
    <row r="23" spans="1:17" x14ac:dyDescent="0.4">
      <c r="A23" s="47" t="s">
        <v>189</v>
      </c>
      <c r="B23" s="40">
        <v>32</v>
      </c>
      <c r="C23" s="33">
        <f>IF(B$19=0,0,B23/B$19)</f>
        <v>0.19631901840490798</v>
      </c>
      <c r="E23" s="55" t="s">
        <v>77</v>
      </c>
      <c r="F23" s="52" t="s">
        <v>32</v>
      </c>
      <c r="G23" s="40">
        <v>0</v>
      </c>
      <c r="H23" s="124">
        <f t="shared" si="0"/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 t="shared" si="3"/>
        <v>-1.0272727272727269</v>
      </c>
      <c r="P23" s="110">
        <v>55</v>
      </c>
      <c r="Q23" s="98">
        <v>-56.499999999999979</v>
      </c>
    </row>
    <row r="24" spans="1:17" x14ac:dyDescent="0.4">
      <c r="A24" s="47" t="s">
        <v>187</v>
      </c>
      <c r="B24" s="40">
        <v>30</v>
      </c>
      <c r="C24" s="33">
        <f>IF(B$19=0,0,B24/B$19)</f>
        <v>0.18404907975460122</v>
      </c>
      <c r="E24" s="55" t="s">
        <v>79</v>
      </c>
      <c r="F24" s="52" t="s">
        <v>34</v>
      </c>
      <c r="G24" s="40">
        <v>0</v>
      </c>
      <c r="H24" s="124">
        <f t="shared" si="0"/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 t="shared" si="3"/>
        <v>-4.9000000000000004</v>
      </c>
      <c r="P24" s="110">
        <v>2</v>
      </c>
      <c r="Q24" s="98">
        <v>-9.8000000000000007</v>
      </c>
    </row>
    <row r="25" spans="1:17" x14ac:dyDescent="0.4">
      <c r="A25" s="47" t="s">
        <v>188</v>
      </c>
      <c r="B25" s="40">
        <v>101</v>
      </c>
      <c r="C25" s="33">
        <f>IF(B$19=0,0,B25/B$19)</f>
        <v>0.61963190184049077</v>
      </c>
      <c r="E25" s="55" t="s">
        <v>80</v>
      </c>
      <c r="F25" s="52" t="s">
        <v>35</v>
      </c>
      <c r="G25" s="40">
        <v>0</v>
      </c>
      <c r="H25" s="124">
        <f t="shared" si="0"/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 t="shared" si="3"/>
        <v>-8.8833333333333329</v>
      </c>
      <c r="P25" s="110">
        <v>12</v>
      </c>
      <c r="Q25" s="98">
        <v>-106.6</v>
      </c>
    </row>
    <row r="26" spans="1:17" x14ac:dyDescent="0.4">
      <c r="A26" s="47" t="s">
        <v>5</v>
      </c>
      <c r="B26" s="44">
        <f>IF(B$19=0,0,C26/B$19)</f>
        <v>9707.3619631901838</v>
      </c>
      <c r="C26" s="35">
        <v>1582300</v>
      </c>
      <c r="E26" s="55" t="s">
        <v>82</v>
      </c>
      <c r="F26" s="52" t="s">
        <v>37</v>
      </c>
      <c r="G26" s="40">
        <v>0</v>
      </c>
      <c r="H26" s="124">
        <f t="shared" si="0"/>
        <v>0</v>
      </c>
      <c r="I26" s="86">
        <v>1</v>
      </c>
      <c r="K26" s="32">
        <v>24</v>
      </c>
      <c r="L26" s="91">
        <v>51.29999999999999</v>
      </c>
    </row>
    <row r="27" spans="1:17" x14ac:dyDescent="0.4">
      <c r="A27" s="48" t="s">
        <v>171</v>
      </c>
      <c r="B27" s="127">
        <f>IF($B$19-B$18=0,0,C27/($B$19-B$18))</f>
        <v>9974.436090225563</v>
      </c>
      <c r="C27" s="128">
        <v>1326600</v>
      </c>
      <c r="E27" s="55" t="s">
        <v>84</v>
      </c>
      <c r="F27" s="52" t="s">
        <v>39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60.79999999999999</v>
      </c>
    </row>
    <row r="28" spans="1:17" x14ac:dyDescent="0.4">
      <c r="A28" s="48" t="s">
        <v>172</v>
      </c>
      <c r="B28" s="127">
        <f>IF(B$18=0,0,C28/B$18)</f>
        <v>8523.3333333333339</v>
      </c>
      <c r="C28" s="128">
        <v>255700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143.79999999999998</v>
      </c>
    </row>
    <row r="29" spans="1:17" x14ac:dyDescent="0.4">
      <c r="A29" s="48" t="s">
        <v>170</v>
      </c>
      <c r="B29" s="127">
        <f>IF(B$20=0,0,C29/B$20)</f>
        <v>-8854.7945205479446</v>
      </c>
      <c r="C29" s="128">
        <v>-646400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164.79999999999998</v>
      </c>
    </row>
    <row r="30" spans="1:17" x14ac:dyDescent="0.4">
      <c r="A30" s="47" t="s">
        <v>162</v>
      </c>
      <c r="B30" s="40">
        <v>5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177.7</v>
      </c>
    </row>
    <row r="31" spans="1:17" x14ac:dyDescent="0.4">
      <c r="A31" s="47" t="s">
        <v>163</v>
      </c>
      <c r="B31" s="40">
        <v>28</v>
      </c>
      <c r="C31" s="126">
        <v>12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208</v>
      </c>
    </row>
    <row r="32" spans="1:17" x14ac:dyDescent="0.4">
      <c r="A32" s="82" t="s">
        <v>138</v>
      </c>
      <c r="B32" s="158">
        <v>7</v>
      </c>
      <c r="C32" s="159"/>
      <c r="E32" s="55" t="s">
        <v>92</v>
      </c>
      <c r="F32" s="52" t="s">
        <v>47</v>
      </c>
      <c r="G32" s="40">
        <v>0</v>
      </c>
      <c r="H32" s="124">
        <f t="shared" si="0"/>
        <v>0</v>
      </c>
      <c r="I32" s="86">
        <v>7</v>
      </c>
      <c r="K32" s="32">
        <v>30</v>
      </c>
      <c r="L32" s="91">
        <v>201.5</v>
      </c>
    </row>
    <row r="33" spans="1:12" x14ac:dyDescent="0.4">
      <c r="A33" s="50" t="s">
        <v>186</v>
      </c>
      <c r="B33" s="156">
        <v>118000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189.9</v>
      </c>
    </row>
    <row r="34" spans="1:12" x14ac:dyDescent="0.4">
      <c r="A34" s="49" t="s">
        <v>139</v>
      </c>
      <c r="B34" s="57">
        <v>1</v>
      </c>
      <c r="C34" s="36">
        <f>IF(B$3=0,0,B34/B$3)</f>
        <v>2.1097046413502108E-3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207.4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248.4</v>
      </c>
    </row>
    <row r="36" spans="1:12" x14ac:dyDescent="0.4">
      <c r="A36" s="82" t="s">
        <v>177</v>
      </c>
      <c r="B36" s="136">
        <v>9</v>
      </c>
      <c r="C36" s="132">
        <f>IF(B$19=0,0,B36/B$19)</f>
        <v>5.5214723926380369E-2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237.9</v>
      </c>
    </row>
    <row r="37" spans="1:12" x14ac:dyDescent="0.4">
      <c r="A37" s="47" t="s">
        <v>173</v>
      </c>
      <c r="B37" s="40">
        <v>11</v>
      </c>
      <c r="C37" s="33">
        <f t="shared" ref="C37:C48" si="5">IF(B$19=0,0,B37/B$19)</f>
        <v>6.7484662576687116E-2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191.9</v>
      </c>
    </row>
    <row r="38" spans="1:12" x14ac:dyDescent="0.4">
      <c r="A38" s="47" t="s">
        <v>174</v>
      </c>
      <c r="B38" s="139">
        <v>12</v>
      </c>
      <c r="C38" s="33">
        <f>IF(B$19=0,0,B38/B$19)</f>
        <v>7.3619631901840496E-2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239</v>
      </c>
    </row>
    <row r="39" spans="1:12" x14ac:dyDescent="0.4">
      <c r="A39" s="47" t="s">
        <v>175</v>
      </c>
      <c r="B39" s="139">
        <v>9</v>
      </c>
      <c r="C39" s="33">
        <f t="shared" si="5"/>
        <v>5.5214723926380369E-2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253.8</v>
      </c>
    </row>
    <row r="40" spans="1:12" x14ac:dyDescent="0.4">
      <c r="A40" s="47" t="s">
        <v>176</v>
      </c>
      <c r="B40" s="139">
        <v>11</v>
      </c>
      <c r="C40" s="33">
        <f t="shared" si="5"/>
        <v>6.7484662576687116E-2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235.60000000000002</v>
      </c>
    </row>
    <row r="41" spans="1:12" x14ac:dyDescent="0.4">
      <c r="A41" s="47" t="s">
        <v>178</v>
      </c>
      <c r="B41" s="139">
        <v>7</v>
      </c>
      <c r="C41" s="33">
        <f t="shared" si="5"/>
        <v>4.2944785276073622E-2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236.00000000000003</v>
      </c>
    </row>
    <row r="42" spans="1:12" x14ac:dyDescent="0.4">
      <c r="A42" s="47" t="s">
        <v>179</v>
      </c>
      <c r="B42" s="139">
        <v>7</v>
      </c>
      <c r="C42" s="33">
        <f t="shared" si="5"/>
        <v>4.2944785276073622E-2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239.10000000000002</v>
      </c>
    </row>
    <row r="43" spans="1:12" x14ac:dyDescent="0.4">
      <c r="A43" s="47" t="s">
        <v>180</v>
      </c>
      <c r="B43" s="139">
        <v>3</v>
      </c>
      <c r="C43" s="33">
        <f t="shared" si="5"/>
        <v>1.8404907975460124E-2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237.10000000000002</v>
      </c>
    </row>
    <row r="44" spans="1:12" x14ac:dyDescent="0.4">
      <c r="A44" s="47" t="s">
        <v>181</v>
      </c>
      <c r="B44" s="139">
        <v>4</v>
      </c>
      <c r="C44" s="33">
        <f t="shared" si="5"/>
        <v>2.4539877300613498E-2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258.3</v>
      </c>
    </row>
    <row r="45" spans="1:12" x14ac:dyDescent="0.4">
      <c r="A45" s="47" t="s">
        <v>182</v>
      </c>
      <c r="B45" s="139">
        <v>2</v>
      </c>
      <c r="C45" s="33">
        <f t="shared" si="5"/>
        <v>1.2269938650306749E-2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291.10000000000002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282.3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251.10000000000002</v>
      </c>
    </row>
    <row r="48" spans="1:12" x14ac:dyDescent="0.4">
      <c r="A48" s="49" t="s">
        <v>185</v>
      </c>
      <c r="B48" s="135">
        <v>1</v>
      </c>
      <c r="C48" s="36">
        <f t="shared" si="5"/>
        <v>6.1349693251533744E-3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215.60000000000002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194.90000000000003</v>
      </c>
    </row>
    <row r="50" spans="1:12" x14ac:dyDescent="0.4">
      <c r="A50" s="82" t="s">
        <v>197</v>
      </c>
      <c r="B50" s="146">
        <v>236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216.70000000000005</v>
      </c>
    </row>
    <row r="51" spans="1:12" x14ac:dyDescent="0.4">
      <c r="A51" s="49" t="s">
        <v>198</v>
      </c>
      <c r="B51" s="154">
        <v>76</v>
      </c>
      <c r="C51" s="155"/>
      <c r="K51" s="32">
        <v>49</v>
      </c>
      <c r="L51" s="91">
        <v>213.90000000000003</v>
      </c>
    </row>
    <row r="52" spans="1:12" x14ac:dyDescent="0.4">
      <c r="K52" s="32">
        <v>50</v>
      </c>
      <c r="L52" s="91">
        <v>213.90000000000003</v>
      </c>
    </row>
    <row r="53" spans="1:12" x14ac:dyDescent="0.4">
      <c r="K53" s="32">
        <v>51</v>
      </c>
      <c r="L53" s="91">
        <v>292.60000000000002</v>
      </c>
    </row>
    <row r="54" spans="1:12" x14ac:dyDescent="0.4">
      <c r="K54" s="32">
        <v>52</v>
      </c>
      <c r="L54" s="91">
        <v>319.10000000000002</v>
      </c>
    </row>
    <row r="55" spans="1:12" x14ac:dyDescent="0.4">
      <c r="K55" s="32">
        <v>53</v>
      </c>
      <c r="L55" s="91">
        <v>268.60000000000002</v>
      </c>
    </row>
    <row r="56" spans="1:12" x14ac:dyDescent="0.4">
      <c r="K56" s="32">
        <v>54</v>
      </c>
      <c r="L56" s="91">
        <v>253.50000000000003</v>
      </c>
    </row>
    <row r="57" spans="1:12" x14ac:dyDescent="0.4">
      <c r="K57" s="32">
        <v>55</v>
      </c>
      <c r="L57" s="91">
        <v>269.40000000000003</v>
      </c>
    </row>
    <row r="58" spans="1:12" x14ac:dyDescent="0.4">
      <c r="K58" s="32">
        <v>56</v>
      </c>
      <c r="L58" s="91">
        <v>273.8</v>
      </c>
    </row>
    <row r="59" spans="1:12" x14ac:dyDescent="0.4">
      <c r="K59" s="32">
        <v>57</v>
      </c>
      <c r="L59" s="91">
        <v>260.3</v>
      </c>
    </row>
    <row r="60" spans="1:12" x14ac:dyDescent="0.4">
      <c r="K60" s="32">
        <v>58</v>
      </c>
      <c r="L60" s="91">
        <v>293.3</v>
      </c>
    </row>
    <row r="61" spans="1:12" x14ac:dyDescent="0.4">
      <c r="K61" s="32">
        <v>59</v>
      </c>
      <c r="L61" s="91">
        <v>283.3</v>
      </c>
    </row>
    <row r="62" spans="1:12" x14ac:dyDescent="0.4">
      <c r="K62" s="32">
        <v>60</v>
      </c>
      <c r="L62" s="91">
        <v>272.60000000000002</v>
      </c>
    </row>
    <row r="63" spans="1:12" x14ac:dyDescent="0.4">
      <c r="K63" s="32">
        <v>61</v>
      </c>
      <c r="L63" s="91">
        <v>259.20000000000005</v>
      </c>
    </row>
    <row r="64" spans="1:12" x14ac:dyDescent="0.4">
      <c r="K64" s="32">
        <v>62</v>
      </c>
      <c r="L64" s="91">
        <v>252.20000000000005</v>
      </c>
    </row>
    <row r="65" spans="11:12" x14ac:dyDescent="0.4">
      <c r="K65" s="32">
        <v>63</v>
      </c>
      <c r="L65" s="91">
        <v>246.20000000000005</v>
      </c>
    </row>
    <row r="66" spans="11:12" x14ac:dyDescent="0.4">
      <c r="K66" s="32">
        <v>64</v>
      </c>
      <c r="L66" s="91">
        <v>264.90000000000003</v>
      </c>
    </row>
    <row r="67" spans="11:12" x14ac:dyDescent="0.4">
      <c r="K67" s="32">
        <v>65</v>
      </c>
      <c r="L67" s="91">
        <v>270.8</v>
      </c>
    </row>
  </sheetData>
  <sortState xmlns:xlrd2="http://schemas.microsoft.com/office/spreadsheetml/2017/richdata2" ref="E2:I68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93AD-E3A1-49B6-B89D-958E003A4F9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205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5</v>
      </c>
      <c r="C2" s="147"/>
      <c r="E2" s="54" t="s">
        <v>64</v>
      </c>
      <c r="F2" s="51" t="s">
        <v>20</v>
      </c>
      <c r="G2" s="39">
        <v>6</v>
      </c>
      <c r="H2" s="123">
        <f t="shared" ref="H2:H33" si="0">IF(B$51=0,0,G2/B$51)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-2740</v>
      </c>
      <c r="P2" s="109">
        <v>5</v>
      </c>
      <c r="Q2" s="93">
        <v>-13700</v>
      </c>
    </row>
    <row r="3" spans="1:17" x14ac:dyDescent="0.4">
      <c r="A3" s="47" t="s">
        <v>8</v>
      </c>
      <c r="B3" s="148">
        <v>37</v>
      </c>
      <c r="C3" s="149"/>
      <c r="E3" s="55" t="s">
        <v>274</v>
      </c>
      <c r="F3" s="52" t="s">
        <v>275</v>
      </c>
      <c r="G3" s="40">
        <v>6</v>
      </c>
      <c r="H3" s="124">
        <f t="shared" si="0"/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1"/>
        <v>1500</v>
      </c>
      <c r="P3" s="110">
        <v>5</v>
      </c>
      <c r="Q3" s="94">
        <v>7500</v>
      </c>
    </row>
    <row r="4" spans="1:17" x14ac:dyDescent="0.4">
      <c r="A4" s="47" t="s">
        <v>6</v>
      </c>
      <c r="B4" s="150">
        <v>-86.4</v>
      </c>
      <c r="C4" s="151"/>
      <c r="E4" s="55" t="s">
        <v>65</v>
      </c>
      <c r="F4" s="52" t="s">
        <v>21</v>
      </c>
      <c r="G4" s="40">
        <v>4</v>
      </c>
      <c r="H4" s="124">
        <f t="shared" si="0"/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1"/>
        <v>-11250</v>
      </c>
      <c r="P4" s="110">
        <v>4</v>
      </c>
      <c r="Q4" s="94">
        <v>-45000</v>
      </c>
    </row>
    <row r="5" spans="1:17" x14ac:dyDescent="0.4">
      <c r="A5" s="47" t="s">
        <v>7</v>
      </c>
      <c r="B5" s="152">
        <f>IF(B$2=0,0,B$4/B$2)</f>
        <v>-17.28</v>
      </c>
      <c r="C5" s="153"/>
      <c r="E5" s="55" t="s">
        <v>72</v>
      </c>
      <c r="F5" s="52" t="s">
        <v>27</v>
      </c>
      <c r="G5" s="40">
        <v>4</v>
      </c>
      <c r="H5" s="124">
        <f t="shared" si="0"/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1"/>
        <v>-12000</v>
      </c>
      <c r="P5" s="110">
        <v>3</v>
      </c>
      <c r="Q5" s="94">
        <v>-36000</v>
      </c>
    </row>
    <row r="6" spans="1:17" x14ac:dyDescent="0.4">
      <c r="A6" s="47" t="s">
        <v>1</v>
      </c>
      <c r="B6" s="160">
        <f>IF(B$2=0,0,(B$7*1+B$8*2+B$9*3)/B$2)</f>
        <v>2.2000000000000002</v>
      </c>
      <c r="C6" s="161"/>
      <c r="E6" s="55" t="s">
        <v>68</v>
      </c>
      <c r="F6" s="52" t="s">
        <v>12</v>
      </c>
      <c r="G6" s="40">
        <v>3</v>
      </c>
      <c r="H6" s="124">
        <f t="shared" si="0"/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1"/>
        <v>5400</v>
      </c>
      <c r="P6" s="110">
        <v>2</v>
      </c>
      <c r="Q6" s="94">
        <v>10800</v>
      </c>
    </row>
    <row r="7" spans="1:17" x14ac:dyDescent="0.4">
      <c r="A7" s="47" t="s">
        <v>2</v>
      </c>
      <c r="B7" s="40">
        <v>1</v>
      </c>
      <c r="C7" s="33">
        <f t="shared" ref="C7:C14" si="2">IF(B$2=0,0,B7/B$2)</f>
        <v>0.2</v>
      </c>
      <c r="E7" s="55" t="s">
        <v>67</v>
      </c>
      <c r="F7" s="52" t="s">
        <v>23</v>
      </c>
      <c r="G7" s="40">
        <v>2</v>
      </c>
      <c r="H7" s="124">
        <f t="shared" si="0"/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1"/>
        <v>-5000</v>
      </c>
      <c r="P7" s="111">
        <v>2</v>
      </c>
      <c r="Q7" s="95">
        <v>-10000</v>
      </c>
    </row>
    <row r="8" spans="1:17" x14ac:dyDescent="0.4">
      <c r="A8" s="47" t="s">
        <v>3</v>
      </c>
      <c r="B8" s="40">
        <v>2</v>
      </c>
      <c r="C8" s="33">
        <f t="shared" si="2"/>
        <v>0.4</v>
      </c>
      <c r="E8" s="55" t="s">
        <v>79</v>
      </c>
      <c r="F8" s="52" t="s">
        <v>34</v>
      </c>
      <c r="G8" s="40">
        <v>2</v>
      </c>
      <c r="H8" s="124">
        <f t="shared" si="0"/>
        <v>0.22222222222222221</v>
      </c>
      <c r="I8" s="86">
        <v>1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2"/>
        <v>0.4</v>
      </c>
      <c r="E9" s="55" t="s">
        <v>66</v>
      </c>
      <c r="F9" s="52" t="s">
        <v>22</v>
      </c>
      <c r="G9" s="40">
        <v>1</v>
      </c>
      <c r="H9" s="124">
        <f t="shared" si="0"/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22.8</v>
      </c>
      <c r="C10" s="141">
        <v>22.8</v>
      </c>
      <c r="E10" s="55" t="s">
        <v>69</v>
      </c>
      <c r="F10" s="52" t="s">
        <v>24</v>
      </c>
      <c r="G10" s="40">
        <v>1</v>
      </c>
      <c r="H10" s="124">
        <f t="shared" si="0"/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">
      <c r="A11" s="48" t="s">
        <v>277</v>
      </c>
      <c r="B11" s="140">
        <f>IF(B8=0,0,C11/B8)</f>
        <v>-23.950000000000003</v>
      </c>
      <c r="C11" s="141">
        <v>-47.900000000000006</v>
      </c>
      <c r="E11" s="55" t="s">
        <v>86</v>
      </c>
      <c r="F11" s="52" t="s">
        <v>41</v>
      </c>
      <c r="G11" s="40">
        <v>1</v>
      </c>
      <c r="H11" s="124">
        <f t="shared" si="0"/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">
      <c r="A12" s="48" t="s">
        <v>278</v>
      </c>
      <c r="B12" s="140">
        <f>IF(B9=0,0,C12/B9)</f>
        <v>-30.65</v>
      </c>
      <c r="C12" s="141">
        <v>-61.3</v>
      </c>
      <c r="E12" s="55" t="s">
        <v>70</v>
      </c>
      <c r="F12" s="52" t="s">
        <v>25</v>
      </c>
      <c r="G12" s="40">
        <v>0</v>
      </c>
      <c r="H12" s="124">
        <f t="shared" si="0"/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2">
        <f>AVERAGE(B10:B12)</f>
        <v>-10.6</v>
      </c>
      <c r="C13" s="153"/>
      <c r="E13" s="55" t="s">
        <v>71</v>
      </c>
      <c r="F13" s="52" t="s">
        <v>26</v>
      </c>
      <c r="G13" s="40">
        <v>0</v>
      </c>
      <c r="H13" s="124">
        <f t="shared" si="0"/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2"/>
        <v>0.4</v>
      </c>
      <c r="E14" s="55" t="s">
        <v>73</v>
      </c>
      <c r="F14" s="52" t="s">
        <v>28</v>
      </c>
      <c r="G14" s="40">
        <v>0</v>
      </c>
      <c r="H14" s="124">
        <f t="shared" si="0"/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0.25806451612903225</v>
      </c>
      <c r="E15" s="55" t="s">
        <v>74</v>
      </c>
      <c r="F15" s="52" t="s">
        <v>29</v>
      </c>
      <c r="G15" s="40">
        <v>0</v>
      </c>
      <c r="H15" s="124">
        <f t="shared" si="0"/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">
      <c r="A16" s="47" t="s">
        <v>118</v>
      </c>
      <c r="B16" s="40">
        <v>5</v>
      </c>
      <c r="C16" s="33">
        <f>IF(B$50=0,0,B16/B$50)</f>
        <v>0.16129032258064516</v>
      </c>
      <c r="E16" s="55" t="s">
        <v>75</v>
      </c>
      <c r="F16" s="52" t="s">
        <v>30</v>
      </c>
      <c r="G16" s="40">
        <v>0</v>
      </c>
      <c r="H16" s="124">
        <f t="shared" si="0"/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">
      <c r="A17" s="46" t="s">
        <v>123</v>
      </c>
      <c r="B17" s="39">
        <f>B23</f>
        <v>6</v>
      </c>
      <c r="C17" s="31">
        <f>IF(B$15=0,0,B17/B$15)</f>
        <v>0.75</v>
      </c>
      <c r="E17" s="55" t="s">
        <v>76</v>
      </c>
      <c r="F17" s="52" t="s">
        <v>31</v>
      </c>
      <c r="G17" s="40">
        <v>0</v>
      </c>
      <c r="H17" s="124">
        <f t="shared" si="0"/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">
      <c r="A18" s="46" t="s">
        <v>124</v>
      </c>
      <c r="B18" s="39">
        <f>B24</f>
        <v>1</v>
      </c>
      <c r="C18" s="31">
        <f>IF(B$16=0,0,B18/B$16)</f>
        <v>0.2</v>
      </c>
      <c r="E18" s="55" t="s">
        <v>77</v>
      </c>
      <c r="F18" s="52" t="s">
        <v>32</v>
      </c>
      <c r="G18" s="40">
        <v>0</v>
      </c>
      <c r="H18" s="124">
        <f t="shared" si="0"/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">
      <c r="A19" s="46" t="s">
        <v>10</v>
      </c>
      <c r="B19" s="39">
        <f>B22+B21</f>
        <v>10</v>
      </c>
      <c r="C19" s="31">
        <f>IF(B$3=0,0,B19/B$3)</f>
        <v>0.27027027027027029</v>
      </c>
      <c r="E19" s="55" t="s">
        <v>78</v>
      </c>
      <c r="F19" s="52" t="s">
        <v>33</v>
      </c>
      <c r="G19" s="40">
        <v>0</v>
      </c>
      <c r="H19" s="124">
        <f t="shared" si="0"/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">
      <c r="A20" s="47" t="s">
        <v>13</v>
      </c>
      <c r="B20" s="40">
        <v>8</v>
      </c>
      <c r="C20" s="33">
        <f>IF(B$3=0,0,B20/B$3)</f>
        <v>0.21621621621621623</v>
      </c>
      <c r="E20" s="55" t="s">
        <v>80</v>
      </c>
      <c r="F20" s="52" t="s">
        <v>35</v>
      </c>
      <c r="G20" s="40">
        <v>0</v>
      </c>
      <c r="H20" s="124">
        <f t="shared" si="0"/>
        <v>0</v>
      </c>
      <c r="I20" s="86">
        <v>3</v>
      </c>
    </row>
    <row r="21" spans="1:17" x14ac:dyDescent="0.4">
      <c r="A21" s="47" t="s">
        <v>12</v>
      </c>
      <c r="B21" s="40">
        <v>3</v>
      </c>
      <c r="C21" s="33">
        <f>IF(B$19=0,0,B21/B$19)</f>
        <v>0.3</v>
      </c>
      <c r="E21" s="55" t="s">
        <v>81</v>
      </c>
      <c r="F21" s="52" t="s">
        <v>36</v>
      </c>
      <c r="G21" s="40">
        <v>0</v>
      </c>
      <c r="H21" s="124">
        <f t="shared" si="0"/>
        <v>0</v>
      </c>
      <c r="I21" s="86">
        <v>10</v>
      </c>
    </row>
    <row r="22" spans="1:17" x14ac:dyDescent="0.4">
      <c r="A22" s="47" t="s">
        <v>11</v>
      </c>
      <c r="B22" s="40">
        <v>7</v>
      </c>
      <c r="C22" s="33">
        <f>IF(B$19=0,0,B22/B$19)</f>
        <v>0.7</v>
      </c>
      <c r="E22" s="55" t="s">
        <v>82</v>
      </c>
      <c r="F22" s="52" t="s">
        <v>37</v>
      </c>
      <c r="G22" s="40">
        <v>0</v>
      </c>
      <c r="H22" s="124">
        <f t="shared" si="0"/>
        <v>0</v>
      </c>
      <c r="I22" s="86">
        <v>1</v>
      </c>
    </row>
    <row r="23" spans="1:17" x14ac:dyDescent="0.4">
      <c r="A23" s="47" t="s">
        <v>189</v>
      </c>
      <c r="B23" s="40">
        <v>6</v>
      </c>
      <c r="C23" s="33">
        <f>IF(B$19=0,0,B23/B$19)</f>
        <v>0.6</v>
      </c>
      <c r="E23" s="55" t="s">
        <v>83</v>
      </c>
      <c r="F23" s="52" t="s">
        <v>38</v>
      </c>
      <c r="G23" s="40">
        <v>0</v>
      </c>
      <c r="H23" s="124">
        <f t="shared" si="0"/>
        <v>0</v>
      </c>
      <c r="I23" s="86">
        <v>12</v>
      </c>
    </row>
    <row r="24" spans="1:17" x14ac:dyDescent="0.4">
      <c r="A24" s="47" t="s">
        <v>187</v>
      </c>
      <c r="B24" s="40">
        <v>1</v>
      </c>
      <c r="C24" s="33">
        <f>IF(B$19=0,0,B24/B$19)</f>
        <v>0.1</v>
      </c>
      <c r="E24" s="55" t="s">
        <v>84</v>
      </c>
      <c r="F24" s="52" t="s">
        <v>39</v>
      </c>
      <c r="G24" s="40">
        <v>0</v>
      </c>
      <c r="H24" s="124">
        <f t="shared" si="0"/>
        <v>0</v>
      </c>
      <c r="I24" s="86">
        <v>5</v>
      </c>
    </row>
    <row r="25" spans="1:17" x14ac:dyDescent="0.4">
      <c r="A25" s="47" t="s">
        <v>188</v>
      </c>
      <c r="B25" s="40">
        <v>3</v>
      </c>
      <c r="C25" s="33">
        <f>IF(B$19=0,0,B25/B$19)</f>
        <v>0.3</v>
      </c>
      <c r="E25" s="55" t="s">
        <v>85</v>
      </c>
      <c r="F25" s="52" t="s">
        <v>40</v>
      </c>
      <c r="G25" s="40">
        <v>0</v>
      </c>
      <c r="H25" s="124">
        <f t="shared" si="0"/>
        <v>0</v>
      </c>
      <c r="I25" s="86">
        <v>6</v>
      </c>
    </row>
    <row r="26" spans="1:17" x14ac:dyDescent="0.4">
      <c r="A26" s="47" t="s">
        <v>5</v>
      </c>
      <c r="B26" s="44">
        <f>IF(B$19=0,0,C26/B$19)</f>
        <v>7100</v>
      </c>
      <c r="C26" s="35">
        <v>71000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7666.666666666667</v>
      </c>
      <c r="C27" s="128">
        <v>69000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2000</v>
      </c>
      <c r="C28" s="128">
        <v>2000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-12487.5</v>
      </c>
      <c r="C29" s="128">
        <v>-99900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10</v>
      </c>
      <c r="C31" s="126">
        <v>10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8">
        <v>3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56">
        <v>57800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1</v>
      </c>
      <c r="C37" s="33">
        <f t="shared" ref="C37:C48" si="4">IF(B$19=0,0,B37/B$19)</f>
        <v>0.1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0.5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4"/>
        <v>0.2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0.1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31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54">
        <v>9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88D4-952F-4A7D-8DBC-0AE5E0A3BE0F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161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85</v>
      </c>
      <c r="C2" s="147"/>
      <c r="E2" s="54" t="s">
        <v>274</v>
      </c>
      <c r="F2" s="51" t="s">
        <v>275</v>
      </c>
      <c r="G2" s="39">
        <v>118</v>
      </c>
      <c r="H2" s="123">
        <f t="shared" ref="H2:H33" si="0">IF(B$51=0,0,G2/B$51)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-968.23529411764707</v>
      </c>
      <c r="P2" s="109">
        <v>85</v>
      </c>
      <c r="Q2" s="93">
        <v>-82300</v>
      </c>
    </row>
    <row r="3" spans="1:17" x14ac:dyDescent="0.4">
      <c r="A3" s="47" t="s">
        <v>8</v>
      </c>
      <c r="B3" s="148">
        <v>660</v>
      </c>
      <c r="C3" s="149"/>
      <c r="E3" s="55" t="s">
        <v>66</v>
      </c>
      <c r="F3" s="52" t="s">
        <v>22</v>
      </c>
      <c r="G3" s="40">
        <v>94</v>
      </c>
      <c r="H3" s="124">
        <f t="shared" si="0"/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1"/>
        <v>-3073.75</v>
      </c>
      <c r="P3" s="110">
        <v>80</v>
      </c>
      <c r="Q3" s="94">
        <v>-245900</v>
      </c>
    </row>
    <row r="4" spans="1:17" x14ac:dyDescent="0.4">
      <c r="A4" s="47" t="s">
        <v>6</v>
      </c>
      <c r="B4" s="150">
        <v>-559</v>
      </c>
      <c r="C4" s="151"/>
      <c r="E4" s="55" t="s">
        <v>72</v>
      </c>
      <c r="F4" s="52" t="s">
        <v>27</v>
      </c>
      <c r="G4" s="40">
        <v>78</v>
      </c>
      <c r="H4" s="124">
        <f t="shared" si="0"/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1"/>
        <v>-1090.2777777777778</v>
      </c>
      <c r="P4" s="110">
        <v>72</v>
      </c>
      <c r="Q4" s="94">
        <v>-78500</v>
      </c>
    </row>
    <row r="5" spans="1:17" x14ac:dyDescent="0.4">
      <c r="A5" s="47" t="s">
        <v>7</v>
      </c>
      <c r="B5" s="152">
        <f>IF(B$2=0,0,B$4/B$2)</f>
        <v>-6.5764705882352938</v>
      </c>
      <c r="C5" s="153"/>
      <c r="E5" s="55" t="s">
        <v>64</v>
      </c>
      <c r="F5" s="52" t="s">
        <v>20</v>
      </c>
      <c r="G5" s="40">
        <v>62</v>
      </c>
      <c r="H5" s="124">
        <f t="shared" si="0"/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1"/>
        <v>-556.52173913043475</v>
      </c>
      <c r="P5" s="110">
        <v>69</v>
      </c>
      <c r="Q5" s="94">
        <v>-38400</v>
      </c>
    </row>
    <row r="6" spans="1:17" x14ac:dyDescent="0.4">
      <c r="A6" s="47" t="s">
        <v>1</v>
      </c>
      <c r="B6" s="160">
        <f>IF(B$2=0,0,(B$7*1+B$8*2+B$9*3)/B$2)</f>
        <v>2.2117647058823531</v>
      </c>
      <c r="C6" s="161"/>
      <c r="E6" s="55" t="s">
        <v>68</v>
      </c>
      <c r="F6" s="52" t="s">
        <v>12</v>
      </c>
      <c r="G6" s="40">
        <v>43</v>
      </c>
      <c r="H6" s="124">
        <f t="shared" si="0"/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1"/>
        <v>-1555.1724137931035</v>
      </c>
      <c r="P6" s="110">
        <v>58</v>
      </c>
      <c r="Q6" s="94">
        <v>-90200</v>
      </c>
    </row>
    <row r="7" spans="1:17" x14ac:dyDescent="0.4">
      <c r="A7" s="47" t="s">
        <v>2</v>
      </c>
      <c r="B7" s="40">
        <v>19</v>
      </c>
      <c r="C7" s="33">
        <f t="shared" ref="C7:C14" si="2">IF(B$2=0,0,B7/B$2)</f>
        <v>0.22352941176470589</v>
      </c>
      <c r="E7" s="55" t="s">
        <v>65</v>
      </c>
      <c r="F7" s="52" t="s">
        <v>21</v>
      </c>
      <c r="G7" s="40">
        <v>20</v>
      </c>
      <c r="H7" s="124">
        <f t="shared" si="0"/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1"/>
        <v>-887.23404255319144</v>
      </c>
      <c r="P7" s="111">
        <v>47</v>
      </c>
      <c r="Q7" s="95">
        <v>-41700</v>
      </c>
    </row>
    <row r="8" spans="1:17" x14ac:dyDescent="0.4">
      <c r="A8" s="47" t="s">
        <v>3</v>
      </c>
      <c r="B8" s="40">
        <v>29</v>
      </c>
      <c r="C8" s="33">
        <f t="shared" si="2"/>
        <v>0.3411764705882353</v>
      </c>
      <c r="E8" s="55" t="s">
        <v>67</v>
      </c>
      <c r="F8" s="52" t="s">
        <v>23</v>
      </c>
      <c r="G8" s="40">
        <v>19</v>
      </c>
      <c r="H8" s="124">
        <f t="shared" si="0"/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2"/>
        <v>0.43529411764705883</v>
      </c>
      <c r="E9" s="55" t="s">
        <v>69</v>
      </c>
      <c r="F9" s="52" t="s">
        <v>24</v>
      </c>
      <c r="G9" s="40">
        <v>17</v>
      </c>
      <c r="H9" s="124">
        <f t="shared" si="0"/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32.073684210526309</v>
      </c>
      <c r="C10" s="141">
        <v>609.39999999999986</v>
      </c>
      <c r="E10" s="55" t="s">
        <v>89</v>
      </c>
      <c r="F10" s="52" t="s">
        <v>44</v>
      </c>
      <c r="G10" s="40">
        <v>11</v>
      </c>
      <c r="H10" s="124">
        <f t="shared" si="0"/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">
      <c r="A11" s="48" t="s">
        <v>277</v>
      </c>
      <c r="B11" s="140">
        <f>IF(B8=0,0,C11/B8)</f>
        <v>-3.0137931034482759</v>
      </c>
      <c r="C11" s="141">
        <v>-87.4</v>
      </c>
      <c r="E11" s="55" t="s">
        <v>70</v>
      </c>
      <c r="F11" s="52" t="s">
        <v>25</v>
      </c>
      <c r="G11" s="40">
        <v>10</v>
      </c>
      <c r="H11" s="124">
        <f t="shared" si="0"/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">
      <c r="A12" s="48" t="s">
        <v>278</v>
      </c>
      <c r="B12" s="140">
        <f>IF(B9=0,0,C12/B9)</f>
        <v>-29.216216216216218</v>
      </c>
      <c r="C12" s="141">
        <v>-1081</v>
      </c>
      <c r="E12" s="55" t="s">
        <v>71</v>
      </c>
      <c r="F12" s="52" t="s">
        <v>26</v>
      </c>
      <c r="G12" s="40">
        <v>7</v>
      </c>
      <c r="H12" s="124">
        <f t="shared" si="0"/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">
      <c r="A13" s="48" t="s">
        <v>279</v>
      </c>
      <c r="B13" s="152">
        <f>AVERAGE(B10:B12)</f>
        <v>-5.2108369712727885E-2</v>
      </c>
      <c r="C13" s="153"/>
      <c r="E13" s="55" t="s">
        <v>78</v>
      </c>
      <c r="F13" s="52" t="s">
        <v>33</v>
      </c>
      <c r="G13" s="40">
        <v>5</v>
      </c>
      <c r="H13" s="124">
        <f t="shared" si="0"/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16</v>
      </c>
      <c r="C14" s="36">
        <f t="shared" si="2"/>
        <v>0.18823529411764706</v>
      </c>
      <c r="E14" s="55" t="s">
        <v>86</v>
      </c>
      <c r="F14" s="52" t="s">
        <v>41</v>
      </c>
      <c r="G14" s="40">
        <v>5</v>
      </c>
      <c r="H14" s="124">
        <f t="shared" si="0"/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131</v>
      </c>
      <c r="C15" s="38">
        <f>IF(B$50=0,0,B15/B$50)</f>
        <v>0.27291666666666664</v>
      </c>
      <c r="E15" s="55" t="s">
        <v>81</v>
      </c>
      <c r="F15" s="52" t="s">
        <v>36</v>
      </c>
      <c r="G15" s="40">
        <v>4</v>
      </c>
      <c r="H15" s="124">
        <f t="shared" si="0"/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 t="shared" ref="O15:O21" si="3">IF(P15=0,0,Q15/P15)</f>
        <v>26.95</v>
      </c>
      <c r="P15" s="109">
        <v>6</v>
      </c>
      <c r="Q15" s="97">
        <v>161.69999999999999</v>
      </c>
    </row>
    <row r="16" spans="1:17" x14ac:dyDescent="0.4">
      <c r="A16" s="47" t="s">
        <v>118</v>
      </c>
      <c r="B16" s="40">
        <v>136</v>
      </c>
      <c r="C16" s="33">
        <f>IF(B$50=0,0,B16/B$50)</f>
        <v>0.28333333333333333</v>
      </c>
      <c r="E16" s="55" t="s">
        <v>79</v>
      </c>
      <c r="F16" s="52" t="s">
        <v>34</v>
      </c>
      <c r="G16" s="40">
        <v>3</v>
      </c>
      <c r="H16" s="124">
        <f t="shared" si="0"/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 t="shared" si="3"/>
        <v>6.7891891891891882</v>
      </c>
      <c r="P16" s="110">
        <v>37</v>
      </c>
      <c r="Q16" s="98">
        <v>251.19999999999996</v>
      </c>
    </row>
    <row r="17" spans="1:17" x14ac:dyDescent="0.4">
      <c r="A17" s="46" t="s">
        <v>123</v>
      </c>
      <c r="B17" s="39">
        <f>B23</f>
        <v>63</v>
      </c>
      <c r="C17" s="31">
        <f>IF(B$15=0,0,B17/B$15)</f>
        <v>0.48091603053435117</v>
      </c>
      <c r="E17" s="55" t="s">
        <v>83</v>
      </c>
      <c r="F17" s="52" t="s">
        <v>38</v>
      </c>
      <c r="G17" s="40">
        <v>2</v>
      </c>
      <c r="H17" s="124">
        <f t="shared" si="0"/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 t="shared" si="3"/>
        <v>-0.35263157894736707</v>
      </c>
      <c r="P17" s="110">
        <v>19</v>
      </c>
      <c r="Q17" s="98">
        <v>-6.6999999999999744</v>
      </c>
    </row>
    <row r="18" spans="1:17" x14ac:dyDescent="0.4">
      <c r="A18" s="46" t="s">
        <v>124</v>
      </c>
      <c r="B18" s="39">
        <f>B24</f>
        <v>50</v>
      </c>
      <c r="C18" s="31">
        <f>IF(B$16=0,0,B18/B$16)</f>
        <v>0.36764705882352944</v>
      </c>
      <c r="E18" s="55" t="s">
        <v>75</v>
      </c>
      <c r="F18" s="52" t="s">
        <v>30</v>
      </c>
      <c r="G18" s="40">
        <v>1</v>
      </c>
      <c r="H18" s="124">
        <f t="shared" si="0"/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 t="shared" si="3"/>
        <v>-16.333333333333332</v>
      </c>
      <c r="P18" s="110">
        <v>3</v>
      </c>
      <c r="Q18" s="98">
        <v>-49</v>
      </c>
    </row>
    <row r="19" spans="1:17" x14ac:dyDescent="0.4">
      <c r="A19" s="46" t="s">
        <v>10</v>
      </c>
      <c r="B19" s="39">
        <f>B22+B21</f>
        <v>184</v>
      </c>
      <c r="C19" s="31">
        <f>IF(B$3=0,0,B19/B$3)</f>
        <v>0.27878787878787881</v>
      </c>
      <c r="E19" s="55" t="s">
        <v>77</v>
      </c>
      <c r="F19" s="52" t="s">
        <v>32</v>
      </c>
      <c r="G19" s="40">
        <v>1</v>
      </c>
      <c r="H19" s="124">
        <f t="shared" si="0"/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 t="shared" si="3"/>
        <v>-17.172058823529412</v>
      </c>
      <c r="P19" s="110">
        <v>68</v>
      </c>
      <c r="Q19" s="98">
        <v>-1167.7</v>
      </c>
    </row>
    <row r="20" spans="1:17" x14ac:dyDescent="0.4">
      <c r="A20" s="47" t="s">
        <v>13</v>
      </c>
      <c r="B20" s="40">
        <v>126</v>
      </c>
      <c r="C20" s="33">
        <f>IF(B$3=0,0,B20/B$3)</f>
        <v>0.19090909090909092</v>
      </c>
      <c r="E20" s="55" t="s">
        <v>73</v>
      </c>
      <c r="F20" s="52" t="s">
        <v>28</v>
      </c>
      <c r="G20" s="40">
        <v>0</v>
      </c>
      <c r="H20" s="124">
        <f t="shared" si="0"/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 t="shared" si="3"/>
        <v>-22.345454545454551</v>
      </c>
      <c r="P20" s="110">
        <v>22</v>
      </c>
      <c r="Q20" s="98">
        <v>-491.60000000000014</v>
      </c>
    </row>
    <row r="21" spans="1:17" x14ac:dyDescent="0.4">
      <c r="A21" s="47" t="s">
        <v>12</v>
      </c>
      <c r="B21" s="40">
        <v>88</v>
      </c>
      <c r="C21" s="33">
        <f>IF(B$19=0,0,B21/B$19)</f>
        <v>0.47826086956521741</v>
      </c>
      <c r="E21" s="55" t="s">
        <v>74</v>
      </c>
      <c r="F21" s="52" t="s">
        <v>29</v>
      </c>
      <c r="G21" s="40">
        <v>0</v>
      </c>
      <c r="H21" s="124">
        <f t="shared" si="0"/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 t="shared" si="3"/>
        <v>-24.993333333333332</v>
      </c>
      <c r="P21" s="110">
        <v>15</v>
      </c>
      <c r="Q21" s="98">
        <v>-374.9</v>
      </c>
    </row>
    <row r="22" spans="1:17" x14ac:dyDescent="0.4">
      <c r="A22" s="47" t="s">
        <v>11</v>
      </c>
      <c r="B22" s="40">
        <v>96</v>
      </c>
      <c r="C22" s="33">
        <f>IF(B$19=0,0,B22/B$19)</f>
        <v>0.52173913043478259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-24.100000000000005</v>
      </c>
    </row>
    <row r="23" spans="1:17" x14ac:dyDescent="0.4">
      <c r="A23" s="47" t="s">
        <v>189</v>
      </c>
      <c r="B23" s="40">
        <v>63</v>
      </c>
      <c r="C23" s="33">
        <f>IF(B$19=0,0,B23/B$19)</f>
        <v>0.34239130434782611</v>
      </c>
      <c r="E23" s="55" t="s">
        <v>80</v>
      </c>
      <c r="F23" s="52" t="s">
        <v>35</v>
      </c>
      <c r="G23" s="40">
        <v>0</v>
      </c>
      <c r="H23" s="124">
        <f t="shared" si="0"/>
        <v>0</v>
      </c>
      <c r="I23" s="86">
        <v>3</v>
      </c>
      <c r="K23" s="32">
        <v>21</v>
      </c>
      <c r="L23" s="91">
        <v>-29.600000000000005</v>
      </c>
    </row>
    <row r="24" spans="1:17" x14ac:dyDescent="0.4">
      <c r="A24" s="47" t="s">
        <v>187</v>
      </c>
      <c r="B24" s="40">
        <v>50</v>
      </c>
      <c r="C24" s="33">
        <f>IF(B$19=0,0,B24/B$19)</f>
        <v>0.27173913043478259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  <c r="K24" s="32">
        <v>22</v>
      </c>
      <c r="L24" s="91">
        <v>-4.7000000000000064</v>
      </c>
    </row>
    <row r="25" spans="1:17" x14ac:dyDescent="0.4">
      <c r="A25" s="47" t="s">
        <v>188</v>
      </c>
      <c r="B25" s="40">
        <v>71</v>
      </c>
      <c r="C25" s="33">
        <f>IF(B$19=0,0,B25/B$19)</f>
        <v>0.3858695652173913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  <c r="K25" s="32">
        <v>23</v>
      </c>
      <c r="L25" s="91">
        <v>-18.600000000000009</v>
      </c>
    </row>
    <row r="26" spans="1:17" x14ac:dyDescent="0.4">
      <c r="A26" s="47" t="s">
        <v>5</v>
      </c>
      <c r="B26" s="44">
        <f>IF(B$19=0,0,C26/B$19)</f>
        <v>8946.1956521739139</v>
      </c>
      <c r="C26" s="35">
        <v>1646100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  <c r="K26" s="32">
        <v>24</v>
      </c>
      <c r="L26" s="91">
        <v>-26.900000000000009</v>
      </c>
    </row>
    <row r="27" spans="1:17" x14ac:dyDescent="0.4">
      <c r="A27" s="48" t="s">
        <v>171</v>
      </c>
      <c r="B27" s="127">
        <f>IF($B$19-B$18=0,0,C27/($B$19-B$18))</f>
        <v>10073.134328358208</v>
      </c>
      <c r="C27" s="128">
        <v>1349800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-37.900000000000006</v>
      </c>
    </row>
    <row r="28" spans="1:17" x14ac:dyDescent="0.4">
      <c r="A28" s="48" t="s">
        <v>172</v>
      </c>
      <c r="B28" s="127">
        <f>IF(B$18=0,0,C28/B$18)</f>
        <v>5926</v>
      </c>
      <c r="C28" s="128">
        <v>296300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  <c r="K28" s="32">
        <v>26</v>
      </c>
      <c r="L28" s="91">
        <v>-59.800000000000004</v>
      </c>
    </row>
    <row r="29" spans="1:17" x14ac:dyDescent="0.4">
      <c r="A29" s="48" t="s">
        <v>170</v>
      </c>
      <c r="B29" s="127">
        <f>IF(B$20=0,0,C29/B$20)</f>
        <v>-9651.5873015873021</v>
      </c>
      <c r="C29" s="128">
        <v>-1216100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  <c r="K29" s="32">
        <v>27</v>
      </c>
      <c r="L29" s="91">
        <v>-53.7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  <c r="K30" s="32">
        <v>28</v>
      </c>
      <c r="L30" s="91">
        <v>-53.1</v>
      </c>
    </row>
    <row r="31" spans="1:17" x14ac:dyDescent="0.4">
      <c r="A31" s="47" t="s">
        <v>163</v>
      </c>
      <c r="B31" s="40">
        <v>26</v>
      </c>
      <c r="C31" s="126">
        <v>4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  <c r="K31" s="32">
        <v>29</v>
      </c>
      <c r="L31" s="91">
        <v>-12.899999999999999</v>
      </c>
    </row>
    <row r="32" spans="1:17" x14ac:dyDescent="0.4">
      <c r="A32" s="82" t="s">
        <v>138</v>
      </c>
      <c r="B32" s="158">
        <v>6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-48.6</v>
      </c>
    </row>
    <row r="33" spans="1:12" x14ac:dyDescent="0.4">
      <c r="A33" s="50" t="s">
        <v>186</v>
      </c>
      <c r="B33" s="156">
        <v>103200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-64.599999999999994</v>
      </c>
    </row>
    <row r="34" spans="1:12" x14ac:dyDescent="0.4">
      <c r="A34" s="49" t="s">
        <v>139</v>
      </c>
      <c r="B34" s="57">
        <v>2</v>
      </c>
      <c r="C34" s="36">
        <f>IF(B$3=0,0,B34/B$3)</f>
        <v>3.0303030303030303E-3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-70.399999999999991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-122.29999999999998</v>
      </c>
    </row>
    <row r="36" spans="1:12" x14ac:dyDescent="0.4">
      <c r="A36" s="82" t="s">
        <v>177</v>
      </c>
      <c r="B36" s="136">
        <v>6</v>
      </c>
      <c r="C36" s="132">
        <f>IF(B$19=0,0,B36/B$19)</f>
        <v>3.2608695652173912E-2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-134.29999999999998</v>
      </c>
    </row>
    <row r="37" spans="1:12" x14ac:dyDescent="0.4">
      <c r="A37" s="47" t="s">
        <v>173</v>
      </c>
      <c r="B37" s="40">
        <v>25</v>
      </c>
      <c r="C37" s="33">
        <f t="shared" ref="C37:C48" si="5">IF(B$19=0,0,B37/B$19)</f>
        <v>0.1358695652173913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-100.89999999999998</v>
      </c>
    </row>
    <row r="38" spans="1:12" x14ac:dyDescent="0.4">
      <c r="A38" s="47" t="s">
        <v>174</v>
      </c>
      <c r="B38" s="139">
        <v>20</v>
      </c>
      <c r="C38" s="33">
        <f>IF(B$19=0,0,B38/B$19)</f>
        <v>0.10869565217391304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-106.49999999999997</v>
      </c>
    </row>
    <row r="39" spans="1:12" x14ac:dyDescent="0.4">
      <c r="A39" s="47" t="s">
        <v>175</v>
      </c>
      <c r="B39" s="139">
        <v>38</v>
      </c>
      <c r="C39" s="33">
        <f t="shared" si="5"/>
        <v>0.20652173913043478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-133.49999999999997</v>
      </c>
    </row>
    <row r="40" spans="1:12" x14ac:dyDescent="0.4">
      <c r="A40" s="47" t="s">
        <v>176</v>
      </c>
      <c r="B40" s="139">
        <v>23</v>
      </c>
      <c r="C40" s="33">
        <f t="shared" si="5"/>
        <v>0.125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-128.29999999999998</v>
      </c>
    </row>
    <row r="41" spans="1:12" x14ac:dyDescent="0.4">
      <c r="A41" s="47" t="s">
        <v>178</v>
      </c>
      <c r="B41" s="139">
        <v>11</v>
      </c>
      <c r="C41" s="33">
        <f t="shared" si="5"/>
        <v>5.9782608695652176E-2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-135.99999999999997</v>
      </c>
    </row>
    <row r="42" spans="1:12" x14ac:dyDescent="0.4">
      <c r="A42" s="47" t="s">
        <v>179</v>
      </c>
      <c r="B42" s="139">
        <v>4</v>
      </c>
      <c r="C42" s="33">
        <f t="shared" si="5"/>
        <v>2.1739130434782608E-2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-150.99999999999997</v>
      </c>
    </row>
    <row r="43" spans="1:12" x14ac:dyDescent="0.4">
      <c r="A43" s="47" t="s">
        <v>180</v>
      </c>
      <c r="B43" s="139">
        <v>4</v>
      </c>
      <c r="C43" s="33">
        <f t="shared" si="5"/>
        <v>2.1739130434782608E-2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-201.59999999999997</v>
      </c>
    </row>
    <row r="44" spans="1:12" x14ac:dyDescent="0.4">
      <c r="A44" s="47" t="s">
        <v>181</v>
      </c>
      <c r="B44" s="139">
        <v>2</v>
      </c>
      <c r="C44" s="33">
        <f t="shared" si="5"/>
        <v>1.0869565217391304E-2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-196.79999999999995</v>
      </c>
    </row>
    <row r="45" spans="1:12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-242.29999999999995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-243.39999999999995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-280.59999999999997</v>
      </c>
    </row>
    <row r="48" spans="1:12" x14ac:dyDescent="0.4">
      <c r="A48" s="49" t="s">
        <v>185</v>
      </c>
      <c r="B48" s="135">
        <v>0</v>
      </c>
      <c r="C48" s="36">
        <f t="shared" si="5"/>
        <v>0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-321.89999999999998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-326.09999999999997</v>
      </c>
    </row>
    <row r="50" spans="1:12" x14ac:dyDescent="0.4">
      <c r="A50" s="82" t="s">
        <v>197</v>
      </c>
      <c r="B50" s="146">
        <v>480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-386.4</v>
      </c>
    </row>
    <row r="51" spans="1:12" x14ac:dyDescent="0.4">
      <c r="A51" s="49" t="s">
        <v>198</v>
      </c>
      <c r="B51" s="154">
        <v>133</v>
      </c>
      <c r="C51" s="155"/>
      <c r="K51" s="32">
        <v>49</v>
      </c>
      <c r="L51" s="91">
        <v>-402.29999999999995</v>
      </c>
    </row>
    <row r="52" spans="1:12" x14ac:dyDescent="0.4">
      <c r="K52" s="32">
        <v>50</v>
      </c>
      <c r="L52" s="91">
        <v>-396.29999999999995</v>
      </c>
    </row>
    <row r="53" spans="1:12" x14ac:dyDescent="0.4">
      <c r="K53" s="32">
        <v>51</v>
      </c>
      <c r="L53" s="91">
        <v>-417.29999999999995</v>
      </c>
    </row>
    <row r="54" spans="1:12" x14ac:dyDescent="0.4">
      <c r="K54" s="32">
        <v>52</v>
      </c>
      <c r="L54" s="91">
        <v>-421.29999999999995</v>
      </c>
    </row>
    <row r="55" spans="1:12" x14ac:dyDescent="0.4">
      <c r="K55" s="32">
        <v>53</v>
      </c>
      <c r="L55" s="91">
        <v>-451.69999999999993</v>
      </c>
    </row>
    <row r="56" spans="1:12" x14ac:dyDescent="0.4">
      <c r="K56" s="32">
        <v>54</v>
      </c>
      <c r="L56" s="91">
        <v>-445.09999999999991</v>
      </c>
    </row>
    <row r="57" spans="1:12" x14ac:dyDescent="0.4">
      <c r="K57" s="32">
        <v>55</v>
      </c>
      <c r="L57" s="91">
        <v>-465.59999999999991</v>
      </c>
    </row>
    <row r="58" spans="1:12" x14ac:dyDescent="0.4">
      <c r="K58" s="32">
        <v>56</v>
      </c>
      <c r="L58" s="91">
        <v>-502.59999999999991</v>
      </c>
    </row>
    <row r="59" spans="1:12" x14ac:dyDescent="0.4">
      <c r="K59" s="32">
        <v>57</v>
      </c>
      <c r="L59" s="91">
        <v>-533.29999999999995</v>
      </c>
    </row>
    <row r="60" spans="1:12" x14ac:dyDescent="0.4">
      <c r="K60" s="32">
        <v>58</v>
      </c>
      <c r="L60" s="91">
        <v>-573.29999999999995</v>
      </c>
    </row>
    <row r="61" spans="1:12" x14ac:dyDescent="0.4">
      <c r="K61" s="32">
        <v>59</v>
      </c>
      <c r="L61" s="91">
        <v>-550.79999999999995</v>
      </c>
    </row>
    <row r="62" spans="1:12" x14ac:dyDescent="0.4">
      <c r="K62" s="32">
        <v>60</v>
      </c>
      <c r="L62" s="91">
        <v>-535.29999999999995</v>
      </c>
    </row>
    <row r="63" spans="1:12" x14ac:dyDescent="0.4">
      <c r="K63" s="32">
        <v>61</v>
      </c>
      <c r="L63" s="91">
        <v>-492.29999999999995</v>
      </c>
    </row>
    <row r="64" spans="1:12" x14ac:dyDescent="0.4">
      <c r="K64" s="32">
        <v>62</v>
      </c>
      <c r="L64" s="91">
        <v>-511.9</v>
      </c>
    </row>
    <row r="65" spans="11:12" x14ac:dyDescent="0.4">
      <c r="K65" s="32">
        <v>63</v>
      </c>
      <c r="L65" s="91">
        <v>-524.1</v>
      </c>
    </row>
    <row r="66" spans="11:12" x14ac:dyDescent="0.4">
      <c r="K66" s="32">
        <v>64</v>
      </c>
      <c r="L66" s="91">
        <v>-535.9</v>
      </c>
    </row>
    <row r="67" spans="11:12" x14ac:dyDescent="0.4">
      <c r="K67" s="32">
        <v>65</v>
      </c>
      <c r="L67" s="91">
        <v>-494.59999999999997</v>
      </c>
    </row>
    <row r="68" spans="11:12" x14ac:dyDescent="0.4">
      <c r="K68" s="32">
        <v>66</v>
      </c>
      <c r="L68" s="91">
        <v>-483.2</v>
      </c>
    </row>
    <row r="69" spans="11:12" x14ac:dyDescent="0.4">
      <c r="K69" s="32">
        <v>67</v>
      </c>
      <c r="L69" s="91">
        <v>-466.7</v>
      </c>
    </row>
    <row r="70" spans="11:12" x14ac:dyDescent="0.4">
      <c r="K70" s="32">
        <v>68</v>
      </c>
      <c r="L70" s="91">
        <v>-462</v>
      </c>
    </row>
    <row r="71" spans="11:12" x14ac:dyDescent="0.4">
      <c r="K71" s="32">
        <v>69</v>
      </c>
      <c r="L71" s="91">
        <v>-472.6</v>
      </c>
    </row>
    <row r="72" spans="11:12" x14ac:dyDescent="0.4">
      <c r="K72" s="32">
        <v>70</v>
      </c>
      <c r="L72" s="91">
        <v>-466.8</v>
      </c>
    </row>
    <row r="73" spans="11:12" x14ac:dyDescent="0.4">
      <c r="K73" s="32">
        <v>71</v>
      </c>
      <c r="L73" s="91">
        <v>-446.7</v>
      </c>
    </row>
    <row r="74" spans="11:12" x14ac:dyDescent="0.4">
      <c r="K74" s="32">
        <v>72</v>
      </c>
      <c r="L74" s="91">
        <v>-471.8</v>
      </c>
    </row>
    <row r="75" spans="11:12" x14ac:dyDescent="0.4">
      <c r="K75" s="32">
        <v>73</v>
      </c>
      <c r="L75" s="91">
        <v>-486.2</v>
      </c>
    </row>
    <row r="76" spans="11:12" x14ac:dyDescent="0.4">
      <c r="K76" s="32">
        <v>74</v>
      </c>
      <c r="L76" s="91">
        <v>-520.20000000000005</v>
      </c>
    </row>
    <row r="77" spans="11:12" x14ac:dyDescent="0.4">
      <c r="K77" s="32">
        <v>75</v>
      </c>
      <c r="L77" s="91">
        <v>-493.70000000000005</v>
      </c>
    </row>
    <row r="78" spans="11:12" x14ac:dyDescent="0.4">
      <c r="K78" s="32">
        <v>76</v>
      </c>
      <c r="L78" s="91">
        <v>-475.70000000000005</v>
      </c>
    </row>
    <row r="79" spans="11:12" x14ac:dyDescent="0.4">
      <c r="K79" s="32">
        <v>77</v>
      </c>
      <c r="L79" s="91">
        <v>-517.20000000000005</v>
      </c>
    </row>
    <row r="80" spans="11:12" x14ac:dyDescent="0.4">
      <c r="K80" s="32">
        <v>78</v>
      </c>
      <c r="L80" s="91">
        <v>-519</v>
      </c>
    </row>
    <row r="81" spans="11:12" x14ac:dyDescent="0.4">
      <c r="K81" s="32">
        <v>79</v>
      </c>
      <c r="L81" s="91">
        <v>-481</v>
      </c>
    </row>
    <row r="82" spans="11:12" x14ac:dyDescent="0.4">
      <c r="K82" s="32">
        <v>80</v>
      </c>
      <c r="L82" s="91">
        <v>-434.2</v>
      </c>
    </row>
    <row r="83" spans="11:12" x14ac:dyDescent="0.4">
      <c r="K83" s="32">
        <v>81</v>
      </c>
      <c r="L83" s="91">
        <v>-479.2</v>
      </c>
    </row>
    <row r="84" spans="11:12" x14ac:dyDescent="0.4">
      <c r="K84" s="32">
        <v>82</v>
      </c>
      <c r="L84" s="91">
        <v>-517.70000000000005</v>
      </c>
    </row>
    <row r="85" spans="11:12" x14ac:dyDescent="0.4">
      <c r="K85" s="32">
        <v>83</v>
      </c>
      <c r="L85" s="91">
        <v>-521.5</v>
      </c>
    </row>
    <row r="86" spans="11:12" x14ac:dyDescent="0.4">
      <c r="K86" s="32">
        <v>84</v>
      </c>
      <c r="L86" s="91">
        <v>-540.4</v>
      </c>
    </row>
    <row r="87" spans="11:12" x14ac:dyDescent="0.4">
      <c r="K87" s="32">
        <v>85</v>
      </c>
      <c r="L87" s="91">
        <v>-559</v>
      </c>
    </row>
  </sheetData>
  <sortState xmlns:xlrd2="http://schemas.microsoft.com/office/spreadsheetml/2017/richdata2" ref="E2:I88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F78E-0E6C-4A62-8866-75EED6BE7087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127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123</v>
      </c>
      <c r="C2" s="147"/>
      <c r="E2" s="54" t="s">
        <v>274</v>
      </c>
      <c r="F2" s="51" t="s">
        <v>275</v>
      </c>
      <c r="G2" s="39">
        <v>220</v>
      </c>
      <c r="H2" s="123">
        <f t="shared" ref="H2:H33" si="0">IF(B$51=0,0,G2/B$51)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1">IF(P2=0,0,Q2/P2)</f>
        <v>1019.00826446281</v>
      </c>
      <c r="P2" s="109">
        <v>121</v>
      </c>
      <c r="Q2" s="93">
        <v>123300</v>
      </c>
    </row>
    <row r="3" spans="1:17" x14ac:dyDescent="0.4">
      <c r="A3" s="47" t="s">
        <v>8</v>
      </c>
      <c r="B3" s="148">
        <v>934</v>
      </c>
      <c r="C3" s="149"/>
      <c r="E3" s="55" t="s">
        <v>66</v>
      </c>
      <c r="F3" s="52" t="s">
        <v>22</v>
      </c>
      <c r="G3" s="40">
        <v>182</v>
      </c>
      <c r="H3" s="124">
        <f t="shared" si="0"/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1"/>
        <v>620.17543859649118</v>
      </c>
      <c r="P3" s="110">
        <v>114</v>
      </c>
      <c r="Q3" s="94">
        <v>70700</v>
      </c>
    </row>
    <row r="4" spans="1:17" x14ac:dyDescent="0.4">
      <c r="A4" s="47" t="s">
        <v>6</v>
      </c>
      <c r="B4" s="150">
        <v>203.39999999999984</v>
      </c>
      <c r="C4" s="151"/>
      <c r="E4" s="55" t="s">
        <v>72</v>
      </c>
      <c r="F4" s="52" t="s">
        <v>27</v>
      </c>
      <c r="G4" s="40">
        <v>139</v>
      </c>
      <c r="H4" s="124">
        <f t="shared" si="0"/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1"/>
        <v>-58.490566037735846</v>
      </c>
      <c r="P4" s="110">
        <v>106</v>
      </c>
      <c r="Q4" s="94">
        <v>-6200</v>
      </c>
    </row>
    <row r="5" spans="1:17" x14ac:dyDescent="0.4">
      <c r="A5" s="47" t="s">
        <v>7</v>
      </c>
      <c r="B5" s="152">
        <f>IF(B$2=0,0,B$4/B$2)</f>
        <v>1.6536585365853644</v>
      </c>
      <c r="C5" s="153"/>
      <c r="E5" s="55" t="s">
        <v>64</v>
      </c>
      <c r="F5" s="52" t="s">
        <v>20</v>
      </c>
      <c r="G5" s="40">
        <v>131</v>
      </c>
      <c r="H5" s="124">
        <f t="shared" si="0"/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1"/>
        <v>-810</v>
      </c>
      <c r="P5" s="110">
        <v>100</v>
      </c>
      <c r="Q5" s="94">
        <v>-81000</v>
      </c>
    </row>
    <row r="6" spans="1:17" x14ac:dyDescent="0.4">
      <c r="A6" s="47" t="s">
        <v>1</v>
      </c>
      <c r="B6" s="160">
        <f>IF(B$2=0,0,(B$7*1+B$8*2+B$9*3)/B$2)</f>
        <v>1.9268292682926829</v>
      </c>
      <c r="C6" s="161"/>
      <c r="E6" s="55" t="s">
        <v>67</v>
      </c>
      <c r="F6" s="52" t="s">
        <v>23</v>
      </c>
      <c r="G6" s="40">
        <v>86</v>
      </c>
      <c r="H6" s="124">
        <f t="shared" si="0"/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1"/>
        <v>1012.6436781609195</v>
      </c>
      <c r="P6" s="110">
        <v>87</v>
      </c>
      <c r="Q6" s="94">
        <v>88100</v>
      </c>
    </row>
    <row r="7" spans="1:17" x14ac:dyDescent="0.4">
      <c r="A7" s="47" t="s">
        <v>2</v>
      </c>
      <c r="B7" s="40">
        <v>46</v>
      </c>
      <c r="C7" s="33">
        <f t="shared" ref="C7:C14" si="2">IF(B$2=0,0,B7/B$2)</f>
        <v>0.37398373983739835</v>
      </c>
      <c r="E7" s="55" t="s">
        <v>68</v>
      </c>
      <c r="F7" s="52" t="s">
        <v>12</v>
      </c>
      <c r="G7" s="40">
        <v>77</v>
      </c>
      <c r="H7" s="124">
        <f t="shared" si="0"/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1"/>
        <v>-435.13513513513516</v>
      </c>
      <c r="P7" s="111">
        <v>74</v>
      </c>
      <c r="Q7" s="95">
        <v>-32200</v>
      </c>
    </row>
    <row r="8" spans="1:17" x14ac:dyDescent="0.4">
      <c r="A8" s="47" t="s">
        <v>3</v>
      </c>
      <c r="B8" s="40">
        <v>40</v>
      </c>
      <c r="C8" s="33">
        <f t="shared" si="2"/>
        <v>0.32520325203252032</v>
      </c>
      <c r="E8" s="55" t="s">
        <v>69</v>
      </c>
      <c r="F8" s="52" t="s">
        <v>24</v>
      </c>
      <c r="G8" s="40">
        <v>43</v>
      </c>
      <c r="H8" s="124">
        <f t="shared" si="0"/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2"/>
        <v>0.30081300813008133</v>
      </c>
      <c r="E9" s="55" t="s">
        <v>89</v>
      </c>
      <c r="F9" s="52" t="s">
        <v>44</v>
      </c>
      <c r="G9" s="40">
        <v>36</v>
      </c>
      <c r="H9" s="124">
        <f t="shared" si="0"/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28.067391304347826</v>
      </c>
      <c r="C10" s="141">
        <v>1291.0999999999999</v>
      </c>
      <c r="E10" s="55" t="s">
        <v>65</v>
      </c>
      <c r="F10" s="52" t="s">
        <v>21</v>
      </c>
      <c r="G10" s="40">
        <v>29</v>
      </c>
      <c r="H10" s="124">
        <f t="shared" si="0"/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">
      <c r="A11" s="48" t="s">
        <v>277</v>
      </c>
      <c r="B11" s="140">
        <f>IF(B8=0,0,C11/B8)</f>
        <v>-1.7999999999999996</v>
      </c>
      <c r="C11" s="141">
        <v>-71.999999999999986</v>
      </c>
      <c r="E11" s="55" t="s">
        <v>70</v>
      </c>
      <c r="F11" s="52" t="s">
        <v>25</v>
      </c>
      <c r="G11" s="40">
        <v>21</v>
      </c>
      <c r="H11" s="124">
        <f t="shared" si="0"/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">
      <c r="A12" s="48" t="s">
        <v>278</v>
      </c>
      <c r="B12" s="140">
        <f>IF(B9=0,0,C12/B9)</f>
        <v>-27.451351351351349</v>
      </c>
      <c r="C12" s="141">
        <v>-1015.6999999999999</v>
      </c>
      <c r="E12" s="55" t="s">
        <v>71</v>
      </c>
      <c r="F12" s="52" t="s">
        <v>26</v>
      </c>
      <c r="G12" s="40">
        <v>17</v>
      </c>
      <c r="H12" s="124">
        <f t="shared" si="0"/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">
      <c r="A13" s="48" t="s">
        <v>279</v>
      </c>
      <c r="B13" s="152">
        <f>AVERAGE(B10:B12)</f>
        <v>-0.39465334900117455</v>
      </c>
      <c r="C13" s="153"/>
      <c r="E13" s="55" t="s">
        <v>78</v>
      </c>
      <c r="F13" s="52" t="s">
        <v>33</v>
      </c>
      <c r="G13" s="40">
        <v>14</v>
      </c>
      <c r="H13" s="124">
        <f t="shared" si="0"/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14</v>
      </c>
      <c r="C14" s="36">
        <f t="shared" si="2"/>
        <v>0.11382113821138211</v>
      </c>
      <c r="E14" s="55" t="s">
        <v>81</v>
      </c>
      <c r="F14" s="52" t="s">
        <v>36</v>
      </c>
      <c r="G14" s="40">
        <v>10</v>
      </c>
      <c r="H14" s="124">
        <f t="shared" si="0"/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240</v>
      </c>
      <c r="C15" s="38">
        <f>IF(B$50=0,0,B15/B$50)</f>
        <v>0.29702970297029702</v>
      </c>
      <c r="E15" s="55" t="s">
        <v>86</v>
      </c>
      <c r="F15" s="52" t="s">
        <v>41</v>
      </c>
      <c r="G15" s="40">
        <v>10</v>
      </c>
      <c r="H15" s="124">
        <f t="shared" si="0"/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 t="shared" ref="O15:O23" si="3">IF(P15=0,0,Q15/P15)</f>
        <v>33.4</v>
      </c>
      <c r="P15" s="109">
        <v>1</v>
      </c>
      <c r="Q15" s="97">
        <v>33.4</v>
      </c>
    </row>
    <row r="16" spans="1:17" x14ac:dyDescent="0.4">
      <c r="A16" s="47" t="s">
        <v>118</v>
      </c>
      <c r="B16" s="40">
        <v>174</v>
      </c>
      <c r="C16" s="33">
        <f>IF(B$50=0,0,B16/B$50)</f>
        <v>0.21534653465346534</v>
      </c>
      <c r="E16" s="55" t="s">
        <v>83</v>
      </c>
      <c r="F16" s="52" t="s">
        <v>38</v>
      </c>
      <c r="G16" s="40">
        <v>8</v>
      </c>
      <c r="H16" s="124">
        <f t="shared" si="0"/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 t="shared" si="3"/>
        <v>14.79166666666667</v>
      </c>
      <c r="P16" s="110">
        <v>12</v>
      </c>
      <c r="Q16" s="98">
        <v>177.50000000000003</v>
      </c>
    </row>
    <row r="17" spans="1:17" x14ac:dyDescent="0.4">
      <c r="A17" s="46" t="s">
        <v>123</v>
      </c>
      <c r="B17" s="39">
        <f>B23</f>
        <v>134</v>
      </c>
      <c r="C17" s="31">
        <f>IF(B$15=0,0,B17/B$15)</f>
        <v>0.55833333333333335</v>
      </c>
      <c r="E17" s="55" t="s">
        <v>91</v>
      </c>
      <c r="F17" s="52" t="s">
        <v>46</v>
      </c>
      <c r="G17" s="40">
        <v>6</v>
      </c>
      <c r="H17" s="124">
        <f t="shared" si="0"/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 t="shared" si="3"/>
        <v>14.680487804878046</v>
      </c>
      <c r="P17" s="110">
        <v>41</v>
      </c>
      <c r="Q17" s="98">
        <v>601.89999999999986</v>
      </c>
    </row>
    <row r="18" spans="1:17" x14ac:dyDescent="0.4">
      <c r="A18" s="46" t="s">
        <v>124</v>
      </c>
      <c r="B18" s="39">
        <f>B24</f>
        <v>66</v>
      </c>
      <c r="C18" s="31">
        <f>IF(B$16=0,0,B18/B$16)</f>
        <v>0.37931034482758619</v>
      </c>
      <c r="E18" s="55" t="s">
        <v>73</v>
      </c>
      <c r="F18" s="52" t="s">
        <v>28</v>
      </c>
      <c r="G18" s="40">
        <v>4</v>
      </c>
      <c r="H18" s="124">
        <f t="shared" si="0"/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 t="shared" si="3"/>
        <v>13.897297297297296</v>
      </c>
      <c r="P18" s="110">
        <v>37</v>
      </c>
      <c r="Q18" s="98">
        <v>514.19999999999993</v>
      </c>
    </row>
    <row r="19" spans="1:17" x14ac:dyDescent="0.4">
      <c r="A19" s="46" t="s">
        <v>10</v>
      </c>
      <c r="B19" s="39">
        <f>B22+B21</f>
        <v>279</v>
      </c>
      <c r="C19" s="31">
        <f>IF(B$3=0,0,B19/B$3)</f>
        <v>0.29871520342612418</v>
      </c>
      <c r="E19" s="55" t="s">
        <v>77</v>
      </c>
      <c r="F19" s="52" t="s">
        <v>32</v>
      </c>
      <c r="G19" s="40">
        <v>2</v>
      </c>
      <c r="H19" s="124">
        <f t="shared" si="0"/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 t="shared" si="3"/>
        <v>4.3833333333333337</v>
      </c>
      <c r="P19" s="110">
        <v>6</v>
      </c>
      <c r="Q19" s="98">
        <v>26.300000000000004</v>
      </c>
    </row>
    <row r="20" spans="1:17" x14ac:dyDescent="0.4">
      <c r="A20" s="47" t="s">
        <v>13</v>
      </c>
      <c r="B20" s="40">
        <v>150</v>
      </c>
      <c r="C20" s="33">
        <f>IF(B$3=0,0,B20/B$3)</f>
        <v>0.16059957173447537</v>
      </c>
      <c r="E20" s="55" t="s">
        <v>79</v>
      </c>
      <c r="F20" s="52" t="s">
        <v>34</v>
      </c>
      <c r="G20" s="40">
        <v>2</v>
      </c>
      <c r="H20" s="124">
        <f t="shared" si="0"/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 t="shared" si="3"/>
        <v>-4.0227722772277232</v>
      </c>
      <c r="P20" s="110">
        <v>101</v>
      </c>
      <c r="Q20" s="98">
        <v>-406.30000000000007</v>
      </c>
    </row>
    <row r="21" spans="1:17" x14ac:dyDescent="0.4">
      <c r="A21" s="47" t="s">
        <v>12</v>
      </c>
      <c r="B21" s="40">
        <v>122</v>
      </c>
      <c r="C21" s="33">
        <f>IF(B$19=0,0,B21/B$19)</f>
        <v>0.43727598566308246</v>
      </c>
      <c r="E21" s="55" t="s">
        <v>93</v>
      </c>
      <c r="F21" s="52" t="s">
        <v>48</v>
      </c>
      <c r="G21" s="40">
        <v>2</v>
      </c>
      <c r="H21" s="124">
        <f t="shared" si="0"/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 t="shared" si="3"/>
        <v>-6.2</v>
      </c>
      <c r="P21" s="110">
        <v>3</v>
      </c>
      <c r="Q21" s="98">
        <v>-18.600000000000001</v>
      </c>
    </row>
    <row r="22" spans="1:17" x14ac:dyDescent="0.4">
      <c r="A22" s="47" t="s">
        <v>11</v>
      </c>
      <c r="B22" s="40">
        <v>157</v>
      </c>
      <c r="C22" s="33">
        <f>IF(B$19=0,0,B22/B$19)</f>
        <v>0.56272401433691754</v>
      </c>
      <c r="E22" s="55" t="s">
        <v>74</v>
      </c>
      <c r="F22" s="52" t="s">
        <v>29</v>
      </c>
      <c r="G22" s="40">
        <v>1</v>
      </c>
      <c r="H22" s="124">
        <f t="shared" si="0"/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 t="shared" si="3"/>
        <v>-6.7891891891891909</v>
      </c>
      <c r="P22" s="110">
        <v>37</v>
      </c>
      <c r="Q22" s="98">
        <v>-251.20000000000007</v>
      </c>
    </row>
    <row r="23" spans="1:17" x14ac:dyDescent="0.4">
      <c r="A23" s="47" t="s">
        <v>189</v>
      </c>
      <c r="B23" s="40">
        <v>134</v>
      </c>
      <c r="C23" s="33">
        <f>IF(B$19=0,0,B23/B$19)</f>
        <v>0.48028673835125446</v>
      </c>
      <c r="E23" s="55" t="s">
        <v>75</v>
      </c>
      <c r="F23" s="52" t="s">
        <v>30</v>
      </c>
      <c r="G23" s="40">
        <v>1</v>
      </c>
      <c r="H23" s="124">
        <f t="shared" si="0"/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 t="shared" si="3"/>
        <v>-8.3750000000000036</v>
      </c>
      <c r="P23" s="110">
        <v>8</v>
      </c>
      <c r="Q23" s="98">
        <v>-67.000000000000028</v>
      </c>
    </row>
    <row r="24" spans="1:17" x14ac:dyDescent="0.4">
      <c r="A24" s="47" t="s">
        <v>187</v>
      </c>
      <c r="B24" s="40">
        <v>66</v>
      </c>
      <c r="C24" s="33">
        <f>IF(B$19=0,0,B24/B$19)</f>
        <v>0.23655913978494625</v>
      </c>
      <c r="E24" s="55" t="s">
        <v>84</v>
      </c>
      <c r="F24" s="52" t="s">
        <v>39</v>
      </c>
      <c r="G24" s="40">
        <v>1</v>
      </c>
      <c r="H24" s="124">
        <f t="shared" si="0"/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">
      <c r="A25" s="47" t="s">
        <v>188</v>
      </c>
      <c r="B25" s="40">
        <v>79</v>
      </c>
      <c r="C25" s="33">
        <f>IF(B$19=0,0,B25/B$19)</f>
        <v>0.28315412186379929</v>
      </c>
      <c r="E25" s="55" t="s">
        <v>76</v>
      </c>
      <c r="F25" s="52" t="s">
        <v>31</v>
      </c>
      <c r="G25" s="40">
        <v>0</v>
      </c>
      <c r="H25" s="124">
        <f t="shared" si="0"/>
        <v>0</v>
      </c>
      <c r="I25" s="86">
        <v>1</v>
      </c>
      <c r="K25" s="32">
        <v>23</v>
      </c>
      <c r="L25" s="91">
        <v>172.89999999999995</v>
      </c>
    </row>
    <row r="26" spans="1:17" x14ac:dyDescent="0.4">
      <c r="A26" s="47" t="s">
        <v>5</v>
      </c>
      <c r="B26" s="44">
        <f>IF(B$19=0,0,C26/B$19)</f>
        <v>10381.362007168458</v>
      </c>
      <c r="C26" s="35">
        <v>2896400</v>
      </c>
      <c r="E26" s="55" t="s">
        <v>80</v>
      </c>
      <c r="F26" s="52" t="s">
        <v>35</v>
      </c>
      <c r="G26" s="40">
        <v>0</v>
      </c>
      <c r="H26" s="124">
        <f t="shared" si="0"/>
        <v>0</v>
      </c>
      <c r="I26" s="86">
        <v>3</v>
      </c>
      <c r="K26" s="32">
        <v>24</v>
      </c>
      <c r="L26" s="91">
        <v>133.19999999999993</v>
      </c>
    </row>
    <row r="27" spans="1:17" x14ac:dyDescent="0.4">
      <c r="A27" s="48" t="s">
        <v>171</v>
      </c>
      <c r="B27" s="127">
        <f>IF($B$19-B$18=0,0,C27/($B$19-B$18))</f>
        <v>11166.197183098591</v>
      </c>
      <c r="C27" s="128">
        <v>2378400</v>
      </c>
      <c r="E27" s="55" t="s">
        <v>82</v>
      </c>
      <c r="F27" s="52" t="s">
        <v>37</v>
      </c>
      <c r="G27" s="40">
        <v>0</v>
      </c>
      <c r="H27" s="124">
        <f t="shared" si="0"/>
        <v>0</v>
      </c>
      <c r="I27" s="86">
        <v>1</v>
      </c>
      <c r="K27" s="32">
        <v>25</v>
      </c>
      <c r="L27" s="91">
        <v>117.39999999999993</v>
      </c>
    </row>
    <row r="28" spans="1:17" x14ac:dyDescent="0.4">
      <c r="A28" s="48" t="s">
        <v>172</v>
      </c>
      <c r="B28" s="127">
        <f>IF(B$18=0,0,C28/B$18)</f>
        <v>7848.484848484848</v>
      </c>
      <c r="C28" s="128">
        <v>518000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128.69999999999993</v>
      </c>
    </row>
    <row r="29" spans="1:17" x14ac:dyDescent="0.4">
      <c r="A29" s="48" t="s">
        <v>170</v>
      </c>
      <c r="B29" s="127">
        <f>IF(B$20=0,0,C29/B$20)</f>
        <v>-9180.6666666666661</v>
      </c>
      <c r="C29" s="128">
        <v>-1377100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84.699999999999932</v>
      </c>
    </row>
    <row r="30" spans="1:17" x14ac:dyDescent="0.4">
      <c r="A30" s="47" t="s">
        <v>162</v>
      </c>
      <c r="B30" s="40">
        <v>6</v>
      </c>
      <c r="C30" s="126">
        <v>2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43.699999999999932</v>
      </c>
    </row>
    <row r="31" spans="1:17" x14ac:dyDescent="0.4">
      <c r="A31" s="47" t="s">
        <v>163</v>
      </c>
      <c r="B31" s="40">
        <v>26</v>
      </c>
      <c r="C31" s="126">
        <v>3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32.899999999999935</v>
      </c>
    </row>
    <row r="32" spans="1:17" x14ac:dyDescent="0.4">
      <c r="A32" s="82" t="s">
        <v>138</v>
      </c>
      <c r="B32" s="158">
        <v>9</v>
      </c>
      <c r="C32" s="159"/>
      <c r="E32" s="55" t="s">
        <v>92</v>
      </c>
      <c r="F32" s="52" t="s">
        <v>47</v>
      </c>
      <c r="G32" s="40">
        <v>0</v>
      </c>
      <c r="H32" s="124">
        <f t="shared" si="0"/>
        <v>0</v>
      </c>
      <c r="I32" s="86">
        <v>7</v>
      </c>
      <c r="K32" s="32">
        <v>30</v>
      </c>
      <c r="L32" s="91">
        <v>48.499999999999936</v>
      </c>
    </row>
    <row r="33" spans="1:12" x14ac:dyDescent="0.4">
      <c r="A33" s="50" t="s">
        <v>186</v>
      </c>
      <c r="B33" s="156">
        <v>109300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5.0999999999999375</v>
      </c>
    </row>
    <row r="34" spans="1:12" x14ac:dyDescent="0.4">
      <c r="A34" s="49" t="s">
        <v>139</v>
      </c>
      <c r="B34" s="57">
        <v>3</v>
      </c>
      <c r="C34" s="36">
        <f>IF(B$3=0,0,B34/B$3)</f>
        <v>3.2119914346895075E-3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5.7999999999999376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17.999999999999936</v>
      </c>
    </row>
    <row r="36" spans="1:12" x14ac:dyDescent="0.4">
      <c r="A36" s="82" t="s">
        <v>177</v>
      </c>
      <c r="B36" s="136">
        <v>6</v>
      </c>
      <c r="C36" s="132">
        <f>IF(B$19=0,0,B36/B$19)</f>
        <v>2.1505376344086023E-2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-19.300000000000061</v>
      </c>
    </row>
    <row r="37" spans="1:12" x14ac:dyDescent="0.4">
      <c r="A37" s="47" t="s">
        <v>173</v>
      </c>
      <c r="B37" s="40">
        <v>31</v>
      </c>
      <c r="C37" s="33">
        <f t="shared" ref="C37:C48" si="5">IF(B$19=0,0,B37/B$19)</f>
        <v>0.1111111111111111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29.699999999999939</v>
      </c>
    </row>
    <row r="38" spans="1:12" x14ac:dyDescent="0.4">
      <c r="A38" s="47" t="s">
        <v>174</v>
      </c>
      <c r="B38" s="139">
        <v>41</v>
      </c>
      <c r="C38" s="33">
        <f>IF(B$19=0,0,B38/B$19)</f>
        <v>0.14695340501792115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15.899999999999938</v>
      </c>
    </row>
    <row r="39" spans="1:12" x14ac:dyDescent="0.4">
      <c r="A39" s="47" t="s">
        <v>175</v>
      </c>
      <c r="B39" s="139">
        <v>47</v>
      </c>
      <c r="C39" s="33">
        <f t="shared" si="5"/>
        <v>0.16845878136200718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56.899999999999935</v>
      </c>
    </row>
    <row r="40" spans="1:12" x14ac:dyDescent="0.4">
      <c r="A40" s="47" t="s">
        <v>176</v>
      </c>
      <c r="B40" s="139">
        <v>32</v>
      </c>
      <c r="C40" s="33">
        <f t="shared" si="5"/>
        <v>0.11469534050179211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53.499999999999936</v>
      </c>
    </row>
    <row r="41" spans="1:12" x14ac:dyDescent="0.4">
      <c r="A41" s="47" t="s">
        <v>178</v>
      </c>
      <c r="B41" s="139">
        <v>29</v>
      </c>
      <c r="C41" s="33">
        <f t="shared" si="5"/>
        <v>0.1039426523297491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125.09999999999994</v>
      </c>
    </row>
    <row r="42" spans="1:12" x14ac:dyDescent="0.4">
      <c r="A42" s="47" t="s">
        <v>179</v>
      </c>
      <c r="B42" s="139">
        <v>18</v>
      </c>
      <c r="C42" s="33">
        <f t="shared" si="5"/>
        <v>6.4516129032258063E-2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156.59999999999994</v>
      </c>
    </row>
    <row r="43" spans="1:12" x14ac:dyDescent="0.4">
      <c r="A43" s="47" t="s">
        <v>180</v>
      </c>
      <c r="B43" s="139">
        <v>15</v>
      </c>
      <c r="C43" s="33">
        <f t="shared" si="5"/>
        <v>5.3763440860215055E-2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191.99999999999994</v>
      </c>
    </row>
    <row r="44" spans="1:12" x14ac:dyDescent="0.4">
      <c r="A44" s="47" t="s">
        <v>181</v>
      </c>
      <c r="B44" s="139">
        <v>7</v>
      </c>
      <c r="C44" s="33">
        <f t="shared" si="5"/>
        <v>2.5089605734767026E-2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203.49999999999994</v>
      </c>
    </row>
    <row r="45" spans="1:12" x14ac:dyDescent="0.4">
      <c r="A45" s="47" t="s">
        <v>182</v>
      </c>
      <c r="B45" s="139">
        <v>7</v>
      </c>
      <c r="C45" s="33">
        <f t="shared" si="5"/>
        <v>2.5089605734767026E-2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212.59999999999994</v>
      </c>
    </row>
    <row r="46" spans="1:12" x14ac:dyDescent="0.4">
      <c r="A46" s="47" t="s">
        <v>183</v>
      </c>
      <c r="B46" s="139">
        <v>5</v>
      </c>
      <c r="C46" s="33">
        <f t="shared" si="5"/>
        <v>1.7921146953405017E-2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164.19999999999993</v>
      </c>
    </row>
    <row r="47" spans="1:12" x14ac:dyDescent="0.4">
      <c r="A47" s="47" t="s">
        <v>184</v>
      </c>
      <c r="B47" s="139">
        <v>1</v>
      </c>
      <c r="C47" s="33">
        <f t="shared" si="5"/>
        <v>3.5842293906810036E-3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209.09999999999994</v>
      </c>
    </row>
    <row r="48" spans="1:12" x14ac:dyDescent="0.4">
      <c r="A48" s="49" t="s">
        <v>185</v>
      </c>
      <c r="B48" s="135">
        <v>3</v>
      </c>
      <c r="C48" s="36">
        <f t="shared" si="5"/>
        <v>1.0752688172043012E-2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218.99999999999994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198.99999999999994</v>
      </c>
    </row>
    <row r="50" spans="1:12" x14ac:dyDescent="0.4">
      <c r="A50" s="82" t="s">
        <v>197</v>
      </c>
      <c r="B50" s="146">
        <v>808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194.09999999999994</v>
      </c>
    </row>
    <row r="51" spans="1:12" x14ac:dyDescent="0.4">
      <c r="A51" s="49" t="s">
        <v>198</v>
      </c>
      <c r="B51" s="154">
        <v>242</v>
      </c>
      <c r="C51" s="155"/>
      <c r="K51" s="32">
        <v>49</v>
      </c>
      <c r="L51" s="91">
        <v>211.89999999999995</v>
      </c>
    </row>
    <row r="52" spans="1:12" x14ac:dyDescent="0.4">
      <c r="K52" s="32">
        <v>50</v>
      </c>
      <c r="L52" s="91">
        <v>185.49999999999994</v>
      </c>
    </row>
    <row r="53" spans="1:12" x14ac:dyDescent="0.4">
      <c r="K53" s="32">
        <v>51</v>
      </c>
      <c r="L53" s="91">
        <v>196.99999999999994</v>
      </c>
    </row>
    <row r="54" spans="1:12" x14ac:dyDescent="0.4">
      <c r="K54" s="32">
        <v>52</v>
      </c>
      <c r="L54" s="91">
        <v>196.59999999999994</v>
      </c>
    </row>
    <row r="55" spans="1:12" x14ac:dyDescent="0.4">
      <c r="K55" s="32">
        <v>53</v>
      </c>
      <c r="L55" s="91">
        <v>214.69999999999993</v>
      </c>
    </row>
    <row r="56" spans="1:12" x14ac:dyDescent="0.4">
      <c r="K56" s="32">
        <v>54</v>
      </c>
      <c r="L56" s="91">
        <v>237.49999999999994</v>
      </c>
    </row>
    <row r="57" spans="1:12" x14ac:dyDescent="0.4">
      <c r="K57" s="32">
        <v>55</v>
      </c>
      <c r="L57" s="91">
        <v>224.69999999999993</v>
      </c>
    </row>
    <row r="58" spans="1:12" x14ac:dyDescent="0.4">
      <c r="K58" s="32">
        <v>56</v>
      </c>
      <c r="L58" s="91">
        <v>260.69999999999993</v>
      </c>
    </row>
    <row r="59" spans="1:12" x14ac:dyDescent="0.4">
      <c r="K59" s="32">
        <v>57</v>
      </c>
      <c r="L59" s="91">
        <v>211.59999999999994</v>
      </c>
    </row>
    <row r="60" spans="1:12" x14ac:dyDescent="0.4">
      <c r="K60" s="32">
        <v>58</v>
      </c>
      <c r="L60" s="91">
        <v>208.99999999999994</v>
      </c>
    </row>
    <row r="61" spans="1:12" x14ac:dyDescent="0.4">
      <c r="K61" s="32">
        <v>59</v>
      </c>
      <c r="L61" s="91">
        <v>221.49999999999994</v>
      </c>
    </row>
    <row r="62" spans="1:12" x14ac:dyDescent="0.4">
      <c r="K62" s="32">
        <v>60</v>
      </c>
      <c r="L62" s="91">
        <v>233.79999999999995</v>
      </c>
    </row>
    <row r="63" spans="1:12" x14ac:dyDescent="0.4">
      <c r="K63" s="32">
        <v>61</v>
      </c>
      <c r="L63" s="91">
        <v>234.69999999999996</v>
      </c>
    </row>
    <row r="64" spans="1:12" x14ac:dyDescent="0.4">
      <c r="K64" s="32">
        <v>62</v>
      </c>
      <c r="L64" s="91">
        <v>230.89999999999995</v>
      </c>
    </row>
    <row r="65" spans="11:12" x14ac:dyDescent="0.4">
      <c r="K65" s="32">
        <v>63</v>
      </c>
      <c r="L65" s="91">
        <v>218.99999999999994</v>
      </c>
    </row>
    <row r="66" spans="11:12" x14ac:dyDescent="0.4">
      <c r="K66" s="32">
        <v>64</v>
      </c>
      <c r="L66" s="91">
        <v>201.49999999999994</v>
      </c>
    </row>
    <row r="67" spans="11:12" x14ac:dyDescent="0.4">
      <c r="K67" s="32">
        <v>65</v>
      </c>
      <c r="L67" s="91">
        <v>208.79999999999995</v>
      </c>
    </row>
    <row r="68" spans="11:12" x14ac:dyDescent="0.4">
      <c r="K68" s="32">
        <v>66</v>
      </c>
      <c r="L68" s="91">
        <v>204.19999999999996</v>
      </c>
    </row>
    <row r="69" spans="11:12" x14ac:dyDescent="0.4">
      <c r="K69" s="32">
        <v>67</v>
      </c>
      <c r="L69" s="91">
        <v>218.29999999999995</v>
      </c>
    </row>
    <row r="70" spans="11:12" x14ac:dyDescent="0.4">
      <c r="K70" s="32">
        <v>68</v>
      </c>
      <c r="L70" s="91">
        <v>179.79999999999995</v>
      </c>
    </row>
    <row r="71" spans="11:12" x14ac:dyDescent="0.4">
      <c r="K71" s="32">
        <v>69</v>
      </c>
      <c r="L71" s="91">
        <v>188.69999999999996</v>
      </c>
    </row>
    <row r="72" spans="11:12" x14ac:dyDescent="0.4">
      <c r="K72" s="32">
        <v>70</v>
      </c>
      <c r="L72" s="91">
        <v>218.39999999999995</v>
      </c>
    </row>
    <row r="73" spans="11:12" x14ac:dyDescent="0.4">
      <c r="K73" s="32">
        <v>71</v>
      </c>
      <c r="L73" s="91">
        <v>197.69999999999996</v>
      </c>
    </row>
    <row r="74" spans="11:12" x14ac:dyDescent="0.4">
      <c r="K74" s="32">
        <v>72</v>
      </c>
      <c r="L74" s="91">
        <v>159.69999999999996</v>
      </c>
    </row>
    <row r="75" spans="11:12" x14ac:dyDescent="0.4">
      <c r="K75" s="32">
        <v>73</v>
      </c>
      <c r="L75" s="91">
        <v>195.69999999999996</v>
      </c>
    </row>
    <row r="76" spans="11:12" x14ac:dyDescent="0.4">
      <c r="K76" s="32">
        <v>74</v>
      </c>
      <c r="L76" s="91">
        <v>225.59999999999997</v>
      </c>
    </row>
    <row r="77" spans="11:12" x14ac:dyDescent="0.4">
      <c r="K77" s="32">
        <v>75</v>
      </c>
      <c r="L77" s="91">
        <v>249.09999999999997</v>
      </c>
    </row>
    <row r="78" spans="11:12" x14ac:dyDescent="0.4">
      <c r="K78" s="32">
        <v>76</v>
      </c>
      <c r="L78" s="91">
        <v>243.29999999999995</v>
      </c>
    </row>
    <row r="79" spans="11:12" x14ac:dyDescent="0.4">
      <c r="K79" s="32">
        <v>77</v>
      </c>
      <c r="L79" s="91">
        <v>240.29999999999995</v>
      </c>
    </row>
    <row r="80" spans="11:12" x14ac:dyDescent="0.4">
      <c r="K80" s="32">
        <v>78</v>
      </c>
      <c r="L80" s="91">
        <v>233.59999999999997</v>
      </c>
    </row>
    <row r="81" spans="11:12" x14ac:dyDescent="0.4">
      <c r="K81" s="32">
        <v>79</v>
      </c>
      <c r="L81" s="91">
        <v>213.29999999999995</v>
      </c>
    </row>
    <row r="82" spans="11:12" x14ac:dyDescent="0.4">
      <c r="K82" s="32">
        <v>80</v>
      </c>
      <c r="L82" s="91">
        <v>240.79999999999995</v>
      </c>
    </row>
    <row r="83" spans="11:12" x14ac:dyDescent="0.4">
      <c r="K83" s="32">
        <v>81</v>
      </c>
      <c r="L83" s="91">
        <v>246.49999999999994</v>
      </c>
    </row>
    <row r="84" spans="11:12" x14ac:dyDescent="0.4">
      <c r="K84" s="32">
        <v>82</v>
      </c>
      <c r="L84" s="91">
        <v>259.69999999999993</v>
      </c>
    </row>
    <row r="85" spans="11:12" x14ac:dyDescent="0.4">
      <c r="K85" s="32">
        <v>83</v>
      </c>
      <c r="L85" s="91">
        <v>252.69999999999993</v>
      </c>
    </row>
    <row r="86" spans="11:12" x14ac:dyDescent="0.4">
      <c r="K86" s="32">
        <v>84</v>
      </c>
      <c r="L86" s="91">
        <v>272.99999999999994</v>
      </c>
    </row>
    <row r="87" spans="11:12" x14ac:dyDescent="0.4">
      <c r="K87" s="32">
        <v>85</v>
      </c>
      <c r="L87" s="91">
        <v>266.99999999999994</v>
      </c>
    </row>
    <row r="88" spans="11:12" x14ac:dyDescent="0.4">
      <c r="K88" s="32">
        <v>86</v>
      </c>
      <c r="L88" s="91">
        <v>240.79999999999995</v>
      </c>
    </row>
    <row r="89" spans="11:12" x14ac:dyDescent="0.4">
      <c r="K89" s="32">
        <v>87</v>
      </c>
      <c r="L89" s="91">
        <v>276.79999999999995</v>
      </c>
    </row>
    <row r="90" spans="11:12" x14ac:dyDescent="0.4">
      <c r="K90" s="32">
        <v>88</v>
      </c>
      <c r="L90" s="91">
        <v>277.09999999999997</v>
      </c>
    </row>
    <row r="91" spans="11:12" x14ac:dyDescent="0.4">
      <c r="K91" s="32">
        <v>89</v>
      </c>
      <c r="L91" s="91">
        <v>260.49999999999994</v>
      </c>
    </row>
    <row r="92" spans="11:12" x14ac:dyDescent="0.4">
      <c r="K92" s="32">
        <v>90</v>
      </c>
      <c r="L92" s="91">
        <v>287.89999999999992</v>
      </c>
    </row>
    <row r="93" spans="11:12" x14ac:dyDescent="0.4">
      <c r="K93" s="32">
        <v>91</v>
      </c>
      <c r="L93" s="91">
        <v>253.39999999999992</v>
      </c>
    </row>
    <row r="94" spans="11:12" x14ac:dyDescent="0.4">
      <c r="K94" s="32">
        <v>92</v>
      </c>
      <c r="L94" s="91">
        <v>279.59999999999991</v>
      </c>
    </row>
    <row r="95" spans="11:12" x14ac:dyDescent="0.4">
      <c r="K95" s="32">
        <v>93</v>
      </c>
      <c r="L95" s="91">
        <v>265.7999999999999</v>
      </c>
    </row>
    <row r="96" spans="11:12" x14ac:dyDescent="0.4">
      <c r="K96" s="32">
        <v>94</v>
      </c>
      <c r="L96" s="91">
        <v>248.89999999999989</v>
      </c>
    </row>
    <row r="97" spans="11:12" x14ac:dyDescent="0.4">
      <c r="K97" s="32">
        <v>95</v>
      </c>
      <c r="L97" s="91">
        <v>223.49999999999989</v>
      </c>
    </row>
    <row r="98" spans="11:12" x14ac:dyDescent="0.4">
      <c r="K98" s="32">
        <v>96</v>
      </c>
      <c r="L98" s="91">
        <v>235.99999999999989</v>
      </c>
    </row>
    <row r="99" spans="11:12" x14ac:dyDescent="0.4">
      <c r="K99" s="32">
        <v>97</v>
      </c>
      <c r="L99" s="91">
        <v>253.19999999999987</v>
      </c>
    </row>
    <row r="100" spans="11:12" x14ac:dyDescent="0.4">
      <c r="K100" s="32">
        <v>98</v>
      </c>
      <c r="L100" s="91">
        <v>222.59999999999988</v>
      </c>
    </row>
    <row r="101" spans="11:12" x14ac:dyDescent="0.4">
      <c r="K101" s="32">
        <v>99</v>
      </c>
      <c r="L101" s="91">
        <v>246.39999999999989</v>
      </c>
    </row>
    <row r="102" spans="11:12" x14ac:dyDescent="0.4">
      <c r="K102" s="32">
        <v>100</v>
      </c>
      <c r="L102" s="91">
        <v>253.89999999999989</v>
      </c>
    </row>
    <row r="103" spans="11:12" x14ac:dyDescent="0.4">
      <c r="K103" s="32">
        <v>101</v>
      </c>
      <c r="L103" s="91">
        <v>271.69999999999987</v>
      </c>
    </row>
    <row r="104" spans="11:12" x14ac:dyDescent="0.4">
      <c r="K104" s="32">
        <v>102</v>
      </c>
      <c r="L104" s="91">
        <v>249.89999999999986</v>
      </c>
    </row>
    <row r="105" spans="11:12" x14ac:dyDescent="0.4">
      <c r="K105" s="32">
        <v>103</v>
      </c>
      <c r="L105" s="91">
        <v>251.99999999999986</v>
      </c>
    </row>
    <row r="106" spans="11:12" x14ac:dyDescent="0.4">
      <c r="K106" s="32">
        <v>104</v>
      </c>
      <c r="L106" s="91">
        <v>257.59999999999985</v>
      </c>
    </row>
    <row r="107" spans="11:12" x14ac:dyDescent="0.4">
      <c r="K107" s="32">
        <v>105</v>
      </c>
      <c r="L107" s="91">
        <v>208.59999999999985</v>
      </c>
    </row>
    <row r="108" spans="11:12" x14ac:dyDescent="0.4">
      <c r="K108" s="32">
        <v>106</v>
      </c>
      <c r="L108" s="91">
        <v>193.19999999999985</v>
      </c>
    </row>
    <row r="109" spans="11:12" x14ac:dyDescent="0.4">
      <c r="K109" s="32">
        <v>107</v>
      </c>
      <c r="L109" s="91">
        <v>235.69999999999985</v>
      </c>
    </row>
    <row r="110" spans="11:12" x14ac:dyDescent="0.4">
      <c r="K110" s="32">
        <v>108</v>
      </c>
      <c r="L110" s="91">
        <v>244.69999999999985</v>
      </c>
    </row>
    <row r="111" spans="11:12" x14ac:dyDescent="0.4">
      <c r="K111" s="32">
        <v>109</v>
      </c>
      <c r="L111" s="91">
        <v>185.79999999999984</v>
      </c>
    </row>
    <row r="112" spans="11:12" x14ac:dyDescent="0.4">
      <c r="K112" s="32">
        <v>110</v>
      </c>
      <c r="L112" s="91">
        <v>226.49999999999983</v>
      </c>
    </row>
    <row r="113" spans="11:12" x14ac:dyDescent="0.4">
      <c r="K113" s="32">
        <v>111</v>
      </c>
      <c r="L113" s="91">
        <v>217.99999999999983</v>
      </c>
    </row>
    <row r="114" spans="11:12" x14ac:dyDescent="0.4">
      <c r="K114" s="32">
        <v>112</v>
      </c>
      <c r="L114" s="91">
        <v>226.49999999999983</v>
      </c>
    </row>
    <row r="115" spans="11:12" x14ac:dyDescent="0.4">
      <c r="K115" s="32">
        <v>113</v>
      </c>
      <c r="L115" s="91">
        <v>252.09999999999982</v>
      </c>
    </row>
    <row r="116" spans="11:12" x14ac:dyDescent="0.4">
      <c r="K116" s="32">
        <v>114</v>
      </c>
      <c r="L116" s="91">
        <v>273.99999999999983</v>
      </c>
    </row>
    <row r="117" spans="11:12" x14ac:dyDescent="0.4">
      <c r="K117" s="32">
        <v>115</v>
      </c>
      <c r="L117" s="91">
        <v>264.69999999999982</v>
      </c>
    </row>
    <row r="118" spans="11:12" x14ac:dyDescent="0.4">
      <c r="K118" s="32">
        <v>116</v>
      </c>
      <c r="L118" s="91">
        <v>247.69999999999982</v>
      </c>
    </row>
    <row r="119" spans="11:12" x14ac:dyDescent="0.4">
      <c r="K119" s="32">
        <v>117</v>
      </c>
      <c r="L119" s="91">
        <v>269.39999999999981</v>
      </c>
    </row>
    <row r="120" spans="11:12" x14ac:dyDescent="0.4">
      <c r="K120" s="32">
        <v>118</v>
      </c>
      <c r="L120" s="91">
        <v>223.89999999999981</v>
      </c>
    </row>
    <row r="121" spans="11:12" x14ac:dyDescent="0.4">
      <c r="K121" s="32">
        <v>119</v>
      </c>
      <c r="L121" s="91">
        <v>218.29999999999981</v>
      </c>
    </row>
    <row r="122" spans="11:12" x14ac:dyDescent="0.4">
      <c r="K122" s="32">
        <v>120</v>
      </c>
      <c r="L122" s="91">
        <v>197.79999999999981</v>
      </c>
    </row>
    <row r="123" spans="11:12" x14ac:dyDescent="0.4">
      <c r="K123" s="32">
        <v>121</v>
      </c>
      <c r="L123" s="91">
        <v>171.59999999999982</v>
      </c>
    </row>
    <row r="124" spans="11:12" x14ac:dyDescent="0.4">
      <c r="K124" s="32">
        <v>122</v>
      </c>
      <c r="L124" s="91">
        <v>163.89999999999984</v>
      </c>
    </row>
    <row r="125" spans="11:12" x14ac:dyDescent="0.4">
      <c r="K125" s="32">
        <v>123</v>
      </c>
      <c r="L125" s="91">
        <v>203.39999999999984</v>
      </c>
    </row>
  </sheetData>
  <sortState xmlns:xlrd2="http://schemas.microsoft.com/office/spreadsheetml/2017/richdata2" ref="E2:I126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0DA-952B-49BB-87A7-C527F3140CF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214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33</v>
      </c>
      <c r="C2" s="147"/>
      <c r="E2" s="54" t="s">
        <v>274</v>
      </c>
      <c r="F2" s="51" t="s">
        <v>275</v>
      </c>
      <c r="G2" s="39">
        <v>44</v>
      </c>
      <c r="H2" s="123">
        <f t="shared" ref="H2:H33" si="0">IF(B$51=0,0,G2/B$51)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1">IF(P2=0,0,Q2/P2)</f>
        <v>327.27272727272725</v>
      </c>
      <c r="P2" s="109">
        <v>33</v>
      </c>
      <c r="Q2" s="93">
        <v>10800</v>
      </c>
    </row>
    <row r="3" spans="1:17" x14ac:dyDescent="0.4">
      <c r="A3" s="47" t="s">
        <v>8</v>
      </c>
      <c r="B3" s="148">
        <v>270</v>
      </c>
      <c r="C3" s="149"/>
      <c r="E3" s="55" t="s">
        <v>64</v>
      </c>
      <c r="F3" s="52" t="s">
        <v>20</v>
      </c>
      <c r="G3" s="40">
        <v>30</v>
      </c>
      <c r="H3" s="124">
        <f t="shared" si="0"/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1"/>
        <v>2145.1612903225805</v>
      </c>
      <c r="P3" s="110">
        <v>31</v>
      </c>
      <c r="Q3" s="94">
        <v>66500</v>
      </c>
    </row>
    <row r="4" spans="1:17" x14ac:dyDescent="0.4">
      <c r="A4" s="47" t="s">
        <v>6</v>
      </c>
      <c r="B4" s="150">
        <v>-9.3999999999999773</v>
      </c>
      <c r="C4" s="151"/>
      <c r="E4" s="55" t="s">
        <v>67</v>
      </c>
      <c r="F4" s="52" t="s">
        <v>23</v>
      </c>
      <c r="G4" s="40">
        <v>24</v>
      </c>
      <c r="H4" s="124">
        <f t="shared" si="0"/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1"/>
        <v>-867.85714285714289</v>
      </c>
      <c r="P4" s="110">
        <v>28</v>
      </c>
      <c r="Q4" s="94">
        <v>-24300</v>
      </c>
    </row>
    <row r="5" spans="1:17" x14ac:dyDescent="0.4">
      <c r="A5" s="47" t="s">
        <v>7</v>
      </c>
      <c r="B5" s="152">
        <f>IF(B$2=0,0,B$4/B$2)</f>
        <v>-0.28484848484848418</v>
      </c>
      <c r="C5" s="153"/>
      <c r="E5" s="55" t="s">
        <v>66</v>
      </c>
      <c r="F5" s="52" t="s">
        <v>22</v>
      </c>
      <c r="G5" s="40">
        <v>22</v>
      </c>
      <c r="H5" s="124">
        <f t="shared" si="0"/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1"/>
        <v>469.23076923076923</v>
      </c>
      <c r="P5" s="110">
        <v>26</v>
      </c>
      <c r="Q5" s="94">
        <v>12200</v>
      </c>
    </row>
    <row r="6" spans="1:17" x14ac:dyDescent="0.4">
      <c r="A6" s="47" t="s">
        <v>1</v>
      </c>
      <c r="B6" s="160">
        <f>IF(B$2=0,0,(B$7*1+B$8*2+B$9*3)/B$2)</f>
        <v>2.0606060606060606</v>
      </c>
      <c r="C6" s="161"/>
      <c r="E6" s="55" t="s">
        <v>72</v>
      </c>
      <c r="F6" s="52" t="s">
        <v>27</v>
      </c>
      <c r="G6" s="40">
        <v>21</v>
      </c>
      <c r="H6" s="124">
        <f t="shared" si="0"/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1"/>
        <v>-1950</v>
      </c>
      <c r="P6" s="110">
        <v>22</v>
      </c>
      <c r="Q6" s="94">
        <v>-42900</v>
      </c>
    </row>
    <row r="7" spans="1:17" x14ac:dyDescent="0.4">
      <c r="A7" s="47" t="s">
        <v>2</v>
      </c>
      <c r="B7" s="40">
        <v>11</v>
      </c>
      <c r="C7" s="33">
        <f t="shared" ref="C7:C14" si="2">IF(B$2=0,0,B7/B$2)</f>
        <v>0.33333333333333331</v>
      </c>
      <c r="E7" s="55" t="s">
        <v>68</v>
      </c>
      <c r="F7" s="52" t="s">
        <v>12</v>
      </c>
      <c r="G7" s="40">
        <v>17</v>
      </c>
      <c r="H7" s="124">
        <f t="shared" si="0"/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1"/>
        <v>-1668.421052631579</v>
      </c>
      <c r="P7" s="111">
        <v>19</v>
      </c>
      <c r="Q7" s="95">
        <v>-31700</v>
      </c>
    </row>
    <row r="8" spans="1:17" x14ac:dyDescent="0.4">
      <c r="A8" s="47" t="s">
        <v>3</v>
      </c>
      <c r="B8" s="40">
        <v>9</v>
      </c>
      <c r="C8" s="33">
        <f t="shared" si="2"/>
        <v>0.27272727272727271</v>
      </c>
      <c r="E8" s="55" t="s">
        <v>65</v>
      </c>
      <c r="F8" s="52" t="s">
        <v>21</v>
      </c>
      <c r="G8" s="40">
        <v>7</v>
      </c>
      <c r="H8" s="124">
        <f t="shared" si="0"/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">
      <c r="A9" s="48" t="s">
        <v>4</v>
      </c>
      <c r="B9" s="41">
        <v>13</v>
      </c>
      <c r="C9" s="34">
        <f t="shared" si="2"/>
        <v>0.39393939393939392</v>
      </c>
      <c r="E9" s="55" t="s">
        <v>89</v>
      </c>
      <c r="F9" s="52" t="s">
        <v>44</v>
      </c>
      <c r="G9" s="40">
        <v>7</v>
      </c>
      <c r="H9" s="124">
        <f t="shared" si="0"/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34.109090909090916</v>
      </c>
      <c r="C10" s="141">
        <v>375.20000000000005</v>
      </c>
      <c r="E10" s="55" t="s">
        <v>69</v>
      </c>
      <c r="F10" s="52" t="s">
        <v>24</v>
      </c>
      <c r="G10" s="40">
        <v>6</v>
      </c>
      <c r="H10" s="124">
        <f t="shared" si="0"/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">
      <c r="A11" s="48" t="s">
        <v>277</v>
      </c>
      <c r="B11" s="140">
        <f>IF(B8=0,0,C11/B8)</f>
        <v>0.48888888888888882</v>
      </c>
      <c r="C11" s="141">
        <v>4.3999999999999995</v>
      </c>
      <c r="E11" s="55" t="s">
        <v>70</v>
      </c>
      <c r="F11" s="52" t="s">
        <v>25</v>
      </c>
      <c r="G11" s="40">
        <v>4</v>
      </c>
      <c r="H11" s="124">
        <f t="shared" si="0"/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">
      <c r="A12" s="48" t="s">
        <v>278</v>
      </c>
      <c r="B12" s="140">
        <f>IF(B9=0,0,C12/B9)</f>
        <v>-29.923076923076923</v>
      </c>
      <c r="C12" s="141">
        <v>-389</v>
      </c>
      <c r="E12" s="55" t="s">
        <v>71</v>
      </c>
      <c r="F12" s="52" t="s">
        <v>26</v>
      </c>
      <c r="G12" s="40">
        <v>2</v>
      </c>
      <c r="H12" s="124">
        <f t="shared" si="0"/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">
      <c r="A13" s="48" t="s">
        <v>279</v>
      </c>
      <c r="B13" s="152">
        <f>AVERAGE(B10:B12)</f>
        <v>1.5583009583009602</v>
      </c>
      <c r="C13" s="153"/>
      <c r="E13" s="55" t="s">
        <v>78</v>
      </c>
      <c r="F13" s="52" t="s">
        <v>33</v>
      </c>
      <c r="G13" s="40">
        <v>2</v>
      </c>
      <c r="H13" s="124">
        <f t="shared" si="0"/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6</v>
      </c>
      <c r="C14" s="36">
        <f t="shared" si="2"/>
        <v>0.18181818181818182</v>
      </c>
      <c r="E14" s="55" t="s">
        <v>73</v>
      </c>
      <c r="F14" s="52" t="s">
        <v>28</v>
      </c>
      <c r="G14" s="40">
        <v>1</v>
      </c>
      <c r="H14" s="124">
        <f t="shared" si="0"/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58</v>
      </c>
      <c r="C15" s="38">
        <f>IF(B$50=0,0,B15/B$50)</f>
        <v>0.30851063829787234</v>
      </c>
      <c r="E15" s="55" t="s">
        <v>79</v>
      </c>
      <c r="F15" s="52" t="s">
        <v>34</v>
      </c>
      <c r="G15" s="40">
        <v>1</v>
      </c>
      <c r="H15" s="124">
        <f t="shared" si="0"/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 t="shared" ref="O15:O21" si="3">IF(P15=0,0,Q15/P15)</f>
        <v>24.993333333333332</v>
      </c>
      <c r="P15" s="109">
        <v>15</v>
      </c>
      <c r="Q15" s="97">
        <v>374.9</v>
      </c>
    </row>
    <row r="16" spans="1:17" x14ac:dyDescent="0.4">
      <c r="A16" s="47" t="s">
        <v>118</v>
      </c>
      <c r="B16" s="40">
        <v>39</v>
      </c>
      <c r="C16" s="33">
        <f>IF(B$50=0,0,B16/B$50)</f>
        <v>0.20744680851063829</v>
      </c>
      <c r="E16" s="55" t="s">
        <v>83</v>
      </c>
      <c r="F16" s="52" t="s">
        <v>38</v>
      </c>
      <c r="G16" s="40">
        <v>1</v>
      </c>
      <c r="H16" s="124">
        <f t="shared" si="0"/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 t="shared" si="3"/>
        <v>0.14444444444444493</v>
      </c>
      <c r="P16" s="110">
        <v>9</v>
      </c>
      <c r="Q16" s="98">
        <v>1.3000000000000043</v>
      </c>
    </row>
    <row r="17" spans="1:17" x14ac:dyDescent="0.4">
      <c r="A17" s="46" t="s">
        <v>123</v>
      </c>
      <c r="B17" s="39">
        <f>B23</f>
        <v>30</v>
      </c>
      <c r="C17" s="31">
        <f>IF(B$15=0,0,B17/B$15)</f>
        <v>0.51724137931034486</v>
      </c>
      <c r="E17" s="55" t="s">
        <v>86</v>
      </c>
      <c r="F17" s="52" t="s">
        <v>41</v>
      </c>
      <c r="G17" s="40">
        <v>1</v>
      </c>
      <c r="H17" s="124">
        <f t="shared" si="0"/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 t="shared" si="3"/>
        <v>-4.3000000000000007</v>
      </c>
      <c r="P17" s="110">
        <v>4</v>
      </c>
      <c r="Q17" s="98">
        <v>-17.200000000000003</v>
      </c>
    </row>
    <row r="18" spans="1:17" x14ac:dyDescent="0.4">
      <c r="A18" s="46" t="s">
        <v>124</v>
      </c>
      <c r="B18" s="39">
        <f>B24</f>
        <v>9</v>
      </c>
      <c r="C18" s="31">
        <f>IF(B$16=0,0,B18/B$16)</f>
        <v>0.23076923076923078</v>
      </c>
      <c r="E18" s="55" t="s">
        <v>91</v>
      </c>
      <c r="F18" s="52" t="s">
        <v>46</v>
      </c>
      <c r="G18" s="40">
        <v>1</v>
      </c>
      <c r="H18" s="124">
        <f t="shared" si="0"/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 t="shared" si="3"/>
        <v>-4.3833333333333337</v>
      </c>
      <c r="P18" s="110">
        <v>6</v>
      </c>
      <c r="Q18" s="98">
        <v>-26.300000000000004</v>
      </c>
    </row>
    <row r="19" spans="1:17" x14ac:dyDescent="0.4">
      <c r="A19" s="46" t="s">
        <v>10</v>
      </c>
      <c r="B19" s="39">
        <f>B22+B21</f>
        <v>73</v>
      </c>
      <c r="C19" s="31">
        <f>IF(B$3=0,0,B19/B$3)</f>
        <v>0.27037037037037037</v>
      </c>
      <c r="E19" s="55" t="s">
        <v>92</v>
      </c>
      <c r="F19" s="52" t="s">
        <v>47</v>
      </c>
      <c r="G19" s="40">
        <v>1</v>
      </c>
      <c r="H19" s="124">
        <f t="shared" si="0"/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 t="shared" si="3"/>
        <v>-9.155555555555555</v>
      </c>
      <c r="P19" s="110">
        <v>27</v>
      </c>
      <c r="Q19" s="98">
        <v>-247.2</v>
      </c>
    </row>
    <row r="20" spans="1:17" x14ac:dyDescent="0.4">
      <c r="A20" s="47" t="s">
        <v>13</v>
      </c>
      <c r="B20" s="40">
        <v>47</v>
      </c>
      <c r="C20" s="33">
        <f>IF(B$3=0,0,B20/B$3)</f>
        <v>0.17407407407407408</v>
      </c>
      <c r="E20" s="55" t="s">
        <v>74</v>
      </c>
      <c r="F20" s="52" t="s">
        <v>29</v>
      </c>
      <c r="G20" s="40">
        <v>0</v>
      </c>
      <c r="H20" s="124">
        <f t="shared" si="0"/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 t="shared" si="3"/>
        <v>-19.925000000000004</v>
      </c>
      <c r="P20" s="110">
        <v>4</v>
      </c>
      <c r="Q20" s="98">
        <v>-79.700000000000017</v>
      </c>
    </row>
    <row r="21" spans="1:17" x14ac:dyDescent="0.4">
      <c r="A21" s="47" t="s">
        <v>12</v>
      </c>
      <c r="B21" s="40">
        <v>33</v>
      </c>
      <c r="C21" s="33">
        <f>IF(B$19=0,0,B21/B$19)</f>
        <v>0.45205479452054792</v>
      </c>
      <c r="E21" s="55" t="s">
        <v>75</v>
      </c>
      <c r="F21" s="52" t="s">
        <v>30</v>
      </c>
      <c r="G21" s="40">
        <v>0</v>
      </c>
      <c r="H21" s="124">
        <f t="shared" si="0"/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 t="shared" si="3"/>
        <v>-34</v>
      </c>
      <c r="P21" s="110">
        <v>1</v>
      </c>
      <c r="Q21" s="98">
        <v>-34</v>
      </c>
    </row>
    <row r="22" spans="1:17" x14ac:dyDescent="0.4">
      <c r="A22" s="47" t="s">
        <v>11</v>
      </c>
      <c r="B22" s="40">
        <v>40</v>
      </c>
      <c r="C22" s="33">
        <f>IF(B$19=0,0,B22/B$19)</f>
        <v>0.54794520547945202</v>
      </c>
      <c r="E22" s="55" t="s">
        <v>76</v>
      </c>
      <c r="F22" s="52" t="s">
        <v>31</v>
      </c>
      <c r="G22" s="40">
        <v>0</v>
      </c>
      <c r="H22" s="124">
        <f t="shared" si="0"/>
        <v>0</v>
      </c>
      <c r="I22" s="86">
        <v>1</v>
      </c>
      <c r="K22" s="32">
        <v>20</v>
      </c>
      <c r="L22" s="91">
        <v>152.50000000000003</v>
      </c>
    </row>
    <row r="23" spans="1:17" x14ac:dyDescent="0.4">
      <c r="A23" s="47" t="s">
        <v>189</v>
      </c>
      <c r="B23" s="40">
        <v>30</v>
      </c>
      <c r="C23" s="33">
        <f>IF(B$19=0,0,B23/B$19)</f>
        <v>0.41095890410958902</v>
      </c>
      <c r="E23" s="55" t="s">
        <v>77</v>
      </c>
      <c r="F23" s="52" t="s">
        <v>32</v>
      </c>
      <c r="G23" s="40">
        <v>0</v>
      </c>
      <c r="H23" s="124">
        <f t="shared" si="0"/>
        <v>0</v>
      </c>
      <c r="I23" s="86">
        <v>7</v>
      </c>
      <c r="K23" s="32">
        <v>21</v>
      </c>
      <c r="L23" s="91">
        <v>138.00000000000003</v>
      </c>
    </row>
    <row r="24" spans="1:17" x14ac:dyDescent="0.4">
      <c r="A24" s="47" t="s">
        <v>187</v>
      </c>
      <c r="B24" s="40">
        <v>9</v>
      </c>
      <c r="C24" s="33">
        <f>IF(B$19=0,0,B24/B$19)</f>
        <v>0.12328767123287671</v>
      </c>
      <c r="E24" s="55" t="s">
        <v>80</v>
      </c>
      <c r="F24" s="52" t="s">
        <v>35</v>
      </c>
      <c r="G24" s="40">
        <v>0</v>
      </c>
      <c r="H24" s="124">
        <f t="shared" si="0"/>
        <v>0</v>
      </c>
      <c r="I24" s="86">
        <v>3</v>
      </c>
      <c r="K24" s="32">
        <v>22</v>
      </c>
      <c r="L24" s="91">
        <v>101.30000000000003</v>
      </c>
    </row>
    <row r="25" spans="1:17" x14ac:dyDescent="0.4">
      <c r="A25" s="47" t="s">
        <v>188</v>
      </c>
      <c r="B25" s="40">
        <v>34</v>
      </c>
      <c r="C25" s="33">
        <f>IF(B$19=0,0,B25/B$19)</f>
        <v>0.46575342465753422</v>
      </c>
      <c r="E25" s="55" t="s">
        <v>81</v>
      </c>
      <c r="F25" s="52" t="s">
        <v>36</v>
      </c>
      <c r="G25" s="40">
        <v>0</v>
      </c>
      <c r="H25" s="124">
        <f t="shared" si="0"/>
        <v>0</v>
      </c>
      <c r="I25" s="86">
        <v>10</v>
      </c>
      <c r="K25" s="32">
        <v>23</v>
      </c>
      <c r="L25" s="91">
        <v>53.800000000000026</v>
      </c>
    </row>
    <row r="26" spans="1:17" x14ac:dyDescent="0.4">
      <c r="A26" s="47" t="s">
        <v>5</v>
      </c>
      <c r="B26" s="44">
        <f>IF(B$19=0,0,C26/B$19)</f>
        <v>11054.794520547945</v>
      </c>
      <c r="C26" s="35">
        <v>807000</v>
      </c>
      <c r="E26" s="55" t="s">
        <v>82</v>
      </c>
      <c r="F26" s="52" t="s">
        <v>37</v>
      </c>
      <c r="G26" s="40">
        <v>0</v>
      </c>
      <c r="H26" s="124">
        <f t="shared" si="0"/>
        <v>0</v>
      </c>
      <c r="I26" s="86">
        <v>1</v>
      </c>
      <c r="K26" s="32">
        <v>24</v>
      </c>
      <c r="L26" s="91">
        <v>81.500000000000028</v>
      </c>
    </row>
    <row r="27" spans="1:17" x14ac:dyDescent="0.4">
      <c r="A27" s="48" t="s">
        <v>171</v>
      </c>
      <c r="B27" s="127">
        <f>IF($B$19-B$18=0,0,C27/($B$19-B$18))</f>
        <v>11540.625</v>
      </c>
      <c r="C27" s="128">
        <v>738600</v>
      </c>
      <c r="E27" s="55" t="s">
        <v>84</v>
      </c>
      <c r="F27" s="52" t="s">
        <v>39</v>
      </c>
      <c r="G27" s="40">
        <v>0</v>
      </c>
      <c r="H27" s="124">
        <f t="shared" si="0"/>
        <v>0</v>
      </c>
      <c r="I27" s="86">
        <v>5</v>
      </c>
      <c r="K27" s="32">
        <v>25</v>
      </c>
      <c r="L27" s="91">
        <v>79.500000000000028</v>
      </c>
    </row>
    <row r="28" spans="1:17" x14ac:dyDescent="0.4">
      <c r="A28" s="48" t="s">
        <v>172</v>
      </c>
      <c r="B28" s="127">
        <f>IF(B$18=0,0,C28/B$18)</f>
        <v>7600</v>
      </c>
      <c r="C28" s="128">
        <v>68400</v>
      </c>
      <c r="E28" s="55" t="s">
        <v>85</v>
      </c>
      <c r="F28" s="52" t="s">
        <v>40</v>
      </c>
      <c r="G28" s="40">
        <v>0</v>
      </c>
      <c r="H28" s="124">
        <f t="shared" si="0"/>
        <v>0</v>
      </c>
      <c r="I28" s="86">
        <v>6</v>
      </c>
      <c r="K28" s="32">
        <v>26</v>
      </c>
      <c r="L28" s="91">
        <v>51.10000000000003</v>
      </c>
    </row>
    <row r="29" spans="1:17" x14ac:dyDescent="0.4">
      <c r="A29" s="48" t="s">
        <v>170</v>
      </c>
      <c r="B29" s="127">
        <f>IF(B$20=0,0,C29/B$20)</f>
        <v>-8859.5744680851058</v>
      </c>
      <c r="C29" s="128">
        <v>-416400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64.700000000000031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49.60000000000003</v>
      </c>
    </row>
    <row r="31" spans="1:17" x14ac:dyDescent="0.4">
      <c r="A31" s="47" t="s">
        <v>163</v>
      </c>
      <c r="B31" s="40">
        <v>23</v>
      </c>
      <c r="C31" s="126">
        <v>4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15.400000000000027</v>
      </c>
    </row>
    <row r="32" spans="1:17" x14ac:dyDescent="0.4">
      <c r="A32" s="82" t="s">
        <v>138</v>
      </c>
      <c r="B32" s="158">
        <v>7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-30.799999999999976</v>
      </c>
    </row>
    <row r="33" spans="1:12" x14ac:dyDescent="0.4">
      <c r="A33" s="50" t="s">
        <v>186</v>
      </c>
      <c r="B33" s="156">
        <v>109300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-26.799999999999976</v>
      </c>
    </row>
    <row r="34" spans="1:12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8.2000000000000242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-9.3999999999999773</v>
      </c>
    </row>
    <row r="36" spans="1:12" x14ac:dyDescent="0.4">
      <c r="A36" s="82" t="s">
        <v>177</v>
      </c>
      <c r="B36" s="136">
        <v>2</v>
      </c>
      <c r="C36" s="132">
        <f>IF(B$19=0,0,B36/B$19)</f>
        <v>2.7397260273972601E-2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</row>
    <row r="37" spans="1:12" x14ac:dyDescent="0.4">
      <c r="A37" s="47" t="s">
        <v>173</v>
      </c>
      <c r="B37" s="40">
        <v>6</v>
      </c>
      <c r="C37" s="33">
        <f t="shared" ref="C37:C48" si="5">IF(B$19=0,0,B37/B$19)</f>
        <v>8.2191780821917804E-2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</row>
    <row r="38" spans="1:12" x14ac:dyDescent="0.4">
      <c r="A38" s="47" t="s">
        <v>174</v>
      </c>
      <c r="B38" s="139">
        <v>6</v>
      </c>
      <c r="C38" s="33">
        <f>IF(B$19=0,0,B38/B$19)</f>
        <v>8.2191780821917804E-2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</row>
    <row r="39" spans="1:12" x14ac:dyDescent="0.4">
      <c r="A39" s="47" t="s">
        <v>175</v>
      </c>
      <c r="B39" s="139">
        <v>8</v>
      </c>
      <c r="C39" s="33">
        <f t="shared" si="5"/>
        <v>0.1095890410958904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12" x14ac:dyDescent="0.4">
      <c r="A40" s="47" t="s">
        <v>176</v>
      </c>
      <c r="B40" s="139">
        <v>5</v>
      </c>
      <c r="C40" s="33">
        <f t="shared" si="5"/>
        <v>6.8493150684931503E-2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12" x14ac:dyDescent="0.4">
      <c r="A41" s="47" t="s">
        <v>178</v>
      </c>
      <c r="B41" s="139">
        <v>6</v>
      </c>
      <c r="C41" s="33">
        <f t="shared" si="5"/>
        <v>8.2191780821917804E-2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5"/>
        <v>6.8493150684931503E-2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12" x14ac:dyDescent="0.4">
      <c r="A43" s="47" t="s">
        <v>180</v>
      </c>
      <c r="B43" s="139">
        <v>3</v>
      </c>
      <c r="C43" s="33">
        <f t="shared" si="5"/>
        <v>4.1095890410958902E-2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12" x14ac:dyDescent="0.4">
      <c r="A44" s="47" t="s">
        <v>181</v>
      </c>
      <c r="B44" s="139">
        <v>3</v>
      </c>
      <c r="C44" s="33">
        <f t="shared" si="5"/>
        <v>4.1095890410958902E-2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12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12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5"/>
        <v>1.3698630136986301E-2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188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54">
        <v>45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C54C-6C5A-4DF5-88E1-F5C4C73F1BDE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164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131</v>
      </c>
      <c r="C2" s="147"/>
      <c r="E2" s="54" t="s">
        <v>274</v>
      </c>
      <c r="F2" s="51" t="s">
        <v>275</v>
      </c>
      <c r="G2" s="39">
        <v>254</v>
      </c>
      <c r="H2" s="123">
        <f t="shared" ref="H2:H33" si="0">IF(B$51=0,0,G2/B$51)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-1304.724409448819</v>
      </c>
      <c r="P2" s="109">
        <v>127</v>
      </c>
      <c r="Q2" s="93">
        <v>-165700</v>
      </c>
    </row>
    <row r="3" spans="1:17" x14ac:dyDescent="0.4">
      <c r="A3" s="47" t="s">
        <v>8</v>
      </c>
      <c r="B3" s="148">
        <v>1016</v>
      </c>
      <c r="C3" s="149"/>
      <c r="E3" s="55" t="s">
        <v>66</v>
      </c>
      <c r="F3" s="52" t="s">
        <v>22</v>
      </c>
      <c r="G3" s="40">
        <v>213</v>
      </c>
      <c r="H3" s="124">
        <f t="shared" si="0"/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1"/>
        <v>444</v>
      </c>
      <c r="P3" s="110">
        <v>125</v>
      </c>
      <c r="Q3" s="94">
        <v>55500</v>
      </c>
    </row>
    <row r="4" spans="1:17" x14ac:dyDescent="0.4">
      <c r="A4" s="47" t="s">
        <v>6</v>
      </c>
      <c r="B4" s="150">
        <v>-461.2999999999999</v>
      </c>
      <c r="C4" s="151"/>
      <c r="E4" s="55" t="s">
        <v>64</v>
      </c>
      <c r="F4" s="52" t="s">
        <v>20</v>
      </c>
      <c r="G4" s="40">
        <v>169</v>
      </c>
      <c r="H4" s="124">
        <f t="shared" si="0"/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1"/>
        <v>-257.14285714285717</v>
      </c>
      <c r="P4" s="110">
        <v>119</v>
      </c>
      <c r="Q4" s="94">
        <v>-30600</v>
      </c>
    </row>
    <row r="5" spans="1:17" x14ac:dyDescent="0.4">
      <c r="A5" s="47" t="s">
        <v>7</v>
      </c>
      <c r="B5" s="152">
        <f>IF(B$2=0,0,B$4/B$2)</f>
        <v>-3.5213740458015259</v>
      </c>
      <c r="C5" s="153"/>
      <c r="E5" s="55" t="s">
        <v>72</v>
      </c>
      <c r="F5" s="52" t="s">
        <v>27</v>
      </c>
      <c r="G5" s="40">
        <v>163</v>
      </c>
      <c r="H5" s="124">
        <f t="shared" si="0"/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1"/>
        <v>57.943925233644862</v>
      </c>
      <c r="P5" s="110">
        <v>107</v>
      </c>
      <c r="Q5" s="94">
        <v>6200</v>
      </c>
    </row>
    <row r="6" spans="1:17" x14ac:dyDescent="0.4">
      <c r="A6" s="47" t="s">
        <v>1</v>
      </c>
      <c r="B6" s="160">
        <f>IF(B$2=0,0,(B$7*1+B$8*2+B$9*3)/B$2)</f>
        <v>2.1603053435114505</v>
      </c>
      <c r="C6" s="161"/>
      <c r="E6" s="55" t="s">
        <v>67</v>
      </c>
      <c r="F6" s="52" t="s">
        <v>23</v>
      </c>
      <c r="G6" s="40">
        <v>102</v>
      </c>
      <c r="H6" s="124">
        <f t="shared" si="0"/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1"/>
        <v>-2685.8585858585857</v>
      </c>
      <c r="P6" s="110">
        <v>99</v>
      </c>
      <c r="Q6" s="94">
        <v>-265900</v>
      </c>
    </row>
    <row r="7" spans="1:17" x14ac:dyDescent="0.4">
      <c r="A7" s="47" t="s">
        <v>2</v>
      </c>
      <c r="B7" s="40">
        <v>32</v>
      </c>
      <c r="C7" s="33">
        <f t="shared" ref="C7:C14" si="2">IF(B$2=0,0,B7/B$2)</f>
        <v>0.24427480916030533</v>
      </c>
      <c r="E7" s="55" t="s">
        <v>68</v>
      </c>
      <c r="F7" s="52" t="s">
        <v>12</v>
      </c>
      <c r="G7" s="40">
        <v>87</v>
      </c>
      <c r="H7" s="124">
        <f t="shared" si="0"/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1"/>
        <v>635.80246913580243</v>
      </c>
      <c r="P7" s="111">
        <v>81</v>
      </c>
      <c r="Q7" s="95">
        <v>51500</v>
      </c>
    </row>
    <row r="8" spans="1:17" x14ac:dyDescent="0.4">
      <c r="A8" s="47" t="s">
        <v>3</v>
      </c>
      <c r="B8" s="40">
        <v>46</v>
      </c>
      <c r="C8" s="33">
        <f t="shared" si="2"/>
        <v>0.35114503816793891</v>
      </c>
      <c r="E8" s="55" t="s">
        <v>69</v>
      </c>
      <c r="F8" s="52" t="s">
        <v>24</v>
      </c>
      <c r="G8" s="40">
        <v>43</v>
      </c>
      <c r="H8" s="124">
        <f t="shared" si="0"/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">
      <c r="A9" s="48" t="s">
        <v>4</v>
      </c>
      <c r="B9" s="41">
        <v>53</v>
      </c>
      <c r="C9" s="34">
        <f t="shared" si="2"/>
        <v>0.40458015267175573</v>
      </c>
      <c r="E9" s="55" t="s">
        <v>89</v>
      </c>
      <c r="F9" s="52" t="s">
        <v>44</v>
      </c>
      <c r="G9" s="40">
        <v>35</v>
      </c>
      <c r="H9" s="124">
        <f t="shared" si="0"/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35.34375</v>
      </c>
      <c r="C10" s="141">
        <v>1131</v>
      </c>
      <c r="E10" s="55" t="s">
        <v>70</v>
      </c>
      <c r="F10" s="52" t="s">
        <v>25</v>
      </c>
      <c r="G10" s="40">
        <v>34</v>
      </c>
      <c r="H10" s="124">
        <f t="shared" si="0"/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">
      <c r="A11" s="48" t="s">
        <v>277</v>
      </c>
      <c r="B11" s="140">
        <f>IF(B8=0,0,C11/B8)</f>
        <v>-2.1456521739130441</v>
      </c>
      <c r="C11" s="141">
        <v>-98.700000000000031</v>
      </c>
      <c r="E11" s="55" t="s">
        <v>65</v>
      </c>
      <c r="F11" s="52" t="s">
        <v>21</v>
      </c>
      <c r="G11" s="40">
        <v>31</v>
      </c>
      <c r="H11" s="124">
        <f t="shared" si="0"/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">
      <c r="A12" s="48" t="s">
        <v>278</v>
      </c>
      <c r="B12" s="140">
        <f>IF(B9=0,0,C12/B9)</f>
        <v>-28.181132075471691</v>
      </c>
      <c r="C12" s="141">
        <v>-1493.5999999999997</v>
      </c>
      <c r="E12" s="55" t="s">
        <v>86</v>
      </c>
      <c r="F12" s="52" t="s">
        <v>41</v>
      </c>
      <c r="G12" s="40">
        <v>24</v>
      </c>
      <c r="H12" s="124">
        <f t="shared" si="0"/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">
      <c r="A13" s="48" t="s">
        <v>279</v>
      </c>
      <c r="B13" s="152">
        <f>AVERAGE(B10:B12)</f>
        <v>1.6723219168717556</v>
      </c>
      <c r="C13" s="153"/>
      <c r="E13" s="55" t="s">
        <v>78</v>
      </c>
      <c r="F13" s="52" t="s">
        <v>33</v>
      </c>
      <c r="G13" s="40">
        <v>10</v>
      </c>
      <c r="H13" s="124">
        <f t="shared" si="0"/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23</v>
      </c>
      <c r="C14" s="36">
        <f t="shared" si="2"/>
        <v>0.17557251908396945</v>
      </c>
      <c r="E14" s="55" t="s">
        <v>71</v>
      </c>
      <c r="F14" s="52" t="s">
        <v>26</v>
      </c>
      <c r="G14" s="40">
        <v>8</v>
      </c>
      <c r="H14" s="124">
        <f t="shared" si="0"/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296</v>
      </c>
      <c r="C15" s="38">
        <f>IF(B$50=0,0,B15/B$50)</f>
        <v>0.30234933605720121</v>
      </c>
      <c r="E15" s="55" t="s">
        <v>83</v>
      </c>
      <c r="F15" s="52" t="s">
        <v>38</v>
      </c>
      <c r="G15" s="40">
        <v>8</v>
      </c>
      <c r="H15" s="124">
        <f t="shared" si="0"/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 t="shared" ref="O15:O25" si="3">IF(P15=0,0,Q15/P15)</f>
        <v>28.18</v>
      </c>
      <c r="P15" s="109">
        <v>5</v>
      </c>
      <c r="Q15" s="97">
        <v>140.9</v>
      </c>
    </row>
    <row r="16" spans="1:17" x14ac:dyDescent="0.4">
      <c r="A16" s="47" t="s">
        <v>118</v>
      </c>
      <c r="B16" s="40">
        <v>181</v>
      </c>
      <c r="C16" s="33">
        <f>IF(B$50=0,0,B16/B$50)</f>
        <v>0.18488253319713993</v>
      </c>
      <c r="E16" s="55" t="s">
        <v>81</v>
      </c>
      <c r="F16" s="52" t="s">
        <v>36</v>
      </c>
      <c r="G16" s="40">
        <v>6</v>
      </c>
      <c r="H16" s="124">
        <f t="shared" si="0"/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 t="shared" si="3"/>
        <v>25.3</v>
      </c>
      <c r="P16" s="110">
        <v>2</v>
      </c>
      <c r="Q16" s="98">
        <v>50.6</v>
      </c>
    </row>
    <row r="17" spans="1:17" x14ac:dyDescent="0.4">
      <c r="A17" s="46" t="s">
        <v>123</v>
      </c>
      <c r="B17" s="39">
        <f>B23</f>
        <v>173</v>
      </c>
      <c r="C17" s="31">
        <f>IF(B$15=0,0,B17/B$15)</f>
        <v>0.58445945945945943</v>
      </c>
      <c r="E17" s="55" t="s">
        <v>91</v>
      </c>
      <c r="F17" s="52" t="s">
        <v>46</v>
      </c>
      <c r="G17" s="40">
        <v>6</v>
      </c>
      <c r="H17" s="124">
        <f t="shared" si="0"/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 t="shared" si="3"/>
        <v>19.924999999999997</v>
      </c>
      <c r="P17" s="110">
        <v>4</v>
      </c>
      <c r="Q17" s="98">
        <v>79.699999999999989</v>
      </c>
    </row>
    <row r="18" spans="1:17" x14ac:dyDescent="0.4">
      <c r="A18" s="46" t="s">
        <v>124</v>
      </c>
      <c r="B18" s="39">
        <f>B24</f>
        <v>71</v>
      </c>
      <c r="C18" s="31">
        <f>IF(B$16=0,0,B18/B$16)</f>
        <v>0.39226519337016574</v>
      </c>
      <c r="E18" s="55" t="s">
        <v>73</v>
      </c>
      <c r="F18" s="52" t="s">
        <v>28</v>
      </c>
      <c r="G18" s="40">
        <v>4</v>
      </c>
      <c r="H18" s="124">
        <f t="shared" si="0"/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 t="shared" si="3"/>
        <v>13.39</v>
      </c>
      <c r="P18" s="110">
        <v>20</v>
      </c>
      <c r="Q18" s="98">
        <v>267.8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0.28346456692913385</v>
      </c>
      <c r="E19" s="55" t="s">
        <v>79</v>
      </c>
      <c r="F19" s="52" t="s">
        <v>34</v>
      </c>
      <c r="G19" s="40">
        <v>4</v>
      </c>
      <c r="H19" s="124">
        <f t="shared" si="0"/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 t="shared" si="3"/>
        <v>8.8833333333333329</v>
      </c>
      <c r="P19" s="110">
        <v>12</v>
      </c>
      <c r="Q19" s="98">
        <v>106.6</v>
      </c>
    </row>
    <row r="20" spans="1:17" x14ac:dyDescent="0.4">
      <c r="A20" s="47" t="s">
        <v>13</v>
      </c>
      <c r="B20" s="40">
        <v>197</v>
      </c>
      <c r="C20" s="33">
        <f>IF(B$3=0,0,B20/B$3)</f>
        <v>0.19389763779527558</v>
      </c>
      <c r="E20" s="55" t="s">
        <v>75</v>
      </c>
      <c r="F20" s="52" t="s">
        <v>30</v>
      </c>
      <c r="G20" s="40">
        <v>3</v>
      </c>
      <c r="H20" s="124">
        <f t="shared" si="0"/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 t="shared" si="3"/>
        <v>0.35263157894736707</v>
      </c>
      <c r="P20" s="110">
        <v>19</v>
      </c>
      <c r="Q20" s="98">
        <v>6.6999999999999744</v>
      </c>
    </row>
    <row r="21" spans="1:17" x14ac:dyDescent="0.4">
      <c r="A21" s="47" t="s">
        <v>12</v>
      </c>
      <c r="B21" s="40">
        <v>126</v>
      </c>
      <c r="C21" s="33">
        <f>IF(B$19=0,0,B21/B$19)</f>
        <v>0.4375</v>
      </c>
      <c r="E21" s="55" t="s">
        <v>93</v>
      </c>
      <c r="F21" s="52" t="s">
        <v>48</v>
      </c>
      <c r="G21" s="40">
        <v>2</v>
      </c>
      <c r="H21" s="124">
        <f t="shared" si="0"/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 t="shared" si="3"/>
        <v>-3.1104166666666635</v>
      </c>
      <c r="P21" s="110">
        <v>48</v>
      </c>
      <c r="Q21" s="98">
        <v>-149.29999999999984</v>
      </c>
    </row>
    <row r="22" spans="1:17" x14ac:dyDescent="0.4">
      <c r="A22" s="47" t="s">
        <v>11</v>
      </c>
      <c r="B22" s="40">
        <v>162</v>
      </c>
      <c r="C22" s="33">
        <f>IF(B$19=0,0,B22/B$19)</f>
        <v>0.5625</v>
      </c>
      <c r="E22" s="55" t="s">
        <v>74</v>
      </c>
      <c r="F22" s="52" t="s">
        <v>29</v>
      </c>
      <c r="G22" s="40">
        <v>1</v>
      </c>
      <c r="H22" s="124">
        <f t="shared" si="0"/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 t="shared" si="3"/>
        <v>-3.9666666666666663</v>
      </c>
      <c r="P22" s="110">
        <v>3</v>
      </c>
      <c r="Q22" s="98">
        <v>-11.899999999999999</v>
      </c>
    </row>
    <row r="23" spans="1:17" x14ac:dyDescent="0.4">
      <c r="A23" s="47" t="s">
        <v>189</v>
      </c>
      <c r="B23" s="40">
        <v>173</v>
      </c>
      <c r="C23" s="33">
        <f>IF(B$19=0,0,B23/B$19)</f>
        <v>0.60069444444444442</v>
      </c>
      <c r="E23" s="55" t="s">
        <v>77</v>
      </c>
      <c r="F23" s="52" t="s">
        <v>32</v>
      </c>
      <c r="G23" s="40">
        <v>1</v>
      </c>
      <c r="H23" s="124">
        <f t="shared" si="0"/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 t="shared" si="3"/>
        <v>-11.685849056603772</v>
      </c>
      <c r="P23" s="110">
        <v>106</v>
      </c>
      <c r="Q23" s="98">
        <v>-1238.6999999999998</v>
      </c>
    </row>
    <row r="24" spans="1:17" x14ac:dyDescent="0.4">
      <c r="A24" s="47" t="s">
        <v>187</v>
      </c>
      <c r="B24" s="40">
        <v>71</v>
      </c>
      <c r="C24" s="33">
        <f>IF(B$19=0,0,B24/B$19)</f>
        <v>0.24652777777777779</v>
      </c>
      <c r="E24" s="55" t="s">
        <v>84</v>
      </c>
      <c r="F24" s="52" t="s">
        <v>39</v>
      </c>
      <c r="G24" s="40">
        <v>1</v>
      </c>
      <c r="H24" s="124">
        <f t="shared" si="0"/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 t="shared" si="3"/>
        <v>-14.680487804878048</v>
      </c>
      <c r="P24" s="110">
        <v>41</v>
      </c>
      <c r="Q24" s="98">
        <v>-601.9</v>
      </c>
    </row>
    <row r="25" spans="1:17" x14ac:dyDescent="0.4">
      <c r="A25" s="47" t="s">
        <v>188</v>
      </c>
      <c r="B25" s="40">
        <v>44</v>
      </c>
      <c r="C25" s="33">
        <f>IF(B$19=0,0,B25/B$19)</f>
        <v>0.15277777777777779</v>
      </c>
      <c r="E25" s="55" t="s">
        <v>85</v>
      </c>
      <c r="F25" s="52" t="s">
        <v>40</v>
      </c>
      <c r="G25" s="40">
        <v>1</v>
      </c>
      <c r="H25" s="124">
        <f t="shared" si="0"/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 t="shared" si="3"/>
        <v>-17.200000000000003</v>
      </c>
      <c r="P25" s="110">
        <v>2</v>
      </c>
      <c r="Q25" s="98">
        <v>-34.400000000000006</v>
      </c>
    </row>
    <row r="26" spans="1:17" x14ac:dyDescent="0.4">
      <c r="A26" s="47" t="s">
        <v>5</v>
      </c>
      <c r="B26" s="44">
        <f>IF(B$19=0,0,C26/B$19)</f>
        <v>10578.125</v>
      </c>
      <c r="C26" s="35">
        <v>3046500</v>
      </c>
      <c r="E26" s="55" t="s">
        <v>87</v>
      </c>
      <c r="F26" s="52" t="s">
        <v>42</v>
      </c>
      <c r="G26" s="40">
        <v>1</v>
      </c>
      <c r="H26" s="124">
        <f t="shared" si="0"/>
        <v>3.5971223021582736E-3</v>
      </c>
      <c r="I26" s="86">
        <v>3</v>
      </c>
      <c r="K26" s="32">
        <v>24</v>
      </c>
      <c r="L26" s="91">
        <v>-168.2</v>
      </c>
    </row>
    <row r="27" spans="1:17" x14ac:dyDescent="0.4">
      <c r="A27" s="48" t="s">
        <v>171</v>
      </c>
      <c r="B27" s="127">
        <f>IF($B$19-B$18=0,0,C27/($B$19-B$18))</f>
        <v>11641.935483870968</v>
      </c>
      <c r="C27" s="128">
        <v>2526300</v>
      </c>
      <c r="E27" s="55" t="s">
        <v>90</v>
      </c>
      <c r="F27" s="52" t="s">
        <v>45</v>
      </c>
      <c r="G27" s="40">
        <v>1</v>
      </c>
      <c r="H27" s="124">
        <f t="shared" si="0"/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">
      <c r="A28" s="48" t="s">
        <v>172</v>
      </c>
      <c r="B28" s="127">
        <f>IF(B$18=0,0,C28/B$18)</f>
        <v>7326.7605633802814</v>
      </c>
      <c r="C28" s="128">
        <v>520200</v>
      </c>
      <c r="E28" s="55" t="s">
        <v>92</v>
      </c>
      <c r="F28" s="52" t="s">
        <v>47</v>
      </c>
      <c r="G28" s="40">
        <v>1</v>
      </c>
      <c r="H28" s="124">
        <f t="shared" si="0"/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">
      <c r="A29" s="48" t="s">
        <v>170</v>
      </c>
      <c r="B29" s="127">
        <f>IF(B$20=0,0,C29/B$20)</f>
        <v>-9493.4010152284263</v>
      </c>
      <c r="C29" s="128">
        <v>-1870200</v>
      </c>
      <c r="E29" s="55" t="s">
        <v>76</v>
      </c>
      <c r="F29" s="52" t="s">
        <v>31</v>
      </c>
      <c r="G29" s="40">
        <v>0</v>
      </c>
      <c r="H29" s="124">
        <f t="shared" si="0"/>
        <v>0</v>
      </c>
      <c r="I29" s="86">
        <v>1</v>
      </c>
      <c r="K29" s="32">
        <v>27</v>
      </c>
      <c r="L29" s="91">
        <v>-296.29999999999995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80</v>
      </c>
      <c r="F30" s="52" t="s">
        <v>35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-290.19999999999993</v>
      </c>
    </row>
    <row r="31" spans="1:17" x14ac:dyDescent="0.4">
      <c r="A31" s="47" t="s">
        <v>163</v>
      </c>
      <c r="B31" s="40">
        <v>30</v>
      </c>
      <c r="C31" s="126">
        <v>10</v>
      </c>
      <c r="E31" s="55" t="s">
        <v>82</v>
      </c>
      <c r="F31" s="52" t="s">
        <v>37</v>
      </c>
      <c r="G31" s="40">
        <v>0</v>
      </c>
      <c r="H31" s="124">
        <f t="shared" si="0"/>
        <v>0</v>
      </c>
      <c r="I31" s="86">
        <v>1</v>
      </c>
      <c r="K31" s="32">
        <v>29</v>
      </c>
      <c r="L31" s="91">
        <v>-239.19999999999993</v>
      </c>
    </row>
    <row r="32" spans="1:17" x14ac:dyDescent="0.4">
      <c r="A32" s="82" t="s">
        <v>138</v>
      </c>
      <c r="B32" s="158">
        <v>7</v>
      </c>
      <c r="C32" s="159"/>
      <c r="E32" s="55" t="s">
        <v>88</v>
      </c>
      <c r="F32" s="52" t="s">
        <v>43</v>
      </c>
      <c r="G32" s="40">
        <v>0</v>
      </c>
      <c r="H32" s="124">
        <f t="shared" si="0"/>
        <v>0</v>
      </c>
      <c r="I32" s="86">
        <v>3</v>
      </c>
      <c r="K32" s="32">
        <v>30</v>
      </c>
      <c r="L32" s="91">
        <v>-257.29999999999995</v>
      </c>
    </row>
    <row r="33" spans="1:12" x14ac:dyDescent="0.4">
      <c r="A33" s="50" t="s">
        <v>186</v>
      </c>
      <c r="B33" s="156">
        <v>124700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-265.39999999999998</v>
      </c>
    </row>
    <row r="34" spans="1:12" x14ac:dyDescent="0.4">
      <c r="A34" s="49" t="s">
        <v>139</v>
      </c>
      <c r="B34" s="57">
        <v>7</v>
      </c>
      <c r="C34" s="36">
        <f>IF(B$3=0,0,B34/B$3)</f>
        <v>6.889763779527559E-3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-283.89999999999998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-291.29999999999995</v>
      </c>
    </row>
    <row r="36" spans="1:12" x14ac:dyDescent="0.4">
      <c r="A36" s="82" t="s">
        <v>177</v>
      </c>
      <c r="B36" s="136">
        <v>11</v>
      </c>
      <c r="C36" s="132">
        <f>IF(B$19=0,0,B36/B$19)</f>
        <v>3.8194444444444448E-2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-301.69999999999993</v>
      </c>
    </row>
    <row r="37" spans="1:12" x14ac:dyDescent="0.4">
      <c r="A37" s="47" t="s">
        <v>173</v>
      </c>
      <c r="B37" s="40">
        <v>28</v>
      </c>
      <c r="C37" s="33">
        <f t="shared" ref="C37:C48" si="5">IF(B$19=0,0,B37/B$19)</f>
        <v>9.7222222222222224E-2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-339.69999999999993</v>
      </c>
    </row>
    <row r="38" spans="1:12" x14ac:dyDescent="0.4">
      <c r="A38" s="47" t="s">
        <v>174</v>
      </c>
      <c r="B38" s="139">
        <v>39</v>
      </c>
      <c r="C38" s="33">
        <f>IF(B$19=0,0,B38/B$19)</f>
        <v>0.13541666666666666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-328.09999999999991</v>
      </c>
    </row>
    <row r="39" spans="1:12" x14ac:dyDescent="0.4">
      <c r="A39" s="47" t="s">
        <v>175</v>
      </c>
      <c r="B39" s="139">
        <v>54</v>
      </c>
      <c r="C39" s="33">
        <f t="shared" si="5"/>
        <v>0.1875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  <c r="K39" s="32">
        <v>37</v>
      </c>
      <c r="L39" s="91">
        <v>-371.59999999999991</v>
      </c>
    </row>
    <row r="40" spans="1:12" x14ac:dyDescent="0.4">
      <c r="A40" s="47" t="s">
        <v>176</v>
      </c>
      <c r="B40" s="139">
        <v>53</v>
      </c>
      <c r="C40" s="33">
        <f t="shared" si="5"/>
        <v>0.18402777777777779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  <c r="K40" s="32">
        <v>38</v>
      </c>
      <c r="L40" s="91">
        <v>-380.09999999999991</v>
      </c>
    </row>
    <row r="41" spans="1:12" x14ac:dyDescent="0.4">
      <c r="A41" s="47" t="s">
        <v>178</v>
      </c>
      <c r="B41" s="139">
        <v>33</v>
      </c>
      <c r="C41" s="33">
        <f t="shared" si="5"/>
        <v>0.11458333333333333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  <c r="K41" s="32">
        <v>39</v>
      </c>
      <c r="L41" s="91">
        <v>-360.49999999999989</v>
      </c>
    </row>
    <row r="42" spans="1:12" x14ac:dyDescent="0.4">
      <c r="A42" s="47" t="s">
        <v>179</v>
      </c>
      <c r="B42" s="139">
        <v>21</v>
      </c>
      <c r="C42" s="33">
        <f t="shared" si="5"/>
        <v>7.2916666666666671E-2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  <c r="K42" s="32">
        <v>40</v>
      </c>
      <c r="L42" s="91">
        <v>-378.59999999999991</v>
      </c>
    </row>
    <row r="43" spans="1:12" x14ac:dyDescent="0.4">
      <c r="A43" s="47" t="s">
        <v>180</v>
      </c>
      <c r="B43" s="139">
        <v>12</v>
      </c>
      <c r="C43" s="33">
        <f t="shared" si="5"/>
        <v>4.1666666666666664E-2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  <c r="K43" s="32">
        <v>41</v>
      </c>
      <c r="L43" s="91">
        <v>-366.59999999999991</v>
      </c>
    </row>
    <row r="44" spans="1:12" x14ac:dyDescent="0.4">
      <c r="A44" s="47" t="s">
        <v>181</v>
      </c>
      <c r="B44" s="139">
        <v>12</v>
      </c>
      <c r="C44" s="33">
        <f t="shared" si="5"/>
        <v>4.1666666666666664E-2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  <c r="K44" s="32">
        <v>42</v>
      </c>
      <c r="L44" s="91">
        <v>-367.09999999999991</v>
      </c>
    </row>
    <row r="45" spans="1:12" x14ac:dyDescent="0.4">
      <c r="A45" s="47" t="s">
        <v>182</v>
      </c>
      <c r="B45" s="139">
        <v>6</v>
      </c>
      <c r="C45" s="33">
        <f t="shared" si="5"/>
        <v>2.0833333333333332E-2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  <c r="K45" s="32">
        <v>43</v>
      </c>
      <c r="L45" s="91">
        <v>-325.09999999999991</v>
      </c>
    </row>
    <row r="46" spans="1:12" x14ac:dyDescent="0.4">
      <c r="A46" s="47" t="s">
        <v>183</v>
      </c>
      <c r="B46" s="139">
        <v>2</v>
      </c>
      <c r="C46" s="33">
        <f t="shared" si="5"/>
        <v>6.9444444444444441E-3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  <c r="K46" s="32">
        <v>44</v>
      </c>
      <c r="L46" s="91">
        <v>-330.89999999999992</v>
      </c>
    </row>
    <row r="47" spans="1:12" x14ac:dyDescent="0.4">
      <c r="A47" s="47" t="s">
        <v>184</v>
      </c>
      <c r="B47" s="139">
        <v>2</v>
      </c>
      <c r="C47" s="33">
        <f t="shared" si="5"/>
        <v>6.9444444444444441E-3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  <c r="K47" s="32">
        <v>45</v>
      </c>
      <c r="L47" s="91">
        <v>-329.19999999999993</v>
      </c>
    </row>
    <row r="48" spans="1:12" x14ac:dyDescent="0.4">
      <c r="A48" s="49" t="s">
        <v>185</v>
      </c>
      <c r="B48" s="135">
        <v>5</v>
      </c>
      <c r="C48" s="36">
        <f t="shared" si="5"/>
        <v>1.7361111111111112E-2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  <c r="K48" s="32">
        <v>46</v>
      </c>
      <c r="L48" s="91">
        <v>-363.39999999999992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  <c r="K49" s="32">
        <v>47</v>
      </c>
      <c r="L49" s="91">
        <v>-351.39999999999992</v>
      </c>
    </row>
    <row r="50" spans="1:12" x14ac:dyDescent="0.4">
      <c r="A50" s="82" t="s">
        <v>197</v>
      </c>
      <c r="B50" s="146">
        <v>979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  <c r="K50" s="32">
        <v>48</v>
      </c>
      <c r="L50" s="91">
        <v>-359.19999999999993</v>
      </c>
    </row>
    <row r="51" spans="1:12" x14ac:dyDescent="0.4">
      <c r="A51" s="49" t="s">
        <v>198</v>
      </c>
      <c r="B51" s="154">
        <v>278</v>
      </c>
      <c r="C51" s="155"/>
      <c r="K51" s="32">
        <v>49</v>
      </c>
      <c r="L51" s="91">
        <v>-364.49999999999994</v>
      </c>
    </row>
    <row r="52" spans="1:12" x14ac:dyDescent="0.4">
      <c r="K52" s="32">
        <v>50</v>
      </c>
      <c r="L52" s="91">
        <v>-399.99999999999994</v>
      </c>
    </row>
    <row r="53" spans="1:12" x14ac:dyDescent="0.4">
      <c r="K53" s="32">
        <v>51</v>
      </c>
      <c r="L53" s="91">
        <v>-409.99999999999994</v>
      </c>
    </row>
    <row r="54" spans="1:12" x14ac:dyDescent="0.4">
      <c r="K54" s="32">
        <v>52</v>
      </c>
      <c r="L54" s="91">
        <v>-426.39999999999992</v>
      </c>
    </row>
    <row r="55" spans="1:12" x14ac:dyDescent="0.4">
      <c r="K55" s="32">
        <v>53</v>
      </c>
      <c r="L55" s="91">
        <v>-399.89999999999992</v>
      </c>
    </row>
    <row r="56" spans="1:12" x14ac:dyDescent="0.4">
      <c r="K56" s="32">
        <v>54</v>
      </c>
      <c r="L56" s="91">
        <v>-411.19999999999993</v>
      </c>
    </row>
    <row r="57" spans="1:12" x14ac:dyDescent="0.4">
      <c r="K57" s="32">
        <v>55</v>
      </c>
      <c r="L57" s="91">
        <v>-420.49999999999994</v>
      </c>
    </row>
    <row r="58" spans="1:12" x14ac:dyDescent="0.4">
      <c r="K58" s="32">
        <v>56</v>
      </c>
      <c r="L58" s="91">
        <v>-395.39999999999992</v>
      </c>
    </row>
    <row r="59" spans="1:12" x14ac:dyDescent="0.4">
      <c r="K59" s="32">
        <v>57</v>
      </c>
      <c r="L59" s="91">
        <v>-428.89999999999992</v>
      </c>
    </row>
    <row r="60" spans="1:12" x14ac:dyDescent="0.4">
      <c r="K60" s="32">
        <v>58</v>
      </c>
      <c r="L60" s="91">
        <v>-466.39999999999992</v>
      </c>
    </row>
    <row r="61" spans="1:12" x14ac:dyDescent="0.4">
      <c r="K61" s="32">
        <v>59</v>
      </c>
      <c r="L61" s="91">
        <v>-475.7999999999999</v>
      </c>
    </row>
    <row r="62" spans="1:12" x14ac:dyDescent="0.4">
      <c r="K62" s="32">
        <v>60</v>
      </c>
      <c r="L62" s="91">
        <v>-475.2999999999999</v>
      </c>
    </row>
    <row r="63" spans="1:12" x14ac:dyDescent="0.4">
      <c r="K63" s="32">
        <v>61</v>
      </c>
      <c r="L63" s="91">
        <v>-487.39999999999992</v>
      </c>
    </row>
    <row r="64" spans="1:12" x14ac:dyDescent="0.4">
      <c r="K64" s="32">
        <v>62</v>
      </c>
      <c r="L64" s="91">
        <v>-492.59999999999991</v>
      </c>
    </row>
    <row r="65" spans="11:12" x14ac:dyDescent="0.4">
      <c r="K65" s="32">
        <v>63</v>
      </c>
      <c r="L65" s="91">
        <v>-416.09999999999991</v>
      </c>
    </row>
    <row r="66" spans="11:12" x14ac:dyDescent="0.4">
      <c r="K66" s="32">
        <v>64</v>
      </c>
      <c r="L66" s="91">
        <v>-451.89999999999992</v>
      </c>
    </row>
    <row r="67" spans="11:12" x14ac:dyDescent="0.4">
      <c r="K67" s="32">
        <v>65</v>
      </c>
      <c r="L67" s="91">
        <v>-454.09999999999991</v>
      </c>
    </row>
    <row r="68" spans="11:12" x14ac:dyDescent="0.4">
      <c r="K68" s="32">
        <v>66</v>
      </c>
      <c r="L68" s="91">
        <v>-470.99999999999989</v>
      </c>
    </row>
    <row r="69" spans="11:12" x14ac:dyDescent="0.4">
      <c r="K69" s="32">
        <v>67</v>
      </c>
      <c r="L69" s="91">
        <v>-508.39999999999986</v>
      </c>
    </row>
    <row r="70" spans="11:12" x14ac:dyDescent="0.4">
      <c r="K70" s="32">
        <v>68</v>
      </c>
      <c r="L70" s="91">
        <v>-418.69999999999987</v>
      </c>
    </row>
    <row r="71" spans="11:12" x14ac:dyDescent="0.4">
      <c r="K71" s="32">
        <v>69</v>
      </c>
      <c r="L71" s="91">
        <v>-387.49999999999989</v>
      </c>
    </row>
    <row r="72" spans="11:12" x14ac:dyDescent="0.4">
      <c r="K72" s="32">
        <v>70</v>
      </c>
      <c r="L72" s="91">
        <v>-347.2999999999999</v>
      </c>
    </row>
    <row r="73" spans="11:12" x14ac:dyDescent="0.4">
      <c r="K73" s="32">
        <v>71</v>
      </c>
      <c r="L73" s="91">
        <v>-368.2999999999999</v>
      </c>
    </row>
    <row r="74" spans="11:12" x14ac:dyDescent="0.4">
      <c r="K74" s="32">
        <v>72</v>
      </c>
      <c r="L74" s="91">
        <v>-404.2999999999999</v>
      </c>
    </row>
    <row r="75" spans="11:12" x14ac:dyDescent="0.4">
      <c r="K75" s="32">
        <v>73</v>
      </c>
      <c r="L75" s="91">
        <v>-413.69999999999987</v>
      </c>
    </row>
    <row r="76" spans="11:12" x14ac:dyDescent="0.4">
      <c r="K76" s="32">
        <v>74</v>
      </c>
      <c r="L76" s="91">
        <v>-399.19999999999987</v>
      </c>
    </row>
    <row r="77" spans="11:12" x14ac:dyDescent="0.4">
      <c r="K77" s="32">
        <v>75</v>
      </c>
      <c r="L77" s="91">
        <v>-438.59999999999985</v>
      </c>
    </row>
    <row r="78" spans="11:12" x14ac:dyDescent="0.4">
      <c r="K78" s="32">
        <v>76</v>
      </c>
      <c r="L78" s="91">
        <v>-437.19999999999987</v>
      </c>
    </row>
    <row r="79" spans="11:12" x14ac:dyDescent="0.4">
      <c r="K79" s="32">
        <v>77</v>
      </c>
      <c r="L79" s="91">
        <v>-439.99999999999989</v>
      </c>
    </row>
    <row r="80" spans="11:12" x14ac:dyDescent="0.4">
      <c r="K80" s="32">
        <v>78</v>
      </c>
      <c r="L80" s="91">
        <v>-428.19999999999987</v>
      </c>
    </row>
    <row r="81" spans="11:12" x14ac:dyDescent="0.4">
      <c r="K81" s="32">
        <v>79</v>
      </c>
      <c r="L81" s="91">
        <v>-443.2999999999999</v>
      </c>
    </row>
    <row r="82" spans="11:12" x14ac:dyDescent="0.4">
      <c r="K82" s="32">
        <v>80</v>
      </c>
      <c r="L82" s="91">
        <v>-454.99999999999989</v>
      </c>
    </row>
    <row r="83" spans="11:12" x14ac:dyDescent="0.4">
      <c r="K83" s="32">
        <v>81</v>
      </c>
      <c r="L83" s="91">
        <v>-398.59999999999991</v>
      </c>
    </row>
    <row r="84" spans="11:12" x14ac:dyDescent="0.4">
      <c r="K84" s="32">
        <v>82</v>
      </c>
      <c r="L84" s="91">
        <v>-353.59999999999991</v>
      </c>
    </row>
    <row r="85" spans="11:12" x14ac:dyDescent="0.4">
      <c r="K85" s="32">
        <v>83</v>
      </c>
      <c r="L85" s="91">
        <v>-354.2999999999999</v>
      </c>
    </row>
    <row r="86" spans="11:12" x14ac:dyDescent="0.4">
      <c r="K86" s="32">
        <v>84</v>
      </c>
      <c r="L86" s="91">
        <v>-344.19999999999987</v>
      </c>
    </row>
    <row r="87" spans="11:12" x14ac:dyDescent="0.4">
      <c r="K87" s="32">
        <v>85</v>
      </c>
      <c r="L87" s="91">
        <v>-379.99999999999989</v>
      </c>
    </row>
    <row r="88" spans="11:12" x14ac:dyDescent="0.4">
      <c r="K88" s="32">
        <v>86</v>
      </c>
      <c r="L88" s="91">
        <v>-383.7999999999999</v>
      </c>
    </row>
    <row r="89" spans="11:12" x14ac:dyDescent="0.4">
      <c r="K89" s="32">
        <v>87</v>
      </c>
      <c r="L89" s="91">
        <v>-397.49999999999989</v>
      </c>
    </row>
    <row r="90" spans="11:12" x14ac:dyDescent="0.4">
      <c r="K90" s="32">
        <v>88</v>
      </c>
      <c r="L90" s="91">
        <v>-438.49999999999989</v>
      </c>
    </row>
    <row r="91" spans="11:12" x14ac:dyDescent="0.4">
      <c r="K91" s="32">
        <v>89</v>
      </c>
      <c r="L91" s="91">
        <v>-481.59999999999991</v>
      </c>
    </row>
    <row r="92" spans="11:12" x14ac:dyDescent="0.4">
      <c r="K92" s="32">
        <v>90</v>
      </c>
      <c r="L92" s="91">
        <v>-481.59999999999991</v>
      </c>
    </row>
    <row r="93" spans="11:12" x14ac:dyDescent="0.4">
      <c r="K93" s="32">
        <v>91</v>
      </c>
      <c r="L93" s="91">
        <v>-485.2999999999999</v>
      </c>
    </row>
    <row r="94" spans="11:12" x14ac:dyDescent="0.4">
      <c r="K94" s="32">
        <v>92</v>
      </c>
      <c r="L94" s="91">
        <v>-521.79999999999995</v>
      </c>
    </row>
    <row r="95" spans="11:12" x14ac:dyDescent="0.4">
      <c r="K95" s="32">
        <v>93</v>
      </c>
      <c r="L95" s="91">
        <v>-563.19999999999993</v>
      </c>
    </row>
    <row r="96" spans="11:12" x14ac:dyDescent="0.4">
      <c r="K96" s="32">
        <v>94</v>
      </c>
      <c r="L96" s="91">
        <v>-560.99999999999989</v>
      </c>
    </row>
    <row r="97" spans="11:12" x14ac:dyDescent="0.4">
      <c r="K97" s="32">
        <v>95</v>
      </c>
      <c r="L97" s="91">
        <v>-544.39999999999986</v>
      </c>
    </row>
    <row r="98" spans="11:12" x14ac:dyDescent="0.4">
      <c r="K98" s="32">
        <v>96</v>
      </c>
      <c r="L98" s="91">
        <v>-513.59999999999991</v>
      </c>
    </row>
    <row r="99" spans="11:12" x14ac:dyDescent="0.4">
      <c r="K99" s="32">
        <v>97</v>
      </c>
      <c r="L99" s="91">
        <v>-449.89999999999992</v>
      </c>
    </row>
    <row r="100" spans="11:12" x14ac:dyDescent="0.4">
      <c r="K100" s="32">
        <v>98</v>
      </c>
      <c r="L100" s="91">
        <v>-478.69999999999993</v>
      </c>
    </row>
    <row r="101" spans="11:12" x14ac:dyDescent="0.4">
      <c r="K101" s="32">
        <v>99</v>
      </c>
      <c r="L101" s="91">
        <v>-455.19999999999993</v>
      </c>
    </row>
    <row r="102" spans="11:12" x14ac:dyDescent="0.4">
      <c r="K102" s="32">
        <v>100</v>
      </c>
      <c r="L102" s="91">
        <v>-505.69999999999993</v>
      </c>
    </row>
    <row r="103" spans="11:12" x14ac:dyDescent="0.4">
      <c r="K103" s="32">
        <v>101</v>
      </c>
      <c r="L103" s="91">
        <v>-503.89999999999992</v>
      </c>
    </row>
    <row r="104" spans="11:12" x14ac:dyDescent="0.4">
      <c r="K104" s="32">
        <v>102</v>
      </c>
      <c r="L104" s="91">
        <v>-452.59999999999991</v>
      </c>
    </row>
    <row r="105" spans="11:12" x14ac:dyDescent="0.4">
      <c r="K105" s="32">
        <v>103</v>
      </c>
      <c r="L105" s="91">
        <v>-477.69999999999993</v>
      </c>
    </row>
    <row r="106" spans="11:12" x14ac:dyDescent="0.4">
      <c r="K106" s="32">
        <v>104</v>
      </c>
      <c r="L106" s="91">
        <v>-477.19999999999993</v>
      </c>
    </row>
    <row r="107" spans="11:12" x14ac:dyDescent="0.4">
      <c r="K107" s="32">
        <v>105</v>
      </c>
      <c r="L107" s="91">
        <v>-478.09999999999991</v>
      </c>
    </row>
    <row r="108" spans="11:12" x14ac:dyDescent="0.4">
      <c r="K108" s="32">
        <v>106</v>
      </c>
      <c r="L108" s="91">
        <v>-419.89999999999992</v>
      </c>
    </row>
    <row r="109" spans="11:12" x14ac:dyDescent="0.4">
      <c r="K109" s="32">
        <v>107</v>
      </c>
      <c r="L109" s="91">
        <v>-436.69999999999993</v>
      </c>
    </row>
    <row r="110" spans="11:12" x14ac:dyDescent="0.4">
      <c r="K110" s="32">
        <v>108</v>
      </c>
      <c r="L110" s="91">
        <v>-453.29999999999995</v>
      </c>
    </row>
    <row r="111" spans="11:12" x14ac:dyDescent="0.4">
      <c r="K111" s="32">
        <v>109</v>
      </c>
      <c r="L111" s="91">
        <v>-448.79999999999995</v>
      </c>
    </row>
    <row r="112" spans="11:12" x14ac:dyDescent="0.4">
      <c r="K112" s="32">
        <v>110</v>
      </c>
      <c r="L112" s="91">
        <v>-447.99999999999994</v>
      </c>
    </row>
    <row r="113" spans="11:12" x14ac:dyDescent="0.4">
      <c r="K113" s="32">
        <v>111</v>
      </c>
      <c r="L113" s="91">
        <v>-470.39999999999992</v>
      </c>
    </row>
    <row r="114" spans="11:12" x14ac:dyDescent="0.4">
      <c r="K114" s="32">
        <v>112</v>
      </c>
      <c r="L114" s="91">
        <v>-471.19999999999993</v>
      </c>
    </row>
    <row r="115" spans="11:12" x14ac:dyDescent="0.4">
      <c r="K115" s="32">
        <v>113</v>
      </c>
      <c r="L115" s="91">
        <v>-469.39999999999992</v>
      </c>
    </row>
    <row r="116" spans="11:12" x14ac:dyDescent="0.4">
      <c r="K116" s="32">
        <v>114</v>
      </c>
      <c r="L116" s="91">
        <v>-475.09999999999991</v>
      </c>
    </row>
    <row r="117" spans="11:12" x14ac:dyDescent="0.4">
      <c r="K117" s="32">
        <v>115</v>
      </c>
      <c r="L117" s="91">
        <v>-443.39999999999992</v>
      </c>
    </row>
    <row r="118" spans="11:12" x14ac:dyDescent="0.4">
      <c r="K118" s="32">
        <v>116</v>
      </c>
      <c r="L118" s="91">
        <v>-440.39999999999992</v>
      </c>
    </row>
    <row r="119" spans="11:12" x14ac:dyDescent="0.4">
      <c r="K119" s="32">
        <v>117</v>
      </c>
      <c r="L119" s="91">
        <v>-453.39999999999992</v>
      </c>
    </row>
    <row r="120" spans="11:12" x14ac:dyDescent="0.4">
      <c r="K120" s="32">
        <v>118</v>
      </c>
      <c r="L120" s="91">
        <v>-470.2999999999999</v>
      </c>
    </row>
    <row r="121" spans="11:12" x14ac:dyDescent="0.4">
      <c r="K121" s="32">
        <v>119</v>
      </c>
      <c r="L121" s="91">
        <v>-469.19999999999987</v>
      </c>
    </row>
    <row r="122" spans="11:12" x14ac:dyDescent="0.4">
      <c r="K122" s="32">
        <v>120</v>
      </c>
      <c r="L122" s="91">
        <v>-502.19999999999987</v>
      </c>
    </row>
    <row r="123" spans="11:12" x14ac:dyDescent="0.4">
      <c r="K123" s="32">
        <v>121</v>
      </c>
      <c r="L123" s="91">
        <v>-509.69999999999987</v>
      </c>
    </row>
    <row r="124" spans="11:12" x14ac:dyDescent="0.4">
      <c r="K124" s="32">
        <v>122</v>
      </c>
      <c r="L124" s="91">
        <v>-492.09999999999985</v>
      </c>
    </row>
    <row r="125" spans="11:12" x14ac:dyDescent="0.4">
      <c r="K125" s="32">
        <v>123</v>
      </c>
      <c r="L125" s="91">
        <v>-500.09999999999985</v>
      </c>
    </row>
    <row r="126" spans="11:12" x14ac:dyDescent="0.4">
      <c r="K126" s="32">
        <v>124</v>
      </c>
      <c r="L126" s="91">
        <v>-493.49999999999983</v>
      </c>
    </row>
    <row r="127" spans="11:12" x14ac:dyDescent="0.4">
      <c r="K127" s="32">
        <v>125</v>
      </c>
      <c r="L127" s="91">
        <v>-500.99999999999983</v>
      </c>
    </row>
    <row r="128" spans="11:12" x14ac:dyDescent="0.4">
      <c r="K128" s="32">
        <v>126</v>
      </c>
      <c r="L128" s="91">
        <v>-456.29999999999984</v>
      </c>
    </row>
    <row r="129" spans="11:12" x14ac:dyDescent="0.4">
      <c r="K129" s="32">
        <v>127</v>
      </c>
      <c r="L129" s="91">
        <v>-412.09999999999985</v>
      </c>
    </row>
    <row r="130" spans="11:12" x14ac:dyDescent="0.4">
      <c r="K130" s="32">
        <v>128</v>
      </c>
      <c r="L130" s="91">
        <v>-424.09999999999985</v>
      </c>
    </row>
    <row r="131" spans="11:12" x14ac:dyDescent="0.4">
      <c r="K131" s="32">
        <v>129</v>
      </c>
      <c r="L131" s="91">
        <v>-448.69999999999987</v>
      </c>
    </row>
    <row r="132" spans="11:12" x14ac:dyDescent="0.4">
      <c r="K132" s="32">
        <v>130</v>
      </c>
      <c r="L132" s="91">
        <v>-468.69999999999987</v>
      </c>
    </row>
    <row r="133" spans="11:12" x14ac:dyDescent="0.4">
      <c r="K133" s="32">
        <v>131</v>
      </c>
      <c r="L133" s="91">
        <v>-461.2999999999999</v>
      </c>
    </row>
  </sheetData>
  <sortState xmlns:xlrd2="http://schemas.microsoft.com/office/spreadsheetml/2017/richdata2" ref="E2:I134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92833-7DF2-48F4-A0BD-C2EFF345561B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237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6</v>
      </c>
      <c r="C2" s="147"/>
      <c r="E2" s="54" t="s">
        <v>64</v>
      </c>
      <c r="F2" s="51" t="s">
        <v>20</v>
      </c>
      <c r="G2" s="39">
        <v>12</v>
      </c>
      <c r="H2" s="123">
        <f t="shared" ref="H2:H33" si="0">IF(B$51=0,0,G2/B$51)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1">IF(P2=0,0,Q2/P2)</f>
        <v>7650</v>
      </c>
      <c r="P2" s="109">
        <v>6</v>
      </c>
      <c r="Q2" s="93">
        <v>45900</v>
      </c>
    </row>
    <row r="3" spans="1:17" x14ac:dyDescent="0.4">
      <c r="A3" s="47" t="s">
        <v>8</v>
      </c>
      <c r="B3" s="148">
        <v>50</v>
      </c>
      <c r="C3" s="149"/>
      <c r="E3" s="55" t="s">
        <v>66</v>
      </c>
      <c r="F3" s="52" t="s">
        <v>22</v>
      </c>
      <c r="G3" s="40">
        <v>12</v>
      </c>
      <c r="H3" s="124">
        <f t="shared" si="0"/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1"/>
        <v>-6450</v>
      </c>
      <c r="P3" s="110">
        <v>6</v>
      </c>
      <c r="Q3" s="94">
        <v>-38700</v>
      </c>
    </row>
    <row r="4" spans="1:17" x14ac:dyDescent="0.4">
      <c r="A4" s="47" t="s">
        <v>6</v>
      </c>
      <c r="B4" s="150">
        <v>48</v>
      </c>
      <c r="C4" s="151"/>
      <c r="E4" s="55" t="s">
        <v>274</v>
      </c>
      <c r="F4" s="52" t="s">
        <v>275</v>
      </c>
      <c r="G4" s="40">
        <v>12</v>
      </c>
      <c r="H4" s="124">
        <f t="shared" si="0"/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1"/>
        <v>-1500</v>
      </c>
      <c r="P4" s="110">
        <v>6</v>
      </c>
      <c r="Q4" s="94">
        <v>-9000</v>
      </c>
    </row>
    <row r="5" spans="1:17" x14ac:dyDescent="0.4">
      <c r="A5" s="47" t="s">
        <v>7</v>
      </c>
      <c r="B5" s="152">
        <f>IF(B$2=0,0,B$4/B$2)</f>
        <v>8</v>
      </c>
      <c r="C5" s="153"/>
      <c r="E5" s="55" t="s">
        <v>72</v>
      </c>
      <c r="F5" s="52" t="s">
        <v>27</v>
      </c>
      <c r="G5" s="40">
        <v>10</v>
      </c>
      <c r="H5" s="124">
        <f t="shared" si="0"/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1"/>
        <v>10700</v>
      </c>
      <c r="P5" s="110">
        <v>4</v>
      </c>
      <c r="Q5" s="94">
        <v>42800</v>
      </c>
    </row>
    <row r="6" spans="1:17" x14ac:dyDescent="0.4">
      <c r="A6" s="47" t="s">
        <v>1</v>
      </c>
      <c r="B6" s="160">
        <f>IF(B$2=0,0,(B$7*1+B$8*2+B$9*3)/B$2)</f>
        <v>1.8333333333333333</v>
      </c>
      <c r="C6" s="161"/>
      <c r="E6" s="55" t="s">
        <v>67</v>
      </c>
      <c r="F6" s="52" t="s">
        <v>23</v>
      </c>
      <c r="G6" s="40">
        <v>7</v>
      </c>
      <c r="H6" s="124">
        <f t="shared" si="0"/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1"/>
        <v>-1000</v>
      </c>
      <c r="P6" s="110">
        <v>4</v>
      </c>
      <c r="Q6" s="94">
        <v>-4000</v>
      </c>
    </row>
    <row r="7" spans="1:17" x14ac:dyDescent="0.4">
      <c r="A7" s="47" t="s">
        <v>2</v>
      </c>
      <c r="B7" s="40">
        <v>3</v>
      </c>
      <c r="C7" s="33">
        <f t="shared" ref="C7:C14" si="2">IF(B$2=0,0,B7/B$2)</f>
        <v>0.5</v>
      </c>
      <c r="E7" s="55" t="s">
        <v>68</v>
      </c>
      <c r="F7" s="52" t="s">
        <v>12</v>
      </c>
      <c r="G7" s="40">
        <v>4</v>
      </c>
      <c r="H7" s="124">
        <f t="shared" si="0"/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1"/>
        <v>2750</v>
      </c>
      <c r="P7" s="111">
        <v>4</v>
      </c>
      <c r="Q7" s="95">
        <v>11000</v>
      </c>
    </row>
    <row r="8" spans="1:17" x14ac:dyDescent="0.4">
      <c r="A8" s="47" t="s">
        <v>3</v>
      </c>
      <c r="B8" s="40">
        <v>1</v>
      </c>
      <c r="C8" s="33">
        <f t="shared" si="2"/>
        <v>0.16666666666666666</v>
      </c>
      <c r="E8" s="55" t="s">
        <v>70</v>
      </c>
      <c r="F8" s="52" t="s">
        <v>25</v>
      </c>
      <c r="G8" s="40">
        <v>4</v>
      </c>
      <c r="H8" s="124">
        <f t="shared" si="0"/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2"/>
        <v>0.33333333333333331</v>
      </c>
      <c r="E9" s="55" t="s">
        <v>65</v>
      </c>
      <c r="F9" s="52" t="s">
        <v>21</v>
      </c>
      <c r="G9" s="40">
        <v>3</v>
      </c>
      <c r="H9" s="124">
        <f t="shared" si="0"/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31.933333333333334</v>
      </c>
      <c r="C10" s="141">
        <v>95.8</v>
      </c>
      <c r="E10" s="55" t="s">
        <v>69</v>
      </c>
      <c r="F10" s="52" t="s">
        <v>24</v>
      </c>
      <c r="G10" s="40">
        <v>3</v>
      </c>
      <c r="H10" s="124">
        <f t="shared" si="0"/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">
      <c r="A11" s="48" t="s">
        <v>277</v>
      </c>
      <c r="B11" s="140">
        <f>IF(B8=0,0,C11/B8)</f>
        <v>8.1999999999999993</v>
      </c>
      <c r="C11" s="141">
        <v>8.1999999999999993</v>
      </c>
      <c r="E11" s="55" t="s">
        <v>86</v>
      </c>
      <c r="F11" s="52" t="s">
        <v>41</v>
      </c>
      <c r="G11" s="40">
        <v>3</v>
      </c>
      <c r="H11" s="124">
        <f t="shared" si="0"/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-28</v>
      </c>
      <c r="C12" s="141">
        <v>-56</v>
      </c>
      <c r="E12" s="55" t="s">
        <v>89</v>
      </c>
      <c r="F12" s="52" t="s">
        <v>44</v>
      </c>
      <c r="G12" s="40">
        <v>3</v>
      </c>
      <c r="H12" s="124">
        <f t="shared" si="0"/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">
      <c r="A13" s="48" t="s">
        <v>279</v>
      </c>
      <c r="B13" s="152">
        <f>AVERAGE(B10:B12)</f>
        <v>4.0444444444444443</v>
      </c>
      <c r="C13" s="153"/>
      <c r="E13" s="55" t="s">
        <v>71</v>
      </c>
      <c r="F13" s="52" t="s">
        <v>26</v>
      </c>
      <c r="G13" s="40">
        <v>1</v>
      </c>
      <c r="H13" s="124">
        <f t="shared" si="0"/>
        <v>5.2631578947368418E-2</v>
      </c>
      <c r="I13" s="86">
        <v>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</v>
      </c>
      <c r="C14" s="36">
        <f t="shared" si="2"/>
        <v>0.16666666666666666</v>
      </c>
      <c r="E14" s="55" t="s">
        <v>91</v>
      </c>
      <c r="F14" s="52" t="s">
        <v>46</v>
      </c>
      <c r="G14" s="40">
        <v>1</v>
      </c>
      <c r="H14" s="124">
        <f t="shared" si="0"/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21</v>
      </c>
      <c r="C15" s="38">
        <f>IF(B$50=0,0,B15/B$50)</f>
        <v>0.42</v>
      </c>
      <c r="E15" s="55" t="s">
        <v>73</v>
      </c>
      <c r="F15" s="52" t="s">
        <v>28</v>
      </c>
      <c r="G15" s="40">
        <v>0</v>
      </c>
      <c r="H15" s="124">
        <f t="shared" si="0"/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">
      <c r="A16" s="47" t="s">
        <v>118</v>
      </c>
      <c r="B16" s="40">
        <v>6</v>
      </c>
      <c r="C16" s="33">
        <f>IF(B$50=0,0,B16/B$50)</f>
        <v>0.12</v>
      </c>
      <c r="E16" s="55" t="s">
        <v>74</v>
      </c>
      <c r="F16" s="52" t="s">
        <v>29</v>
      </c>
      <c r="G16" s="40">
        <v>0</v>
      </c>
      <c r="H16" s="124">
        <f t="shared" si="0"/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">
      <c r="A17" s="46" t="s">
        <v>123</v>
      </c>
      <c r="B17" s="39">
        <f>B23</f>
        <v>13</v>
      </c>
      <c r="C17" s="31">
        <f>IF(B$15=0,0,B17/B$15)</f>
        <v>0.61904761904761907</v>
      </c>
      <c r="E17" s="55" t="s">
        <v>75</v>
      </c>
      <c r="F17" s="52" t="s">
        <v>30</v>
      </c>
      <c r="G17" s="40">
        <v>0</v>
      </c>
      <c r="H17" s="124">
        <f t="shared" si="0"/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">
      <c r="A18" s="46" t="s">
        <v>124</v>
      </c>
      <c r="B18" s="39">
        <f>B24</f>
        <v>3</v>
      </c>
      <c r="C18" s="31">
        <f>IF(B$16=0,0,B18/B$16)</f>
        <v>0.5</v>
      </c>
      <c r="E18" s="55" t="s">
        <v>76</v>
      </c>
      <c r="F18" s="52" t="s">
        <v>31</v>
      </c>
      <c r="G18" s="40">
        <v>0</v>
      </c>
      <c r="H18" s="124">
        <f t="shared" si="0"/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">
      <c r="A19" s="46" t="s">
        <v>10</v>
      </c>
      <c r="B19" s="39">
        <f>B22+B21</f>
        <v>19</v>
      </c>
      <c r="C19" s="31">
        <f>IF(B$3=0,0,B19/B$3)</f>
        <v>0.38</v>
      </c>
      <c r="E19" s="55" t="s">
        <v>77</v>
      </c>
      <c r="F19" s="52" t="s">
        <v>32</v>
      </c>
      <c r="G19" s="40">
        <v>0</v>
      </c>
      <c r="H19" s="124">
        <f t="shared" si="0"/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">
      <c r="A20" s="47" t="s">
        <v>13</v>
      </c>
      <c r="B20" s="40">
        <v>4</v>
      </c>
      <c r="C20" s="33">
        <f>IF(B$3=0,0,B20/B$3)</f>
        <v>0.08</v>
      </c>
      <c r="E20" s="55" t="s">
        <v>78</v>
      </c>
      <c r="F20" s="52" t="s">
        <v>33</v>
      </c>
      <c r="G20" s="40">
        <v>0</v>
      </c>
      <c r="H20" s="124">
        <f t="shared" si="0"/>
        <v>0</v>
      </c>
      <c r="I20" s="86">
        <v>10</v>
      </c>
    </row>
    <row r="21" spans="1:17" x14ac:dyDescent="0.4">
      <c r="A21" s="47" t="s">
        <v>12</v>
      </c>
      <c r="B21" s="40">
        <v>6</v>
      </c>
      <c r="C21" s="33">
        <f>IF(B$19=0,0,B21/B$19)</f>
        <v>0.31578947368421051</v>
      </c>
      <c r="E21" s="55" t="s">
        <v>79</v>
      </c>
      <c r="F21" s="52" t="s">
        <v>34</v>
      </c>
      <c r="G21" s="40">
        <v>0</v>
      </c>
      <c r="H21" s="124">
        <f t="shared" si="0"/>
        <v>0</v>
      </c>
      <c r="I21" s="86">
        <v>11</v>
      </c>
    </row>
    <row r="22" spans="1:17" x14ac:dyDescent="0.4">
      <c r="A22" s="47" t="s">
        <v>11</v>
      </c>
      <c r="B22" s="40">
        <v>13</v>
      </c>
      <c r="C22" s="33">
        <f>IF(B$19=0,0,B22/B$19)</f>
        <v>0.68421052631578949</v>
      </c>
      <c r="E22" s="55" t="s">
        <v>80</v>
      </c>
      <c r="F22" s="52" t="s">
        <v>35</v>
      </c>
      <c r="G22" s="40">
        <v>0</v>
      </c>
      <c r="H22" s="124">
        <f t="shared" si="0"/>
        <v>0</v>
      </c>
      <c r="I22" s="86">
        <v>3</v>
      </c>
    </row>
    <row r="23" spans="1:17" x14ac:dyDescent="0.4">
      <c r="A23" s="47" t="s">
        <v>189</v>
      </c>
      <c r="B23" s="40">
        <v>13</v>
      </c>
      <c r="C23" s="33">
        <f>IF(B$19=0,0,B23/B$19)</f>
        <v>0.68421052631578949</v>
      </c>
      <c r="E23" s="55" t="s">
        <v>81</v>
      </c>
      <c r="F23" s="52" t="s">
        <v>36</v>
      </c>
      <c r="G23" s="40">
        <v>0</v>
      </c>
      <c r="H23" s="124">
        <f t="shared" si="0"/>
        <v>0</v>
      </c>
      <c r="I23" s="86">
        <v>10</v>
      </c>
    </row>
    <row r="24" spans="1:17" x14ac:dyDescent="0.4">
      <c r="A24" s="47" t="s">
        <v>187</v>
      </c>
      <c r="B24" s="40">
        <v>3</v>
      </c>
      <c r="C24" s="33">
        <f>IF(B$19=0,0,B24/B$19)</f>
        <v>0.15789473684210525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3</v>
      </c>
      <c r="C25" s="33">
        <f>IF(B$19=0,0,B25/B$19)</f>
        <v>0.15789473684210525</v>
      </c>
      <c r="E25" s="55" t="s">
        <v>83</v>
      </c>
      <c r="F25" s="52" t="s">
        <v>38</v>
      </c>
      <c r="G25" s="40">
        <v>0</v>
      </c>
      <c r="H25" s="124">
        <f t="shared" si="0"/>
        <v>0</v>
      </c>
      <c r="I25" s="86">
        <v>12</v>
      </c>
    </row>
    <row r="26" spans="1:17" x14ac:dyDescent="0.4">
      <c r="A26" s="47" t="s">
        <v>5</v>
      </c>
      <c r="B26" s="44">
        <f>IF(B$19=0,0,C26/B$19)</f>
        <v>9163.1578947368416</v>
      </c>
      <c r="C26" s="35">
        <v>174100</v>
      </c>
      <c r="E26" s="55" t="s">
        <v>84</v>
      </c>
      <c r="F26" s="52" t="s">
        <v>39</v>
      </c>
      <c r="G26" s="40">
        <v>0</v>
      </c>
      <c r="H26" s="124">
        <f t="shared" si="0"/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9700</v>
      </c>
      <c r="C27" s="128">
        <v>155200</v>
      </c>
      <c r="E27" s="55" t="s">
        <v>85</v>
      </c>
      <c r="F27" s="52" t="s">
        <v>40</v>
      </c>
      <c r="G27" s="40">
        <v>0</v>
      </c>
      <c r="H27" s="124">
        <f t="shared" si="0"/>
        <v>0</v>
      </c>
      <c r="I27" s="86">
        <v>6</v>
      </c>
    </row>
    <row r="28" spans="1:17" x14ac:dyDescent="0.4">
      <c r="A28" s="48" t="s">
        <v>172</v>
      </c>
      <c r="B28" s="127">
        <f>IF(B$18=0,0,C28/B$18)</f>
        <v>6300</v>
      </c>
      <c r="C28" s="128">
        <v>18900</v>
      </c>
      <c r="E28" s="55" t="s">
        <v>87</v>
      </c>
      <c r="F28" s="52" t="s">
        <v>42</v>
      </c>
      <c r="G28" s="40">
        <v>0</v>
      </c>
      <c r="H28" s="124">
        <f t="shared" si="0"/>
        <v>0</v>
      </c>
      <c r="I28" s="86">
        <v>5</v>
      </c>
    </row>
    <row r="29" spans="1:17" x14ac:dyDescent="0.4">
      <c r="A29" s="48" t="s">
        <v>170</v>
      </c>
      <c r="B29" s="127">
        <f>IF(B$20=0,0,C29/B$20)</f>
        <v>-10025</v>
      </c>
      <c r="C29" s="128">
        <v>-40100</v>
      </c>
      <c r="E29" s="55" t="s">
        <v>88</v>
      </c>
      <c r="F29" s="52" t="s">
        <v>43</v>
      </c>
      <c r="G29" s="40">
        <v>0</v>
      </c>
      <c r="H29" s="124">
        <f t="shared" si="0"/>
        <v>0</v>
      </c>
      <c r="I29" s="86">
        <v>3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90</v>
      </c>
      <c r="F30" s="52" t="s">
        <v>45</v>
      </c>
      <c r="G30" s="40">
        <v>0</v>
      </c>
      <c r="H30" s="124">
        <f t="shared" si="0"/>
        <v>0</v>
      </c>
      <c r="I30" s="86">
        <v>4</v>
      </c>
    </row>
    <row r="31" spans="1:17" x14ac:dyDescent="0.4">
      <c r="A31" s="47" t="s">
        <v>163</v>
      </c>
      <c r="B31" s="40">
        <v>17</v>
      </c>
      <c r="C31" s="126">
        <v>2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8">
        <v>5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56">
        <v>78000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3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>
        <v>1</v>
      </c>
    </row>
    <row r="37" spans="1:9" x14ac:dyDescent="0.4">
      <c r="A37" s="47" t="s">
        <v>173</v>
      </c>
      <c r="B37" s="40">
        <v>4</v>
      </c>
      <c r="C37" s="33">
        <f t="shared" ref="C37:C48" si="4">IF(B$19=0,0,B37/B$19)</f>
        <v>0.21052631578947367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>
        <v>1</v>
      </c>
    </row>
    <row r="38" spans="1:9" x14ac:dyDescent="0.4">
      <c r="A38" s="47" t="s">
        <v>174</v>
      </c>
      <c r="B38" s="139">
        <v>3</v>
      </c>
      <c r="C38" s="33">
        <f>IF(B$19=0,0,B38/B$19)</f>
        <v>0.15789473684210525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4"/>
        <v>0.21052631578947367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>
        <v>1</v>
      </c>
    </row>
    <row r="40" spans="1:9" x14ac:dyDescent="0.4">
      <c r="A40" s="47" t="s">
        <v>176</v>
      </c>
      <c r="B40" s="139">
        <v>5</v>
      </c>
      <c r="C40" s="33">
        <f t="shared" si="4"/>
        <v>0.26315789473684209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4"/>
        <v>5.2631578947368418E-2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>
        <v>1</v>
      </c>
    </row>
    <row r="43" spans="1:9" x14ac:dyDescent="0.4">
      <c r="A43" s="47" t="s">
        <v>180</v>
      </c>
      <c r="B43" s="139">
        <v>1</v>
      </c>
      <c r="C43" s="33">
        <f t="shared" si="4"/>
        <v>5.2631578947368418E-2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>
        <v>1</v>
      </c>
    </row>
    <row r="48" spans="1:9" x14ac:dyDescent="0.4">
      <c r="A48" s="49" t="s">
        <v>185</v>
      </c>
      <c r="B48" s="135">
        <v>1</v>
      </c>
      <c r="C48" s="36">
        <f t="shared" si="4"/>
        <v>5.2631578947368418E-2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>
        <v>1</v>
      </c>
    </row>
    <row r="50" spans="1:9" x14ac:dyDescent="0.4">
      <c r="A50" s="82" t="s">
        <v>197</v>
      </c>
      <c r="B50" s="146">
        <v>50</v>
      </c>
      <c r="C50" s="147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>
        <v>1</v>
      </c>
    </row>
    <row r="51" spans="1:9" x14ac:dyDescent="0.4">
      <c r="A51" s="49" t="s">
        <v>198</v>
      </c>
      <c r="B51" s="154">
        <v>19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91CAA-5C98-457F-9CF9-7FC54DF29323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165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36</v>
      </c>
      <c r="C2" s="147"/>
      <c r="E2" s="54" t="s">
        <v>274</v>
      </c>
      <c r="F2" s="51" t="s">
        <v>275</v>
      </c>
      <c r="G2" s="39">
        <v>55</v>
      </c>
      <c r="H2" s="123">
        <f t="shared" ref="H2:H33" si="0">IF(B$51=0,0,G2/B$51)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-2341.6666666666665</v>
      </c>
      <c r="P2" s="109">
        <v>36</v>
      </c>
      <c r="Q2" s="93">
        <v>-84300</v>
      </c>
    </row>
    <row r="3" spans="1:17" x14ac:dyDescent="0.4">
      <c r="A3" s="47" t="s">
        <v>8</v>
      </c>
      <c r="B3" s="148">
        <v>279</v>
      </c>
      <c r="C3" s="149"/>
      <c r="E3" s="55" t="s">
        <v>72</v>
      </c>
      <c r="F3" s="52" t="s">
        <v>27</v>
      </c>
      <c r="G3" s="40">
        <v>41</v>
      </c>
      <c r="H3" s="124">
        <f t="shared" si="0"/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1"/>
        <v>644.44444444444446</v>
      </c>
      <c r="P3" s="110">
        <v>36</v>
      </c>
      <c r="Q3" s="94">
        <v>23200</v>
      </c>
    </row>
    <row r="4" spans="1:17" x14ac:dyDescent="0.4">
      <c r="A4" s="47" t="s">
        <v>6</v>
      </c>
      <c r="B4" s="150">
        <v>-454.89999999999992</v>
      </c>
      <c r="C4" s="151"/>
      <c r="E4" s="55" t="s">
        <v>66</v>
      </c>
      <c r="F4" s="52" t="s">
        <v>22</v>
      </c>
      <c r="G4" s="40">
        <v>38</v>
      </c>
      <c r="H4" s="124">
        <f t="shared" si="0"/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1"/>
        <v>-5609.375</v>
      </c>
      <c r="P4" s="110">
        <v>32</v>
      </c>
      <c r="Q4" s="94">
        <v>-179500</v>
      </c>
    </row>
    <row r="5" spans="1:17" x14ac:dyDescent="0.4">
      <c r="A5" s="47" t="s">
        <v>7</v>
      </c>
      <c r="B5" s="152">
        <f>IF(B$2=0,0,B$4/B$2)</f>
        <v>-12.636111111111109</v>
      </c>
      <c r="C5" s="153"/>
      <c r="E5" s="55" t="s">
        <v>64</v>
      </c>
      <c r="F5" s="52" t="s">
        <v>20</v>
      </c>
      <c r="G5" s="40">
        <v>17</v>
      </c>
      <c r="H5" s="124">
        <f t="shared" si="0"/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1"/>
        <v>-3203.4482758620688</v>
      </c>
      <c r="P5" s="110">
        <v>29</v>
      </c>
      <c r="Q5" s="94">
        <v>-92900</v>
      </c>
    </row>
    <row r="6" spans="1:17" x14ac:dyDescent="0.4">
      <c r="A6" s="47" t="s">
        <v>1</v>
      </c>
      <c r="B6" s="160">
        <f>IF(B$2=0,0,(B$7*1+B$8*2+B$9*3)/B$2)</f>
        <v>2.3888888888888888</v>
      </c>
      <c r="C6" s="161"/>
      <c r="E6" s="55" t="s">
        <v>68</v>
      </c>
      <c r="F6" s="52" t="s">
        <v>12</v>
      </c>
      <c r="G6" s="40">
        <v>14</v>
      </c>
      <c r="H6" s="124">
        <f t="shared" si="0"/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1"/>
        <v>-2922.2222222222222</v>
      </c>
      <c r="P6" s="110">
        <v>27</v>
      </c>
      <c r="Q6" s="94">
        <v>-78900</v>
      </c>
    </row>
    <row r="7" spans="1:17" x14ac:dyDescent="0.4">
      <c r="A7" s="47" t="s">
        <v>2</v>
      </c>
      <c r="B7" s="40">
        <v>7</v>
      </c>
      <c r="C7" s="33">
        <f t="shared" ref="C7:C14" si="2">IF(B$2=0,0,B7/B$2)</f>
        <v>0.19444444444444445</v>
      </c>
      <c r="E7" s="55" t="s">
        <v>83</v>
      </c>
      <c r="F7" s="52" t="s">
        <v>38</v>
      </c>
      <c r="G7" s="40">
        <v>9</v>
      </c>
      <c r="H7" s="124">
        <f t="shared" si="0"/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1"/>
        <v>-2023.8095238095239</v>
      </c>
      <c r="P7" s="111">
        <v>21</v>
      </c>
      <c r="Q7" s="95">
        <v>-42500</v>
      </c>
    </row>
    <row r="8" spans="1:17" x14ac:dyDescent="0.4">
      <c r="A8" s="47" t="s">
        <v>3</v>
      </c>
      <c r="B8" s="40">
        <v>8</v>
      </c>
      <c r="C8" s="33">
        <f t="shared" si="2"/>
        <v>0.22222222222222221</v>
      </c>
      <c r="E8" s="55" t="s">
        <v>89</v>
      </c>
      <c r="F8" s="52" t="s">
        <v>44</v>
      </c>
      <c r="G8" s="40">
        <v>9</v>
      </c>
      <c r="H8" s="124">
        <f t="shared" si="0"/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21</v>
      </c>
      <c r="C9" s="34">
        <f t="shared" si="2"/>
        <v>0.58333333333333337</v>
      </c>
      <c r="E9" s="55" t="s">
        <v>67</v>
      </c>
      <c r="F9" s="52" t="s">
        <v>23</v>
      </c>
      <c r="G9" s="40">
        <v>6</v>
      </c>
      <c r="H9" s="124">
        <f t="shared" si="0"/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21.514285714285716</v>
      </c>
      <c r="C10" s="141">
        <v>150.60000000000002</v>
      </c>
      <c r="E10" s="55" t="s">
        <v>70</v>
      </c>
      <c r="F10" s="52" t="s">
        <v>25</v>
      </c>
      <c r="G10" s="40">
        <v>6</v>
      </c>
      <c r="H10" s="124">
        <f t="shared" si="0"/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">
      <c r="A11" s="48" t="s">
        <v>277</v>
      </c>
      <c r="B11" s="140">
        <f>IF(B8=0,0,C11/B8)</f>
        <v>4.6124999999999998</v>
      </c>
      <c r="C11" s="141">
        <v>36.9</v>
      </c>
      <c r="E11" s="55" t="s">
        <v>86</v>
      </c>
      <c r="F11" s="52" t="s">
        <v>41</v>
      </c>
      <c r="G11" s="40">
        <v>6</v>
      </c>
      <c r="H11" s="124">
        <f t="shared" si="0"/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">
      <c r="A12" s="48" t="s">
        <v>278</v>
      </c>
      <c r="B12" s="140">
        <f>IF(B9=0,0,C12/B9)</f>
        <v>-30.590476190476185</v>
      </c>
      <c r="C12" s="141">
        <v>-642.39999999999986</v>
      </c>
      <c r="E12" s="55" t="s">
        <v>65</v>
      </c>
      <c r="F12" s="52" t="s">
        <v>21</v>
      </c>
      <c r="G12" s="40">
        <v>5</v>
      </c>
      <c r="H12" s="124">
        <f t="shared" si="0"/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">
      <c r="A13" s="48" t="s">
        <v>279</v>
      </c>
      <c r="B13" s="152">
        <f>AVERAGE(B10:B12)</f>
        <v>-1.4878968253968228</v>
      </c>
      <c r="C13" s="153"/>
      <c r="E13" s="55" t="s">
        <v>78</v>
      </c>
      <c r="F13" s="52" t="s">
        <v>33</v>
      </c>
      <c r="G13" s="40">
        <v>3</v>
      </c>
      <c r="H13" s="124">
        <f t="shared" si="0"/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10</v>
      </c>
      <c r="C14" s="36">
        <f t="shared" si="2"/>
        <v>0.27777777777777779</v>
      </c>
      <c r="E14" s="55" t="s">
        <v>81</v>
      </c>
      <c r="F14" s="52" t="s">
        <v>36</v>
      </c>
      <c r="G14" s="40">
        <v>3</v>
      </c>
      <c r="H14" s="124">
        <f t="shared" si="0"/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39</v>
      </c>
      <c r="C15" s="38">
        <f>IF(B$50=0,0,B15/B$50)</f>
        <v>0.13978494623655913</v>
      </c>
      <c r="E15" s="55" t="s">
        <v>69</v>
      </c>
      <c r="F15" s="52" t="s">
        <v>24</v>
      </c>
      <c r="G15" s="40">
        <v>2</v>
      </c>
      <c r="H15" s="124">
        <f t="shared" si="0"/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 t="shared" ref="O15:O22" si="3">IF(P15=0,0,Q15/P15)</f>
        <v>13.450000000000001</v>
      </c>
      <c r="P15" s="109">
        <v>2</v>
      </c>
      <c r="Q15" s="97">
        <v>26.900000000000002</v>
      </c>
    </row>
    <row r="16" spans="1:17" x14ac:dyDescent="0.4">
      <c r="A16" s="47" t="s">
        <v>118</v>
      </c>
      <c r="B16" s="40">
        <v>99</v>
      </c>
      <c r="C16" s="33">
        <f>IF(B$50=0,0,B16/B$50)</f>
        <v>0.35483870967741937</v>
      </c>
      <c r="E16" s="55" t="s">
        <v>71</v>
      </c>
      <c r="F16" s="52" t="s">
        <v>26</v>
      </c>
      <c r="G16" s="40">
        <v>2</v>
      </c>
      <c r="H16" s="124">
        <f t="shared" si="0"/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 t="shared" si="3"/>
        <v>10.366666666666665</v>
      </c>
      <c r="P16" s="110">
        <v>3</v>
      </c>
      <c r="Q16" s="98">
        <v>31.099999999999998</v>
      </c>
    </row>
    <row r="17" spans="1:17" x14ac:dyDescent="0.4">
      <c r="A17" s="46" t="s">
        <v>123</v>
      </c>
      <c r="B17" s="39">
        <f>B23</f>
        <v>18</v>
      </c>
      <c r="C17" s="31">
        <f>IF(B$15=0,0,B17/B$15)</f>
        <v>0.46153846153846156</v>
      </c>
      <c r="E17" s="55" t="s">
        <v>79</v>
      </c>
      <c r="F17" s="52" t="s">
        <v>34</v>
      </c>
      <c r="G17" s="40">
        <v>2</v>
      </c>
      <c r="H17" s="124">
        <f t="shared" si="0"/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 t="shared" si="3"/>
        <v>-13.39</v>
      </c>
      <c r="P17" s="110">
        <v>20</v>
      </c>
      <c r="Q17" s="98">
        <v>-267.8</v>
      </c>
    </row>
    <row r="18" spans="1:17" x14ac:dyDescent="0.4">
      <c r="A18" s="46" t="s">
        <v>124</v>
      </c>
      <c r="B18" s="39">
        <f>B24</f>
        <v>28</v>
      </c>
      <c r="C18" s="31">
        <f>IF(B$16=0,0,B18/B$16)</f>
        <v>0.28282828282828282</v>
      </c>
      <c r="E18" s="55" t="s">
        <v>77</v>
      </c>
      <c r="F18" s="52" t="s">
        <v>32</v>
      </c>
      <c r="G18" s="40">
        <v>1</v>
      </c>
      <c r="H18" s="124">
        <f t="shared" si="0"/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 t="shared" si="3"/>
        <v>-14.79166666666667</v>
      </c>
      <c r="P18" s="110">
        <v>12</v>
      </c>
      <c r="Q18" s="98">
        <v>-177.50000000000003</v>
      </c>
    </row>
    <row r="19" spans="1:17" x14ac:dyDescent="0.4">
      <c r="A19" s="46" t="s">
        <v>10</v>
      </c>
      <c r="B19" s="39">
        <f>B22+B21</f>
        <v>56</v>
      </c>
      <c r="C19" s="31">
        <f>IF(B$3=0,0,B19/B$3)</f>
        <v>0.20071684587813621</v>
      </c>
      <c r="E19" s="55" t="s">
        <v>85</v>
      </c>
      <c r="F19" s="52" t="s">
        <v>40</v>
      </c>
      <c r="G19" s="40">
        <v>1</v>
      </c>
      <c r="H19" s="124">
        <f t="shared" si="0"/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 t="shared" si="3"/>
        <v>-15.2</v>
      </c>
      <c r="P19" s="110">
        <v>2</v>
      </c>
      <c r="Q19" s="98">
        <v>-30.4</v>
      </c>
    </row>
    <row r="20" spans="1:17" x14ac:dyDescent="0.4">
      <c r="A20" s="47" t="s">
        <v>13</v>
      </c>
      <c r="B20" s="40">
        <v>53</v>
      </c>
      <c r="C20" s="33">
        <f>IF(B$3=0,0,B20/B$3)</f>
        <v>0.18996415770609318</v>
      </c>
      <c r="E20" s="55" t="s">
        <v>91</v>
      </c>
      <c r="F20" s="52" t="s">
        <v>46</v>
      </c>
      <c r="G20" s="40">
        <v>1</v>
      </c>
      <c r="H20" s="124">
        <f t="shared" si="0"/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 t="shared" si="3"/>
        <v>-24.85</v>
      </c>
      <c r="P20" s="110">
        <v>2</v>
      </c>
      <c r="Q20" s="98">
        <v>-49.7</v>
      </c>
    </row>
    <row r="21" spans="1:17" x14ac:dyDescent="0.4">
      <c r="A21" s="47" t="s">
        <v>12</v>
      </c>
      <c r="B21" s="40">
        <v>21</v>
      </c>
      <c r="C21" s="33">
        <f>IF(B$19=0,0,B21/B$19)</f>
        <v>0.375</v>
      </c>
      <c r="E21" s="55" t="s">
        <v>92</v>
      </c>
      <c r="F21" s="52" t="s">
        <v>47</v>
      </c>
      <c r="G21" s="40">
        <v>1</v>
      </c>
      <c r="H21" s="124">
        <f t="shared" si="0"/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 t="shared" si="3"/>
        <v>-26.95</v>
      </c>
      <c r="P21" s="110">
        <v>6</v>
      </c>
      <c r="Q21" s="98">
        <v>-161.69999999999999</v>
      </c>
    </row>
    <row r="22" spans="1:17" x14ac:dyDescent="0.4">
      <c r="A22" s="47" t="s">
        <v>11</v>
      </c>
      <c r="B22" s="40">
        <v>35</v>
      </c>
      <c r="C22" s="33">
        <f>IF(B$19=0,0,B22/B$19)</f>
        <v>0.625</v>
      </c>
      <c r="E22" s="55" t="s">
        <v>73</v>
      </c>
      <c r="F22" s="52" t="s">
        <v>28</v>
      </c>
      <c r="G22" s="40">
        <v>0</v>
      </c>
      <c r="H22" s="124">
        <f t="shared" si="0"/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 t="shared" si="3"/>
        <v>-29.423999999999996</v>
      </c>
      <c r="P22" s="110">
        <v>25</v>
      </c>
      <c r="Q22" s="98">
        <v>-735.59999999999991</v>
      </c>
    </row>
    <row r="23" spans="1:17" x14ac:dyDescent="0.4">
      <c r="A23" s="47" t="s">
        <v>189</v>
      </c>
      <c r="B23" s="40">
        <v>18</v>
      </c>
      <c r="C23" s="33">
        <f>IF(B$19=0,0,B23/B$19)</f>
        <v>0.32142857142857145</v>
      </c>
      <c r="E23" s="55" t="s">
        <v>74</v>
      </c>
      <c r="F23" s="52" t="s">
        <v>29</v>
      </c>
      <c r="G23" s="40">
        <v>0</v>
      </c>
      <c r="H23" s="124">
        <f t="shared" si="0"/>
        <v>0</v>
      </c>
      <c r="I23" s="86">
        <v>6</v>
      </c>
      <c r="K23" s="32">
        <v>21</v>
      </c>
      <c r="L23" s="91">
        <v>-125.80000000000001</v>
      </c>
    </row>
    <row r="24" spans="1:17" x14ac:dyDescent="0.4">
      <c r="A24" s="47" t="s">
        <v>187</v>
      </c>
      <c r="B24" s="40">
        <v>28</v>
      </c>
      <c r="C24" s="33">
        <f>IF(B$19=0,0,B24/B$19)</f>
        <v>0.5</v>
      </c>
      <c r="E24" s="55" t="s">
        <v>75</v>
      </c>
      <c r="F24" s="52" t="s">
        <v>30</v>
      </c>
      <c r="G24" s="40">
        <v>0</v>
      </c>
      <c r="H24" s="124">
        <f t="shared" si="0"/>
        <v>0</v>
      </c>
      <c r="I24" s="86">
        <v>7</v>
      </c>
      <c r="K24" s="32">
        <v>22</v>
      </c>
      <c r="L24" s="91">
        <v>-149.30000000000001</v>
      </c>
    </row>
    <row r="25" spans="1:17" x14ac:dyDescent="0.4">
      <c r="A25" s="47" t="s">
        <v>188</v>
      </c>
      <c r="B25" s="40">
        <v>10</v>
      </c>
      <c r="C25" s="33">
        <f>IF(B$19=0,0,B25/B$19)</f>
        <v>0.17857142857142858</v>
      </c>
      <c r="E25" s="55" t="s">
        <v>76</v>
      </c>
      <c r="F25" s="52" t="s">
        <v>31</v>
      </c>
      <c r="G25" s="40">
        <v>0</v>
      </c>
      <c r="H25" s="124">
        <f t="shared" si="0"/>
        <v>0</v>
      </c>
      <c r="I25" s="86">
        <v>1</v>
      </c>
      <c r="K25" s="32">
        <v>23</v>
      </c>
      <c r="L25" s="91">
        <v>-150.30000000000001</v>
      </c>
    </row>
    <row r="26" spans="1:17" x14ac:dyDescent="0.4">
      <c r="A26" s="47" t="s">
        <v>5</v>
      </c>
      <c r="B26" s="44">
        <f>IF(B$19=0,0,C26/B$19)</f>
        <v>9373.2142857142862</v>
      </c>
      <c r="C26" s="35">
        <v>524900</v>
      </c>
      <c r="E26" s="55" t="s">
        <v>80</v>
      </c>
      <c r="F26" s="52" t="s">
        <v>35</v>
      </c>
      <c r="G26" s="40">
        <v>0</v>
      </c>
      <c r="H26" s="124">
        <f t="shared" si="0"/>
        <v>0</v>
      </c>
      <c r="I26" s="86">
        <v>3</v>
      </c>
      <c r="K26" s="32">
        <v>24</v>
      </c>
      <c r="L26" s="91">
        <v>-196.10000000000002</v>
      </c>
    </row>
    <row r="27" spans="1:17" x14ac:dyDescent="0.4">
      <c r="A27" s="48" t="s">
        <v>171</v>
      </c>
      <c r="B27" s="127">
        <f>IF($B$19-B$18=0,0,C27/($B$19-B$18))</f>
        <v>10753.571428571429</v>
      </c>
      <c r="C27" s="128">
        <v>301100</v>
      </c>
      <c r="E27" s="55" t="s">
        <v>82</v>
      </c>
      <c r="F27" s="52" t="s">
        <v>37</v>
      </c>
      <c r="G27" s="40">
        <v>0</v>
      </c>
      <c r="H27" s="124">
        <f t="shared" si="0"/>
        <v>0</v>
      </c>
      <c r="I27" s="86">
        <v>1</v>
      </c>
      <c r="K27" s="32">
        <v>25</v>
      </c>
      <c r="L27" s="91">
        <v>-240.00000000000003</v>
      </c>
    </row>
    <row r="28" spans="1:17" x14ac:dyDescent="0.4">
      <c r="A28" s="48" t="s">
        <v>172</v>
      </c>
      <c r="B28" s="127">
        <f>IF(B$18=0,0,C28/B$18)</f>
        <v>7992.8571428571431</v>
      </c>
      <c r="C28" s="128">
        <v>223800</v>
      </c>
      <c r="E28" s="55" t="s">
        <v>84</v>
      </c>
      <c r="F28" s="52" t="s">
        <v>39</v>
      </c>
      <c r="G28" s="40">
        <v>0</v>
      </c>
      <c r="H28" s="124">
        <f t="shared" si="0"/>
        <v>0</v>
      </c>
      <c r="I28" s="86">
        <v>5</v>
      </c>
      <c r="K28" s="32">
        <v>26</v>
      </c>
      <c r="L28" s="91">
        <v>-277</v>
      </c>
    </row>
    <row r="29" spans="1:17" x14ac:dyDescent="0.4">
      <c r="A29" s="48" t="s">
        <v>170</v>
      </c>
      <c r="B29" s="127">
        <f>IF(B$20=0,0,C29/B$20)</f>
        <v>-8745.2830188679254</v>
      </c>
      <c r="C29" s="128">
        <v>-463500</v>
      </c>
      <c r="E29" s="55" t="s">
        <v>87</v>
      </c>
      <c r="F29" s="52" t="s">
        <v>42</v>
      </c>
      <c r="G29" s="40">
        <v>0</v>
      </c>
      <c r="H29" s="124">
        <f t="shared" si="0"/>
        <v>0</v>
      </c>
      <c r="I29" s="86">
        <v>5</v>
      </c>
      <c r="K29" s="32">
        <v>27</v>
      </c>
      <c r="L29" s="91">
        <v>-266.7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88</v>
      </c>
      <c r="F30" s="52" t="s">
        <v>43</v>
      </c>
      <c r="G30" s="40">
        <v>0</v>
      </c>
      <c r="H30" s="124">
        <f t="shared" si="0"/>
        <v>0</v>
      </c>
      <c r="I30" s="86">
        <v>3</v>
      </c>
      <c r="K30" s="32">
        <v>28</v>
      </c>
      <c r="L30" s="91">
        <v>-283.7</v>
      </c>
    </row>
    <row r="31" spans="1:17" x14ac:dyDescent="0.4">
      <c r="A31" s="47" t="s">
        <v>163</v>
      </c>
      <c r="B31" s="40">
        <v>21</v>
      </c>
      <c r="C31" s="126">
        <v>3</v>
      </c>
      <c r="E31" s="55" t="s">
        <v>90</v>
      </c>
      <c r="F31" s="52" t="s">
        <v>45</v>
      </c>
      <c r="G31" s="40">
        <v>0</v>
      </c>
      <c r="H31" s="124">
        <f t="shared" si="0"/>
        <v>0</v>
      </c>
      <c r="I31" s="86">
        <v>4</v>
      </c>
      <c r="K31" s="32">
        <v>29</v>
      </c>
      <c r="L31" s="91">
        <v>-251.2</v>
      </c>
    </row>
    <row r="32" spans="1:17" x14ac:dyDescent="0.4">
      <c r="A32" s="82" t="s">
        <v>138</v>
      </c>
      <c r="B32" s="158">
        <v>5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  <c r="K32" s="32">
        <v>30</v>
      </c>
      <c r="L32" s="91">
        <v>-287.89999999999998</v>
      </c>
    </row>
    <row r="33" spans="1:12" x14ac:dyDescent="0.4">
      <c r="A33" s="50" t="s">
        <v>186</v>
      </c>
      <c r="B33" s="156">
        <v>67700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  <c r="K33" s="32">
        <v>31</v>
      </c>
      <c r="L33" s="91">
        <v>-334.9</v>
      </c>
    </row>
    <row r="34" spans="1:12" x14ac:dyDescent="0.4">
      <c r="A34" s="49" t="s">
        <v>139</v>
      </c>
      <c r="B34" s="57">
        <v>1</v>
      </c>
      <c r="C34" s="36">
        <f>IF(B$3=0,0,B34/B$3)</f>
        <v>3.5842293906810036E-3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  <c r="K34" s="32">
        <v>32</v>
      </c>
      <c r="L34" s="91">
        <v>-360.79999999999995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  <c r="K35" s="32">
        <v>33</v>
      </c>
      <c r="L35" s="91">
        <v>-386.69999999999993</v>
      </c>
    </row>
    <row r="36" spans="1:12" x14ac:dyDescent="0.4">
      <c r="A36" s="82" t="s">
        <v>177</v>
      </c>
      <c r="B36" s="136">
        <v>2</v>
      </c>
      <c r="C36" s="132">
        <f>IF(B$19=0,0,B36/B$19)</f>
        <v>3.5714285714285712E-2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  <c r="K36" s="32">
        <v>34</v>
      </c>
      <c r="L36" s="91">
        <v>-412.99999999999994</v>
      </c>
    </row>
    <row r="37" spans="1:12" x14ac:dyDescent="0.4">
      <c r="A37" s="47" t="s">
        <v>173</v>
      </c>
      <c r="B37" s="40">
        <v>5</v>
      </c>
      <c r="C37" s="33">
        <f t="shared" ref="C37:C48" si="5">IF(B$19=0,0,B37/B$19)</f>
        <v>8.9285714285714288E-2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  <c r="K37" s="32">
        <v>35</v>
      </c>
      <c r="L37" s="91">
        <v>-448.39999999999992</v>
      </c>
    </row>
    <row r="38" spans="1:12" x14ac:dyDescent="0.4">
      <c r="A38" s="47" t="s">
        <v>174</v>
      </c>
      <c r="B38" s="139">
        <v>10</v>
      </c>
      <c r="C38" s="33">
        <f>IF(B$19=0,0,B38/B$19)</f>
        <v>0.17857142857142858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  <c r="K38" s="32">
        <v>36</v>
      </c>
      <c r="L38" s="91">
        <v>-454.89999999999992</v>
      </c>
    </row>
    <row r="39" spans="1:12" x14ac:dyDescent="0.4">
      <c r="A39" s="47" t="s">
        <v>175</v>
      </c>
      <c r="B39" s="139">
        <v>8</v>
      </c>
      <c r="C39" s="33">
        <f t="shared" si="5"/>
        <v>0.14285714285714285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12" x14ac:dyDescent="0.4">
      <c r="A40" s="47" t="s">
        <v>176</v>
      </c>
      <c r="B40" s="139">
        <v>17</v>
      </c>
      <c r="C40" s="33">
        <f t="shared" si="5"/>
        <v>0.30357142857142855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12" x14ac:dyDescent="0.4">
      <c r="A41" s="47" t="s">
        <v>178</v>
      </c>
      <c r="B41" s="139">
        <v>3</v>
      </c>
      <c r="C41" s="33">
        <f t="shared" si="5"/>
        <v>5.3571428571428568E-2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5"/>
        <v>8.9285714285714288E-2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12" x14ac:dyDescent="0.4">
      <c r="A43" s="47" t="s">
        <v>180</v>
      </c>
      <c r="B43" s="139">
        <v>1</v>
      </c>
      <c r="C43" s="33">
        <f t="shared" si="5"/>
        <v>1.7857142857142856E-2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12" x14ac:dyDescent="0.4">
      <c r="A44" s="47" t="s">
        <v>181</v>
      </c>
      <c r="B44" s="139">
        <v>1</v>
      </c>
      <c r="C44" s="33">
        <f t="shared" si="5"/>
        <v>1.7857142857142856E-2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12" x14ac:dyDescent="0.4">
      <c r="A45" s="47" t="s">
        <v>182</v>
      </c>
      <c r="B45" s="139">
        <v>2</v>
      </c>
      <c r="C45" s="33">
        <f t="shared" si="5"/>
        <v>3.5714285714285712E-2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12" x14ac:dyDescent="0.4">
      <c r="A46" s="47" t="s">
        <v>183</v>
      </c>
      <c r="B46" s="139">
        <v>1</v>
      </c>
      <c r="C46" s="33">
        <f t="shared" si="5"/>
        <v>1.7857142857142856E-2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5"/>
        <v>1.7857142857142856E-2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279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54">
        <v>56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54E0-F03D-4525-9F66-2903DBC36265}">
  <sheetPr codeName="Sheet32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4" t="s">
        <v>190</v>
      </c>
      <c r="C1" s="14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6">
        <v>12</v>
      </c>
      <c r="C2" s="147"/>
      <c r="E2" s="54" t="s">
        <v>274</v>
      </c>
      <c r="F2" s="51" t="s">
        <v>275</v>
      </c>
      <c r="G2" s="39">
        <v>19</v>
      </c>
      <c r="H2" s="123">
        <f t="shared" ref="H2:H33" si="0">IF(B$51=0,0,G2/B$51)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1">IF(P2=0,0,Q2/P2)</f>
        <v>-350</v>
      </c>
      <c r="P2" s="109">
        <v>12</v>
      </c>
      <c r="Q2" s="93">
        <v>-4200</v>
      </c>
    </row>
    <row r="3" spans="1:17" x14ac:dyDescent="0.4">
      <c r="A3" s="47" t="s">
        <v>8</v>
      </c>
      <c r="B3" s="148">
        <v>88</v>
      </c>
      <c r="C3" s="149"/>
      <c r="E3" s="55" t="s">
        <v>72</v>
      </c>
      <c r="F3" s="52" t="s">
        <v>27</v>
      </c>
      <c r="G3" s="40">
        <v>14</v>
      </c>
      <c r="H3" s="124">
        <f t="shared" si="0"/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1"/>
        <v>-3308.3333333333335</v>
      </c>
      <c r="P3" s="110">
        <v>12</v>
      </c>
      <c r="Q3" s="94">
        <v>-39700</v>
      </c>
    </row>
    <row r="4" spans="1:17" x14ac:dyDescent="0.4">
      <c r="A4" s="47" t="s">
        <v>6</v>
      </c>
      <c r="B4" s="150">
        <v>-155.1</v>
      </c>
      <c r="C4" s="151"/>
      <c r="E4" s="55" t="s">
        <v>66</v>
      </c>
      <c r="F4" s="52" t="s">
        <v>22</v>
      </c>
      <c r="G4" s="40">
        <v>11</v>
      </c>
      <c r="H4" s="124">
        <f t="shared" si="0"/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1"/>
        <v>-7000</v>
      </c>
      <c r="P4" s="110">
        <v>12</v>
      </c>
      <c r="Q4" s="94">
        <v>-84000</v>
      </c>
    </row>
    <row r="5" spans="1:17" x14ac:dyDescent="0.4">
      <c r="A5" s="47" t="s">
        <v>7</v>
      </c>
      <c r="B5" s="152">
        <f>IF(B$2=0,0,B$4/B$2)</f>
        <v>-12.924999999999999</v>
      </c>
      <c r="C5" s="153"/>
      <c r="E5" s="55" t="s">
        <v>64</v>
      </c>
      <c r="F5" s="52" t="s">
        <v>20</v>
      </c>
      <c r="G5" s="40">
        <v>5</v>
      </c>
      <c r="H5" s="124">
        <f t="shared" si="0"/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1"/>
        <v>-244.44444444444446</v>
      </c>
      <c r="P5" s="110">
        <v>9</v>
      </c>
      <c r="Q5" s="94">
        <v>-2200</v>
      </c>
    </row>
    <row r="6" spans="1:17" x14ac:dyDescent="0.4">
      <c r="A6" s="47" t="s">
        <v>1</v>
      </c>
      <c r="B6" s="160">
        <f>IF(B$2=0,0,(B$7*1+B$8*2+B$9*3)/B$2)</f>
        <v>2.4166666666666665</v>
      </c>
      <c r="C6" s="161"/>
      <c r="E6" s="55" t="s">
        <v>67</v>
      </c>
      <c r="F6" s="52" t="s">
        <v>23</v>
      </c>
      <c r="G6" s="40">
        <v>3</v>
      </c>
      <c r="H6" s="124">
        <f t="shared" si="0"/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1"/>
        <v>-2737.5</v>
      </c>
      <c r="P6" s="110">
        <v>8</v>
      </c>
      <c r="Q6" s="94">
        <v>-21900</v>
      </c>
    </row>
    <row r="7" spans="1:17" x14ac:dyDescent="0.4">
      <c r="A7" s="47" t="s">
        <v>2</v>
      </c>
      <c r="B7" s="40">
        <v>2</v>
      </c>
      <c r="C7" s="33">
        <f t="shared" ref="C7:C14" si="2">IF(B$2=0,0,B7/B$2)</f>
        <v>0.16666666666666666</v>
      </c>
      <c r="E7" s="55" t="s">
        <v>68</v>
      </c>
      <c r="F7" s="52" t="s">
        <v>12</v>
      </c>
      <c r="G7" s="40">
        <v>3</v>
      </c>
      <c r="H7" s="124">
        <f t="shared" si="0"/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1"/>
        <v>-516.66666666666663</v>
      </c>
      <c r="P7" s="111">
        <v>6</v>
      </c>
      <c r="Q7" s="95">
        <v>-3100</v>
      </c>
    </row>
    <row r="8" spans="1:17" x14ac:dyDescent="0.4">
      <c r="A8" s="47" t="s">
        <v>3</v>
      </c>
      <c r="B8" s="40">
        <v>3</v>
      </c>
      <c r="C8" s="33">
        <f t="shared" si="2"/>
        <v>0.25</v>
      </c>
      <c r="E8" s="55" t="s">
        <v>70</v>
      </c>
      <c r="F8" s="52" t="s">
        <v>25</v>
      </c>
      <c r="G8" s="40">
        <v>3</v>
      </c>
      <c r="H8" s="124">
        <f t="shared" si="0"/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">
      <c r="A9" s="48" t="s">
        <v>4</v>
      </c>
      <c r="B9" s="41">
        <v>7</v>
      </c>
      <c r="C9" s="34">
        <f t="shared" si="2"/>
        <v>0.58333333333333337</v>
      </c>
      <c r="E9" s="55" t="s">
        <v>89</v>
      </c>
      <c r="F9" s="52" t="s">
        <v>44</v>
      </c>
      <c r="G9" s="40">
        <v>3</v>
      </c>
      <c r="H9" s="124">
        <f t="shared" si="0"/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24.3</v>
      </c>
      <c r="C10" s="141">
        <v>48.6</v>
      </c>
      <c r="E10" s="55" t="s">
        <v>83</v>
      </c>
      <c r="F10" s="52" t="s">
        <v>38</v>
      </c>
      <c r="G10" s="40">
        <v>2</v>
      </c>
      <c r="H10" s="124">
        <f t="shared" si="0"/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">
      <c r="A11" s="48" t="s">
        <v>277</v>
      </c>
      <c r="B11" s="140">
        <f>IF(B8=0,0,C11/B8)</f>
        <v>1.4666666666666668</v>
      </c>
      <c r="C11" s="141">
        <v>4.4000000000000004</v>
      </c>
      <c r="E11" s="55" t="s">
        <v>79</v>
      </c>
      <c r="F11" s="52" t="s">
        <v>34</v>
      </c>
      <c r="G11" s="40">
        <v>1</v>
      </c>
      <c r="H11" s="124">
        <f t="shared" si="0"/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">
      <c r="A12" s="48" t="s">
        <v>278</v>
      </c>
      <c r="B12" s="140">
        <f>IF(B9=0,0,C12/B9)</f>
        <v>-29.728571428571424</v>
      </c>
      <c r="C12" s="141">
        <v>-208.09999999999997</v>
      </c>
      <c r="E12" s="55" t="s">
        <v>81</v>
      </c>
      <c r="F12" s="52" t="s">
        <v>36</v>
      </c>
      <c r="G12" s="40">
        <v>1</v>
      </c>
      <c r="H12" s="124">
        <f t="shared" si="0"/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">
      <c r="A13" s="48" t="s">
        <v>279</v>
      </c>
      <c r="B13" s="152">
        <f>AVERAGE(B10:B12)</f>
        <v>-1.3206349206349195</v>
      </c>
      <c r="C13" s="153"/>
      <c r="E13" s="55" t="s">
        <v>86</v>
      </c>
      <c r="F13" s="52" t="s">
        <v>41</v>
      </c>
      <c r="G13" s="40">
        <v>1</v>
      </c>
      <c r="H13" s="124">
        <f t="shared" si="0"/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4</v>
      </c>
      <c r="C14" s="36">
        <f t="shared" si="2"/>
        <v>0.33333333333333331</v>
      </c>
      <c r="E14" s="55" t="s">
        <v>65</v>
      </c>
      <c r="F14" s="52" t="s">
        <v>21</v>
      </c>
      <c r="G14" s="40">
        <v>0</v>
      </c>
      <c r="H14" s="124">
        <f t="shared" si="0"/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12</v>
      </c>
      <c r="C15" s="38">
        <f>IF(B$50=0,0,B15/B$50)</f>
        <v>0.13636363636363635</v>
      </c>
      <c r="E15" s="55" t="s">
        <v>69</v>
      </c>
      <c r="F15" s="52" t="s">
        <v>24</v>
      </c>
      <c r="G15" s="40">
        <v>0</v>
      </c>
      <c r="H15" s="124">
        <f t="shared" si="0"/>
        <v>0</v>
      </c>
      <c r="I15" s="86">
        <v>13</v>
      </c>
      <c r="N15" s="105" t="s">
        <v>165</v>
      </c>
      <c r="O15" s="115">
        <f t="shared" ref="O15:O21" si="3">IF(P15=0,0,Q15/P15)</f>
        <v>15.200000000000001</v>
      </c>
      <c r="P15" s="109">
        <v>2</v>
      </c>
      <c r="Q15" s="97">
        <v>30.400000000000002</v>
      </c>
    </row>
    <row r="16" spans="1:17" x14ac:dyDescent="0.4">
      <c r="A16" s="47" t="s">
        <v>118</v>
      </c>
      <c r="B16" s="40">
        <v>24</v>
      </c>
      <c r="C16" s="33">
        <f>IF(B$50=0,0,B16/B$50)</f>
        <v>0.27272727272727271</v>
      </c>
      <c r="E16" s="55" t="s">
        <v>71</v>
      </c>
      <c r="F16" s="52" t="s">
        <v>26</v>
      </c>
      <c r="G16" s="40">
        <v>0</v>
      </c>
      <c r="H16" s="124">
        <f t="shared" si="0"/>
        <v>0</v>
      </c>
      <c r="I16" s="86">
        <v>12</v>
      </c>
      <c r="N16" s="106" t="s">
        <v>214</v>
      </c>
      <c r="O16" s="116">
        <f t="shared" si="3"/>
        <v>4.3000000000000007</v>
      </c>
      <c r="P16" s="110">
        <v>4</v>
      </c>
      <c r="Q16" s="98">
        <v>17.200000000000003</v>
      </c>
    </row>
    <row r="17" spans="1:17" x14ac:dyDescent="0.4">
      <c r="A17" s="46" t="s">
        <v>123</v>
      </c>
      <c r="B17" s="39">
        <f>B23</f>
        <v>5</v>
      </c>
      <c r="C17" s="31">
        <f>IF(B$15=0,0,B17/B$15)</f>
        <v>0.41666666666666669</v>
      </c>
      <c r="E17" s="55" t="s">
        <v>73</v>
      </c>
      <c r="F17" s="52" t="s">
        <v>28</v>
      </c>
      <c r="G17" s="40">
        <v>0</v>
      </c>
      <c r="H17" s="124">
        <f t="shared" si="0"/>
        <v>0</v>
      </c>
      <c r="I17" s="86">
        <v>7</v>
      </c>
      <c r="N17" s="106" t="s">
        <v>196</v>
      </c>
      <c r="O17" s="116">
        <f t="shared" si="3"/>
        <v>-9.65</v>
      </c>
      <c r="P17" s="110">
        <v>2</v>
      </c>
      <c r="Q17" s="98">
        <v>-19.3</v>
      </c>
    </row>
    <row r="18" spans="1:17" x14ac:dyDescent="0.4">
      <c r="A18" s="46" t="s">
        <v>124</v>
      </c>
      <c r="B18" s="39">
        <f>B24</f>
        <v>8</v>
      </c>
      <c r="C18" s="31">
        <f>IF(B$16=0,0,B18/B$16)</f>
        <v>0.33333333333333331</v>
      </c>
      <c r="E18" s="55" t="s">
        <v>74</v>
      </c>
      <c r="F18" s="52" t="s">
        <v>29</v>
      </c>
      <c r="G18" s="40">
        <v>0</v>
      </c>
      <c r="H18" s="124">
        <f t="shared" si="0"/>
        <v>0</v>
      </c>
      <c r="I18" s="86">
        <v>6</v>
      </c>
      <c r="N18" s="106" t="s">
        <v>126</v>
      </c>
      <c r="O18" s="116">
        <f t="shared" si="3"/>
        <v>-26.587499999999995</v>
      </c>
      <c r="P18" s="110">
        <v>8</v>
      </c>
      <c r="Q18" s="98">
        <v>-212.69999999999996</v>
      </c>
    </row>
    <row r="19" spans="1:17" x14ac:dyDescent="0.4">
      <c r="A19" s="46" t="s">
        <v>10</v>
      </c>
      <c r="B19" s="39">
        <f>B22+B21</f>
        <v>17</v>
      </c>
      <c r="C19" s="31">
        <f>IF(B$3=0,0,B19/B$3)</f>
        <v>0.19318181818181818</v>
      </c>
      <c r="E19" s="55" t="s">
        <v>75</v>
      </c>
      <c r="F19" s="52" t="s">
        <v>30</v>
      </c>
      <c r="G19" s="40">
        <v>0</v>
      </c>
      <c r="H19" s="124">
        <f t="shared" si="0"/>
        <v>0</v>
      </c>
      <c r="I19" s="86">
        <v>7</v>
      </c>
      <c r="N19" s="106" t="s">
        <v>164</v>
      </c>
      <c r="O19" s="116">
        <f t="shared" si="3"/>
        <v>-28.18</v>
      </c>
      <c r="P19" s="110">
        <v>5</v>
      </c>
      <c r="Q19" s="98">
        <v>-140.9</v>
      </c>
    </row>
    <row r="20" spans="1:17" x14ac:dyDescent="0.4">
      <c r="A20" s="47" t="s">
        <v>13</v>
      </c>
      <c r="B20" s="40">
        <v>22</v>
      </c>
      <c r="C20" s="33">
        <f>IF(B$3=0,0,B20/B$3)</f>
        <v>0.25</v>
      </c>
      <c r="E20" s="55" t="s">
        <v>76</v>
      </c>
      <c r="F20" s="52" t="s">
        <v>31</v>
      </c>
      <c r="G20" s="40">
        <v>0</v>
      </c>
      <c r="H20" s="124">
        <f t="shared" si="0"/>
        <v>0</v>
      </c>
      <c r="I20" s="86">
        <v>1</v>
      </c>
      <c r="N20" s="106" t="s">
        <v>127</v>
      </c>
      <c r="O20" s="116">
        <f t="shared" si="3"/>
        <v>-33.4</v>
      </c>
      <c r="P20" s="110">
        <v>1</v>
      </c>
      <c r="Q20" s="98">
        <v>-33.4</v>
      </c>
    </row>
    <row r="21" spans="1:17" x14ac:dyDescent="0.4">
      <c r="A21" s="47" t="s">
        <v>12</v>
      </c>
      <c r="B21" s="40">
        <v>7</v>
      </c>
      <c r="C21" s="33">
        <f>IF(B$19=0,0,B21/B$19)</f>
        <v>0.41176470588235292</v>
      </c>
      <c r="E21" s="55" t="s">
        <v>77</v>
      </c>
      <c r="F21" s="52" t="s">
        <v>32</v>
      </c>
      <c r="G21" s="40">
        <v>0</v>
      </c>
      <c r="H21" s="124">
        <f t="shared" si="0"/>
        <v>0</v>
      </c>
      <c r="I21" s="86">
        <v>7</v>
      </c>
      <c r="N21" s="106" t="s">
        <v>166</v>
      </c>
      <c r="O21" s="116">
        <f t="shared" si="3"/>
        <v>-53.3</v>
      </c>
      <c r="P21" s="110">
        <v>2</v>
      </c>
      <c r="Q21" s="98">
        <v>-106.6</v>
      </c>
    </row>
    <row r="22" spans="1:17" x14ac:dyDescent="0.4">
      <c r="A22" s="47" t="s">
        <v>11</v>
      </c>
      <c r="B22" s="40">
        <v>10</v>
      </c>
      <c r="C22" s="33">
        <f>IF(B$19=0,0,B22/B$19)</f>
        <v>0.58823529411764708</v>
      </c>
      <c r="E22" s="55" t="s">
        <v>78</v>
      </c>
      <c r="F22" s="52" t="s">
        <v>33</v>
      </c>
      <c r="G22" s="40">
        <v>0</v>
      </c>
      <c r="H22" s="124">
        <f t="shared" si="0"/>
        <v>0</v>
      </c>
      <c r="I22" s="86">
        <v>10</v>
      </c>
    </row>
    <row r="23" spans="1:17" x14ac:dyDescent="0.4">
      <c r="A23" s="47" t="s">
        <v>189</v>
      </c>
      <c r="B23" s="40">
        <v>5</v>
      </c>
      <c r="C23" s="33">
        <f>IF(B$19=0,0,B23/B$19)</f>
        <v>0.29411764705882354</v>
      </c>
      <c r="E23" s="55" t="s">
        <v>80</v>
      </c>
      <c r="F23" s="52" t="s">
        <v>35</v>
      </c>
      <c r="G23" s="40">
        <v>0</v>
      </c>
      <c r="H23" s="124">
        <f t="shared" si="0"/>
        <v>0</v>
      </c>
      <c r="I23" s="86">
        <v>3</v>
      </c>
    </row>
    <row r="24" spans="1:17" x14ac:dyDescent="0.4">
      <c r="A24" s="47" t="s">
        <v>187</v>
      </c>
      <c r="B24" s="40">
        <v>8</v>
      </c>
      <c r="C24" s="33">
        <f>IF(B$19=0,0,B24/B$19)</f>
        <v>0.47058823529411764</v>
      </c>
      <c r="E24" s="55" t="s">
        <v>82</v>
      </c>
      <c r="F24" s="52" t="s">
        <v>37</v>
      </c>
      <c r="G24" s="40">
        <v>0</v>
      </c>
      <c r="H24" s="124">
        <f t="shared" si="0"/>
        <v>0</v>
      </c>
      <c r="I24" s="86">
        <v>1</v>
      </c>
    </row>
    <row r="25" spans="1:17" x14ac:dyDescent="0.4">
      <c r="A25" s="47" t="s">
        <v>188</v>
      </c>
      <c r="B25" s="40">
        <v>4</v>
      </c>
      <c r="C25" s="33">
        <f>IF(B$19=0,0,B25/B$19)</f>
        <v>0.23529411764705882</v>
      </c>
      <c r="E25" s="55" t="s">
        <v>84</v>
      </c>
      <c r="F25" s="52" t="s">
        <v>39</v>
      </c>
      <c r="G25" s="40">
        <v>0</v>
      </c>
      <c r="H25" s="124">
        <f t="shared" si="0"/>
        <v>0</v>
      </c>
      <c r="I25" s="86">
        <v>5</v>
      </c>
    </row>
    <row r="26" spans="1:17" x14ac:dyDescent="0.4">
      <c r="A26" s="47" t="s">
        <v>5</v>
      </c>
      <c r="B26" s="44">
        <f>IF(B$19=0,0,C26/B$19)</f>
        <v>8670.5882352941171</v>
      </c>
      <c r="C26" s="35">
        <v>147400</v>
      </c>
      <c r="E26" s="55" t="s">
        <v>85</v>
      </c>
      <c r="F26" s="52" t="s">
        <v>40</v>
      </c>
      <c r="G26" s="40">
        <v>0</v>
      </c>
      <c r="H26" s="124">
        <f t="shared" si="0"/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9155.5555555555547</v>
      </c>
      <c r="C27" s="128">
        <v>82400</v>
      </c>
      <c r="E27" s="55" t="s">
        <v>87</v>
      </c>
      <c r="F27" s="52" t="s">
        <v>42</v>
      </c>
      <c r="G27" s="40">
        <v>0</v>
      </c>
      <c r="H27" s="124">
        <f t="shared" si="0"/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8125</v>
      </c>
      <c r="C28" s="128">
        <v>65000</v>
      </c>
      <c r="E28" s="55" t="s">
        <v>88</v>
      </c>
      <c r="F28" s="52" t="s">
        <v>43</v>
      </c>
      <c r="G28" s="40">
        <v>0</v>
      </c>
      <c r="H28" s="124">
        <f t="shared" si="0"/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-9190.9090909090901</v>
      </c>
      <c r="C29" s="128">
        <v>-202200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>
        <v>4</v>
      </c>
    </row>
    <row r="30" spans="1:17" x14ac:dyDescent="0.4">
      <c r="A30" s="47" t="s">
        <v>162</v>
      </c>
      <c r="B30" s="40">
        <v>2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>
        <v>10</v>
      </c>
    </row>
    <row r="31" spans="1:17" x14ac:dyDescent="0.4">
      <c r="A31" s="47" t="s">
        <v>163</v>
      </c>
      <c r="B31" s="40">
        <v>13</v>
      </c>
      <c r="C31" s="126">
        <v>1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>
        <v>7</v>
      </c>
    </row>
    <row r="32" spans="1:17" x14ac:dyDescent="0.4">
      <c r="A32" s="82" t="s">
        <v>138</v>
      </c>
      <c r="B32" s="158">
        <v>5</v>
      </c>
      <c r="C32" s="15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>
        <v>6</v>
      </c>
    </row>
    <row r="33" spans="1:9" x14ac:dyDescent="0.4">
      <c r="A33" s="50" t="s">
        <v>186</v>
      </c>
      <c r="B33" s="156">
        <v>59500</v>
      </c>
      <c r="C33" s="15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4"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4"/>
        <v>0</v>
      </c>
      <c r="I35" s="86">
        <v>1</v>
      </c>
    </row>
    <row r="36" spans="1:9" x14ac:dyDescent="0.4">
      <c r="A36" s="82" t="s">
        <v>177</v>
      </c>
      <c r="B36" s="136">
        <v>1</v>
      </c>
      <c r="C36" s="132">
        <f>IF(B$19=0,0,B36/B$19)</f>
        <v>5.8823529411764705E-2</v>
      </c>
      <c r="E36" s="55" t="s">
        <v>97</v>
      </c>
      <c r="F36" s="52" t="s">
        <v>52</v>
      </c>
      <c r="G36" s="40">
        <v>0</v>
      </c>
      <c r="H36" s="124">
        <f t="shared" si="4"/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5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4"/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0.29411764705882354</v>
      </c>
      <c r="E38" s="55" t="s">
        <v>99</v>
      </c>
      <c r="F38" s="52" t="s">
        <v>54</v>
      </c>
      <c r="G38" s="40">
        <v>0</v>
      </c>
      <c r="H38" s="124">
        <f t="shared" si="4"/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5"/>
        <v>0.23529411764705882</v>
      </c>
      <c r="E39" s="55" t="s">
        <v>100</v>
      </c>
      <c r="F39" s="52" t="s">
        <v>55</v>
      </c>
      <c r="G39" s="40">
        <v>0</v>
      </c>
      <c r="H39" s="124">
        <f t="shared" si="4"/>
        <v>0</v>
      </c>
      <c r="I39" s="86">
        <v>1</v>
      </c>
    </row>
    <row r="40" spans="1:9" x14ac:dyDescent="0.4">
      <c r="A40" s="47" t="s">
        <v>176</v>
      </c>
      <c r="B40" s="139">
        <v>4</v>
      </c>
      <c r="C40" s="33">
        <f t="shared" si="5"/>
        <v>0.23529411764705882</v>
      </c>
      <c r="E40" s="55" t="s">
        <v>101</v>
      </c>
      <c r="F40" s="52" t="s">
        <v>56</v>
      </c>
      <c r="G40" s="40">
        <v>0</v>
      </c>
      <c r="H40" s="124">
        <f t="shared" si="4"/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5"/>
        <v>5.8823529411764705E-2</v>
      </c>
      <c r="E41" s="55" t="s">
        <v>102</v>
      </c>
      <c r="F41" s="52" t="s">
        <v>57</v>
      </c>
      <c r="G41" s="40">
        <v>0</v>
      </c>
      <c r="H41" s="124">
        <f t="shared" si="4"/>
        <v>0</v>
      </c>
      <c r="I41" s="86">
        <v>1</v>
      </c>
    </row>
    <row r="42" spans="1:9" x14ac:dyDescent="0.4">
      <c r="A42" s="47" t="s">
        <v>179</v>
      </c>
      <c r="B42" s="139">
        <v>1</v>
      </c>
      <c r="C42" s="33">
        <f t="shared" si="5"/>
        <v>5.8823529411764705E-2</v>
      </c>
      <c r="E42" s="55" t="s">
        <v>103</v>
      </c>
      <c r="F42" s="52" t="s">
        <v>58</v>
      </c>
      <c r="G42" s="40">
        <v>0</v>
      </c>
      <c r="H42" s="124">
        <f t="shared" si="4"/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5"/>
        <v>0</v>
      </c>
      <c r="E43" s="55" t="s">
        <v>104</v>
      </c>
      <c r="F43" s="52" t="s">
        <v>59</v>
      </c>
      <c r="G43" s="40">
        <v>0</v>
      </c>
      <c r="H43" s="124">
        <f t="shared" si="4"/>
        <v>0</v>
      </c>
      <c r="I43" s="86">
        <v>1</v>
      </c>
    </row>
    <row r="44" spans="1:9" x14ac:dyDescent="0.4">
      <c r="A44" s="47" t="s">
        <v>181</v>
      </c>
      <c r="B44" s="139">
        <v>1</v>
      </c>
      <c r="C44" s="33">
        <f t="shared" si="5"/>
        <v>5.8823529411764705E-2</v>
      </c>
      <c r="E44" s="55" t="s">
        <v>105</v>
      </c>
      <c r="F44" s="52" t="s">
        <v>112</v>
      </c>
      <c r="G44" s="40">
        <v>0</v>
      </c>
      <c r="H44" s="124">
        <f t="shared" si="4"/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5"/>
        <v>0</v>
      </c>
      <c r="E45" s="55" t="s">
        <v>106</v>
      </c>
      <c r="F45" s="52" t="s">
        <v>113</v>
      </c>
      <c r="G45" s="40">
        <v>0</v>
      </c>
      <c r="H45" s="124">
        <f t="shared" si="4"/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5"/>
        <v>0</v>
      </c>
      <c r="E46" s="55" t="s">
        <v>107</v>
      </c>
      <c r="F46" s="52" t="s">
        <v>114</v>
      </c>
      <c r="G46" s="40">
        <v>0</v>
      </c>
      <c r="H46" s="124">
        <f t="shared" si="4"/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5"/>
        <v>0</v>
      </c>
      <c r="E47" s="55" t="s">
        <v>108</v>
      </c>
      <c r="F47" s="52" t="s">
        <v>60</v>
      </c>
      <c r="G47" s="40">
        <v>0</v>
      </c>
      <c r="H47" s="124">
        <f t="shared" si="4"/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5"/>
        <v>0</v>
      </c>
      <c r="E48" s="55" t="s">
        <v>109</v>
      </c>
      <c r="F48" s="52" t="s">
        <v>61</v>
      </c>
      <c r="G48" s="40">
        <v>0</v>
      </c>
      <c r="H48" s="124">
        <f t="shared" si="4"/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4"/>
        <v>0</v>
      </c>
      <c r="I49" s="86">
        <v>1</v>
      </c>
    </row>
    <row r="50" spans="1:9" x14ac:dyDescent="0.4">
      <c r="A50" s="82" t="s">
        <v>197</v>
      </c>
      <c r="B50" s="146">
        <v>88</v>
      </c>
      <c r="C50" s="147"/>
      <c r="E50" s="56" t="s">
        <v>111</v>
      </c>
      <c r="F50" s="53" t="s">
        <v>63</v>
      </c>
      <c r="G50" s="42">
        <v>0</v>
      </c>
      <c r="H50" s="125">
        <f t="shared" si="4"/>
        <v>0</v>
      </c>
      <c r="I50" s="87">
        <v>1</v>
      </c>
    </row>
    <row r="51" spans="1:9" x14ac:dyDescent="0.4">
      <c r="A51" s="49" t="s">
        <v>198</v>
      </c>
      <c r="B51" s="154">
        <v>17</v>
      </c>
      <c r="C51" s="155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214D-C68A-4503-A3DB-F1FEBA62A436}">
  <sheetPr codeName="Sheet33"/>
  <dimension ref="A1:Q1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A831-D0A8-4DCE-BDBC-79FC9B913A0F}">
  <sheetPr codeName="Sheet30"/>
  <dimension ref="A1:Q3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E0B6-65A0-40E7-8693-964F44B3AD3B}">
  <sheetPr codeName="Sheet28"/>
  <dimension ref="A1:Q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2B2A-9C7A-4380-9E72-FB8A22BCA9D0}">
  <sheetPr codeName="Sheet26"/>
  <dimension ref="A1:Q13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578-B6E2-4508-8000-B48A5FEB6EA9}">
  <sheetPr codeName="Sheet24"/>
  <dimension ref="A1:Q3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BC3F-E0DA-4926-8DBC-F087D56D5831}">
  <sheetPr codeName="Sheet22"/>
  <dimension ref="A1:Q12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8F9E-15F4-4827-A24B-759FBD702E4F}">
  <sheetPr codeName="Sheet20"/>
  <dimension ref="A1:Q8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585-4151-4C3B-87A5-8E4DA495E982}">
  <sheetPr codeName="Sheet18"/>
  <dimension ref="A1:Q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5CCD-8034-4BCE-A68E-F3AD02EDECB8}">
  <sheetPr codeName="Sheet16"/>
  <dimension ref="A1:Q6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9CAD-E46F-4CB1-A702-C28482DF8CE9}">
  <sheetPr codeName="Sheet14"/>
  <dimension ref="A1:Q14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D306-2E03-4FB5-AD10-11D8C1688E77}">
  <sheetPr codeName="Sheet12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6438-4579-4C53-9F65-740CB3F5CB39}">
  <sheetPr codeName="Sheet10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347F4-0B55-44F7-BF65-EBE09ABB444D}">
  <sheetPr codeName="Sheet8"/>
  <dimension ref="A1:Q260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3977-4D50-46A1-A44F-D57CD1E49B49}">
  <sheetPr codeName="Sheet6"/>
  <dimension ref="A1:Q30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2020-03-01T10:36:26Z</dcterms:modified>
</cp:coreProperties>
</file>