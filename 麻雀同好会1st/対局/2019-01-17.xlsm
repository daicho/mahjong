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mahjong\三人麻雀\対局\"/>
    </mc:Choice>
  </mc:AlternateContent>
  <xr:revisionPtr revIDLastSave="0" documentId="10_ncr:100000_{9B41DCF9-5B63-421D-A75B-8465854B42D3}" xr6:coauthVersionLast="31" xr6:coauthVersionMax="31" xr10:uidLastSave="{00000000-0000-0000-0000-000000000000}"/>
  <bookViews>
    <workbookView xWindow="0" yWindow="0" windowWidth="28800" windowHeight="12720" xr2:uid="{4CDB34E1-560F-4998-ABAB-D6F7F2862621}"/>
  </bookViews>
  <sheets>
    <sheet name="Sheet1" sheetId="1" r:id="rId1"/>
    <sheet name="Sheet2" sheetId="16" r:id="rId2"/>
    <sheet name="Sheet3" sheetId="17" r:id="rId3"/>
    <sheet name="Sheet4" sheetId="18" r:id="rId4"/>
    <sheet name="Sheet5" sheetId="20" r:id="rId5"/>
    <sheet name="役一覧" sheetId="15" state="hidden" r:id="rId6"/>
    <sheet name="点数表(親ロン)" sheetId="4" state="hidden" r:id="rId7"/>
    <sheet name="点数表(親ツモ)" sheetId="9" state="hidden" r:id="rId8"/>
    <sheet name="点数表(子→親)" sheetId="7" state="hidden" r:id="rId9"/>
    <sheet name="点数表(子ロン)" sheetId="3" state="hidden" r:id="rId10"/>
    <sheet name="点数表(子ツモ)" sheetId="10" state="hidden" r:id="rId11"/>
    <sheet name="点数表(子→子)" sheetId="5" state="hidden" r:id="rId12"/>
    <sheet name="点数表(親→子)" sheetId="6" state="hidden" r:id="rId13"/>
  </sheets>
  <functionGroups builtInGroupCount="19"/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T30" i="20" l="1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V18" i="20" s="1"/>
  <c r="J18" i="20"/>
  <c r="U18" i="20" s="1"/>
  <c r="D18" i="20"/>
  <c r="C18" i="20"/>
  <c r="B18" i="20"/>
  <c r="A18" i="20"/>
  <c r="T17" i="20"/>
  <c r="W17" i="20" s="1"/>
  <c r="O17" i="20"/>
  <c r="V17" i="20" s="1"/>
  <c r="J17" i="20"/>
  <c r="U17" i="20" s="1"/>
  <c r="D17" i="20"/>
  <c r="C17" i="20"/>
  <c r="B17" i="20"/>
  <c r="A17" i="20"/>
  <c r="T16" i="20"/>
  <c r="W16" i="20" s="1"/>
  <c r="O16" i="20"/>
  <c r="V16" i="20" s="1"/>
  <c r="J16" i="20"/>
  <c r="U16" i="20" s="1"/>
  <c r="D16" i="20"/>
  <c r="C16" i="20"/>
  <c r="B16" i="20"/>
  <c r="A16" i="20"/>
  <c r="T15" i="20"/>
  <c r="W15" i="20" s="1"/>
  <c r="O15" i="20"/>
  <c r="V15" i="20" s="1"/>
  <c r="J15" i="20"/>
  <c r="U15" i="20" s="1"/>
  <c r="D15" i="20"/>
  <c r="C15" i="20"/>
  <c r="B15" i="20"/>
  <c r="A15" i="20"/>
  <c r="T14" i="20"/>
  <c r="W14" i="20" s="1"/>
  <c r="O14" i="20"/>
  <c r="V14" i="20" s="1"/>
  <c r="J14" i="20"/>
  <c r="U14" i="20" s="1"/>
  <c r="D14" i="20"/>
  <c r="C14" i="20"/>
  <c r="B14" i="20"/>
  <c r="A14" i="20"/>
  <c r="D13" i="20"/>
  <c r="C13" i="20"/>
  <c r="D12" i="20"/>
  <c r="C12" i="20"/>
  <c r="D11" i="20"/>
  <c r="D10" i="20"/>
  <c r="C10" i="20"/>
  <c r="D9" i="20"/>
  <c r="C9" i="20"/>
  <c r="D8" i="20"/>
  <c r="D7" i="20"/>
  <c r="D6" i="20"/>
  <c r="C6" i="20"/>
  <c r="C7" i="20" s="1"/>
  <c r="C8" i="20" s="1"/>
  <c r="O5" i="20"/>
  <c r="O6" i="20" s="1"/>
  <c r="J5" i="20"/>
  <c r="U5" i="20" s="1"/>
  <c r="D5" i="20"/>
  <c r="C5" i="20"/>
  <c r="B5" i="20"/>
  <c r="B6" i="20" s="1"/>
  <c r="T4" i="20"/>
  <c r="W4" i="20" s="1"/>
  <c r="O4" i="20"/>
  <c r="V4" i="20" s="1"/>
  <c r="J4" i="20"/>
  <c r="U4" i="20" s="1"/>
  <c r="W3" i="20"/>
  <c r="V3" i="20"/>
  <c r="U3" i="20"/>
  <c r="W2" i="20"/>
  <c r="V2" i="20"/>
  <c r="U2" i="20"/>
  <c r="BO1" i="20"/>
  <c r="AT1" i="20"/>
  <c r="Y1" i="20"/>
  <c r="C11" i="20" l="1"/>
  <c r="A5" i="20"/>
  <c r="V5" i="20"/>
  <c r="B7" i="20"/>
  <c r="V6" i="20"/>
  <c r="O7" i="20"/>
  <c r="T5" i="20"/>
  <c r="A6" i="20"/>
  <c r="J6" i="20"/>
  <c r="A7" i="20" l="1"/>
  <c r="O8" i="20"/>
  <c r="V7" i="20"/>
  <c r="U6" i="20"/>
  <c r="J7" i="20"/>
  <c r="T6" i="20"/>
  <c r="W5" i="20"/>
  <c r="B8" i="20"/>
  <c r="A8" i="20" s="1"/>
  <c r="U7" i="20" l="1"/>
  <c r="J8" i="20"/>
  <c r="B9" i="20"/>
  <c r="A9" i="20" s="1"/>
  <c r="W6" i="20"/>
  <c r="T7" i="20"/>
  <c r="V8" i="20"/>
  <c r="O9" i="20"/>
  <c r="O10" i="20" l="1"/>
  <c r="V9" i="20"/>
  <c r="B10" i="20"/>
  <c r="A10" i="20" s="1"/>
  <c r="W7" i="20"/>
  <c r="T8" i="20"/>
  <c r="U8" i="20"/>
  <c r="J9" i="20"/>
  <c r="U9" i="20" l="1"/>
  <c r="J10" i="20"/>
  <c r="B11" i="20"/>
  <c r="A11" i="20"/>
  <c r="W8" i="20"/>
  <c r="T9" i="20"/>
  <c r="V10" i="20"/>
  <c r="O11" i="20"/>
  <c r="O12" i="20" l="1"/>
  <c r="V11" i="20"/>
  <c r="B12" i="20"/>
  <c r="A12" i="20" s="1"/>
  <c r="T10" i="20"/>
  <c r="W9" i="20"/>
  <c r="U10" i="20"/>
  <c r="J11" i="20"/>
  <c r="B13" i="20" l="1"/>
  <c r="A13" i="20" s="1"/>
  <c r="U11" i="20"/>
  <c r="J12" i="20"/>
  <c r="W10" i="20"/>
  <c r="T11" i="20"/>
  <c r="V12" i="20"/>
  <c r="O13" i="20"/>
  <c r="V13" i="20" s="1"/>
  <c r="U12" i="20" l="1"/>
  <c r="J13" i="20"/>
  <c r="U13" i="20" s="1"/>
  <c r="W11" i="20"/>
  <c r="T12" i="20"/>
  <c r="W12" i="20" l="1"/>
  <c r="T13" i="20"/>
  <c r="W13" i="20" s="1"/>
  <c r="T30" i="18" l="1"/>
  <c r="W30" i="18" s="1"/>
  <c r="O30" i="18"/>
  <c r="V30" i="18" s="1"/>
  <c r="J30" i="18"/>
  <c r="U30" i="18" s="1"/>
  <c r="D30" i="18"/>
  <c r="C30" i="18"/>
  <c r="B30" i="18"/>
  <c r="A30" i="18"/>
  <c r="T29" i="18"/>
  <c r="W29" i="18" s="1"/>
  <c r="O29" i="18"/>
  <c r="V29" i="18" s="1"/>
  <c r="J29" i="18"/>
  <c r="U29" i="18" s="1"/>
  <c r="D29" i="18"/>
  <c r="C29" i="18"/>
  <c r="B29" i="18"/>
  <c r="A29" i="18"/>
  <c r="T28" i="18"/>
  <c r="W28" i="18" s="1"/>
  <c r="O28" i="18"/>
  <c r="V28" i="18" s="1"/>
  <c r="J28" i="18"/>
  <c r="U28" i="18" s="1"/>
  <c r="D28" i="18"/>
  <c r="C28" i="18"/>
  <c r="B28" i="18"/>
  <c r="A28" i="18"/>
  <c r="T27" i="18"/>
  <c r="W27" i="18" s="1"/>
  <c r="O27" i="18"/>
  <c r="V27" i="18" s="1"/>
  <c r="J27" i="18"/>
  <c r="U27" i="18" s="1"/>
  <c r="D27" i="18"/>
  <c r="C27" i="18"/>
  <c r="B27" i="18"/>
  <c r="A27" i="18"/>
  <c r="T26" i="18"/>
  <c r="W26" i="18" s="1"/>
  <c r="O26" i="18"/>
  <c r="V26" i="18" s="1"/>
  <c r="J26" i="18"/>
  <c r="U26" i="18" s="1"/>
  <c r="D26" i="18"/>
  <c r="C26" i="18"/>
  <c r="B26" i="18"/>
  <c r="A26" i="18"/>
  <c r="T25" i="18"/>
  <c r="W25" i="18" s="1"/>
  <c r="O25" i="18"/>
  <c r="V25" i="18" s="1"/>
  <c r="J25" i="18"/>
  <c r="U25" i="18" s="1"/>
  <c r="D25" i="18"/>
  <c r="C25" i="18"/>
  <c r="B25" i="18"/>
  <c r="A25" i="18"/>
  <c r="T24" i="18"/>
  <c r="W24" i="18" s="1"/>
  <c r="O24" i="18"/>
  <c r="V24" i="18" s="1"/>
  <c r="J24" i="18"/>
  <c r="U24" i="18" s="1"/>
  <c r="D24" i="18"/>
  <c r="C24" i="18"/>
  <c r="B24" i="18"/>
  <c r="A24" i="18"/>
  <c r="T23" i="18"/>
  <c r="W23" i="18" s="1"/>
  <c r="O23" i="18"/>
  <c r="V23" i="18" s="1"/>
  <c r="J23" i="18"/>
  <c r="U23" i="18" s="1"/>
  <c r="D23" i="18"/>
  <c r="C23" i="18"/>
  <c r="B23" i="18"/>
  <c r="A23" i="18"/>
  <c r="T22" i="18"/>
  <c r="W22" i="18" s="1"/>
  <c r="O22" i="18"/>
  <c r="V22" i="18" s="1"/>
  <c r="J22" i="18"/>
  <c r="U22" i="18" s="1"/>
  <c r="D22" i="18"/>
  <c r="C22" i="18"/>
  <c r="B22" i="18"/>
  <c r="A22" i="18"/>
  <c r="T21" i="18"/>
  <c r="W21" i="18" s="1"/>
  <c r="O21" i="18"/>
  <c r="V21" i="18" s="1"/>
  <c r="J21" i="18"/>
  <c r="U21" i="18" s="1"/>
  <c r="D21" i="18"/>
  <c r="C21" i="18"/>
  <c r="B21" i="18"/>
  <c r="A21" i="18"/>
  <c r="T20" i="18"/>
  <c r="W20" i="18" s="1"/>
  <c r="O20" i="18"/>
  <c r="V20" i="18" s="1"/>
  <c r="J20" i="18"/>
  <c r="U20" i="18" s="1"/>
  <c r="D20" i="18"/>
  <c r="C20" i="18"/>
  <c r="B20" i="18"/>
  <c r="A20" i="18"/>
  <c r="T19" i="18"/>
  <c r="W19" i="18" s="1"/>
  <c r="O19" i="18"/>
  <c r="V19" i="18" s="1"/>
  <c r="J19" i="18"/>
  <c r="U19" i="18" s="1"/>
  <c r="D19" i="18"/>
  <c r="C19" i="18"/>
  <c r="B19" i="18"/>
  <c r="A19" i="18"/>
  <c r="T18" i="18"/>
  <c r="W18" i="18" s="1"/>
  <c r="O18" i="18"/>
  <c r="V18" i="18" s="1"/>
  <c r="J18" i="18"/>
  <c r="U18" i="18" s="1"/>
  <c r="D18" i="18"/>
  <c r="C18" i="18"/>
  <c r="B18" i="18"/>
  <c r="A18" i="18"/>
  <c r="T17" i="18"/>
  <c r="W17" i="18" s="1"/>
  <c r="O17" i="18"/>
  <c r="V17" i="18" s="1"/>
  <c r="J17" i="18"/>
  <c r="U17" i="18" s="1"/>
  <c r="D17" i="18"/>
  <c r="C17" i="18"/>
  <c r="B17" i="18"/>
  <c r="A17" i="18"/>
  <c r="T16" i="18"/>
  <c r="W16" i="18" s="1"/>
  <c r="O16" i="18"/>
  <c r="V16" i="18" s="1"/>
  <c r="J16" i="18"/>
  <c r="U16" i="18" s="1"/>
  <c r="D16" i="18"/>
  <c r="C16" i="18"/>
  <c r="B16" i="18"/>
  <c r="A16" i="18"/>
  <c r="T15" i="18"/>
  <c r="W15" i="18" s="1"/>
  <c r="O15" i="18"/>
  <c r="V15" i="18" s="1"/>
  <c r="J15" i="18"/>
  <c r="U15" i="18" s="1"/>
  <c r="D15" i="18"/>
  <c r="C15" i="18"/>
  <c r="B15" i="18"/>
  <c r="A15" i="18"/>
  <c r="T14" i="18"/>
  <c r="W14" i="18" s="1"/>
  <c r="O14" i="18"/>
  <c r="V14" i="18" s="1"/>
  <c r="J14" i="18"/>
  <c r="U14" i="18" s="1"/>
  <c r="D14" i="18"/>
  <c r="C14" i="18"/>
  <c r="B14" i="18"/>
  <c r="A14" i="18"/>
  <c r="T13" i="18"/>
  <c r="W13" i="18" s="1"/>
  <c r="O13" i="18"/>
  <c r="V13" i="18" s="1"/>
  <c r="J13" i="18"/>
  <c r="U13" i="18" s="1"/>
  <c r="D13" i="18"/>
  <c r="C13" i="18"/>
  <c r="B13" i="18"/>
  <c r="A13" i="18" s="1"/>
  <c r="T12" i="18"/>
  <c r="W12" i="18" s="1"/>
  <c r="O12" i="18"/>
  <c r="V12" i="18" s="1"/>
  <c r="J12" i="18"/>
  <c r="U12" i="18" s="1"/>
  <c r="D12" i="18"/>
  <c r="C12" i="18"/>
  <c r="B12" i="18"/>
  <c r="A12" i="18" s="1"/>
  <c r="D11" i="18"/>
  <c r="C11" i="18"/>
  <c r="D10" i="18"/>
  <c r="D9" i="18"/>
  <c r="D8" i="18"/>
  <c r="C8" i="18"/>
  <c r="C9" i="18" s="1"/>
  <c r="C10" i="18" s="1"/>
  <c r="D7" i="18"/>
  <c r="C7" i="18"/>
  <c r="D6" i="18"/>
  <c r="C6" i="18"/>
  <c r="O5" i="18"/>
  <c r="O6" i="18" s="1"/>
  <c r="J5" i="18"/>
  <c r="U5" i="18" s="1"/>
  <c r="D5" i="18"/>
  <c r="C5" i="18"/>
  <c r="B5" i="18"/>
  <c r="B6" i="18" s="1"/>
  <c r="T4" i="18"/>
  <c r="W4" i="18" s="1"/>
  <c r="O4" i="18"/>
  <c r="V4" i="18" s="1"/>
  <c r="J4" i="18"/>
  <c r="U4" i="18" s="1"/>
  <c r="W3" i="18"/>
  <c r="V3" i="18"/>
  <c r="U3" i="18"/>
  <c r="W2" i="18"/>
  <c r="V2" i="18"/>
  <c r="U2" i="18"/>
  <c r="BO1" i="18"/>
  <c r="AT1" i="18"/>
  <c r="Y1" i="18"/>
  <c r="A5" i="18" l="1"/>
  <c r="V5" i="18"/>
  <c r="B7" i="18"/>
  <c r="O7" i="18"/>
  <c r="V6" i="18"/>
  <c r="T5" i="18"/>
  <c r="A6" i="18"/>
  <c r="J6" i="18"/>
  <c r="A7" i="18" l="1"/>
  <c r="J7" i="18"/>
  <c r="U6" i="18"/>
  <c r="O8" i="18"/>
  <c r="V7" i="18"/>
  <c r="W5" i="18"/>
  <c r="T6" i="18"/>
  <c r="B8" i="18"/>
  <c r="B9" i="18" l="1"/>
  <c r="A9" i="18" s="1"/>
  <c r="V8" i="18"/>
  <c r="O9" i="18"/>
  <c r="A8" i="18"/>
  <c r="W6" i="18"/>
  <c r="T7" i="18"/>
  <c r="U7" i="18"/>
  <c r="J8" i="18"/>
  <c r="W7" i="18" l="1"/>
  <c r="T8" i="18"/>
  <c r="O10" i="18"/>
  <c r="V9" i="18"/>
  <c r="J9" i="18"/>
  <c r="U8" i="18"/>
  <c r="B10" i="18"/>
  <c r="A10" i="18" s="1"/>
  <c r="B11" i="18" l="1"/>
  <c r="A11" i="18"/>
  <c r="V10" i="18"/>
  <c r="O11" i="18"/>
  <c r="V11" i="18" s="1"/>
  <c r="W8" i="18"/>
  <c r="T9" i="18"/>
  <c r="U9" i="18"/>
  <c r="J10" i="18"/>
  <c r="U10" i="18" l="1"/>
  <c r="J11" i="18"/>
  <c r="U11" i="18" s="1"/>
  <c r="T10" i="18"/>
  <c r="W9" i="18"/>
  <c r="W10" i="18" l="1"/>
  <c r="T11" i="18"/>
  <c r="W11" i="18" s="1"/>
  <c r="T30" i="17" l="1"/>
  <c r="W30" i="17" s="1"/>
  <c r="O30" i="17"/>
  <c r="V30" i="17" s="1"/>
  <c r="J30" i="17"/>
  <c r="U30" i="17" s="1"/>
  <c r="D30" i="17"/>
  <c r="C30" i="17"/>
  <c r="B30" i="17"/>
  <c r="A30" i="17"/>
  <c r="T29" i="17"/>
  <c r="W29" i="17" s="1"/>
  <c r="O29" i="17"/>
  <c r="V29" i="17" s="1"/>
  <c r="J29" i="17"/>
  <c r="U29" i="17" s="1"/>
  <c r="D29" i="17"/>
  <c r="C29" i="17"/>
  <c r="B29" i="17"/>
  <c r="A29" i="17"/>
  <c r="T28" i="17"/>
  <c r="W28" i="17" s="1"/>
  <c r="O28" i="17"/>
  <c r="V28" i="17" s="1"/>
  <c r="J28" i="17"/>
  <c r="U28" i="17" s="1"/>
  <c r="D28" i="17"/>
  <c r="C28" i="17"/>
  <c r="B28" i="17"/>
  <c r="A28" i="17"/>
  <c r="T27" i="17"/>
  <c r="W27" i="17" s="1"/>
  <c r="O27" i="17"/>
  <c r="V27" i="17" s="1"/>
  <c r="J27" i="17"/>
  <c r="U27" i="17" s="1"/>
  <c r="D27" i="17"/>
  <c r="C27" i="17"/>
  <c r="B27" i="17"/>
  <c r="A27" i="17"/>
  <c r="T26" i="17"/>
  <c r="W26" i="17" s="1"/>
  <c r="O26" i="17"/>
  <c r="V26" i="17" s="1"/>
  <c r="J26" i="17"/>
  <c r="U26" i="17" s="1"/>
  <c r="D26" i="17"/>
  <c r="C26" i="17"/>
  <c r="B26" i="17"/>
  <c r="A26" i="17"/>
  <c r="T25" i="17"/>
  <c r="W25" i="17" s="1"/>
  <c r="O25" i="17"/>
  <c r="V25" i="17" s="1"/>
  <c r="J25" i="17"/>
  <c r="U25" i="17" s="1"/>
  <c r="D25" i="17"/>
  <c r="C25" i="17"/>
  <c r="B25" i="17"/>
  <c r="A25" i="17"/>
  <c r="T24" i="17"/>
  <c r="W24" i="17" s="1"/>
  <c r="O24" i="17"/>
  <c r="V24" i="17" s="1"/>
  <c r="J24" i="17"/>
  <c r="U24" i="17" s="1"/>
  <c r="D24" i="17"/>
  <c r="C24" i="17"/>
  <c r="B24" i="17"/>
  <c r="A24" i="17"/>
  <c r="T23" i="17"/>
  <c r="W23" i="17" s="1"/>
  <c r="O23" i="17"/>
  <c r="V23" i="17" s="1"/>
  <c r="J23" i="17"/>
  <c r="U23" i="17" s="1"/>
  <c r="D23" i="17"/>
  <c r="C23" i="17"/>
  <c r="B23" i="17"/>
  <c r="A23" i="17"/>
  <c r="T22" i="17"/>
  <c r="W22" i="17" s="1"/>
  <c r="O22" i="17"/>
  <c r="V22" i="17" s="1"/>
  <c r="J22" i="17"/>
  <c r="U22" i="17" s="1"/>
  <c r="D22" i="17"/>
  <c r="C22" i="17"/>
  <c r="B22" i="17"/>
  <c r="A22" i="17"/>
  <c r="T21" i="17"/>
  <c r="W21" i="17" s="1"/>
  <c r="O21" i="17"/>
  <c r="V21" i="17" s="1"/>
  <c r="J21" i="17"/>
  <c r="U21" i="17" s="1"/>
  <c r="D21" i="17"/>
  <c r="C21" i="17"/>
  <c r="B21" i="17"/>
  <c r="A21" i="17"/>
  <c r="T20" i="17"/>
  <c r="W20" i="17" s="1"/>
  <c r="O20" i="17"/>
  <c r="V20" i="17" s="1"/>
  <c r="J20" i="17"/>
  <c r="U20" i="17" s="1"/>
  <c r="D20" i="17"/>
  <c r="C20" i="17"/>
  <c r="B20" i="17"/>
  <c r="A20" i="17"/>
  <c r="T19" i="17"/>
  <c r="W19" i="17" s="1"/>
  <c r="O19" i="17"/>
  <c r="V19" i="17" s="1"/>
  <c r="J19" i="17"/>
  <c r="U19" i="17" s="1"/>
  <c r="D19" i="17"/>
  <c r="C19" i="17"/>
  <c r="B19" i="17"/>
  <c r="A19" i="17"/>
  <c r="T18" i="17"/>
  <c r="W18" i="17" s="1"/>
  <c r="O18" i="17"/>
  <c r="V18" i="17" s="1"/>
  <c r="J18" i="17"/>
  <c r="U18" i="17" s="1"/>
  <c r="D18" i="17"/>
  <c r="C18" i="17"/>
  <c r="B18" i="17"/>
  <c r="A18" i="17"/>
  <c r="T17" i="17"/>
  <c r="W17" i="17" s="1"/>
  <c r="O17" i="17"/>
  <c r="V17" i="17" s="1"/>
  <c r="J17" i="17"/>
  <c r="U17" i="17" s="1"/>
  <c r="D17" i="17"/>
  <c r="C17" i="17"/>
  <c r="B17" i="17"/>
  <c r="A17" i="17"/>
  <c r="T16" i="17"/>
  <c r="W16" i="17" s="1"/>
  <c r="O16" i="17"/>
  <c r="V16" i="17" s="1"/>
  <c r="J16" i="17"/>
  <c r="U16" i="17" s="1"/>
  <c r="D16" i="17"/>
  <c r="C16" i="17"/>
  <c r="B16" i="17"/>
  <c r="A16" i="17"/>
  <c r="T15" i="17"/>
  <c r="W15" i="17" s="1"/>
  <c r="O15" i="17"/>
  <c r="V15" i="17" s="1"/>
  <c r="J15" i="17"/>
  <c r="U15" i="17" s="1"/>
  <c r="D15" i="17"/>
  <c r="C15" i="17"/>
  <c r="B15" i="17"/>
  <c r="A15" i="17"/>
  <c r="T14" i="17"/>
  <c r="W14" i="17" s="1"/>
  <c r="O14" i="17"/>
  <c r="V14" i="17" s="1"/>
  <c r="J14" i="17"/>
  <c r="U14" i="17" s="1"/>
  <c r="D14" i="17"/>
  <c r="C14" i="17"/>
  <c r="B14" i="17"/>
  <c r="A14" i="17"/>
  <c r="T13" i="17"/>
  <c r="W13" i="17" s="1"/>
  <c r="O13" i="17"/>
  <c r="V13" i="17" s="1"/>
  <c r="J13" i="17"/>
  <c r="U13" i="17" s="1"/>
  <c r="D13" i="17"/>
  <c r="C13" i="17"/>
  <c r="B13" i="17"/>
  <c r="A13" i="17"/>
  <c r="T12" i="17"/>
  <c r="W12" i="17" s="1"/>
  <c r="O12" i="17"/>
  <c r="V12" i="17" s="1"/>
  <c r="J12" i="17"/>
  <c r="U12" i="17" s="1"/>
  <c r="D12" i="17"/>
  <c r="C12" i="17"/>
  <c r="B12" i="17"/>
  <c r="A12" i="17" s="1"/>
  <c r="T11" i="17"/>
  <c r="W11" i="17" s="1"/>
  <c r="O11" i="17"/>
  <c r="V11" i="17" s="1"/>
  <c r="J11" i="17"/>
  <c r="U11" i="17" s="1"/>
  <c r="D11" i="17"/>
  <c r="C11" i="17"/>
  <c r="B11" i="17"/>
  <c r="A11" i="17" s="1"/>
  <c r="D10" i="17"/>
  <c r="C10" i="17"/>
  <c r="C9" i="17"/>
  <c r="D8" i="17"/>
  <c r="D9" i="17" s="1"/>
  <c r="C8" i="17"/>
  <c r="D7" i="17"/>
  <c r="C7" i="17"/>
  <c r="B7" i="17"/>
  <c r="B8" i="17" s="1"/>
  <c r="T6" i="17"/>
  <c r="W6" i="17" s="1"/>
  <c r="D6" i="17"/>
  <c r="C6" i="17"/>
  <c r="B6" i="17"/>
  <c r="T5" i="17"/>
  <c r="W5" i="17" s="1"/>
  <c r="O5" i="17"/>
  <c r="O6" i="17" s="1"/>
  <c r="J5" i="17"/>
  <c r="U5" i="17" s="1"/>
  <c r="D5" i="17"/>
  <c r="C5" i="17"/>
  <c r="B5" i="17"/>
  <c r="A5" i="17"/>
  <c r="T4" i="17"/>
  <c r="W4" i="17" s="1"/>
  <c r="O4" i="17"/>
  <c r="V4" i="17" s="1"/>
  <c r="J4" i="17"/>
  <c r="U4" i="17" s="1"/>
  <c r="W3" i="17"/>
  <c r="V3" i="17"/>
  <c r="U3" i="17"/>
  <c r="W2" i="17"/>
  <c r="V2" i="17"/>
  <c r="U2" i="17"/>
  <c r="BO1" i="17"/>
  <c r="AT1" i="17"/>
  <c r="Y1" i="17"/>
  <c r="A6" i="17" l="1"/>
  <c r="V5" i="17"/>
  <c r="V6" i="17"/>
  <c r="O7" i="17"/>
  <c r="B9" i="17"/>
  <c r="J6" i="17"/>
  <c r="T7" i="17"/>
  <c r="A8" i="17"/>
  <c r="T30" i="16"/>
  <c r="W30" i="16" s="1"/>
  <c r="O30" i="16"/>
  <c r="V30" i="16" s="1"/>
  <c r="J30" i="16"/>
  <c r="U30" i="16" s="1"/>
  <c r="D30" i="16"/>
  <c r="C30" i="16"/>
  <c r="B30" i="16"/>
  <c r="A30" i="16"/>
  <c r="T29" i="16"/>
  <c r="W29" i="16" s="1"/>
  <c r="O29" i="16"/>
  <c r="V29" i="16" s="1"/>
  <c r="J29" i="16"/>
  <c r="U29" i="16" s="1"/>
  <c r="D29" i="16"/>
  <c r="C29" i="16"/>
  <c r="B29" i="16"/>
  <c r="A29" i="16"/>
  <c r="T28" i="16"/>
  <c r="W28" i="16" s="1"/>
  <c r="O28" i="16"/>
  <c r="V28" i="16" s="1"/>
  <c r="J28" i="16"/>
  <c r="U28" i="16" s="1"/>
  <c r="D28" i="16"/>
  <c r="C28" i="16"/>
  <c r="B28" i="16"/>
  <c r="A28" i="16"/>
  <c r="T27" i="16"/>
  <c r="W27" i="16" s="1"/>
  <c r="O27" i="16"/>
  <c r="V27" i="16" s="1"/>
  <c r="J27" i="16"/>
  <c r="U27" i="16" s="1"/>
  <c r="D27" i="16"/>
  <c r="C27" i="16"/>
  <c r="B27" i="16"/>
  <c r="A27" i="16"/>
  <c r="T26" i="16"/>
  <c r="W26" i="16" s="1"/>
  <c r="O26" i="16"/>
  <c r="V26" i="16" s="1"/>
  <c r="J26" i="16"/>
  <c r="U26" i="16" s="1"/>
  <c r="D26" i="16"/>
  <c r="C26" i="16"/>
  <c r="B26" i="16"/>
  <c r="A26" i="16"/>
  <c r="T25" i="16"/>
  <c r="W25" i="16" s="1"/>
  <c r="O25" i="16"/>
  <c r="V25" i="16" s="1"/>
  <c r="J25" i="16"/>
  <c r="U25" i="16" s="1"/>
  <c r="D25" i="16"/>
  <c r="C25" i="16"/>
  <c r="B25" i="16"/>
  <c r="A25" i="16"/>
  <c r="T24" i="16"/>
  <c r="W24" i="16" s="1"/>
  <c r="O24" i="16"/>
  <c r="V24" i="16" s="1"/>
  <c r="J24" i="16"/>
  <c r="U24" i="16" s="1"/>
  <c r="D24" i="16"/>
  <c r="C24" i="16"/>
  <c r="B24" i="16"/>
  <c r="A24" i="16"/>
  <c r="T23" i="16"/>
  <c r="W23" i="16" s="1"/>
  <c r="O23" i="16"/>
  <c r="V23" i="16" s="1"/>
  <c r="J23" i="16"/>
  <c r="U23" i="16" s="1"/>
  <c r="D23" i="16"/>
  <c r="C23" i="16"/>
  <c r="B23" i="16"/>
  <c r="A23" i="16"/>
  <c r="T22" i="16"/>
  <c r="W22" i="16" s="1"/>
  <c r="O22" i="16"/>
  <c r="V22" i="16" s="1"/>
  <c r="J22" i="16"/>
  <c r="U22" i="16" s="1"/>
  <c r="D22" i="16"/>
  <c r="C22" i="16"/>
  <c r="B22" i="16"/>
  <c r="A22" i="16"/>
  <c r="T21" i="16"/>
  <c r="W21" i="16" s="1"/>
  <c r="O21" i="16"/>
  <c r="V21" i="16" s="1"/>
  <c r="J21" i="16"/>
  <c r="U21" i="16" s="1"/>
  <c r="D21" i="16"/>
  <c r="C21" i="16"/>
  <c r="B21" i="16"/>
  <c r="A21" i="16"/>
  <c r="T20" i="16"/>
  <c r="W20" i="16" s="1"/>
  <c r="O20" i="16"/>
  <c r="V20" i="16" s="1"/>
  <c r="J20" i="16"/>
  <c r="U20" i="16" s="1"/>
  <c r="D20" i="16"/>
  <c r="C20" i="16"/>
  <c r="B20" i="16"/>
  <c r="A20" i="16"/>
  <c r="T19" i="16"/>
  <c r="W19" i="16" s="1"/>
  <c r="O19" i="16"/>
  <c r="V19" i="16" s="1"/>
  <c r="J19" i="16"/>
  <c r="U19" i="16" s="1"/>
  <c r="D19" i="16"/>
  <c r="C19" i="16"/>
  <c r="B19" i="16"/>
  <c r="A19" i="16"/>
  <c r="T18" i="16"/>
  <c r="W18" i="16" s="1"/>
  <c r="O18" i="16"/>
  <c r="V18" i="16" s="1"/>
  <c r="J18" i="16"/>
  <c r="U18" i="16" s="1"/>
  <c r="D18" i="16"/>
  <c r="C18" i="16"/>
  <c r="B18" i="16"/>
  <c r="A18" i="16"/>
  <c r="T17" i="16"/>
  <c r="W17" i="16" s="1"/>
  <c r="O17" i="16"/>
  <c r="V17" i="16" s="1"/>
  <c r="J17" i="16"/>
  <c r="U17" i="16" s="1"/>
  <c r="D17" i="16"/>
  <c r="C17" i="16"/>
  <c r="B17" i="16"/>
  <c r="A17" i="16"/>
  <c r="T16" i="16"/>
  <c r="W16" i="16" s="1"/>
  <c r="O16" i="16"/>
  <c r="V16" i="16" s="1"/>
  <c r="J16" i="16"/>
  <c r="U16" i="16" s="1"/>
  <c r="D16" i="16"/>
  <c r="C16" i="16"/>
  <c r="B16" i="16"/>
  <c r="A16" i="16"/>
  <c r="T15" i="16"/>
  <c r="W15" i="16" s="1"/>
  <c r="O15" i="16"/>
  <c r="V15" i="16" s="1"/>
  <c r="J15" i="16"/>
  <c r="U15" i="16" s="1"/>
  <c r="D15" i="16"/>
  <c r="C15" i="16"/>
  <c r="B15" i="16"/>
  <c r="A15" i="16"/>
  <c r="D14" i="16"/>
  <c r="D12" i="16"/>
  <c r="D13" i="16" s="1"/>
  <c r="C12" i="16"/>
  <c r="C13" i="16" s="1"/>
  <c r="C14" i="16" s="1"/>
  <c r="D11" i="16"/>
  <c r="C11" i="16"/>
  <c r="D10" i="16"/>
  <c r="C10" i="16"/>
  <c r="D9" i="16"/>
  <c r="C9" i="16"/>
  <c r="D8" i="16"/>
  <c r="C8" i="16"/>
  <c r="D6" i="16"/>
  <c r="D7" i="16" s="1"/>
  <c r="C6" i="16"/>
  <c r="C7" i="16" s="1"/>
  <c r="O5" i="16"/>
  <c r="O6" i="16" s="1"/>
  <c r="J5" i="16"/>
  <c r="U5" i="16" s="1"/>
  <c r="D5" i="16"/>
  <c r="C5" i="16"/>
  <c r="B5" i="16"/>
  <c r="B6" i="16" s="1"/>
  <c r="A5" i="16"/>
  <c r="T4" i="16"/>
  <c r="W4" i="16" s="1"/>
  <c r="O4" i="16"/>
  <c r="V4" i="16" s="1"/>
  <c r="J4" i="16"/>
  <c r="U4" i="16" s="1"/>
  <c r="W3" i="16"/>
  <c r="V3" i="16"/>
  <c r="U3" i="16"/>
  <c r="W2" i="16"/>
  <c r="V2" i="16"/>
  <c r="U2" i="16"/>
  <c r="BO1" i="16"/>
  <c r="AT1" i="16"/>
  <c r="Y1" i="16"/>
  <c r="A9" i="17" l="1"/>
  <c r="A7" i="17"/>
  <c r="B10" i="17"/>
  <c r="A10" i="17"/>
  <c r="W7" i="17"/>
  <c r="T8" i="17"/>
  <c r="O8" i="17"/>
  <c r="V7" i="17"/>
  <c r="U6" i="17"/>
  <c r="J7" i="17"/>
  <c r="V5" i="16"/>
  <c r="B7" i="16"/>
  <c r="O7" i="16"/>
  <c r="V6" i="16"/>
  <c r="T5" i="16"/>
  <c r="A6" i="16"/>
  <c r="J6" i="16"/>
  <c r="W3" i="1"/>
  <c r="V3" i="1"/>
  <c r="U3" i="1"/>
  <c r="V8" i="17" l="1"/>
  <c r="O9" i="17"/>
  <c r="U7" i="17"/>
  <c r="J8" i="17"/>
  <c r="W8" i="17"/>
  <c r="T9" i="17"/>
  <c r="A7" i="16"/>
  <c r="U6" i="16"/>
  <c r="J7" i="16"/>
  <c r="O8" i="16"/>
  <c r="V7" i="16"/>
  <c r="W5" i="16"/>
  <c r="T6" i="16"/>
  <c r="B8" i="16"/>
  <c r="B5" i="1"/>
  <c r="A5" i="1" s="1"/>
  <c r="D6" i="1"/>
  <c r="C6" i="1"/>
  <c r="B6" i="1"/>
  <c r="A6" i="1" s="1"/>
  <c r="D5" i="1"/>
  <c r="C5" i="1"/>
  <c r="W9" i="17" l="1"/>
  <c r="T10" i="17"/>
  <c r="O10" i="17"/>
  <c r="V9" i="17"/>
  <c r="U8" i="17"/>
  <c r="J9" i="17"/>
  <c r="B9" i="16"/>
  <c r="V8" i="16"/>
  <c r="O9" i="16"/>
  <c r="U7" i="16"/>
  <c r="J8" i="16"/>
  <c r="A8" i="16"/>
  <c r="W6" i="16"/>
  <c r="T7" i="16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V10" i="17" l="1"/>
  <c r="W10" i="17"/>
  <c r="U9" i="17"/>
  <c r="J10" i="17"/>
  <c r="A9" i="16"/>
  <c r="O10" i="16"/>
  <c r="V9" i="16"/>
  <c r="J9" i="16"/>
  <c r="U8" i="16"/>
  <c r="W7" i="16"/>
  <c r="T8" i="16"/>
  <c r="B10" i="16"/>
  <c r="A10" i="16" s="1"/>
  <c r="Y1" i="1"/>
  <c r="U10" i="17" l="1"/>
  <c r="W8" i="16"/>
  <c r="T9" i="16"/>
  <c r="B11" i="16"/>
  <c r="A11" i="16" s="1"/>
  <c r="U9" i="16"/>
  <c r="J10" i="16"/>
  <c r="V10" i="16"/>
  <c r="O11" i="16"/>
  <c r="BO1" i="1"/>
  <c r="AT1" i="1"/>
  <c r="O12" i="16" l="1"/>
  <c r="V11" i="16"/>
  <c r="U10" i="16"/>
  <c r="J11" i="16"/>
  <c r="B12" i="16"/>
  <c r="A12" i="16"/>
  <c r="T10" i="16"/>
  <c r="W9" i="16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U11" i="16" l="1"/>
  <c r="J12" i="16"/>
  <c r="W10" i="16"/>
  <c r="T11" i="16"/>
  <c r="B13" i="16"/>
  <c r="V12" i="16"/>
  <c r="O13" i="16"/>
  <c r="D30" i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8" i="1"/>
  <c r="D9" i="1" s="1"/>
  <c r="D10" i="1" s="1"/>
  <c r="D11" i="1" s="1"/>
  <c r="D12" i="1" s="1"/>
  <c r="D13" i="1" s="1"/>
  <c r="D14" i="1" s="1"/>
  <c r="D15" i="1" s="1"/>
  <c r="D16" i="1" s="1"/>
  <c r="D7" i="1"/>
  <c r="T12" i="16" l="1"/>
  <c r="W11" i="16"/>
  <c r="B14" i="16"/>
  <c r="A14" i="16"/>
  <c r="O14" i="16"/>
  <c r="V14" i="16" s="1"/>
  <c r="V13" i="16"/>
  <c r="A13" i="16"/>
  <c r="U12" i="16"/>
  <c r="J13" i="16"/>
  <c r="W2" i="1"/>
  <c r="V2" i="1"/>
  <c r="U2" i="1"/>
  <c r="U13" i="16" l="1"/>
  <c r="J14" i="16"/>
  <c r="U14" i="16" s="1"/>
  <c r="W12" i="16"/>
  <c r="T13" i="16"/>
  <c r="J4" i="1"/>
  <c r="U4" i="1" s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A17" i="1" s="1"/>
  <c r="B16" i="1"/>
  <c r="A16" i="1" s="1"/>
  <c r="B15" i="1"/>
  <c r="A15" i="1" s="1"/>
  <c r="B7" i="1"/>
  <c r="T14" i="16" l="1"/>
  <c r="W14" i="16" s="1"/>
  <c r="W13" i="16"/>
  <c r="B8" i="1"/>
  <c r="A8" i="1" s="1"/>
  <c r="A7" i="1"/>
  <c r="J5" i="1"/>
  <c r="U5" i="1" s="1"/>
  <c r="B9" i="1"/>
  <c r="A9" i="1" s="1"/>
  <c r="O4" i="1"/>
  <c r="V4" i="1" s="1"/>
  <c r="T30" i="1"/>
  <c r="W30" i="1" s="1"/>
  <c r="T29" i="1"/>
  <c r="W29" i="1" s="1"/>
  <c r="T28" i="1"/>
  <c r="W28" i="1" s="1"/>
  <c r="T27" i="1"/>
  <c r="W27" i="1" s="1"/>
  <c r="T26" i="1"/>
  <c r="W26" i="1" s="1"/>
  <c r="T25" i="1"/>
  <c r="W25" i="1" s="1"/>
  <c r="T24" i="1"/>
  <c r="W24" i="1" s="1"/>
  <c r="T23" i="1"/>
  <c r="W23" i="1" s="1"/>
  <c r="T22" i="1"/>
  <c r="W22" i="1" s="1"/>
  <c r="T21" i="1"/>
  <c r="W21" i="1" s="1"/>
  <c r="T20" i="1"/>
  <c r="W20" i="1" s="1"/>
  <c r="T19" i="1"/>
  <c r="W19" i="1" s="1"/>
  <c r="T18" i="1"/>
  <c r="W18" i="1" s="1"/>
  <c r="T17" i="1"/>
  <c r="W17" i="1" s="1"/>
  <c r="T16" i="1"/>
  <c r="W16" i="1" s="1"/>
  <c r="T4" i="1"/>
  <c r="W4" i="1" s="1"/>
  <c r="O30" i="1"/>
  <c r="V30" i="1" s="1"/>
  <c r="O29" i="1"/>
  <c r="V29" i="1" s="1"/>
  <c r="O28" i="1"/>
  <c r="V28" i="1" s="1"/>
  <c r="O27" i="1"/>
  <c r="V27" i="1" s="1"/>
  <c r="O26" i="1"/>
  <c r="V26" i="1" s="1"/>
  <c r="O25" i="1"/>
  <c r="V25" i="1" s="1"/>
  <c r="O24" i="1"/>
  <c r="V24" i="1" s="1"/>
  <c r="O23" i="1"/>
  <c r="V23" i="1" s="1"/>
  <c r="O22" i="1"/>
  <c r="V22" i="1" s="1"/>
  <c r="O21" i="1"/>
  <c r="V21" i="1" s="1"/>
  <c r="O20" i="1"/>
  <c r="V20" i="1" s="1"/>
  <c r="O19" i="1"/>
  <c r="V19" i="1" s="1"/>
  <c r="O18" i="1"/>
  <c r="V18" i="1" s="1"/>
  <c r="O17" i="1"/>
  <c r="V17" i="1" s="1"/>
  <c r="O16" i="1"/>
  <c r="V16" i="1" s="1"/>
  <c r="O5" i="1"/>
  <c r="V5" i="1" s="1"/>
  <c r="J30" i="1"/>
  <c r="U30" i="1" s="1"/>
  <c r="J29" i="1"/>
  <c r="U29" i="1" s="1"/>
  <c r="J28" i="1"/>
  <c r="U28" i="1" s="1"/>
  <c r="J27" i="1"/>
  <c r="U27" i="1" s="1"/>
  <c r="J26" i="1"/>
  <c r="U26" i="1" s="1"/>
  <c r="J25" i="1"/>
  <c r="U25" i="1" s="1"/>
  <c r="J24" i="1"/>
  <c r="U24" i="1" s="1"/>
  <c r="J23" i="1"/>
  <c r="U23" i="1" s="1"/>
  <c r="J22" i="1"/>
  <c r="U22" i="1" s="1"/>
  <c r="J21" i="1"/>
  <c r="U21" i="1" s="1"/>
  <c r="J20" i="1"/>
  <c r="U20" i="1" s="1"/>
  <c r="J19" i="1"/>
  <c r="U19" i="1" s="1"/>
  <c r="J18" i="1"/>
  <c r="U18" i="1" s="1"/>
  <c r="J17" i="1"/>
  <c r="U17" i="1" s="1"/>
  <c r="J16" i="1"/>
  <c r="U16" i="1" s="1"/>
  <c r="J6" i="1" l="1"/>
  <c r="T5" i="1"/>
  <c r="W5" i="1" s="1"/>
  <c r="O6" i="1"/>
  <c r="B10" i="1"/>
  <c r="O7" i="1" l="1"/>
  <c r="V7" i="1" s="1"/>
  <c r="V6" i="1"/>
  <c r="J7" i="1"/>
  <c r="U7" i="1" s="1"/>
  <c r="U6" i="1"/>
  <c r="J8" i="1"/>
  <c r="U8" i="1" s="1"/>
  <c r="B11" i="1"/>
  <c r="A11" i="1" s="1"/>
  <c r="A10" i="1"/>
  <c r="O8" i="1"/>
  <c r="V8" i="1" s="1"/>
  <c r="T6" i="1"/>
  <c r="B12" i="1"/>
  <c r="A12" i="1" s="1"/>
  <c r="T7" i="1" l="1"/>
  <c r="W7" i="1" s="1"/>
  <c r="W6" i="1"/>
  <c r="J9" i="1"/>
  <c r="U9" i="1" s="1"/>
  <c r="T8" i="1"/>
  <c r="W8" i="1" s="1"/>
  <c r="O9" i="1"/>
  <c r="V9" i="1" s="1"/>
  <c r="B13" i="1"/>
  <c r="A13" i="1" s="1"/>
  <c r="J10" i="1" l="1"/>
  <c r="U10" i="1" s="1"/>
  <c r="J11" i="1"/>
  <c r="U11" i="1" s="1"/>
  <c r="O10" i="1"/>
  <c r="V10" i="1" s="1"/>
  <c r="T9" i="1"/>
  <c r="W9" i="1" s="1"/>
  <c r="B14" i="1"/>
  <c r="A14" i="1" s="1"/>
  <c r="O11" i="1" l="1"/>
  <c r="V11" i="1" s="1"/>
  <c r="J12" i="1"/>
  <c r="U12" i="1" s="1"/>
  <c r="T10" i="1"/>
  <c r="W10" i="1" s="1"/>
  <c r="J13" i="1" l="1"/>
  <c r="U13" i="1" s="1"/>
  <c r="O12" i="1"/>
  <c r="V12" i="1" s="1"/>
  <c r="T11" i="1"/>
  <c r="W11" i="1" s="1"/>
  <c r="J14" i="1" l="1"/>
  <c r="U14" i="1" s="1"/>
  <c r="O13" i="1"/>
  <c r="V13" i="1" s="1"/>
  <c r="T12" i="1"/>
  <c r="W12" i="1" s="1"/>
  <c r="O14" i="1" l="1"/>
  <c r="V14" i="1" s="1"/>
  <c r="J15" i="1"/>
  <c r="U15" i="1" s="1"/>
  <c r="T13" i="1"/>
  <c r="W13" i="1" s="1"/>
  <c r="T14" i="1" l="1"/>
  <c r="W14" i="1" s="1"/>
  <c r="O15" i="1"/>
  <c r="V15" i="1" s="1"/>
  <c r="T15" i="1" l="1"/>
  <c r="W15" i="1" s="1"/>
</calcChain>
</file>

<file path=xl/sharedStrings.xml><?xml version="1.0" encoding="utf-8"?>
<sst xmlns="http://schemas.openxmlformats.org/spreadsheetml/2006/main" count="1009" uniqueCount="157">
  <si>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</si>
  <si>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</si>
  <si>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</si>
  <si>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</si>
  <si>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</si>
  <si>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</si>
  <si>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</si>
  <si>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rPh sb="0" eb="2">
      <t>ホンバ</t>
    </rPh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</si>
  <si>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</si>
  <si>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</si>
  <si>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</si>
  <si>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</si>
  <si>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</si>
  <si>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</si>
  <si>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</si>
  <si>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</si>
  <si>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</si>
  <si>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</si>
  <si>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</si>
  <si>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</si>
  <si>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</si>
  <si>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</si>
  <si>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</si>
  <si>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</si>
  <si>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</si>
  <si>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</si>
  <si>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</si>
  <si>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</si>
  <si>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</si>
  <si>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</si>
  <si>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</si>
  <si>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</si>
  <si>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</si>
  <si>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</si>
  <si>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</si>
  <si>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</si>
  <si>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</si>
  <si>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</si>
  <si>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</si>
  <si>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</si>
  <si>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</si>
  <si>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</si>
  <si>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</si>
  <si>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</si>
  <si>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</si>
  <si>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</si>
  <si>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</si>
  <si>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</si>
  <si>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</si>
  <si>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</si>
  <si>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</si>
  <si>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</si>
  <si>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</si>
  <si>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</si>
  <si>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</si>
  <si>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</si>
  <si>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</si>
  <si>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</si>
  <si>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</si>
  <si>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</si>
  <si>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</si>
  <si>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</si>
  <si>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</si>
  <si>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</si>
  <si>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</si>
  <si>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</si>
  <si>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</si>
  <si>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</si>
  <si>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</si>
  <si>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</si>
  <si>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</si>
  <si>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</si>
  <si>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</si>
  <si>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</si>
  <si>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</si>
  <si>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</si>
  <si>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</si>
  <si>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</si>
  <si>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</si>
  <si>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</si>
  <si>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</si>
  <si>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</si>
  <si>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</si>
  <si>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</si>
  <si>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</si>
  <si>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</si>
  <si>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</si>
  <si>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</si>
  <si>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</si>
  <si>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</si>
  <si>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</si>
  <si>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</si>
  <si>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</si>
  <si>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</si>
  <si>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</si>
  <si>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</si>
  <si>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</si>
  <si>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</si>
  <si>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</si>
  <si>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</si>
  <si>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</si>
  <si>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</si>
  <si>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</si>
  <si>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</si>
  <si>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</si>
  <si>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</si>
  <si>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</si>
  <si>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</si>
  <si>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</si>
  <si>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</si>
  <si>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</si>
  <si>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</si>
  <si>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</si>
  <si>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</si>
  <si>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</si>
  <si>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</si>
  <si>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</si>
  <si>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</si>
  <si>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</si>
  <si>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</si>
  <si>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</si>
  <si>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</si>
  <si>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</si>
  <si>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</si>
  <si>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</si>
  <si>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</si>
  <si>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</si>
  <si>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</si>
  <si>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</si>
  <si>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</si>
  <si>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</si>
  <si>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</si>
  <si>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</si>
  <si>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</si>
  <si>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</si>
  <si>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だいち</t>
  </si>
  <si>
    <t>だいち</t>
    <phoneticPr fontId="1"/>
  </si>
  <si>
    <t>ただ</t>
  </si>
  <si>
    <t>ただ</t>
    <phoneticPr fontId="1"/>
  </si>
  <si>
    <t>れんたろう</t>
  </si>
  <si>
    <t>れんたろう</t>
    <phoneticPr fontId="1"/>
  </si>
  <si>
    <t>放銃</t>
  </si>
  <si>
    <t>ロン</t>
  </si>
  <si>
    <t>01</t>
  </si>
  <si>
    <t>*</t>
  </si>
  <si>
    <t>N</t>
  </si>
  <si>
    <t>T</t>
  </si>
  <si>
    <t>流局</t>
    <phoneticPr fontId="1"/>
  </si>
  <si>
    <t>ツモ支払</t>
  </si>
  <si>
    <t>ツモ</t>
  </si>
  <si>
    <t>02</t>
  </si>
  <si>
    <t>たかの</t>
  </si>
  <si>
    <t>たかの</t>
    <phoneticPr fontId="1"/>
  </si>
  <si>
    <t>流局</t>
    <phoneticPr fontId="1"/>
  </si>
  <si>
    <t>りくと</t>
  </si>
  <si>
    <t>りくと</t>
    <phoneticPr fontId="1"/>
  </si>
  <si>
    <t>チョンボ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</si>
</sst>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90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4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</cellXfs>
  <cellStyles count="1">
    <cellStyle name="標準" xfId="0" builtinId="0"/>
  </cellStyles>
  <dxfs count="2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77846F-5B2C-4BF2-B9D0-1B01ECCFE542}">
  <sheetPr codeName="Sheet1">
    <pageSetUpPr fitToPage="1"/>
  </sheetPr>
  <dimension ref="A1:CI30"/>
  <sheetViews>
    <sheetView tabSelected="1" zoomScaleNormal="100" workbookViewId="0">
      <selection sqref="A1:A2"/>
    </sheetView>
  </sheetViews>
  <sheetFormatPr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25" width="3.5" style="25" customWidth="1"/>
    <col min="26" max="29" width="3.5" style="28" customWidth="1"/>
    <col min="30" max="30" width="3.5" style="25" customWidth="1"/>
    <col min="31" max="45" width="3.5" style="25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83" t="s">
        <v>0</v>
      </c>
      <c r="B1" s="85" t="s">
        <v>2</v>
      </c>
      <c r="C1" s="85" t="s">
        <v>1</v>
      </c>
      <c r="D1" s="85" t="s">
        <v>22</v>
      </c>
      <c r="E1" s="87" t="s">
        <v>3</v>
      </c>
      <c r="F1" s="78" t="s">
        <v>136</v>
      </c>
      <c r="G1" s="80"/>
      <c r="H1" s="80"/>
      <c r="I1" s="89"/>
      <c r="J1" s="81"/>
      <c r="K1" s="78" t="s">
        <v>138</v>
      </c>
      <c r="L1" s="80"/>
      <c r="M1" s="80"/>
      <c r="N1" s="89"/>
      <c r="O1" s="81"/>
      <c r="P1" s="78" t="s">
        <v>140</v>
      </c>
      <c r="Q1" s="80"/>
      <c r="R1" s="80"/>
      <c r="S1" s="89"/>
      <c r="T1" s="81"/>
      <c r="U1" s="78" t="s">
        <v>6</v>
      </c>
      <c r="V1" s="80"/>
      <c r="W1" s="81"/>
      <c r="Y1" s="78" t="str">
        <f>F1</f>
        <v>だいち</v>
      </c>
      <c r="Z1" s="79"/>
      <c r="AA1" s="80"/>
      <c r="AB1" s="80"/>
      <c r="AC1" s="80"/>
      <c r="AD1" s="80"/>
      <c r="AE1" s="80"/>
      <c r="AF1" s="80"/>
      <c r="AG1" s="80"/>
      <c r="AH1" s="80"/>
      <c r="AI1" s="80"/>
      <c r="AJ1" s="80"/>
      <c r="AK1" s="80"/>
      <c r="AL1" s="80"/>
      <c r="AM1" s="80"/>
      <c r="AN1" s="80"/>
      <c r="AO1" s="80"/>
      <c r="AP1" s="80"/>
      <c r="AQ1" s="80"/>
      <c r="AR1" s="80"/>
      <c r="AS1" s="81"/>
      <c r="AT1" s="78" t="str">
        <f>K1</f>
        <v>ただ</v>
      </c>
      <c r="AU1" s="79"/>
      <c r="AV1" s="80"/>
      <c r="AW1" s="80"/>
      <c r="AX1" s="80"/>
      <c r="AY1" s="80"/>
      <c r="AZ1" s="80"/>
      <c r="BA1" s="80"/>
      <c r="BB1" s="80"/>
      <c r="BC1" s="80"/>
      <c r="BD1" s="80"/>
      <c r="BE1" s="80"/>
      <c r="BF1" s="80"/>
      <c r="BG1" s="80"/>
      <c r="BH1" s="80"/>
      <c r="BI1" s="80"/>
      <c r="BJ1" s="80"/>
      <c r="BK1" s="80"/>
      <c r="BL1" s="80"/>
      <c r="BM1" s="80"/>
      <c r="BN1" s="81"/>
      <c r="BO1" s="78" t="str">
        <f>P1</f>
        <v>れんたろう</v>
      </c>
      <c r="BP1" s="79"/>
      <c r="BQ1" s="80"/>
      <c r="BR1" s="80"/>
      <c r="BS1" s="80"/>
      <c r="BT1" s="80"/>
      <c r="BU1" s="80"/>
      <c r="BV1" s="80"/>
      <c r="BW1" s="80"/>
      <c r="BX1" s="80"/>
      <c r="BY1" s="80"/>
      <c r="BZ1" s="80"/>
      <c r="CA1" s="80"/>
      <c r="CB1" s="80"/>
      <c r="CC1" s="80"/>
      <c r="CD1" s="80"/>
      <c r="CE1" s="80"/>
      <c r="CF1" s="80"/>
      <c r="CG1" s="80"/>
      <c r="CH1" s="80"/>
      <c r="CI1" s="81"/>
    </row>
    <row r="2" spans="1:87" x14ac:dyDescent="0.4">
      <c r="A2" s="84"/>
      <c r="B2" s="86"/>
      <c r="C2" s="86"/>
      <c r="D2" s="86"/>
      <c r="E2" s="88"/>
      <c r="F2" s="1" t="s">
        <v>5</v>
      </c>
      <c r="G2" s="2" t="s">
        <v>9</v>
      </c>
      <c r="H2" s="2" t="s">
        <v>23</v>
      </c>
      <c r="I2" s="53" t="s">
        <v>7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26" t="str">
        <f>$F$1</f>
        <v>だいち</v>
      </c>
      <c r="V2" s="27" t="str">
        <f>$K$1</f>
        <v>ただ</v>
      </c>
      <c r="W2" s="16" t="str">
        <f>$P$1</f>
        <v>れんたろう</v>
      </c>
      <c r="Y2" s="29" t="s">
        <v>24</v>
      </c>
      <c r="Z2" s="39" t="s">
        <v>27</v>
      </c>
      <c r="AA2" s="30" t="s">
        <v>25</v>
      </c>
      <c r="AB2" s="30" t="s">
        <v>128</v>
      </c>
      <c r="AC2" s="30" t="s">
        <v>19</v>
      </c>
      <c r="AD2" s="31" t="s">
        <v>20</v>
      </c>
      <c r="AE2" s="82" t="s">
        <v>21</v>
      </c>
      <c r="AF2" s="82"/>
      <c r="AG2" s="82"/>
      <c r="AH2" s="82"/>
      <c r="AI2" s="82"/>
      <c r="AJ2" s="82"/>
      <c r="AK2" s="82"/>
      <c r="AL2" s="82"/>
      <c r="AM2" s="82"/>
      <c r="AN2" s="82"/>
      <c r="AO2" s="82"/>
      <c r="AP2" s="82"/>
      <c r="AQ2" s="82"/>
      <c r="AR2" s="82"/>
      <c r="AS2" s="82"/>
      <c r="AT2" s="29" t="s">
        <v>24</v>
      </c>
      <c r="AU2" s="39" t="s">
        <v>27</v>
      </c>
      <c r="AV2" s="30" t="s">
        <v>25</v>
      </c>
      <c r="AW2" s="30" t="s">
        <v>129</v>
      </c>
      <c r="AX2" s="30" t="s">
        <v>19</v>
      </c>
      <c r="AY2" s="31" t="s">
        <v>20</v>
      </c>
      <c r="AZ2" s="82" t="s">
        <v>21</v>
      </c>
      <c r="BA2" s="82"/>
      <c r="BB2" s="82"/>
      <c r="BC2" s="82"/>
      <c r="BD2" s="82"/>
      <c r="BE2" s="82"/>
      <c r="BF2" s="82"/>
      <c r="BG2" s="82"/>
      <c r="BH2" s="82"/>
      <c r="BI2" s="82"/>
      <c r="BJ2" s="82"/>
      <c r="BK2" s="82"/>
      <c r="BL2" s="82"/>
      <c r="BM2" s="82"/>
      <c r="BN2" s="82"/>
      <c r="BO2" s="29" t="s">
        <v>24</v>
      </c>
      <c r="BP2" s="39" t="s">
        <v>27</v>
      </c>
      <c r="BQ2" s="30" t="s">
        <v>25</v>
      </c>
      <c r="BR2" s="30" t="s">
        <v>129</v>
      </c>
      <c r="BS2" s="30" t="s">
        <v>19</v>
      </c>
      <c r="BT2" s="31" t="s">
        <v>20</v>
      </c>
      <c r="BU2" s="82" t="s">
        <v>21</v>
      </c>
      <c r="BV2" s="82"/>
      <c r="BW2" s="82"/>
      <c r="BX2" s="82"/>
      <c r="BY2" s="82"/>
      <c r="BZ2" s="82"/>
      <c r="CA2" s="82"/>
      <c r="CB2" s="82"/>
      <c r="CC2" s="82"/>
      <c r="CD2" s="82"/>
      <c r="CE2" s="82"/>
      <c r="CF2" s="82"/>
      <c r="CG2" s="82"/>
      <c r="CH2" s="82"/>
      <c r="CI2" s="82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IF($J3="","",ROUND(($J3-$J$3)/1000,1))</f>
        <v>0</v>
      </c>
      <c r="V3" s="58">
        <f>IF($O3="","",ROUND(($O3-$O$3)/1000,1))</f>
        <v>0</v>
      </c>
      <c r="W3" s="59">
        <f>IF($T3="","",ROUND(($T3-$T$3)/1000,1))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135</v>
      </c>
      <c r="F4" s="8"/>
      <c r="G4" s="9"/>
      <c r="H4" s="9"/>
      <c r="I4" s="55"/>
      <c r="J4" s="21">
        <f>IF(COUNTA($F4,$K4,$P4)&gt;0,J3+SUM(G4:I4),"")</f>
        <v>35000</v>
      </c>
      <c r="K4" s="8" t="s">
        <v>141</v>
      </c>
      <c r="L4" s="9">
        <v>-2600</v>
      </c>
      <c r="M4" s="9"/>
      <c r="N4" s="55">
        <v>0</v>
      </c>
      <c r="O4" s="21">
        <f>IF(COUNTA($F4,$K4,$P4)&gt;0,O3+SUM(L4:N4),"")</f>
        <v>32400</v>
      </c>
      <c r="P4" s="8" t="s">
        <v>142</v>
      </c>
      <c r="Q4" s="9">
        <v>2600</v>
      </c>
      <c r="R4" s="9"/>
      <c r="S4" s="55">
        <v>0</v>
      </c>
      <c r="T4" s="21">
        <f>IF(COUNTA($F4,$K4,$P4)&gt;0,T3+SUM(Q4:S4),"")</f>
        <v>37600</v>
      </c>
      <c r="U4" s="60">
        <f t="shared" ref="U4:U30" si="0">IF($J4="","",ROUND(($J4-$J$3)/1000,1))</f>
        <v>0</v>
      </c>
      <c r="V4" s="61">
        <f t="shared" ref="V4:V30" si="1">IF($O4="","",ROUND(($O4-$O$3)/1000,1))</f>
        <v>-2.6</v>
      </c>
      <c r="W4" s="62">
        <f t="shared" ref="W4:W30" si="2">IF($T4="","",ROUND(($T4-$T$3)/1000,1))</f>
        <v>2.6</v>
      </c>
      <c r="Y4" s="8"/>
      <c r="Z4" s="41"/>
      <c r="AA4" s="32"/>
      <c r="AB4" s="32"/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/>
      <c r="AW4" s="32"/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>
        <v>1</v>
      </c>
      <c r="BR4" s="32"/>
      <c r="BS4" s="32">
        <v>2</v>
      </c>
      <c r="BT4" s="36">
        <v>40</v>
      </c>
      <c r="BU4" s="47" t="s">
        <v>143</v>
      </c>
      <c r="BV4" s="48" t="s">
        <v>87</v>
      </c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6" si="3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 t="shared" ref="C5:C6" si="4">IF($E5="","",IF(F4="チョンボ",C4,IF($E4=$E5,C4+1,0)))</f>
        <v>0</v>
      </c>
      <c r="D5" s="18">
        <f t="shared" ref="D5:D30" si="5">IF($E5="","",IF(OR($F4="流局",$F4="チョンボ"),D4+($H4+$M4+$R4)/-1000,0))</f>
        <v>0</v>
      </c>
      <c r="E5" s="4" t="s">
        <v>137</v>
      </c>
      <c r="F5" s="8"/>
      <c r="G5" s="9"/>
      <c r="H5" s="9"/>
      <c r="I5" s="55"/>
      <c r="J5" s="21">
        <f t="shared" ref="J5:J30" si="6">IF(COUNTA($F5,$K5,$P5)&gt;0,J4+SUM(G5:I5),"")</f>
        <v>35000</v>
      </c>
      <c r="K5" s="8" t="s">
        <v>142</v>
      </c>
      <c r="L5" s="9">
        <v>24000</v>
      </c>
      <c r="M5" s="9"/>
      <c r="N5" s="55">
        <v>0</v>
      </c>
      <c r="O5" s="21">
        <f t="shared" ref="O5:O30" si="7">IF(COUNTA($F5,$K5,$P5)&gt;0,O4+SUM(L5:N5),"")</f>
        <v>56400</v>
      </c>
      <c r="P5" s="8" t="s">
        <v>141</v>
      </c>
      <c r="Q5" s="9">
        <v>-24000</v>
      </c>
      <c r="R5" s="9"/>
      <c r="S5" s="55">
        <v>0</v>
      </c>
      <c r="T5" s="21">
        <f t="shared" ref="T5:T30" si="8">IF(COUNTA($F5,$K5,$P5)&gt;0,T4+SUM(Q5:S5),"")</f>
        <v>13600</v>
      </c>
      <c r="U5" s="60">
        <f t="shared" si="0"/>
        <v>0</v>
      </c>
      <c r="V5" s="61">
        <f t="shared" si="1"/>
        <v>21.4</v>
      </c>
      <c r="W5" s="62">
        <f t="shared" si="2"/>
        <v>-21.4</v>
      </c>
      <c r="Y5" s="8"/>
      <c r="Z5" s="41"/>
      <c r="AA5" s="32"/>
      <c r="AB5" s="32"/>
      <c r="AC5" s="32"/>
      <c r="AD5" s="36"/>
      <c r="AE5" s="47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>
        <v>1</v>
      </c>
      <c r="AW5" s="32"/>
      <c r="AX5" s="32">
        <v>8</v>
      </c>
      <c r="AY5" s="36" t="s">
        <v>144</v>
      </c>
      <c r="AZ5" s="47" t="s">
        <v>143</v>
      </c>
      <c r="BA5" s="48" t="s">
        <v>82</v>
      </c>
      <c r="BB5" s="48" t="s">
        <v>81</v>
      </c>
      <c r="BC5" s="48" t="s">
        <v>81</v>
      </c>
      <c r="BD5" s="48" t="s">
        <v>80</v>
      </c>
      <c r="BE5" s="48" t="s">
        <v>93</v>
      </c>
      <c r="BF5" s="48" t="s">
        <v>84</v>
      </c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/>
      <c r="BR5" s="32"/>
      <c r="BS5" s="32"/>
      <c r="BT5" s="36"/>
      <c r="BU5" s="47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3"/>
        <v>東</v>
      </c>
      <c r="B6" s="18">
        <f t="shared" ref="B6:B30" si="9">IF($E6="","",IF($E5=$E6,B5,IF(B5=3,1,B5+1)))</f>
        <v>2</v>
      </c>
      <c r="C6" s="18">
        <f t="shared" si="4"/>
        <v>1</v>
      </c>
      <c r="D6" s="18">
        <f t="shared" si="5"/>
        <v>0</v>
      </c>
      <c r="E6" s="4" t="s">
        <v>137</v>
      </c>
      <c r="F6" s="8" t="s">
        <v>147</v>
      </c>
      <c r="G6" s="9">
        <v>-1500</v>
      </c>
      <c r="H6" s="9"/>
      <c r="I6" s="55"/>
      <c r="J6" s="21">
        <f t="shared" si="6"/>
        <v>33500</v>
      </c>
      <c r="K6" s="8" t="s">
        <v>147</v>
      </c>
      <c r="L6" s="9">
        <v>3000</v>
      </c>
      <c r="M6" s="9">
        <v>-1000</v>
      </c>
      <c r="N6" s="55"/>
      <c r="O6" s="21">
        <f t="shared" si="7"/>
        <v>58400</v>
      </c>
      <c r="P6" s="8" t="s">
        <v>147</v>
      </c>
      <c r="Q6" s="9">
        <v>-1500</v>
      </c>
      <c r="R6" s="9"/>
      <c r="S6" s="55"/>
      <c r="T6" s="21">
        <f t="shared" si="8"/>
        <v>12100</v>
      </c>
      <c r="U6" s="60">
        <f t="shared" si="0"/>
        <v>-1.5</v>
      </c>
      <c r="V6" s="61">
        <f t="shared" si="1"/>
        <v>23.4</v>
      </c>
      <c r="W6" s="62">
        <f t="shared" si="2"/>
        <v>-22.9</v>
      </c>
      <c r="Y6" s="8" t="s">
        <v>145</v>
      </c>
      <c r="Z6" s="41"/>
      <c r="AA6" s="32"/>
      <c r="AB6" s="32"/>
      <c r="AC6" s="32"/>
      <c r="AD6" s="36"/>
      <c r="AE6" s="47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 t="s">
        <v>146</v>
      </c>
      <c r="AU6" s="41"/>
      <c r="AV6" s="32">
        <v>1</v>
      </c>
      <c r="AW6" s="32"/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 t="s">
        <v>145</v>
      </c>
      <c r="BP6" s="41"/>
      <c r="BQ6" s="32"/>
      <c r="BR6" s="32">
        <v>1</v>
      </c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ref="A7:A30" si="10">IF($E7="","",IF(AND(B6=3,B7=1),_xlfn.SWITCH(A6,"東","南","南","西","西","北","北","東"),A6))</f>
        <v>東</v>
      </c>
      <c r="B7" s="18">
        <f t="shared" si="9"/>
        <v>2</v>
      </c>
      <c r="C7" s="18">
        <f t="shared" ref="C7:C30" si="11">IF($E7="","",IF(F6="チョンボ",C6,IF($E6=$E7,C6+1,0)))</f>
        <v>2</v>
      </c>
      <c r="D7" s="18">
        <f t="shared" si="5"/>
        <v>1</v>
      </c>
      <c r="E7" s="4" t="s">
        <v>137</v>
      </c>
      <c r="F7" s="8" t="s">
        <v>141</v>
      </c>
      <c r="G7" s="9">
        <v>-1000</v>
      </c>
      <c r="H7" s="9"/>
      <c r="I7" s="55">
        <v>-2000</v>
      </c>
      <c r="J7" s="21">
        <f t="shared" si="6"/>
        <v>30500</v>
      </c>
      <c r="K7" s="8"/>
      <c r="L7" s="9"/>
      <c r="M7" s="9"/>
      <c r="N7" s="55"/>
      <c r="O7" s="21">
        <f t="shared" si="7"/>
        <v>58400</v>
      </c>
      <c r="P7" s="8" t="s">
        <v>142</v>
      </c>
      <c r="Q7" s="9">
        <v>1000</v>
      </c>
      <c r="R7" s="9">
        <v>1000</v>
      </c>
      <c r="S7" s="55">
        <v>2000</v>
      </c>
      <c r="T7" s="21">
        <f t="shared" si="8"/>
        <v>16100</v>
      </c>
      <c r="U7" s="60">
        <f t="shared" si="0"/>
        <v>-4.5</v>
      </c>
      <c r="V7" s="61">
        <f t="shared" si="1"/>
        <v>23.4</v>
      </c>
      <c r="W7" s="62">
        <f t="shared" si="2"/>
        <v>-18.899999999999999</v>
      </c>
      <c r="Y7" s="8"/>
      <c r="Z7" s="41"/>
      <c r="AA7" s="32"/>
      <c r="AB7" s="32"/>
      <c r="AC7" s="32"/>
      <c r="AD7" s="36"/>
      <c r="AE7" s="4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/>
      <c r="AW7" s="32"/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/>
      <c r="BR7" s="32">
        <v>1</v>
      </c>
      <c r="BS7" s="32">
        <v>1</v>
      </c>
      <c r="BT7" s="36">
        <v>30</v>
      </c>
      <c r="BU7" s="47" t="s">
        <v>87</v>
      </c>
      <c r="BV7" s="48"/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10"/>
        <v>東</v>
      </c>
      <c r="B8" s="18">
        <f t="shared" si="9"/>
        <v>3</v>
      </c>
      <c r="C8" s="18">
        <f t="shared" si="11"/>
        <v>0</v>
      </c>
      <c r="D8" s="18">
        <f t="shared" si="5"/>
        <v>0</v>
      </c>
      <c r="E8" s="4" t="s">
        <v>139</v>
      </c>
      <c r="F8" s="8" t="s">
        <v>148</v>
      </c>
      <c r="G8" s="9">
        <v>-4500</v>
      </c>
      <c r="H8" s="9"/>
      <c r="I8" s="55">
        <v>0</v>
      </c>
      <c r="J8" s="21">
        <f t="shared" si="6"/>
        <v>26000</v>
      </c>
      <c r="K8" s="8" t="s">
        <v>149</v>
      </c>
      <c r="L8" s="9">
        <v>12000</v>
      </c>
      <c r="M8" s="9"/>
      <c r="N8" s="55">
        <v>0</v>
      </c>
      <c r="O8" s="21">
        <f t="shared" si="7"/>
        <v>70400</v>
      </c>
      <c r="P8" s="8" t="s">
        <v>148</v>
      </c>
      <c r="Q8" s="9">
        <v>-7500</v>
      </c>
      <c r="R8" s="9"/>
      <c r="S8" s="55">
        <v>0</v>
      </c>
      <c r="T8" s="21">
        <f t="shared" si="8"/>
        <v>8600</v>
      </c>
      <c r="U8" s="60">
        <f t="shared" si="0"/>
        <v>-9</v>
      </c>
      <c r="V8" s="61">
        <f t="shared" si="1"/>
        <v>35.4</v>
      </c>
      <c r="W8" s="62">
        <f t="shared" si="2"/>
        <v>-26.4</v>
      </c>
      <c r="Y8" s="8"/>
      <c r="Z8" s="41"/>
      <c r="AA8" s="32"/>
      <c r="AB8" s="32">
        <v>1</v>
      </c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>
        <v>1</v>
      </c>
      <c r="AW8" s="32"/>
      <c r="AX8" s="32">
        <v>7</v>
      </c>
      <c r="AY8" s="36" t="s">
        <v>144</v>
      </c>
      <c r="AZ8" s="47" t="s">
        <v>143</v>
      </c>
      <c r="BA8" s="48" t="s">
        <v>83</v>
      </c>
      <c r="BB8" s="48" t="s">
        <v>82</v>
      </c>
      <c r="BC8" s="48" t="s">
        <v>82</v>
      </c>
      <c r="BD8" s="48" t="s">
        <v>80</v>
      </c>
      <c r="BE8" s="48" t="s">
        <v>80</v>
      </c>
      <c r="BF8" s="48" t="s">
        <v>81</v>
      </c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/>
      <c r="BR8" s="32"/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10"/>
        <v>南</v>
      </c>
      <c r="B9" s="18">
        <f t="shared" si="9"/>
        <v>1</v>
      </c>
      <c r="C9" s="18">
        <f t="shared" si="11"/>
        <v>0</v>
      </c>
      <c r="D9" s="18">
        <f t="shared" si="5"/>
        <v>0</v>
      </c>
      <c r="E9" s="4" t="s">
        <v>135</v>
      </c>
      <c r="F9" s="8"/>
      <c r="G9" s="9"/>
      <c r="H9" s="9">
        <v>-1000</v>
      </c>
      <c r="I9" s="55"/>
      <c r="J9" s="21">
        <f t="shared" si="6"/>
        <v>25000</v>
      </c>
      <c r="K9" s="8" t="s">
        <v>142</v>
      </c>
      <c r="L9" s="9">
        <v>3900</v>
      </c>
      <c r="M9" s="9">
        <v>1000</v>
      </c>
      <c r="N9" s="55">
        <v>0</v>
      </c>
      <c r="O9" s="21">
        <f t="shared" si="7"/>
        <v>75300</v>
      </c>
      <c r="P9" s="8" t="s">
        <v>141</v>
      </c>
      <c r="Q9" s="9">
        <v>-3900</v>
      </c>
      <c r="R9" s="9"/>
      <c r="S9" s="55">
        <v>0</v>
      </c>
      <c r="T9" s="21">
        <f t="shared" si="8"/>
        <v>4700</v>
      </c>
      <c r="U9" s="60">
        <f t="shared" si="0"/>
        <v>-10</v>
      </c>
      <c r="V9" s="61">
        <f t="shared" si="1"/>
        <v>40.299999999999997</v>
      </c>
      <c r="W9" s="62">
        <f t="shared" si="2"/>
        <v>-30.3</v>
      </c>
      <c r="Y9" s="8"/>
      <c r="Z9" s="41"/>
      <c r="AA9" s="32">
        <v>1</v>
      </c>
      <c r="AB9" s="32"/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/>
      <c r="AW9" s="32"/>
      <c r="AX9" s="32">
        <v>3</v>
      </c>
      <c r="AY9" s="36">
        <v>30</v>
      </c>
      <c r="AZ9" s="47" t="s">
        <v>85</v>
      </c>
      <c r="BA9" s="48" t="s">
        <v>82</v>
      </c>
      <c r="BB9" s="48" t="s">
        <v>84</v>
      </c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/>
      <c r="BR9" s="32"/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10"/>
        <v>南</v>
      </c>
      <c r="B10" s="18">
        <f t="shared" si="9"/>
        <v>2</v>
      </c>
      <c r="C10" s="18">
        <f t="shared" si="11"/>
        <v>0</v>
      </c>
      <c r="D10" s="18">
        <f t="shared" si="5"/>
        <v>0</v>
      </c>
      <c r="E10" s="4" t="s">
        <v>137</v>
      </c>
      <c r="F10" s="8" t="s">
        <v>141</v>
      </c>
      <c r="G10" s="9">
        <v>-8000</v>
      </c>
      <c r="H10" s="9">
        <v>-1000</v>
      </c>
      <c r="I10" s="55">
        <v>0</v>
      </c>
      <c r="J10" s="21">
        <f t="shared" si="6"/>
        <v>16000</v>
      </c>
      <c r="K10" s="8"/>
      <c r="L10" s="9"/>
      <c r="M10" s="9"/>
      <c r="N10" s="55"/>
      <c r="O10" s="21">
        <f t="shared" si="7"/>
        <v>75300</v>
      </c>
      <c r="P10" s="8" t="s">
        <v>142</v>
      </c>
      <c r="Q10" s="9">
        <v>8000</v>
      </c>
      <c r="R10" s="9">
        <v>1000</v>
      </c>
      <c r="S10" s="55">
        <v>0</v>
      </c>
      <c r="T10" s="21">
        <f t="shared" si="8"/>
        <v>13700</v>
      </c>
      <c r="U10" s="60">
        <f t="shared" si="0"/>
        <v>-19</v>
      </c>
      <c r="V10" s="61">
        <f t="shared" si="1"/>
        <v>40.299999999999997</v>
      </c>
      <c r="W10" s="62">
        <f t="shared" si="2"/>
        <v>-21.3</v>
      </c>
      <c r="Y10" s="8"/>
      <c r="Z10" s="41"/>
      <c r="AA10" s="32">
        <v>1</v>
      </c>
      <c r="AB10" s="32"/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/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>
        <v>1</v>
      </c>
      <c r="BR10" s="32"/>
      <c r="BS10" s="32">
        <v>4</v>
      </c>
      <c r="BT10" s="36">
        <v>40</v>
      </c>
      <c r="BU10" s="47" t="s">
        <v>87</v>
      </c>
      <c r="BV10" s="48" t="s">
        <v>82</v>
      </c>
      <c r="BW10" s="48" t="s">
        <v>82</v>
      </c>
      <c r="BX10" s="48" t="s">
        <v>80</v>
      </c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10"/>
        <v>南</v>
      </c>
      <c r="B11" s="18">
        <f t="shared" si="9"/>
        <v>3</v>
      </c>
      <c r="C11" s="18">
        <f t="shared" si="11"/>
        <v>0</v>
      </c>
      <c r="D11" s="18">
        <f t="shared" si="5"/>
        <v>0</v>
      </c>
      <c r="E11" s="4" t="s">
        <v>139</v>
      </c>
      <c r="F11" s="8" t="s">
        <v>148</v>
      </c>
      <c r="G11" s="9">
        <v>-3000</v>
      </c>
      <c r="H11" s="9"/>
      <c r="I11" s="55">
        <v>0</v>
      </c>
      <c r="J11" s="21">
        <f t="shared" si="6"/>
        <v>13000</v>
      </c>
      <c r="K11" s="8" t="s">
        <v>148</v>
      </c>
      <c r="L11" s="9">
        <v>-3000</v>
      </c>
      <c r="M11" s="9"/>
      <c r="N11" s="55">
        <v>0</v>
      </c>
      <c r="O11" s="21">
        <f t="shared" si="7"/>
        <v>72300</v>
      </c>
      <c r="P11" s="8" t="s">
        <v>149</v>
      </c>
      <c r="Q11" s="9">
        <v>6000</v>
      </c>
      <c r="R11" s="9"/>
      <c r="S11" s="55">
        <v>0</v>
      </c>
      <c r="T11" s="21">
        <f t="shared" si="8"/>
        <v>19700</v>
      </c>
      <c r="U11" s="60">
        <f t="shared" si="0"/>
        <v>-22</v>
      </c>
      <c r="V11" s="61">
        <f t="shared" si="1"/>
        <v>37.299999999999997</v>
      </c>
      <c r="W11" s="62">
        <f t="shared" si="2"/>
        <v>-15.3</v>
      </c>
      <c r="Y11" s="8"/>
      <c r="Z11" s="41"/>
      <c r="AA11" s="32"/>
      <c r="AB11" s="32">
        <v>1</v>
      </c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>
        <v>1</v>
      </c>
      <c r="BS11" s="32">
        <v>3</v>
      </c>
      <c r="BT11" s="36">
        <v>30</v>
      </c>
      <c r="BU11" s="47" t="s">
        <v>87</v>
      </c>
      <c r="BV11" s="48" t="s">
        <v>87</v>
      </c>
      <c r="BW11" s="48" t="s">
        <v>82</v>
      </c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10"/>
        <v>南</v>
      </c>
      <c r="B12" s="18">
        <f t="shared" si="9"/>
        <v>3</v>
      </c>
      <c r="C12" s="18">
        <f t="shared" si="11"/>
        <v>1</v>
      </c>
      <c r="D12" s="18">
        <f t="shared" si="5"/>
        <v>0</v>
      </c>
      <c r="E12" s="4" t="s">
        <v>139</v>
      </c>
      <c r="F12" s="8" t="s">
        <v>147</v>
      </c>
      <c r="G12" s="9">
        <v>-1500</v>
      </c>
      <c r="H12" s="9"/>
      <c r="I12" s="55"/>
      <c r="J12" s="21">
        <f t="shared" si="6"/>
        <v>11500</v>
      </c>
      <c r="K12" s="8" t="s">
        <v>147</v>
      </c>
      <c r="L12" s="9">
        <v>-1500</v>
      </c>
      <c r="M12" s="9"/>
      <c r="N12" s="55"/>
      <c r="O12" s="21">
        <f t="shared" si="7"/>
        <v>70800</v>
      </c>
      <c r="P12" s="8" t="s">
        <v>147</v>
      </c>
      <c r="Q12" s="9">
        <v>3000</v>
      </c>
      <c r="R12" s="9"/>
      <c r="S12" s="55"/>
      <c r="T12" s="21">
        <f t="shared" si="8"/>
        <v>22700</v>
      </c>
      <c r="U12" s="60">
        <f t="shared" si="0"/>
        <v>-23.5</v>
      </c>
      <c r="V12" s="61">
        <f t="shared" si="1"/>
        <v>35.799999999999997</v>
      </c>
      <c r="W12" s="62">
        <f t="shared" si="2"/>
        <v>-12.3</v>
      </c>
      <c r="Y12" s="8" t="s">
        <v>145</v>
      </c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 t="s">
        <v>145</v>
      </c>
      <c r="AU12" s="41"/>
      <c r="AV12" s="32"/>
      <c r="AW12" s="32">
        <v>1</v>
      </c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 t="s">
        <v>146</v>
      </c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10"/>
        <v>南</v>
      </c>
      <c r="B13" s="18">
        <f t="shared" si="9"/>
        <v>3</v>
      </c>
      <c r="C13" s="18">
        <f t="shared" si="11"/>
        <v>2</v>
      </c>
      <c r="D13" s="18">
        <f t="shared" si="5"/>
        <v>0</v>
      </c>
      <c r="E13" s="4" t="s">
        <v>139</v>
      </c>
      <c r="F13" s="8" t="s">
        <v>148</v>
      </c>
      <c r="G13" s="9">
        <v>-6000</v>
      </c>
      <c r="H13" s="9"/>
      <c r="I13" s="55">
        <v>-1000</v>
      </c>
      <c r="J13" s="21">
        <f t="shared" si="6"/>
        <v>4500</v>
      </c>
      <c r="K13" s="8" t="s">
        <v>148</v>
      </c>
      <c r="L13" s="9">
        <v>-6000</v>
      </c>
      <c r="M13" s="9"/>
      <c r="N13" s="55">
        <v>-1000</v>
      </c>
      <c r="O13" s="21">
        <f t="shared" si="7"/>
        <v>63800</v>
      </c>
      <c r="P13" s="8" t="s">
        <v>149</v>
      </c>
      <c r="Q13" s="9">
        <v>12000</v>
      </c>
      <c r="R13" s="9"/>
      <c r="S13" s="55">
        <v>2000</v>
      </c>
      <c r="T13" s="21">
        <f t="shared" si="8"/>
        <v>36700</v>
      </c>
      <c r="U13" s="60">
        <f t="shared" si="0"/>
        <v>-30.5</v>
      </c>
      <c r="V13" s="61">
        <f t="shared" si="1"/>
        <v>28.8</v>
      </c>
      <c r="W13" s="62">
        <f t="shared" si="2"/>
        <v>1.7</v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>
        <v>1</v>
      </c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>
        <v>1</v>
      </c>
      <c r="BR13" s="32"/>
      <c r="BS13" s="32">
        <v>5</v>
      </c>
      <c r="BT13" s="36" t="s">
        <v>144</v>
      </c>
      <c r="BU13" s="47" t="s">
        <v>143</v>
      </c>
      <c r="BV13" s="48" t="s">
        <v>83</v>
      </c>
      <c r="BW13" s="48" t="s">
        <v>82</v>
      </c>
      <c r="BX13" s="48" t="s">
        <v>82</v>
      </c>
      <c r="BY13" s="48" t="s">
        <v>84</v>
      </c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10"/>
        <v>南</v>
      </c>
      <c r="B14" s="18">
        <f t="shared" si="9"/>
        <v>3</v>
      </c>
      <c r="C14" s="18">
        <f t="shared" si="11"/>
        <v>3</v>
      </c>
      <c r="D14" s="18">
        <f t="shared" si="5"/>
        <v>0</v>
      </c>
      <c r="E14" s="4" t="s">
        <v>139</v>
      </c>
      <c r="F14" s="8" t="s">
        <v>142</v>
      </c>
      <c r="G14" s="9">
        <v>8000</v>
      </c>
      <c r="H14" s="9"/>
      <c r="I14" s="55">
        <v>3000</v>
      </c>
      <c r="J14" s="21">
        <f t="shared" si="6"/>
        <v>15500</v>
      </c>
      <c r="K14" s="8" t="s">
        <v>141</v>
      </c>
      <c r="L14" s="9">
        <v>-8000</v>
      </c>
      <c r="M14" s="9"/>
      <c r="N14" s="55">
        <v>-3000</v>
      </c>
      <c r="O14" s="21">
        <f t="shared" si="7"/>
        <v>52800</v>
      </c>
      <c r="P14" s="8"/>
      <c r="Q14" s="9"/>
      <c r="R14" s="9"/>
      <c r="S14" s="55"/>
      <c r="T14" s="21">
        <f t="shared" si="8"/>
        <v>36700</v>
      </c>
      <c r="U14" s="60">
        <f t="shared" si="0"/>
        <v>-19.5</v>
      </c>
      <c r="V14" s="61">
        <f t="shared" si="1"/>
        <v>17.8</v>
      </c>
      <c r="W14" s="62">
        <f t="shared" si="2"/>
        <v>1.7</v>
      </c>
      <c r="Y14" s="8"/>
      <c r="Z14" s="41"/>
      <c r="AA14" s="32">
        <v>1</v>
      </c>
      <c r="AB14" s="32"/>
      <c r="AC14" s="32">
        <v>5</v>
      </c>
      <c r="AD14" s="36" t="s">
        <v>144</v>
      </c>
      <c r="AE14" s="47" t="s">
        <v>143</v>
      </c>
      <c r="AF14" s="48" t="s">
        <v>150</v>
      </c>
      <c r="AG14" s="48" t="s">
        <v>84</v>
      </c>
      <c r="AH14" s="48" t="s">
        <v>82</v>
      </c>
      <c r="AI14" s="48" t="s">
        <v>80</v>
      </c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10"/>
        <v/>
      </c>
      <c r="B15" s="18" t="str">
        <f t="shared" si="9"/>
        <v/>
      </c>
      <c r="C15" s="18" t="str">
        <f t="shared" si="11"/>
        <v/>
      </c>
      <c r="D15" s="18" t="str">
        <f t="shared" si="5"/>
        <v/>
      </c>
      <c r="E15" s="4"/>
      <c r="F15" s="8"/>
      <c r="G15" s="9"/>
      <c r="H15" s="9"/>
      <c r="I15" s="55"/>
      <c r="J15" s="21" t="str">
        <f t="shared" si="6"/>
        <v/>
      </c>
      <c r="K15" s="8"/>
      <c r="L15" s="9"/>
      <c r="M15" s="9"/>
      <c r="N15" s="55"/>
      <c r="O15" s="21" t="str">
        <f t="shared" si="7"/>
        <v/>
      </c>
      <c r="P15" s="8"/>
      <c r="Q15" s="9"/>
      <c r="R15" s="9"/>
      <c r="S15" s="55"/>
      <c r="T15" s="21" t="str">
        <f t="shared" si="8"/>
        <v/>
      </c>
      <c r="U15" s="60" t="str">
        <f t="shared" si="0"/>
        <v/>
      </c>
      <c r="V15" s="61" t="str">
        <f t="shared" si="1"/>
        <v/>
      </c>
      <c r="W15" s="62" t="str">
        <f t="shared" si="2"/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10"/>
        <v/>
      </c>
      <c r="B16" s="18" t="str">
        <f t="shared" si="9"/>
        <v/>
      </c>
      <c r="C16" s="18" t="str">
        <f t="shared" si="11"/>
        <v/>
      </c>
      <c r="D16" s="18" t="str">
        <f t="shared" si="5"/>
        <v/>
      </c>
      <c r="E16" s="4"/>
      <c r="F16" s="8"/>
      <c r="G16" s="9"/>
      <c r="H16" s="9"/>
      <c r="I16" s="55"/>
      <c r="J16" s="21" t="str">
        <f t="shared" si="6"/>
        <v/>
      </c>
      <c r="K16" s="8"/>
      <c r="L16" s="9"/>
      <c r="M16" s="9"/>
      <c r="N16" s="55"/>
      <c r="O16" s="21" t="str">
        <f t="shared" si="7"/>
        <v/>
      </c>
      <c r="P16" s="8"/>
      <c r="Q16" s="9"/>
      <c r="R16" s="9"/>
      <c r="S16" s="55"/>
      <c r="T16" s="21" t="str">
        <f t="shared" si="8"/>
        <v/>
      </c>
      <c r="U16" s="60" t="str">
        <f t="shared" si="0"/>
        <v/>
      </c>
      <c r="V16" s="61" t="str">
        <f t="shared" si="1"/>
        <v/>
      </c>
      <c r="W16" s="62" t="str">
        <f t="shared" si="2"/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10"/>
        <v/>
      </c>
      <c r="B17" s="18" t="str">
        <f t="shared" si="9"/>
        <v/>
      </c>
      <c r="C17" s="18" t="str">
        <f t="shared" si="11"/>
        <v/>
      </c>
      <c r="D17" s="18" t="str">
        <f t="shared" si="5"/>
        <v/>
      </c>
      <c r="E17" s="4"/>
      <c r="F17" s="8"/>
      <c r="G17" s="9"/>
      <c r="H17" s="9"/>
      <c r="I17" s="55"/>
      <c r="J17" s="21" t="str">
        <f t="shared" si="6"/>
        <v/>
      </c>
      <c r="K17" s="8"/>
      <c r="L17" s="9"/>
      <c r="M17" s="9"/>
      <c r="N17" s="55"/>
      <c r="O17" s="21" t="str">
        <f t="shared" si="7"/>
        <v/>
      </c>
      <c r="P17" s="8"/>
      <c r="Q17" s="9"/>
      <c r="R17" s="9"/>
      <c r="S17" s="55"/>
      <c r="T17" s="21" t="str">
        <f t="shared" si="8"/>
        <v/>
      </c>
      <c r="U17" s="60" t="str">
        <f t="shared" si="0"/>
        <v/>
      </c>
      <c r="V17" s="61" t="str">
        <f t="shared" si="1"/>
        <v/>
      </c>
      <c r="W17" s="62" t="str">
        <f t="shared" si="2"/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10"/>
        <v/>
      </c>
      <c r="B18" s="18" t="str">
        <f t="shared" si="9"/>
        <v/>
      </c>
      <c r="C18" s="18" t="str">
        <f t="shared" si="11"/>
        <v/>
      </c>
      <c r="D18" s="18" t="str">
        <f t="shared" si="5"/>
        <v/>
      </c>
      <c r="E18" s="4"/>
      <c r="F18" s="8"/>
      <c r="G18" s="9"/>
      <c r="H18" s="9"/>
      <c r="I18" s="55"/>
      <c r="J18" s="21" t="str">
        <f t="shared" si="6"/>
        <v/>
      </c>
      <c r="K18" s="8"/>
      <c r="L18" s="9"/>
      <c r="M18" s="9"/>
      <c r="N18" s="55"/>
      <c r="O18" s="21" t="str">
        <f t="shared" si="7"/>
        <v/>
      </c>
      <c r="P18" s="8"/>
      <c r="Q18" s="9"/>
      <c r="R18" s="9"/>
      <c r="S18" s="55"/>
      <c r="T18" s="21" t="str">
        <f t="shared" si="8"/>
        <v/>
      </c>
      <c r="U18" s="60" t="str">
        <f t="shared" si="0"/>
        <v/>
      </c>
      <c r="V18" s="61" t="str">
        <f t="shared" si="1"/>
        <v/>
      </c>
      <c r="W18" s="62" t="str">
        <f t="shared" si="2"/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10"/>
        <v/>
      </c>
      <c r="B19" s="18" t="str">
        <f t="shared" si="9"/>
        <v/>
      </c>
      <c r="C19" s="18" t="str">
        <f t="shared" si="11"/>
        <v/>
      </c>
      <c r="D19" s="18" t="str">
        <f t="shared" si="5"/>
        <v/>
      </c>
      <c r="E19" s="4"/>
      <c r="F19" s="8"/>
      <c r="G19" s="9"/>
      <c r="H19" s="9"/>
      <c r="I19" s="55"/>
      <c r="J19" s="21" t="str">
        <f t="shared" si="6"/>
        <v/>
      </c>
      <c r="K19" s="8"/>
      <c r="L19" s="9"/>
      <c r="M19" s="9"/>
      <c r="N19" s="55"/>
      <c r="O19" s="21" t="str">
        <f t="shared" si="7"/>
        <v/>
      </c>
      <c r="P19" s="8"/>
      <c r="Q19" s="9"/>
      <c r="R19" s="9"/>
      <c r="S19" s="55"/>
      <c r="T19" s="21" t="str">
        <f t="shared" si="8"/>
        <v/>
      </c>
      <c r="U19" s="60" t="str">
        <f t="shared" si="0"/>
        <v/>
      </c>
      <c r="V19" s="61" t="str">
        <f t="shared" si="1"/>
        <v/>
      </c>
      <c r="W19" s="62" t="str">
        <f t="shared" si="2"/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10"/>
        <v/>
      </c>
      <c r="B20" s="18" t="str">
        <f t="shared" si="9"/>
        <v/>
      </c>
      <c r="C20" s="18" t="str">
        <f t="shared" si="11"/>
        <v/>
      </c>
      <c r="D20" s="18" t="str">
        <f t="shared" si="5"/>
        <v/>
      </c>
      <c r="E20" s="4"/>
      <c r="F20" s="8"/>
      <c r="G20" s="9"/>
      <c r="H20" s="9"/>
      <c r="I20" s="55"/>
      <c r="J20" s="21" t="str">
        <f t="shared" si="6"/>
        <v/>
      </c>
      <c r="K20" s="8"/>
      <c r="L20" s="9"/>
      <c r="M20" s="9"/>
      <c r="N20" s="55"/>
      <c r="O20" s="21" t="str">
        <f t="shared" si="7"/>
        <v/>
      </c>
      <c r="P20" s="8"/>
      <c r="Q20" s="9"/>
      <c r="R20" s="9"/>
      <c r="S20" s="55"/>
      <c r="T20" s="21" t="str">
        <f t="shared" si="8"/>
        <v/>
      </c>
      <c r="U20" s="60" t="str">
        <f t="shared" si="0"/>
        <v/>
      </c>
      <c r="V20" s="61" t="str">
        <f t="shared" si="1"/>
        <v/>
      </c>
      <c r="W20" s="62" t="str">
        <f t="shared" si="2"/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10"/>
        <v/>
      </c>
      <c r="B21" s="18" t="str">
        <f t="shared" si="9"/>
        <v/>
      </c>
      <c r="C21" s="18" t="str">
        <f t="shared" si="11"/>
        <v/>
      </c>
      <c r="D21" s="18" t="str">
        <f t="shared" si="5"/>
        <v/>
      </c>
      <c r="E21" s="4"/>
      <c r="F21" s="8"/>
      <c r="G21" s="9"/>
      <c r="H21" s="9"/>
      <c r="I21" s="55"/>
      <c r="J21" s="21" t="str">
        <f t="shared" si="6"/>
        <v/>
      </c>
      <c r="K21" s="8"/>
      <c r="L21" s="9"/>
      <c r="M21" s="9"/>
      <c r="N21" s="55"/>
      <c r="O21" s="21" t="str">
        <f t="shared" si="7"/>
        <v/>
      </c>
      <c r="P21" s="8"/>
      <c r="Q21" s="9"/>
      <c r="R21" s="9"/>
      <c r="S21" s="55"/>
      <c r="T21" s="21" t="str">
        <f t="shared" si="8"/>
        <v/>
      </c>
      <c r="U21" s="60" t="str">
        <f t="shared" si="0"/>
        <v/>
      </c>
      <c r="V21" s="61" t="str">
        <f t="shared" si="1"/>
        <v/>
      </c>
      <c r="W21" s="62" t="str">
        <f t="shared" si="2"/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10"/>
        <v/>
      </c>
      <c r="B22" s="18" t="str">
        <f t="shared" si="9"/>
        <v/>
      </c>
      <c r="C22" s="18" t="str">
        <f t="shared" si="11"/>
        <v/>
      </c>
      <c r="D22" s="18" t="str">
        <f t="shared" si="5"/>
        <v/>
      </c>
      <c r="E22" s="4"/>
      <c r="F22" s="8"/>
      <c r="G22" s="9"/>
      <c r="H22" s="9"/>
      <c r="I22" s="55"/>
      <c r="J22" s="21" t="str">
        <f t="shared" si="6"/>
        <v/>
      </c>
      <c r="K22" s="8"/>
      <c r="L22" s="9"/>
      <c r="M22" s="9"/>
      <c r="N22" s="55"/>
      <c r="O22" s="21" t="str">
        <f t="shared" si="7"/>
        <v/>
      </c>
      <c r="P22" s="8"/>
      <c r="Q22" s="9"/>
      <c r="R22" s="9"/>
      <c r="S22" s="55"/>
      <c r="T22" s="21" t="str">
        <f t="shared" si="8"/>
        <v/>
      </c>
      <c r="U22" s="60" t="str">
        <f t="shared" si="0"/>
        <v/>
      </c>
      <c r="V22" s="61" t="str">
        <f t="shared" si="1"/>
        <v/>
      </c>
      <c r="W22" s="62" t="str">
        <f t="shared" si="2"/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10"/>
        <v/>
      </c>
      <c r="B23" s="18" t="str">
        <f t="shared" si="9"/>
        <v/>
      </c>
      <c r="C23" s="18" t="str">
        <f t="shared" si="11"/>
        <v/>
      </c>
      <c r="D23" s="18" t="str">
        <f t="shared" si="5"/>
        <v/>
      </c>
      <c r="E23" s="4"/>
      <c r="F23" s="8"/>
      <c r="G23" s="9"/>
      <c r="H23" s="9"/>
      <c r="I23" s="55"/>
      <c r="J23" s="21" t="str">
        <f t="shared" si="6"/>
        <v/>
      </c>
      <c r="K23" s="8"/>
      <c r="L23" s="9"/>
      <c r="M23" s="9"/>
      <c r="N23" s="55"/>
      <c r="O23" s="21" t="str">
        <f t="shared" si="7"/>
        <v/>
      </c>
      <c r="P23" s="8"/>
      <c r="Q23" s="9"/>
      <c r="R23" s="9"/>
      <c r="S23" s="55"/>
      <c r="T23" s="21" t="str">
        <f t="shared" si="8"/>
        <v/>
      </c>
      <c r="U23" s="60" t="str">
        <f t="shared" si="0"/>
        <v/>
      </c>
      <c r="V23" s="61" t="str">
        <f t="shared" si="1"/>
        <v/>
      </c>
      <c r="W23" s="62" t="str">
        <f t="shared" si="2"/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10"/>
        <v/>
      </c>
      <c r="B24" s="18" t="str">
        <f t="shared" si="9"/>
        <v/>
      </c>
      <c r="C24" s="18" t="str">
        <f t="shared" si="11"/>
        <v/>
      </c>
      <c r="D24" s="18" t="str">
        <f t="shared" si="5"/>
        <v/>
      </c>
      <c r="E24" s="4"/>
      <c r="F24" s="8"/>
      <c r="G24" s="9"/>
      <c r="H24" s="9"/>
      <c r="I24" s="55"/>
      <c r="J24" s="21" t="str">
        <f t="shared" si="6"/>
        <v/>
      </c>
      <c r="K24" s="8"/>
      <c r="L24" s="9"/>
      <c r="M24" s="9"/>
      <c r="N24" s="55"/>
      <c r="O24" s="21" t="str">
        <f t="shared" si="7"/>
        <v/>
      </c>
      <c r="P24" s="8"/>
      <c r="Q24" s="9"/>
      <c r="R24" s="9"/>
      <c r="S24" s="55"/>
      <c r="T24" s="21" t="str">
        <f t="shared" si="8"/>
        <v/>
      </c>
      <c r="U24" s="60" t="str">
        <f t="shared" si="0"/>
        <v/>
      </c>
      <c r="V24" s="61" t="str">
        <f t="shared" si="1"/>
        <v/>
      </c>
      <c r="W24" s="62" t="str">
        <f t="shared" si="2"/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10"/>
        <v/>
      </c>
      <c r="B25" s="18" t="str">
        <f t="shared" si="9"/>
        <v/>
      </c>
      <c r="C25" s="18" t="str">
        <f t="shared" si="11"/>
        <v/>
      </c>
      <c r="D25" s="18" t="str">
        <f t="shared" si="5"/>
        <v/>
      </c>
      <c r="E25" s="4"/>
      <c r="F25" s="8"/>
      <c r="G25" s="9"/>
      <c r="H25" s="9"/>
      <c r="I25" s="55"/>
      <c r="J25" s="21" t="str">
        <f t="shared" si="6"/>
        <v/>
      </c>
      <c r="K25" s="8"/>
      <c r="L25" s="9"/>
      <c r="M25" s="9"/>
      <c r="N25" s="55"/>
      <c r="O25" s="21" t="str">
        <f t="shared" si="7"/>
        <v/>
      </c>
      <c r="P25" s="8"/>
      <c r="Q25" s="9"/>
      <c r="R25" s="9"/>
      <c r="S25" s="55"/>
      <c r="T25" s="21" t="str">
        <f t="shared" si="8"/>
        <v/>
      </c>
      <c r="U25" s="60" t="str">
        <f t="shared" si="0"/>
        <v/>
      </c>
      <c r="V25" s="61" t="str">
        <f t="shared" si="1"/>
        <v/>
      </c>
      <c r="W25" s="62" t="str">
        <f t="shared" si="2"/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10"/>
        <v/>
      </c>
      <c r="B26" s="18" t="str">
        <f t="shared" si="9"/>
        <v/>
      </c>
      <c r="C26" s="18" t="str">
        <f t="shared" si="11"/>
        <v/>
      </c>
      <c r="D26" s="18" t="str">
        <f t="shared" si="5"/>
        <v/>
      </c>
      <c r="E26" s="4"/>
      <c r="F26" s="8"/>
      <c r="G26" s="9"/>
      <c r="H26" s="9"/>
      <c r="I26" s="55"/>
      <c r="J26" s="21" t="str">
        <f t="shared" si="6"/>
        <v/>
      </c>
      <c r="K26" s="8"/>
      <c r="L26" s="9"/>
      <c r="M26" s="9"/>
      <c r="N26" s="55"/>
      <c r="O26" s="21" t="str">
        <f t="shared" si="7"/>
        <v/>
      </c>
      <c r="P26" s="8"/>
      <c r="Q26" s="9"/>
      <c r="R26" s="9"/>
      <c r="S26" s="55"/>
      <c r="T26" s="21" t="str">
        <f t="shared" si="8"/>
        <v/>
      </c>
      <c r="U26" s="60" t="str">
        <f t="shared" si="0"/>
        <v/>
      </c>
      <c r="V26" s="61" t="str">
        <f t="shared" si="1"/>
        <v/>
      </c>
      <c r="W26" s="62" t="str">
        <f t="shared" si="2"/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10"/>
        <v/>
      </c>
      <c r="B27" s="18" t="str">
        <f t="shared" si="9"/>
        <v/>
      </c>
      <c r="C27" s="18" t="str">
        <f t="shared" si="11"/>
        <v/>
      </c>
      <c r="D27" s="18" t="str">
        <f t="shared" si="5"/>
        <v/>
      </c>
      <c r="E27" s="4"/>
      <c r="F27" s="8"/>
      <c r="G27" s="9"/>
      <c r="H27" s="9"/>
      <c r="I27" s="55"/>
      <c r="J27" s="21" t="str">
        <f t="shared" si="6"/>
        <v/>
      </c>
      <c r="K27" s="8"/>
      <c r="L27" s="9"/>
      <c r="M27" s="9"/>
      <c r="N27" s="55"/>
      <c r="O27" s="21" t="str">
        <f t="shared" si="7"/>
        <v/>
      </c>
      <c r="P27" s="8"/>
      <c r="Q27" s="9"/>
      <c r="R27" s="9"/>
      <c r="S27" s="55"/>
      <c r="T27" s="21" t="str">
        <f t="shared" si="8"/>
        <v/>
      </c>
      <c r="U27" s="60" t="str">
        <f t="shared" si="0"/>
        <v/>
      </c>
      <c r="V27" s="61" t="str">
        <f t="shared" si="1"/>
        <v/>
      </c>
      <c r="W27" s="62" t="str">
        <f t="shared" si="2"/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10"/>
        <v/>
      </c>
      <c r="B28" s="18" t="str">
        <f t="shared" si="9"/>
        <v/>
      </c>
      <c r="C28" s="18" t="str">
        <f t="shared" si="11"/>
        <v/>
      </c>
      <c r="D28" s="18" t="str">
        <f t="shared" si="5"/>
        <v/>
      </c>
      <c r="E28" s="4"/>
      <c r="F28" s="8"/>
      <c r="G28" s="9"/>
      <c r="H28" s="9"/>
      <c r="I28" s="55"/>
      <c r="J28" s="21" t="str">
        <f t="shared" si="6"/>
        <v/>
      </c>
      <c r="K28" s="8"/>
      <c r="L28" s="9"/>
      <c r="M28" s="9"/>
      <c r="N28" s="55"/>
      <c r="O28" s="21" t="str">
        <f t="shared" si="7"/>
        <v/>
      </c>
      <c r="P28" s="8"/>
      <c r="Q28" s="9"/>
      <c r="R28" s="9"/>
      <c r="S28" s="55"/>
      <c r="T28" s="21" t="str">
        <f t="shared" si="8"/>
        <v/>
      </c>
      <c r="U28" s="60" t="str">
        <f t="shared" si="0"/>
        <v/>
      </c>
      <c r="V28" s="61" t="str">
        <f t="shared" si="1"/>
        <v/>
      </c>
      <c r="W28" s="62" t="str">
        <f t="shared" si="2"/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10"/>
        <v/>
      </c>
      <c r="B29" s="18" t="str">
        <f t="shared" si="9"/>
        <v/>
      </c>
      <c r="C29" s="18" t="str">
        <f t="shared" si="11"/>
        <v/>
      </c>
      <c r="D29" s="18" t="str">
        <f t="shared" si="5"/>
        <v/>
      </c>
      <c r="E29" s="4"/>
      <c r="F29" s="8"/>
      <c r="G29" s="9"/>
      <c r="H29" s="9"/>
      <c r="I29" s="55"/>
      <c r="J29" s="21" t="str">
        <f t="shared" si="6"/>
        <v/>
      </c>
      <c r="K29" s="8"/>
      <c r="L29" s="9"/>
      <c r="M29" s="9"/>
      <c r="N29" s="55"/>
      <c r="O29" s="21" t="str">
        <f t="shared" si="7"/>
        <v/>
      </c>
      <c r="P29" s="8"/>
      <c r="Q29" s="9"/>
      <c r="R29" s="9"/>
      <c r="S29" s="55"/>
      <c r="T29" s="21" t="str">
        <f t="shared" si="8"/>
        <v/>
      </c>
      <c r="U29" s="60" t="str">
        <f t="shared" si="0"/>
        <v/>
      </c>
      <c r="V29" s="61" t="str">
        <f t="shared" si="1"/>
        <v/>
      </c>
      <c r="W29" s="62" t="str">
        <f t="shared" si="2"/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10"/>
        <v/>
      </c>
      <c r="B30" s="19" t="str">
        <f t="shared" si="9"/>
        <v/>
      </c>
      <c r="C30" s="19" t="str">
        <f t="shared" si="11"/>
        <v/>
      </c>
      <c r="D30" s="19" t="str">
        <f t="shared" si="5"/>
        <v/>
      </c>
      <c r="E30" s="5"/>
      <c r="F30" s="10"/>
      <c r="G30" s="11"/>
      <c r="H30" s="11"/>
      <c r="I30" s="56"/>
      <c r="J30" s="22" t="str">
        <f t="shared" si="6"/>
        <v/>
      </c>
      <c r="K30" s="10"/>
      <c r="L30" s="11"/>
      <c r="M30" s="11"/>
      <c r="N30" s="56"/>
      <c r="O30" s="22" t="str">
        <f t="shared" si="7"/>
        <v/>
      </c>
      <c r="P30" s="10"/>
      <c r="Q30" s="11"/>
      <c r="R30" s="11"/>
      <c r="S30" s="56"/>
      <c r="T30" s="22" t="str">
        <f t="shared" si="8"/>
        <v/>
      </c>
      <c r="U30" s="63" t="str">
        <f t="shared" si="0"/>
        <v/>
      </c>
      <c r="V30" s="64" t="str">
        <f t="shared" si="1"/>
        <v/>
      </c>
      <c r="W30" s="65" t="str">
        <f t="shared" si="2"/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T1:BN1"/>
    <mergeCell ref="AZ2:BN2"/>
    <mergeCell ref="BO1:CI1"/>
    <mergeCell ref="BU2:CI2"/>
    <mergeCell ref="A1:A2"/>
    <mergeCell ref="B1:B2"/>
    <mergeCell ref="C1:C2"/>
    <mergeCell ref="D1:D2"/>
    <mergeCell ref="E1:E2"/>
    <mergeCell ref="Y1:AS1"/>
    <mergeCell ref="AE2:AS2"/>
    <mergeCell ref="K1:O1"/>
    <mergeCell ref="P1:T1"/>
    <mergeCell ref="F1:J1"/>
    <mergeCell ref="U1:W1"/>
  </mergeCells>
  <phoneticPr fontId="1"/>
  <conditionalFormatting sqref="G4:G30 L4:L30 Q4:Q30">
    <cfRule type="expression" dxfId="24" priority="5">
      <formula>IF(G4&lt;&gt;"",SUM($G4:$I4,$L4:$N4,$Q4:$S4)-$D4*1000+$D5*1000)</formula>
    </cfRule>
  </conditionalFormatting>
  <conditionalFormatting sqref="F1:G1 I1:L1 S1:T1 N1:Q1">
    <cfRule type="duplicateValues" dxfId="23" priority="4"/>
  </conditionalFormatting>
  <conditionalFormatting sqref="H1">
    <cfRule type="duplicateValues" dxfId="22" priority="3"/>
  </conditionalFormatting>
  <conditionalFormatting sqref="R1">
    <cfRule type="duplicateValues" dxfId="21" priority="2"/>
  </conditionalFormatting>
  <conditionalFormatting sqref="M1">
    <cfRule type="duplicateValues" dxfId="20" priority="1"/>
  </conditionalFormatting>
  <dataValidations count="2">
    <dataValidation type="list" showInputMessage="1" showErrorMessage="1" sqref="K4:K30 P4:P30 F4:F30" xr:uid="{587ED49A-2F08-4F69-A510-DEF5A3CAE504}">
      <formula1>"ロン,ツモ,放銃,ツモ支払,流局,チョンボ"</formula1>
    </dataValidation>
    <dataValidation type="list" allowBlank="1" showInputMessage="1" showErrorMessage="1" sqref="E4:E30" xr:uid="{2F9C0077-4829-4DF7-8D65-C29693CCEA30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C16D78-77FE-4A7B-8588-725F40B3AA45}">
  <sheetPr codeName="Sheet10">
    <pageSetUpPr fitToPage="1"/>
  </sheetPr>
  <dimension ref="A1:CI30"/>
  <sheetViews>
    <sheetView zoomScaleNormal="100" workbookViewId="0">
      <selection sqref="A1:A2"/>
    </sheetView>
  </sheetViews>
  <sheetFormatPr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83" t="s">
        <v>0</v>
      </c>
      <c r="B1" s="85" t="s">
        <v>2</v>
      </c>
      <c r="C1" s="85" t="s">
        <v>1</v>
      </c>
      <c r="D1" s="85" t="s">
        <v>22</v>
      </c>
      <c r="E1" s="87" t="s">
        <v>3</v>
      </c>
      <c r="F1" s="78" t="s">
        <v>136</v>
      </c>
      <c r="G1" s="80"/>
      <c r="H1" s="80"/>
      <c r="I1" s="89"/>
      <c r="J1" s="81"/>
      <c r="K1" s="78" t="s">
        <v>138</v>
      </c>
      <c r="L1" s="80"/>
      <c r="M1" s="80"/>
      <c r="N1" s="89"/>
      <c r="O1" s="81"/>
      <c r="P1" s="78" t="s">
        <v>152</v>
      </c>
      <c r="Q1" s="80"/>
      <c r="R1" s="80"/>
      <c r="S1" s="89"/>
      <c r="T1" s="81"/>
      <c r="U1" s="78" t="s">
        <v>6</v>
      </c>
      <c r="V1" s="80"/>
      <c r="W1" s="81"/>
      <c r="Y1" s="78" t="str">
        <f>F1</f>
        <v>だいち</v>
      </c>
      <c r="Z1" s="79"/>
      <c r="AA1" s="80"/>
      <c r="AB1" s="80"/>
      <c r="AC1" s="80"/>
      <c r="AD1" s="80"/>
      <c r="AE1" s="80"/>
      <c r="AF1" s="80"/>
      <c r="AG1" s="80"/>
      <c r="AH1" s="80"/>
      <c r="AI1" s="80"/>
      <c r="AJ1" s="80"/>
      <c r="AK1" s="80"/>
      <c r="AL1" s="80"/>
      <c r="AM1" s="80"/>
      <c r="AN1" s="80"/>
      <c r="AO1" s="80"/>
      <c r="AP1" s="80"/>
      <c r="AQ1" s="80"/>
      <c r="AR1" s="80"/>
      <c r="AS1" s="81"/>
      <c r="AT1" s="78" t="str">
        <f>K1</f>
        <v>ただ</v>
      </c>
      <c r="AU1" s="79"/>
      <c r="AV1" s="80"/>
      <c r="AW1" s="80"/>
      <c r="AX1" s="80"/>
      <c r="AY1" s="80"/>
      <c r="AZ1" s="80"/>
      <c r="BA1" s="80"/>
      <c r="BB1" s="80"/>
      <c r="BC1" s="80"/>
      <c r="BD1" s="80"/>
      <c r="BE1" s="80"/>
      <c r="BF1" s="80"/>
      <c r="BG1" s="80"/>
      <c r="BH1" s="80"/>
      <c r="BI1" s="80"/>
      <c r="BJ1" s="80"/>
      <c r="BK1" s="80"/>
      <c r="BL1" s="80"/>
      <c r="BM1" s="80"/>
      <c r="BN1" s="81"/>
      <c r="BO1" s="78" t="str">
        <f>P1</f>
        <v>たかの</v>
      </c>
      <c r="BP1" s="79"/>
      <c r="BQ1" s="80"/>
      <c r="BR1" s="80"/>
      <c r="BS1" s="80"/>
      <c r="BT1" s="80"/>
      <c r="BU1" s="80"/>
      <c r="BV1" s="80"/>
      <c r="BW1" s="80"/>
      <c r="BX1" s="80"/>
      <c r="BY1" s="80"/>
      <c r="BZ1" s="80"/>
      <c r="CA1" s="80"/>
      <c r="CB1" s="80"/>
      <c r="CC1" s="80"/>
      <c r="CD1" s="80"/>
      <c r="CE1" s="80"/>
      <c r="CF1" s="80"/>
      <c r="CG1" s="80"/>
      <c r="CH1" s="80"/>
      <c r="CI1" s="81"/>
    </row>
    <row r="2" spans="1:87" x14ac:dyDescent="0.4">
      <c r="A2" s="84"/>
      <c r="B2" s="86"/>
      <c r="C2" s="86"/>
      <c r="D2" s="86"/>
      <c r="E2" s="88"/>
      <c r="F2" s="1" t="s">
        <v>5</v>
      </c>
      <c r="G2" s="2" t="s">
        <v>9</v>
      </c>
      <c r="H2" s="2" t="s">
        <v>23</v>
      </c>
      <c r="I2" s="5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70" t="str">
        <f>$F$1</f>
        <v>だいち</v>
      </c>
      <c r="V2" s="71" t="str">
        <f>$K$1</f>
        <v>ただ</v>
      </c>
      <c r="W2" s="16" t="str">
        <f>$P$1</f>
        <v>たかの</v>
      </c>
      <c r="Y2" s="66" t="s">
        <v>24</v>
      </c>
      <c r="Z2" s="67" t="s">
        <v>27</v>
      </c>
      <c r="AA2" s="68" t="s">
        <v>25</v>
      </c>
      <c r="AB2" s="68" t="s">
        <v>128</v>
      </c>
      <c r="AC2" s="68" t="s">
        <v>19</v>
      </c>
      <c r="AD2" s="69" t="s">
        <v>20</v>
      </c>
      <c r="AE2" s="82" t="s">
        <v>21</v>
      </c>
      <c r="AF2" s="82"/>
      <c r="AG2" s="82"/>
      <c r="AH2" s="82"/>
      <c r="AI2" s="82"/>
      <c r="AJ2" s="82"/>
      <c r="AK2" s="82"/>
      <c r="AL2" s="82"/>
      <c r="AM2" s="82"/>
      <c r="AN2" s="82"/>
      <c r="AO2" s="82"/>
      <c r="AP2" s="82"/>
      <c r="AQ2" s="82"/>
      <c r="AR2" s="82"/>
      <c r="AS2" s="82"/>
      <c r="AT2" s="66" t="s">
        <v>24</v>
      </c>
      <c r="AU2" s="67" t="s">
        <v>27</v>
      </c>
      <c r="AV2" s="68" t="s">
        <v>25</v>
      </c>
      <c r="AW2" s="68" t="s">
        <v>129</v>
      </c>
      <c r="AX2" s="68" t="s">
        <v>19</v>
      </c>
      <c r="AY2" s="69" t="s">
        <v>20</v>
      </c>
      <c r="AZ2" s="82" t="s">
        <v>21</v>
      </c>
      <c r="BA2" s="82"/>
      <c r="BB2" s="82"/>
      <c r="BC2" s="82"/>
      <c r="BD2" s="82"/>
      <c r="BE2" s="82"/>
      <c r="BF2" s="82"/>
      <c r="BG2" s="82"/>
      <c r="BH2" s="82"/>
      <c r="BI2" s="82"/>
      <c r="BJ2" s="82"/>
      <c r="BK2" s="82"/>
      <c r="BL2" s="82"/>
      <c r="BM2" s="82"/>
      <c r="BN2" s="82"/>
      <c r="BO2" s="66" t="s">
        <v>24</v>
      </c>
      <c r="BP2" s="67" t="s">
        <v>27</v>
      </c>
      <c r="BQ2" s="68" t="s">
        <v>25</v>
      </c>
      <c r="BR2" s="68" t="s">
        <v>129</v>
      </c>
      <c r="BS2" s="68" t="s">
        <v>19</v>
      </c>
      <c r="BT2" s="69" t="s">
        <v>20</v>
      </c>
      <c r="BU2" s="82" t="s">
        <v>21</v>
      </c>
      <c r="BV2" s="82"/>
      <c r="BW2" s="82"/>
      <c r="BX2" s="82"/>
      <c r="BY2" s="82"/>
      <c r="BZ2" s="82"/>
      <c r="CA2" s="82"/>
      <c r="CB2" s="82"/>
      <c r="CC2" s="82"/>
      <c r="CD2" s="82"/>
      <c r="CE2" s="82"/>
      <c r="CF2" s="82"/>
      <c r="CG2" s="82"/>
      <c r="CH2" s="82"/>
      <c r="CI2" s="82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IF($J3="","",ROUND(($J3-$J$3)/1000,1))</f>
        <v>0</v>
      </c>
      <c r="V3" s="58">
        <f>IF($O3="","",ROUND(($O3-$O$3)/1000,1))</f>
        <v>0</v>
      </c>
      <c r="W3" s="59">
        <f>IF($T3="","",ROUND(($T3-$T$3)/1000,1))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137</v>
      </c>
      <c r="F4" s="8" t="s">
        <v>142</v>
      </c>
      <c r="G4" s="9">
        <v>12000</v>
      </c>
      <c r="H4" s="9"/>
      <c r="I4" s="55">
        <v>0</v>
      </c>
      <c r="J4" s="21">
        <f>IF(COUNTA($F4,$K4,$P4)&gt;0,J3+SUM(G4:I4),"")</f>
        <v>47000</v>
      </c>
      <c r="K4" s="8"/>
      <c r="L4" s="9"/>
      <c r="M4" s="9"/>
      <c r="N4" s="55"/>
      <c r="O4" s="21">
        <f>IF(COUNTA($F4,$K4,$P4)&gt;0,O3+SUM(L4:N4),"")</f>
        <v>35000</v>
      </c>
      <c r="P4" s="8" t="s">
        <v>141</v>
      </c>
      <c r="Q4" s="9">
        <v>-12000</v>
      </c>
      <c r="R4" s="9"/>
      <c r="S4" s="55">
        <v>0</v>
      </c>
      <c r="T4" s="21">
        <f>IF(COUNTA($F4,$K4,$P4)&gt;0,T3+SUM(Q4:S4),"")</f>
        <v>23000</v>
      </c>
      <c r="U4" s="60">
        <f t="shared" ref="U4:U30" si="0">IF($J4="","",ROUND(($J4-$J$3)/1000,1))</f>
        <v>12</v>
      </c>
      <c r="V4" s="61">
        <f t="shared" ref="V4:V30" si="1">IF($O4="","",ROUND(($O4-$O$3)/1000,1))</f>
        <v>0</v>
      </c>
      <c r="W4" s="62">
        <f t="shared" ref="W4:W30" si="2">IF($T4="","",ROUND(($T4-$T$3)/1000,1))</f>
        <v>-12</v>
      </c>
      <c r="Y4" s="8"/>
      <c r="Z4" s="41"/>
      <c r="AA4" s="32"/>
      <c r="AB4" s="32">
        <v>1</v>
      </c>
      <c r="AC4" s="32">
        <v>6</v>
      </c>
      <c r="AD4" s="36" t="s">
        <v>144</v>
      </c>
      <c r="AE4" s="47" t="s">
        <v>87</v>
      </c>
      <c r="AF4" s="48" t="s">
        <v>87</v>
      </c>
      <c r="AG4" s="48" t="s">
        <v>82</v>
      </c>
      <c r="AH4" s="48" t="s">
        <v>82</v>
      </c>
      <c r="AI4" s="48" t="s">
        <v>105</v>
      </c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/>
      <c r="AW4" s="32"/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/>
      <c r="BR4" s="32"/>
      <c r="BS4" s="32"/>
      <c r="BT4" s="36"/>
      <c r="BU4" s="47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30" si="3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 t="shared" ref="C5:C30" si="4">IF($E5="","",IF(F4="チョンボ",C4,IF($E4=$E5,C4+1,0)))</f>
        <v>0</v>
      </c>
      <c r="D5" s="18">
        <f t="shared" ref="D5:D30" si="5">IF($E5="","",IF(OR($F4="流局",$F4="チョンボ"),D4+($H4+$M4+$R4)/-1000,0))</f>
        <v>0</v>
      </c>
      <c r="E5" s="4" t="s">
        <v>151</v>
      </c>
      <c r="F5" s="8" t="s">
        <v>153</v>
      </c>
      <c r="G5" s="9">
        <v>0</v>
      </c>
      <c r="H5" s="9">
        <v>-1000</v>
      </c>
      <c r="I5" s="55"/>
      <c r="J5" s="21">
        <f t="shared" ref="J5:J30" si="6">IF(COUNTA($F5,$K5,$P5)&gt;0,J4+SUM(G5:I5),"")</f>
        <v>46000</v>
      </c>
      <c r="K5" s="8" t="s">
        <v>153</v>
      </c>
      <c r="L5" s="9">
        <v>0</v>
      </c>
      <c r="M5" s="9"/>
      <c r="N5" s="55"/>
      <c r="O5" s="21">
        <f t="shared" ref="O5:O30" si="7">IF(COUNTA($F5,$K5,$P5)&gt;0,O4+SUM(L5:N5),"")</f>
        <v>35000</v>
      </c>
      <c r="P5" s="8" t="s">
        <v>153</v>
      </c>
      <c r="Q5" s="9">
        <v>0</v>
      </c>
      <c r="R5" s="9"/>
      <c r="S5" s="55"/>
      <c r="T5" s="21">
        <f t="shared" ref="T5:T30" si="8">IF(COUNTA($F5,$K5,$P5)&gt;0,T4+SUM(Q5:S5),"")</f>
        <v>23000</v>
      </c>
      <c r="U5" s="60">
        <f t="shared" si="0"/>
        <v>11</v>
      </c>
      <c r="V5" s="61">
        <f t="shared" si="1"/>
        <v>0</v>
      </c>
      <c r="W5" s="62">
        <f t="shared" si="2"/>
        <v>-12</v>
      </c>
      <c r="Y5" s="8" t="s">
        <v>146</v>
      </c>
      <c r="Z5" s="41"/>
      <c r="AA5" s="32">
        <v>1</v>
      </c>
      <c r="AB5" s="32"/>
      <c r="AC5" s="32"/>
      <c r="AD5" s="36"/>
      <c r="AE5" s="47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 t="s">
        <v>146</v>
      </c>
      <c r="AU5" s="41"/>
      <c r="AV5" s="32"/>
      <c r="AW5" s="32">
        <v>1</v>
      </c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 t="s">
        <v>146</v>
      </c>
      <c r="BP5" s="41"/>
      <c r="BQ5" s="32"/>
      <c r="BR5" s="32"/>
      <c r="BS5" s="32"/>
      <c r="BT5" s="36"/>
      <c r="BU5" s="47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3"/>
        <v>東</v>
      </c>
      <c r="B6" s="18">
        <f t="shared" ref="B6:B30" si="9">IF($E6="","",IF($E5=$E6,B5,IF(B5=3,1,B5+1)))</f>
        <v>2</v>
      </c>
      <c r="C6" s="18">
        <f t="shared" si="4"/>
        <v>1</v>
      </c>
      <c r="D6" s="18">
        <f t="shared" si="5"/>
        <v>1</v>
      </c>
      <c r="E6" s="4" t="s">
        <v>151</v>
      </c>
      <c r="F6" s="8" t="s">
        <v>149</v>
      </c>
      <c r="G6" s="9">
        <v>6400</v>
      </c>
      <c r="H6" s="9">
        <v>1000</v>
      </c>
      <c r="I6" s="55">
        <v>1000</v>
      </c>
      <c r="J6" s="21">
        <f t="shared" si="6"/>
        <v>54400</v>
      </c>
      <c r="K6" s="8" t="s">
        <v>148</v>
      </c>
      <c r="L6" s="9">
        <v>-2400</v>
      </c>
      <c r="M6" s="9"/>
      <c r="N6" s="55">
        <v>-500</v>
      </c>
      <c r="O6" s="21">
        <f t="shared" si="7"/>
        <v>32100</v>
      </c>
      <c r="P6" s="8" t="s">
        <v>148</v>
      </c>
      <c r="Q6" s="9">
        <v>-4000</v>
      </c>
      <c r="R6" s="9"/>
      <c r="S6" s="55">
        <v>-500</v>
      </c>
      <c r="T6" s="21">
        <f t="shared" si="8"/>
        <v>18500</v>
      </c>
      <c r="U6" s="60">
        <f t="shared" si="0"/>
        <v>19.399999999999999</v>
      </c>
      <c r="V6" s="61">
        <f t="shared" si="1"/>
        <v>-2.9</v>
      </c>
      <c r="W6" s="62">
        <f t="shared" si="2"/>
        <v>-16.5</v>
      </c>
      <c r="Y6" s="8"/>
      <c r="Z6" s="41"/>
      <c r="AA6" s="32">
        <v>1</v>
      </c>
      <c r="AB6" s="32"/>
      <c r="AC6" s="32">
        <v>4</v>
      </c>
      <c r="AD6" s="36">
        <v>25</v>
      </c>
      <c r="AE6" s="47" t="s">
        <v>143</v>
      </c>
      <c r="AF6" s="48" t="s">
        <v>83</v>
      </c>
      <c r="AG6" s="48" t="s">
        <v>102</v>
      </c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/>
      <c r="AW6" s="32"/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/>
      <c r="BR6" s="32"/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si="3"/>
        <v>東</v>
      </c>
      <c r="B7" s="18">
        <f t="shared" si="9"/>
        <v>3</v>
      </c>
      <c r="C7" s="18">
        <f t="shared" si="4"/>
        <v>0</v>
      </c>
      <c r="D7" s="18">
        <f t="shared" si="5"/>
        <v>0</v>
      </c>
      <c r="E7" s="4" t="s">
        <v>135</v>
      </c>
      <c r="F7" s="8" t="s">
        <v>153</v>
      </c>
      <c r="G7" s="9">
        <v>-3000</v>
      </c>
      <c r="H7" s="9"/>
      <c r="I7" s="55"/>
      <c r="J7" s="21">
        <f t="shared" si="6"/>
        <v>51400</v>
      </c>
      <c r="K7" s="8" t="s">
        <v>153</v>
      </c>
      <c r="L7" s="9">
        <v>1500</v>
      </c>
      <c r="M7" s="9">
        <v>-1000</v>
      </c>
      <c r="N7" s="55"/>
      <c r="O7" s="21">
        <f t="shared" si="7"/>
        <v>32600</v>
      </c>
      <c r="P7" s="8" t="s">
        <v>153</v>
      </c>
      <c r="Q7" s="9">
        <v>1500</v>
      </c>
      <c r="R7" s="9"/>
      <c r="S7" s="55"/>
      <c r="T7" s="21">
        <f t="shared" si="8"/>
        <v>20000</v>
      </c>
      <c r="U7" s="60">
        <f t="shared" si="0"/>
        <v>16.399999999999999</v>
      </c>
      <c r="V7" s="61">
        <f t="shared" si="1"/>
        <v>-2.4</v>
      </c>
      <c r="W7" s="62">
        <f t="shared" si="2"/>
        <v>-15</v>
      </c>
      <c r="Y7" s="8" t="s">
        <v>145</v>
      </c>
      <c r="Z7" s="41"/>
      <c r="AA7" s="32"/>
      <c r="AB7" s="32"/>
      <c r="AC7" s="32"/>
      <c r="AD7" s="36"/>
      <c r="AE7" s="4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 t="s">
        <v>146</v>
      </c>
      <c r="AU7" s="41"/>
      <c r="AV7" s="32">
        <v>1</v>
      </c>
      <c r="AW7" s="32"/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 t="s">
        <v>146</v>
      </c>
      <c r="BP7" s="41"/>
      <c r="BQ7" s="32"/>
      <c r="BR7" s="32"/>
      <c r="BS7" s="32"/>
      <c r="BT7" s="36"/>
      <c r="BU7" s="47"/>
      <c r="BV7" s="48"/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3"/>
        <v>南</v>
      </c>
      <c r="B8" s="18">
        <f t="shared" si="9"/>
        <v>1</v>
      </c>
      <c r="C8" s="18">
        <f t="shared" si="4"/>
        <v>0</v>
      </c>
      <c r="D8" s="18">
        <f t="shared" si="5"/>
        <v>1</v>
      </c>
      <c r="E8" s="4" t="s">
        <v>137</v>
      </c>
      <c r="F8" s="8" t="s">
        <v>153</v>
      </c>
      <c r="G8" s="9">
        <v>0</v>
      </c>
      <c r="H8" s="9"/>
      <c r="I8" s="55"/>
      <c r="J8" s="21">
        <f t="shared" si="6"/>
        <v>51400</v>
      </c>
      <c r="K8" s="8" t="s">
        <v>153</v>
      </c>
      <c r="L8" s="9">
        <v>0</v>
      </c>
      <c r="M8" s="9"/>
      <c r="N8" s="55"/>
      <c r="O8" s="21">
        <f t="shared" si="7"/>
        <v>32600</v>
      </c>
      <c r="P8" s="8" t="s">
        <v>153</v>
      </c>
      <c r="Q8" s="9">
        <v>0</v>
      </c>
      <c r="R8" s="9"/>
      <c r="S8" s="55"/>
      <c r="T8" s="21">
        <f t="shared" si="8"/>
        <v>20000</v>
      </c>
      <c r="U8" s="60">
        <f t="shared" si="0"/>
        <v>16.399999999999999</v>
      </c>
      <c r="V8" s="61">
        <f t="shared" si="1"/>
        <v>-2.4</v>
      </c>
      <c r="W8" s="62">
        <f t="shared" si="2"/>
        <v>-15</v>
      </c>
      <c r="Y8" s="8" t="s">
        <v>145</v>
      </c>
      <c r="Z8" s="41"/>
      <c r="AA8" s="32"/>
      <c r="AB8" s="32"/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 t="s">
        <v>145</v>
      </c>
      <c r="AU8" s="41"/>
      <c r="AV8" s="32"/>
      <c r="AW8" s="32"/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 t="s">
        <v>145</v>
      </c>
      <c r="BP8" s="41"/>
      <c r="BQ8" s="32"/>
      <c r="BR8" s="32">
        <v>1</v>
      </c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3"/>
        <v>南</v>
      </c>
      <c r="B9" s="18">
        <f t="shared" si="9"/>
        <v>2</v>
      </c>
      <c r="C9" s="18">
        <f t="shared" si="4"/>
        <v>0</v>
      </c>
      <c r="D9" s="18">
        <f t="shared" si="5"/>
        <v>1</v>
      </c>
      <c r="E9" s="4" t="s">
        <v>151</v>
      </c>
      <c r="F9" s="8" t="s">
        <v>142</v>
      </c>
      <c r="G9" s="9">
        <v>12000</v>
      </c>
      <c r="H9" s="9">
        <v>1000</v>
      </c>
      <c r="I9" s="55">
        <v>0</v>
      </c>
      <c r="J9" s="21">
        <f t="shared" si="6"/>
        <v>64400</v>
      </c>
      <c r="K9" s="8" t="s">
        <v>141</v>
      </c>
      <c r="L9" s="9">
        <v>-12000</v>
      </c>
      <c r="M9" s="9"/>
      <c r="N9" s="55">
        <v>0</v>
      </c>
      <c r="O9" s="21">
        <f t="shared" si="7"/>
        <v>20600</v>
      </c>
      <c r="P9" s="8"/>
      <c r="Q9" s="9"/>
      <c r="R9" s="9"/>
      <c r="S9" s="55"/>
      <c r="T9" s="21">
        <f t="shared" si="8"/>
        <v>20000</v>
      </c>
      <c r="U9" s="60">
        <f t="shared" si="0"/>
        <v>29.4</v>
      </c>
      <c r="V9" s="61">
        <f t="shared" si="1"/>
        <v>-14.4</v>
      </c>
      <c r="W9" s="62">
        <f t="shared" si="2"/>
        <v>-15</v>
      </c>
      <c r="Y9" s="8"/>
      <c r="Z9" s="41"/>
      <c r="AA9" s="32"/>
      <c r="AB9" s="32">
        <v>1</v>
      </c>
      <c r="AC9" s="32">
        <v>7</v>
      </c>
      <c r="AD9" s="36" t="s">
        <v>144</v>
      </c>
      <c r="AE9" s="47" t="s">
        <v>105</v>
      </c>
      <c r="AF9" s="48" t="s">
        <v>82</v>
      </c>
      <c r="AG9" s="48" t="s">
        <v>80</v>
      </c>
      <c r="AH9" s="48" t="s">
        <v>80</v>
      </c>
      <c r="AI9" s="48" t="s">
        <v>80</v>
      </c>
      <c r="AJ9" s="48" t="s">
        <v>80</v>
      </c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/>
      <c r="AW9" s="32"/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/>
      <c r="BR9" s="32"/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3"/>
        <v>南</v>
      </c>
      <c r="B10" s="18">
        <f t="shared" si="9"/>
        <v>3</v>
      </c>
      <c r="C10" s="18">
        <f t="shared" si="4"/>
        <v>0</v>
      </c>
      <c r="D10" s="18">
        <f t="shared" si="5"/>
        <v>0</v>
      </c>
      <c r="E10" s="4" t="s">
        <v>135</v>
      </c>
      <c r="F10" s="8" t="s">
        <v>142</v>
      </c>
      <c r="G10" s="9">
        <v>12000</v>
      </c>
      <c r="H10" s="9"/>
      <c r="I10" s="55">
        <v>0</v>
      </c>
      <c r="J10" s="21">
        <f t="shared" si="6"/>
        <v>76400</v>
      </c>
      <c r="K10" s="8" t="s">
        <v>141</v>
      </c>
      <c r="L10" s="9">
        <v>-12000</v>
      </c>
      <c r="M10" s="9"/>
      <c r="N10" s="55">
        <v>0</v>
      </c>
      <c r="O10" s="21">
        <f t="shared" si="7"/>
        <v>8600</v>
      </c>
      <c r="P10" s="8"/>
      <c r="Q10" s="9"/>
      <c r="R10" s="9"/>
      <c r="S10" s="55"/>
      <c r="T10" s="21">
        <f t="shared" si="8"/>
        <v>20000</v>
      </c>
      <c r="U10" s="60">
        <f t="shared" si="0"/>
        <v>41.4</v>
      </c>
      <c r="V10" s="61">
        <f t="shared" si="1"/>
        <v>-26.4</v>
      </c>
      <c r="W10" s="62">
        <f t="shared" si="2"/>
        <v>-15</v>
      </c>
      <c r="Y10" s="8"/>
      <c r="Z10" s="41"/>
      <c r="AA10" s="32"/>
      <c r="AB10" s="32"/>
      <c r="AC10" s="32">
        <v>4</v>
      </c>
      <c r="AD10" s="36">
        <v>30</v>
      </c>
      <c r="AE10" s="47" t="s">
        <v>84</v>
      </c>
      <c r="AF10" s="48" t="s">
        <v>85</v>
      </c>
      <c r="AG10" s="48" t="s">
        <v>86</v>
      </c>
      <c r="AH10" s="48" t="s">
        <v>82</v>
      </c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/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/>
      <c r="BR10" s="32"/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3"/>
        <v/>
      </c>
      <c r="B11" s="18" t="str">
        <f t="shared" si="9"/>
        <v/>
      </c>
      <c r="C11" s="18" t="str">
        <f t="shared" si="4"/>
        <v/>
      </c>
      <c r="D11" s="18" t="str">
        <f t="shared" si="5"/>
        <v/>
      </c>
      <c r="E11" s="4"/>
      <c r="F11" s="8"/>
      <c r="G11" s="9"/>
      <c r="H11" s="9"/>
      <c r="I11" s="55"/>
      <c r="J11" s="21" t="str">
        <f t="shared" si="6"/>
        <v/>
      </c>
      <c r="K11" s="8"/>
      <c r="L11" s="9"/>
      <c r="M11" s="9"/>
      <c r="N11" s="55"/>
      <c r="O11" s="21" t="str">
        <f t="shared" si="7"/>
        <v/>
      </c>
      <c r="P11" s="8"/>
      <c r="Q11" s="9"/>
      <c r="R11" s="9"/>
      <c r="S11" s="55"/>
      <c r="T11" s="21" t="str">
        <f t="shared" si="8"/>
        <v/>
      </c>
      <c r="U11" s="60" t="str">
        <f t="shared" si="0"/>
        <v/>
      </c>
      <c r="V11" s="61" t="str">
        <f t="shared" si="1"/>
        <v/>
      </c>
      <c r="W11" s="62" t="str">
        <f t="shared" si="2"/>
        <v/>
      </c>
      <c r="Y11" s="8"/>
      <c r="Z11" s="41"/>
      <c r="AA11" s="32"/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3"/>
        <v/>
      </c>
      <c r="B12" s="18" t="str">
        <f t="shared" si="9"/>
        <v/>
      </c>
      <c r="C12" s="18" t="str">
        <f t="shared" si="4"/>
        <v/>
      </c>
      <c r="D12" s="18" t="str">
        <f t="shared" si="5"/>
        <v/>
      </c>
      <c r="E12" s="4"/>
      <c r="F12" s="8"/>
      <c r="G12" s="9"/>
      <c r="H12" s="9"/>
      <c r="I12" s="55"/>
      <c r="J12" s="21" t="str">
        <f t="shared" si="6"/>
        <v/>
      </c>
      <c r="K12" s="8"/>
      <c r="L12" s="9"/>
      <c r="M12" s="9"/>
      <c r="N12" s="55"/>
      <c r="O12" s="21" t="str">
        <f t="shared" si="7"/>
        <v/>
      </c>
      <c r="P12" s="8"/>
      <c r="Q12" s="9"/>
      <c r="R12" s="9"/>
      <c r="S12" s="55"/>
      <c r="T12" s="21" t="str">
        <f t="shared" si="8"/>
        <v/>
      </c>
      <c r="U12" s="60" t="str">
        <f t="shared" si="0"/>
        <v/>
      </c>
      <c r="V12" s="61" t="str">
        <f t="shared" si="1"/>
        <v/>
      </c>
      <c r="W12" s="62" t="str">
        <f t="shared" si="2"/>
        <v/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3"/>
        <v/>
      </c>
      <c r="B13" s="18" t="str">
        <f t="shared" si="9"/>
        <v/>
      </c>
      <c r="C13" s="18" t="str">
        <f t="shared" si="4"/>
        <v/>
      </c>
      <c r="D13" s="18" t="str">
        <f t="shared" si="5"/>
        <v/>
      </c>
      <c r="E13" s="4"/>
      <c r="F13" s="8"/>
      <c r="G13" s="9"/>
      <c r="H13" s="9"/>
      <c r="I13" s="55"/>
      <c r="J13" s="21" t="str">
        <f t="shared" si="6"/>
        <v/>
      </c>
      <c r="K13" s="8"/>
      <c r="L13" s="9"/>
      <c r="M13" s="9"/>
      <c r="N13" s="55"/>
      <c r="O13" s="21" t="str">
        <f t="shared" si="7"/>
        <v/>
      </c>
      <c r="P13" s="8"/>
      <c r="Q13" s="9"/>
      <c r="R13" s="9"/>
      <c r="S13" s="55"/>
      <c r="T13" s="21" t="str">
        <f t="shared" si="8"/>
        <v/>
      </c>
      <c r="U13" s="60" t="str">
        <f t="shared" si="0"/>
        <v/>
      </c>
      <c r="V13" s="61" t="str">
        <f t="shared" si="1"/>
        <v/>
      </c>
      <c r="W13" s="62" t="str">
        <f t="shared" si="2"/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3"/>
        <v/>
      </c>
      <c r="B14" s="18" t="str">
        <f t="shared" si="9"/>
        <v/>
      </c>
      <c r="C14" s="18" t="str">
        <f t="shared" si="4"/>
        <v/>
      </c>
      <c r="D14" s="18" t="str">
        <f t="shared" si="5"/>
        <v/>
      </c>
      <c r="E14" s="4"/>
      <c r="F14" s="8"/>
      <c r="G14" s="9"/>
      <c r="H14" s="9"/>
      <c r="I14" s="55"/>
      <c r="J14" s="21" t="str">
        <f t="shared" si="6"/>
        <v/>
      </c>
      <c r="K14" s="8"/>
      <c r="L14" s="9"/>
      <c r="M14" s="9"/>
      <c r="N14" s="55"/>
      <c r="O14" s="21" t="str">
        <f t="shared" si="7"/>
        <v/>
      </c>
      <c r="P14" s="8"/>
      <c r="Q14" s="9"/>
      <c r="R14" s="9"/>
      <c r="S14" s="55"/>
      <c r="T14" s="21" t="str">
        <f t="shared" si="8"/>
        <v/>
      </c>
      <c r="U14" s="60" t="str">
        <f t="shared" si="0"/>
        <v/>
      </c>
      <c r="V14" s="61" t="str">
        <f t="shared" si="1"/>
        <v/>
      </c>
      <c r="W14" s="62" t="str">
        <f t="shared" si="2"/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3"/>
        <v/>
      </c>
      <c r="B15" s="18" t="str">
        <f t="shared" si="9"/>
        <v/>
      </c>
      <c r="C15" s="18" t="str">
        <f t="shared" si="4"/>
        <v/>
      </c>
      <c r="D15" s="18" t="str">
        <f t="shared" si="5"/>
        <v/>
      </c>
      <c r="E15" s="4"/>
      <c r="F15" s="8"/>
      <c r="G15" s="9"/>
      <c r="H15" s="9"/>
      <c r="I15" s="55"/>
      <c r="J15" s="21" t="str">
        <f t="shared" si="6"/>
        <v/>
      </c>
      <c r="K15" s="8"/>
      <c r="L15" s="9"/>
      <c r="M15" s="9"/>
      <c r="N15" s="55"/>
      <c r="O15" s="21" t="str">
        <f t="shared" si="7"/>
        <v/>
      </c>
      <c r="P15" s="8"/>
      <c r="Q15" s="9"/>
      <c r="R15" s="9"/>
      <c r="S15" s="55"/>
      <c r="T15" s="21" t="str">
        <f t="shared" si="8"/>
        <v/>
      </c>
      <c r="U15" s="60" t="str">
        <f t="shared" si="0"/>
        <v/>
      </c>
      <c r="V15" s="61" t="str">
        <f t="shared" si="1"/>
        <v/>
      </c>
      <c r="W15" s="62" t="str">
        <f t="shared" si="2"/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3"/>
        <v/>
      </c>
      <c r="B16" s="18" t="str">
        <f t="shared" si="9"/>
        <v/>
      </c>
      <c r="C16" s="18" t="str">
        <f t="shared" si="4"/>
        <v/>
      </c>
      <c r="D16" s="18" t="str">
        <f t="shared" si="5"/>
        <v/>
      </c>
      <c r="E16" s="4"/>
      <c r="F16" s="8"/>
      <c r="G16" s="9"/>
      <c r="H16" s="9"/>
      <c r="I16" s="55"/>
      <c r="J16" s="21" t="str">
        <f t="shared" si="6"/>
        <v/>
      </c>
      <c r="K16" s="8"/>
      <c r="L16" s="9"/>
      <c r="M16" s="9"/>
      <c r="N16" s="55"/>
      <c r="O16" s="21" t="str">
        <f t="shared" si="7"/>
        <v/>
      </c>
      <c r="P16" s="8"/>
      <c r="Q16" s="9"/>
      <c r="R16" s="9"/>
      <c r="S16" s="55"/>
      <c r="T16" s="21" t="str">
        <f t="shared" si="8"/>
        <v/>
      </c>
      <c r="U16" s="60" t="str">
        <f t="shared" si="0"/>
        <v/>
      </c>
      <c r="V16" s="61" t="str">
        <f t="shared" si="1"/>
        <v/>
      </c>
      <c r="W16" s="62" t="str">
        <f t="shared" si="2"/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3"/>
        <v/>
      </c>
      <c r="B17" s="18" t="str">
        <f t="shared" si="9"/>
        <v/>
      </c>
      <c r="C17" s="18" t="str">
        <f t="shared" si="4"/>
        <v/>
      </c>
      <c r="D17" s="18" t="str">
        <f t="shared" si="5"/>
        <v/>
      </c>
      <c r="E17" s="4"/>
      <c r="F17" s="8"/>
      <c r="G17" s="9"/>
      <c r="H17" s="9"/>
      <c r="I17" s="55"/>
      <c r="J17" s="21" t="str">
        <f t="shared" si="6"/>
        <v/>
      </c>
      <c r="K17" s="8"/>
      <c r="L17" s="9"/>
      <c r="M17" s="9"/>
      <c r="N17" s="55"/>
      <c r="O17" s="21" t="str">
        <f t="shared" si="7"/>
        <v/>
      </c>
      <c r="P17" s="8"/>
      <c r="Q17" s="9"/>
      <c r="R17" s="9"/>
      <c r="S17" s="55"/>
      <c r="T17" s="21" t="str">
        <f t="shared" si="8"/>
        <v/>
      </c>
      <c r="U17" s="60" t="str">
        <f t="shared" si="0"/>
        <v/>
      </c>
      <c r="V17" s="61" t="str">
        <f t="shared" si="1"/>
        <v/>
      </c>
      <c r="W17" s="62" t="str">
        <f t="shared" si="2"/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3"/>
        <v/>
      </c>
      <c r="B18" s="18" t="str">
        <f t="shared" si="9"/>
        <v/>
      </c>
      <c r="C18" s="18" t="str">
        <f t="shared" si="4"/>
        <v/>
      </c>
      <c r="D18" s="18" t="str">
        <f t="shared" si="5"/>
        <v/>
      </c>
      <c r="E18" s="4"/>
      <c r="F18" s="8"/>
      <c r="G18" s="9"/>
      <c r="H18" s="9"/>
      <c r="I18" s="55"/>
      <c r="J18" s="21" t="str">
        <f t="shared" si="6"/>
        <v/>
      </c>
      <c r="K18" s="8"/>
      <c r="L18" s="9"/>
      <c r="M18" s="9"/>
      <c r="N18" s="55"/>
      <c r="O18" s="21" t="str">
        <f t="shared" si="7"/>
        <v/>
      </c>
      <c r="P18" s="8"/>
      <c r="Q18" s="9"/>
      <c r="R18" s="9"/>
      <c r="S18" s="55"/>
      <c r="T18" s="21" t="str">
        <f t="shared" si="8"/>
        <v/>
      </c>
      <c r="U18" s="60" t="str">
        <f t="shared" si="0"/>
        <v/>
      </c>
      <c r="V18" s="61" t="str">
        <f t="shared" si="1"/>
        <v/>
      </c>
      <c r="W18" s="62" t="str">
        <f t="shared" si="2"/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3"/>
        <v/>
      </c>
      <c r="B19" s="18" t="str">
        <f t="shared" si="9"/>
        <v/>
      </c>
      <c r="C19" s="18" t="str">
        <f t="shared" si="4"/>
        <v/>
      </c>
      <c r="D19" s="18" t="str">
        <f t="shared" si="5"/>
        <v/>
      </c>
      <c r="E19" s="4"/>
      <c r="F19" s="8"/>
      <c r="G19" s="9"/>
      <c r="H19" s="9"/>
      <c r="I19" s="55"/>
      <c r="J19" s="21" t="str">
        <f t="shared" si="6"/>
        <v/>
      </c>
      <c r="K19" s="8"/>
      <c r="L19" s="9"/>
      <c r="M19" s="9"/>
      <c r="N19" s="55"/>
      <c r="O19" s="21" t="str">
        <f t="shared" si="7"/>
        <v/>
      </c>
      <c r="P19" s="8"/>
      <c r="Q19" s="9"/>
      <c r="R19" s="9"/>
      <c r="S19" s="55"/>
      <c r="T19" s="21" t="str">
        <f t="shared" si="8"/>
        <v/>
      </c>
      <c r="U19" s="60" t="str">
        <f t="shared" si="0"/>
        <v/>
      </c>
      <c r="V19" s="61" t="str">
        <f t="shared" si="1"/>
        <v/>
      </c>
      <c r="W19" s="62" t="str">
        <f t="shared" si="2"/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3"/>
        <v/>
      </c>
      <c r="B20" s="18" t="str">
        <f t="shared" si="9"/>
        <v/>
      </c>
      <c r="C20" s="18" t="str">
        <f t="shared" si="4"/>
        <v/>
      </c>
      <c r="D20" s="18" t="str">
        <f t="shared" si="5"/>
        <v/>
      </c>
      <c r="E20" s="4"/>
      <c r="F20" s="8"/>
      <c r="G20" s="9"/>
      <c r="H20" s="9"/>
      <c r="I20" s="55"/>
      <c r="J20" s="21" t="str">
        <f t="shared" si="6"/>
        <v/>
      </c>
      <c r="K20" s="8"/>
      <c r="L20" s="9"/>
      <c r="M20" s="9"/>
      <c r="N20" s="55"/>
      <c r="O20" s="21" t="str">
        <f t="shared" si="7"/>
        <v/>
      </c>
      <c r="P20" s="8"/>
      <c r="Q20" s="9"/>
      <c r="R20" s="9"/>
      <c r="S20" s="55"/>
      <c r="T20" s="21" t="str">
        <f t="shared" si="8"/>
        <v/>
      </c>
      <c r="U20" s="60" t="str">
        <f t="shared" si="0"/>
        <v/>
      </c>
      <c r="V20" s="61" t="str">
        <f t="shared" si="1"/>
        <v/>
      </c>
      <c r="W20" s="62" t="str">
        <f t="shared" si="2"/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3"/>
        <v/>
      </c>
      <c r="B21" s="18" t="str">
        <f t="shared" si="9"/>
        <v/>
      </c>
      <c r="C21" s="18" t="str">
        <f t="shared" si="4"/>
        <v/>
      </c>
      <c r="D21" s="18" t="str">
        <f t="shared" si="5"/>
        <v/>
      </c>
      <c r="E21" s="4"/>
      <c r="F21" s="8"/>
      <c r="G21" s="9"/>
      <c r="H21" s="9"/>
      <c r="I21" s="55"/>
      <c r="J21" s="21" t="str">
        <f t="shared" si="6"/>
        <v/>
      </c>
      <c r="K21" s="8"/>
      <c r="L21" s="9"/>
      <c r="M21" s="9"/>
      <c r="N21" s="55"/>
      <c r="O21" s="21" t="str">
        <f t="shared" si="7"/>
        <v/>
      </c>
      <c r="P21" s="8"/>
      <c r="Q21" s="9"/>
      <c r="R21" s="9"/>
      <c r="S21" s="55"/>
      <c r="T21" s="21" t="str">
        <f t="shared" si="8"/>
        <v/>
      </c>
      <c r="U21" s="60" t="str">
        <f t="shared" si="0"/>
        <v/>
      </c>
      <c r="V21" s="61" t="str">
        <f t="shared" si="1"/>
        <v/>
      </c>
      <c r="W21" s="62" t="str">
        <f t="shared" si="2"/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3"/>
        <v/>
      </c>
      <c r="B22" s="18" t="str">
        <f t="shared" si="9"/>
        <v/>
      </c>
      <c r="C22" s="18" t="str">
        <f t="shared" si="4"/>
        <v/>
      </c>
      <c r="D22" s="18" t="str">
        <f t="shared" si="5"/>
        <v/>
      </c>
      <c r="E22" s="4"/>
      <c r="F22" s="8"/>
      <c r="G22" s="9"/>
      <c r="H22" s="9"/>
      <c r="I22" s="55"/>
      <c r="J22" s="21" t="str">
        <f t="shared" si="6"/>
        <v/>
      </c>
      <c r="K22" s="8"/>
      <c r="L22" s="9"/>
      <c r="M22" s="9"/>
      <c r="N22" s="55"/>
      <c r="O22" s="21" t="str">
        <f t="shared" si="7"/>
        <v/>
      </c>
      <c r="P22" s="8"/>
      <c r="Q22" s="9"/>
      <c r="R22" s="9"/>
      <c r="S22" s="55"/>
      <c r="T22" s="21" t="str">
        <f t="shared" si="8"/>
        <v/>
      </c>
      <c r="U22" s="60" t="str">
        <f t="shared" si="0"/>
        <v/>
      </c>
      <c r="V22" s="61" t="str">
        <f t="shared" si="1"/>
        <v/>
      </c>
      <c r="W22" s="62" t="str">
        <f t="shared" si="2"/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3"/>
        <v/>
      </c>
      <c r="B23" s="18" t="str">
        <f t="shared" si="9"/>
        <v/>
      </c>
      <c r="C23" s="18" t="str">
        <f t="shared" si="4"/>
        <v/>
      </c>
      <c r="D23" s="18" t="str">
        <f t="shared" si="5"/>
        <v/>
      </c>
      <c r="E23" s="4"/>
      <c r="F23" s="8"/>
      <c r="G23" s="9"/>
      <c r="H23" s="9"/>
      <c r="I23" s="55"/>
      <c r="J23" s="21" t="str">
        <f t="shared" si="6"/>
        <v/>
      </c>
      <c r="K23" s="8"/>
      <c r="L23" s="9"/>
      <c r="M23" s="9"/>
      <c r="N23" s="55"/>
      <c r="O23" s="21" t="str">
        <f t="shared" si="7"/>
        <v/>
      </c>
      <c r="P23" s="8"/>
      <c r="Q23" s="9"/>
      <c r="R23" s="9"/>
      <c r="S23" s="55"/>
      <c r="T23" s="21" t="str">
        <f t="shared" si="8"/>
        <v/>
      </c>
      <c r="U23" s="60" t="str">
        <f t="shared" si="0"/>
        <v/>
      </c>
      <c r="V23" s="61" t="str">
        <f t="shared" si="1"/>
        <v/>
      </c>
      <c r="W23" s="62" t="str">
        <f t="shared" si="2"/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3"/>
        <v/>
      </c>
      <c r="B24" s="18" t="str">
        <f t="shared" si="9"/>
        <v/>
      </c>
      <c r="C24" s="18" t="str">
        <f t="shared" si="4"/>
        <v/>
      </c>
      <c r="D24" s="18" t="str">
        <f t="shared" si="5"/>
        <v/>
      </c>
      <c r="E24" s="4"/>
      <c r="F24" s="8"/>
      <c r="G24" s="9"/>
      <c r="H24" s="9"/>
      <c r="I24" s="55"/>
      <c r="J24" s="21" t="str">
        <f t="shared" si="6"/>
        <v/>
      </c>
      <c r="K24" s="8"/>
      <c r="L24" s="9"/>
      <c r="M24" s="9"/>
      <c r="N24" s="55"/>
      <c r="O24" s="21" t="str">
        <f t="shared" si="7"/>
        <v/>
      </c>
      <c r="P24" s="8"/>
      <c r="Q24" s="9"/>
      <c r="R24" s="9"/>
      <c r="S24" s="55"/>
      <c r="T24" s="21" t="str">
        <f t="shared" si="8"/>
        <v/>
      </c>
      <c r="U24" s="60" t="str">
        <f t="shared" si="0"/>
        <v/>
      </c>
      <c r="V24" s="61" t="str">
        <f t="shared" si="1"/>
        <v/>
      </c>
      <c r="W24" s="62" t="str">
        <f t="shared" si="2"/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3"/>
        <v/>
      </c>
      <c r="B25" s="18" t="str">
        <f t="shared" si="9"/>
        <v/>
      </c>
      <c r="C25" s="18" t="str">
        <f t="shared" si="4"/>
        <v/>
      </c>
      <c r="D25" s="18" t="str">
        <f t="shared" si="5"/>
        <v/>
      </c>
      <c r="E25" s="4"/>
      <c r="F25" s="8"/>
      <c r="G25" s="9"/>
      <c r="H25" s="9"/>
      <c r="I25" s="55"/>
      <c r="J25" s="21" t="str">
        <f t="shared" si="6"/>
        <v/>
      </c>
      <c r="K25" s="8"/>
      <c r="L25" s="9"/>
      <c r="M25" s="9"/>
      <c r="N25" s="55"/>
      <c r="O25" s="21" t="str">
        <f t="shared" si="7"/>
        <v/>
      </c>
      <c r="P25" s="8"/>
      <c r="Q25" s="9"/>
      <c r="R25" s="9"/>
      <c r="S25" s="55"/>
      <c r="T25" s="21" t="str">
        <f t="shared" si="8"/>
        <v/>
      </c>
      <c r="U25" s="60" t="str">
        <f t="shared" si="0"/>
        <v/>
      </c>
      <c r="V25" s="61" t="str">
        <f t="shared" si="1"/>
        <v/>
      </c>
      <c r="W25" s="62" t="str">
        <f t="shared" si="2"/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3"/>
        <v/>
      </c>
      <c r="B26" s="18" t="str">
        <f t="shared" si="9"/>
        <v/>
      </c>
      <c r="C26" s="18" t="str">
        <f t="shared" si="4"/>
        <v/>
      </c>
      <c r="D26" s="18" t="str">
        <f t="shared" si="5"/>
        <v/>
      </c>
      <c r="E26" s="4"/>
      <c r="F26" s="8"/>
      <c r="G26" s="9"/>
      <c r="H26" s="9"/>
      <c r="I26" s="55"/>
      <c r="J26" s="21" t="str">
        <f t="shared" si="6"/>
        <v/>
      </c>
      <c r="K26" s="8"/>
      <c r="L26" s="9"/>
      <c r="M26" s="9"/>
      <c r="N26" s="55"/>
      <c r="O26" s="21" t="str">
        <f t="shared" si="7"/>
        <v/>
      </c>
      <c r="P26" s="8"/>
      <c r="Q26" s="9"/>
      <c r="R26" s="9"/>
      <c r="S26" s="55"/>
      <c r="T26" s="21" t="str">
        <f t="shared" si="8"/>
        <v/>
      </c>
      <c r="U26" s="60" t="str">
        <f t="shared" si="0"/>
        <v/>
      </c>
      <c r="V26" s="61" t="str">
        <f t="shared" si="1"/>
        <v/>
      </c>
      <c r="W26" s="62" t="str">
        <f t="shared" si="2"/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3"/>
        <v/>
      </c>
      <c r="B27" s="18" t="str">
        <f t="shared" si="9"/>
        <v/>
      </c>
      <c r="C27" s="18" t="str">
        <f t="shared" si="4"/>
        <v/>
      </c>
      <c r="D27" s="18" t="str">
        <f t="shared" si="5"/>
        <v/>
      </c>
      <c r="E27" s="4"/>
      <c r="F27" s="8"/>
      <c r="G27" s="9"/>
      <c r="H27" s="9"/>
      <c r="I27" s="55"/>
      <c r="J27" s="21" t="str">
        <f t="shared" si="6"/>
        <v/>
      </c>
      <c r="K27" s="8"/>
      <c r="L27" s="9"/>
      <c r="M27" s="9"/>
      <c r="N27" s="55"/>
      <c r="O27" s="21" t="str">
        <f t="shared" si="7"/>
        <v/>
      </c>
      <c r="P27" s="8"/>
      <c r="Q27" s="9"/>
      <c r="R27" s="9"/>
      <c r="S27" s="55"/>
      <c r="T27" s="21" t="str">
        <f t="shared" si="8"/>
        <v/>
      </c>
      <c r="U27" s="60" t="str">
        <f t="shared" si="0"/>
        <v/>
      </c>
      <c r="V27" s="61" t="str">
        <f t="shared" si="1"/>
        <v/>
      </c>
      <c r="W27" s="62" t="str">
        <f t="shared" si="2"/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3"/>
        <v/>
      </c>
      <c r="B28" s="18" t="str">
        <f t="shared" si="9"/>
        <v/>
      </c>
      <c r="C28" s="18" t="str">
        <f t="shared" si="4"/>
        <v/>
      </c>
      <c r="D28" s="18" t="str">
        <f t="shared" si="5"/>
        <v/>
      </c>
      <c r="E28" s="4"/>
      <c r="F28" s="8"/>
      <c r="G28" s="9"/>
      <c r="H28" s="9"/>
      <c r="I28" s="55"/>
      <c r="J28" s="21" t="str">
        <f t="shared" si="6"/>
        <v/>
      </c>
      <c r="K28" s="8"/>
      <c r="L28" s="9"/>
      <c r="M28" s="9"/>
      <c r="N28" s="55"/>
      <c r="O28" s="21" t="str">
        <f t="shared" si="7"/>
        <v/>
      </c>
      <c r="P28" s="8"/>
      <c r="Q28" s="9"/>
      <c r="R28" s="9"/>
      <c r="S28" s="55"/>
      <c r="T28" s="21" t="str">
        <f t="shared" si="8"/>
        <v/>
      </c>
      <c r="U28" s="60" t="str">
        <f t="shared" si="0"/>
        <v/>
      </c>
      <c r="V28" s="61" t="str">
        <f t="shared" si="1"/>
        <v/>
      </c>
      <c r="W28" s="62" t="str">
        <f t="shared" si="2"/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3"/>
        <v/>
      </c>
      <c r="B29" s="18" t="str">
        <f t="shared" si="9"/>
        <v/>
      </c>
      <c r="C29" s="18" t="str">
        <f t="shared" si="4"/>
        <v/>
      </c>
      <c r="D29" s="18" t="str">
        <f t="shared" si="5"/>
        <v/>
      </c>
      <c r="E29" s="4"/>
      <c r="F29" s="8"/>
      <c r="G29" s="9"/>
      <c r="H29" s="9"/>
      <c r="I29" s="55"/>
      <c r="J29" s="21" t="str">
        <f t="shared" si="6"/>
        <v/>
      </c>
      <c r="K29" s="8"/>
      <c r="L29" s="9"/>
      <c r="M29" s="9"/>
      <c r="N29" s="55"/>
      <c r="O29" s="21" t="str">
        <f t="shared" si="7"/>
        <v/>
      </c>
      <c r="P29" s="8"/>
      <c r="Q29" s="9"/>
      <c r="R29" s="9"/>
      <c r="S29" s="55"/>
      <c r="T29" s="21" t="str">
        <f t="shared" si="8"/>
        <v/>
      </c>
      <c r="U29" s="60" t="str">
        <f t="shared" si="0"/>
        <v/>
      </c>
      <c r="V29" s="61" t="str">
        <f t="shared" si="1"/>
        <v/>
      </c>
      <c r="W29" s="62" t="str">
        <f t="shared" si="2"/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3"/>
        <v/>
      </c>
      <c r="B30" s="19" t="str">
        <f t="shared" si="9"/>
        <v/>
      </c>
      <c r="C30" s="19" t="str">
        <f t="shared" si="4"/>
        <v/>
      </c>
      <c r="D30" s="19" t="str">
        <f t="shared" si="5"/>
        <v/>
      </c>
      <c r="E30" s="5"/>
      <c r="F30" s="10"/>
      <c r="G30" s="11"/>
      <c r="H30" s="11"/>
      <c r="I30" s="56"/>
      <c r="J30" s="22" t="str">
        <f t="shared" si="6"/>
        <v/>
      </c>
      <c r="K30" s="10"/>
      <c r="L30" s="11"/>
      <c r="M30" s="11"/>
      <c r="N30" s="56"/>
      <c r="O30" s="22" t="str">
        <f t="shared" si="7"/>
        <v/>
      </c>
      <c r="P30" s="10"/>
      <c r="Q30" s="11"/>
      <c r="R30" s="11"/>
      <c r="S30" s="56"/>
      <c r="T30" s="22" t="str">
        <f t="shared" si="8"/>
        <v/>
      </c>
      <c r="U30" s="63" t="str">
        <f t="shared" si="0"/>
        <v/>
      </c>
      <c r="V30" s="64" t="str">
        <f t="shared" si="1"/>
        <v/>
      </c>
      <c r="W30" s="65" t="str">
        <f t="shared" si="2"/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19" priority="5">
      <formula>IF(G4&lt;&gt;"",SUM($G4:$I4,$L4:$N4,$Q4:$S4)-$D4*1000+$D5*1000)</formula>
    </cfRule>
  </conditionalFormatting>
  <conditionalFormatting sqref="F1:G1 I1:L1 S1:T1 N1:Q1">
    <cfRule type="duplicateValues" dxfId="18" priority="4"/>
  </conditionalFormatting>
  <conditionalFormatting sqref="H1">
    <cfRule type="duplicateValues" dxfId="17" priority="3"/>
  </conditionalFormatting>
  <conditionalFormatting sqref="R1">
    <cfRule type="duplicateValues" dxfId="16" priority="2"/>
  </conditionalFormatting>
  <conditionalFormatting sqref="M1">
    <cfRule type="duplicateValues" dxfId="15" priority="1"/>
  </conditionalFormatting>
  <dataValidations count="2">
    <dataValidation type="list" allowBlank="1" showInputMessage="1" showErrorMessage="1" sqref="E4:E30" xr:uid="{6FFF9B4F-C2F0-4431-8894-44F4AC23A84D}">
      <formula1>$U$2:$W$2</formula1>
    </dataValidation>
    <dataValidation type="list" showInputMessage="1" showErrorMessage="1" sqref="K4:K30 P4:P30 F4:F30" xr:uid="{528D4CA8-4B12-4544-A09E-2112088B2BFB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2B584A-B68D-4EEA-A339-478F5D8B917D}">
  <sheetPr codeName="Sheet11">
    <pageSetUpPr fitToPage="1"/>
  </sheetPr>
  <dimension ref="A1:CI30"/>
  <sheetViews>
    <sheetView zoomScaleNormal="100" workbookViewId="0">
      <selection sqref="A1:A2"/>
    </sheetView>
  </sheetViews>
  <sheetFormatPr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83" t="s">
        <v>0</v>
      </c>
      <c r="B1" s="85" t="s">
        <v>2</v>
      </c>
      <c r="C1" s="85" t="s">
        <v>1</v>
      </c>
      <c r="D1" s="85" t="s">
        <v>22</v>
      </c>
      <c r="E1" s="87" t="s">
        <v>3</v>
      </c>
      <c r="F1" s="78" t="s">
        <v>136</v>
      </c>
      <c r="G1" s="80"/>
      <c r="H1" s="80"/>
      <c r="I1" s="89"/>
      <c r="J1" s="81"/>
      <c r="K1" s="78" t="s">
        <v>152</v>
      </c>
      <c r="L1" s="80"/>
      <c r="M1" s="80"/>
      <c r="N1" s="89"/>
      <c r="O1" s="81"/>
      <c r="P1" s="78" t="s">
        <v>155</v>
      </c>
      <c r="Q1" s="80"/>
      <c r="R1" s="80"/>
      <c r="S1" s="89"/>
      <c r="T1" s="81"/>
      <c r="U1" s="78" t="s">
        <v>6</v>
      </c>
      <c r="V1" s="80"/>
      <c r="W1" s="81"/>
      <c r="Y1" s="78" t="str">
        <f>F1</f>
        <v>だいち</v>
      </c>
      <c r="Z1" s="79"/>
      <c r="AA1" s="80"/>
      <c r="AB1" s="80"/>
      <c r="AC1" s="80"/>
      <c r="AD1" s="80"/>
      <c r="AE1" s="80"/>
      <c r="AF1" s="80"/>
      <c r="AG1" s="80"/>
      <c r="AH1" s="80"/>
      <c r="AI1" s="80"/>
      <c r="AJ1" s="80"/>
      <c r="AK1" s="80"/>
      <c r="AL1" s="80"/>
      <c r="AM1" s="80"/>
      <c r="AN1" s="80"/>
      <c r="AO1" s="80"/>
      <c r="AP1" s="80"/>
      <c r="AQ1" s="80"/>
      <c r="AR1" s="80"/>
      <c r="AS1" s="81"/>
      <c r="AT1" s="78" t="str">
        <f>K1</f>
        <v>たかの</v>
      </c>
      <c r="AU1" s="79"/>
      <c r="AV1" s="80"/>
      <c r="AW1" s="80"/>
      <c r="AX1" s="80"/>
      <c r="AY1" s="80"/>
      <c r="AZ1" s="80"/>
      <c r="BA1" s="80"/>
      <c r="BB1" s="80"/>
      <c r="BC1" s="80"/>
      <c r="BD1" s="80"/>
      <c r="BE1" s="80"/>
      <c r="BF1" s="80"/>
      <c r="BG1" s="80"/>
      <c r="BH1" s="80"/>
      <c r="BI1" s="80"/>
      <c r="BJ1" s="80"/>
      <c r="BK1" s="80"/>
      <c r="BL1" s="80"/>
      <c r="BM1" s="80"/>
      <c r="BN1" s="81"/>
      <c r="BO1" s="78" t="str">
        <f>P1</f>
        <v>りくと</v>
      </c>
      <c r="BP1" s="79"/>
      <c r="BQ1" s="80"/>
      <c r="BR1" s="80"/>
      <c r="BS1" s="80"/>
      <c r="BT1" s="80"/>
      <c r="BU1" s="80"/>
      <c r="BV1" s="80"/>
      <c r="BW1" s="80"/>
      <c r="BX1" s="80"/>
      <c r="BY1" s="80"/>
      <c r="BZ1" s="80"/>
      <c r="CA1" s="80"/>
      <c r="CB1" s="80"/>
      <c r="CC1" s="80"/>
      <c r="CD1" s="80"/>
      <c r="CE1" s="80"/>
      <c r="CF1" s="80"/>
      <c r="CG1" s="80"/>
      <c r="CH1" s="80"/>
      <c r="CI1" s="81"/>
    </row>
    <row r="2" spans="1:87" x14ac:dyDescent="0.4">
      <c r="A2" s="84"/>
      <c r="B2" s="86"/>
      <c r="C2" s="86"/>
      <c r="D2" s="86"/>
      <c r="E2" s="88"/>
      <c r="F2" s="1" t="s">
        <v>5</v>
      </c>
      <c r="G2" s="2" t="s">
        <v>9</v>
      </c>
      <c r="H2" s="2" t="s">
        <v>23</v>
      </c>
      <c r="I2" s="5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76" t="str">
        <f>$F$1</f>
        <v>だいち</v>
      </c>
      <c r="V2" s="77" t="str">
        <f>$K$1</f>
        <v>たかの</v>
      </c>
      <c r="W2" s="16" t="str">
        <f>$P$1</f>
        <v>りくと</v>
      </c>
      <c r="Y2" s="72" t="s">
        <v>24</v>
      </c>
      <c r="Z2" s="73" t="s">
        <v>27</v>
      </c>
      <c r="AA2" s="74" t="s">
        <v>25</v>
      </c>
      <c r="AB2" s="74" t="s">
        <v>128</v>
      </c>
      <c r="AC2" s="74" t="s">
        <v>19</v>
      </c>
      <c r="AD2" s="75" t="s">
        <v>20</v>
      </c>
      <c r="AE2" s="82" t="s">
        <v>21</v>
      </c>
      <c r="AF2" s="82"/>
      <c r="AG2" s="82"/>
      <c r="AH2" s="82"/>
      <c r="AI2" s="82"/>
      <c r="AJ2" s="82"/>
      <c r="AK2" s="82"/>
      <c r="AL2" s="82"/>
      <c r="AM2" s="82"/>
      <c r="AN2" s="82"/>
      <c r="AO2" s="82"/>
      <c r="AP2" s="82"/>
      <c r="AQ2" s="82"/>
      <c r="AR2" s="82"/>
      <c r="AS2" s="82"/>
      <c r="AT2" s="72" t="s">
        <v>24</v>
      </c>
      <c r="AU2" s="73" t="s">
        <v>27</v>
      </c>
      <c r="AV2" s="74" t="s">
        <v>25</v>
      </c>
      <c r="AW2" s="74" t="s">
        <v>129</v>
      </c>
      <c r="AX2" s="74" t="s">
        <v>19</v>
      </c>
      <c r="AY2" s="75" t="s">
        <v>20</v>
      </c>
      <c r="AZ2" s="82" t="s">
        <v>21</v>
      </c>
      <c r="BA2" s="82"/>
      <c r="BB2" s="82"/>
      <c r="BC2" s="82"/>
      <c r="BD2" s="82"/>
      <c r="BE2" s="82"/>
      <c r="BF2" s="82"/>
      <c r="BG2" s="82"/>
      <c r="BH2" s="82"/>
      <c r="BI2" s="82"/>
      <c r="BJ2" s="82"/>
      <c r="BK2" s="82"/>
      <c r="BL2" s="82"/>
      <c r="BM2" s="82"/>
      <c r="BN2" s="82"/>
      <c r="BO2" s="72" t="s">
        <v>24</v>
      </c>
      <c r="BP2" s="73" t="s">
        <v>27</v>
      </c>
      <c r="BQ2" s="74" t="s">
        <v>25</v>
      </c>
      <c r="BR2" s="74" t="s">
        <v>129</v>
      </c>
      <c r="BS2" s="74" t="s">
        <v>19</v>
      </c>
      <c r="BT2" s="75" t="s">
        <v>20</v>
      </c>
      <c r="BU2" s="82" t="s">
        <v>21</v>
      </c>
      <c r="BV2" s="82"/>
      <c r="BW2" s="82"/>
      <c r="BX2" s="82"/>
      <c r="BY2" s="82"/>
      <c r="BZ2" s="82"/>
      <c r="CA2" s="82"/>
      <c r="CB2" s="82"/>
      <c r="CC2" s="82"/>
      <c r="CD2" s="82"/>
      <c r="CE2" s="82"/>
      <c r="CF2" s="82"/>
      <c r="CG2" s="82"/>
      <c r="CH2" s="82"/>
      <c r="CI2" s="82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IF($J3="","",ROUND(($J3-$J$3)/1000,1))</f>
        <v>0</v>
      </c>
      <c r="V3" s="58">
        <f>IF($O3="","",ROUND(($O3-$O$3)/1000,1))</f>
        <v>0</v>
      </c>
      <c r="W3" s="59">
        <f>IF($T3="","",ROUND(($T3-$T$3)/1000,1))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151</v>
      </c>
      <c r="F4" s="8" t="s">
        <v>149</v>
      </c>
      <c r="G4" s="9">
        <v>8000</v>
      </c>
      <c r="H4" s="9"/>
      <c r="I4" s="55">
        <v>0</v>
      </c>
      <c r="J4" s="21">
        <f>IF(COUNTA($F4,$K4,$P4)&gt;0,J3+SUM(G4:I4),"")</f>
        <v>43000</v>
      </c>
      <c r="K4" s="8" t="s">
        <v>148</v>
      </c>
      <c r="L4" s="9">
        <v>-5000</v>
      </c>
      <c r="M4" s="9"/>
      <c r="N4" s="55">
        <v>0</v>
      </c>
      <c r="O4" s="21">
        <f>IF(COUNTA($F4,$K4,$P4)&gt;0,O3+SUM(L4:N4),"")</f>
        <v>30000</v>
      </c>
      <c r="P4" s="8" t="s">
        <v>148</v>
      </c>
      <c r="Q4" s="9">
        <v>-3000</v>
      </c>
      <c r="R4" s="9"/>
      <c r="S4" s="55">
        <v>0</v>
      </c>
      <c r="T4" s="21">
        <f>IF(COUNTA($F4,$K4,$P4)&gt;0,T3+SUM(Q4:S4),"")</f>
        <v>32000</v>
      </c>
      <c r="U4" s="60">
        <f t="shared" ref="U4:U30" si="0">IF($J4="","",ROUND(($J4-$J$3)/1000,1))</f>
        <v>8</v>
      </c>
      <c r="V4" s="61">
        <f t="shared" ref="V4:V30" si="1">IF($O4="","",ROUND(($O4-$O$3)/1000,1))</f>
        <v>-5</v>
      </c>
      <c r="W4" s="62">
        <f t="shared" ref="W4:W30" si="2">IF($T4="","",ROUND(($T4-$T$3)/1000,1))</f>
        <v>-3</v>
      </c>
      <c r="Y4" s="8"/>
      <c r="Z4" s="41"/>
      <c r="AA4" s="32"/>
      <c r="AB4" s="32">
        <v>1</v>
      </c>
      <c r="AC4" s="32">
        <v>5</v>
      </c>
      <c r="AD4" s="36" t="s">
        <v>144</v>
      </c>
      <c r="AE4" s="47" t="s">
        <v>105</v>
      </c>
      <c r="AF4" s="48" t="s">
        <v>87</v>
      </c>
      <c r="AG4" s="48" t="s">
        <v>82</v>
      </c>
      <c r="AH4" s="48" t="s">
        <v>80</v>
      </c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/>
      <c r="AW4" s="32">
        <v>1</v>
      </c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/>
      <c r="BR4" s="32"/>
      <c r="BS4" s="32"/>
      <c r="BT4" s="36"/>
      <c r="BU4" s="47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30" si="3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 t="shared" ref="C5:C30" si="4">IF($E5="","",IF(F4="チョンボ",C4,IF($E4=$E5,C4+1,0)))</f>
        <v>0</v>
      </c>
      <c r="D5" s="18">
        <f t="shared" ref="D5:D30" si="5">IF($E5="","",IF(OR($F4="流局",$F4="チョンボ"),D4+($H4+$M4+$R4)/-1000,0))</f>
        <v>0</v>
      </c>
      <c r="E5" s="4" t="s">
        <v>154</v>
      </c>
      <c r="F5" s="8" t="s">
        <v>142</v>
      </c>
      <c r="G5" s="9">
        <v>8000</v>
      </c>
      <c r="H5" s="9"/>
      <c r="I5" s="55">
        <v>0</v>
      </c>
      <c r="J5" s="21">
        <f t="shared" ref="J5:J30" si="6">IF(COUNTA($F5,$K5,$P5)&gt;0,J4+SUM(G5:I5),"")</f>
        <v>51000</v>
      </c>
      <c r="K5" s="8"/>
      <c r="L5" s="9"/>
      <c r="M5" s="9"/>
      <c r="N5" s="55"/>
      <c r="O5" s="21">
        <f t="shared" ref="O5:O30" si="7">IF(COUNTA($F5,$K5,$P5)&gt;0,O4+SUM(L5:N5),"")</f>
        <v>30000</v>
      </c>
      <c r="P5" s="8" t="s">
        <v>141</v>
      </c>
      <c r="Q5" s="9">
        <v>-8000</v>
      </c>
      <c r="R5" s="9"/>
      <c r="S5" s="55">
        <v>0</v>
      </c>
      <c r="T5" s="21">
        <f t="shared" ref="T5:T30" si="8">IF(COUNTA($F5,$K5,$P5)&gt;0,T4+SUM(Q5:S5),"")</f>
        <v>24000</v>
      </c>
      <c r="U5" s="60">
        <f t="shared" si="0"/>
        <v>16</v>
      </c>
      <c r="V5" s="61">
        <f t="shared" si="1"/>
        <v>-5</v>
      </c>
      <c r="W5" s="62">
        <f t="shared" si="2"/>
        <v>-11</v>
      </c>
      <c r="Y5" s="8"/>
      <c r="Z5" s="41"/>
      <c r="AA5" s="32">
        <v>1</v>
      </c>
      <c r="AB5" s="32"/>
      <c r="AC5" s="32">
        <v>4</v>
      </c>
      <c r="AD5" s="36">
        <v>40</v>
      </c>
      <c r="AE5" s="47" t="s">
        <v>143</v>
      </c>
      <c r="AF5" s="48" t="s">
        <v>80</v>
      </c>
      <c r="AG5" s="48" t="s">
        <v>81</v>
      </c>
      <c r="AH5" s="48" t="s">
        <v>82</v>
      </c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/>
      <c r="AW5" s="32">
        <v>1</v>
      </c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/>
      <c r="BR5" s="32">
        <v>1</v>
      </c>
      <c r="BS5" s="32"/>
      <c r="BT5" s="36"/>
      <c r="BU5" s="47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3"/>
        <v>東</v>
      </c>
      <c r="B6" s="18">
        <f t="shared" ref="B6:B30" si="9">IF($E6="","",IF($E5=$E6,B5,IF(B5=3,1,B5+1)))</f>
        <v>3</v>
      </c>
      <c r="C6" s="18">
        <f t="shared" si="4"/>
        <v>0</v>
      </c>
      <c r="D6" s="18">
        <f t="shared" si="5"/>
        <v>0</v>
      </c>
      <c r="E6" s="4" t="s">
        <v>135</v>
      </c>
      <c r="F6" s="8" t="s">
        <v>148</v>
      </c>
      <c r="G6" s="9">
        <v>-10000</v>
      </c>
      <c r="H6" s="9">
        <v>-1000</v>
      </c>
      <c r="I6" s="55">
        <v>0</v>
      </c>
      <c r="J6" s="21">
        <f t="shared" si="6"/>
        <v>40000</v>
      </c>
      <c r="K6" s="8" t="s">
        <v>148</v>
      </c>
      <c r="L6" s="9">
        <v>-6000</v>
      </c>
      <c r="M6" s="9"/>
      <c r="N6" s="55">
        <v>0</v>
      </c>
      <c r="O6" s="21">
        <f t="shared" si="7"/>
        <v>24000</v>
      </c>
      <c r="P6" s="8" t="s">
        <v>149</v>
      </c>
      <c r="Q6" s="9">
        <v>16000</v>
      </c>
      <c r="R6" s="9">
        <v>1000</v>
      </c>
      <c r="S6" s="55">
        <v>0</v>
      </c>
      <c r="T6" s="21">
        <f t="shared" si="8"/>
        <v>41000</v>
      </c>
      <c r="U6" s="60">
        <f t="shared" si="0"/>
        <v>5</v>
      </c>
      <c r="V6" s="61">
        <f t="shared" si="1"/>
        <v>-11</v>
      </c>
      <c r="W6" s="62">
        <f t="shared" si="2"/>
        <v>6</v>
      </c>
      <c r="Y6" s="8"/>
      <c r="Z6" s="41"/>
      <c r="AA6" s="32">
        <v>1</v>
      </c>
      <c r="AB6" s="32"/>
      <c r="AC6" s="32"/>
      <c r="AD6" s="36"/>
      <c r="AE6" s="47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/>
      <c r="AW6" s="32"/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>
        <v>1</v>
      </c>
      <c r="BR6" s="32"/>
      <c r="BS6" s="32">
        <v>8</v>
      </c>
      <c r="BT6" s="36" t="s">
        <v>144</v>
      </c>
      <c r="BU6" s="47" t="s">
        <v>143</v>
      </c>
      <c r="BV6" s="48" t="s">
        <v>83</v>
      </c>
      <c r="BW6" s="48" t="s">
        <v>84</v>
      </c>
      <c r="BX6" s="48" t="s">
        <v>85</v>
      </c>
      <c r="BY6" s="48" t="s">
        <v>80</v>
      </c>
      <c r="BZ6" s="48" t="s">
        <v>80</v>
      </c>
      <c r="CA6" s="48" t="s">
        <v>81</v>
      </c>
      <c r="CB6" s="48" t="s">
        <v>82</v>
      </c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si="3"/>
        <v>南</v>
      </c>
      <c r="B7" s="18">
        <f t="shared" si="9"/>
        <v>1</v>
      </c>
      <c r="C7" s="18">
        <f t="shared" si="4"/>
        <v>0</v>
      </c>
      <c r="D7" s="18">
        <f t="shared" si="5"/>
        <v>0</v>
      </c>
      <c r="E7" s="4" t="s">
        <v>151</v>
      </c>
      <c r="F7" s="8" t="s">
        <v>142</v>
      </c>
      <c r="G7" s="9">
        <v>3900</v>
      </c>
      <c r="H7" s="9">
        <v>2000</v>
      </c>
      <c r="I7" s="55">
        <v>0</v>
      </c>
      <c r="J7" s="21">
        <f t="shared" si="6"/>
        <v>45900</v>
      </c>
      <c r="K7" s="8" t="s">
        <v>141</v>
      </c>
      <c r="L7" s="9">
        <v>-3900</v>
      </c>
      <c r="M7" s="9">
        <v>-1000</v>
      </c>
      <c r="N7" s="55">
        <v>0</v>
      </c>
      <c r="O7" s="21">
        <f t="shared" si="7"/>
        <v>19100</v>
      </c>
      <c r="P7" s="8"/>
      <c r="Q7" s="9"/>
      <c r="R7" s="9">
        <v>-1000</v>
      </c>
      <c r="S7" s="55"/>
      <c r="T7" s="21">
        <f t="shared" si="8"/>
        <v>40000</v>
      </c>
      <c r="U7" s="60">
        <f t="shared" si="0"/>
        <v>10.9</v>
      </c>
      <c r="V7" s="61">
        <f t="shared" si="1"/>
        <v>-15.9</v>
      </c>
      <c r="W7" s="62">
        <f t="shared" si="2"/>
        <v>5</v>
      </c>
      <c r="Y7" s="8"/>
      <c r="Z7" s="41"/>
      <c r="AA7" s="32"/>
      <c r="AB7" s="32">
        <v>1</v>
      </c>
      <c r="AC7" s="32">
        <v>3</v>
      </c>
      <c r="AD7" s="36">
        <v>30</v>
      </c>
      <c r="AE7" s="47" t="s">
        <v>87</v>
      </c>
      <c r="AF7" s="48" t="s">
        <v>80</v>
      </c>
      <c r="AG7" s="48" t="s">
        <v>80</v>
      </c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>
        <v>1</v>
      </c>
      <c r="AW7" s="32"/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>
        <v>1</v>
      </c>
      <c r="BR7" s="32"/>
      <c r="BS7" s="32"/>
      <c r="BT7" s="36"/>
      <c r="BU7" s="47"/>
      <c r="BV7" s="48"/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3"/>
        <v>南</v>
      </c>
      <c r="B8" s="18">
        <f t="shared" si="9"/>
        <v>2</v>
      </c>
      <c r="C8" s="18">
        <f t="shared" si="4"/>
        <v>0</v>
      </c>
      <c r="D8" s="18">
        <f t="shared" si="5"/>
        <v>0</v>
      </c>
      <c r="E8" s="4" t="s">
        <v>154</v>
      </c>
      <c r="F8" s="8" t="s">
        <v>148</v>
      </c>
      <c r="G8" s="9">
        <v>-9000</v>
      </c>
      <c r="H8" s="9"/>
      <c r="I8" s="55">
        <v>0</v>
      </c>
      <c r="J8" s="21">
        <f t="shared" si="6"/>
        <v>36900</v>
      </c>
      <c r="K8" s="8" t="s">
        <v>148</v>
      </c>
      <c r="L8" s="9">
        <v>-9000</v>
      </c>
      <c r="M8" s="9"/>
      <c r="N8" s="55">
        <v>0</v>
      </c>
      <c r="O8" s="21">
        <f t="shared" si="7"/>
        <v>10100</v>
      </c>
      <c r="P8" s="8" t="s">
        <v>149</v>
      </c>
      <c r="Q8" s="9">
        <v>18000</v>
      </c>
      <c r="R8" s="9"/>
      <c r="S8" s="55">
        <v>0</v>
      </c>
      <c r="T8" s="21">
        <f t="shared" si="8"/>
        <v>58000</v>
      </c>
      <c r="U8" s="60">
        <f t="shared" si="0"/>
        <v>1.9</v>
      </c>
      <c r="V8" s="61">
        <f t="shared" si="1"/>
        <v>-24.9</v>
      </c>
      <c r="W8" s="62">
        <f t="shared" si="2"/>
        <v>23</v>
      </c>
      <c r="Y8" s="8"/>
      <c r="Z8" s="41"/>
      <c r="AA8" s="32"/>
      <c r="AB8" s="32"/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/>
      <c r="AW8" s="32"/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>
        <v>1</v>
      </c>
      <c r="BR8" s="32"/>
      <c r="BS8" s="32">
        <v>7</v>
      </c>
      <c r="BT8" s="36" t="s">
        <v>144</v>
      </c>
      <c r="BU8" s="47" t="s">
        <v>105</v>
      </c>
      <c r="BV8" s="48" t="s">
        <v>143</v>
      </c>
      <c r="BW8" s="48" t="s">
        <v>83</v>
      </c>
      <c r="BX8" s="48" t="s">
        <v>87</v>
      </c>
      <c r="BY8" s="48" t="s">
        <v>85</v>
      </c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3"/>
        <v>南</v>
      </c>
      <c r="B9" s="18">
        <f t="shared" si="9"/>
        <v>2</v>
      </c>
      <c r="C9" s="18">
        <f t="shared" si="4"/>
        <v>1</v>
      </c>
      <c r="D9" s="18">
        <f t="shared" si="5"/>
        <v>0</v>
      </c>
      <c r="E9" s="4" t="s">
        <v>154</v>
      </c>
      <c r="F9" s="8" t="s">
        <v>147</v>
      </c>
      <c r="G9" s="9">
        <v>-3000</v>
      </c>
      <c r="H9" s="9"/>
      <c r="I9" s="55"/>
      <c r="J9" s="21">
        <f t="shared" si="6"/>
        <v>33900</v>
      </c>
      <c r="K9" s="8" t="s">
        <v>147</v>
      </c>
      <c r="L9" s="9">
        <v>1500</v>
      </c>
      <c r="M9" s="9">
        <v>-1000</v>
      </c>
      <c r="N9" s="55"/>
      <c r="O9" s="21">
        <f t="shared" si="7"/>
        <v>10600</v>
      </c>
      <c r="P9" s="8" t="s">
        <v>147</v>
      </c>
      <c r="Q9" s="9">
        <v>1500</v>
      </c>
      <c r="R9" s="9">
        <v>-1000</v>
      </c>
      <c r="S9" s="55"/>
      <c r="T9" s="21">
        <f t="shared" si="8"/>
        <v>58500</v>
      </c>
      <c r="U9" s="60">
        <f t="shared" si="0"/>
        <v>-1.1000000000000001</v>
      </c>
      <c r="V9" s="61">
        <f t="shared" si="1"/>
        <v>-24.4</v>
      </c>
      <c r="W9" s="62">
        <f t="shared" si="2"/>
        <v>23.5</v>
      </c>
      <c r="Y9" s="8" t="s">
        <v>145</v>
      </c>
      <c r="Z9" s="41"/>
      <c r="AA9" s="32"/>
      <c r="AB9" s="32"/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 t="s">
        <v>146</v>
      </c>
      <c r="AU9" s="41"/>
      <c r="AV9" s="32">
        <v>1</v>
      </c>
      <c r="AW9" s="32"/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 t="s">
        <v>146</v>
      </c>
      <c r="BP9" s="41"/>
      <c r="BQ9" s="32">
        <v>1</v>
      </c>
      <c r="BR9" s="32"/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3"/>
        <v>南</v>
      </c>
      <c r="B10" s="18">
        <f t="shared" si="9"/>
        <v>2</v>
      </c>
      <c r="C10" s="18">
        <f t="shared" si="4"/>
        <v>2</v>
      </c>
      <c r="D10" s="18">
        <f t="shared" si="5"/>
        <v>2</v>
      </c>
      <c r="E10" s="4" t="s">
        <v>154</v>
      </c>
      <c r="F10" s="8" t="s">
        <v>142</v>
      </c>
      <c r="G10" s="9">
        <v>5200</v>
      </c>
      <c r="H10" s="9">
        <v>3000</v>
      </c>
      <c r="I10" s="55">
        <v>2000</v>
      </c>
      <c r="J10" s="21">
        <f t="shared" si="6"/>
        <v>44100</v>
      </c>
      <c r="K10" s="8" t="s">
        <v>141</v>
      </c>
      <c r="L10" s="9">
        <v>-5200</v>
      </c>
      <c r="M10" s="9">
        <v>-1000</v>
      </c>
      <c r="N10" s="55">
        <v>-2000</v>
      </c>
      <c r="O10" s="21">
        <f t="shared" si="7"/>
        <v>2400</v>
      </c>
      <c r="P10" s="8"/>
      <c r="Q10" s="9"/>
      <c r="R10" s="9"/>
      <c r="S10" s="55"/>
      <c r="T10" s="21">
        <f t="shared" si="8"/>
        <v>58500</v>
      </c>
      <c r="U10" s="60">
        <f t="shared" si="0"/>
        <v>9.1</v>
      </c>
      <c r="V10" s="61">
        <f t="shared" si="1"/>
        <v>-32.6</v>
      </c>
      <c r="W10" s="62">
        <f t="shared" si="2"/>
        <v>23.5</v>
      </c>
      <c r="Y10" s="8"/>
      <c r="Z10" s="41"/>
      <c r="AA10" s="32">
        <v>1</v>
      </c>
      <c r="AB10" s="32"/>
      <c r="AC10" s="32">
        <v>3</v>
      </c>
      <c r="AD10" s="36">
        <v>40</v>
      </c>
      <c r="AE10" s="47" t="s">
        <v>143</v>
      </c>
      <c r="AF10" s="48" t="s">
        <v>150</v>
      </c>
      <c r="AG10" s="48" t="s">
        <v>82</v>
      </c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>
        <v>1</v>
      </c>
      <c r="AW10" s="32"/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/>
      <c r="BR10" s="32"/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3"/>
        <v>南</v>
      </c>
      <c r="B11" s="18">
        <f t="shared" si="9"/>
        <v>3</v>
      </c>
      <c r="C11" s="18">
        <f t="shared" si="4"/>
        <v>0</v>
      </c>
      <c r="D11" s="18">
        <f t="shared" si="5"/>
        <v>0</v>
      </c>
      <c r="E11" s="4" t="s">
        <v>135</v>
      </c>
      <c r="F11" s="8" t="s">
        <v>142</v>
      </c>
      <c r="G11" s="9">
        <v>18000</v>
      </c>
      <c r="H11" s="9"/>
      <c r="I11" s="55">
        <v>0</v>
      </c>
      <c r="J11" s="21">
        <f t="shared" si="6"/>
        <v>62100</v>
      </c>
      <c r="K11" s="8" t="s">
        <v>141</v>
      </c>
      <c r="L11" s="9">
        <v>-18000</v>
      </c>
      <c r="M11" s="9"/>
      <c r="N11" s="55">
        <v>0</v>
      </c>
      <c r="O11" s="21">
        <f t="shared" si="7"/>
        <v>-15600</v>
      </c>
      <c r="P11" s="8"/>
      <c r="Q11" s="9"/>
      <c r="R11" s="9"/>
      <c r="S11" s="55"/>
      <c r="T11" s="21">
        <f t="shared" si="8"/>
        <v>58500</v>
      </c>
      <c r="U11" s="60">
        <f t="shared" si="0"/>
        <v>27.1</v>
      </c>
      <c r="V11" s="61">
        <f t="shared" si="1"/>
        <v>-50.6</v>
      </c>
      <c r="W11" s="62">
        <f t="shared" si="2"/>
        <v>23.5</v>
      </c>
      <c r="Y11" s="8"/>
      <c r="Z11" s="41"/>
      <c r="AA11" s="32"/>
      <c r="AB11" s="32">
        <v>1</v>
      </c>
      <c r="AC11" s="32">
        <v>7</v>
      </c>
      <c r="AD11" s="36" t="s">
        <v>144</v>
      </c>
      <c r="AE11" s="47" t="s">
        <v>87</v>
      </c>
      <c r="AF11" s="48" t="s">
        <v>87</v>
      </c>
      <c r="AG11" s="48" t="s">
        <v>82</v>
      </c>
      <c r="AH11" s="48" t="s">
        <v>82</v>
      </c>
      <c r="AI11" s="48" t="s">
        <v>80</v>
      </c>
      <c r="AJ11" s="48" t="s">
        <v>80</v>
      </c>
      <c r="AK11" s="48" t="s">
        <v>80</v>
      </c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3"/>
        <v/>
      </c>
      <c r="B12" s="18" t="str">
        <f t="shared" si="9"/>
        <v/>
      </c>
      <c r="C12" s="18" t="str">
        <f t="shared" si="4"/>
        <v/>
      </c>
      <c r="D12" s="18" t="str">
        <f t="shared" si="5"/>
        <v/>
      </c>
      <c r="E12" s="4"/>
      <c r="F12" s="8"/>
      <c r="G12" s="9"/>
      <c r="H12" s="9"/>
      <c r="I12" s="55"/>
      <c r="J12" s="21" t="str">
        <f t="shared" si="6"/>
        <v/>
      </c>
      <c r="K12" s="8"/>
      <c r="L12" s="9"/>
      <c r="M12" s="9"/>
      <c r="N12" s="55"/>
      <c r="O12" s="21" t="str">
        <f t="shared" si="7"/>
        <v/>
      </c>
      <c r="P12" s="8"/>
      <c r="Q12" s="9"/>
      <c r="R12" s="9"/>
      <c r="S12" s="55"/>
      <c r="T12" s="21" t="str">
        <f t="shared" si="8"/>
        <v/>
      </c>
      <c r="U12" s="60" t="str">
        <f t="shared" si="0"/>
        <v/>
      </c>
      <c r="V12" s="61" t="str">
        <f t="shared" si="1"/>
        <v/>
      </c>
      <c r="W12" s="62" t="str">
        <f t="shared" si="2"/>
        <v/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3"/>
        <v/>
      </c>
      <c r="B13" s="18" t="str">
        <f t="shared" si="9"/>
        <v/>
      </c>
      <c r="C13" s="18" t="str">
        <f t="shared" si="4"/>
        <v/>
      </c>
      <c r="D13" s="18" t="str">
        <f t="shared" si="5"/>
        <v/>
      </c>
      <c r="E13" s="4"/>
      <c r="F13" s="8"/>
      <c r="G13" s="9"/>
      <c r="H13" s="9"/>
      <c r="I13" s="55"/>
      <c r="J13" s="21" t="str">
        <f t="shared" si="6"/>
        <v/>
      </c>
      <c r="K13" s="8"/>
      <c r="L13" s="9"/>
      <c r="M13" s="9"/>
      <c r="N13" s="55"/>
      <c r="O13" s="21" t="str">
        <f t="shared" si="7"/>
        <v/>
      </c>
      <c r="P13" s="8"/>
      <c r="Q13" s="9"/>
      <c r="R13" s="9"/>
      <c r="S13" s="55"/>
      <c r="T13" s="21" t="str">
        <f t="shared" si="8"/>
        <v/>
      </c>
      <c r="U13" s="60" t="str">
        <f t="shared" si="0"/>
        <v/>
      </c>
      <c r="V13" s="61" t="str">
        <f t="shared" si="1"/>
        <v/>
      </c>
      <c r="W13" s="62" t="str">
        <f t="shared" si="2"/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3"/>
        <v/>
      </c>
      <c r="B14" s="18" t="str">
        <f t="shared" si="9"/>
        <v/>
      </c>
      <c r="C14" s="18" t="str">
        <f t="shared" si="4"/>
        <v/>
      </c>
      <c r="D14" s="18" t="str">
        <f t="shared" si="5"/>
        <v/>
      </c>
      <c r="E14" s="4"/>
      <c r="F14" s="8"/>
      <c r="G14" s="9"/>
      <c r="H14" s="9"/>
      <c r="I14" s="55"/>
      <c r="J14" s="21" t="str">
        <f t="shared" si="6"/>
        <v/>
      </c>
      <c r="K14" s="8"/>
      <c r="L14" s="9"/>
      <c r="M14" s="9"/>
      <c r="N14" s="55"/>
      <c r="O14" s="21" t="str">
        <f t="shared" si="7"/>
        <v/>
      </c>
      <c r="P14" s="8"/>
      <c r="Q14" s="9"/>
      <c r="R14" s="9"/>
      <c r="S14" s="55"/>
      <c r="T14" s="21" t="str">
        <f t="shared" si="8"/>
        <v/>
      </c>
      <c r="U14" s="60" t="str">
        <f t="shared" si="0"/>
        <v/>
      </c>
      <c r="V14" s="61" t="str">
        <f t="shared" si="1"/>
        <v/>
      </c>
      <c r="W14" s="62" t="str">
        <f t="shared" si="2"/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3"/>
        <v/>
      </c>
      <c r="B15" s="18" t="str">
        <f t="shared" si="9"/>
        <v/>
      </c>
      <c r="C15" s="18" t="str">
        <f t="shared" si="4"/>
        <v/>
      </c>
      <c r="D15" s="18" t="str">
        <f t="shared" si="5"/>
        <v/>
      </c>
      <c r="E15" s="4"/>
      <c r="F15" s="8"/>
      <c r="G15" s="9"/>
      <c r="H15" s="9"/>
      <c r="I15" s="55"/>
      <c r="J15" s="21" t="str">
        <f t="shared" si="6"/>
        <v/>
      </c>
      <c r="K15" s="8"/>
      <c r="L15" s="9"/>
      <c r="M15" s="9"/>
      <c r="N15" s="55"/>
      <c r="O15" s="21" t="str">
        <f t="shared" si="7"/>
        <v/>
      </c>
      <c r="P15" s="8"/>
      <c r="Q15" s="9"/>
      <c r="R15" s="9"/>
      <c r="S15" s="55"/>
      <c r="T15" s="21" t="str">
        <f t="shared" si="8"/>
        <v/>
      </c>
      <c r="U15" s="60" t="str">
        <f t="shared" si="0"/>
        <v/>
      </c>
      <c r="V15" s="61" t="str">
        <f t="shared" si="1"/>
        <v/>
      </c>
      <c r="W15" s="62" t="str">
        <f t="shared" si="2"/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3"/>
        <v/>
      </c>
      <c r="B16" s="18" t="str">
        <f t="shared" si="9"/>
        <v/>
      </c>
      <c r="C16" s="18" t="str">
        <f t="shared" si="4"/>
        <v/>
      </c>
      <c r="D16" s="18" t="str">
        <f t="shared" si="5"/>
        <v/>
      </c>
      <c r="E16" s="4"/>
      <c r="F16" s="8"/>
      <c r="G16" s="9"/>
      <c r="H16" s="9"/>
      <c r="I16" s="55"/>
      <c r="J16" s="21" t="str">
        <f t="shared" si="6"/>
        <v/>
      </c>
      <c r="K16" s="8"/>
      <c r="L16" s="9"/>
      <c r="M16" s="9"/>
      <c r="N16" s="55"/>
      <c r="O16" s="21" t="str">
        <f t="shared" si="7"/>
        <v/>
      </c>
      <c r="P16" s="8"/>
      <c r="Q16" s="9"/>
      <c r="R16" s="9"/>
      <c r="S16" s="55"/>
      <c r="T16" s="21" t="str">
        <f t="shared" si="8"/>
        <v/>
      </c>
      <c r="U16" s="60" t="str">
        <f t="shared" si="0"/>
        <v/>
      </c>
      <c r="V16" s="61" t="str">
        <f t="shared" si="1"/>
        <v/>
      </c>
      <c r="W16" s="62" t="str">
        <f t="shared" si="2"/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3"/>
        <v/>
      </c>
      <c r="B17" s="18" t="str">
        <f t="shared" si="9"/>
        <v/>
      </c>
      <c r="C17" s="18" t="str">
        <f t="shared" si="4"/>
        <v/>
      </c>
      <c r="D17" s="18" t="str">
        <f t="shared" si="5"/>
        <v/>
      </c>
      <c r="E17" s="4"/>
      <c r="F17" s="8"/>
      <c r="G17" s="9"/>
      <c r="H17" s="9"/>
      <c r="I17" s="55"/>
      <c r="J17" s="21" t="str">
        <f t="shared" si="6"/>
        <v/>
      </c>
      <c r="K17" s="8"/>
      <c r="L17" s="9"/>
      <c r="M17" s="9"/>
      <c r="N17" s="55"/>
      <c r="O17" s="21" t="str">
        <f t="shared" si="7"/>
        <v/>
      </c>
      <c r="P17" s="8"/>
      <c r="Q17" s="9"/>
      <c r="R17" s="9"/>
      <c r="S17" s="55"/>
      <c r="T17" s="21" t="str">
        <f t="shared" si="8"/>
        <v/>
      </c>
      <c r="U17" s="60" t="str">
        <f t="shared" si="0"/>
        <v/>
      </c>
      <c r="V17" s="61" t="str">
        <f t="shared" si="1"/>
        <v/>
      </c>
      <c r="W17" s="62" t="str">
        <f t="shared" si="2"/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3"/>
        <v/>
      </c>
      <c r="B18" s="18" t="str">
        <f t="shared" si="9"/>
        <v/>
      </c>
      <c r="C18" s="18" t="str">
        <f t="shared" si="4"/>
        <v/>
      </c>
      <c r="D18" s="18" t="str">
        <f t="shared" si="5"/>
        <v/>
      </c>
      <c r="E18" s="4"/>
      <c r="F18" s="8"/>
      <c r="G18" s="9"/>
      <c r="H18" s="9"/>
      <c r="I18" s="55"/>
      <c r="J18" s="21" t="str">
        <f t="shared" si="6"/>
        <v/>
      </c>
      <c r="K18" s="8"/>
      <c r="L18" s="9"/>
      <c r="M18" s="9"/>
      <c r="N18" s="55"/>
      <c r="O18" s="21" t="str">
        <f t="shared" si="7"/>
        <v/>
      </c>
      <c r="P18" s="8"/>
      <c r="Q18" s="9"/>
      <c r="R18" s="9"/>
      <c r="S18" s="55"/>
      <c r="T18" s="21" t="str">
        <f t="shared" si="8"/>
        <v/>
      </c>
      <c r="U18" s="60" t="str">
        <f t="shared" si="0"/>
        <v/>
      </c>
      <c r="V18" s="61" t="str">
        <f t="shared" si="1"/>
        <v/>
      </c>
      <c r="W18" s="62" t="str">
        <f t="shared" si="2"/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3"/>
        <v/>
      </c>
      <c r="B19" s="18" t="str">
        <f t="shared" si="9"/>
        <v/>
      </c>
      <c r="C19" s="18" t="str">
        <f t="shared" si="4"/>
        <v/>
      </c>
      <c r="D19" s="18" t="str">
        <f t="shared" si="5"/>
        <v/>
      </c>
      <c r="E19" s="4"/>
      <c r="F19" s="8"/>
      <c r="G19" s="9"/>
      <c r="H19" s="9"/>
      <c r="I19" s="55"/>
      <c r="J19" s="21" t="str">
        <f t="shared" si="6"/>
        <v/>
      </c>
      <c r="K19" s="8"/>
      <c r="L19" s="9"/>
      <c r="M19" s="9"/>
      <c r="N19" s="55"/>
      <c r="O19" s="21" t="str">
        <f t="shared" si="7"/>
        <v/>
      </c>
      <c r="P19" s="8"/>
      <c r="Q19" s="9"/>
      <c r="R19" s="9"/>
      <c r="S19" s="55"/>
      <c r="T19" s="21" t="str">
        <f t="shared" si="8"/>
        <v/>
      </c>
      <c r="U19" s="60" t="str">
        <f t="shared" si="0"/>
        <v/>
      </c>
      <c r="V19" s="61" t="str">
        <f t="shared" si="1"/>
        <v/>
      </c>
      <c r="W19" s="62" t="str">
        <f t="shared" si="2"/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3"/>
        <v/>
      </c>
      <c r="B20" s="18" t="str">
        <f t="shared" si="9"/>
        <v/>
      </c>
      <c r="C20" s="18" t="str">
        <f t="shared" si="4"/>
        <v/>
      </c>
      <c r="D20" s="18" t="str">
        <f t="shared" si="5"/>
        <v/>
      </c>
      <c r="E20" s="4"/>
      <c r="F20" s="8"/>
      <c r="G20" s="9"/>
      <c r="H20" s="9"/>
      <c r="I20" s="55"/>
      <c r="J20" s="21" t="str">
        <f t="shared" si="6"/>
        <v/>
      </c>
      <c r="K20" s="8"/>
      <c r="L20" s="9"/>
      <c r="M20" s="9"/>
      <c r="N20" s="55"/>
      <c r="O20" s="21" t="str">
        <f t="shared" si="7"/>
        <v/>
      </c>
      <c r="P20" s="8"/>
      <c r="Q20" s="9"/>
      <c r="R20" s="9"/>
      <c r="S20" s="55"/>
      <c r="T20" s="21" t="str">
        <f t="shared" si="8"/>
        <v/>
      </c>
      <c r="U20" s="60" t="str">
        <f t="shared" si="0"/>
        <v/>
      </c>
      <c r="V20" s="61" t="str">
        <f t="shared" si="1"/>
        <v/>
      </c>
      <c r="W20" s="62" t="str">
        <f t="shared" si="2"/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3"/>
        <v/>
      </c>
      <c r="B21" s="18" t="str">
        <f t="shared" si="9"/>
        <v/>
      </c>
      <c r="C21" s="18" t="str">
        <f t="shared" si="4"/>
        <v/>
      </c>
      <c r="D21" s="18" t="str">
        <f t="shared" si="5"/>
        <v/>
      </c>
      <c r="E21" s="4"/>
      <c r="F21" s="8"/>
      <c r="G21" s="9"/>
      <c r="H21" s="9"/>
      <c r="I21" s="55"/>
      <c r="J21" s="21" t="str">
        <f t="shared" si="6"/>
        <v/>
      </c>
      <c r="K21" s="8"/>
      <c r="L21" s="9"/>
      <c r="M21" s="9"/>
      <c r="N21" s="55"/>
      <c r="O21" s="21" t="str">
        <f t="shared" si="7"/>
        <v/>
      </c>
      <c r="P21" s="8"/>
      <c r="Q21" s="9"/>
      <c r="R21" s="9"/>
      <c r="S21" s="55"/>
      <c r="T21" s="21" t="str">
        <f t="shared" si="8"/>
        <v/>
      </c>
      <c r="U21" s="60" t="str">
        <f t="shared" si="0"/>
        <v/>
      </c>
      <c r="V21" s="61" t="str">
        <f t="shared" si="1"/>
        <v/>
      </c>
      <c r="W21" s="62" t="str">
        <f t="shared" si="2"/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3"/>
        <v/>
      </c>
      <c r="B22" s="18" t="str">
        <f t="shared" si="9"/>
        <v/>
      </c>
      <c r="C22" s="18" t="str">
        <f t="shared" si="4"/>
        <v/>
      </c>
      <c r="D22" s="18" t="str">
        <f t="shared" si="5"/>
        <v/>
      </c>
      <c r="E22" s="4"/>
      <c r="F22" s="8"/>
      <c r="G22" s="9"/>
      <c r="H22" s="9"/>
      <c r="I22" s="55"/>
      <c r="J22" s="21" t="str">
        <f t="shared" si="6"/>
        <v/>
      </c>
      <c r="K22" s="8"/>
      <c r="L22" s="9"/>
      <c r="M22" s="9"/>
      <c r="N22" s="55"/>
      <c r="O22" s="21" t="str">
        <f t="shared" si="7"/>
        <v/>
      </c>
      <c r="P22" s="8"/>
      <c r="Q22" s="9"/>
      <c r="R22" s="9"/>
      <c r="S22" s="55"/>
      <c r="T22" s="21" t="str">
        <f t="shared" si="8"/>
        <v/>
      </c>
      <c r="U22" s="60" t="str">
        <f t="shared" si="0"/>
        <v/>
      </c>
      <c r="V22" s="61" t="str">
        <f t="shared" si="1"/>
        <v/>
      </c>
      <c r="W22" s="62" t="str">
        <f t="shared" si="2"/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3"/>
        <v/>
      </c>
      <c r="B23" s="18" t="str">
        <f t="shared" si="9"/>
        <v/>
      </c>
      <c r="C23" s="18" t="str">
        <f t="shared" si="4"/>
        <v/>
      </c>
      <c r="D23" s="18" t="str">
        <f t="shared" si="5"/>
        <v/>
      </c>
      <c r="E23" s="4"/>
      <c r="F23" s="8"/>
      <c r="G23" s="9"/>
      <c r="H23" s="9"/>
      <c r="I23" s="55"/>
      <c r="J23" s="21" t="str">
        <f t="shared" si="6"/>
        <v/>
      </c>
      <c r="K23" s="8"/>
      <c r="L23" s="9"/>
      <c r="M23" s="9"/>
      <c r="N23" s="55"/>
      <c r="O23" s="21" t="str">
        <f t="shared" si="7"/>
        <v/>
      </c>
      <c r="P23" s="8"/>
      <c r="Q23" s="9"/>
      <c r="R23" s="9"/>
      <c r="S23" s="55"/>
      <c r="T23" s="21" t="str">
        <f t="shared" si="8"/>
        <v/>
      </c>
      <c r="U23" s="60" t="str">
        <f t="shared" si="0"/>
        <v/>
      </c>
      <c r="V23" s="61" t="str">
        <f t="shared" si="1"/>
        <v/>
      </c>
      <c r="W23" s="62" t="str">
        <f t="shared" si="2"/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3"/>
        <v/>
      </c>
      <c r="B24" s="18" t="str">
        <f t="shared" si="9"/>
        <v/>
      </c>
      <c r="C24" s="18" t="str">
        <f t="shared" si="4"/>
        <v/>
      </c>
      <c r="D24" s="18" t="str">
        <f t="shared" si="5"/>
        <v/>
      </c>
      <c r="E24" s="4"/>
      <c r="F24" s="8"/>
      <c r="G24" s="9"/>
      <c r="H24" s="9"/>
      <c r="I24" s="55"/>
      <c r="J24" s="21" t="str">
        <f t="shared" si="6"/>
        <v/>
      </c>
      <c r="K24" s="8"/>
      <c r="L24" s="9"/>
      <c r="M24" s="9"/>
      <c r="N24" s="55"/>
      <c r="O24" s="21" t="str">
        <f t="shared" si="7"/>
        <v/>
      </c>
      <c r="P24" s="8"/>
      <c r="Q24" s="9"/>
      <c r="R24" s="9"/>
      <c r="S24" s="55"/>
      <c r="T24" s="21" t="str">
        <f t="shared" si="8"/>
        <v/>
      </c>
      <c r="U24" s="60" t="str">
        <f t="shared" si="0"/>
        <v/>
      </c>
      <c r="V24" s="61" t="str">
        <f t="shared" si="1"/>
        <v/>
      </c>
      <c r="W24" s="62" t="str">
        <f t="shared" si="2"/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3"/>
        <v/>
      </c>
      <c r="B25" s="18" t="str">
        <f t="shared" si="9"/>
        <v/>
      </c>
      <c r="C25" s="18" t="str">
        <f t="shared" si="4"/>
        <v/>
      </c>
      <c r="D25" s="18" t="str">
        <f t="shared" si="5"/>
        <v/>
      </c>
      <c r="E25" s="4"/>
      <c r="F25" s="8"/>
      <c r="G25" s="9"/>
      <c r="H25" s="9"/>
      <c r="I25" s="55"/>
      <c r="J25" s="21" t="str">
        <f t="shared" si="6"/>
        <v/>
      </c>
      <c r="K25" s="8"/>
      <c r="L25" s="9"/>
      <c r="M25" s="9"/>
      <c r="N25" s="55"/>
      <c r="O25" s="21" t="str">
        <f t="shared" si="7"/>
        <v/>
      </c>
      <c r="P25" s="8"/>
      <c r="Q25" s="9"/>
      <c r="R25" s="9"/>
      <c r="S25" s="55"/>
      <c r="T25" s="21" t="str">
        <f t="shared" si="8"/>
        <v/>
      </c>
      <c r="U25" s="60" t="str">
        <f t="shared" si="0"/>
        <v/>
      </c>
      <c r="V25" s="61" t="str">
        <f t="shared" si="1"/>
        <v/>
      </c>
      <c r="W25" s="62" t="str">
        <f t="shared" si="2"/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3"/>
        <v/>
      </c>
      <c r="B26" s="18" t="str">
        <f t="shared" si="9"/>
        <v/>
      </c>
      <c r="C26" s="18" t="str">
        <f t="shared" si="4"/>
        <v/>
      </c>
      <c r="D26" s="18" t="str">
        <f t="shared" si="5"/>
        <v/>
      </c>
      <c r="E26" s="4"/>
      <c r="F26" s="8"/>
      <c r="G26" s="9"/>
      <c r="H26" s="9"/>
      <c r="I26" s="55"/>
      <c r="J26" s="21" t="str">
        <f t="shared" si="6"/>
        <v/>
      </c>
      <c r="K26" s="8"/>
      <c r="L26" s="9"/>
      <c r="M26" s="9"/>
      <c r="N26" s="55"/>
      <c r="O26" s="21" t="str">
        <f t="shared" si="7"/>
        <v/>
      </c>
      <c r="P26" s="8"/>
      <c r="Q26" s="9"/>
      <c r="R26" s="9"/>
      <c r="S26" s="55"/>
      <c r="T26" s="21" t="str">
        <f t="shared" si="8"/>
        <v/>
      </c>
      <c r="U26" s="60" t="str">
        <f t="shared" si="0"/>
        <v/>
      </c>
      <c r="V26" s="61" t="str">
        <f t="shared" si="1"/>
        <v/>
      </c>
      <c r="W26" s="62" t="str">
        <f t="shared" si="2"/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3"/>
        <v/>
      </c>
      <c r="B27" s="18" t="str">
        <f t="shared" si="9"/>
        <v/>
      </c>
      <c r="C27" s="18" t="str">
        <f t="shared" si="4"/>
        <v/>
      </c>
      <c r="D27" s="18" t="str">
        <f t="shared" si="5"/>
        <v/>
      </c>
      <c r="E27" s="4"/>
      <c r="F27" s="8"/>
      <c r="G27" s="9"/>
      <c r="H27" s="9"/>
      <c r="I27" s="55"/>
      <c r="J27" s="21" t="str">
        <f t="shared" si="6"/>
        <v/>
      </c>
      <c r="K27" s="8"/>
      <c r="L27" s="9"/>
      <c r="M27" s="9"/>
      <c r="N27" s="55"/>
      <c r="O27" s="21" t="str">
        <f t="shared" si="7"/>
        <v/>
      </c>
      <c r="P27" s="8"/>
      <c r="Q27" s="9"/>
      <c r="R27" s="9"/>
      <c r="S27" s="55"/>
      <c r="T27" s="21" t="str">
        <f t="shared" si="8"/>
        <v/>
      </c>
      <c r="U27" s="60" t="str">
        <f t="shared" si="0"/>
        <v/>
      </c>
      <c r="V27" s="61" t="str">
        <f t="shared" si="1"/>
        <v/>
      </c>
      <c r="W27" s="62" t="str">
        <f t="shared" si="2"/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3"/>
        <v/>
      </c>
      <c r="B28" s="18" t="str">
        <f t="shared" si="9"/>
        <v/>
      </c>
      <c r="C28" s="18" t="str">
        <f t="shared" si="4"/>
        <v/>
      </c>
      <c r="D28" s="18" t="str">
        <f t="shared" si="5"/>
        <v/>
      </c>
      <c r="E28" s="4"/>
      <c r="F28" s="8"/>
      <c r="G28" s="9"/>
      <c r="H28" s="9"/>
      <c r="I28" s="55"/>
      <c r="J28" s="21" t="str">
        <f t="shared" si="6"/>
        <v/>
      </c>
      <c r="K28" s="8"/>
      <c r="L28" s="9"/>
      <c r="M28" s="9"/>
      <c r="N28" s="55"/>
      <c r="O28" s="21" t="str">
        <f t="shared" si="7"/>
        <v/>
      </c>
      <c r="P28" s="8"/>
      <c r="Q28" s="9"/>
      <c r="R28" s="9"/>
      <c r="S28" s="55"/>
      <c r="T28" s="21" t="str">
        <f t="shared" si="8"/>
        <v/>
      </c>
      <c r="U28" s="60" t="str">
        <f t="shared" si="0"/>
        <v/>
      </c>
      <c r="V28" s="61" t="str">
        <f t="shared" si="1"/>
        <v/>
      </c>
      <c r="W28" s="62" t="str">
        <f t="shared" si="2"/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3"/>
        <v/>
      </c>
      <c r="B29" s="18" t="str">
        <f t="shared" si="9"/>
        <v/>
      </c>
      <c r="C29" s="18" t="str">
        <f t="shared" si="4"/>
        <v/>
      </c>
      <c r="D29" s="18" t="str">
        <f t="shared" si="5"/>
        <v/>
      </c>
      <c r="E29" s="4"/>
      <c r="F29" s="8"/>
      <c r="G29" s="9"/>
      <c r="H29" s="9"/>
      <c r="I29" s="55"/>
      <c r="J29" s="21" t="str">
        <f t="shared" si="6"/>
        <v/>
      </c>
      <c r="K29" s="8"/>
      <c r="L29" s="9"/>
      <c r="M29" s="9"/>
      <c r="N29" s="55"/>
      <c r="O29" s="21" t="str">
        <f t="shared" si="7"/>
        <v/>
      </c>
      <c r="P29" s="8"/>
      <c r="Q29" s="9"/>
      <c r="R29" s="9"/>
      <c r="S29" s="55"/>
      <c r="T29" s="21" t="str">
        <f t="shared" si="8"/>
        <v/>
      </c>
      <c r="U29" s="60" t="str">
        <f t="shared" si="0"/>
        <v/>
      </c>
      <c r="V29" s="61" t="str">
        <f t="shared" si="1"/>
        <v/>
      </c>
      <c r="W29" s="62" t="str">
        <f t="shared" si="2"/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3"/>
        <v/>
      </c>
      <c r="B30" s="19" t="str">
        <f t="shared" si="9"/>
        <v/>
      </c>
      <c r="C30" s="19" t="str">
        <f t="shared" si="4"/>
        <v/>
      </c>
      <c r="D30" s="19" t="str">
        <f t="shared" si="5"/>
        <v/>
      </c>
      <c r="E30" s="5"/>
      <c r="F30" s="10"/>
      <c r="G30" s="11"/>
      <c r="H30" s="11"/>
      <c r="I30" s="56"/>
      <c r="J30" s="22" t="str">
        <f t="shared" si="6"/>
        <v/>
      </c>
      <c r="K30" s="10"/>
      <c r="L30" s="11"/>
      <c r="M30" s="11"/>
      <c r="N30" s="56"/>
      <c r="O30" s="22" t="str">
        <f t="shared" si="7"/>
        <v/>
      </c>
      <c r="P30" s="10"/>
      <c r="Q30" s="11"/>
      <c r="R30" s="11"/>
      <c r="S30" s="56"/>
      <c r="T30" s="22" t="str">
        <f t="shared" si="8"/>
        <v/>
      </c>
      <c r="U30" s="63" t="str">
        <f t="shared" si="0"/>
        <v/>
      </c>
      <c r="V30" s="64" t="str">
        <f t="shared" si="1"/>
        <v/>
      </c>
      <c r="W30" s="65" t="str">
        <f t="shared" si="2"/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14" priority="5">
      <formula>IF(G4&lt;&gt;"",SUM($G4:$I4,$L4:$N4,$Q4:$S4)-$D4*1000+$D5*1000)</formula>
    </cfRule>
  </conditionalFormatting>
  <conditionalFormatting sqref="F1:G1 I1:L1 S1:T1 N1:Q1">
    <cfRule type="duplicateValues" dxfId="13" priority="4"/>
  </conditionalFormatting>
  <conditionalFormatting sqref="H1">
    <cfRule type="duplicateValues" dxfId="12" priority="3"/>
  </conditionalFormatting>
  <conditionalFormatting sqref="R1">
    <cfRule type="duplicateValues" dxfId="11" priority="2"/>
  </conditionalFormatting>
  <conditionalFormatting sqref="M1">
    <cfRule type="duplicateValues" dxfId="10" priority="1"/>
  </conditionalFormatting>
  <dataValidations count="2">
    <dataValidation type="list" showInputMessage="1" showErrorMessage="1" sqref="K4:K30 P4:P30 F4:F30" xr:uid="{4853C203-594C-43C0-BEF4-7CB4D0D91663}">
      <formula1>"ロン,ツモ,放銃,ツモ支払,流局,チョンボ"</formula1>
    </dataValidation>
    <dataValidation type="list" allowBlank="1" showInputMessage="1" showErrorMessage="1" sqref="E4:E30" xr:uid="{6C755065-2AFD-4D5C-A8A0-3D3B2DC31A6E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BE053B-B160-4C13-B519-670B738AA589}">
  <sheetPr codeName="Sheet12">
    <pageSetUpPr fitToPage="1"/>
  </sheetPr>
  <dimension ref="A1:CI30"/>
  <sheetViews>
    <sheetView zoomScaleNormal="100" workbookViewId="0">
      <selection sqref="A1:A2"/>
    </sheetView>
  </sheetViews>
  <sheetFormatPr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83" t="s">
        <v>0</v>
      </c>
      <c r="B1" s="85" t="s">
        <v>2</v>
      </c>
      <c r="C1" s="85" t="s">
        <v>1</v>
      </c>
      <c r="D1" s="85" t="s">
        <v>22</v>
      </c>
      <c r="E1" s="87" t="s">
        <v>3</v>
      </c>
      <c r="F1" s="78" t="s">
        <v>136</v>
      </c>
      <c r="G1" s="80"/>
      <c r="H1" s="80"/>
      <c r="I1" s="89"/>
      <c r="J1" s="81"/>
      <c r="K1" s="78" t="s">
        <v>155</v>
      </c>
      <c r="L1" s="80"/>
      <c r="M1" s="80"/>
      <c r="N1" s="89"/>
      <c r="O1" s="81"/>
      <c r="P1" s="78" t="s">
        <v>140</v>
      </c>
      <c r="Q1" s="80"/>
      <c r="R1" s="80"/>
      <c r="S1" s="89"/>
      <c r="T1" s="81"/>
      <c r="U1" s="78" t="s">
        <v>6</v>
      </c>
      <c r="V1" s="80"/>
      <c r="W1" s="81"/>
      <c r="Y1" s="78" t="str">
        <f>F1</f>
        <v>だいち</v>
      </c>
      <c r="Z1" s="79"/>
      <c r="AA1" s="80"/>
      <c r="AB1" s="80"/>
      <c r="AC1" s="80"/>
      <c r="AD1" s="80"/>
      <c r="AE1" s="80"/>
      <c r="AF1" s="80"/>
      <c r="AG1" s="80"/>
      <c r="AH1" s="80"/>
      <c r="AI1" s="80"/>
      <c r="AJ1" s="80"/>
      <c r="AK1" s="80"/>
      <c r="AL1" s="80"/>
      <c r="AM1" s="80"/>
      <c r="AN1" s="80"/>
      <c r="AO1" s="80"/>
      <c r="AP1" s="80"/>
      <c r="AQ1" s="80"/>
      <c r="AR1" s="80"/>
      <c r="AS1" s="81"/>
      <c r="AT1" s="78" t="str">
        <f>K1</f>
        <v>りくと</v>
      </c>
      <c r="AU1" s="79"/>
      <c r="AV1" s="80"/>
      <c r="AW1" s="80"/>
      <c r="AX1" s="80"/>
      <c r="AY1" s="80"/>
      <c r="AZ1" s="80"/>
      <c r="BA1" s="80"/>
      <c r="BB1" s="80"/>
      <c r="BC1" s="80"/>
      <c r="BD1" s="80"/>
      <c r="BE1" s="80"/>
      <c r="BF1" s="80"/>
      <c r="BG1" s="80"/>
      <c r="BH1" s="80"/>
      <c r="BI1" s="80"/>
      <c r="BJ1" s="80"/>
      <c r="BK1" s="80"/>
      <c r="BL1" s="80"/>
      <c r="BM1" s="80"/>
      <c r="BN1" s="81"/>
      <c r="BO1" s="78" t="str">
        <f>P1</f>
        <v>れんたろう</v>
      </c>
      <c r="BP1" s="79"/>
      <c r="BQ1" s="80"/>
      <c r="BR1" s="80"/>
      <c r="BS1" s="80"/>
      <c r="BT1" s="80"/>
      <c r="BU1" s="80"/>
      <c r="BV1" s="80"/>
      <c r="BW1" s="80"/>
      <c r="BX1" s="80"/>
      <c r="BY1" s="80"/>
      <c r="BZ1" s="80"/>
      <c r="CA1" s="80"/>
      <c r="CB1" s="80"/>
      <c r="CC1" s="80"/>
      <c r="CD1" s="80"/>
      <c r="CE1" s="80"/>
      <c r="CF1" s="80"/>
      <c r="CG1" s="80"/>
      <c r="CH1" s="80"/>
      <c r="CI1" s="81"/>
    </row>
    <row r="2" spans="1:87" x14ac:dyDescent="0.4">
      <c r="A2" s="84"/>
      <c r="B2" s="86"/>
      <c r="C2" s="86"/>
      <c r="D2" s="86"/>
      <c r="E2" s="88"/>
      <c r="F2" s="1" t="s">
        <v>5</v>
      </c>
      <c r="G2" s="2" t="s">
        <v>9</v>
      </c>
      <c r="H2" s="2" t="s">
        <v>23</v>
      </c>
      <c r="I2" s="5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76" t="str">
        <f>$F$1</f>
        <v>だいち</v>
      </c>
      <c r="V2" s="77" t="str">
        <f>$K$1</f>
        <v>りくと</v>
      </c>
      <c r="W2" s="16" t="str">
        <f>$P$1</f>
        <v>れんたろう</v>
      </c>
      <c r="Y2" s="72" t="s">
        <v>24</v>
      </c>
      <c r="Z2" s="73" t="s">
        <v>27</v>
      </c>
      <c r="AA2" s="74" t="s">
        <v>25</v>
      </c>
      <c r="AB2" s="74" t="s">
        <v>128</v>
      </c>
      <c r="AC2" s="74" t="s">
        <v>19</v>
      </c>
      <c r="AD2" s="75" t="s">
        <v>20</v>
      </c>
      <c r="AE2" s="82" t="s">
        <v>21</v>
      </c>
      <c r="AF2" s="82"/>
      <c r="AG2" s="82"/>
      <c r="AH2" s="82"/>
      <c r="AI2" s="82"/>
      <c r="AJ2" s="82"/>
      <c r="AK2" s="82"/>
      <c r="AL2" s="82"/>
      <c r="AM2" s="82"/>
      <c r="AN2" s="82"/>
      <c r="AO2" s="82"/>
      <c r="AP2" s="82"/>
      <c r="AQ2" s="82"/>
      <c r="AR2" s="82"/>
      <c r="AS2" s="82"/>
      <c r="AT2" s="72" t="s">
        <v>24</v>
      </c>
      <c r="AU2" s="73" t="s">
        <v>27</v>
      </c>
      <c r="AV2" s="74" t="s">
        <v>25</v>
      </c>
      <c r="AW2" s="74" t="s">
        <v>129</v>
      </c>
      <c r="AX2" s="74" t="s">
        <v>19</v>
      </c>
      <c r="AY2" s="75" t="s">
        <v>20</v>
      </c>
      <c r="AZ2" s="82" t="s">
        <v>21</v>
      </c>
      <c r="BA2" s="82"/>
      <c r="BB2" s="82"/>
      <c r="BC2" s="82"/>
      <c r="BD2" s="82"/>
      <c r="BE2" s="82"/>
      <c r="BF2" s="82"/>
      <c r="BG2" s="82"/>
      <c r="BH2" s="82"/>
      <c r="BI2" s="82"/>
      <c r="BJ2" s="82"/>
      <c r="BK2" s="82"/>
      <c r="BL2" s="82"/>
      <c r="BM2" s="82"/>
      <c r="BN2" s="82"/>
      <c r="BO2" s="72" t="s">
        <v>24</v>
      </c>
      <c r="BP2" s="73" t="s">
        <v>27</v>
      </c>
      <c r="BQ2" s="74" t="s">
        <v>25</v>
      </c>
      <c r="BR2" s="74" t="s">
        <v>129</v>
      </c>
      <c r="BS2" s="74" t="s">
        <v>19</v>
      </c>
      <c r="BT2" s="75" t="s">
        <v>20</v>
      </c>
      <c r="BU2" s="82" t="s">
        <v>21</v>
      </c>
      <c r="BV2" s="82"/>
      <c r="BW2" s="82"/>
      <c r="BX2" s="82"/>
      <c r="BY2" s="82"/>
      <c r="BZ2" s="82"/>
      <c r="CA2" s="82"/>
      <c r="CB2" s="82"/>
      <c r="CC2" s="82"/>
      <c r="CD2" s="82"/>
      <c r="CE2" s="82"/>
      <c r="CF2" s="82"/>
      <c r="CG2" s="82"/>
      <c r="CH2" s="82"/>
      <c r="CI2" s="82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IF($J3="","",ROUND(($J3-$J$3)/1000,1))</f>
        <v>0</v>
      </c>
      <c r="V3" s="58">
        <f>IF($O3="","",ROUND(($O3-$O$3)/1000,1))</f>
        <v>0</v>
      </c>
      <c r="W3" s="59">
        <f>IF($T3="","",ROUND(($T3-$T$3)/1000,1))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135</v>
      </c>
      <c r="F4" s="8" t="s">
        <v>148</v>
      </c>
      <c r="G4" s="9">
        <v>-2500</v>
      </c>
      <c r="H4" s="9"/>
      <c r="I4" s="55">
        <v>0</v>
      </c>
      <c r="J4" s="21">
        <f>IF(COUNTA($F4,$K4,$P4)&gt;0,J3+SUM(G4:I4),"")</f>
        <v>32500</v>
      </c>
      <c r="K4" s="8" t="s">
        <v>149</v>
      </c>
      <c r="L4" s="9">
        <v>4000</v>
      </c>
      <c r="M4" s="9">
        <v>1000</v>
      </c>
      <c r="N4" s="55">
        <v>0</v>
      </c>
      <c r="O4" s="21">
        <f>IF(COUNTA($F4,$K4,$P4)&gt;0,O3+SUM(L4:N4),"")</f>
        <v>40000</v>
      </c>
      <c r="P4" s="8" t="s">
        <v>148</v>
      </c>
      <c r="Q4" s="9">
        <v>-1500</v>
      </c>
      <c r="R4" s="9">
        <v>-1000</v>
      </c>
      <c r="S4" s="55">
        <v>0</v>
      </c>
      <c r="T4" s="21">
        <f>IF(COUNTA($F4,$K4,$P4)&gt;0,T3+SUM(Q4:S4),"")</f>
        <v>32500</v>
      </c>
      <c r="U4" s="60">
        <f t="shared" ref="U4:U30" si="0">IF($J4="","",ROUND(($J4-$J$3)/1000,1))</f>
        <v>-2.5</v>
      </c>
      <c r="V4" s="61">
        <f t="shared" ref="V4:V30" si="1">IF($O4="","",ROUND(($O4-$O$3)/1000,1))</f>
        <v>5</v>
      </c>
      <c r="W4" s="62">
        <f t="shared" ref="W4:W30" si="2">IF($T4="","",ROUND(($T4-$T$3)/1000,1))</f>
        <v>-2.5</v>
      </c>
      <c r="Y4" s="8"/>
      <c r="Z4" s="41"/>
      <c r="AA4" s="32"/>
      <c r="AB4" s="32"/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/>
      <c r="AW4" s="32">
        <v>1</v>
      </c>
      <c r="AX4" s="32">
        <v>3</v>
      </c>
      <c r="AY4" s="36">
        <v>30</v>
      </c>
      <c r="AZ4" s="47" t="s">
        <v>105</v>
      </c>
      <c r="BA4" s="48" t="s">
        <v>87</v>
      </c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>
        <v>1</v>
      </c>
      <c r="BR4" s="32"/>
      <c r="BS4" s="32"/>
      <c r="BT4" s="36"/>
      <c r="BU4" s="47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30" si="3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 t="shared" ref="C5:C30" si="4">IF($E5="","",IF(F4="チョンボ",C4,IF($E4=$E5,C4+1,0)))</f>
        <v>0</v>
      </c>
      <c r="D5" s="18">
        <f t="shared" ref="D5:D30" si="5">IF($E5="","",IF(OR($F4="流局",$F4="チョンボ"),D4+($H4+$M4+$R4)/-1000,0))</f>
        <v>0</v>
      </c>
      <c r="E5" s="4" t="s">
        <v>154</v>
      </c>
      <c r="F5" s="8" t="s">
        <v>156</v>
      </c>
      <c r="G5" s="9">
        <v>3000</v>
      </c>
      <c r="H5" s="9"/>
      <c r="I5" s="55"/>
      <c r="J5" s="21">
        <f t="shared" ref="J5:J30" si="6">IF(COUNTA($F5,$K5,$P5)&gt;0,J4+SUM(G5:I5),"")</f>
        <v>35500</v>
      </c>
      <c r="K5" s="8" t="s">
        <v>156</v>
      </c>
      <c r="L5" s="9">
        <v>5000</v>
      </c>
      <c r="M5" s="9"/>
      <c r="N5" s="55"/>
      <c r="O5" s="21">
        <f t="shared" ref="O5:O30" si="7">IF(COUNTA($F5,$K5,$P5)&gt;0,O4+SUM(L5:N5),"")</f>
        <v>45000</v>
      </c>
      <c r="P5" s="8" t="s">
        <v>156</v>
      </c>
      <c r="Q5" s="9">
        <v>-8000</v>
      </c>
      <c r="R5" s="9"/>
      <c r="S5" s="55"/>
      <c r="T5" s="21">
        <f t="shared" ref="T5:T30" si="8">IF(COUNTA($F5,$K5,$P5)&gt;0,T4+SUM(Q5:S5),"")</f>
        <v>24500</v>
      </c>
      <c r="U5" s="60">
        <f t="shared" si="0"/>
        <v>0.5</v>
      </c>
      <c r="V5" s="61">
        <f t="shared" si="1"/>
        <v>10</v>
      </c>
      <c r="W5" s="62">
        <f t="shared" si="2"/>
        <v>-10.5</v>
      </c>
      <c r="Y5" s="8"/>
      <c r="Z5" s="41"/>
      <c r="AA5" s="32"/>
      <c r="AB5" s="32"/>
      <c r="AC5" s="32"/>
      <c r="AD5" s="36"/>
      <c r="AE5" s="47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/>
      <c r="AW5" s="32"/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>
        <v>1</v>
      </c>
      <c r="BQ5" s="32"/>
      <c r="BR5" s="32">
        <v>1</v>
      </c>
      <c r="BS5" s="32"/>
      <c r="BT5" s="36"/>
      <c r="BU5" s="47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3"/>
        <v>東</v>
      </c>
      <c r="B6" s="18">
        <f t="shared" ref="B6:B30" si="9">IF($E6="","",IF($E5=$E6,B5,IF(B5=3,1,B5+1)))</f>
        <v>2</v>
      </c>
      <c r="C6" s="18">
        <f t="shared" si="4"/>
        <v>0</v>
      </c>
      <c r="D6" s="18">
        <f t="shared" si="5"/>
        <v>0</v>
      </c>
      <c r="E6" s="4" t="s">
        <v>154</v>
      </c>
      <c r="F6" s="8" t="s">
        <v>148</v>
      </c>
      <c r="G6" s="9">
        <v>-6000</v>
      </c>
      <c r="H6" s="9"/>
      <c r="I6" s="55">
        <v>0</v>
      </c>
      <c r="J6" s="21">
        <f t="shared" si="6"/>
        <v>29500</v>
      </c>
      <c r="K6" s="8" t="s">
        <v>149</v>
      </c>
      <c r="L6" s="9">
        <v>12000</v>
      </c>
      <c r="M6" s="9"/>
      <c r="N6" s="55">
        <v>0</v>
      </c>
      <c r="O6" s="21">
        <f t="shared" si="7"/>
        <v>57000</v>
      </c>
      <c r="P6" s="8" t="s">
        <v>148</v>
      </c>
      <c r="Q6" s="9">
        <v>-6000</v>
      </c>
      <c r="R6" s="9"/>
      <c r="S6" s="55">
        <v>0</v>
      </c>
      <c r="T6" s="21">
        <f t="shared" si="8"/>
        <v>18500</v>
      </c>
      <c r="U6" s="60">
        <f t="shared" si="0"/>
        <v>-5.5</v>
      </c>
      <c r="V6" s="61">
        <f t="shared" si="1"/>
        <v>22</v>
      </c>
      <c r="W6" s="62">
        <f t="shared" si="2"/>
        <v>-16.5</v>
      </c>
      <c r="Y6" s="8"/>
      <c r="Z6" s="41"/>
      <c r="AA6" s="32"/>
      <c r="AB6" s="32"/>
      <c r="AC6" s="32"/>
      <c r="AD6" s="36"/>
      <c r="AE6" s="47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>
        <v>1</v>
      </c>
      <c r="AW6" s="32"/>
      <c r="AX6" s="32">
        <v>4</v>
      </c>
      <c r="AY6" s="36">
        <v>30</v>
      </c>
      <c r="AZ6" s="47" t="s">
        <v>143</v>
      </c>
      <c r="BA6" s="48" t="s">
        <v>83</v>
      </c>
      <c r="BB6" s="48" t="s">
        <v>85</v>
      </c>
      <c r="BC6" s="48" t="s">
        <v>80</v>
      </c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/>
      <c r="BR6" s="32"/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si="3"/>
        <v>東</v>
      </c>
      <c r="B7" s="18">
        <f t="shared" si="9"/>
        <v>2</v>
      </c>
      <c r="C7" s="18">
        <f t="shared" si="4"/>
        <v>1</v>
      </c>
      <c r="D7" s="18">
        <f t="shared" si="5"/>
        <v>0</v>
      </c>
      <c r="E7" s="4" t="s">
        <v>154</v>
      </c>
      <c r="F7" s="8" t="s">
        <v>148</v>
      </c>
      <c r="G7" s="9">
        <v>-6000</v>
      </c>
      <c r="H7" s="9"/>
      <c r="I7" s="55">
        <v>-500</v>
      </c>
      <c r="J7" s="21">
        <f t="shared" si="6"/>
        <v>23000</v>
      </c>
      <c r="K7" s="8" t="s">
        <v>149</v>
      </c>
      <c r="L7" s="9">
        <v>12000</v>
      </c>
      <c r="M7" s="9">
        <v>1000</v>
      </c>
      <c r="N7" s="55">
        <v>1000</v>
      </c>
      <c r="O7" s="21">
        <f t="shared" si="7"/>
        <v>71000</v>
      </c>
      <c r="P7" s="8" t="s">
        <v>148</v>
      </c>
      <c r="Q7" s="9">
        <v>-6000</v>
      </c>
      <c r="R7" s="9">
        <v>-1000</v>
      </c>
      <c r="S7" s="55">
        <v>-500</v>
      </c>
      <c r="T7" s="21">
        <f t="shared" si="8"/>
        <v>11000</v>
      </c>
      <c r="U7" s="60">
        <f t="shared" si="0"/>
        <v>-12</v>
      </c>
      <c r="V7" s="61">
        <f t="shared" si="1"/>
        <v>36</v>
      </c>
      <c r="W7" s="62">
        <f t="shared" si="2"/>
        <v>-24</v>
      </c>
      <c r="Y7" s="8"/>
      <c r="Z7" s="41"/>
      <c r="AA7" s="32"/>
      <c r="AB7" s="32"/>
      <c r="AC7" s="32"/>
      <c r="AD7" s="36"/>
      <c r="AE7" s="4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>
        <v>1</v>
      </c>
      <c r="AW7" s="32"/>
      <c r="AX7" s="32">
        <v>5</v>
      </c>
      <c r="AY7" s="36" t="s">
        <v>144</v>
      </c>
      <c r="AZ7" s="47" t="s">
        <v>143</v>
      </c>
      <c r="BA7" s="48" t="s">
        <v>84</v>
      </c>
      <c r="BB7" s="48" t="s">
        <v>83</v>
      </c>
      <c r="BC7" s="48" t="s">
        <v>82</v>
      </c>
      <c r="BD7" s="48" t="s">
        <v>80</v>
      </c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>
        <v>1</v>
      </c>
      <c r="BR7" s="32"/>
      <c r="BS7" s="32"/>
      <c r="BT7" s="36"/>
      <c r="BU7" s="47"/>
      <c r="BV7" s="48"/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3"/>
        <v>東</v>
      </c>
      <c r="B8" s="18">
        <f t="shared" si="9"/>
        <v>2</v>
      </c>
      <c r="C8" s="18">
        <f t="shared" si="4"/>
        <v>2</v>
      </c>
      <c r="D8" s="18">
        <f t="shared" si="5"/>
        <v>0</v>
      </c>
      <c r="E8" s="4" t="s">
        <v>154</v>
      </c>
      <c r="F8" s="8" t="s">
        <v>149</v>
      </c>
      <c r="G8" s="9">
        <v>12000</v>
      </c>
      <c r="H8" s="9"/>
      <c r="I8" s="55">
        <v>2000</v>
      </c>
      <c r="J8" s="21">
        <f t="shared" si="6"/>
        <v>37000</v>
      </c>
      <c r="K8" s="8" t="s">
        <v>148</v>
      </c>
      <c r="L8" s="9">
        <v>-7500</v>
      </c>
      <c r="M8" s="9"/>
      <c r="N8" s="55">
        <v>-1000</v>
      </c>
      <c r="O8" s="21">
        <f t="shared" si="7"/>
        <v>62500</v>
      </c>
      <c r="P8" s="8" t="s">
        <v>148</v>
      </c>
      <c r="Q8" s="9">
        <v>-4500</v>
      </c>
      <c r="R8" s="9"/>
      <c r="S8" s="55">
        <v>-1000</v>
      </c>
      <c r="T8" s="21">
        <f t="shared" si="8"/>
        <v>5500</v>
      </c>
      <c r="U8" s="60">
        <f t="shared" si="0"/>
        <v>2</v>
      </c>
      <c r="V8" s="61">
        <f t="shared" si="1"/>
        <v>27.5</v>
      </c>
      <c r="W8" s="62">
        <f t="shared" si="2"/>
        <v>-29.5</v>
      </c>
      <c r="Y8" s="8"/>
      <c r="Z8" s="41"/>
      <c r="AA8" s="32">
        <v>1</v>
      </c>
      <c r="AB8" s="32"/>
      <c r="AC8" s="32">
        <v>6</v>
      </c>
      <c r="AD8" s="36" t="s">
        <v>144</v>
      </c>
      <c r="AE8" s="47" t="s">
        <v>143</v>
      </c>
      <c r="AF8" s="48" t="s">
        <v>83</v>
      </c>
      <c r="AG8" s="48" t="s">
        <v>85</v>
      </c>
      <c r="AH8" s="48" t="s">
        <v>81</v>
      </c>
      <c r="AI8" s="48" t="s">
        <v>81</v>
      </c>
      <c r="AJ8" s="48" t="s">
        <v>86</v>
      </c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/>
      <c r="AW8" s="32"/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/>
      <c r="BR8" s="32"/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3"/>
        <v>東</v>
      </c>
      <c r="B9" s="18">
        <f t="shared" si="9"/>
        <v>3</v>
      </c>
      <c r="C9" s="18">
        <f t="shared" si="4"/>
        <v>0</v>
      </c>
      <c r="D9" s="18">
        <f t="shared" si="5"/>
        <v>0</v>
      </c>
      <c r="E9" s="4" t="s">
        <v>139</v>
      </c>
      <c r="F9" s="8" t="s">
        <v>149</v>
      </c>
      <c r="G9" s="9">
        <v>4000</v>
      </c>
      <c r="H9" s="9"/>
      <c r="I9" s="55">
        <v>0</v>
      </c>
      <c r="J9" s="21">
        <f t="shared" si="6"/>
        <v>41000</v>
      </c>
      <c r="K9" s="8" t="s">
        <v>148</v>
      </c>
      <c r="L9" s="9">
        <v>-1500</v>
      </c>
      <c r="M9" s="9"/>
      <c r="N9" s="55">
        <v>0</v>
      </c>
      <c r="O9" s="21">
        <f t="shared" si="7"/>
        <v>61000</v>
      </c>
      <c r="P9" s="8" t="s">
        <v>148</v>
      </c>
      <c r="Q9" s="9">
        <v>-2500</v>
      </c>
      <c r="R9" s="9"/>
      <c r="S9" s="55">
        <v>0</v>
      </c>
      <c r="T9" s="21">
        <f t="shared" si="8"/>
        <v>3000</v>
      </c>
      <c r="U9" s="60">
        <f t="shared" si="0"/>
        <v>6</v>
      </c>
      <c r="V9" s="61">
        <f t="shared" si="1"/>
        <v>26</v>
      </c>
      <c r="W9" s="62">
        <f t="shared" si="2"/>
        <v>-32</v>
      </c>
      <c r="Y9" s="8"/>
      <c r="Z9" s="41"/>
      <c r="AA9" s="32"/>
      <c r="AB9" s="32">
        <v>1</v>
      </c>
      <c r="AC9" s="32">
        <v>3</v>
      </c>
      <c r="AD9" s="36">
        <v>30</v>
      </c>
      <c r="AE9" s="47" t="s">
        <v>87</v>
      </c>
      <c r="AF9" s="48" t="s">
        <v>105</v>
      </c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/>
      <c r="AW9" s="32"/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/>
      <c r="BR9" s="32"/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3"/>
        <v>南</v>
      </c>
      <c r="B10" s="18">
        <f t="shared" si="9"/>
        <v>1</v>
      </c>
      <c r="C10" s="18">
        <f t="shared" si="4"/>
        <v>0</v>
      </c>
      <c r="D10" s="18">
        <f t="shared" si="5"/>
        <v>0</v>
      </c>
      <c r="E10" s="4" t="s">
        <v>135</v>
      </c>
      <c r="F10" s="8" t="s">
        <v>149</v>
      </c>
      <c r="G10" s="9">
        <v>6000</v>
      </c>
      <c r="H10" s="9"/>
      <c r="I10" s="55">
        <v>0</v>
      </c>
      <c r="J10" s="21">
        <f t="shared" si="6"/>
        <v>47000</v>
      </c>
      <c r="K10" s="8" t="s">
        <v>148</v>
      </c>
      <c r="L10" s="9">
        <v>-3000</v>
      </c>
      <c r="M10" s="9"/>
      <c r="N10" s="55">
        <v>0</v>
      </c>
      <c r="O10" s="21">
        <f t="shared" si="7"/>
        <v>58000</v>
      </c>
      <c r="P10" s="8" t="s">
        <v>148</v>
      </c>
      <c r="Q10" s="9">
        <v>-3000</v>
      </c>
      <c r="R10" s="9"/>
      <c r="S10" s="55">
        <v>0</v>
      </c>
      <c r="T10" s="21">
        <f t="shared" si="8"/>
        <v>0</v>
      </c>
      <c r="U10" s="60">
        <f t="shared" si="0"/>
        <v>12</v>
      </c>
      <c r="V10" s="61">
        <f t="shared" si="1"/>
        <v>23</v>
      </c>
      <c r="W10" s="62">
        <f t="shared" si="2"/>
        <v>-35</v>
      </c>
      <c r="Y10" s="8"/>
      <c r="Z10" s="41"/>
      <c r="AA10" s="32"/>
      <c r="AB10" s="32">
        <v>1</v>
      </c>
      <c r="AC10" s="32">
        <v>3</v>
      </c>
      <c r="AD10" s="36">
        <v>30</v>
      </c>
      <c r="AE10" s="47" t="s">
        <v>87</v>
      </c>
      <c r="AF10" s="48" t="s">
        <v>105</v>
      </c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/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/>
      <c r="BR10" s="32"/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3"/>
        <v>南</v>
      </c>
      <c r="B11" s="18">
        <f t="shared" si="9"/>
        <v>1</v>
      </c>
      <c r="C11" s="18">
        <f t="shared" si="4"/>
        <v>1</v>
      </c>
      <c r="D11" s="18">
        <f t="shared" si="5"/>
        <v>0</v>
      </c>
      <c r="E11" s="4" t="s">
        <v>135</v>
      </c>
      <c r="F11" s="8" t="s">
        <v>148</v>
      </c>
      <c r="G11" s="9">
        <v>-5000</v>
      </c>
      <c r="H11" s="9"/>
      <c r="I11" s="55">
        <v>-500</v>
      </c>
      <c r="J11" s="21">
        <f t="shared" si="6"/>
        <v>41500</v>
      </c>
      <c r="K11" s="8" t="s">
        <v>148</v>
      </c>
      <c r="L11" s="9">
        <v>-3000</v>
      </c>
      <c r="M11" s="9"/>
      <c r="N11" s="55">
        <v>-500</v>
      </c>
      <c r="O11" s="21">
        <f t="shared" si="7"/>
        <v>54500</v>
      </c>
      <c r="P11" s="8" t="s">
        <v>149</v>
      </c>
      <c r="Q11" s="9">
        <v>8000</v>
      </c>
      <c r="R11" s="9"/>
      <c r="S11" s="55">
        <v>1000</v>
      </c>
      <c r="T11" s="21">
        <f t="shared" si="8"/>
        <v>9000</v>
      </c>
      <c r="U11" s="60">
        <f t="shared" si="0"/>
        <v>6.5</v>
      </c>
      <c r="V11" s="61">
        <f t="shared" si="1"/>
        <v>19.5</v>
      </c>
      <c r="W11" s="62">
        <f t="shared" si="2"/>
        <v>-26</v>
      </c>
      <c r="Y11" s="8"/>
      <c r="Z11" s="41"/>
      <c r="AA11" s="32"/>
      <c r="AB11" s="32">
        <v>1</v>
      </c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>
        <v>1</v>
      </c>
      <c r="BS11" s="32">
        <v>4</v>
      </c>
      <c r="BT11" s="36">
        <v>30</v>
      </c>
      <c r="BU11" s="47" t="s">
        <v>105</v>
      </c>
      <c r="BV11" s="48" t="s">
        <v>87</v>
      </c>
      <c r="BW11" s="48" t="s">
        <v>87</v>
      </c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3"/>
        <v>南</v>
      </c>
      <c r="B12" s="18">
        <f t="shared" si="9"/>
        <v>2</v>
      </c>
      <c r="C12" s="18">
        <f t="shared" si="4"/>
        <v>0</v>
      </c>
      <c r="D12" s="18">
        <f t="shared" si="5"/>
        <v>0</v>
      </c>
      <c r="E12" s="4" t="s">
        <v>154</v>
      </c>
      <c r="F12" s="8" t="s">
        <v>142</v>
      </c>
      <c r="G12" s="9">
        <v>2000</v>
      </c>
      <c r="H12" s="9"/>
      <c r="I12" s="55">
        <v>0</v>
      </c>
      <c r="J12" s="21">
        <f t="shared" si="6"/>
        <v>43500</v>
      </c>
      <c r="K12" s="8"/>
      <c r="L12" s="9"/>
      <c r="M12" s="9"/>
      <c r="N12" s="55"/>
      <c r="O12" s="21">
        <f t="shared" si="7"/>
        <v>54500</v>
      </c>
      <c r="P12" s="8" t="s">
        <v>141</v>
      </c>
      <c r="Q12" s="9">
        <v>-2000</v>
      </c>
      <c r="R12" s="9"/>
      <c r="S12" s="55">
        <v>0</v>
      </c>
      <c r="T12" s="21">
        <f t="shared" si="8"/>
        <v>7000</v>
      </c>
      <c r="U12" s="60">
        <f t="shared" si="0"/>
        <v>8.5</v>
      </c>
      <c r="V12" s="61">
        <f t="shared" si="1"/>
        <v>19.5</v>
      </c>
      <c r="W12" s="62">
        <f t="shared" si="2"/>
        <v>-28</v>
      </c>
      <c r="Y12" s="8"/>
      <c r="Z12" s="41"/>
      <c r="AA12" s="32"/>
      <c r="AB12" s="32">
        <v>1</v>
      </c>
      <c r="AC12" s="32">
        <v>2</v>
      </c>
      <c r="AD12" s="36">
        <v>30</v>
      </c>
      <c r="AE12" s="47" t="s">
        <v>87</v>
      </c>
      <c r="AF12" s="48" t="s">
        <v>82</v>
      </c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>
        <v>1</v>
      </c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>
        <v>1</v>
      </c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3"/>
        <v>南</v>
      </c>
      <c r="B13" s="18">
        <f t="shared" si="9"/>
        <v>3</v>
      </c>
      <c r="C13" s="18">
        <f t="shared" si="4"/>
        <v>0</v>
      </c>
      <c r="D13" s="18">
        <f t="shared" si="5"/>
        <v>0</v>
      </c>
      <c r="E13" s="4" t="s">
        <v>139</v>
      </c>
      <c r="F13" s="8"/>
      <c r="G13" s="9"/>
      <c r="H13" s="9"/>
      <c r="I13" s="55"/>
      <c r="J13" s="21">
        <f t="shared" si="6"/>
        <v>43500</v>
      </c>
      <c r="K13" s="8" t="s">
        <v>142</v>
      </c>
      <c r="L13" s="9">
        <v>5200</v>
      </c>
      <c r="M13" s="9">
        <v>1000</v>
      </c>
      <c r="N13" s="55">
        <v>0</v>
      </c>
      <c r="O13" s="21">
        <f t="shared" si="7"/>
        <v>60700</v>
      </c>
      <c r="P13" s="8" t="s">
        <v>141</v>
      </c>
      <c r="Q13" s="9">
        <v>-5200</v>
      </c>
      <c r="R13" s="9">
        <v>-1000</v>
      </c>
      <c r="S13" s="55">
        <v>0</v>
      </c>
      <c r="T13" s="21">
        <f t="shared" si="8"/>
        <v>800</v>
      </c>
      <c r="U13" s="60">
        <f t="shared" si="0"/>
        <v>8.5</v>
      </c>
      <c r="V13" s="61">
        <f t="shared" si="1"/>
        <v>25.7</v>
      </c>
      <c r="W13" s="62">
        <f t="shared" si="2"/>
        <v>-34.200000000000003</v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>
        <v>1</v>
      </c>
      <c r="AW13" s="32"/>
      <c r="AX13" s="32">
        <v>3</v>
      </c>
      <c r="AY13" s="36">
        <v>40</v>
      </c>
      <c r="AZ13" s="47" t="s">
        <v>143</v>
      </c>
      <c r="BA13" s="48" t="s">
        <v>150</v>
      </c>
      <c r="BB13" s="48" t="s">
        <v>80</v>
      </c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>
        <v>1</v>
      </c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3"/>
        <v/>
      </c>
      <c r="B14" s="18" t="str">
        <f t="shared" si="9"/>
        <v/>
      </c>
      <c r="C14" s="18" t="str">
        <f t="shared" si="4"/>
        <v/>
      </c>
      <c r="D14" s="18" t="str">
        <f t="shared" si="5"/>
        <v/>
      </c>
      <c r="E14" s="4"/>
      <c r="F14" s="8"/>
      <c r="G14" s="9"/>
      <c r="H14" s="9"/>
      <c r="I14" s="55"/>
      <c r="J14" s="21" t="str">
        <f t="shared" si="6"/>
        <v/>
      </c>
      <c r="K14" s="8"/>
      <c r="L14" s="9"/>
      <c r="M14" s="9"/>
      <c r="N14" s="55"/>
      <c r="O14" s="21" t="str">
        <f t="shared" si="7"/>
        <v/>
      </c>
      <c r="P14" s="8"/>
      <c r="Q14" s="9"/>
      <c r="R14" s="9"/>
      <c r="S14" s="55"/>
      <c r="T14" s="21" t="str">
        <f t="shared" si="8"/>
        <v/>
      </c>
      <c r="U14" s="60" t="str">
        <f t="shared" si="0"/>
        <v/>
      </c>
      <c r="V14" s="61" t="str">
        <f t="shared" si="1"/>
        <v/>
      </c>
      <c r="W14" s="62" t="str">
        <f t="shared" si="2"/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3"/>
        <v/>
      </c>
      <c r="B15" s="18" t="str">
        <f t="shared" si="9"/>
        <v/>
      </c>
      <c r="C15" s="18" t="str">
        <f t="shared" si="4"/>
        <v/>
      </c>
      <c r="D15" s="18" t="str">
        <f t="shared" si="5"/>
        <v/>
      </c>
      <c r="E15" s="4"/>
      <c r="F15" s="8"/>
      <c r="G15" s="9"/>
      <c r="H15" s="9"/>
      <c r="I15" s="55"/>
      <c r="J15" s="21" t="str">
        <f t="shared" si="6"/>
        <v/>
      </c>
      <c r="K15" s="8"/>
      <c r="L15" s="9"/>
      <c r="M15" s="9"/>
      <c r="N15" s="55"/>
      <c r="O15" s="21" t="str">
        <f t="shared" si="7"/>
        <v/>
      </c>
      <c r="P15" s="8"/>
      <c r="Q15" s="9"/>
      <c r="R15" s="9"/>
      <c r="S15" s="55"/>
      <c r="T15" s="21" t="str">
        <f t="shared" si="8"/>
        <v/>
      </c>
      <c r="U15" s="60" t="str">
        <f t="shared" si="0"/>
        <v/>
      </c>
      <c r="V15" s="61" t="str">
        <f t="shared" si="1"/>
        <v/>
      </c>
      <c r="W15" s="62" t="str">
        <f t="shared" si="2"/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3"/>
        <v/>
      </c>
      <c r="B16" s="18" t="str">
        <f t="shared" si="9"/>
        <v/>
      </c>
      <c r="C16" s="18" t="str">
        <f t="shared" si="4"/>
        <v/>
      </c>
      <c r="D16" s="18" t="str">
        <f t="shared" si="5"/>
        <v/>
      </c>
      <c r="E16" s="4"/>
      <c r="F16" s="8"/>
      <c r="G16" s="9"/>
      <c r="H16" s="9"/>
      <c r="I16" s="55"/>
      <c r="J16" s="21" t="str">
        <f t="shared" si="6"/>
        <v/>
      </c>
      <c r="K16" s="8"/>
      <c r="L16" s="9"/>
      <c r="M16" s="9"/>
      <c r="N16" s="55"/>
      <c r="O16" s="21" t="str">
        <f t="shared" si="7"/>
        <v/>
      </c>
      <c r="P16" s="8"/>
      <c r="Q16" s="9"/>
      <c r="R16" s="9"/>
      <c r="S16" s="55"/>
      <c r="T16" s="21" t="str">
        <f t="shared" si="8"/>
        <v/>
      </c>
      <c r="U16" s="60" t="str">
        <f t="shared" si="0"/>
        <v/>
      </c>
      <c r="V16" s="61" t="str">
        <f t="shared" si="1"/>
        <v/>
      </c>
      <c r="W16" s="62" t="str">
        <f t="shared" si="2"/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3"/>
        <v/>
      </c>
      <c r="B17" s="18" t="str">
        <f t="shared" si="9"/>
        <v/>
      </c>
      <c r="C17" s="18" t="str">
        <f t="shared" si="4"/>
        <v/>
      </c>
      <c r="D17" s="18" t="str">
        <f t="shared" si="5"/>
        <v/>
      </c>
      <c r="E17" s="4"/>
      <c r="F17" s="8"/>
      <c r="G17" s="9"/>
      <c r="H17" s="9"/>
      <c r="I17" s="55"/>
      <c r="J17" s="21" t="str">
        <f t="shared" si="6"/>
        <v/>
      </c>
      <c r="K17" s="8"/>
      <c r="L17" s="9"/>
      <c r="M17" s="9"/>
      <c r="N17" s="55"/>
      <c r="O17" s="21" t="str">
        <f t="shared" si="7"/>
        <v/>
      </c>
      <c r="P17" s="8"/>
      <c r="Q17" s="9"/>
      <c r="R17" s="9"/>
      <c r="S17" s="55"/>
      <c r="T17" s="21" t="str">
        <f t="shared" si="8"/>
        <v/>
      </c>
      <c r="U17" s="60" t="str">
        <f t="shared" si="0"/>
        <v/>
      </c>
      <c r="V17" s="61" t="str">
        <f t="shared" si="1"/>
        <v/>
      </c>
      <c r="W17" s="62" t="str">
        <f t="shared" si="2"/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3"/>
        <v/>
      </c>
      <c r="B18" s="18" t="str">
        <f t="shared" si="9"/>
        <v/>
      </c>
      <c r="C18" s="18" t="str">
        <f t="shared" si="4"/>
        <v/>
      </c>
      <c r="D18" s="18" t="str">
        <f t="shared" si="5"/>
        <v/>
      </c>
      <c r="E18" s="4"/>
      <c r="F18" s="8"/>
      <c r="G18" s="9"/>
      <c r="H18" s="9"/>
      <c r="I18" s="55"/>
      <c r="J18" s="21" t="str">
        <f t="shared" si="6"/>
        <v/>
      </c>
      <c r="K18" s="8"/>
      <c r="L18" s="9"/>
      <c r="M18" s="9"/>
      <c r="N18" s="55"/>
      <c r="O18" s="21" t="str">
        <f t="shared" si="7"/>
        <v/>
      </c>
      <c r="P18" s="8"/>
      <c r="Q18" s="9"/>
      <c r="R18" s="9"/>
      <c r="S18" s="55"/>
      <c r="T18" s="21" t="str">
        <f t="shared" si="8"/>
        <v/>
      </c>
      <c r="U18" s="60" t="str">
        <f t="shared" si="0"/>
        <v/>
      </c>
      <c r="V18" s="61" t="str">
        <f t="shared" si="1"/>
        <v/>
      </c>
      <c r="W18" s="62" t="str">
        <f t="shared" si="2"/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3"/>
        <v/>
      </c>
      <c r="B19" s="18" t="str">
        <f t="shared" si="9"/>
        <v/>
      </c>
      <c r="C19" s="18" t="str">
        <f t="shared" si="4"/>
        <v/>
      </c>
      <c r="D19" s="18" t="str">
        <f t="shared" si="5"/>
        <v/>
      </c>
      <c r="E19" s="4"/>
      <c r="F19" s="8"/>
      <c r="G19" s="9"/>
      <c r="H19" s="9"/>
      <c r="I19" s="55"/>
      <c r="J19" s="21" t="str">
        <f t="shared" si="6"/>
        <v/>
      </c>
      <c r="K19" s="8"/>
      <c r="L19" s="9"/>
      <c r="M19" s="9"/>
      <c r="N19" s="55"/>
      <c r="O19" s="21" t="str">
        <f t="shared" si="7"/>
        <v/>
      </c>
      <c r="P19" s="8"/>
      <c r="Q19" s="9"/>
      <c r="R19" s="9"/>
      <c r="S19" s="55"/>
      <c r="T19" s="21" t="str">
        <f t="shared" si="8"/>
        <v/>
      </c>
      <c r="U19" s="60" t="str">
        <f t="shared" si="0"/>
        <v/>
      </c>
      <c r="V19" s="61" t="str">
        <f t="shared" si="1"/>
        <v/>
      </c>
      <c r="W19" s="62" t="str">
        <f t="shared" si="2"/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3"/>
        <v/>
      </c>
      <c r="B20" s="18" t="str">
        <f t="shared" si="9"/>
        <v/>
      </c>
      <c r="C20" s="18" t="str">
        <f t="shared" si="4"/>
        <v/>
      </c>
      <c r="D20" s="18" t="str">
        <f t="shared" si="5"/>
        <v/>
      </c>
      <c r="E20" s="4"/>
      <c r="F20" s="8"/>
      <c r="G20" s="9"/>
      <c r="H20" s="9"/>
      <c r="I20" s="55"/>
      <c r="J20" s="21" t="str">
        <f t="shared" si="6"/>
        <v/>
      </c>
      <c r="K20" s="8"/>
      <c r="L20" s="9"/>
      <c r="M20" s="9"/>
      <c r="N20" s="55"/>
      <c r="O20" s="21" t="str">
        <f t="shared" si="7"/>
        <v/>
      </c>
      <c r="P20" s="8"/>
      <c r="Q20" s="9"/>
      <c r="R20" s="9"/>
      <c r="S20" s="55"/>
      <c r="T20" s="21" t="str">
        <f t="shared" si="8"/>
        <v/>
      </c>
      <c r="U20" s="60" t="str">
        <f t="shared" si="0"/>
        <v/>
      </c>
      <c r="V20" s="61" t="str">
        <f t="shared" si="1"/>
        <v/>
      </c>
      <c r="W20" s="62" t="str">
        <f t="shared" si="2"/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3"/>
        <v/>
      </c>
      <c r="B21" s="18" t="str">
        <f t="shared" si="9"/>
        <v/>
      </c>
      <c r="C21" s="18" t="str">
        <f t="shared" si="4"/>
        <v/>
      </c>
      <c r="D21" s="18" t="str">
        <f t="shared" si="5"/>
        <v/>
      </c>
      <c r="E21" s="4"/>
      <c r="F21" s="8"/>
      <c r="G21" s="9"/>
      <c r="H21" s="9"/>
      <c r="I21" s="55"/>
      <c r="J21" s="21" t="str">
        <f t="shared" si="6"/>
        <v/>
      </c>
      <c r="K21" s="8"/>
      <c r="L21" s="9"/>
      <c r="M21" s="9"/>
      <c r="N21" s="55"/>
      <c r="O21" s="21" t="str">
        <f t="shared" si="7"/>
        <v/>
      </c>
      <c r="P21" s="8"/>
      <c r="Q21" s="9"/>
      <c r="R21" s="9"/>
      <c r="S21" s="55"/>
      <c r="T21" s="21" t="str">
        <f t="shared" si="8"/>
        <v/>
      </c>
      <c r="U21" s="60" t="str">
        <f t="shared" si="0"/>
        <v/>
      </c>
      <c r="V21" s="61" t="str">
        <f t="shared" si="1"/>
        <v/>
      </c>
      <c r="W21" s="62" t="str">
        <f t="shared" si="2"/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3"/>
        <v/>
      </c>
      <c r="B22" s="18" t="str">
        <f t="shared" si="9"/>
        <v/>
      </c>
      <c r="C22" s="18" t="str">
        <f t="shared" si="4"/>
        <v/>
      </c>
      <c r="D22" s="18" t="str">
        <f t="shared" si="5"/>
        <v/>
      </c>
      <c r="E22" s="4"/>
      <c r="F22" s="8"/>
      <c r="G22" s="9"/>
      <c r="H22" s="9"/>
      <c r="I22" s="55"/>
      <c r="J22" s="21" t="str">
        <f t="shared" si="6"/>
        <v/>
      </c>
      <c r="K22" s="8"/>
      <c r="L22" s="9"/>
      <c r="M22" s="9"/>
      <c r="N22" s="55"/>
      <c r="O22" s="21" t="str">
        <f t="shared" si="7"/>
        <v/>
      </c>
      <c r="P22" s="8"/>
      <c r="Q22" s="9"/>
      <c r="R22" s="9"/>
      <c r="S22" s="55"/>
      <c r="T22" s="21" t="str">
        <f t="shared" si="8"/>
        <v/>
      </c>
      <c r="U22" s="60" t="str">
        <f t="shared" si="0"/>
        <v/>
      </c>
      <c r="V22" s="61" t="str">
        <f t="shared" si="1"/>
        <v/>
      </c>
      <c r="W22" s="62" t="str">
        <f t="shared" si="2"/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3"/>
        <v/>
      </c>
      <c r="B23" s="18" t="str">
        <f t="shared" si="9"/>
        <v/>
      </c>
      <c r="C23" s="18" t="str">
        <f t="shared" si="4"/>
        <v/>
      </c>
      <c r="D23" s="18" t="str">
        <f t="shared" si="5"/>
        <v/>
      </c>
      <c r="E23" s="4"/>
      <c r="F23" s="8"/>
      <c r="G23" s="9"/>
      <c r="H23" s="9"/>
      <c r="I23" s="55"/>
      <c r="J23" s="21" t="str">
        <f t="shared" si="6"/>
        <v/>
      </c>
      <c r="K23" s="8"/>
      <c r="L23" s="9"/>
      <c r="M23" s="9"/>
      <c r="N23" s="55"/>
      <c r="O23" s="21" t="str">
        <f t="shared" si="7"/>
        <v/>
      </c>
      <c r="P23" s="8"/>
      <c r="Q23" s="9"/>
      <c r="R23" s="9"/>
      <c r="S23" s="55"/>
      <c r="T23" s="21" t="str">
        <f t="shared" si="8"/>
        <v/>
      </c>
      <c r="U23" s="60" t="str">
        <f t="shared" si="0"/>
        <v/>
      </c>
      <c r="V23" s="61" t="str">
        <f t="shared" si="1"/>
        <v/>
      </c>
      <c r="W23" s="62" t="str">
        <f t="shared" si="2"/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3"/>
        <v/>
      </c>
      <c r="B24" s="18" t="str">
        <f t="shared" si="9"/>
        <v/>
      </c>
      <c r="C24" s="18" t="str">
        <f t="shared" si="4"/>
        <v/>
      </c>
      <c r="D24" s="18" t="str">
        <f t="shared" si="5"/>
        <v/>
      </c>
      <c r="E24" s="4"/>
      <c r="F24" s="8"/>
      <c r="G24" s="9"/>
      <c r="H24" s="9"/>
      <c r="I24" s="55"/>
      <c r="J24" s="21" t="str">
        <f t="shared" si="6"/>
        <v/>
      </c>
      <c r="K24" s="8"/>
      <c r="L24" s="9"/>
      <c r="M24" s="9"/>
      <c r="N24" s="55"/>
      <c r="O24" s="21" t="str">
        <f t="shared" si="7"/>
        <v/>
      </c>
      <c r="P24" s="8"/>
      <c r="Q24" s="9"/>
      <c r="R24" s="9"/>
      <c r="S24" s="55"/>
      <c r="T24" s="21" t="str">
        <f t="shared" si="8"/>
        <v/>
      </c>
      <c r="U24" s="60" t="str">
        <f t="shared" si="0"/>
        <v/>
      </c>
      <c r="V24" s="61" t="str">
        <f t="shared" si="1"/>
        <v/>
      </c>
      <c r="W24" s="62" t="str">
        <f t="shared" si="2"/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3"/>
        <v/>
      </c>
      <c r="B25" s="18" t="str">
        <f t="shared" si="9"/>
        <v/>
      </c>
      <c r="C25" s="18" t="str">
        <f t="shared" si="4"/>
        <v/>
      </c>
      <c r="D25" s="18" t="str">
        <f t="shared" si="5"/>
        <v/>
      </c>
      <c r="E25" s="4"/>
      <c r="F25" s="8"/>
      <c r="G25" s="9"/>
      <c r="H25" s="9"/>
      <c r="I25" s="55"/>
      <c r="J25" s="21" t="str">
        <f t="shared" si="6"/>
        <v/>
      </c>
      <c r="K25" s="8"/>
      <c r="L25" s="9"/>
      <c r="M25" s="9"/>
      <c r="N25" s="55"/>
      <c r="O25" s="21" t="str">
        <f t="shared" si="7"/>
        <v/>
      </c>
      <c r="P25" s="8"/>
      <c r="Q25" s="9"/>
      <c r="R25" s="9"/>
      <c r="S25" s="55"/>
      <c r="T25" s="21" t="str">
        <f t="shared" si="8"/>
        <v/>
      </c>
      <c r="U25" s="60" t="str">
        <f t="shared" si="0"/>
        <v/>
      </c>
      <c r="V25" s="61" t="str">
        <f t="shared" si="1"/>
        <v/>
      </c>
      <c r="W25" s="62" t="str">
        <f t="shared" si="2"/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3"/>
        <v/>
      </c>
      <c r="B26" s="18" t="str">
        <f t="shared" si="9"/>
        <v/>
      </c>
      <c r="C26" s="18" t="str">
        <f t="shared" si="4"/>
        <v/>
      </c>
      <c r="D26" s="18" t="str">
        <f t="shared" si="5"/>
        <v/>
      </c>
      <c r="E26" s="4"/>
      <c r="F26" s="8"/>
      <c r="G26" s="9"/>
      <c r="H26" s="9"/>
      <c r="I26" s="55"/>
      <c r="J26" s="21" t="str">
        <f t="shared" si="6"/>
        <v/>
      </c>
      <c r="K26" s="8"/>
      <c r="L26" s="9"/>
      <c r="M26" s="9"/>
      <c r="N26" s="55"/>
      <c r="O26" s="21" t="str">
        <f t="shared" si="7"/>
        <v/>
      </c>
      <c r="P26" s="8"/>
      <c r="Q26" s="9"/>
      <c r="R26" s="9"/>
      <c r="S26" s="55"/>
      <c r="T26" s="21" t="str">
        <f t="shared" si="8"/>
        <v/>
      </c>
      <c r="U26" s="60" t="str">
        <f t="shared" si="0"/>
        <v/>
      </c>
      <c r="V26" s="61" t="str">
        <f t="shared" si="1"/>
        <v/>
      </c>
      <c r="W26" s="62" t="str">
        <f t="shared" si="2"/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3"/>
        <v/>
      </c>
      <c r="B27" s="18" t="str">
        <f t="shared" si="9"/>
        <v/>
      </c>
      <c r="C27" s="18" t="str">
        <f t="shared" si="4"/>
        <v/>
      </c>
      <c r="D27" s="18" t="str">
        <f t="shared" si="5"/>
        <v/>
      </c>
      <c r="E27" s="4"/>
      <c r="F27" s="8"/>
      <c r="G27" s="9"/>
      <c r="H27" s="9"/>
      <c r="I27" s="55"/>
      <c r="J27" s="21" t="str">
        <f t="shared" si="6"/>
        <v/>
      </c>
      <c r="K27" s="8"/>
      <c r="L27" s="9"/>
      <c r="M27" s="9"/>
      <c r="N27" s="55"/>
      <c r="O27" s="21" t="str">
        <f t="shared" si="7"/>
        <v/>
      </c>
      <c r="P27" s="8"/>
      <c r="Q27" s="9"/>
      <c r="R27" s="9"/>
      <c r="S27" s="55"/>
      <c r="T27" s="21" t="str">
        <f t="shared" si="8"/>
        <v/>
      </c>
      <c r="U27" s="60" t="str">
        <f t="shared" si="0"/>
        <v/>
      </c>
      <c r="V27" s="61" t="str">
        <f t="shared" si="1"/>
        <v/>
      </c>
      <c r="W27" s="62" t="str">
        <f t="shared" si="2"/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3"/>
        <v/>
      </c>
      <c r="B28" s="18" t="str">
        <f t="shared" si="9"/>
        <v/>
      </c>
      <c r="C28" s="18" t="str">
        <f t="shared" si="4"/>
        <v/>
      </c>
      <c r="D28" s="18" t="str">
        <f t="shared" si="5"/>
        <v/>
      </c>
      <c r="E28" s="4"/>
      <c r="F28" s="8"/>
      <c r="G28" s="9"/>
      <c r="H28" s="9"/>
      <c r="I28" s="55"/>
      <c r="J28" s="21" t="str">
        <f t="shared" si="6"/>
        <v/>
      </c>
      <c r="K28" s="8"/>
      <c r="L28" s="9"/>
      <c r="M28" s="9"/>
      <c r="N28" s="55"/>
      <c r="O28" s="21" t="str">
        <f t="shared" si="7"/>
        <v/>
      </c>
      <c r="P28" s="8"/>
      <c r="Q28" s="9"/>
      <c r="R28" s="9"/>
      <c r="S28" s="55"/>
      <c r="T28" s="21" t="str">
        <f t="shared" si="8"/>
        <v/>
      </c>
      <c r="U28" s="60" t="str">
        <f t="shared" si="0"/>
        <v/>
      </c>
      <c r="V28" s="61" t="str">
        <f t="shared" si="1"/>
        <v/>
      </c>
      <c r="W28" s="62" t="str">
        <f t="shared" si="2"/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3"/>
        <v/>
      </c>
      <c r="B29" s="18" t="str">
        <f t="shared" si="9"/>
        <v/>
      </c>
      <c r="C29" s="18" t="str">
        <f t="shared" si="4"/>
        <v/>
      </c>
      <c r="D29" s="18" t="str">
        <f t="shared" si="5"/>
        <v/>
      </c>
      <c r="E29" s="4"/>
      <c r="F29" s="8"/>
      <c r="G29" s="9"/>
      <c r="H29" s="9"/>
      <c r="I29" s="55"/>
      <c r="J29" s="21" t="str">
        <f t="shared" si="6"/>
        <v/>
      </c>
      <c r="K29" s="8"/>
      <c r="L29" s="9"/>
      <c r="M29" s="9"/>
      <c r="N29" s="55"/>
      <c r="O29" s="21" t="str">
        <f t="shared" si="7"/>
        <v/>
      </c>
      <c r="P29" s="8"/>
      <c r="Q29" s="9"/>
      <c r="R29" s="9"/>
      <c r="S29" s="55"/>
      <c r="T29" s="21" t="str">
        <f t="shared" si="8"/>
        <v/>
      </c>
      <c r="U29" s="60" t="str">
        <f t="shared" si="0"/>
        <v/>
      </c>
      <c r="V29" s="61" t="str">
        <f t="shared" si="1"/>
        <v/>
      </c>
      <c r="W29" s="62" t="str">
        <f t="shared" si="2"/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3"/>
        <v/>
      </c>
      <c r="B30" s="19" t="str">
        <f t="shared" si="9"/>
        <v/>
      </c>
      <c r="C30" s="19" t="str">
        <f t="shared" si="4"/>
        <v/>
      </c>
      <c r="D30" s="19" t="str">
        <f t="shared" si="5"/>
        <v/>
      </c>
      <c r="E30" s="5"/>
      <c r="F30" s="10"/>
      <c r="G30" s="11"/>
      <c r="H30" s="11"/>
      <c r="I30" s="56"/>
      <c r="J30" s="22" t="str">
        <f t="shared" si="6"/>
        <v/>
      </c>
      <c r="K30" s="10"/>
      <c r="L30" s="11"/>
      <c r="M30" s="11"/>
      <c r="N30" s="56"/>
      <c r="O30" s="22" t="str">
        <f t="shared" si="7"/>
        <v/>
      </c>
      <c r="P30" s="10"/>
      <c r="Q30" s="11"/>
      <c r="R30" s="11"/>
      <c r="S30" s="56"/>
      <c r="T30" s="22" t="str">
        <f t="shared" si="8"/>
        <v/>
      </c>
      <c r="U30" s="63" t="str">
        <f t="shared" si="0"/>
        <v/>
      </c>
      <c r="V30" s="64" t="str">
        <f t="shared" si="1"/>
        <v/>
      </c>
      <c r="W30" s="65" t="str">
        <f t="shared" si="2"/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2">
    <dataValidation type="list" allowBlank="1" showInputMessage="1" showErrorMessage="1" sqref="E4:E30" xr:uid="{D1E984EC-93F2-44F7-B390-A79BF1F587DC}">
      <formula1>$U$2:$W$2</formula1>
    </dataValidation>
    <dataValidation type="list" showInputMessage="1" showErrorMessage="1" sqref="K4:K30 P4:P30 F4:F30" xr:uid="{20E058D4-5C15-4E44-A7A7-BD94D63F9CEE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31B7F-89FC-43DC-8A04-6A02BD544A6A}">
  <sheetPr codeName="Sheet13">
    <pageSetUpPr fitToPage="1"/>
  </sheetPr>
  <dimension ref="A1:CI30"/>
  <sheetViews>
    <sheetView zoomScaleNormal="100" workbookViewId="0">
      <selection sqref="A1:A2"/>
    </sheetView>
  </sheetViews>
  <sheetFormatPr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83" t="s">
        <v>0</v>
      </c>
      <c r="B1" s="85" t="s">
        <v>2</v>
      </c>
      <c r="C1" s="85" t="s">
        <v>1</v>
      </c>
      <c r="D1" s="85" t="s">
        <v>22</v>
      </c>
      <c r="E1" s="87" t="s">
        <v>3</v>
      </c>
      <c r="F1" s="78" t="s">
        <v>152</v>
      </c>
      <c r="G1" s="80"/>
      <c r="H1" s="80"/>
      <c r="I1" s="89"/>
      <c r="J1" s="81"/>
      <c r="K1" s="78" t="s">
        <v>155</v>
      </c>
      <c r="L1" s="80"/>
      <c r="M1" s="80"/>
      <c r="N1" s="89"/>
      <c r="O1" s="81"/>
      <c r="P1" s="78" t="s">
        <v>140</v>
      </c>
      <c r="Q1" s="80"/>
      <c r="R1" s="80"/>
      <c r="S1" s="89"/>
      <c r="T1" s="81"/>
      <c r="U1" s="78" t="s">
        <v>6</v>
      </c>
      <c r="V1" s="80"/>
      <c r="W1" s="81"/>
      <c r="Y1" s="78" t="str">
        <f>F1</f>
        <v>たかの</v>
      </c>
      <c r="Z1" s="79"/>
      <c r="AA1" s="80"/>
      <c r="AB1" s="80"/>
      <c r="AC1" s="80"/>
      <c r="AD1" s="80"/>
      <c r="AE1" s="80"/>
      <c r="AF1" s="80"/>
      <c r="AG1" s="80"/>
      <c r="AH1" s="80"/>
      <c r="AI1" s="80"/>
      <c r="AJ1" s="80"/>
      <c r="AK1" s="80"/>
      <c r="AL1" s="80"/>
      <c r="AM1" s="80"/>
      <c r="AN1" s="80"/>
      <c r="AO1" s="80"/>
      <c r="AP1" s="80"/>
      <c r="AQ1" s="80"/>
      <c r="AR1" s="80"/>
      <c r="AS1" s="81"/>
      <c r="AT1" s="78" t="str">
        <f>K1</f>
        <v>りくと</v>
      </c>
      <c r="AU1" s="79"/>
      <c r="AV1" s="80"/>
      <c r="AW1" s="80"/>
      <c r="AX1" s="80"/>
      <c r="AY1" s="80"/>
      <c r="AZ1" s="80"/>
      <c r="BA1" s="80"/>
      <c r="BB1" s="80"/>
      <c r="BC1" s="80"/>
      <c r="BD1" s="80"/>
      <c r="BE1" s="80"/>
      <c r="BF1" s="80"/>
      <c r="BG1" s="80"/>
      <c r="BH1" s="80"/>
      <c r="BI1" s="80"/>
      <c r="BJ1" s="80"/>
      <c r="BK1" s="80"/>
      <c r="BL1" s="80"/>
      <c r="BM1" s="80"/>
      <c r="BN1" s="81"/>
      <c r="BO1" s="78" t="str">
        <f>P1</f>
        <v>れんたろう</v>
      </c>
      <c r="BP1" s="79"/>
      <c r="BQ1" s="80"/>
      <c r="BR1" s="80"/>
      <c r="BS1" s="80"/>
      <c r="BT1" s="80"/>
      <c r="BU1" s="80"/>
      <c r="BV1" s="80"/>
      <c r="BW1" s="80"/>
      <c r="BX1" s="80"/>
      <c r="BY1" s="80"/>
      <c r="BZ1" s="80"/>
      <c r="CA1" s="80"/>
      <c r="CB1" s="80"/>
      <c r="CC1" s="80"/>
      <c r="CD1" s="80"/>
      <c r="CE1" s="80"/>
      <c r="CF1" s="80"/>
      <c r="CG1" s="80"/>
      <c r="CH1" s="80"/>
      <c r="CI1" s="81"/>
    </row>
    <row r="2" spans="1:87" x14ac:dyDescent="0.4">
      <c r="A2" s="84"/>
      <c r="B2" s="86"/>
      <c r="C2" s="86"/>
      <c r="D2" s="86"/>
      <c r="E2" s="88"/>
      <c r="F2" s="1" t="s">
        <v>5</v>
      </c>
      <c r="G2" s="2" t="s">
        <v>9</v>
      </c>
      <c r="H2" s="2" t="s">
        <v>23</v>
      </c>
      <c r="I2" s="5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76" t="str">
        <f>$F$1</f>
        <v>たかの</v>
      </c>
      <c r="V2" s="77" t="str">
        <f>$K$1</f>
        <v>りくと</v>
      </c>
      <c r="W2" s="16" t="str">
        <f>$P$1</f>
        <v>れんたろう</v>
      </c>
      <c r="Y2" s="72" t="s">
        <v>24</v>
      </c>
      <c r="Z2" s="73" t="s">
        <v>27</v>
      </c>
      <c r="AA2" s="74" t="s">
        <v>25</v>
      </c>
      <c r="AB2" s="74" t="s">
        <v>128</v>
      </c>
      <c r="AC2" s="74" t="s">
        <v>19</v>
      </c>
      <c r="AD2" s="75" t="s">
        <v>20</v>
      </c>
      <c r="AE2" s="82" t="s">
        <v>21</v>
      </c>
      <c r="AF2" s="82"/>
      <c r="AG2" s="82"/>
      <c r="AH2" s="82"/>
      <c r="AI2" s="82"/>
      <c r="AJ2" s="82"/>
      <c r="AK2" s="82"/>
      <c r="AL2" s="82"/>
      <c r="AM2" s="82"/>
      <c r="AN2" s="82"/>
      <c r="AO2" s="82"/>
      <c r="AP2" s="82"/>
      <c r="AQ2" s="82"/>
      <c r="AR2" s="82"/>
      <c r="AS2" s="82"/>
      <c r="AT2" s="72" t="s">
        <v>24</v>
      </c>
      <c r="AU2" s="73" t="s">
        <v>27</v>
      </c>
      <c r="AV2" s="74" t="s">
        <v>25</v>
      </c>
      <c r="AW2" s="74" t="s">
        <v>129</v>
      </c>
      <c r="AX2" s="74" t="s">
        <v>19</v>
      </c>
      <c r="AY2" s="75" t="s">
        <v>20</v>
      </c>
      <c r="AZ2" s="82" t="s">
        <v>21</v>
      </c>
      <c r="BA2" s="82"/>
      <c r="BB2" s="82"/>
      <c r="BC2" s="82"/>
      <c r="BD2" s="82"/>
      <c r="BE2" s="82"/>
      <c r="BF2" s="82"/>
      <c r="BG2" s="82"/>
      <c r="BH2" s="82"/>
      <c r="BI2" s="82"/>
      <c r="BJ2" s="82"/>
      <c r="BK2" s="82"/>
      <c r="BL2" s="82"/>
      <c r="BM2" s="82"/>
      <c r="BN2" s="82"/>
      <c r="BO2" s="72" t="s">
        <v>24</v>
      </c>
      <c r="BP2" s="73" t="s">
        <v>27</v>
      </c>
      <c r="BQ2" s="74" t="s">
        <v>25</v>
      </c>
      <c r="BR2" s="74" t="s">
        <v>129</v>
      </c>
      <c r="BS2" s="74" t="s">
        <v>19</v>
      </c>
      <c r="BT2" s="75" t="s">
        <v>20</v>
      </c>
      <c r="BU2" s="82" t="s">
        <v>21</v>
      </c>
      <c r="BV2" s="82"/>
      <c r="BW2" s="82"/>
      <c r="BX2" s="82"/>
      <c r="BY2" s="82"/>
      <c r="BZ2" s="82"/>
      <c r="CA2" s="82"/>
      <c r="CB2" s="82"/>
      <c r="CC2" s="82"/>
      <c r="CD2" s="82"/>
      <c r="CE2" s="82"/>
      <c r="CF2" s="82"/>
      <c r="CG2" s="82"/>
      <c r="CH2" s="82"/>
      <c r="CI2" s="82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IF($J3="","",ROUND(($J3-$J$3)/1000,1))</f>
        <v>0</v>
      </c>
      <c r="V3" s="58">
        <f>IF($O3="","",ROUND(($O3-$O$3)/1000,1))</f>
        <v>0</v>
      </c>
      <c r="W3" s="59">
        <f>IF($T3="","",ROUND(($T3-$T$3)/1000,1))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154</v>
      </c>
      <c r="F4" s="8" t="s">
        <v>148</v>
      </c>
      <c r="G4" s="9">
        <v>-6000</v>
      </c>
      <c r="H4" s="9"/>
      <c r="I4" s="55">
        <v>0</v>
      </c>
      <c r="J4" s="21">
        <f>IF(COUNTA($F4,$K4,$P4)&gt;0,J3+SUM(G4:I4),"")</f>
        <v>29000</v>
      </c>
      <c r="K4" s="8" t="s">
        <v>149</v>
      </c>
      <c r="L4" s="9">
        <v>12000</v>
      </c>
      <c r="M4" s="9"/>
      <c r="N4" s="55">
        <v>0</v>
      </c>
      <c r="O4" s="21">
        <f>IF(COUNTA($F4,$K4,$P4)&gt;0,O3+SUM(L4:N4),"")</f>
        <v>47000</v>
      </c>
      <c r="P4" s="8" t="s">
        <v>148</v>
      </c>
      <c r="Q4" s="9">
        <v>-6000</v>
      </c>
      <c r="R4" s="9"/>
      <c r="S4" s="55">
        <v>0</v>
      </c>
      <c r="T4" s="21">
        <f>IF(COUNTA($F4,$K4,$P4)&gt;0,T3+SUM(Q4:S4),"")</f>
        <v>29000</v>
      </c>
      <c r="U4" s="60">
        <f t="shared" ref="U4:U30" si="0">IF($J4="","",ROUND(($J4-$J$3)/1000,1))</f>
        <v>-6</v>
      </c>
      <c r="V4" s="61">
        <f t="shared" ref="V4:V30" si="1">IF($O4="","",ROUND(($O4-$O$3)/1000,1))</f>
        <v>12</v>
      </c>
      <c r="W4" s="62">
        <f t="shared" ref="W4:W30" si="2">IF($T4="","",ROUND(($T4-$T$3)/1000,1))</f>
        <v>-6</v>
      </c>
      <c r="Y4" s="8"/>
      <c r="Z4" s="41"/>
      <c r="AA4" s="32"/>
      <c r="AB4" s="32"/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>
        <v>1</v>
      </c>
      <c r="AW4" s="32"/>
      <c r="AX4" s="32">
        <v>5</v>
      </c>
      <c r="AY4" s="36" t="s">
        <v>144</v>
      </c>
      <c r="AZ4" s="47" t="s">
        <v>143</v>
      </c>
      <c r="BA4" s="48" t="s">
        <v>83</v>
      </c>
      <c r="BB4" s="48" t="s">
        <v>84</v>
      </c>
      <c r="BC4" s="48" t="s">
        <v>80</v>
      </c>
      <c r="BD4" s="48" t="s">
        <v>82</v>
      </c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/>
      <c r="BR4" s="32"/>
      <c r="BS4" s="32"/>
      <c r="BT4" s="36"/>
      <c r="BU4" s="47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30" si="3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 t="shared" ref="C5:C30" si="4">IF($E5="","",IF(F4="チョンボ",C4,IF($E4=$E5,C4+1,0)))</f>
        <v>1</v>
      </c>
      <c r="D5" s="18">
        <f t="shared" ref="D5:D30" si="5">IF($E5="","",IF(OR($F4="流局",$F4="チョンボ"),D4+($H4+$M4+$R4)/-1000,0))</f>
        <v>0</v>
      </c>
      <c r="E5" s="4" t="s">
        <v>154</v>
      </c>
      <c r="F5" s="8"/>
      <c r="G5" s="9"/>
      <c r="H5" s="9"/>
      <c r="I5" s="55"/>
      <c r="J5" s="21">
        <f t="shared" ref="J5:J30" si="6">IF(COUNTA($F5,$K5,$P5)&gt;0,J4+SUM(G5:I5),"")</f>
        <v>29000</v>
      </c>
      <c r="K5" s="8" t="s">
        <v>141</v>
      </c>
      <c r="L5" s="9">
        <v>-12000</v>
      </c>
      <c r="M5" s="9"/>
      <c r="N5" s="55">
        <v>-1000</v>
      </c>
      <c r="O5" s="21">
        <f t="shared" ref="O5:O30" si="7">IF(COUNTA($F5,$K5,$P5)&gt;0,O4+SUM(L5:N5),"")</f>
        <v>34000</v>
      </c>
      <c r="P5" s="8" t="s">
        <v>142</v>
      </c>
      <c r="Q5" s="9">
        <v>12000</v>
      </c>
      <c r="R5" s="9"/>
      <c r="S5" s="55">
        <v>1000</v>
      </c>
      <c r="T5" s="21">
        <f t="shared" ref="T5:T30" si="8">IF(COUNTA($F5,$K5,$P5)&gt;0,T4+SUM(Q5:S5),"")</f>
        <v>42000</v>
      </c>
      <c r="U5" s="60">
        <f t="shared" si="0"/>
        <v>-6</v>
      </c>
      <c r="V5" s="61">
        <f t="shared" si="1"/>
        <v>-1</v>
      </c>
      <c r="W5" s="62">
        <f t="shared" si="2"/>
        <v>7</v>
      </c>
      <c r="Y5" s="8"/>
      <c r="Z5" s="41"/>
      <c r="AA5" s="32"/>
      <c r="AB5" s="32"/>
      <c r="AC5" s="32"/>
      <c r="AD5" s="36"/>
      <c r="AE5" s="47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/>
      <c r="AW5" s="32"/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>
        <v>1</v>
      </c>
      <c r="BR5" s="32"/>
      <c r="BS5" s="32">
        <v>7</v>
      </c>
      <c r="BT5" s="36" t="s">
        <v>144</v>
      </c>
      <c r="BU5" s="47" t="s">
        <v>143</v>
      </c>
      <c r="BV5" s="48" t="s">
        <v>80</v>
      </c>
      <c r="BW5" s="48" t="s">
        <v>80</v>
      </c>
      <c r="BX5" s="48" t="s">
        <v>80</v>
      </c>
      <c r="BY5" s="48" t="s">
        <v>81</v>
      </c>
      <c r="BZ5" s="48" t="s">
        <v>82</v>
      </c>
      <c r="CA5" s="48" t="s">
        <v>82</v>
      </c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3"/>
        <v>東</v>
      </c>
      <c r="B6" s="18">
        <f t="shared" ref="B6:B30" si="9">IF($E6="","",IF($E5=$E6,B5,IF(B5=3,1,B5+1)))</f>
        <v>2</v>
      </c>
      <c r="C6" s="18">
        <f t="shared" si="4"/>
        <v>0</v>
      </c>
      <c r="D6" s="18">
        <f t="shared" si="5"/>
        <v>0</v>
      </c>
      <c r="E6" s="4" t="s">
        <v>139</v>
      </c>
      <c r="F6" s="8" t="s">
        <v>147</v>
      </c>
      <c r="G6" s="9">
        <v>0</v>
      </c>
      <c r="H6" s="9">
        <v>-1000</v>
      </c>
      <c r="I6" s="55"/>
      <c r="J6" s="21">
        <f t="shared" si="6"/>
        <v>28000</v>
      </c>
      <c r="K6" s="8" t="s">
        <v>147</v>
      </c>
      <c r="L6" s="9">
        <v>0</v>
      </c>
      <c r="M6" s="9"/>
      <c r="N6" s="55"/>
      <c r="O6" s="21">
        <f t="shared" si="7"/>
        <v>34000</v>
      </c>
      <c r="P6" s="8" t="s">
        <v>147</v>
      </c>
      <c r="Q6" s="9">
        <v>0</v>
      </c>
      <c r="R6" s="9">
        <v>-1000</v>
      </c>
      <c r="S6" s="55"/>
      <c r="T6" s="21">
        <f t="shared" si="8"/>
        <v>41000</v>
      </c>
      <c r="U6" s="60">
        <f t="shared" si="0"/>
        <v>-7</v>
      </c>
      <c r="V6" s="61">
        <f t="shared" si="1"/>
        <v>-1</v>
      </c>
      <c r="W6" s="62">
        <f t="shared" si="2"/>
        <v>6</v>
      </c>
      <c r="Y6" s="8" t="s">
        <v>146</v>
      </c>
      <c r="Z6" s="41"/>
      <c r="AA6" s="32">
        <v>1</v>
      </c>
      <c r="AB6" s="32"/>
      <c r="AC6" s="32"/>
      <c r="AD6" s="36"/>
      <c r="AE6" s="47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 t="s">
        <v>146</v>
      </c>
      <c r="AU6" s="41"/>
      <c r="AV6" s="32"/>
      <c r="AW6" s="32">
        <v>1</v>
      </c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 t="s">
        <v>146</v>
      </c>
      <c r="BP6" s="41"/>
      <c r="BQ6" s="32">
        <v>1</v>
      </c>
      <c r="BR6" s="32"/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si="3"/>
        <v>東</v>
      </c>
      <c r="B7" s="18">
        <f t="shared" si="9"/>
        <v>2</v>
      </c>
      <c r="C7" s="18">
        <f t="shared" si="4"/>
        <v>1</v>
      </c>
      <c r="D7" s="18">
        <f t="shared" si="5"/>
        <v>2</v>
      </c>
      <c r="E7" s="4" t="s">
        <v>139</v>
      </c>
      <c r="F7" s="8" t="s">
        <v>141</v>
      </c>
      <c r="G7" s="9">
        <v>-7700</v>
      </c>
      <c r="H7" s="9"/>
      <c r="I7" s="55">
        <v>-1000</v>
      </c>
      <c r="J7" s="21">
        <f t="shared" si="6"/>
        <v>19300</v>
      </c>
      <c r="K7" s="8"/>
      <c r="L7" s="9"/>
      <c r="M7" s="9"/>
      <c r="N7" s="55"/>
      <c r="O7" s="21">
        <f t="shared" si="7"/>
        <v>34000</v>
      </c>
      <c r="P7" s="8" t="s">
        <v>142</v>
      </c>
      <c r="Q7" s="9">
        <v>7700</v>
      </c>
      <c r="R7" s="9">
        <v>2000</v>
      </c>
      <c r="S7" s="55">
        <v>1000</v>
      </c>
      <c r="T7" s="21">
        <f t="shared" si="8"/>
        <v>51700</v>
      </c>
      <c r="U7" s="60">
        <f t="shared" si="0"/>
        <v>-15.7</v>
      </c>
      <c r="V7" s="61">
        <f t="shared" si="1"/>
        <v>-1</v>
      </c>
      <c r="W7" s="62">
        <f t="shared" si="2"/>
        <v>16.7</v>
      </c>
      <c r="Y7" s="8"/>
      <c r="Z7" s="41"/>
      <c r="AA7" s="32"/>
      <c r="AB7" s="32"/>
      <c r="AC7" s="32"/>
      <c r="AD7" s="36"/>
      <c r="AE7" s="4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/>
      <c r="AW7" s="32">
        <v>1</v>
      </c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>
        <v>1</v>
      </c>
      <c r="BR7" s="32"/>
      <c r="BS7" s="32">
        <v>3</v>
      </c>
      <c r="BT7" s="36">
        <v>40</v>
      </c>
      <c r="BU7" s="47" t="s">
        <v>143</v>
      </c>
      <c r="BV7" s="48" t="s">
        <v>82</v>
      </c>
      <c r="BW7" s="48" t="s">
        <v>85</v>
      </c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3"/>
        <v>東</v>
      </c>
      <c r="B8" s="18">
        <f t="shared" si="9"/>
        <v>2</v>
      </c>
      <c r="C8" s="18">
        <f t="shared" si="4"/>
        <v>2</v>
      </c>
      <c r="D8" s="18">
        <f t="shared" si="5"/>
        <v>0</v>
      </c>
      <c r="E8" s="4" t="s">
        <v>139</v>
      </c>
      <c r="F8" s="8"/>
      <c r="G8" s="9"/>
      <c r="H8" s="9"/>
      <c r="I8" s="55"/>
      <c r="J8" s="21">
        <f t="shared" si="6"/>
        <v>19300</v>
      </c>
      <c r="K8" s="8" t="s">
        <v>142</v>
      </c>
      <c r="L8" s="9">
        <v>2000</v>
      </c>
      <c r="M8" s="9"/>
      <c r="N8" s="55">
        <v>2000</v>
      </c>
      <c r="O8" s="21">
        <f t="shared" si="7"/>
        <v>38000</v>
      </c>
      <c r="P8" s="8" t="s">
        <v>141</v>
      </c>
      <c r="Q8" s="9">
        <v>-2000</v>
      </c>
      <c r="R8" s="9"/>
      <c r="S8" s="55">
        <v>-2000</v>
      </c>
      <c r="T8" s="21">
        <f t="shared" si="8"/>
        <v>47700</v>
      </c>
      <c r="U8" s="60">
        <f t="shared" si="0"/>
        <v>-15.7</v>
      </c>
      <c r="V8" s="61">
        <f t="shared" si="1"/>
        <v>3</v>
      </c>
      <c r="W8" s="62">
        <f t="shared" si="2"/>
        <v>12.7</v>
      </c>
      <c r="Y8" s="8"/>
      <c r="Z8" s="41"/>
      <c r="AA8" s="32"/>
      <c r="AB8" s="32">
        <v>1</v>
      </c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/>
      <c r="AW8" s="32">
        <v>1</v>
      </c>
      <c r="AX8" s="32">
        <v>2</v>
      </c>
      <c r="AY8" s="36">
        <v>30</v>
      </c>
      <c r="AZ8" s="47" t="s">
        <v>87</v>
      </c>
      <c r="BA8" s="48" t="s">
        <v>80</v>
      </c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/>
      <c r="BR8" s="32"/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3"/>
        <v>東</v>
      </c>
      <c r="B9" s="18">
        <f t="shared" si="9"/>
        <v>3</v>
      </c>
      <c r="C9" s="18">
        <f t="shared" si="4"/>
        <v>0</v>
      </c>
      <c r="D9" s="18">
        <f t="shared" si="5"/>
        <v>0</v>
      </c>
      <c r="E9" s="4" t="s">
        <v>151</v>
      </c>
      <c r="F9" s="8" t="s">
        <v>147</v>
      </c>
      <c r="G9" s="9">
        <v>-1500</v>
      </c>
      <c r="H9" s="9"/>
      <c r="I9" s="55"/>
      <c r="J9" s="21">
        <f t="shared" si="6"/>
        <v>17800</v>
      </c>
      <c r="K9" s="8" t="s">
        <v>147</v>
      </c>
      <c r="L9" s="9">
        <v>-1500</v>
      </c>
      <c r="M9" s="9"/>
      <c r="N9" s="55"/>
      <c r="O9" s="21">
        <f t="shared" si="7"/>
        <v>36500</v>
      </c>
      <c r="P9" s="8" t="s">
        <v>147</v>
      </c>
      <c r="Q9" s="9">
        <v>3000</v>
      </c>
      <c r="R9" s="9">
        <v>-1000</v>
      </c>
      <c r="S9" s="55"/>
      <c r="T9" s="21">
        <f t="shared" si="8"/>
        <v>49700</v>
      </c>
      <c r="U9" s="60">
        <f t="shared" si="0"/>
        <v>-17.2</v>
      </c>
      <c r="V9" s="61">
        <f t="shared" si="1"/>
        <v>1.5</v>
      </c>
      <c r="W9" s="62">
        <f t="shared" si="2"/>
        <v>14.7</v>
      </c>
      <c r="Y9" s="8" t="s">
        <v>145</v>
      </c>
      <c r="Z9" s="41"/>
      <c r="AA9" s="32"/>
      <c r="AB9" s="32"/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 t="s">
        <v>145</v>
      </c>
      <c r="AU9" s="41"/>
      <c r="AV9" s="32"/>
      <c r="AW9" s="32"/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 t="s">
        <v>146</v>
      </c>
      <c r="BP9" s="41"/>
      <c r="BQ9" s="32">
        <v>1</v>
      </c>
      <c r="BR9" s="32"/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3"/>
        <v>南</v>
      </c>
      <c r="B10" s="18">
        <f t="shared" si="9"/>
        <v>1</v>
      </c>
      <c r="C10" s="18">
        <f t="shared" si="4"/>
        <v>0</v>
      </c>
      <c r="D10" s="18">
        <f t="shared" si="5"/>
        <v>1</v>
      </c>
      <c r="E10" s="4" t="s">
        <v>154</v>
      </c>
      <c r="F10" s="8"/>
      <c r="G10" s="9"/>
      <c r="H10" s="9"/>
      <c r="I10" s="55"/>
      <c r="J10" s="21">
        <f t="shared" si="6"/>
        <v>17800</v>
      </c>
      <c r="K10" s="8" t="s">
        <v>142</v>
      </c>
      <c r="L10" s="9">
        <v>3900</v>
      </c>
      <c r="M10" s="9">
        <v>2000</v>
      </c>
      <c r="N10" s="55">
        <v>0</v>
      </c>
      <c r="O10" s="21">
        <f t="shared" si="7"/>
        <v>42400</v>
      </c>
      <c r="P10" s="8" t="s">
        <v>141</v>
      </c>
      <c r="Q10" s="9">
        <v>-3900</v>
      </c>
      <c r="R10" s="9">
        <v>-1000</v>
      </c>
      <c r="S10" s="55">
        <v>0</v>
      </c>
      <c r="T10" s="21">
        <f t="shared" si="8"/>
        <v>44800</v>
      </c>
      <c r="U10" s="60">
        <f t="shared" si="0"/>
        <v>-17.2</v>
      </c>
      <c r="V10" s="61">
        <f t="shared" si="1"/>
        <v>7.4</v>
      </c>
      <c r="W10" s="62">
        <f t="shared" si="2"/>
        <v>9.8000000000000007</v>
      </c>
      <c r="Y10" s="8"/>
      <c r="Z10" s="41"/>
      <c r="AA10" s="32"/>
      <c r="AB10" s="32"/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>
        <v>1</v>
      </c>
      <c r="AW10" s="32"/>
      <c r="AX10" s="32">
        <v>2</v>
      </c>
      <c r="AY10" s="36">
        <v>40</v>
      </c>
      <c r="AZ10" s="47" t="s">
        <v>143</v>
      </c>
      <c r="BA10" s="48" t="s">
        <v>81</v>
      </c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>
        <v>1</v>
      </c>
      <c r="BR10" s="32"/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3"/>
        <v>南</v>
      </c>
      <c r="B11" s="18">
        <f t="shared" si="9"/>
        <v>1</v>
      </c>
      <c r="C11" s="18">
        <f t="shared" si="4"/>
        <v>1</v>
      </c>
      <c r="D11" s="18">
        <f t="shared" si="5"/>
        <v>0</v>
      </c>
      <c r="E11" s="4" t="s">
        <v>154</v>
      </c>
      <c r="F11" s="8" t="s">
        <v>142</v>
      </c>
      <c r="G11" s="9">
        <v>12000</v>
      </c>
      <c r="H11" s="9">
        <v>1000</v>
      </c>
      <c r="I11" s="55">
        <v>1000</v>
      </c>
      <c r="J11" s="21">
        <f t="shared" si="6"/>
        <v>31800</v>
      </c>
      <c r="K11" s="8" t="s">
        <v>141</v>
      </c>
      <c r="L11" s="9">
        <v>-12000</v>
      </c>
      <c r="M11" s="9"/>
      <c r="N11" s="55">
        <v>-1000</v>
      </c>
      <c r="O11" s="21">
        <f t="shared" si="7"/>
        <v>29400</v>
      </c>
      <c r="P11" s="8"/>
      <c r="Q11" s="9"/>
      <c r="R11" s="9">
        <v>-1000</v>
      </c>
      <c r="S11" s="55"/>
      <c r="T11" s="21">
        <f t="shared" si="8"/>
        <v>43800</v>
      </c>
      <c r="U11" s="60">
        <f t="shared" si="0"/>
        <v>-3.2</v>
      </c>
      <c r="V11" s="61">
        <f t="shared" si="1"/>
        <v>-5.6</v>
      </c>
      <c r="W11" s="62">
        <f t="shared" si="2"/>
        <v>8.8000000000000007</v>
      </c>
      <c r="Y11" s="8"/>
      <c r="Z11" s="41"/>
      <c r="AA11" s="32"/>
      <c r="AB11" s="32">
        <v>1</v>
      </c>
      <c r="AC11" s="32">
        <v>6</v>
      </c>
      <c r="AD11" s="36" t="s">
        <v>144</v>
      </c>
      <c r="AE11" s="47" t="s">
        <v>87</v>
      </c>
      <c r="AF11" s="48" t="s">
        <v>80</v>
      </c>
      <c r="AG11" s="48" t="s">
        <v>80</v>
      </c>
      <c r="AH11" s="48" t="s">
        <v>80</v>
      </c>
      <c r="AI11" s="48" t="s">
        <v>82</v>
      </c>
      <c r="AJ11" s="48" t="s">
        <v>82</v>
      </c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>
        <v>1</v>
      </c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3"/>
        <v>南</v>
      </c>
      <c r="B12" s="18">
        <f t="shared" si="9"/>
        <v>2</v>
      </c>
      <c r="C12" s="18">
        <f t="shared" si="4"/>
        <v>0</v>
      </c>
      <c r="D12" s="18">
        <f t="shared" si="5"/>
        <v>0</v>
      </c>
      <c r="E12" s="4" t="s">
        <v>139</v>
      </c>
      <c r="F12" s="8" t="s">
        <v>142</v>
      </c>
      <c r="G12" s="9">
        <v>8000</v>
      </c>
      <c r="H12" s="9"/>
      <c r="I12" s="55">
        <v>0</v>
      </c>
      <c r="J12" s="21">
        <f t="shared" si="6"/>
        <v>39800</v>
      </c>
      <c r="K12" s="8" t="s">
        <v>141</v>
      </c>
      <c r="L12" s="9">
        <v>-8000</v>
      </c>
      <c r="M12" s="9"/>
      <c r="N12" s="55">
        <v>0</v>
      </c>
      <c r="O12" s="21">
        <f t="shared" si="7"/>
        <v>21400</v>
      </c>
      <c r="P12" s="8"/>
      <c r="Q12" s="9"/>
      <c r="R12" s="9"/>
      <c r="S12" s="55"/>
      <c r="T12" s="21">
        <f t="shared" si="8"/>
        <v>43800</v>
      </c>
      <c r="U12" s="60">
        <f t="shared" si="0"/>
        <v>4.8</v>
      </c>
      <c r="V12" s="61">
        <f t="shared" si="1"/>
        <v>-13.6</v>
      </c>
      <c r="W12" s="62">
        <f t="shared" si="2"/>
        <v>8.8000000000000007</v>
      </c>
      <c r="Y12" s="8"/>
      <c r="Z12" s="41"/>
      <c r="AA12" s="32">
        <v>1</v>
      </c>
      <c r="AB12" s="32"/>
      <c r="AC12" s="32">
        <v>5</v>
      </c>
      <c r="AD12" s="36" t="s">
        <v>144</v>
      </c>
      <c r="AE12" s="47" t="s">
        <v>143</v>
      </c>
      <c r="AF12" s="48" t="s">
        <v>150</v>
      </c>
      <c r="AG12" s="48" t="s">
        <v>80</v>
      </c>
      <c r="AH12" s="48" t="s">
        <v>81</v>
      </c>
      <c r="AI12" s="48" t="s">
        <v>82</v>
      </c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>
        <v>1</v>
      </c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3"/>
        <v>南</v>
      </c>
      <c r="B13" s="18">
        <f t="shared" si="9"/>
        <v>3</v>
      </c>
      <c r="C13" s="18">
        <f t="shared" si="4"/>
        <v>0</v>
      </c>
      <c r="D13" s="18">
        <f t="shared" si="5"/>
        <v>0</v>
      </c>
      <c r="E13" s="4" t="s">
        <v>151</v>
      </c>
      <c r="F13" s="8"/>
      <c r="G13" s="9"/>
      <c r="H13" s="9"/>
      <c r="I13" s="55"/>
      <c r="J13" s="21">
        <f t="shared" si="6"/>
        <v>39800</v>
      </c>
      <c r="K13" s="8" t="s">
        <v>141</v>
      </c>
      <c r="L13" s="9">
        <v>-3200</v>
      </c>
      <c r="M13" s="9"/>
      <c r="N13" s="55">
        <v>0</v>
      </c>
      <c r="O13" s="21">
        <f t="shared" si="7"/>
        <v>18200</v>
      </c>
      <c r="P13" s="8" t="s">
        <v>142</v>
      </c>
      <c r="Q13" s="9">
        <v>3200</v>
      </c>
      <c r="R13" s="9"/>
      <c r="S13" s="55">
        <v>0</v>
      </c>
      <c r="T13" s="21">
        <f t="shared" si="8"/>
        <v>47000</v>
      </c>
      <c r="U13" s="60">
        <f t="shared" si="0"/>
        <v>4.8</v>
      </c>
      <c r="V13" s="61">
        <f t="shared" si="1"/>
        <v>-16.8</v>
      </c>
      <c r="W13" s="62">
        <f t="shared" si="2"/>
        <v>12</v>
      </c>
      <c r="Y13" s="8"/>
      <c r="Z13" s="41"/>
      <c r="AA13" s="32"/>
      <c r="AB13" s="32">
        <v>1</v>
      </c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>
        <v>3</v>
      </c>
      <c r="BT13" s="36">
        <v>25</v>
      </c>
      <c r="BU13" s="47" t="s">
        <v>102</v>
      </c>
      <c r="BV13" s="48" t="s">
        <v>82</v>
      </c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3"/>
        <v/>
      </c>
      <c r="B14" s="18" t="str">
        <f t="shared" si="9"/>
        <v/>
      </c>
      <c r="C14" s="18" t="str">
        <f t="shared" si="4"/>
        <v/>
      </c>
      <c r="D14" s="18" t="str">
        <f t="shared" si="5"/>
        <v/>
      </c>
      <c r="E14" s="4"/>
      <c r="F14" s="8"/>
      <c r="G14" s="9"/>
      <c r="H14" s="9"/>
      <c r="I14" s="55"/>
      <c r="J14" s="21" t="str">
        <f t="shared" si="6"/>
        <v/>
      </c>
      <c r="K14" s="8"/>
      <c r="L14" s="9"/>
      <c r="M14" s="9"/>
      <c r="N14" s="55"/>
      <c r="O14" s="21" t="str">
        <f t="shared" si="7"/>
        <v/>
      </c>
      <c r="P14" s="8"/>
      <c r="Q14" s="9"/>
      <c r="R14" s="9"/>
      <c r="S14" s="55"/>
      <c r="T14" s="21" t="str">
        <f t="shared" si="8"/>
        <v/>
      </c>
      <c r="U14" s="60" t="str">
        <f t="shared" si="0"/>
        <v/>
      </c>
      <c r="V14" s="61" t="str">
        <f t="shared" si="1"/>
        <v/>
      </c>
      <c r="W14" s="62" t="str">
        <f t="shared" si="2"/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3"/>
        <v/>
      </c>
      <c r="B15" s="18" t="str">
        <f t="shared" si="9"/>
        <v/>
      </c>
      <c r="C15" s="18" t="str">
        <f t="shared" si="4"/>
        <v/>
      </c>
      <c r="D15" s="18" t="str">
        <f t="shared" si="5"/>
        <v/>
      </c>
      <c r="E15" s="4"/>
      <c r="F15" s="8"/>
      <c r="G15" s="9"/>
      <c r="H15" s="9"/>
      <c r="I15" s="55"/>
      <c r="J15" s="21" t="str">
        <f t="shared" si="6"/>
        <v/>
      </c>
      <c r="K15" s="8"/>
      <c r="L15" s="9"/>
      <c r="M15" s="9"/>
      <c r="N15" s="55"/>
      <c r="O15" s="21" t="str">
        <f t="shared" si="7"/>
        <v/>
      </c>
      <c r="P15" s="8"/>
      <c r="Q15" s="9"/>
      <c r="R15" s="9"/>
      <c r="S15" s="55"/>
      <c r="T15" s="21" t="str">
        <f t="shared" si="8"/>
        <v/>
      </c>
      <c r="U15" s="60" t="str">
        <f t="shared" si="0"/>
        <v/>
      </c>
      <c r="V15" s="61" t="str">
        <f t="shared" si="1"/>
        <v/>
      </c>
      <c r="W15" s="62" t="str">
        <f t="shared" si="2"/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3"/>
        <v/>
      </c>
      <c r="B16" s="18" t="str">
        <f t="shared" si="9"/>
        <v/>
      </c>
      <c r="C16" s="18" t="str">
        <f t="shared" si="4"/>
        <v/>
      </c>
      <c r="D16" s="18" t="str">
        <f t="shared" si="5"/>
        <v/>
      </c>
      <c r="E16" s="4"/>
      <c r="F16" s="8"/>
      <c r="G16" s="9"/>
      <c r="H16" s="9"/>
      <c r="I16" s="55"/>
      <c r="J16" s="21" t="str">
        <f t="shared" si="6"/>
        <v/>
      </c>
      <c r="K16" s="8"/>
      <c r="L16" s="9"/>
      <c r="M16" s="9"/>
      <c r="N16" s="55"/>
      <c r="O16" s="21" t="str">
        <f t="shared" si="7"/>
        <v/>
      </c>
      <c r="P16" s="8"/>
      <c r="Q16" s="9"/>
      <c r="R16" s="9"/>
      <c r="S16" s="55"/>
      <c r="T16" s="21" t="str">
        <f t="shared" si="8"/>
        <v/>
      </c>
      <c r="U16" s="60" t="str">
        <f t="shared" si="0"/>
        <v/>
      </c>
      <c r="V16" s="61" t="str">
        <f t="shared" si="1"/>
        <v/>
      </c>
      <c r="W16" s="62" t="str">
        <f t="shared" si="2"/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3"/>
        <v/>
      </c>
      <c r="B17" s="18" t="str">
        <f t="shared" si="9"/>
        <v/>
      </c>
      <c r="C17" s="18" t="str">
        <f t="shared" si="4"/>
        <v/>
      </c>
      <c r="D17" s="18" t="str">
        <f t="shared" si="5"/>
        <v/>
      </c>
      <c r="E17" s="4"/>
      <c r="F17" s="8"/>
      <c r="G17" s="9"/>
      <c r="H17" s="9"/>
      <c r="I17" s="55"/>
      <c r="J17" s="21" t="str">
        <f t="shared" si="6"/>
        <v/>
      </c>
      <c r="K17" s="8"/>
      <c r="L17" s="9"/>
      <c r="M17" s="9"/>
      <c r="N17" s="55"/>
      <c r="O17" s="21" t="str">
        <f t="shared" si="7"/>
        <v/>
      </c>
      <c r="P17" s="8"/>
      <c r="Q17" s="9"/>
      <c r="R17" s="9"/>
      <c r="S17" s="55"/>
      <c r="T17" s="21" t="str">
        <f t="shared" si="8"/>
        <v/>
      </c>
      <c r="U17" s="60" t="str">
        <f t="shared" si="0"/>
        <v/>
      </c>
      <c r="V17" s="61" t="str">
        <f t="shared" si="1"/>
        <v/>
      </c>
      <c r="W17" s="62" t="str">
        <f t="shared" si="2"/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3"/>
        <v/>
      </c>
      <c r="B18" s="18" t="str">
        <f t="shared" si="9"/>
        <v/>
      </c>
      <c r="C18" s="18" t="str">
        <f t="shared" si="4"/>
        <v/>
      </c>
      <c r="D18" s="18" t="str">
        <f t="shared" si="5"/>
        <v/>
      </c>
      <c r="E18" s="4"/>
      <c r="F18" s="8"/>
      <c r="G18" s="9"/>
      <c r="H18" s="9"/>
      <c r="I18" s="55"/>
      <c r="J18" s="21" t="str">
        <f t="shared" si="6"/>
        <v/>
      </c>
      <c r="K18" s="8"/>
      <c r="L18" s="9"/>
      <c r="M18" s="9"/>
      <c r="N18" s="55"/>
      <c r="O18" s="21" t="str">
        <f t="shared" si="7"/>
        <v/>
      </c>
      <c r="P18" s="8"/>
      <c r="Q18" s="9"/>
      <c r="R18" s="9"/>
      <c r="S18" s="55"/>
      <c r="T18" s="21" t="str">
        <f t="shared" si="8"/>
        <v/>
      </c>
      <c r="U18" s="60" t="str">
        <f t="shared" si="0"/>
        <v/>
      </c>
      <c r="V18" s="61" t="str">
        <f t="shared" si="1"/>
        <v/>
      </c>
      <c r="W18" s="62" t="str">
        <f t="shared" si="2"/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3"/>
        <v/>
      </c>
      <c r="B19" s="18" t="str">
        <f t="shared" si="9"/>
        <v/>
      </c>
      <c r="C19" s="18" t="str">
        <f t="shared" si="4"/>
        <v/>
      </c>
      <c r="D19" s="18" t="str">
        <f t="shared" si="5"/>
        <v/>
      </c>
      <c r="E19" s="4"/>
      <c r="F19" s="8"/>
      <c r="G19" s="9"/>
      <c r="H19" s="9"/>
      <c r="I19" s="55"/>
      <c r="J19" s="21" t="str">
        <f t="shared" si="6"/>
        <v/>
      </c>
      <c r="K19" s="8"/>
      <c r="L19" s="9"/>
      <c r="M19" s="9"/>
      <c r="N19" s="55"/>
      <c r="O19" s="21" t="str">
        <f t="shared" si="7"/>
        <v/>
      </c>
      <c r="P19" s="8"/>
      <c r="Q19" s="9"/>
      <c r="R19" s="9"/>
      <c r="S19" s="55"/>
      <c r="T19" s="21" t="str">
        <f t="shared" si="8"/>
        <v/>
      </c>
      <c r="U19" s="60" t="str">
        <f t="shared" si="0"/>
        <v/>
      </c>
      <c r="V19" s="61" t="str">
        <f t="shared" si="1"/>
        <v/>
      </c>
      <c r="W19" s="62" t="str">
        <f t="shared" si="2"/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3"/>
        <v/>
      </c>
      <c r="B20" s="18" t="str">
        <f t="shared" si="9"/>
        <v/>
      </c>
      <c r="C20" s="18" t="str">
        <f t="shared" si="4"/>
        <v/>
      </c>
      <c r="D20" s="18" t="str">
        <f t="shared" si="5"/>
        <v/>
      </c>
      <c r="E20" s="4"/>
      <c r="F20" s="8"/>
      <c r="G20" s="9"/>
      <c r="H20" s="9"/>
      <c r="I20" s="55"/>
      <c r="J20" s="21" t="str">
        <f t="shared" si="6"/>
        <v/>
      </c>
      <c r="K20" s="8"/>
      <c r="L20" s="9"/>
      <c r="M20" s="9"/>
      <c r="N20" s="55"/>
      <c r="O20" s="21" t="str">
        <f t="shared" si="7"/>
        <v/>
      </c>
      <c r="P20" s="8"/>
      <c r="Q20" s="9"/>
      <c r="R20" s="9"/>
      <c r="S20" s="55"/>
      <c r="T20" s="21" t="str">
        <f t="shared" si="8"/>
        <v/>
      </c>
      <c r="U20" s="60" t="str">
        <f t="shared" si="0"/>
        <v/>
      </c>
      <c r="V20" s="61" t="str">
        <f t="shared" si="1"/>
        <v/>
      </c>
      <c r="W20" s="62" t="str">
        <f t="shared" si="2"/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3"/>
        <v/>
      </c>
      <c r="B21" s="18" t="str">
        <f t="shared" si="9"/>
        <v/>
      </c>
      <c r="C21" s="18" t="str">
        <f t="shared" si="4"/>
        <v/>
      </c>
      <c r="D21" s="18" t="str">
        <f t="shared" si="5"/>
        <v/>
      </c>
      <c r="E21" s="4"/>
      <c r="F21" s="8"/>
      <c r="G21" s="9"/>
      <c r="H21" s="9"/>
      <c r="I21" s="55"/>
      <c r="J21" s="21" t="str">
        <f t="shared" si="6"/>
        <v/>
      </c>
      <c r="K21" s="8"/>
      <c r="L21" s="9"/>
      <c r="M21" s="9"/>
      <c r="N21" s="55"/>
      <c r="O21" s="21" t="str">
        <f t="shared" si="7"/>
        <v/>
      </c>
      <c r="P21" s="8"/>
      <c r="Q21" s="9"/>
      <c r="R21" s="9"/>
      <c r="S21" s="55"/>
      <c r="T21" s="21" t="str">
        <f t="shared" si="8"/>
        <v/>
      </c>
      <c r="U21" s="60" t="str">
        <f t="shared" si="0"/>
        <v/>
      </c>
      <c r="V21" s="61" t="str">
        <f t="shared" si="1"/>
        <v/>
      </c>
      <c r="W21" s="62" t="str">
        <f t="shared" si="2"/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3"/>
        <v/>
      </c>
      <c r="B22" s="18" t="str">
        <f t="shared" si="9"/>
        <v/>
      </c>
      <c r="C22" s="18" t="str">
        <f t="shared" si="4"/>
        <v/>
      </c>
      <c r="D22" s="18" t="str">
        <f t="shared" si="5"/>
        <v/>
      </c>
      <c r="E22" s="4"/>
      <c r="F22" s="8"/>
      <c r="G22" s="9"/>
      <c r="H22" s="9"/>
      <c r="I22" s="55"/>
      <c r="J22" s="21" t="str">
        <f t="shared" si="6"/>
        <v/>
      </c>
      <c r="K22" s="8"/>
      <c r="L22" s="9"/>
      <c r="M22" s="9"/>
      <c r="N22" s="55"/>
      <c r="O22" s="21" t="str">
        <f t="shared" si="7"/>
        <v/>
      </c>
      <c r="P22" s="8"/>
      <c r="Q22" s="9"/>
      <c r="R22" s="9"/>
      <c r="S22" s="55"/>
      <c r="T22" s="21" t="str">
        <f t="shared" si="8"/>
        <v/>
      </c>
      <c r="U22" s="60" t="str">
        <f t="shared" si="0"/>
        <v/>
      </c>
      <c r="V22" s="61" t="str">
        <f t="shared" si="1"/>
        <v/>
      </c>
      <c r="W22" s="62" t="str">
        <f t="shared" si="2"/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3"/>
        <v/>
      </c>
      <c r="B23" s="18" t="str">
        <f t="shared" si="9"/>
        <v/>
      </c>
      <c r="C23" s="18" t="str">
        <f t="shared" si="4"/>
        <v/>
      </c>
      <c r="D23" s="18" t="str">
        <f t="shared" si="5"/>
        <v/>
      </c>
      <c r="E23" s="4"/>
      <c r="F23" s="8"/>
      <c r="G23" s="9"/>
      <c r="H23" s="9"/>
      <c r="I23" s="55"/>
      <c r="J23" s="21" t="str">
        <f t="shared" si="6"/>
        <v/>
      </c>
      <c r="K23" s="8"/>
      <c r="L23" s="9"/>
      <c r="M23" s="9"/>
      <c r="N23" s="55"/>
      <c r="O23" s="21" t="str">
        <f t="shared" si="7"/>
        <v/>
      </c>
      <c r="P23" s="8"/>
      <c r="Q23" s="9"/>
      <c r="R23" s="9"/>
      <c r="S23" s="55"/>
      <c r="T23" s="21" t="str">
        <f t="shared" si="8"/>
        <v/>
      </c>
      <c r="U23" s="60" t="str">
        <f t="shared" si="0"/>
        <v/>
      </c>
      <c r="V23" s="61" t="str">
        <f t="shared" si="1"/>
        <v/>
      </c>
      <c r="W23" s="62" t="str">
        <f t="shared" si="2"/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3"/>
        <v/>
      </c>
      <c r="B24" s="18" t="str">
        <f t="shared" si="9"/>
        <v/>
      </c>
      <c r="C24" s="18" t="str">
        <f t="shared" si="4"/>
        <v/>
      </c>
      <c r="D24" s="18" t="str">
        <f t="shared" si="5"/>
        <v/>
      </c>
      <c r="E24" s="4"/>
      <c r="F24" s="8"/>
      <c r="G24" s="9"/>
      <c r="H24" s="9"/>
      <c r="I24" s="55"/>
      <c r="J24" s="21" t="str">
        <f t="shared" si="6"/>
        <v/>
      </c>
      <c r="K24" s="8"/>
      <c r="L24" s="9"/>
      <c r="M24" s="9"/>
      <c r="N24" s="55"/>
      <c r="O24" s="21" t="str">
        <f t="shared" si="7"/>
        <v/>
      </c>
      <c r="P24" s="8"/>
      <c r="Q24" s="9"/>
      <c r="R24" s="9"/>
      <c r="S24" s="55"/>
      <c r="T24" s="21" t="str">
        <f t="shared" si="8"/>
        <v/>
      </c>
      <c r="U24" s="60" t="str">
        <f t="shared" si="0"/>
        <v/>
      </c>
      <c r="V24" s="61" t="str">
        <f t="shared" si="1"/>
        <v/>
      </c>
      <c r="W24" s="62" t="str">
        <f t="shared" si="2"/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3"/>
        <v/>
      </c>
      <c r="B25" s="18" t="str">
        <f t="shared" si="9"/>
        <v/>
      </c>
      <c r="C25" s="18" t="str">
        <f t="shared" si="4"/>
        <v/>
      </c>
      <c r="D25" s="18" t="str">
        <f t="shared" si="5"/>
        <v/>
      </c>
      <c r="E25" s="4"/>
      <c r="F25" s="8"/>
      <c r="G25" s="9"/>
      <c r="H25" s="9"/>
      <c r="I25" s="55"/>
      <c r="J25" s="21" t="str">
        <f t="shared" si="6"/>
        <v/>
      </c>
      <c r="K25" s="8"/>
      <c r="L25" s="9"/>
      <c r="M25" s="9"/>
      <c r="N25" s="55"/>
      <c r="O25" s="21" t="str">
        <f t="shared" si="7"/>
        <v/>
      </c>
      <c r="P25" s="8"/>
      <c r="Q25" s="9"/>
      <c r="R25" s="9"/>
      <c r="S25" s="55"/>
      <c r="T25" s="21" t="str">
        <f t="shared" si="8"/>
        <v/>
      </c>
      <c r="U25" s="60" t="str">
        <f t="shared" si="0"/>
        <v/>
      </c>
      <c r="V25" s="61" t="str">
        <f t="shared" si="1"/>
        <v/>
      </c>
      <c r="W25" s="62" t="str">
        <f t="shared" si="2"/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3"/>
        <v/>
      </c>
      <c r="B26" s="18" t="str">
        <f t="shared" si="9"/>
        <v/>
      </c>
      <c r="C26" s="18" t="str">
        <f t="shared" si="4"/>
        <v/>
      </c>
      <c r="D26" s="18" t="str">
        <f t="shared" si="5"/>
        <v/>
      </c>
      <c r="E26" s="4"/>
      <c r="F26" s="8"/>
      <c r="G26" s="9"/>
      <c r="H26" s="9"/>
      <c r="I26" s="55"/>
      <c r="J26" s="21" t="str">
        <f t="shared" si="6"/>
        <v/>
      </c>
      <c r="K26" s="8"/>
      <c r="L26" s="9"/>
      <c r="M26" s="9"/>
      <c r="N26" s="55"/>
      <c r="O26" s="21" t="str">
        <f t="shared" si="7"/>
        <v/>
      </c>
      <c r="P26" s="8"/>
      <c r="Q26" s="9"/>
      <c r="R26" s="9"/>
      <c r="S26" s="55"/>
      <c r="T26" s="21" t="str">
        <f t="shared" si="8"/>
        <v/>
      </c>
      <c r="U26" s="60" t="str">
        <f t="shared" si="0"/>
        <v/>
      </c>
      <c r="V26" s="61" t="str">
        <f t="shared" si="1"/>
        <v/>
      </c>
      <c r="W26" s="62" t="str">
        <f t="shared" si="2"/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3"/>
        <v/>
      </c>
      <c r="B27" s="18" t="str">
        <f t="shared" si="9"/>
        <v/>
      </c>
      <c r="C27" s="18" t="str">
        <f t="shared" si="4"/>
        <v/>
      </c>
      <c r="D27" s="18" t="str">
        <f t="shared" si="5"/>
        <v/>
      </c>
      <c r="E27" s="4"/>
      <c r="F27" s="8"/>
      <c r="G27" s="9"/>
      <c r="H27" s="9"/>
      <c r="I27" s="55"/>
      <c r="J27" s="21" t="str">
        <f t="shared" si="6"/>
        <v/>
      </c>
      <c r="K27" s="8"/>
      <c r="L27" s="9"/>
      <c r="M27" s="9"/>
      <c r="N27" s="55"/>
      <c r="O27" s="21" t="str">
        <f t="shared" si="7"/>
        <v/>
      </c>
      <c r="P27" s="8"/>
      <c r="Q27" s="9"/>
      <c r="R27" s="9"/>
      <c r="S27" s="55"/>
      <c r="T27" s="21" t="str">
        <f t="shared" si="8"/>
        <v/>
      </c>
      <c r="U27" s="60" t="str">
        <f t="shared" si="0"/>
        <v/>
      </c>
      <c r="V27" s="61" t="str">
        <f t="shared" si="1"/>
        <v/>
      </c>
      <c r="W27" s="62" t="str">
        <f t="shared" si="2"/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3"/>
        <v/>
      </c>
      <c r="B28" s="18" t="str">
        <f t="shared" si="9"/>
        <v/>
      </c>
      <c r="C28" s="18" t="str">
        <f t="shared" si="4"/>
        <v/>
      </c>
      <c r="D28" s="18" t="str">
        <f t="shared" si="5"/>
        <v/>
      </c>
      <c r="E28" s="4"/>
      <c r="F28" s="8"/>
      <c r="G28" s="9"/>
      <c r="H28" s="9"/>
      <c r="I28" s="55"/>
      <c r="J28" s="21" t="str">
        <f t="shared" si="6"/>
        <v/>
      </c>
      <c r="K28" s="8"/>
      <c r="L28" s="9"/>
      <c r="M28" s="9"/>
      <c r="N28" s="55"/>
      <c r="O28" s="21" t="str">
        <f t="shared" si="7"/>
        <v/>
      </c>
      <c r="P28" s="8"/>
      <c r="Q28" s="9"/>
      <c r="R28" s="9"/>
      <c r="S28" s="55"/>
      <c r="T28" s="21" t="str">
        <f t="shared" si="8"/>
        <v/>
      </c>
      <c r="U28" s="60" t="str">
        <f t="shared" si="0"/>
        <v/>
      </c>
      <c r="V28" s="61" t="str">
        <f t="shared" si="1"/>
        <v/>
      </c>
      <c r="W28" s="62" t="str">
        <f t="shared" si="2"/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3"/>
        <v/>
      </c>
      <c r="B29" s="18" t="str">
        <f t="shared" si="9"/>
        <v/>
      </c>
      <c r="C29" s="18" t="str">
        <f t="shared" si="4"/>
        <v/>
      </c>
      <c r="D29" s="18" t="str">
        <f t="shared" si="5"/>
        <v/>
      </c>
      <c r="E29" s="4"/>
      <c r="F29" s="8"/>
      <c r="G29" s="9"/>
      <c r="H29" s="9"/>
      <c r="I29" s="55"/>
      <c r="J29" s="21" t="str">
        <f t="shared" si="6"/>
        <v/>
      </c>
      <c r="K29" s="8"/>
      <c r="L29" s="9"/>
      <c r="M29" s="9"/>
      <c r="N29" s="55"/>
      <c r="O29" s="21" t="str">
        <f t="shared" si="7"/>
        <v/>
      </c>
      <c r="P29" s="8"/>
      <c r="Q29" s="9"/>
      <c r="R29" s="9"/>
      <c r="S29" s="55"/>
      <c r="T29" s="21" t="str">
        <f t="shared" si="8"/>
        <v/>
      </c>
      <c r="U29" s="60" t="str">
        <f t="shared" si="0"/>
        <v/>
      </c>
      <c r="V29" s="61" t="str">
        <f t="shared" si="1"/>
        <v/>
      </c>
      <c r="W29" s="62" t="str">
        <f t="shared" si="2"/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3"/>
        <v/>
      </c>
      <c r="B30" s="19" t="str">
        <f t="shared" si="9"/>
        <v/>
      </c>
      <c r="C30" s="19" t="str">
        <f t="shared" si="4"/>
        <v/>
      </c>
      <c r="D30" s="19" t="str">
        <f t="shared" si="5"/>
        <v/>
      </c>
      <c r="E30" s="5"/>
      <c r="F30" s="10"/>
      <c r="G30" s="11"/>
      <c r="H30" s="11"/>
      <c r="I30" s="56"/>
      <c r="J30" s="22" t="str">
        <f t="shared" si="6"/>
        <v/>
      </c>
      <c r="K30" s="10"/>
      <c r="L30" s="11"/>
      <c r="M30" s="11"/>
      <c r="N30" s="56"/>
      <c r="O30" s="22" t="str">
        <f t="shared" si="7"/>
        <v/>
      </c>
      <c r="P30" s="10"/>
      <c r="Q30" s="11"/>
      <c r="R30" s="11"/>
      <c r="S30" s="56"/>
      <c r="T30" s="22" t="str">
        <f t="shared" si="8"/>
        <v/>
      </c>
      <c r="U30" s="63" t="str">
        <f t="shared" si="0"/>
        <v/>
      </c>
      <c r="V30" s="64" t="str">
        <f t="shared" si="1"/>
        <v/>
      </c>
      <c r="W30" s="65" t="str">
        <f t="shared" si="2"/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2">
    <dataValidation type="list" showInputMessage="1" showErrorMessage="1" sqref="K4:K30 P4:P30 F4:F30" xr:uid="{7FA8E6A1-E744-405C-B8F8-C93FCA107BCE}">
      <formula1>"ロン,ツモ,放銃,ツモ支払,流局,チョンボ"</formula1>
    </dataValidation>
    <dataValidation type="list" allowBlank="1" showInputMessage="1" showErrorMessage="1" sqref="E4:E30" xr:uid="{9A2BBCF9-CF05-4AA0-A51B-1FCE82C6D776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D51"/>
  <sheetViews>
    <sheetView workbookViewId="0"/>
  </sheetViews>
  <sheetFormatPr defaultRowHeight="18.75" x14ac:dyDescent="0.4"/>
  <cols>
    <col min="1" max="1" width="9" style="43" customWidth="1"/>
    <col min="2" max="2" width="19.25" style="15" bestFit="1" customWidth="1"/>
    <col min="3" max="4" width="6.5" style="15" customWidth="1"/>
  </cols>
  <sheetData>
    <row r="1" spans="1:4" x14ac:dyDescent="0.4">
      <c r="A1" s="43" t="s">
        <v>28</v>
      </c>
      <c r="B1" s="15" t="s">
        <v>29</v>
      </c>
      <c r="C1" s="15" t="s">
        <v>30</v>
      </c>
      <c r="D1" s="15" t="s">
        <v>31</v>
      </c>
    </row>
    <row r="2" spans="1:4" x14ac:dyDescent="0.4">
      <c r="A2" s="43" t="s">
        <v>78</v>
      </c>
      <c r="B2" s="15" t="s">
        <v>133</v>
      </c>
      <c r="C2" s="15">
        <v>1</v>
      </c>
    </row>
    <row r="3" spans="1:4" x14ac:dyDescent="0.4">
      <c r="A3" s="43" t="s">
        <v>79</v>
      </c>
      <c r="B3" s="15" t="s">
        <v>32</v>
      </c>
      <c r="C3" s="15">
        <v>1</v>
      </c>
    </row>
    <row r="4" spans="1:4" x14ac:dyDescent="0.4">
      <c r="A4" s="43" t="s">
        <v>80</v>
      </c>
      <c r="B4" s="15" t="s">
        <v>33</v>
      </c>
      <c r="C4" s="15">
        <v>1</v>
      </c>
      <c r="D4" s="15">
        <v>1</v>
      </c>
    </row>
    <row r="5" spans="1:4" x14ac:dyDescent="0.4">
      <c r="A5" s="43" t="s">
        <v>81</v>
      </c>
      <c r="B5" s="15" t="s">
        <v>34</v>
      </c>
      <c r="C5" s="15">
        <v>1</v>
      </c>
    </row>
    <row r="6" spans="1:4" x14ac:dyDescent="0.4">
      <c r="A6" s="43" t="s">
        <v>82</v>
      </c>
      <c r="B6" s="15" t="s">
        <v>35</v>
      </c>
      <c r="C6" s="15">
        <v>1</v>
      </c>
      <c r="D6" s="15">
        <v>1</v>
      </c>
    </row>
    <row r="7" spans="1:4" x14ac:dyDescent="0.4">
      <c r="A7" s="43" t="s">
        <v>83</v>
      </c>
      <c r="B7" s="15" t="s">
        <v>36</v>
      </c>
      <c r="C7" s="15">
        <v>1</v>
      </c>
    </row>
    <row r="8" spans="1:4" x14ac:dyDescent="0.4">
      <c r="A8" s="43" t="s">
        <v>84</v>
      </c>
      <c r="B8" s="15" t="s">
        <v>37</v>
      </c>
      <c r="C8" s="15">
        <v>1</v>
      </c>
    </row>
    <row r="9" spans="1:4" x14ac:dyDescent="0.4">
      <c r="A9" s="43" t="s">
        <v>85</v>
      </c>
      <c r="B9" s="15" t="s">
        <v>38</v>
      </c>
      <c r="C9" s="15">
        <v>1</v>
      </c>
    </row>
    <row r="10" spans="1:4" x14ac:dyDescent="0.4">
      <c r="A10" s="43" t="s">
        <v>86</v>
      </c>
      <c r="B10" s="15" t="s">
        <v>130</v>
      </c>
      <c r="C10" s="15">
        <v>1</v>
      </c>
      <c r="D10" s="15">
        <v>1</v>
      </c>
    </row>
    <row r="11" spans="1:4" x14ac:dyDescent="0.4">
      <c r="A11" s="43" t="s">
        <v>87</v>
      </c>
      <c r="B11" s="15" t="s">
        <v>39</v>
      </c>
      <c r="C11" s="15">
        <v>1</v>
      </c>
      <c r="D11" s="15">
        <v>1</v>
      </c>
    </row>
    <row r="12" spans="1:4" x14ac:dyDescent="0.4">
      <c r="A12" s="43" t="s">
        <v>88</v>
      </c>
      <c r="B12" s="15" t="s">
        <v>40</v>
      </c>
      <c r="C12" s="15">
        <v>1</v>
      </c>
      <c r="D12" s="15">
        <v>1</v>
      </c>
    </row>
    <row r="13" spans="1:4" x14ac:dyDescent="0.4">
      <c r="A13" s="43" t="s">
        <v>89</v>
      </c>
      <c r="B13" s="15" t="s">
        <v>41</v>
      </c>
      <c r="C13" s="15">
        <v>1</v>
      </c>
      <c r="D13" s="15">
        <v>1</v>
      </c>
    </row>
    <row r="14" spans="1:4" x14ac:dyDescent="0.4">
      <c r="A14" s="43" t="s">
        <v>90</v>
      </c>
      <c r="B14" s="15" t="s">
        <v>42</v>
      </c>
      <c r="C14" s="15">
        <v>1</v>
      </c>
      <c r="D14" s="15">
        <v>1</v>
      </c>
    </row>
    <row r="15" spans="1:4" x14ac:dyDescent="0.4">
      <c r="A15" s="43" t="s">
        <v>91</v>
      </c>
      <c r="B15" s="15" t="s">
        <v>43</v>
      </c>
      <c r="C15" s="15">
        <v>1</v>
      </c>
      <c r="D15" s="15">
        <v>1</v>
      </c>
    </row>
    <row r="16" spans="1:4" x14ac:dyDescent="0.4">
      <c r="A16" s="43" t="s">
        <v>92</v>
      </c>
      <c r="B16" s="15" t="s">
        <v>44</v>
      </c>
      <c r="C16" s="15">
        <v>2</v>
      </c>
    </row>
    <row r="17" spans="1:4" x14ac:dyDescent="0.4">
      <c r="A17" s="43" t="s">
        <v>93</v>
      </c>
      <c r="B17" s="15" t="s">
        <v>45</v>
      </c>
      <c r="C17" s="15">
        <v>2</v>
      </c>
      <c r="D17" s="15">
        <v>1</v>
      </c>
    </row>
    <row r="18" spans="1:4" x14ac:dyDescent="0.4">
      <c r="A18" s="43" t="s">
        <v>94</v>
      </c>
      <c r="B18" s="15" t="s">
        <v>132</v>
      </c>
      <c r="C18" s="15">
        <v>2</v>
      </c>
      <c r="D18" s="15">
        <v>1</v>
      </c>
    </row>
    <row r="19" spans="1:4" x14ac:dyDescent="0.4">
      <c r="A19" s="43" t="s">
        <v>95</v>
      </c>
      <c r="B19" s="15" t="s">
        <v>46</v>
      </c>
      <c r="C19" s="15">
        <v>2</v>
      </c>
      <c r="D19" s="15">
        <v>1</v>
      </c>
    </row>
    <row r="20" spans="1:4" x14ac:dyDescent="0.4">
      <c r="A20" s="43" t="s">
        <v>96</v>
      </c>
      <c r="B20" s="15" t="s">
        <v>47</v>
      </c>
      <c r="C20" s="15">
        <v>2</v>
      </c>
      <c r="D20" s="15">
        <v>2</v>
      </c>
    </row>
    <row r="21" spans="1:4" x14ac:dyDescent="0.4">
      <c r="A21" s="43" t="s">
        <v>97</v>
      </c>
      <c r="B21" s="15" t="s">
        <v>48</v>
      </c>
      <c r="C21" s="15">
        <v>2</v>
      </c>
      <c r="D21" s="15">
        <v>2</v>
      </c>
    </row>
    <row r="22" spans="1:4" x14ac:dyDescent="0.4">
      <c r="A22" s="43" t="s">
        <v>98</v>
      </c>
      <c r="B22" s="15" t="s">
        <v>49</v>
      </c>
      <c r="C22" s="15">
        <v>2</v>
      </c>
      <c r="D22" s="15">
        <v>2</v>
      </c>
    </row>
    <row r="23" spans="1:4" x14ac:dyDescent="0.4">
      <c r="A23" s="43" t="s">
        <v>99</v>
      </c>
      <c r="B23" s="15" t="s">
        <v>50</v>
      </c>
      <c r="C23" s="15">
        <v>2</v>
      </c>
      <c r="D23" s="15">
        <v>2</v>
      </c>
    </row>
    <row r="24" spans="1:4" x14ac:dyDescent="0.4">
      <c r="A24" s="43" t="s">
        <v>100</v>
      </c>
      <c r="B24" s="15" t="s">
        <v>51</v>
      </c>
      <c r="C24" s="15">
        <v>2</v>
      </c>
      <c r="D24" s="15">
        <v>2</v>
      </c>
    </row>
    <row r="25" spans="1:4" x14ac:dyDescent="0.4">
      <c r="A25" s="43" t="s">
        <v>101</v>
      </c>
      <c r="B25" s="15" t="s">
        <v>52</v>
      </c>
      <c r="C25" s="15">
        <v>2</v>
      </c>
      <c r="D25" s="15">
        <v>2</v>
      </c>
    </row>
    <row r="26" spans="1:4" x14ac:dyDescent="0.4">
      <c r="A26" s="43" t="s">
        <v>102</v>
      </c>
      <c r="B26" s="15" t="s">
        <v>53</v>
      </c>
      <c r="C26" s="15">
        <v>2</v>
      </c>
    </row>
    <row r="27" spans="1:4" x14ac:dyDescent="0.4">
      <c r="A27" s="43" t="s">
        <v>103</v>
      </c>
      <c r="B27" s="15" t="s">
        <v>54</v>
      </c>
      <c r="C27" s="15">
        <v>3</v>
      </c>
    </row>
    <row r="28" spans="1:4" x14ac:dyDescent="0.4">
      <c r="A28" s="43" t="s">
        <v>104</v>
      </c>
      <c r="B28" s="15" t="s">
        <v>131</v>
      </c>
      <c r="C28" s="15">
        <v>3</v>
      </c>
      <c r="D28" s="15">
        <v>2</v>
      </c>
    </row>
    <row r="29" spans="1:4" x14ac:dyDescent="0.4">
      <c r="A29" s="43" t="s">
        <v>105</v>
      </c>
      <c r="B29" s="15" t="s">
        <v>55</v>
      </c>
      <c r="C29" s="15">
        <v>3</v>
      </c>
      <c r="D29" s="15">
        <v>2</v>
      </c>
    </row>
    <row r="30" spans="1:4" x14ac:dyDescent="0.4">
      <c r="A30" s="43" t="s">
        <v>106</v>
      </c>
      <c r="B30" s="15" t="s">
        <v>56</v>
      </c>
      <c r="C30" s="15">
        <v>5</v>
      </c>
    </row>
    <row r="31" spans="1:4" x14ac:dyDescent="0.4">
      <c r="A31" s="43" t="s">
        <v>107</v>
      </c>
      <c r="B31" s="15" t="s">
        <v>57</v>
      </c>
      <c r="C31" s="15">
        <v>6</v>
      </c>
      <c r="D31" s="15">
        <v>5</v>
      </c>
    </row>
    <row r="32" spans="1:4" x14ac:dyDescent="0.4">
      <c r="A32" s="43" t="s">
        <v>108</v>
      </c>
      <c r="B32" s="15" t="s">
        <v>58</v>
      </c>
      <c r="C32" s="15">
        <v>13</v>
      </c>
    </row>
    <row r="33" spans="1:4" x14ac:dyDescent="0.4">
      <c r="A33" s="43" t="s">
        <v>109</v>
      </c>
      <c r="B33" s="15" t="s">
        <v>59</v>
      </c>
      <c r="C33" s="15">
        <v>13</v>
      </c>
    </row>
    <row r="34" spans="1:4" x14ac:dyDescent="0.4">
      <c r="A34" s="43" t="s">
        <v>110</v>
      </c>
      <c r="B34" s="15" t="s">
        <v>60</v>
      </c>
      <c r="C34" s="15">
        <v>13</v>
      </c>
      <c r="D34" s="15">
        <v>13</v>
      </c>
    </row>
    <row r="35" spans="1:4" x14ac:dyDescent="0.4">
      <c r="A35" s="43" t="s">
        <v>111</v>
      </c>
      <c r="B35" s="15" t="s">
        <v>61</v>
      </c>
      <c r="C35" s="15">
        <v>13</v>
      </c>
      <c r="D35" s="15">
        <v>13</v>
      </c>
    </row>
    <row r="36" spans="1:4" x14ac:dyDescent="0.4">
      <c r="A36" s="43" t="s">
        <v>112</v>
      </c>
      <c r="B36" s="15" t="s">
        <v>62</v>
      </c>
      <c r="C36" s="15">
        <v>26</v>
      </c>
      <c r="D36" s="15">
        <v>26</v>
      </c>
    </row>
    <row r="37" spans="1:4" x14ac:dyDescent="0.4">
      <c r="A37" s="43" t="s">
        <v>113</v>
      </c>
      <c r="B37" s="15" t="s">
        <v>63</v>
      </c>
      <c r="C37" s="15">
        <v>13</v>
      </c>
      <c r="D37" s="15">
        <v>13</v>
      </c>
    </row>
    <row r="38" spans="1:4" x14ac:dyDescent="0.4">
      <c r="A38" s="43" t="s">
        <v>114</v>
      </c>
      <c r="B38" s="15" t="s">
        <v>64</v>
      </c>
      <c r="C38" s="15">
        <v>13</v>
      </c>
      <c r="D38" s="15">
        <v>13</v>
      </c>
    </row>
    <row r="39" spans="1:4" x14ac:dyDescent="0.4">
      <c r="A39" s="43" t="s">
        <v>115</v>
      </c>
      <c r="B39" s="15" t="s">
        <v>65</v>
      </c>
      <c r="C39" s="15">
        <v>13</v>
      </c>
      <c r="D39" s="15">
        <v>13</v>
      </c>
    </row>
    <row r="40" spans="1:4" x14ac:dyDescent="0.4">
      <c r="A40" s="43" t="s">
        <v>116</v>
      </c>
      <c r="B40" s="15" t="s">
        <v>66</v>
      </c>
      <c r="C40" s="15">
        <v>13</v>
      </c>
      <c r="D40" s="15">
        <v>13</v>
      </c>
    </row>
    <row r="41" spans="1:4" x14ac:dyDescent="0.4">
      <c r="A41" s="43" t="s">
        <v>117</v>
      </c>
      <c r="B41" s="15" t="s">
        <v>67</v>
      </c>
      <c r="C41" s="15">
        <v>13</v>
      </c>
    </row>
    <row r="42" spans="1:4" x14ac:dyDescent="0.4">
      <c r="A42" s="43" t="s">
        <v>118</v>
      </c>
      <c r="B42" s="15" t="s">
        <v>68</v>
      </c>
      <c r="C42" s="15">
        <v>13</v>
      </c>
    </row>
    <row r="43" spans="1:4" x14ac:dyDescent="0.4">
      <c r="A43" s="43" t="s">
        <v>119</v>
      </c>
      <c r="B43" s="15" t="s">
        <v>69</v>
      </c>
      <c r="C43" s="15">
        <v>13</v>
      </c>
    </row>
    <row r="44" spans="1:4" x14ac:dyDescent="0.4">
      <c r="A44" s="43" t="s">
        <v>120</v>
      </c>
      <c r="B44" s="15" t="s">
        <v>70</v>
      </c>
      <c r="C44" s="15">
        <v>13</v>
      </c>
    </row>
    <row r="45" spans="1:4" x14ac:dyDescent="0.4">
      <c r="A45" s="43" t="s">
        <v>121</v>
      </c>
      <c r="B45" s="15" t="s">
        <v>71</v>
      </c>
      <c r="C45" s="15">
        <v>26</v>
      </c>
    </row>
    <row r="46" spans="1:4" x14ac:dyDescent="0.4">
      <c r="A46" s="43" t="s">
        <v>122</v>
      </c>
      <c r="B46" s="15" t="s">
        <v>72</v>
      </c>
      <c r="C46" s="15">
        <v>26</v>
      </c>
    </row>
    <row r="47" spans="1:4" x14ac:dyDescent="0.4">
      <c r="A47" s="43" t="s">
        <v>123</v>
      </c>
      <c r="B47" s="15" t="s">
        <v>73</v>
      </c>
      <c r="C47" s="15">
        <v>26</v>
      </c>
    </row>
    <row r="48" spans="1:4" x14ac:dyDescent="0.4">
      <c r="A48" s="43" t="s">
        <v>124</v>
      </c>
      <c r="B48" s="15" t="s">
        <v>74</v>
      </c>
      <c r="C48" s="15">
        <v>13</v>
      </c>
    </row>
    <row r="49" spans="1:3" x14ac:dyDescent="0.4">
      <c r="A49" s="43" t="s">
        <v>125</v>
      </c>
      <c r="B49" s="15" t="s">
        <v>75</v>
      </c>
      <c r="C49" s="15">
        <v>13</v>
      </c>
    </row>
    <row r="50" spans="1:3" x14ac:dyDescent="0.4">
      <c r="A50" s="43" t="s">
        <v>126</v>
      </c>
      <c r="B50" s="15" t="s">
        <v>76</v>
      </c>
      <c r="C50" s="15">
        <v>13</v>
      </c>
    </row>
    <row r="51" spans="1:3" x14ac:dyDescent="0.4">
      <c r="A51" s="43" t="s">
        <v>127</v>
      </c>
      <c r="B51" s="15" t="s">
        <v>77</v>
      </c>
      <c r="C51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>
      <selection sqref="A1:A2"/>
    </sheetView>
  </sheetViews>
  <sheetFormatPr defaultRowHeight="18.75" x14ac:dyDescent="0.4"/>
  <cols>
    <col min="1" max="12" width="9" style="38"/>
    <col min="13" max="13" width="9" style="38" customWidth="1"/>
    <col min="14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12000</v>
      </c>
      <c r="H2" s="38">
        <v>18000</v>
      </c>
      <c r="I2" s="38">
        <v>24000</v>
      </c>
      <c r="J2" s="38">
        <v>36000</v>
      </c>
      <c r="K2" s="38">
        <v>48000</v>
      </c>
      <c r="L2" s="38">
        <v>96000</v>
      </c>
      <c r="M2" s="38">
        <v>144000</v>
      </c>
    </row>
    <row r="3" spans="1:13" x14ac:dyDescent="0.4">
      <c r="A3" s="15">
        <v>20</v>
      </c>
      <c r="E3" s="38">
        <v>3900</v>
      </c>
      <c r="F3" s="38">
        <v>7700</v>
      </c>
    </row>
    <row r="4" spans="1:13" x14ac:dyDescent="0.4">
      <c r="A4" s="15">
        <v>25</v>
      </c>
      <c r="D4" s="38">
        <v>2400</v>
      </c>
      <c r="E4" s="38">
        <v>4800</v>
      </c>
      <c r="F4" s="38">
        <v>9600</v>
      </c>
    </row>
    <row r="5" spans="1:13" x14ac:dyDescent="0.4">
      <c r="A5" s="15">
        <v>30</v>
      </c>
      <c r="C5" s="38">
        <v>1500</v>
      </c>
      <c r="D5" s="38">
        <v>2900</v>
      </c>
      <c r="E5" s="38">
        <v>5800</v>
      </c>
      <c r="F5" s="38">
        <v>12000</v>
      </c>
    </row>
    <row r="6" spans="1:13" x14ac:dyDescent="0.4">
      <c r="A6" s="15">
        <v>40</v>
      </c>
      <c r="C6" s="38">
        <v>2000</v>
      </c>
      <c r="D6" s="38">
        <v>3900</v>
      </c>
      <c r="E6" s="38">
        <v>7700</v>
      </c>
      <c r="F6" s="38">
        <v>12000</v>
      </c>
    </row>
    <row r="7" spans="1:13" x14ac:dyDescent="0.4">
      <c r="A7" s="15">
        <v>50</v>
      </c>
      <c r="C7" s="38">
        <v>2400</v>
      </c>
      <c r="D7" s="38">
        <v>4800</v>
      </c>
      <c r="E7" s="38">
        <v>9600</v>
      </c>
      <c r="F7" s="38">
        <v>12000</v>
      </c>
    </row>
    <row r="8" spans="1:13" x14ac:dyDescent="0.4">
      <c r="A8" s="15">
        <v>60</v>
      </c>
      <c r="C8" s="38">
        <v>2900</v>
      </c>
      <c r="D8" s="38">
        <v>5800</v>
      </c>
      <c r="E8" s="38">
        <v>12000</v>
      </c>
      <c r="F8" s="38">
        <v>12000</v>
      </c>
    </row>
    <row r="9" spans="1:13" x14ac:dyDescent="0.4">
      <c r="A9" s="15">
        <v>70</v>
      </c>
      <c r="C9" s="38">
        <v>3400</v>
      </c>
      <c r="D9" s="38">
        <v>6800</v>
      </c>
      <c r="E9" s="38">
        <v>12000</v>
      </c>
      <c r="F9" s="38">
        <v>12000</v>
      </c>
    </row>
    <row r="10" spans="1:13" x14ac:dyDescent="0.4">
      <c r="A10" s="15">
        <v>80</v>
      </c>
      <c r="C10" s="38">
        <v>3900</v>
      </c>
      <c r="D10" s="38">
        <v>7700</v>
      </c>
      <c r="E10" s="38">
        <v>12000</v>
      </c>
      <c r="F10" s="38">
        <v>12000</v>
      </c>
    </row>
    <row r="11" spans="1:13" x14ac:dyDescent="0.4">
      <c r="A11" s="15">
        <v>90</v>
      </c>
      <c r="C11" s="38">
        <v>4400</v>
      </c>
      <c r="D11" s="38">
        <v>8700</v>
      </c>
      <c r="E11" s="38">
        <v>12000</v>
      </c>
      <c r="F11" s="38">
        <v>12000</v>
      </c>
    </row>
    <row r="12" spans="1:13" x14ac:dyDescent="0.4">
      <c r="A12" s="15">
        <v>100</v>
      </c>
      <c r="C12" s="38">
        <v>4800</v>
      </c>
      <c r="D12" s="38">
        <v>9600</v>
      </c>
      <c r="E12" s="38">
        <v>12000</v>
      </c>
      <c r="F12" s="38">
        <v>12000</v>
      </c>
    </row>
    <row r="13" spans="1:13" x14ac:dyDescent="0.4">
      <c r="A13" s="15">
        <v>110</v>
      </c>
      <c r="D13" s="38">
        <v>10600</v>
      </c>
      <c r="E13" s="38">
        <v>12000</v>
      </c>
      <c r="F13" s="38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12000</v>
      </c>
      <c r="H2" s="38">
        <v>18000</v>
      </c>
      <c r="I2" s="38">
        <v>24000</v>
      </c>
      <c r="J2" s="38">
        <v>36000</v>
      </c>
      <c r="K2" s="38">
        <v>48000</v>
      </c>
      <c r="L2" s="38">
        <v>96000</v>
      </c>
      <c r="M2" s="38">
        <v>144000</v>
      </c>
    </row>
    <row r="3" spans="1:13" x14ac:dyDescent="0.4">
      <c r="A3" s="15">
        <v>20</v>
      </c>
      <c r="C3" s="38" t="s">
        <v>11</v>
      </c>
      <c r="D3" s="38">
        <v>2200</v>
      </c>
      <c r="E3" s="38">
        <v>4000</v>
      </c>
      <c r="F3" s="38">
        <v>7800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4800</v>
      </c>
      <c r="F4" s="38">
        <v>9600</v>
      </c>
    </row>
    <row r="5" spans="1:13" x14ac:dyDescent="0.4">
      <c r="A5" s="15">
        <v>30</v>
      </c>
      <c r="C5" s="38">
        <v>1600</v>
      </c>
      <c r="D5" s="38">
        <v>3000</v>
      </c>
      <c r="E5" s="38">
        <v>6000</v>
      </c>
      <c r="F5" s="38">
        <v>12000</v>
      </c>
    </row>
    <row r="6" spans="1:13" x14ac:dyDescent="0.4">
      <c r="A6" s="15">
        <v>40</v>
      </c>
      <c r="C6" s="38">
        <v>2200</v>
      </c>
      <c r="D6" s="38">
        <v>4000</v>
      </c>
      <c r="E6" s="38">
        <v>7800</v>
      </c>
      <c r="F6" s="38">
        <v>12000</v>
      </c>
    </row>
    <row r="7" spans="1:13" x14ac:dyDescent="0.4">
      <c r="A7" s="15">
        <v>50</v>
      </c>
      <c r="C7" s="38">
        <v>2400</v>
      </c>
      <c r="D7" s="38">
        <v>4800</v>
      </c>
      <c r="E7" s="38">
        <v>9600</v>
      </c>
      <c r="F7" s="38">
        <v>12000</v>
      </c>
    </row>
    <row r="8" spans="1:13" x14ac:dyDescent="0.4">
      <c r="A8" s="15">
        <v>60</v>
      </c>
      <c r="C8" s="38">
        <v>3000</v>
      </c>
      <c r="D8" s="38">
        <v>6000</v>
      </c>
      <c r="E8" s="38">
        <v>12000</v>
      </c>
      <c r="F8" s="38">
        <v>12000</v>
      </c>
    </row>
    <row r="9" spans="1:13" x14ac:dyDescent="0.4">
      <c r="A9" s="15">
        <v>70</v>
      </c>
      <c r="C9" s="38">
        <v>3600</v>
      </c>
      <c r="D9" s="38">
        <v>7000</v>
      </c>
      <c r="E9" s="38">
        <v>12000</v>
      </c>
      <c r="F9" s="38">
        <v>12000</v>
      </c>
    </row>
    <row r="10" spans="1:13" x14ac:dyDescent="0.4">
      <c r="A10" s="15">
        <v>80</v>
      </c>
      <c r="C10" s="38">
        <v>4000</v>
      </c>
      <c r="D10" s="38">
        <v>7800</v>
      </c>
      <c r="E10" s="38">
        <v>12000</v>
      </c>
      <c r="F10" s="38">
        <v>12000</v>
      </c>
    </row>
    <row r="11" spans="1:13" x14ac:dyDescent="0.4">
      <c r="A11" s="15">
        <v>90</v>
      </c>
      <c r="C11" s="38">
        <v>4600</v>
      </c>
      <c r="D11" s="38">
        <v>8800</v>
      </c>
      <c r="E11" s="38">
        <v>12000</v>
      </c>
      <c r="F11" s="38">
        <v>12000</v>
      </c>
    </row>
    <row r="12" spans="1:13" x14ac:dyDescent="0.4">
      <c r="A12" s="15">
        <v>100</v>
      </c>
      <c r="C12" s="38">
        <v>4800</v>
      </c>
      <c r="D12" s="38">
        <v>9600</v>
      </c>
      <c r="E12" s="38">
        <v>12000</v>
      </c>
      <c r="F12" s="38">
        <v>12000</v>
      </c>
    </row>
    <row r="13" spans="1:13" x14ac:dyDescent="0.4">
      <c r="A13" s="15">
        <v>110</v>
      </c>
      <c r="C13" s="38" t="s">
        <v>11</v>
      </c>
      <c r="D13" s="38">
        <v>10800</v>
      </c>
      <c r="E13" s="38">
        <v>12000</v>
      </c>
      <c r="F13" s="38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-6000</v>
      </c>
      <c r="H2" s="38">
        <v>-9000</v>
      </c>
      <c r="I2" s="38">
        <v>-12000</v>
      </c>
      <c r="J2" s="38">
        <v>-18000</v>
      </c>
      <c r="K2" s="38">
        <v>-24000</v>
      </c>
      <c r="L2" s="38">
        <v>-48000</v>
      </c>
      <c r="M2" s="38">
        <v>-72000</v>
      </c>
    </row>
    <row r="3" spans="1:13" x14ac:dyDescent="0.4">
      <c r="A3" s="15">
        <v>20</v>
      </c>
      <c r="C3" s="38" t="s">
        <v>11</v>
      </c>
      <c r="D3" s="38">
        <v>-1100</v>
      </c>
      <c r="E3" s="38">
        <v>-2000</v>
      </c>
      <c r="F3" s="38">
        <v>-3900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-2400</v>
      </c>
      <c r="F4" s="38">
        <v>-4800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-800</v>
      </c>
      <c r="D5" s="38">
        <v>-1500</v>
      </c>
      <c r="E5" s="38">
        <v>-3000</v>
      </c>
      <c r="F5" s="38">
        <v>-6000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-1100</v>
      </c>
      <c r="D6" s="38">
        <v>-2000</v>
      </c>
      <c r="E6" s="38">
        <v>-3900</v>
      </c>
      <c r="F6" s="38">
        <v>-6000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-1200</v>
      </c>
      <c r="D7" s="38">
        <v>-2400</v>
      </c>
      <c r="E7" s="38">
        <v>-4800</v>
      </c>
      <c r="F7" s="38">
        <v>-6000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-1500</v>
      </c>
      <c r="D8" s="38">
        <v>-3000</v>
      </c>
      <c r="E8" s="38">
        <v>-6000</v>
      </c>
      <c r="F8" s="38">
        <v>-6000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-1800</v>
      </c>
      <c r="D9" s="38">
        <v>-3500</v>
      </c>
      <c r="E9" s="38">
        <v>-6000</v>
      </c>
      <c r="F9" s="38">
        <v>-6000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-2000</v>
      </c>
      <c r="D10" s="38">
        <v>-3900</v>
      </c>
      <c r="E10" s="38">
        <v>-6000</v>
      </c>
      <c r="F10" s="38">
        <v>-6000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-2300</v>
      </c>
      <c r="D11" s="38">
        <v>-4400</v>
      </c>
      <c r="E11" s="38">
        <v>-6000</v>
      </c>
      <c r="F11" s="38">
        <v>-6000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-2400</v>
      </c>
      <c r="D12" s="38">
        <v>-4800</v>
      </c>
      <c r="E12" s="38">
        <v>-6000</v>
      </c>
      <c r="F12" s="38">
        <v>-6000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-5400</v>
      </c>
      <c r="E13" s="38">
        <v>-6000</v>
      </c>
      <c r="F13" s="38">
        <v>-6000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8000</v>
      </c>
      <c r="H2" s="38">
        <v>12000</v>
      </c>
      <c r="I2" s="38">
        <v>16000</v>
      </c>
      <c r="J2" s="38">
        <v>24000</v>
      </c>
      <c r="K2" s="38">
        <v>32000</v>
      </c>
      <c r="L2" s="38">
        <v>64000</v>
      </c>
      <c r="M2" s="38">
        <v>96000</v>
      </c>
    </row>
    <row r="3" spans="1:13" x14ac:dyDescent="0.4">
      <c r="A3" s="15">
        <v>20</v>
      </c>
      <c r="C3" s="38" t="s">
        <v>11</v>
      </c>
      <c r="D3" s="38" t="s">
        <v>11</v>
      </c>
      <c r="E3" s="38">
        <v>2600</v>
      </c>
      <c r="F3" s="38">
        <v>5200</v>
      </c>
    </row>
    <row r="4" spans="1:13" x14ac:dyDescent="0.4">
      <c r="A4" s="15">
        <v>25</v>
      </c>
      <c r="C4" s="38" t="s">
        <v>11</v>
      </c>
      <c r="D4" s="38">
        <v>1600</v>
      </c>
      <c r="E4" s="38">
        <v>3200</v>
      </c>
      <c r="F4" s="38">
        <v>6400</v>
      </c>
    </row>
    <row r="5" spans="1:13" x14ac:dyDescent="0.4">
      <c r="A5" s="15">
        <v>30</v>
      </c>
      <c r="C5" s="38">
        <v>1000</v>
      </c>
      <c r="D5" s="38">
        <v>2000</v>
      </c>
      <c r="E5" s="38">
        <v>3900</v>
      </c>
      <c r="F5" s="38">
        <v>8000</v>
      </c>
    </row>
    <row r="6" spans="1:13" x14ac:dyDescent="0.4">
      <c r="A6" s="15">
        <v>40</v>
      </c>
      <c r="C6" s="38">
        <v>1300</v>
      </c>
      <c r="D6" s="38">
        <v>2600</v>
      </c>
      <c r="E6" s="38">
        <v>5200</v>
      </c>
      <c r="F6" s="38">
        <v>8000</v>
      </c>
    </row>
    <row r="7" spans="1:13" x14ac:dyDescent="0.4">
      <c r="A7" s="15">
        <v>50</v>
      </c>
      <c r="C7" s="38">
        <v>1600</v>
      </c>
      <c r="D7" s="38">
        <v>3200</v>
      </c>
      <c r="E7" s="38">
        <v>6400</v>
      </c>
      <c r="F7" s="38">
        <v>8000</v>
      </c>
    </row>
    <row r="8" spans="1:13" x14ac:dyDescent="0.4">
      <c r="A8" s="15">
        <v>60</v>
      </c>
      <c r="C8" s="38">
        <v>2000</v>
      </c>
      <c r="D8" s="38">
        <v>3900</v>
      </c>
      <c r="E8" s="38">
        <v>8000</v>
      </c>
      <c r="F8" s="38">
        <v>8000</v>
      </c>
    </row>
    <row r="9" spans="1:13" x14ac:dyDescent="0.4">
      <c r="A9" s="15">
        <v>70</v>
      </c>
      <c r="C9" s="38">
        <v>2300</v>
      </c>
      <c r="D9" s="38">
        <v>4500</v>
      </c>
      <c r="E9" s="38">
        <v>8000</v>
      </c>
      <c r="F9" s="38">
        <v>8000</v>
      </c>
    </row>
    <row r="10" spans="1:13" x14ac:dyDescent="0.4">
      <c r="A10" s="15">
        <v>80</v>
      </c>
      <c r="C10" s="38">
        <v>2600</v>
      </c>
      <c r="D10" s="38">
        <v>5200</v>
      </c>
      <c r="E10" s="38">
        <v>8000</v>
      </c>
      <c r="F10" s="38">
        <v>8000</v>
      </c>
    </row>
    <row r="11" spans="1:13" x14ac:dyDescent="0.4">
      <c r="A11" s="15">
        <v>90</v>
      </c>
      <c r="C11" s="38">
        <v>2900</v>
      </c>
      <c r="D11" s="38">
        <v>5800</v>
      </c>
      <c r="E11" s="38">
        <v>8000</v>
      </c>
      <c r="F11" s="38">
        <v>8000</v>
      </c>
    </row>
    <row r="12" spans="1:13" x14ac:dyDescent="0.4">
      <c r="A12" s="15">
        <v>100</v>
      </c>
      <c r="C12" s="38">
        <v>3200</v>
      </c>
      <c r="D12" s="38">
        <v>6400</v>
      </c>
      <c r="E12" s="38">
        <v>8000</v>
      </c>
      <c r="F12" s="38">
        <v>8000</v>
      </c>
    </row>
    <row r="13" spans="1:13" x14ac:dyDescent="0.4">
      <c r="A13" s="15">
        <v>110</v>
      </c>
      <c r="C13" s="38" t="s">
        <v>11</v>
      </c>
      <c r="D13" s="38">
        <v>7100</v>
      </c>
      <c r="E13" s="38">
        <v>8000</v>
      </c>
      <c r="F13" s="38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8000</v>
      </c>
      <c r="H2" s="38">
        <v>12000</v>
      </c>
      <c r="I2" s="38">
        <v>16000</v>
      </c>
      <c r="J2" s="38">
        <v>24000</v>
      </c>
      <c r="K2" s="38">
        <v>32000</v>
      </c>
      <c r="L2" s="38">
        <v>64000</v>
      </c>
      <c r="M2" s="38">
        <v>96000</v>
      </c>
    </row>
    <row r="3" spans="1:13" x14ac:dyDescent="0.4">
      <c r="A3" s="15">
        <v>20</v>
      </c>
      <c r="C3" s="38" t="s">
        <v>11</v>
      </c>
      <c r="D3" s="38">
        <v>1500</v>
      </c>
      <c r="E3" s="38">
        <v>2800</v>
      </c>
      <c r="F3" s="38">
        <v>5300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3200</v>
      </c>
      <c r="F4" s="38">
        <v>6400</v>
      </c>
    </row>
    <row r="5" spans="1:13" x14ac:dyDescent="0.4">
      <c r="A5" s="15">
        <v>30</v>
      </c>
      <c r="C5" s="38">
        <v>1200</v>
      </c>
      <c r="D5" s="38">
        <v>2100</v>
      </c>
      <c r="E5" s="38">
        <v>4000</v>
      </c>
      <c r="F5" s="38">
        <v>8000</v>
      </c>
    </row>
    <row r="6" spans="1:13" x14ac:dyDescent="0.4">
      <c r="A6" s="15">
        <v>40</v>
      </c>
      <c r="C6" s="38">
        <v>1500</v>
      </c>
      <c r="D6" s="38">
        <v>2800</v>
      </c>
      <c r="E6" s="38">
        <v>5300</v>
      </c>
      <c r="F6" s="38">
        <v>8000</v>
      </c>
    </row>
    <row r="7" spans="1:13" x14ac:dyDescent="0.4">
      <c r="A7" s="15">
        <v>50</v>
      </c>
      <c r="C7" s="38">
        <v>1600</v>
      </c>
      <c r="D7" s="38">
        <v>3200</v>
      </c>
      <c r="E7" s="38">
        <v>6400</v>
      </c>
      <c r="F7" s="38">
        <v>8000</v>
      </c>
    </row>
    <row r="8" spans="1:13" x14ac:dyDescent="0.4">
      <c r="A8" s="15">
        <v>60</v>
      </c>
      <c r="C8" s="38">
        <v>2100</v>
      </c>
      <c r="D8" s="38">
        <v>4000</v>
      </c>
      <c r="E8" s="38">
        <v>8000</v>
      </c>
      <c r="F8" s="38">
        <v>8000</v>
      </c>
    </row>
    <row r="9" spans="1:13" x14ac:dyDescent="0.4">
      <c r="A9" s="15">
        <v>70</v>
      </c>
      <c r="C9" s="38">
        <v>2400</v>
      </c>
      <c r="D9" s="38">
        <v>4700</v>
      </c>
      <c r="E9" s="38">
        <v>8000</v>
      </c>
      <c r="F9" s="38">
        <v>8000</v>
      </c>
    </row>
    <row r="10" spans="1:13" x14ac:dyDescent="0.4">
      <c r="A10" s="15">
        <v>80</v>
      </c>
      <c r="C10" s="38">
        <v>2800</v>
      </c>
      <c r="D10" s="38">
        <v>5300</v>
      </c>
      <c r="E10" s="38">
        <v>8000</v>
      </c>
      <c r="F10" s="38">
        <v>8000</v>
      </c>
    </row>
    <row r="11" spans="1:13" x14ac:dyDescent="0.4">
      <c r="A11" s="15">
        <v>90</v>
      </c>
      <c r="C11" s="38">
        <v>3100</v>
      </c>
      <c r="D11" s="38">
        <v>6000</v>
      </c>
      <c r="E11" s="38">
        <v>8000</v>
      </c>
      <c r="F11" s="38">
        <v>8000</v>
      </c>
    </row>
    <row r="12" spans="1:13" x14ac:dyDescent="0.4">
      <c r="A12" s="15">
        <v>100</v>
      </c>
      <c r="C12" s="38">
        <v>3200</v>
      </c>
      <c r="D12" s="38">
        <v>6400</v>
      </c>
      <c r="E12" s="38">
        <v>8000</v>
      </c>
      <c r="F12" s="38">
        <v>8000</v>
      </c>
    </row>
    <row r="13" spans="1:13" x14ac:dyDescent="0.4">
      <c r="A13" s="15">
        <v>110</v>
      </c>
      <c r="C13" s="38" t="s">
        <v>11</v>
      </c>
      <c r="D13" s="38">
        <v>7200</v>
      </c>
      <c r="E13" s="38">
        <v>8000</v>
      </c>
      <c r="F13" s="38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-3000</v>
      </c>
      <c r="H2" s="38">
        <v>-4500</v>
      </c>
      <c r="I2" s="38">
        <v>-6000</v>
      </c>
      <c r="J2" s="38">
        <v>-9000</v>
      </c>
      <c r="K2" s="38">
        <v>-12000</v>
      </c>
      <c r="L2" s="38">
        <v>-24000</v>
      </c>
      <c r="M2" s="38">
        <v>-36000</v>
      </c>
    </row>
    <row r="3" spans="1:13" x14ac:dyDescent="0.4">
      <c r="A3" s="15">
        <v>20</v>
      </c>
      <c r="C3" s="38" t="s">
        <v>11</v>
      </c>
      <c r="D3" s="38">
        <v>-600</v>
      </c>
      <c r="E3" s="38">
        <v>-1100</v>
      </c>
      <c r="F3" s="38">
        <v>-2000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-1200</v>
      </c>
      <c r="F4" s="38">
        <v>-2400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-500</v>
      </c>
      <c r="D5" s="38">
        <v>-800</v>
      </c>
      <c r="E5" s="38">
        <v>-1500</v>
      </c>
      <c r="F5" s="38">
        <v>-3000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-600</v>
      </c>
      <c r="D6" s="38">
        <v>-1100</v>
      </c>
      <c r="E6" s="38">
        <v>-2000</v>
      </c>
      <c r="F6" s="38">
        <v>-3000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-600</v>
      </c>
      <c r="D7" s="38">
        <v>-1200</v>
      </c>
      <c r="E7" s="38">
        <v>-2400</v>
      </c>
      <c r="F7" s="38">
        <v>-3000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-800</v>
      </c>
      <c r="D8" s="38">
        <v>-1500</v>
      </c>
      <c r="E8" s="38">
        <v>-3000</v>
      </c>
      <c r="F8" s="38">
        <v>-3000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-900</v>
      </c>
      <c r="D9" s="38">
        <v>-1800</v>
      </c>
      <c r="E9" s="38">
        <v>-3000</v>
      </c>
      <c r="F9" s="38">
        <v>-3000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-1100</v>
      </c>
      <c r="D10" s="38">
        <v>-2000</v>
      </c>
      <c r="E10" s="38">
        <v>-3000</v>
      </c>
      <c r="F10" s="38">
        <v>-3000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-1200</v>
      </c>
      <c r="D11" s="38">
        <v>-2300</v>
      </c>
      <c r="E11" s="38">
        <v>-3000</v>
      </c>
      <c r="F11" s="38">
        <v>-3000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-1200</v>
      </c>
      <c r="D12" s="38">
        <v>-2400</v>
      </c>
      <c r="E12" s="38">
        <v>-3000</v>
      </c>
      <c r="F12" s="38">
        <v>-3000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-2700</v>
      </c>
      <c r="E13" s="38">
        <v>-3000</v>
      </c>
      <c r="F13" s="38">
        <v>-3000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-5000</v>
      </c>
      <c r="H2" s="38">
        <v>-7500</v>
      </c>
      <c r="I2" s="38">
        <v>-10000</v>
      </c>
      <c r="J2" s="38">
        <v>-15000</v>
      </c>
      <c r="K2" s="38">
        <v>-20000</v>
      </c>
      <c r="L2" s="38">
        <v>-40000</v>
      </c>
      <c r="M2" s="38">
        <v>-60000</v>
      </c>
    </row>
    <row r="3" spans="1:13" x14ac:dyDescent="0.4">
      <c r="A3" s="15">
        <v>20</v>
      </c>
      <c r="C3" s="38" t="s">
        <v>11</v>
      </c>
      <c r="D3" s="38">
        <v>-900</v>
      </c>
      <c r="E3" s="38">
        <v>-1700</v>
      </c>
      <c r="F3" s="38">
        <v>-3300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-2000</v>
      </c>
      <c r="F4" s="38">
        <v>-4000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-700</v>
      </c>
      <c r="D5" s="38">
        <v>-1300</v>
      </c>
      <c r="E5" s="38">
        <v>-2500</v>
      </c>
      <c r="F5" s="38">
        <v>-5000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-900</v>
      </c>
      <c r="D6" s="38">
        <v>-1700</v>
      </c>
      <c r="E6" s="38">
        <v>-3300</v>
      </c>
      <c r="F6" s="38">
        <v>-5000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-1000</v>
      </c>
      <c r="D7" s="38">
        <v>-2000</v>
      </c>
      <c r="E7" s="38">
        <v>-4000</v>
      </c>
      <c r="F7" s="38">
        <v>-5000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-1300</v>
      </c>
      <c r="D8" s="38">
        <v>-2500</v>
      </c>
      <c r="E8" s="38">
        <v>-5000</v>
      </c>
      <c r="F8" s="38">
        <v>-5000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-1500</v>
      </c>
      <c r="D9" s="38">
        <v>-2900</v>
      </c>
      <c r="E9" s="38">
        <v>-5000</v>
      </c>
      <c r="F9" s="38">
        <v>-5000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-1700</v>
      </c>
      <c r="D10" s="38">
        <v>-3300</v>
      </c>
      <c r="E10" s="38">
        <v>-5000</v>
      </c>
      <c r="F10" s="38">
        <v>-5000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-1900</v>
      </c>
      <c r="D11" s="38">
        <v>-3700</v>
      </c>
      <c r="E11" s="38">
        <v>-5000</v>
      </c>
      <c r="F11" s="38">
        <v>-5000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-2000</v>
      </c>
      <c r="D12" s="38">
        <v>-4000</v>
      </c>
      <c r="E12" s="38">
        <v>-5000</v>
      </c>
      <c r="F12" s="38">
        <v>-5000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-4500</v>
      </c>
      <c r="E13" s="38">
        <v>-5000</v>
      </c>
      <c r="F13" s="38">
        <v>-5000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13</vt:i4>
      </vt:variant>
    </vt:vector>
  </HeadingPairs>
  <TitlesOfParts>
    <vt:vector size="13" baseType="lpstr">
      <vt:lpstr>Sheet1</vt:lpstr>
      <vt:lpstr>Sheet2</vt:lpstr>
      <vt:lpstr>Sheet3</vt:lpstr>
      <vt:lpstr>Sheet4</vt:lpstr>
      <vt:lpstr>Sheet5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2019-01-17T16:05:14Z</dcterms:modified>
</cp:coreProperties>
</file>