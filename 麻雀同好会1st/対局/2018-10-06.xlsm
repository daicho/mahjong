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7C532C0A-AD26-4BB0-8DC0-92FF1E5D493E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J5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5" i="1" l="1"/>
  <c r="A6" i="1"/>
  <c r="A8" i="1"/>
  <c r="B9" i="1"/>
  <c r="A9" i="1" s="1"/>
  <c r="O4" i="1"/>
  <c r="O9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5" i="1"/>
  <c r="O6" i="1" s="1"/>
  <c r="O7" i="1" s="1"/>
  <c r="O8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6" i="1"/>
  <c r="J7" i="1" s="1"/>
  <c r="J8" i="1" s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<sst xmlns="http://schemas.openxmlformats.org/spreadsheetml/2006/main" count="84" uniqueCount="29">
  <si>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</si>
  <si>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</si>
  <si>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</si>
  <si>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</si>
  <si>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</si>
  <si>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</si>
  <si>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</si>
  <si>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</si>
  <si>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</si>
  <si>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</si>
  <si>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</si>
  <si>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</si>
  <si>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</si>
  <si>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</si>
  <si>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</si>
  <si>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</si>
  <si>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</si>
  <si>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</si>
  <si>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</si>
  <si>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</si>
  <si>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</si>
  <si>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</si>
  <si>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</si>
  <si>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</si>
  <si>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</si>
  <si>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</t>
  </si>
  <si>
    <t>ロン</t>
  </si>
  <si>
    <t>放銃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</si>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</sst>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3" t="s">
        <v>0</v>
      </c>
      <c r="B1" s="35" t="s">
        <v>2</v>
      </c>
      <c r="C1" s="35" t="s">
        <v>1</v>
      </c>
      <c r="D1" s="35" t="s">
        <v>6</v>
      </c>
      <c r="E1" s="37" t="s">
        <v>3</v>
      </c>
      <c r="F1" s="29" t="s">
        <v>20</v>
      </c>
      <c r="G1" s="30"/>
      <c r="H1" s="30"/>
      <c r="I1" s="31"/>
      <c r="J1" s="32"/>
      <c r="K1" s="29" t="s">
        <v>22</v>
      </c>
      <c r="L1" s="30"/>
      <c r="M1" s="30"/>
      <c r="N1" s="31"/>
      <c r="O1" s="32"/>
      <c r="P1" s="29" t="s">
        <v>24</v>
      </c>
      <c r="Q1" s="30"/>
      <c r="R1" s="30"/>
      <c r="S1" s="31"/>
      <c r="T1" s="32"/>
      <c r="U1" s="29" t="s">
        <v>8</v>
      </c>
      <c r="V1" s="30"/>
      <c r="W1" s="32"/>
    </row>
    <row r="2" spans="1:23" x14ac:dyDescent="0.4">
      <c r="A2" s="34"/>
      <c r="B2" s="36"/>
      <c r="C2" s="36"/>
      <c r="D2" s="36"/>
      <c r="E2" s="38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9">
        <f t="shared" ref="U3:U30" si="0">IF($J3="","",ROUND(($J3-$J$3)/1000,1))</f>
        <v>0</v>
      </c>
      <c r="V3" s="40">
        <f t="shared" ref="V3:V30" si="1">IF($O3="","",ROUND(($O3-$O$3)/1000,1))</f>
        <v>0</v>
      </c>
      <c r="W3" s="41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21</v>
      </c>
      <c r="F4" s="14" t="s">
        <v>25</v>
      </c>
      <c r="G4" s="15">
        <v>2100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37100</v>
      </c>
      <c r="K4" s="14" t="s">
        <v>28</v>
      </c>
      <c r="L4" s="15">
        <v>-1300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33700</v>
      </c>
      <c r="P4" s="14" t="s">
        <v>28</v>
      </c>
      <c r="Q4" s="15">
        <v>-800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34200</v>
      </c>
      <c r="U4" s="42">
        <f t="shared" si="0"/>
        <v>2.1</v>
      </c>
      <c r="V4" s="43">
        <f t="shared" si="1"/>
        <v>-1.3</v>
      </c>
      <c r="W4" s="44">
        <f t="shared" si="2"/>
        <v>-0.8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23</v>
      </c>
      <c r="F5" s="14"/>
      <c r="G5" s="15"/>
      <c r="H5" s="15">
        <v>-1000</v>
      </c>
      <c r="I5" s="16" t="str">
        <f>IF(OR(F5="ロン",F5="ツモ"),$C5*1000,IF(F5="放銃",$C5*-1000,IF(F5="ツモ支払",$C5*-500,"")))</f>
        <v/>
      </c>
      <c r="J5" s="17">
        <f t="shared" si="3"/>
        <v>36100</v>
      </c>
      <c r="K5" s="14" t="s">
        <v>27</v>
      </c>
      <c r="L5" s="15">
        <v>-24000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9700</v>
      </c>
      <c r="P5" s="14" t="s">
        <v>26</v>
      </c>
      <c r="Q5" s="15">
        <v>24000</v>
      </c>
      <c r="R5" s="15">
        <v>1000</v>
      </c>
      <c r="S5" s="16">
        <f t="shared" ref="S5:S30" si="7">IF(OR(P5="ロン",P5="ツモ"),$C5*1000,IF(P5="放銃",$C5*-1000,IF(P5="ツモ支払",$C5*-500,"")))</f>
        <v>0</v>
      </c>
      <c r="T5" s="17">
        <f t="shared" si="5"/>
        <v>59200</v>
      </c>
      <c r="U5" s="42">
        <f t="shared" si="0"/>
        <v>1.1000000000000001</v>
      </c>
      <c r="V5" s="43">
        <f t="shared" si="1"/>
        <v>-25.3</v>
      </c>
      <c r="W5" s="44">
        <f t="shared" si="2"/>
        <v>24.2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1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23</v>
      </c>
      <c r="F6" s="14" t="s">
        <v>26</v>
      </c>
      <c r="G6" s="15">
        <v>8000</v>
      </c>
      <c r="H6" s="15">
        <v>1000</v>
      </c>
      <c r="I6" s="16">
        <f t="shared" ref="I6:I30" si="12">IF(OR(F6="ロン",F6="ツモ"),$C6*1000,IF(F6="放銃",$C6*-1000,IF(F6="ツモ支払",$C6*-500,"")))</f>
        <v>1000</v>
      </c>
      <c r="J6" s="17">
        <f t="shared" si="3"/>
        <v>46100</v>
      </c>
      <c r="K6" s="14" t="s">
        <v>27</v>
      </c>
      <c r="L6" s="15">
        <v>-8000</v>
      </c>
      <c r="M6" s="15"/>
      <c r="N6" s="16">
        <f t="shared" si="6"/>
        <v>-1000</v>
      </c>
      <c r="O6" s="17">
        <f t="shared" si="4"/>
        <v>700</v>
      </c>
      <c r="P6" s="14"/>
      <c r="Q6" s="15"/>
      <c r="R6" s="15">
        <v>-1000</v>
      </c>
      <c r="S6" s="16" t="str">
        <f t="shared" si="7"/>
        <v/>
      </c>
      <c r="T6" s="17">
        <f t="shared" si="5"/>
        <v>58200</v>
      </c>
      <c r="U6" s="42">
        <f t="shared" si="0"/>
        <v>11.1</v>
      </c>
      <c r="V6" s="43">
        <f t="shared" si="1"/>
        <v>-34.299999999999997</v>
      </c>
      <c r="W6" s="44">
        <f t="shared" si="2"/>
        <v>23.2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27</v>
      </c>
      <c r="G7" s="15">
        <v>-8000</v>
      </c>
      <c r="H7" s="15"/>
      <c r="I7" s="16">
        <f t="shared" si="12"/>
        <v>0</v>
      </c>
      <c r="J7" s="17">
        <f t="shared" si="3"/>
        <v>38100</v>
      </c>
      <c r="K7" s="14"/>
      <c r="L7" s="15"/>
      <c r="M7" s="15"/>
      <c r="N7" s="16" t="str">
        <f t="shared" si="6"/>
        <v/>
      </c>
      <c r="O7" s="17">
        <f t="shared" si="4"/>
        <v>700</v>
      </c>
      <c r="P7" s="14" t="s">
        <v>26</v>
      </c>
      <c r="Q7" s="15">
        <v>8000</v>
      </c>
      <c r="R7" s="15"/>
      <c r="S7" s="16">
        <f t="shared" si="7"/>
        <v>0</v>
      </c>
      <c r="T7" s="17">
        <f t="shared" si="5"/>
        <v>66200</v>
      </c>
      <c r="U7" s="42">
        <f t="shared" si="0"/>
        <v>3.1</v>
      </c>
      <c r="V7" s="43">
        <f t="shared" si="1"/>
        <v>-34.299999999999997</v>
      </c>
      <c r="W7" s="44">
        <f t="shared" si="2"/>
        <v>31.2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0</v>
      </c>
      <c r="D8" s="25">
        <f t="shared" si="11"/>
        <v>0</v>
      </c>
      <c r="E8" s="6" t="s">
        <v>21</v>
      </c>
      <c r="F8" s="14" t="s">
        <v>25</v>
      </c>
      <c r="G8" s="15">
        <v>12000</v>
      </c>
      <c r="H8" s="15"/>
      <c r="I8" s="16">
        <f t="shared" si="12"/>
        <v>0</v>
      </c>
      <c r="J8" s="17">
        <f t="shared" si="3"/>
        <v>50100</v>
      </c>
      <c r="K8" s="14" t="s">
        <v>28</v>
      </c>
      <c r="L8" s="15">
        <v>-7500</v>
      </c>
      <c r="M8" s="15"/>
      <c r="N8" s="16">
        <f t="shared" si="6"/>
        <v>0</v>
      </c>
      <c r="O8" s="17">
        <f t="shared" si="4"/>
        <v>-6800</v>
      </c>
      <c r="P8" s="14" t="s">
        <v>28</v>
      </c>
      <c r="Q8" s="15">
        <v>-4500</v>
      </c>
      <c r="R8" s="15"/>
      <c r="S8" s="16">
        <f t="shared" si="7"/>
        <v>0</v>
      </c>
      <c r="T8" s="17">
        <f t="shared" si="5"/>
        <v>61700</v>
      </c>
      <c r="U8" s="42">
        <f t="shared" si="0"/>
        <v>15.1</v>
      </c>
      <c r="V8" s="43">
        <f t="shared" si="1"/>
        <v>-41.8</v>
      </c>
      <c r="W8" s="44">
        <f t="shared" si="2"/>
        <v>26.7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2" t="str">
        <f t="shared" si="0"/>
        <v/>
      </c>
      <c r="V9" s="43" t="str">
        <f t="shared" si="1"/>
        <v/>
      </c>
      <c r="W9" s="44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2" t="str">
        <f t="shared" si="0"/>
        <v/>
      </c>
      <c r="V10" s="43" t="str">
        <f t="shared" si="1"/>
        <v/>
      </c>
      <c r="W10" s="44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2" t="str">
        <f t="shared" si="0"/>
        <v/>
      </c>
      <c r="V11" s="43" t="str">
        <f t="shared" si="1"/>
        <v/>
      </c>
      <c r="W11" s="44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2" t="str">
        <f t="shared" si="0"/>
        <v/>
      </c>
      <c r="V12" s="43" t="str">
        <f t="shared" si="1"/>
        <v/>
      </c>
      <c r="W12" s="44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2" t="str">
        <f t="shared" si="0"/>
        <v/>
      </c>
      <c r="V13" s="43" t="str">
        <f t="shared" si="1"/>
        <v/>
      </c>
      <c r="W13" s="44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2" t="str">
        <f t="shared" si="0"/>
        <v/>
      </c>
      <c r="V14" s="43" t="str">
        <f t="shared" si="1"/>
        <v/>
      </c>
      <c r="W14" s="44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2" t="str">
        <f t="shared" si="0"/>
        <v/>
      </c>
      <c r="V15" s="43" t="str">
        <f t="shared" si="1"/>
        <v/>
      </c>
      <c r="W15" s="44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2" t="str">
        <f t="shared" si="0"/>
        <v/>
      </c>
      <c r="V16" s="43" t="str">
        <f t="shared" si="1"/>
        <v/>
      </c>
      <c r="W16" s="44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2" t="str">
        <f t="shared" si="0"/>
        <v/>
      </c>
      <c r="V17" s="43" t="str">
        <f t="shared" si="1"/>
        <v/>
      </c>
      <c r="W17" s="44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2" t="str">
        <f t="shared" si="0"/>
        <v/>
      </c>
      <c r="V18" s="43" t="str">
        <f t="shared" si="1"/>
        <v/>
      </c>
      <c r="W18" s="44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2" t="str">
        <f t="shared" si="0"/>
        <v/>
      </c>
      <c r="V19" s="43" t="str">
        <f t="shared" si="1"/>
        <v/>
      </c>
      <c r="W19" s="44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2" t="str">
        <f t="shared" si="0"/>
        <v/>
      </c>
      <c r="V20" s="43" t="str">
        <f t="shared" si="1"/>
        <v/>
      </c>
      <c r="W20" s="44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2" t="str">
        <f t="shared" si="0"/>
        <v/>
      </c>
      <c r="V21" s="43" t="str">
        <f t="shared" si="1"/>
        <v/>
      </c>
      <c r="W21" s="44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2" t="str">
        <f t="shared" si="0"/>
        <v/>
      </c>
      <c r="V22" s="43" t="str">
        <f t="shared" si="1"/>
        <v/>
      </c>
      <c r="W22" s="44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2" t="str">
        <f t="shared" si="0"/>
        <v/>
      </c>
      <c r="V23" s="43" t="str">
        <f t="shared" si="1"/>
        <v/>
      </c>
      <c r="W23" s="44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2" t="str">
        <f t="shared" si="0"/>
        <v/>
      </c>
      <c r="V24" s="43" t="str">
        <f t="shared" si="1"/>
        <v/>
      </c>
      <c r="W24" s="44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2" t="str">
        <f t="shared" si="0"/>
        <v/>
      </c>
      <c r="V25" s="43" t="str">
        <f t="shared" si="1"/>
        <v/>
      </c>
      <c r="W25" s="44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2" t="str">
        <f t="shared" si="0"/>
        <v/>
      </c>
      <c r="V26" s="43" t="str">
        <f t="shared" si="1"/>
        <v/>
      </c>
      <c r="W26" s="44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2" t="str">
        <f t="shared" si="0"/>
        <v/>
      </c>
      <c r="V27" s="43" t="str">
        <f t="shared" si="1"/>
        <v/>
      </c>
      <c r="W27" s="44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2" t="str">
        <f t="shared" si="0"/>
        <v/>
      </c>
      <c r="V28" s="43" t="str">
        <f t="shared" si="1"/>
        <v/>
      </c>
      <c r="W28" s="44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2" t="str">
        <f t="shared" si="0"/>
        <v/>
      </c>
      <c r="V29" s="43" t="str">
        <f t="shared" si="1"/>
        <v/>
      </c>
      <c r="W29" s="44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5" t="str">
        <f t="shared" si="0"/>
        <v/>
      </c>
      <c r="V30" s="46" t="str">
        <f t="shared" si="1"/>
        <v/>
      </c>
      <c r="W30" s="4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2018-12-20T05:39:25Z</dcterms:modified>
</cp:coreProperties>
</file>