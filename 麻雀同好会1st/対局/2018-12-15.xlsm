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B24E8178-7F96-4FBB-88B6-798F24BBB76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3" r:id="rId2"/>
    <sheet name="Sheet3" sheetId="24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4" l="1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V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U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W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W29" i="23"/>
  <c r="W30" i="23"/>
  <c r="V3" i="23"/>
  <c r="V4" i="23"/>
  <c r="V5" i="23"/>
  <c r="V6" i="23"/>
  <c r="V7" i="23"/>
  <c r="V8" i="23"/>
  <c r="V9" i="23"/>
  <c r="V10" i="23"/>
  <c r="V11" i="23"/>
  <c r="V12" i="23"/>
  <c r="V13" i="23"/>
  <c r="V14" i="23"/>
  <c r="V15" i="23"/>
  <c r="V16" i="23"/>
  <c r="V17" i="23"/>
  <c r="V18" i="23"/>
  <c r="V19" i="23"/>
  <c r="V20" i="23"/>
  <c r="V21" i="23"/>
  <c r="V22" i="23"/>
  <c r="V23" i="23"/>
  <c r="V24" i="23"/>
  <c r="V25" i="23"/>
  <c r="V26" i="23"/>
  <c r="V27" i="23"/>
  <c r="V28" i="23"/>
  <c r="V29" i="23"/>
  <c r="V30" i="23"/>
  <c r="U3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V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T30" i="24" l="1"/>
  <c r="O30" i="24"/>
  <c r="J30" i="24"/>
  <c r="D30" i="24"/>
  <c r="C30" i="24"/>
  <c r="S30" i="24" s="1"/>
  <c r="B30" i="24"/>
  <c r="A30" i="24"/>
  <c r="T29" i="24"/>
  <c r="O29" i="24"/>
  <c r="J29" i="24"/>
  <c r="D29" i="24"/>
  <c r="C29" i="24"/>
  <c r="S29" i="24" s="1"/>
  <c r="B29" i="24"/>
  <c r="A29" i="24"/>
  <c r="T28" i="24"/>
  <c r="O28" i="24"/>
  <c r="J28" i="24"/>
  <c r="D28" i="24"/>
  <c r="C28" i="24"/>
  <c r="N28" i="24" s="1"/>
  <c r="B28" i="24"/>
  <c r="A28" i="24"/>
  <c r="T27" i="24"/>
  <c r="O27" i="24"/>
  <c r="J27" i="24"/>
  <c r="D27" i="24"/>
  <c r="C27" i="24"/>
  <c r="N27" i="24" s="1"/>
  <c r="B27" i="24"/>
  <c r="A27" i="24"/>
  <c r="T26" i="24"/>
  <c r="O26" i="24"/>
  <c r="J26" i="24"/>
  <c r="D26" i="24"/>
  <c r="C26" i="24"/>
  <c r="S26" i="24" s="1"/>
  <c r="B26" i="24"/>
  <c r="A26" i="24"/>
  <c r="T25" i="24"/>
  <c r="O25" i="24"/>
  <c r="J25" i="24"/>
  <c r="D25" i="24"/>
  <c r="C25" i="24"/>
  <c r="N25" i="24" s="1"/>
  <c r="B25" i="24"/>
  <c r="A25" i="24"/>
  <c r="T24" i="24"/>
  <c r="O24" i="24"/>
  <c r="J24" i="24"/>
  <c r="D24" i="24"/>
  <c r="C24" i="24"/>
  <c r="N24" i="24" s="1"/>
  <c r="B24" i="24"/>
  <c r="A24" i="24"/>
  <c r="T23" i="24"/>
  <c r="O23" i="24"/>
  <c r="J23" i="24"/>
  <c r="D23" i="24"/>
  <c r="C23" i="24"/>
  <c r="N23" i="24" s="1"/>
  <c r="B23" i="24"/>
  <c r="A23" i="24"/>
  <c r="T22" i="24"/>
  <c r="O22" i="24"/>
  <c r="J22" i="24"/>
  <c r="D22" i="24"/>
  <c r="C22" i="24"/>
  <c r="S22" i="24" s="1"/>
  <c r="B22" i="24"/>
  <c r="A22" i="24"/>
  <c r="T21" i="24"/>
  <c r="O21" i="24"/>
  <c r="J21" i="24"/>
  <c r="D21" i="24"/>
  <c r="C21" i="24"/>
  <c r="S21" i="24" s="1"/>
  <c r="B21" i="24"/>
  <c r="A21" i="24"/>
  <c r="T20" i="24"/>
  <c r="O20" i="24"/>
  <c r="J20" i="24"/>
  <c r="D20" i="24"/>
  <c r="C20" i="24"/>
  <c r="N20" i="24" s="1"/>
  <c r="B20" i="24"/>
  <c r="A20" i="24"/>
  <c r="T19" i="24"/>
  <c r="O19" i="24"/>
  <c r="J19" i="24"/>
  <c r="D19" i="24"/>
  <c r="C19" i="24"/>
  <c r="N19" i="24" s="1"/>
  <c r="B19" i="24"/>
  <c r="A19" i="24"/>
  <c r="T18" i="24"/>
  <c r="O18" i="24"/>
  <c r="J18" i="24"/>
  <c r="D18" i="24"/>
  <c r="C18" i="24"/>
  <c r="S18" i="24" s="1"/>
  <c r="B18" i="24"/>
  <c r="A18" i="24"/>
  <c r="T17" i="24"/>
  <c r="O17" i="24"/>
  <c r="J17" i="24"/>
  <c r="D17" i="24"/>
  <c r="C17" i="24"/>
  <c r="S17" i="24" s="1"/>
  <c r="B17" i="24"/>
  <c r="A17" i="24"/>
  <c r="T16" i="24"/>
  <c r="O16" i="24"/>
  <c r="J16" i="24"/>
  <c r="D16" i="24"/>
  <c r="C16" i="24"/>
  <c r="N16" i="24" s="1"/>
  <c r="B16" i="24"/>
  <c r="A16" i="24"/>
  <c r="T15" i="24"/>
  <c r="O15" i="24"/>
  <c r="J15" i="24"/>
  <c r="D15" i="24"/>
  <c r="C15" i="24"/>
  <c r="N15" i="24" s="1"/>
  <c r="B15" i="24"/>
  <c r="A15" i="24"/>
  <c r="T14" i="24"/>
  <c r="O14" i="24"/>
  <c r="J14" i="24"/>
  <c r="D14" i="24"/>
  <c r="C14" i="24"/>
  <c r="S14" i="24" s="1"/>
  <c r="B14" i="24"/>
  <c r="A14" i="24"/>
  <c r="T13" i="24"/>
  <c r="O13" i="24"/>
  <c r="J13" i="24"/>
  <c r="D13" i="24"/>
  <c r="C13" i="24"/>
  <c r="S13" i="24" s="1"/>
  <c r="B13" i="24"/>
  <c r="A13" i="24"/>
  <c r="D12" i="24"/>
  <c r="C12" i="24"/>
  <c r="N12" i="24" s="1"/>
  <c r="D11" i="24"/>
  <c r="D10" i="24"/>
  <c r="D9" i="24"/>
  <c r="C9" i="24"/>
  <c r="S9" i="24" s="1"/>
  <c r="D8" i="24"/>
  <c r="C8" i="24"/>
  <c r="N8" i="24" s="1"/>
  <c r="D7" i="24"/>
  <c r="C7" i="24"/>
  <c r="N7" i="24" s="1"/>
  <c r="B6" i="24"/>
  <c r="B7" i="24" s="1"/>
  <c r="D5" i="24"/>
  <c r="D6" i="24" s="1"/>
  <c r="C5" i="24"/>
  <c r="N5" i="24" s="1"/>
  <c r="B5" i="24"/>
  <c r="S4" i="24"/>
  <c r="T4" i="24" s="1"/>
  <c r="N4" i="24"/>
  <c r="O4" i="24" s="1"/>
  <c r="I4" i="24"/>
  <c r="J4" i="24" s="1"/>
  <c r="W2" i="24"/>
  <c r="V2" i="24"/>
  <c r="U2" i="24"/>
  <c r="BO1" i="24"/>
  <c r="AT1" i="24"/>
  <c r="Y1" i="24"/>
  <c r="S7" i="24" l="1"/>
  <c r="I7" i="24"/>
  <c r="S8" i="24"/>
  <c r="O5" i="24"/>
  <c r="I8" i="24"/>
  <c r="I12" i="24"/>
  <c r="S16" i="24"/>
  <c r="I24" i="24"/>
  <c r="S28" i="24"/>
  <c r="I16" i="24"/>
  <c r="S20" i="24"/>
  <c r="S24" i="24"/>
  <c r="S12" i="24"/>
  <c r="I20" i="24"/>
  <c r="I28" i="24"/>
  <c r="I15" i="24"/>
  <c r="I19" i="24"/>
  <c r="I23" i="24"/>
  <c r="I27" i="24"/>
  <c r="S15" i="24"/>
  <c r="S19" i="24"/>
  <c r="S23" i="24"/>
  <c r="S27" i="24"/>
  <c r="B8" i="24"/>
  <c r="N9" i="24"/>
  <c r="N13" i="24"/>
  <c r="N21" i="24"/>
  <c r="C6" i="24"/>
  <c r="N14" i="24"/>
  <c r="N18" i="24"/>
  <c r="N30" i="24"/>
  <c r="N17" i="24"/>
  <c r="N29" i="24"/>
  <c r="C10" i="24"/>
  <c r="N22" i="24"/>
  <c r="A5" i="24"/>
  <c r="A6" i="24" s="1"/>
  <c r="A7" i="24" s="1"/>
  <c r="I5" i="24"/>
  <c r="J5" i="24" s="1"/>
  <c r="S5" i="24"/>
  <c r="T5" i="24" s="1"/>
  <c r="I9" i="24"/>
  <c r="I13" i="24"/>
  <c r="I17" i="24"/>
  <c r="I21" i="24"/>
  <c r="I25" i="24"/>
  <c r="S25" i="24"/>
  <c r="I29" i="24"/>
  <c r="N26" i="24"/>
  <c r="I14" i="24"/>
  <c r="I18" i="24"/>
  <c r="I22" i="24"/>
  <c r="I26" i="24"/>
  <c r="I30" i="24"/>
  <c r="B9" i="24" l="1"/>
  <c r="A9" i="24" s="1"/>
  <c r="S6" i="24"/>
  <c r="T6" i="24" s="1"/>
  <c r="I6" i="24"/>
  <c r="J6" i="24" s="1"/>
  <c r="N6" i="24"/>
  <c r="O6" i="24" s="1"/>
  <c r="S10" i="24"/>
  <c r="I10" i="24"/>
  <c r="C11" i="24"/>
  <c r="N10" i="24"/>
  <c r="A8" i="24"/>
  <c r="T7" i="24" l="1"/>
  <c r="J7" i="24"/>
  <c r="N11" i="24"/>
  <c r="S11" i="24"/>
  <c r="I11" i="24"/>
  <c r="O7" i="24"/>
  <c r="B10" i="24"/>
  <c r="A10" i="24" s="1"/>
  <c r="O8" i="24" l="1"/>
  <c r="B11" i="24"/>
  <c r="A11" i="24" s="1"/>
  <c r="J8" i="24"/>
  <c r="T8" i="24"/>
  <c r="B12" i="24" l="1"/>
  <c r="A12" i="24" s="1"/>
  <c r="T9" i="24"/>
  <c r="O9" i="24"/>
  <c r="J9" i="24"/>
  <c r="J10" i="24" l="1"/>
  <c r="T10" i="24"/>
  <c r="O10" i="24"/>
  <c r="T11" i="24" l="1"/>
  <c r="O11" i="24"/>
  <c r="J11" i="24"/>
  <c r="O12" i="24" l="1"/>
  <c r="T12" i="24"/>
  <c r="J12" i="24"/>
  <c r="T30" i="23" l="1"/>
  <c r="O30" i="23"/>
  <c r="J30" i="23"/>
  <c r="D30" i="23"/>
  <c r="C30" i="23"/>
  <c r="S30" i="23" s="1"/>
  <c r="B30" i="23"/>
  <c r="A30" i="23"/>
  <c r="T29" i="23"/>
  <c r="O29" i="23"/>
  <c r="J29" i="23"/>
  <c r="D29" i="23"/>
  <c r="C29" i="23"/>
  <c r="S29" i="23" s="1"/>
  <c r="B29" i="23"/>
  <c r="A29" i="23"/>
  <c r="T28" i="23"/>
  <c r="O28" i="23"/>
  <c r="J28" i="23"/>
  <c r="D28" i="23"/>
  <c r="C28" i="23"/>
  <c r="N28" i="23" s="1"/>
  <c r="B28" i="23"/>
  <c r="A28" i="23"/>
  <c r="T27" i="23"/>
  <c r="O27" i="23"/>
  <c r="J27" i="23"/>
  <c r="D27" i="23"/>
  <c r="C27" i="23"/>
  <c r="N27" i="23" s="1"/>
  <c r="B27" i="23"/>
  <c r="A27" i="23"/>
  <c r="T26" i="23"/>
  <c r="O26" i="23"/>
  <c r="J26" i="23"/>
  <c r="D26" i="23"/>
  <c r="C26" i="23"/>
  <c r="S26" i="23" s="1"/>
  <c r="B26" i="23"/>
  <c r="A26" i="23"/>
  <c r="T25" i="23"/>
  <c r="O25" i="23"/>
  <c r="J25" i="23"/>
  <c r="D25" i="23"/>
  <c r="C25" i="23"/>
  <c r="S25" i="23" s="1"/>
  <c r="B25" i="23"/>
  <c r="A25" i="23"/>
  <c r="T24" i="23"/>
  <c r="O24" i="23"/>
  <c r="J24" i="23"/>
  <c r="D24" i="23"/>
  <c r="C24" i="23"/>
  <c r="N24" i="23" s="1"/>
  <c r="B24" i="23"/>
  <c r="A24" i="23"/>
  <c r="T23" i="23"/>
  <c r="O23" i="23"/>
  <c r="J23" i="23"/>
  <c r="D23" i="23"/>
  <c r="C23" i="23"/>
  <c r="N23" i="23" s="1"/>
  <c r="B23" i="23"/>
  <c r="A23" i="23"/>
  <c r="T22" i="23"/>
  <c r="O22" i="23"/>
  <c r="J22" i="23"/>
  <c r="D22" i="23"/>
  <c r="C22" i="23"/>
  <c r="S22" i="23" s="1"/>
  <c r="B22" i="23"/>
  <c r="A22" i="23"/>
  <c r="T21" i="23"/>
  <c r="O21" i="23"/>
  <c r="J21" i="23"/>
  <c r="D21" i="23"/>
  <c r="C21" i="23"/>
  <c r="N21" i="23" s="1"/>
  <c r="B21" i="23"/>
  <c r="A21" i="23"/>
  <c r="T20" i="23"/>
  <c r="O20" i="23"/>
  <c r="J20" i="23"/>
  <c r="D20" i="23"/>
  <c r="C20" i="23"/>
  <c r="N20" i="23" s="1"/>
  <c r="B20" i="23"/>
  <c r="A20" i="23"/>
  <c r="T19" i="23"/>
  <c r="O19" i="23"/>
  <c r="J19" i="23"/>
  <c r="D19" i="23"/>
  <c r="C19" i="23"/>
  <c r="N19" i="23" s="1"/>
  <c r="B19" i="23"/>
  <c r="A19" i="23"/>
  <c r="T18" i="23"/>
  <c r="O18" i="23"/>
  <c r="J18" i="23"/>
  <c r="D18" i="23"/>
  <c r="C18" i="23"/>
  <c r="S18" i="23" s="1"/>
  <c r="B18" i="23"/>
  <c r="A18" i="23"/>
  <c r="T17" i="23"/>
  <c r="O17" i="23"/>
  <c r="J17" i="23"/>
  <c r="D17" i="23"/>
  <c r="C17" i="23"/>
  <c r="S17" i="23" s="1"/>
  <c r="B17" i="23"/>
  <c r="A17" i="23"/>
  <c r="T16" i="23"/>
  <c r="O16" i="23"/>
  <c r="J16" i="23"/>
  <c r="D16" i="23"/>
  <c r="C16" i="23"/>
  <c r="N16" i="23" s="1"/>
  <c r="B16" i="23"/>
  <c r="A16" i="23"/>
  <c r="T15" i="23"/>
  <c r="O15" i="23"/>
  <c r="J15" i="23"/>
  <c r="D15" i="23"/>
  <c r="C15" i="23"/>
  <c r="N15" i="23" s="1"/>
  <c r="B15" i="23"/>
  <c r="A15" i="23"/>
  <c r="T14" i="23"/>
  <c r="O14" i="23"/>
  <c r="J14" i="23"/>
  <c r="D14" i="23"/>
  <c r="C14" i="23"/>
  <c r="S14" i="23" s="1"/>
  <c r="B14" i="23"/>
  <c r="A14" i="23"/>
  <c r="T13" i="23"/>
  <c r="O13" i="23"/>
  <c r="J13" i="23"/>
  <c r="D13" i="23"/>
  <c r="C13" i="23"/>
  <c r="S13" i="23" s="1"/>
  <c r="B13" i="23"/>
  <c r="A13" i="23" s="1"/>
  <c r="D12" i="23"/>
  <c r="C12" i="23"/>
  <c r="N12" i="23" s="1"/>
  <c r="O12" i="23" s="1"/>
  <c r="B12" i="23"/>
  <c r="A12" i="23" s="1"/>
  <c r="J11" i="23"/>
  <c r="D11" i="23"/>
  <c r="C11" i="23"/>
  <c r="N11" i="23" s="1"/>
  <c r="O11" i="23" s="1"/>
  <c r="B11" i="23"/>
  <c r="A11" i="23" s="1"/>
  <c r="O10" i="23"/>
  <c r="D10" i="23"/>
  <c r="C10" i="23"/>
  <c r="S10" i="23" s="1"/>
  <c r="T10" i="23" s="1"/>
  <c r="B10" i="23"/>
  <c r="A10" i="23"/>
  <c r="T9" i="23"/>
  <c r="D9" i="23"/>
  <c r="C9" i="23"/>
  <c r="S9" i="23" s="1"/>
  <c r="B9" i="23"/>
  <c r="A9" i="23" s="1"/>
  <c r="D8" i="23"/>
  <c r="C8" i="23"/>
  <c r="N8" i="23" s="1"/>
  <c r="D6" i="23"/>
  <c r="D7" i="23" s="1"/>
  <c r="B6" i="23"/>
  <c r="D5" i="23"/>
  <c r="C5" i="23"/>
  <c r="N5" i="23" s="1"/>
  <c r="B5" i="23"/>
  <c r="S4" i="23"/>
  <c r="T4" i="23" s="1"/>
  <c r="N4" i="23"/>
  <c r="O4" i="23" s="1"/>
  <c r="I4" i="23"/>
  <c r="J4" i="23" s="1"/>
  <c r="W2" i="23"/>
  <c r="V2" i="23"/>
  <c r="U2" i="23"/>
  <c r="BO1" i="23"/>
  <c r="AT1" i="23"/>
  <c r="Y1" i="23"/>
  <c r="I16" i="23" l="1"/>
  <c r="I8" i="23"/>
  <c r="I20" i="23"/>
  <c r="S8" i="23"/>
  <c r="I24" i="23"/>
  <c r="I12" i="23"/>
  <c r="J12" i="23" s="1"/>
  <c r="I28" i="23"/>
  <c r="S15" i="23"/>
  <c r="I11" i="23"/>
  <c r="I19" i="23"/>
  <c r="I23" i="23"/>
  <c r="I27" i="23"/>
  <c r="I15" i="23"/>
  <c r="S12" i="23"/>
  <c r="T12" i="23" s="1"/>
  <c r="S16" i="23"/>
  <c r="S20" i="23"/>
  <c r="S24" i="23"/>
  <c r="S28" i="23"/>
  <c r="S11" i="23"/>
  <c r="T11" i="23" s="1"/>
  <c r="S19" i="23"/>
  <c r="S23" i="23"/>
  <c r="S27" i="23"/>
  <c r="O5" i="23"/>
  <c r="N13" i="23"/>
  <c r="N25" i="23"/>
  <c r="N29" i="23"/>
  <c r="B7" i="23"/>
  <c r="N10" i="23"/>
  <c r="N30" i="23"/>
  <c r="N9" i="23"/>
  <c r="O9" i="23" s="1"/>
  <c r="N17" i="23"/>
  <c r="C6" i="23"/>
  <c r="N14" i="23"/>
  <c r="N22" i="23"/>
  <c r="A5" i="23"/>
  <c r="A6" i="23" s="1"/>
  <c r="I5" i="23"/>
  <c r="J5" i="23" s="1"/>
  <c r="S5" i="23"/>
  <c r="T5" i="23" s="1"/>
  <c r="I9" i="23"/>
  <c r="J9" i="23" s="1"/>
  <c r="I13" i="23"/>
  <c r="I17" i="23"/>
  <c r="I21" i="23"/>
  <c r="S21" i="23"/>
  <c r="I25" i="23"/>
  <c r="I29" i="23"/>
  <c r="N18" i="23"/>
  <c r="N26" i="23"/>
  <c r="I10" i="23"/>
  <c r="J10" i="23" s="1"/>
  <c r="I14" i="23"/>
  <c r="I18" i="23"/>
  <c r="I22" i="23"/>
  <c r="I26" i="23"/>
  <c r="I30" i="23"/>
  <c r="T30" i="20"/>
  <c r="O30" i="20"/>
  <c r="J30" i="20"/>
  <c r="D30" i="20"/>
  <c r="C30" i="20"/>
  <c r="S30" i="20" s="1"/>
  <c r="B30" i="20"/>
  <c r="A30" i="20"/>
  <c r="T29" i="20"/>
  <c r="O29" i="20"/>
  <c r="J29" i="20"/>
  <c r="D29" i="20"/>
  <c r="C29" i="20"/>
  <c r="S29" i="20" s="1"/>
  <c r="B29" i="20"/>
  <c r="A29" i="20"/>
  <c r="T28" i="20"/>
  <c r="O28" i="20"/>
  <c r="J28" i="20"/>
  <c r="D28" i="20"/>
  <c r="C28" i="20"/>
  <c r="N28" i="20" s="1"/>
  <c r="B28" i="20"/>
  <c r="A28" i="20"/>
  <c r="T27" i="20"/>
  <c r="O27" i="20"/>
  <c r="J27" i="20"/>
  <c r="D27" i="20"/>
  <c r="C27" i="20"/>
  <c r="N27" i="20" s="1"/>
  <c r="B27" i="20"/>
  <c r="A27" i="20"/>
  <c r="T26" i="20"/>
  <c r="O26" i="20"/>
  <c r="J26" i="20"/>
  <c r="D26" i="20"/>
  <c r="C26" i="20"/>
  <c r="S26" i="20" s="1"/>
  <c r="B26" i="20"/>
  <c r="A26" i="20"/>
  <c r="T25" i="20"/>
  <c r="O25" i="20"/>
  <c r="J25" i="20"/>
  <c r="D25" i="20"/>
  <c r="C25" i="20"/>
  <c r="S25" i="20" s="1"/>
  <c r="B25" i="20"/>
  <c r="A25" i="20"/>
  <c r="T24" i="20"/>
  <c r="O24" i="20"/>
  <c r="J24" i="20"/>
  <c r="D24" i="20"/>
  <c r="C24" i="20"/>
  <c r="N24" i="20" s="1"/>
  <c r="B24" i="20"/>
  <c r="A24" i="20"/>
  <c r="T23" i="20"/>
  <c r="O23" i="20"/>
  <c r="J23" i="20"/>
  <c r="D23" i="20"/>
  <c r="C23" i="20"/>
  <c r="N23" i="20" s="1"/>
  <c r="B23" i="20"/>
  <c r="A23" i="20"/>
  <c r="T22" i="20"/>
  <c r="O22" i="20"/>
  <c r="J22" i="20"/>
  <c r="D22" i="20"/>
  <c r="C22" i="20"/>
  <c r="S22" i="20" s="1"/>
  <c r="B22" i="20"/>
  <c r="A22" i="20"/>
  <c r="T21" i="20"/>
  <c r="O21" i="20"/>
  <c r="J21" i="20"/>
  <c r="D21" i="20"/>
  <c r="C21" i="20"/>
  <c r="S21" i="20" s="1"/>
  <c r="B21" i="20"/>
  <c r="A21" i="20"/>
  <c r="T20" i="20"/>
  <c r="O20" i="20"/>
  <c r="J20" i="20"/>
  <c r="D20" i="20"/>
  <c r="C20" i="20"/>
  <c r="N20" i="20" s="1"/>
  <c r="B20" i="20"/>
  <c r="A20" i="20"/>
  <c r="T19" i="20"/>
  <c r="O19" i="20"/>
  <c r="J19" i="20"/>
  <c r="D19" i="20"/>
  <c r="C19" i="20"/>
  <c r="N19" i="20" s="1"/>
  <c r="B19" i="20"/>
  <c r="A19" i="20"/>
  <c r="T18" i="20"/>
  <c r="O18" i="20"/>
  <c r="J18" i="20"/>
  <c r="D18" i="20"/>
  <c r="C18" i="20"/>
  <c r="S18" i="20" s="1"/>
  <c r="B18" i="20"/>
  <c r="A18" i="20"/>
  <c r="T17" i="20"/>
  <c r="O17" i="20"/>
  <c r="J17" i="20"/>
  <c r="D17" i="20"/>
  <c r="C17" i="20"/>
  <c r="N17" i="20" s="1"/>
  <c r="B17" i="20"/>
  <c r="A17" i="20"/>
  <c r="T16" i="20"/>
  <c r="O16" i="20"/>
  <c r="J16" i="20"/>
  <c r="D16" i="20"/>
  <c r="C16" i="20"/>
  <c r="N16" i="20" s="1"/>
  <c r="B16" i="20"/>
  <c r="A16" i="20"/>
  <c r="T15" i="20"/>
  <c r="O15" i="20"/>
  <c r="J15" i="20"/>
  <c r="D15" i="20"/>
  <c r="C15" i="20"/>
  <c r="N15" i="20" s="1"/>
  <c r="B15" i="20"/>
  <c r="A15" i="20"/>
  <c r="T14" i="20"/>
  <c r="O14" i="20"/>
  <c r="J14" i="20"/>
  <c r="D14" i="20"/>
  <c r="C14" i="20"/>
  <c r="S14" i="20" s="1"/>
  <c r="B14" i="20"/>
  <c r="A14" i="20"/>
  <c r="T13" i="20"/>
  <c r="O13" i="20"/>
  <c r="J13" i="20"/>
  <c r="D13" i="20"/>
  <c r="C13" i="20"/>
  <c r="S13" i="20" s="1"/>
  <c r="B13" i="20"/>
  <c r="A13" i="20"/>
  <c r="T12" i="20"/>
  <c r="O12" i="20"/>
  <c r="J12" i="20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B6" i="20"/>
  <c r="D5" i="20"/>
  <c r="C5" i="20"/>
  <c r="N5" i="20" s="1"/>
  <c r="B5" i="20"/>
  <c r="A6" i="20" s="1"/>
  <c r="A5" i="20"/>
  <c r="S4" i="20"/>
  <c r="T4" i="20" s="1"/>
  <c r="N4" i="20"/>
  <c r="O4" i="20" s="1"/>
  <c r="I4" i="20"/>
  <c r="J4" i="20" s="1"/>
  <c r="W2" i="20"/>
  <c r="V2" i="20"/>
  <c r="U2" i="20"/>
  <c r="BO1" i="20"/>
  <c r="AT1" i="20"/>
  <c r="Y1" i="20"/>
  <c r="T6" i="23" l="1"/>
  <c r="B8" i="23"/>
  <c r="A8" i="23" s="1"/>
  <c r="S6" i="23"/>
  <c r="I6" i="23"/>
  <c r="J6" i="23" s="1"/>
  <c r="N6" i="23"/>
  <c r="O6" i="23" s="1"/>
  <c r="C7" i="23"/>
  <c r="A7" i="23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N8" i="20"/>
  <c r="C9" i="20"/>
  <c r="I8" i="20"/>
  <c r="S8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N7" i="23" l="1"/>
  <c r="O7" i="23" s="1"/>
  <c r="S7" i="23"/>
  <c r="T7" i="23" s="1"/>
  <c r="I7" i="23"/>
  <c r="J7" i="23" s="1"/>
  <c r="T6" i="20"/>
  <c r="J6" i="20"/>
  <c r="N9" i="20"/>
  <c r="S9" i="20"/>
  <c r="I9" i="20"/>
  <c r="B8" i="20"/>
  <c r="O6" i="20"/>
  <c r="A7" i="20"/>
  <c r="O8" i="23" l="1"/>
  <c r="J8" i="23"/>
  <c r="T8" i="23"/>
  <c r="A8" i="20"/>
  <c r="B9" i="20"/>
  <c r="A9" i="20" s="1"/>
  <c r="J7" i="20"/>
  <c r="O7" i="20"/>
  <c r="T7" i="20"/>
  <c r="J8" i="20" l="1"/>
  <c r="T8" i="20"/>
  <c r="O8" i="20"/>
  <c r="B10" i="20"/>
  <c r="B11" i="20" l="1"/>
  <c r="A11" i="20" s="1"/>
  <c r="A10" i="20"/>
  <c r="T9" i="20"/>
  <c r="O9" i="20"/>
  <c r="J9" i="20"/>
  <c r="O10" i="20" l="1"/>
  <c r="J10" i="20"/>
  <c r="T10" i="20"/>
  <c r="J11" i="20" l="1"/>
  <c r="T11" i="20"/>
  <c r="O11" i="20"/>
</calcChain>
</file>

<file path=xl/sharedStrings.xml><?xml version="1.0" encoding="utf-8"?>
<sst xmlns="http://schemas.openxmlformats.org/spreadsheetml/2006/main" count="752" uniqueCount="156">
  <si>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</si>
  <si>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</si>
  <si>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</si>
  <si>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</si>
  <si>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</si>
  <si>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</si>
  <si>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</si>
  <si>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</si>
  <si>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</si>
  <si>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</si>
  <si>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</si>
  <si>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</si>
  <si>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</si>
  <si>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</si>
  <si>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</si>
  <si>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</si>
  <si>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</si>
  <si>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</si>
  <si>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</si>
  <si>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</si>
  <si>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</si>
  <si>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</si>
  <si>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</si>
  <si>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</si>
  <si>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</si>
  <si>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</si>
  <si>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</si>
  <si>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</si>
  <si>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</si>
  <si>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</si>
  <si>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</si>
  <si>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</si>
  <si>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</si>
  <si>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</si>
  <si>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</si>
  <si>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</si>
  <si>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</si>
  <si>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</si>
  <si>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</si>
  <si>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</si>
  <si>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</si>
  <si>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</si>
  <si>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</si>
  <si>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</si>
  <si>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</si>
  <si>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</si>
  <si>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</si>
  <si>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</si>
  <si>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</si>
  <si>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</si>
  <si>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</si>
  <si>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</si>
  <si>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</si>
  <si>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</si>
  <si>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</si>
  <si>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</si>
  <si>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</si>
  <si>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</si>
  <si>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</si>
  <si>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</si>
  <si>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</si>
  <si>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</si>
  <si>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</si>
  <si>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</si>
  <si>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</si>
  <si>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</si>
  <si>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</si>
  <si>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</si>
  <si>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</si>
  <si>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</si>
  <si>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</si>
  <si>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</si>
  <si>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</si>
  <si>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</si>
  <si>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</si>
  <si>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</si>
  <si>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</si>
  <si>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</si>
  <si>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</si>
  <si>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</si>
  <si>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</si>
  <si>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</si>
  <si>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</si>
  <si>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</si>
  <si>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</si>
  <si>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</si>
  <si>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</si>
  <si>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</si>
  <si>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</si>
  <si>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</si>
  <si>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</si>
  <si>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</si>
  <si>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</si>
  <si>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</si>
  <si>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</si>
  <si>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</si>
  <si>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</si>
  <si>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</si>
  <si>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</si>
  <si>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</si>
  <si>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</si>
  <si>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</si>
  <si>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</si>
  <si>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</si>
  <si>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</si>
  <si>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</si>
  <si>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</si>
  <si>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</si>
  <si>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</si>
  <si>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</si>
  <si>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</si>
  <si>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</si>
  <si>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</si>
  <si>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</si>
  <si>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</si>
  <si>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</si>
  <si>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</si>
  <si>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</si>
  <si>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</si>
  <si>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</si>
  <si>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</si>
  <si>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</si>
  <si>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</si>
  <si>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</si>
  <si>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</si>
  <si>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</si>
  <si>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</si>
  <si>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</si>
  <si>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</si>
  <si>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</si>
  <si>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</si>
  <si>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</si>
  <si>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</si>
  <si>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</si>
  <si>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</si>
  <si>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</si>
  <si>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</si>
  <si>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</si>
  <si>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</si>
  <si>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</si>
  <si>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</si>
  <si>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</si>
  <si>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</si>
  <si>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</si>
  <si>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</si>
  <si>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</si>
  <si>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</si>
  <si>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ただ</t>
    <phoneticPr fontId="1"/>
  </si>
  <si>
    <t>ただ</t>
  </si>
  <si>
    <t>流局</t>
    <phoneticPr fontId="1"/>
  </si>
  <si>
    <t>チョンボ</t>
  </si>
  <si>
    <t>れんたろう</t>
    <phoneticPr fontId="1"/>
  </si>
  <si>
    <t>れんたろう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</si>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</sst>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22</v>
      </c>
      <c r="E1" s="71" t="s">
        <v>3</v>
      </c>
      <c r="F1" s="62" t="s">
        <v>139</v>
      </c>
      <c r="G1" s="63"/>
      <c r="H1" s="63"/>
      <c r="I1" s="64"/>
      <c r="J1" s="65"/>
      <c r="K1" s="62" t="s">
        <v>147</v>
      </c>
      <c r="L1" s="63"/>
      <c r="M1" s="63"/>
      <c r="N1" s="64"/>
      <c r="O1" s="65"/>
      <c r="P1" s="62" t="s">
        <v>151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だいち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ただ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れんたろう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ただ</v>
      </c>
      <c r="W2" s="18" t="str">
        <f>$P$1</f>
        <v>れんたろう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61" t="s">
        <v>21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61" t="s">
        <v>21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61" t="s">
        <v>21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148</v>
      </c>
      <c r="F4" s="8" t="s">
        <v>140</v>
      </c>
      <c r="G4" s="9">
        <v>16000</v>
      </c>
      <c r="H4" s="9">
        <v>1000</v>
      </c>
      <c r="I4" s="10">
        <f>_xlfn.SWITCH(F4,"ロン",$C4*1000,"ツモ",$C4*1000,"放銃",$C4*-1000,"ツモ支払",$C4*-500,"")</f>
        <v>0</v>
      </c>
      <c r="J4" s="23">
        <f>IF(COUNTA($F4,$K4,$P4)&gt;0,J3+SUM(G4:I4),"")</f>
        <v>52000</v>
      </c>
      <c r="K4" s="8" t="s">
        <v>141</v>
      </c>
      <c r="L4" s="9">
        <v>-16000</v>
      </c>
      <c r="M4" s="9">
        <v>-1000</v>
      </c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18000</v>
      </c>
      <c r="P4" s="8"/>
      <c r="Q4" s="9"/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35000</v>
      </c>
      <c r="U4" s="76">
        <f t="shared" si="0"/>
        <v>17</v>
      </c>
      <c r="V4" s="77">
        <f t="shared" si="1"/>
        <v>-17</v>
      </c>
      <c r="W4" s="78">
        <f t="shared" si="2"/>
        <v>0</v>
      </c>
      <c r="Y4" s="8"/>
      <c r="Z4" s="37"/>
      <c r="AA4" s="29">
        <v>1</v>
      </c>
      <c r="AB4" s="29"/>
      <c r="AC4" s="29">
        <v>8</v>
      </c>
      <c r="AD4" s="33" t="s">
        <v>142</v>
      </c>
      <c r="AE4" s="43" t="s">
        <v>144</v>
      </c>
      <c r="AF4" s="44" t="s">
        <v>87</v>
      </c>
      <c r="AG4" s="44" t="s">
        <v>87</v>
      </c>
      <c r="AH4" s="44" t="s">
        <v>85</v>
      </c>
      <c r="AI4" s="44" t="s">
        <v>85</v>
      </c>
      <c r="AJ4" s="44" t="s">
        <v>86</v>
      </c>
      <c r="AK4" s="44" t="s">
        <v>86</v>
      </c>
      <c r="AL4" s="44" t="s">
        <v>86</v>
      </c>
      <c r="AM4" s="44"/>
      <c r="AN4" s="44"/>
      <c r="AO4" s="44"/>
      <c r="AP4" s="44"/>
      <c r="AQ4" s="44"/>
      <c r="AR4" s="44"/>
      <c r="AS4" s="45"/>
      <c r="AT4" s="8"/>
      <c r="AU4" s="37"/>
      <c r="AV4" s="29">
        <v>1</v>
      </c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>
        <v>1</v>
      </c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152</v>
      </c>
      <c r="F5" s="8" t="s">
        <v>146</v>
      </c>
      <c r="G5" s="9">
        <v>-9000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43000</v>
      </c>
      <c r="K5" s="8" t="s">
        <v>146</v>
      </c>
      <c r="L5" s="9">
        <v>-9000</v>
      </c>
      <c r="M5" s="9"/>
      <c r="N5" s="10">
        <f t="shared" si="3"/>
        <v>0</v>
      </c>
      <c r="O5" s="23">
        <f t="shared" ref="O5:O30" si="7">IF(COUNTA($F5,$K5,$P5)&gt;0,O4+SUM(L5:N5),"")</f>
        <v>9000</v>
      </c>
      <c r="P5" s="8" t="s">
        <v>145</v>
      </c>
      <c r="Q5" s="9">
        <v>18000</v>
      </c>
      <c r="R5" s="9"/>
      <c r="S5" s="10">
        <f t="shared" si="4"/>
        <v>0</v>
      </c>
      <c r="T5" s="23">
        <f t="shared" ref="T5:T30" si="8">IF(COUNTA($F5,$K5,$P5)&gt;0,T4+SUM(Q5:S5),"")</f>
        <v>53000</v>
      </c>
      <c r="U5" s="76">
        <f t="shared" si="0"/>
        <v>8</v>
      </c>
      <c r="V5" s="77">
        <f t="shared" si="1"/>
        <v>-26</v>
      </c>
      <c r="W5" s="78">
        <f t="shared" si="2"/>
        <v>18</v>
      </c>
      <c r="Y5" s="8"/>
      <c r="Z5" s="37"/>
      <c r="AA5" s="29"/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>
        <v>1</v>
      </c>
      <c r="BR5" s="29"/>
      <c r="BS5" s="29">
        <v>7</v>
      </c>
      <c r="BT5" s="33" t="s">
        <v>142</v>
      </c>
      <c r="BU5" s="43" t="s">
        <v>144</v>
      </c>
      <c r="BV5" s="44" t="s">
        <v>88</v>
      </c>
      <c r="BW5" s="44" t="s">
        <v>85</v>
      </c>
      <c r="BX5" s="44" t="s">
        <v>85</v>
      </c>
      <c r="BY5" s="44" t="s">
        <v>98</v>
      </c>
      <c r="BZ5" s="44" t="s">
        <v>93</v>
      </c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152</v>
      </c>
      <c r="F6" s="8" t="s">
        <v>155</v>
      </c>
      <c r="G6" s="9">
        <v>0</v>
      </c>
      <c r="H6" s="9">
        <v>-1000</v>
      </c>
      <c r="I6" s="10" t="str">
        <f t="shared" si="5"/>
        <v/>
      </c>
      <c r="J6" s="23">
        <f t="shared" si="6"/>
        <v>42000</v>
      </c>
      <c r="K6" s="8" t="s">
        <v>155</v>
      </c>
      <c r="L6" s="9">
        <v>0</v>
      </c>
      <c r="M6" s="9"/>
      <c r="N6" s="10" t="str">
        <f t="shared" si="3"/>
        <v/>
      </c>
      <c r="O6" s="23">
        <f t="shared" si="7"/>
        <v>9000</v>
      </c>
      <c r="P6" s="8" t="s">
        <v>155</v>
      </c>
      <c r="Q6" s="9">
        <v>0</v>
      </c>
      <c r="R6" s="9"/>
      <c r="S6" s="10" t="str">
        <f t="shared" si="4"/>
        <v/>
      </c>
      <c r="T6" s="23">
        <f t="shared" si="8"/>
        <v>53000</v>
      </c>
      <c r="U6" s="76">
        <f t="shared" si="0"/>
        <v>7</v>
      </c>
      <c r="V6" s="77">
        <f t="shared" si="1"/>
        <v>-26</v>
      </c>
      <c r="W6" s="78">
        <f t="shared" si="2"/>
        <v>18</v>
      </c>
      <c r="Y6" s="8" t="s">
        <v>153</v>
      </c>
      <c r="Z6" s="37"/>
      <c r="AA6" s="29">
        <v>1</v>
      </c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 t="s">
        <v>153</v>
      </c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 t="s">
        <v>153</v>
      </c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2</v>
      </c>
      <c r="C7" s="20">
        <f t="shared" si="11"/>
        <v>2</v>
      </c>
      <c r="D7" s="20">
        <f t="shared" si="12"/>
        <v>1</v>
      </c>
      <c r="E7" s="4" t="s">
        <v>152</v>
      </c>
      <c r="F7" s="8" t="s">
        <v>140</v>
      </c>
      <c r="G7" s="9">
        <v>12000</v>
      </c>
      <c r="H7" s="9">
        <v>1000</v>
      </c>
      <c r="I7" s="10">
        <f t="shared" si="5"/>
        <v>2000</v>
      </c>
      <c r="J7" s="23">
        <f t="shared" si="6"/>
        <v>57000</v>
      </c>
      <c r="K7" s="8"/>
      <c r="L7" s="9"/>
      <c r="M7" s="9"/>
      <c r="N7" s="10" t="str">
        <f t="shared" si="3"/>
        <v/>
      </c>
      <c r="O7" s="23">
        <f t="shared" si="7"/>
        <v>9000</v>
      </c>
      <c r="P7" s="8" t="s">
        <v>141</v>
      </c>
      <c r="Q7" s="9">
        <v>-12000</v>
      </c>
      <c r="R7" s="9"/>
      <c r="S7" s="10">
        <f t="shared" si="4"/>
        <v>-2000</v>
      </c>
      <c r="T7" s="23">
        <f t="shared" si="8"/>
        <v>39000</v>
      </c>
      <c r="U7" s="76">
        <f t="shared" si="0"/>
        <v>22</v>
      </c>
      <c r="V7" s="77">
        <f t="shared" si="1"/>
        <v>-26</v>
      </c>
      <c r="W7" s="78">
        <f t="shared" si="2"/>
        <v>4</v>
      </c>
      <c r="Y7" s="8"/>
      <c r="Z7" s="37"/>
      <c r="AA7" s="29"/>
      <c r="AB7" s="29"/>
      <c r="AC7" s="29">
        <v>6</v>
      </c>
      <c r="AD7" s="33" t="s">
        <v>142</v>
      </c>
      <c r="AE7" s="43" t="s">
        <v>99</v>
      </c>
      <c r="AF7" s="44" t="s">
        <v>87</v>
      </c>
      <c r="AG7" s="44" t="s">
        <v>87</v>
      </c>
      <c r="AH7" s="44" t="s">
        <v>107</v>
      </c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0</v>
      </c>
      <c r="D8" s="20">
        <f t="shared" si="12"/>
        <v>0</v>
      </c>
      <c r="E8" s="4" t="s">
        <v>143</v>
      </c>
      <c r="F8" s="8" t="s">
        <v>140</v>
      </c>
      <c r="G8" s="9">
        <v>18000</v>
      </c>
      <c r="H8" s="9"/>
      <c r="I8" s="10">
        <f t="shared" si="5"/>
        <v>0</v>
      </c>
      <c r="J8" s="23">
        <f t="shared" si="6"/>
        <v>75000</v>
      </c>
      <c r="K8" s="8" t="s">
        <v>141</v>
      </c>
      <c r="L8" s="9">
        <v>-18000</v>
      </c>
      <c r="M8" s="9"/>
      <c r="N8" s="10">
        <f t="shared" si="3"/>
        <v>0</v>
      </c>
      <c r="O8" s="23">
        <f t="shared" si="7"/>
        <v>-9000</v>
      </c>
      <c r="P8" s="8"/>
      <c r="Q8" s="9"/>
      <c r="R8" s="9"/>
      <c r="S8" s="10" t="str">
        <f t="shared" si="4"/>
        <v/>
      </c>
      <c r="T8" s="23">
        <f t="shared" si="8"/>
        <v>39000</v>
      </c>
      <c r="U8" s="76">
        <f t="shared" si="0"/>
        <v>40</v>
      </c>
      <c r="V8" s="77">
        <f t="shared" si="1"/>
        <v>-44</v>
      </c>
      <c r="W8" s="78">
        <f t="shared" si="2"/>
        <v>4</v>
      </c>
      <c r="Y8" s="8"/>
      <c r="Z8" s="37"/>
      <c r="AA8" s="29">
        <v>1</v>
      </c>
      <c r="AB8" s="29"/>
      <c r="AC8" s="29">
        <v>6</v>
      </c>
      <c r="AD8" s="33" t="s">
        <v>142</v>
      </c>
      <c r="AE8" s="43" t="s">
        <v>144</v>
      </c>
      <c r="AF8" s="44" t="s">
        <v>87</v>
      </c>
      <c r="AG8" s="44" t="s">
        <v>87</v>
      </c>
      <c r="AH8" s="44" t="s">
        <v>86</v>
      </c>
      <c r="AI8" s="44" t="s">
        <v>86</v>
      </c>
      <c r="AJ8" s="44" t="s">
        <v>85</v>
      </c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/>
      </c>
      <c r="B9" s="20" t="str">
        <f t="shared" si="10"/>
        <v/>
      </c>
      <c r="C9" s="20" t="str">
        <f t="shared" si="11"/>
        <v/>
      </c>
      <c r="D9" s="20" t="str">
        <f t="shared" si="12"/>
        <v/>
      </c>
      <c r="E9" s="4"/>
      <c r="F9" s="8"/>
      <c r="G9" s="9"/>
      <c r="H9" s="9"/>
      <c r="I9" s="10" t="str">
        <f t="shared" si="5"/>
        <v/>
      </c>
      <c r="J9" s="23" t="str">
        <f t="shared" si="6"/>
        <v/>
      </c>
      <c r="K9" s="8"/>
      <c r="L9" s="9"/>
      <c r="M9" s="9"/>
      <c r="N9" s="10" t="str">
        <f t="shared" si="3"/>
        <v/>
      </c>
      <c r="O9" s="23" t="str">
        <f t="shared" si="7"/>
        <v/>
      </c>
      <c r="P9" s="8"/>
      <c r="Q9" s="9"/>
      <c r="R9" s="9"/>
      <c r="S9" s="10" t="str">
        <f t="shared" si="4"/>
        <v/>
      </c>
      <c r="T9" s="23" t="str">
        <f t="shared" si="8"/>
        <v/>
      </c>
      <c r="U9" s="76" t="str">
        <f t="shared" si="0"/>
        <v/>
      </c>
      <c r="V9" s="77" t="str">
        <f t="shared" si="1"/>
        <v/>
      </c>
      <c r="W9" s="78" t="str">
        <f t="shared" si="2"/>
        <v/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/>
      </c>
      <c r="B10" s="20" t="str">
        <f t="shared" si="10"/>
        <v/>
      </c>
      <c r="C10" s="20" t="str">
        <f t="shared" si="11"/>
        <v/>
      </c>
      <c r="D10" s="20" t="str">
        <f t="shared" si="12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3"/>
        <v/>
      </c>
      <c r="O10" s="23" t="str">
        <f t="shared" si="7"/>
        <v/>
      </c>
      <c r="P10" s="8"/>
      <c r="Q10" s="9"/>
      <c r="R10" s="9"/>
      <c r="S10" s="10" t="str">
        <f t="shared" si="4"/>
        <v/>
      </c>
      <c r="T10" s="23" t="str">
        <f t="shared" si="8"/>
        <v/>
      </c>
      <c r="U10" s="76" t="str">
        <f t="shared" si="0"/>
        <v/>
      </c>
      <c r="V10" s="77" t="str">
        <f t="shared" si="1"/>
        <v/>
      </c>
      <c r="W10" s="78" t="str">
        <f t="shared" si="2"/>
        <v/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6" t="str">
        <f t="shared" si="0"/>
        <v/>
      </c>
      <c r="V11" s="77" t="str">
        <f t="shared" si="1"/>
        <v/>
      </c>
      <c r="W11" s="78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37A6-B8A2-4BEA-A2EC-4132745594C5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22</v>
      </c>
      <c r="E1" s="71" t="s">
        <v>3</v>
      </c>
      <c r="F1" s="62" t="s">
        <v>139</v>
      </c>
      <c r="G1" s="63"/>
      <c r="H1" s="63"/>
      <c r="I1" s="64"/>
      <c r="J1" s="65"/>
      <c r="K1" s="62" t="s">
        <v>147</v>
      </c>
      <c r="L1" s="63"/>
      <c r="M1" s="63"/>
      <c r="N1" s="64"/>
      <c r="O1" s="65"/>
      <c r="P1" s="62" t="s">
        <v>151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だいち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ただ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れんたろう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9</v>
      </c>
      <c r="H2" s="2" t="s">
        <v>23</v>
      </c>
      <c r="I2" s="6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0" t="s">
        <v>7</v>
      </c>
      <c r="T2" s="6" t="s">
        <v>4</v>
      </c>
      <c r="U2" s="59" t="str">
        <f>$F$1</f>
        <v>だいち</v>
      </c>
      <c r="V2" s="60" t="str">
        <f>$K$1</f>
        <v>ただ</v>
      </c>
      <c r="W2" s="18" t="str">
        <f>$P$1</f>
        <v>れんたろう</v>
      </c>
      <c r="Y2" s="55" t="s">
        <v>24</v>
      </c>
      <c r="Z2" s="58" t="s">
        <v>27</v>
      </c>
      <c r="AA2" s="56" t="s">
        <v>25</v>
      </c>
      <c r="AB2" s="56" t="s">
        <v>137</v>
      </c>
      <c r="AC2" s="56" t="s">
        <v>19</v>
      </c>
      <c r="AD2" s="57" t="s">
        <v>20</v>
      </c>
      <c r="AE2" s="61" t="s">
        <v>21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55" t="s">
        <v>24</v>
      </c>
      <c r="AU2" s="58" t="s">
        <v>27</v>
      </c>
      <c r="AV2" s="56" t="s">
        <v>25</v>
      </c>
      <c r="AW2" s="56" t="s">
        <v>138</v>
      </c>
      <c r="AX2" s="56" t="s">
        <v>19</v>
      </c>
      <c r="AY2" s="57" t="s">
        <v>20</v>
      </c>
      <c r="AZ2" s="61" t="s">
        <v>21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55" t="s">
        <v>24</v>
      </c>
      <c r="BP2" s="58" t="s">
        <v>27</v>
      </c>
      <c r="BQ2" s="56" t="s">
        <v>25</v>
      </c>
      <c r="BR2" s="56" t="s">
        <v>138</v>
      </c>
      <c r="BS2" s="56" t="s">
        <v>19</v>
      </c>
      <c r="BT2" s="57" t="s">
        <v>20</v>
      </c>
      <c r="BU2" s="61" t="s">
        <v>21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143</v>
      </c>
      <c r="F4" s="8" t="s">
        <v>146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27500</v>
      </c>
      <c r="K4" s="8" t="s">
        <v>146</v>
      </c>
      <c r="L4" s="9">
        <v>-4500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30500</v>
      </c>
      <c r="P4" s="8" t="s">
        <v>145</v>
      </c>
      <c r="Q4" s="9">
        <v>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47000</v>
      </c>
      <c r="U4" s="76">
        <f t="shared" si="0"/>
        <v>-7.5</v>
      </c>
      <c r="V4" s="77">
        <f t="shared" si="1"/>
        <v>-4.5</v>
      </c>
      <c r="W4" s="78">
        <f t="shared" si="2"/>
        <v>12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>
        <v>1</v>
      </c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>
        <v>1</v>
      </c>
      <c r="BR4" s="29"/>
      <c r="BS4" s="29">
        <v>6</v>
      </c>
      <c r="BT4" s="33" t="s">
        <v>142</v>
      </c>
      <c r="BU4" s="43" t="s">
        <v>144</v>
      </c>
      <c r="BV4" s="44" t="s">
        <v>88</v>
      </c>
      <c r="BW4" s="44" t="s">
        <v>87</v>
      </c>
      <c r="BX4" s="44" t="s">
        <v>87</v>
      </c>
      <c r="BY4" s="44" t="s">
        <v>85</v>
      </c>
      <c r="BZ4" s="44" t="s">
        <v>92</v>
      </c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148</v>
      </c>
      <c r="F5" s="8" t="s">
        <v>150</v>
      </c>
      <c r="G5" s="9">
        <v>-8000</v>
      </c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19500</v>
      </c>
      <c r="K5" s="8" t="s">
        <v>150</v>
      </c>
      <c r="L5" s="9">
        <v>5000</v>
      </c>
      <c r="M5" s="9">
        <v>-1000</v>
      </c>
      <c r="N5" s="10" t="str">
        <f t="shared" si="3"/>
        <v/>
      </c>
      <c r="O5" s="23">
        <f t="shared" ref="O5:O30" si="7">IF(COUNTA($F5,$K5,$P5)&gt;0,O4+SUM(L5:N5),"")</f>
        <v>34500</v>
      </c>
      <c r="P5" s="8" t="s">
        <v>150</v>
      </c>
      <c r="Q5" s="9">
        <v>3000</v>
      </c>
      <c r="R5" s="9"/>
      <c r="S5" s="10" t="str">
        <f t="shared" si="4"/>
        <v/>
      </c>
      <c r="T5" s="23">
        <f t="shared" ref="T5:T30" si="8">IF(COUNTA($F5,$K5,$P5)&gt;0,T4+SUM(Q5:S5),"")</f>
        <v>50000</v>
      </c>
      <c r="U5" s="76">
        <f t="shared" si="0"/>
        <v>-15.5</v>
      </c>
      <c r="V5" s="77">
        <f t="shared" si="1"/>
        <v>-0.5</v>
      </c>
      <c r="W5" s="78">
        <f t="shared" si="2"/>
        <v>15</v>
      </c>
      <c r="Y5" s="8"/>
      <c r="Z5" s="37">
        <v>1</v>
      </c>
      <c r="AA5" s="29"/>
      <c r="AB5" s="29">
        <v>1</v>
      </c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>
        <v>1</v>
      </c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>
        <v>1</v>
      </c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1</v>
      </c>
      <c r="E6" s="4" t="s">
        <v>148</v>
      </c>
      <c r="F6" s="8" t="s">
        <v>140</v>
      </c>
      <c r="G6" s="9">
        <v>3200</v>
      </c>
      <c r="H6" s="9">
        <v>2000</v>
      </c>
      <c r="I6" s="10">
        <f t="shared" si="5"/>
        <v>1000</v>
      </c>
      <c r="J6" s="23">
        <f t="shared" si="6"/>
        <v>25700</v>
      </c>
      <c r="K6" s="8"/>
      <c r="L6" s="9"/>
      <c r="M6" s="9">
        <v>-1000</v>
      </c>
      <c r="N6" s="10" t="str">
        <f t="shared" si="3"/>
        <v/>
      </c>
      <c r="O6" s="23">
        <f t="shared" si="7"/>
        <v>33500</v>
      </c>
      <c r="P6" s="8" t="s">
        <v>141</v>
      </c>
      <c r="Q6" s="9">
        <v>-3200</v>
      </c>
      <c r="R6" s="9"/>
      <c r="S6" s="10">
        <f t="shared" si="4"/>
        <v>-1000</v>
      </c>
      <c r="T6" s="23">
        <f t="shared" si="8"/>
        <v>45800</v>
      </c>
      <c r="U6" s="76">
        <f t="shared" si="0"/>
        <v>-9.3000000000000007</v>
      </c>
      <c r="V6" s="77">
        <f t="shared" si="1"/>
        <v>-1.5</v>
      </c>
      <c r="W6" s="78">
        <f t="shared" si="2"/>
        <v>10.8</v>
      </c>
      <c r="Y6" s="8"/>
      <c r="Z6" s="37"/>
      <c r="AA6" s="29"/>
      <c r="AB6" s="29"/>
      <c r="AC6" s="29">
        <v>3</v>
      </c>
      <c r="AD6" s="33">
        <v>25</v>
      </c>
      <c r="AE6" s="43" t="s">
        <v>107</v>
      </c>
      <c r="AF6" s="44" t="s">
        <v>87</v>
      </c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>
        <v>1</v>
      </c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152</v>
      </c>
      <c r="F7" s="8" t="s">
        <v>145</v>
      </c>
      <c r="G7" s="9">
        <v>5300</v>
      </c>
      <c r="H7" s="9">
        <v>1000</v>
      </c>
      <c r="I7" s="10">
        <f t="shared" si="5"/>
        <v>0</v>
      </c>
      <c r="J7" s="23">
        <f t="shared" si="6"/>
        <v>32000</v>
      </c>
      <c r="K7" s="8" t="s">
        <v>146</v>
      </c>
      <c r="L7" s="9">
        <v>-2000</v>
      </c>
      <c r="M7" s="9">
        <v>-1000</v>
      </c>
      <c r="N7" s="10">
        <f t="shared" si="3"/>
        <v>0</v>
      </c>
      <c r="O7" s="23">
        <f t="shared" si="7"/>
        <v>30500</v>
      </c>
      <c r="P7" s="8" t="s">
        <v>146</v>
      </c>
      <c r="Q7" s="9">
        <v>-3300</v>
      </c>
      <c r="R7" s="9"/>
      <c r="S7" s="10">
        <f t="shared" si="4"/>
        <v>0</v>
      </c>
      <c r="T7" s="23">
        <f t="shared" si="8"/>
        <v>42500</v>
      </c>
      <c r="U7" s="76">
        <f t="shared" si="0"/>
        <v>-3</v>
      </c>
      <c r="V7" s="77">
        <f t="shared" si="1"/>
        <v>-4.5</v>
      </c>
      <c r="W7" s="78">
        <f t="shared" si="2"/>
        <v>7.5</v>
      </c>
      <c r="Y7" s="8"/>
      <c r="Z7" s="37"/>
      <c r="AA7" s="29">
        <v>1</v>
      </c>
      <c r="AB7" s="29"/>
      <c r="AC7" s="29">
        <v>4</v>
      </c>
      <c r="AD7" s="33">
        <v>20</v>
      </c>
      <c r="AE7" s="43" t="s">
        <v>144</v>
      </c>
      <c r="AF7" s="44" t="s">
        <v>88</v>
      </c>
      <c r="AG7" s="44" t="s">
        <v>85</v>
      </c>
      <c r="AH7" s="44" t="s">
        <v>89</v>
      </c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>
        <v>1</v>
      </c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143</v>
      </c>
      <c r="F8" s="8" t="s">
        <v>145</v>
      </c>
      <c r="G8" s="9">
        <v>12000</v>
      </c>
      <c r="H8" s="9"/>
      <c r="I8" s="10">
        <f t="shared" si="5"/>
        <v>0</v>
      </c>
      <c r="J8" s="23">
        <f t="shared" si="6"/>
        <v>44000</v>
      </c>
      <c r="K8" s="8" t="s">
        <v>146</v>
      </c>
      <c r="L8" s="9">
        <v>-6000</v>
      </c>
      <c r="M8" s="9"/>
      <c r="N8" s="10">
        <f t="shared" si="3"/>
        <v>0</v>
      </c>
      <c r="O8" s="23">
        <f t="shared" si="7"/>
        <v>24500</v>
      </c>
      <c r="P8" s="8" t="s">
        <v>146</v>
      </c>
      <c r="Q8" s="9">
        <v>-6000</v>
      </c>
      <c r="R8" s="9"/>
      <c r="S8" s="10">
        <f t="shared" si="4"/>
        <v>0</v>
      </c>
      <c r="T8" s="23">
        <f t="shared" si="8"/>
        <v>36500</v>
      </c>
      <c r="U8" s="76">
        <f t="shared" si="0"/>
        <v>9</v>
      </c>
      <c r="V8" s="77">
        <f t="shared" si="1"/>
        <v>-10.5</v>
      </c>
      <c r="W8" s="78">
        <f t="shared" si="2"/>
        <v>1.5</v>
      </c>
      <c r="Y8" s="8"/>
      <c r="Z8" s="37"/>
      <c r="AA8" s="29"/>
      <c r="AB8" s="29">
        <v>1</v>
      </c>
      <c r="AC8" s="29">
        <v>4</v>
      </c>
      <c r="AD8" s="33">
        <v>30</v>
      </c>
      <c r="AE8" s="43" t="s">
        <v>110</v>
      </c>
      <c r="AF8" s="44" t="s">
        <v>92</v>
      </c>
      <c r="AG8" s="44" t="s">
        <v>87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>
        <v>1</v>
      </c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1</v>
      </c>
      <c r="D9" s="20">
        <f t="shared" si="12"/>
        <v>0</v>
      </c>
      <c r="E9" s="4" t="s">
        <v>143</v>
      </c>
      <c r="F9" s="8" t="s">
        <v>140</v>
      </c>
      <c r="G9" s="9">
        <v>2000</v>
      </c>
      <c r="H9" s="9"/>
      <c r="I9" s="10">
        <f t="shared" si="5"/>
        <v>1000</v>
      </c>
      <c r="J9" s="23">
        <f t="shared" si="6"/>
        <v>47000</v>
      </c>
      <c r="K9" s="8" t="s">
        <v>141</v>
      </c>
      <c r="L9" s="9">
        <v>-2000</v>
      </c>
      <c r="M9" s="9"/>
      <c r="N9" s="10">
        <f t="shared" si="3"/>
        <v>-1000</v>
      </c>
      <c r="O9" s="23">
        <f t="shared" si="7"/>
        <v>21500</v>
      </c>
      <c r="P9" s="8"/>
      <c r="Q9" s="9"/>
      <c r="R9" s="9"/>
      <c r="S9" s="10" t="str">
        <f t="shared" si="4"/>
        <v/>
      </c>
      <c r="T9" s="23">
        <f t="shared" si="8"/>
        <v>36500</v>
      </c>
      <c r="U9" s="76">
        <f t="shared" si="0"/>
        <v>12</v>
      </c>
      <c r="V9" s="77">
        <f t="shared" si="1"/>
        <v>-13.5</v>
      </c>
      <c r="W9" s="78">
        <f t="shared" si="2"/>
        <v>1.5</v>
      </c>
      <c r="Y9" s="8"/>
      <c r="Z9" s="37"/>
      <c r="AA9" s="29"/>
      <c r="AB9" s="29"/>
      <c r="AC9" s="29">
        <v>1</v>
      </c>
      <c r="AD9" s="33">
        <v>40</v>
      </c>
      <c r="AE9" s="43" t="s">
        <v>90</v>
      </c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>
        <v>1</v>
      </c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1</v>
      </c>
      <c r="C10" s="20">
        <f t="shared" si="11"/>
        <v>2</v>
      </c>
      <c r="D10" s="20">
        <f t="shared" si="12"/>
        <v>0</v>
      </c>
      <c r="E10" s="4" t="s">
        <v>143</v>
      </c>
      <c r="F10" s="8" t="s">
        <v>140</v>
      </c>
      <c r="G10" s="9">
        <v>12000</v>
      </c>
      <c r="H10" s="9">
        <v>1000</v>
      </c>
      <c r="I10" s="10">
        <f t="shared" si="5"/>
        <v>2000</v>
      </c>
      <c r="J10" s="23">
        <f t="shared" si="6"/>
        <v>62000</v>
      </c>
      <c r="K10" s="8"/>
      <c r="L10" s="9"/>
      <c r="M10" s="9">
        <v>-1000</v>
      </c>
      <c r="N10" s="10" t="str">
        <f t="shared" si="3"/>
        <v/>
      </c>
      <c r="O10" s="23">
        <f t="shared" si="7"/>
        <v>20500</v>
      </c>
      <c r="P10" s="8" t="s">
        <v>141</v>
      </c>
      <c r="Q10" s="9">
        <v>-12000</v>
      </c>
      <c r="R10" s="9"/>
      <c r="S10" s="10">
        <f t="shared" si="4"/>
        <v>-2000</v>
      </c>
      <c r="T10" s="23">
        <f t="shared" si="8"/>
        <v>22500</v>
      </c>
      <c r="U10" s="76">
        <f t="shared" si="0"/>
        <v>27</v>
      </c>
      <c r="V10" s="77">
        <f t="shared" si="1"/>
        <v>-14.5</v>
      </c>
      <c r="W10" s="78">
        <f t="shared" si="2"/>
        <v>-12.5</v>
      </c>
      <c r="Y10" s="8"/>
      <c r="Z10" s="37"/>
      <c r="AA10" s="29"/>
      <c r="AB10" s="29">
        <v>1</v>
      </c>
      <c r="AC10" s="29">
        <v>4</v>
      </c>
      <c r="AD10" s="33">
        <v>30</v>
      </c>
      <c r="AE10" s="43" t="s">
        <v>110</v>
      </c>
      <c r="AF10" s="44" t="s">
        <v>92</v>
      </c>
      <c r="AG10" s="44" t="s">
        <v>87</v>
      </c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>
        <v>1</v>
      </c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1</v>
      </c>
      <c r="C11" s="20">
        <f t="shared" si="11"/>
        <v>3</v>
      </c>
      <c r="D11" s="20">
        <f t="shared" si="12"/>
        <v>0</v>
      </c>
      <c r="E11" s="4" t="s">
        <v>143</v>
      </c>
      <c r="F11" s="8"/>
      <c r="G11" s="9"/>
      <c r="H11" s="9"/>
      <c r="I11" s="10" t="str">
        <f t="shared" si="5"/>
        <v/>
      </c>
      <c r="J11" s="23">
        <f t="shared" si="6"/>
        <v>62000</v>
      </c>
      <c r="K11" s="8" t="s">
        <v>141</v>
      </c>
      <c r="L11" s="9">
        <v>-16000</v>
      </c>
      <c r="M11" s="9"/>
      <c r="N11" s="10">
        <f t="shared" si="3"/>
        <v>-3000</v>
      </c>
      <c r="O11" s="23">
        <f t="shared" si="7"/>
        <v>1500</v>
      </c>
      <c r="P11" s="8" t="s">
        <v>140</v>
      </c>
      <c r="Q11" s="9">
        <v>16000</v>
      </c>
      <c r="R11" s="9"/>
      <c r="S11" s="10">
        <f t="shared" si="4"/>
        <v>3000</v>
      </c>
      <c r="T11" s="23">
        <f t="shared" si="8"/>
        <v>41500</v>
      </c>
      <c r="U11" s="76">
        <f t="shared" si="0"/>
        <v>27</v>
      </c>
      <c r="V11" s="77">
        <f t="shared" si="1"/>
        <v>-33.5</v>
      </c>
      <c r="W11" s="78">
        <f t="shared" si="2"/>
        <v>6.5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>
        <v>1</v>
      </c>
      <c r="BR11" s="29"/>
      <c r="BS11" s="29">
        <v>8</v>
      </c>
      <c r="BT11" s="33" t="s">
        <v>142</v>
      </c>
      <c r="BU11" s="43" t="s">
        <v>144</v>
      </c>
      <c r="BV11" s="44" t="s">
        <v>92</v>
      </c>
      <c r="BW11" s="44" t="s">
        <v>87</v>
      </c>
      <c r="BX11" s="44" t="s">
        <v>87</v>
      </c>
      <c r="BY11" s="44" t="s">
        <v>86</v>
      </c>
      <c r="BZ11" s="44" t="s">
        <v>86</v>
      </c>
      <c r="CA11" s="44" t="s">
        <v>86</v>
      </c>
      <c r="CB11" s="44" t="s">
        <v>85</v>
      </c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>南</v>
      </c>
      <c r="B12" s="20">
        <f t="shared" si="10"/>
        <v>2</v>
      </c>
      <c r="C12" s="20">
        <f t="shared" si="11"/>
        <v>0</v>
      </c>
      <c r="D12" s="20">
        <f t="shared" si="12"/>
        <v>0</v>
      </c>
      <c r="E12" s="4" t="s">
        <v>148</v>
      </c>
      <c r="F12" s="8" t="s">
        <v>146</v>
      </c>
      <c r="G12" s="9">
        <v>-4500</v>
      </c>
      <c r="H12" s="9"/>
      <c r="I12" s="10">
        <f t="shared" si="5"/>
        <v>0</v>
      </c>
      <c r="J12" s="23">
        <f t="shared" si="6"/>
        <v>57500</v>
      </c>
      <c r="K12" s="8" t="s">
        <v>146</v>
      </c>
      <c r="L12" s="9">
        <v>-7500</v>
      </c>
      <c r="M12" s="9"/>
      <c r="N12" s="10">
        <f t="shared" si="3"/>
        <v>0</v>
      </c>
      <c r="O12" s="23">
        <f t="shared" si="7"/>
        <v>-6000</v>
      </c>
      <c r="P12" s="8" t="s">
        <v>145</v>
      </c>
      <c r="Q12" s="9">
        <v>12000</v>
      </c>
      <c r="R12" s="9"/>
      <c r="S12" s="10">
        <f t="shared" si="4"/>
        <v>0</v>
      </c>
      <c r="T12" s="23">
        <f t="shared" si="8"/>
        <v>53500</v>
      </c>
      <c r="U12" s="76">
        <f t="shared" si="0"/>
        <v>22.5</v>
      </c>
      <c r="V12" s="77">
        <f t="shared" si="1"/>
        <v>-41</v>
      </c>
      <c r="W12" s="78">
        <f t="shared" si="2"/>
        <v>18.5</v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>
        <v>1</v>
      </c>
      <c r="BR12" s="29"/>
      <c r="BS12" s="29">
        <v>6</v>
      </c>
      <c r="BT12" s="33" t="s">
        <v>142</v>
      </c>
      <c r="BU12" s="43" t="s">
        <v>144</v>
      </c>
      <c r="BV12" s="44" t="s">
        <v>88</v>
      </c>
      <c r="BW12" s="44" t="s">
        <v>90</v>
      </c>
      <c r="BX12" s="44" t="s">
        <v>87</v>
      </c>
      <c r="BY12" s="44" t="s">
        <v>92</v>
      </c>
      <c r="BZ12" s="44" t="s">
        <v>92</v>
      </c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31C9F7A0-ADF4-4159-B061-DC1EB5C6C30E}">
      <formula1>"ロン,ツモ,放銃,ツモ支払,流局,チョンボ"</formula1>
    </dataValidation>
    <dataValidation type="list" allowBlank="1" showInputMessage="1" showErrorMessage="1" sqref="E4:E30" xr:uid="{7FEA7B02-E2A7-4B09-8455-8EEE795FD5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EA61-A81D-4C6B-B2F6-2FC0B05888D0}">
  <sheetPr codeName="Sheet11">
    <pageSetUpPr fitToPage="1"/>
  </sheetPr>
  <dimension ref="A1:CI30"/>
  <sheetViews>
    <sheetView zoomScaleNormal="100" workbookViewId="0">
      <selection activeCell="E12" sqref="E1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22</v>
      </c>
      <c r="E1" s="71" t="s">
        <v>3</v>
      </c>
      <c r="F1" s="62" t="s">
        <v>139</v>
      </c>
      <c r="G1" s="63"/>
      <c r="H1" s="63"/>
      <c r="I1" s="64"/>
      <c r="J1" s="65"/>
      <c r="K1" s="62" t="s">
        <v>147</v>
      </c>
      <c r="L1" s="63"/>
      <c r="M1" s="63"/>
      <c r="N1" s="64"/>
      <c r="O1" s="65"/>
      <c r="P1" s="62" t="s">
        <v>151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だいち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ただ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れんたろう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9</v>
      </c>
      <c r="H2" s="2" t="s">
        <v>23</v>
      </c>
      <c r="I2" s="6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0" t="s">
        <v>7</v>
      </c>
      <c r="T2" s="6" t="s">
        <v>4</v>
      </c>
      <c r="U2" s="59" t="str">
        <f>$F$1</f>
        <v>だいち</v>
      </c>
      <c r="V2" s="60" t="str">
        <f>$K$1</f>
        <v>ただ</v>
      </c>
      <c r="W2" s="18" t="str">
        <f>$P$1</f>
        <v>れんたろう</v>
      </c>
      <c r="Y2" s="55" t="s">
        <v>24</v>
      </c>
      <c r="Z2" s="58" t="s">
        <v>27</v>
      </c>
      <c r="AA2" s="56" t="s">
        <v>25</v>
      </c>
      <c r="AB2" s="56" t="s">
        <v>137</v>
      </c>
      <c r="AC2" s="56" t="s">
        <v>19</v>
      </c>
      <c r="AD2" s="57" t="s">
        <v>20</v>
      </c>
      <c r="AE2" s="61" t="s">
        <v>21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55" t="s">
        <v>24</v>
      </c>
      <c r="AU2" s="58" t="s">
        <v>27</v>
      </c>
      <c r="AV2" s="56" t="s">
        <v>25</v>
      </c>
      <c r="AW2" s="56" t="s">
        <v>138</v>
      </c>
      <c r="AX2" s="56" t="s">
        <v>19</v>
      </c>
      <c r="AY2" s="57" t="s">
        <v>20</v>
      </c>
      <c r="AZ2" s="61" t="s">
        <v>21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55" t="s">
        <v>24</v>
      </c>
      <c r="BP2" s="58" t="s">
        <v>27</v>
      </c>
      <c r="BQ2" s="56" t="s">
        <v>25</v>
      </c>
      <c r="BR2" s="56" t="s">
        <v>138</v>
      </c>
      <c r="BS2" s="56" t="s">
        <v>19</v>
      </c>
      <c r="BT2" s="57" t="s">
        <v>20</v>
      </c>
      <c r="BU2" s="61" t="s">
        <v>21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152</v>
      </c>
      <c r="F4" s="8"/>
      <c r="G4" s="9"/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35000</v>
      </c>
      <c r="K4" s="8" t="s">
        <v>140</v>
      </c>
      <c r="L4" s="9">
        <v>8000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43000</v>
      </c>
      <c r="P4" s="8" t="s">
        <v>141</v>
      </c>
      <c r="Q4" s="9">
        <v>-8000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27000</v>
      </c>
      <c r="U4" s="76">
        <f t="shared" si="0"/>
        <v>0</v>
      </c>
      <c r="V4" s="77">
        <f t="shared" si="1"/>
        <v>8</v>
      </c>
      <c r="W4" s="78">
        <f t="shared" si="2"/>
        <v>-8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>
        <v>1</v>
      </c>
      <c r="AW4" s="29"/>
      <c r="AX4" s="29">
        <v>4</v>
      </c>
      <c r="AY4" s="33">
        <v>40</v>
      </c>
      <c r="AZ4" s="43" t="s">
        <v>144</v>
      </c>
      <c r="BA4" s="44" t="s">
        <v>85</v>
      </c>
      <c r="BB4" s="44" t="s">
        <v>85</v>
      </c>
      <c r="BC4" s="44" t="s">
        <v>85</v>
      </c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143</v>
      </c>
      <c r="F5" s="8"/>
      <c r="G5" s="9"/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35000</v>
      </c>
      <c r="K5" s="8" t="s">
        <v>140</v>
      </c>
      <c r="L5" s="9">
        <v>5200</v>
      </c>
      <c r="M5" s="9"/>
      <c r="N5" s="10">
        <f t="shared" si="3"/>
        <v>0</v>
      </c>
      <c r="O5" s="23">
        <f t="shared" ref="O5:O30" si="7">IF(COUNTA($F5,$K5,$P5)&gt;0,O4+SUM(L5:N5),"")</f>
        <v>48200</v>
      </c>
      <c r="P5" s="8" t="s">
        <v>141</v>
      </c>
      <c r="Q5" s="9">
        <v>-5200</v>
      </c>
      <c r="R5" s="9"/>
      <c r="S5" s="10">
        <f t="shared" si="4"/>
        <v>0</v>
      </c>
      <c r="T5" s="23">
        <f t="shared" ref="T5:T30" si="8">IF(COUNTA($F5,$K5,$P5)&gt;0,T4+SUM(Q5:S5),"")</f>
        <v>21800</v>
      </c>
      <c r="U5" s="76">
        <f t="shared" si="0"/>
        <v>0</v>
      </c>
      <c r="V5" s="77">
        <f t="shared" si="1"/>
        <v>13.2</v>
      </c>
      <c r="W5" s="78">
        <f t="shared" si="2"/>
        <v>-13.2</v>
      </c>
      <c r="Y5" s="8"/>
      <c r="Z5" s="37"/>
      <c r="AA5" s="29"/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>
        <v>1</v>
      </c>
      <c r="AW5" s="29"/>
      <c r="AX5" s="29">
        <v>3</v>
      </c>
      <c r="AY5" s="33">
        <v>40</v>
      </c>
      <c r="AZ5" s="43" t="s">
        <v>87</v>
      </c>
      <c r="BA5" s="44" t="s">
        <v>86</v>
      </c>
      <c r="BB5" s="44" t="s">
        <v>144</v>
      </c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>
        <v>1</v>
      </c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148</v>
      </c>
      <c r="F6" s="8" t="s">
        <v>145</v>
      </c>
      <c r="G6" s="9">
        <v>8000</v>
      </c>
      <c r="H6" s="9"/>
      <c r="I6" s="10">
        <f t="shared" si="5"/>
        <v>0</v>
      </c>
      <c r="J6" s="23">
        <f t="shared" si="6"/>
        <v>43000</v>
      </c>
      <c r="K6" s="8" t="s">
        <v>146</v>
      </c>
      <c r="L6" s="9">
        <v>-5000</v>
      </c>
      <c r="M6" s="9"/>
      <c r="N6" s="10">
        <f t="shared" si="3"/>
        <v>0</v>
      </c>
      <c r="O6" s="23">
        <f t="shared" si="7"/>
        <v>43200</v>
      </c>
      <c r="P6" s="8" t="s">
        <v>146</v>
      </c>
      <c r="Q6" s="9">
        <v>-3000</v>
      </c>
      <c r="R6" s="9"/>
      <c r="S6" s="10">
        <f t="shared" si="4"/>
        <v>0</v>
      </c>
      <c r="T6" s="23">
        <f t="shared" si="8"/>
        <v>18800</v>
      </c>
      <c r="U6" s="76">
        <f t="shared" si="0"/>
        <v>8</v>
      </c>
      <c r="V6" s="77">
        <f t="shared" si="1"/>
        <v>8.1999999999999993</v>
      </c>
      <c r="W6" s="78">
        <f t="shared" si="2"/>
        <v>-16.2</v>
      </c>
      <c r="Y6" s="8"/>
      <c r="Z6" s="37"/>
      <c r="AA6" s="29"/>
      <c r="AB6" s="29"/>
      <c r="AC6" s="29">
        <v>5</v>
      </c>
      <c r="AD6" s="33" t="s">
        <v>142</v>
      </c>
      <c r="AE6" s="43" t="s">
        <v>92</v>
      </c>
      <c r="AF6" s="44" t="s">
        <v>92</v>
      </c>
      <c r="AG6" s="44" t="s">
        <v>110</v>
      </c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>
        <v>1</v>
      </c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/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152</v>
      </c>
      <c r="F7" s="8" t="s">
        <v>149</v>
      </c>
      <c r="G7" s="9">
        <v>0</v>
      </c>
      <c r="H7" s="9"/>
      <c r="I7" s="10" t="str">
        <f t="shared" si="5"/>
        <v/>
      </c>
      <c r="J7" s="23">
        <f t="shared" si="6"/>
        <v>43000</v>
      </c>
      <c r="K7" s="8" t="s">
        <v>149</v>
      </c>
      <c r="L7" s="9">
        <v>0</v>
      </c>
      <c r="M7" s="9"/>
      <c r="N7" s="10" t="str">
        <f t="shared" si="3"/>
        <v/>
      </c>
      <c r="O7" s="23">
        <f t="shared" si="7"/>
        <v>43200</v>
      </c>
      <c r="P7" s="8" t="s">
        <v>149</v>
      </c>
      <c r="Q7" s="9">
        <v>0</v>
      </c>
      <c r="R7" s="9"/>
      <c r="S7" s="10" t="str">
        <f t="shared" si="4"/>
        <v/>
      </c>
      <c r="T7" s="23">
        <f t="shared" si="8"/>
        <v>18800</v>
      </c>
      <c r="U7" s="76">
        <f t="shared" si="0"/>
        <v>8</v>
      </c>
      <c r="V7" s="77">
        <f t="shared" si="1"/>
        <v>8.1999999999999993</v>
      </c>
      <c r="W7" s="78">
        <f t="shared" si="2"/>
        <v>-16.2</v>
      </c>
      <c r="Y7" s="8" t="s">
        <v>153</v>
      </c>
      <c r="Z7" s="37"/>
      <c r="AA7" s="29"/>
      <c r="AB7" s="29">
        <v>1</v>
      </c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 t="s">
        <v>153</v>
      </c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 t="s">
        <v>153</v>
      </c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1</v>
      </c>
      <c r="D8" s="20">
        <f t="shared" si="12"/>
        <v>0</v>
      </c>
      <c r="E8" s="4" t="s">
        <v>152</v>
      </c>
      <c r="F8" s="8" t="s">
        <v>145</v>
      </c>
      <c r="G8" s="9">
        <v>4000</v>
      </c>
      <c r="H8" s="9"/>
      <c r="I8" s="10">
        <f t="shared" si="5"/>
        <v>1000</v>
      </c>
      <c r="J8" s="23">
        <f t="shared" si="6"/>
        <v>48000</v>
      </c>
      <c r="K8" s="8" t="s">
        <v>146</v>
      </c>
      <c r="L8" s="9">
        <v>-1500</v>
      </c>
      <c r="M8" s="9"/>
      <c r="N8" s="10">
        <f t="shared" si="3"/>
        <v>-500</v>
      </c>
      <c r="O8" s="23">
        <f t="shared" si="7"/>
        <v>41200</v>
      </c>
      <c r="P8" s="8" t="s">
        <v>146</v>
      </c>
      <c r="Q8" s="9">
        <v>-2500</v>
      </c>
      <c r="R8" s="9"/>
      <c r="S8" s="10">
        <f t="shared" si="4"/>
        <v>-500</v>
      </c>
      <c r="T8" s="23">
        <f t="shared" si="8"/>
        <v>15800</v>
      </c>
      <c r="U8" s="76">
        <f t="shared" si="0"/>
        <v>13</v>
      </c>
      <c r="V8" s="77">
        <f t="shared" si="1"/>
        <v>6.2</v>
      </c>
      <c r="W8" s="78">
        <f t="shared" si="2"/>
        <v>-19.2</v>
      </c>
      <c r="Y8" s="8"/>
      <c r="Z8" s="37"/>
      <c r="AA8" s="29"/>
      <c r="AB8" s="29"/>
      <c r="AC8" s="29">
        <v>3</v>
      </c>
      <c r="AD8" s="33">
        <v>30</v>
      </c>
      <c r="AE8" s="43" t="s">
        <v>92</v>
      </c>
      <c r="AF8" s="44" t="s">
        <v>88</v>
      </c>
      <c r="AG8" s="44" t="s">
        <v>87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143</v>
      </c>
      <c r="F9" s="8"/>
      <c r="G9" s="9"/>
      <c r="H9" s="9"/>
      <c r="I9" s="10" t="str">
        <f t="shared" si="5"/>
        <v/>
      </c>
      <c r="J9" s="23">
        <f t="shared" si="6"/>
        <v>48000</v>
      </c>
      <c r="K9" s="8" t="s">
        <v>141</v>
      </c>
      <c r="L9" s="9">
        <v>-8000</v>
      </c>
      <c r="M9" s="9"/>
      <c r="N9" s="10">
        <f t="shared" si="3"/>
        <v>0</v>
      </c>
      <c r="O9" s="23">
        <f t="shared" si="7"/>
        <v>33200</v>
      </c>
      <c r="P9" s="8" t="s">
        <v>140</v>
      </c>
      <c r="Q9" s="9">
        <v>8000</v>
      </c>
      <c r="R9" s="9"/>
      <c r="S9" s="10">
        <f t="shared" si="4"/>
        <v>0</v>
      </c>
      <c r="T9" s="23">
        <f t="shared" si="8"/>
        <v>23800</v>
      </c>
      <c r="U9" s="76">
        <f t="shared" si="0"/>
        <v>13</v>
      </c>
      <c r="V9" s="77">
        <f t="shared" si="1"/>
        <v>-1.8</v>
      </c>
      <c r="W9" s="78">
        <f t="shared" si="2"/>
        <v>-11.2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>
        <v>1</v>
      </c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>
        <v>1</v>
      </c>
      <c r="BR9" s="29"/>
      <c r="BS9" s="29">
        <v>5</v>
      </c>
      <c r="BT9" s="33" t="s">
        <v>142</v>
      </c>
      <c r="BU9" s="43" t="s">
        <v>144</v>
      </c>
      <c r="BV9" s="44" t="s">
        <v>89</v>
      </c>
      <c r="BW9" s="44" t="s">
        <v>90</v>
      </c>
      <c r="BX9" s="44" t="s">
        <v>87</v>
      </c>
      <c r="BY9" s="44" t="s">
        <v>87</v>
      </c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3</v>
      </c>
      <c r="C10" s="20">
        <f t="shared" si="11"/>
        <v>0</v>
      </c>
      <c r="D10" s="20">
        <f t="shared" si="12"/>
        <v>0</v>
      </c>
      <c r="E10" s="4" t="s">
        <v>148</v>
      </c>
      <c r="F10" s="8" t="s">
        <v>149</v>
      </c>
      <c r="G10" s="9">
        <v>1500</v>
      </c>
      <c r="H10" s="9">
        <v>-1000</v>
      </c>
      <c r="I10" s="10" t="str">
        <f t="shared" si="5"/>
        <v/>
      </c>
      <c r="J10" s="23">
        <f t="shared" si="6"/>
        <v>48500</v>
      </c>
      <c r="K10" s="8" t="s">
        <v>149</v>
      </c>
      <c r="L10" s="9">
        <v>1500</v>
      </c>
      <c r="M10" s="9"/>
      <c r="N10" s="10" t="str">
        <f t="shared" si="3"/>
        <v/>
      </c>
      <c r="O10" s="23">
        <f t="shared" si="7"/>
        <v>34700</v>
      </c>
      <c r="P10" s="8" t="s">
        <v>149</v>
      </c>
      <c r="Q10" s="9">
        <v>-3000</v>
      </c>
      <c r="R10" s="9"/>
      <c r="S10" s="10" t="str">
        <f t="shared" si="4"/>
        <v/>
      </c>
      <c r="T10" s="23">
        <f t="shared" si="8"/>
        <v>20800</v>
      </c>
      <c r="U10" s="76">
        <f t="shared" si="0"/>
        <v>13.5</v>
      </c>
      <c r="V10" s="77">
        <f t="shared" si="1"/>
        <v>-0.3</v>
      </c>
      <c r="W10" s="78">
        <f t="shared" si="2"/>
        <v>-14.2</v>
      </c>
      <c r="Y10" s="8" t="s">
        <v>153</v>
      </c>
      <c r="Z10" s="37"/>
      <c r="AA10" s="29">
        <v>1</v>
      </c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 t="s">
        <v>153</v>
      </c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 t="s">
        <v>154</v>
      </c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1</v>
      </c>
      <c r="D11" s="20">
        <f t="shared" si="12"/>
        <v>1</v>
      </c>
      <c r="E11" s="4" t="s">
        <v>148</v>
      </c>
      <c r="F11" s="8" t="s">
        <v>145</v>
      </c>
      <c r="G11" s="9">
        <v>16000</v>
      </c>
      <c r="H11" s="9">
        <v>1000</v>
      </c>
      <c r="I11" s="10">
        <f t="shared" si="5"/>
        <v>1000</v>
      </c>
      <c r="J11" s="23">
        <f t="shared" si="6"/>
        <v>66500</v>
      </c>
      <c r="K11" s="8" t="s">
        <v>146</v>
      </c>
      <c r="L11" s="9">
        <v>-10000</v>
      </c>
      <c r="M11" s="9"/>
      <c r="N11" s="10">
        <f t="shared" si="3"/>
        <v>-500</v>
      </c>
      <c r="O11" s="23">
        <f t="shared" si="7"/>
        <v>24200</v>
      </c>
      <c r="P11" s="8" t="s">
        <v>146</v>
      </c>
      <c r="Q11" s="9">
        <v>-6000</v>
      </c>
      <c r="R11" s="9"/>
      <c r="S11" s="10">
        <f t="shared" si="4"/>
        <v>-500</v>
      </c>
      <c r="T11" s="23">
        <f t="shared" si="8"/>
        <v>14300</v>
      </c>
      <c r="U11" s="76">
        <f t="shared" si="0"/>
        <v>31.5</v>
      </c>
      <c r="V11" s="77">
        <f t="shared" si="1"/>
        <v>-10.8</v>
      </c>
      <c r="W11" s="78">
        <f t="shared" si="2"/>
        <v>-20.7</v>
      </c>
      <c r="Y11" s="8"/>
      <c r="Z11" s="37"/>
      <c r="AA11" s="29">
        <v>1</v>
      </c>
      <c r="AB11" s="29"/>
      <c r="AC11" s="29">
        <v>9</v>
      </c>
      <c r="AD11" s="33" t="s">
        <v>142</v>
      </c>
      <c r="AE11" s="43" t="s">
        <v>144</v>
      </c>
      <c r="AF11" s="44" t="s">
        <v>88</v>
      </c>
      <c r="AG11" s="44" t="s">
        <v>89</v>
      </c>
      <c r="AH11" s="44" t="s">
        <v>87</v>
      </c>
      <c r="AI11" s="44" t="s">
        <v>85</v>
      </c>
      <c r="AJ11" s="44" t="s">
        <v>85</v>
      </c>
      <c r="AK11" s="44" t="s">
        <v>86</v>
      </c>
      <c r="AL11" s="44" t="s">
        <v>86</v>
      </c>
      <c r="AM11" s="44" t="s">
        <v>86</v>
      </c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F8DDDC5-CC35-4096-B11A-38368FAF95AE}">
      <formula1>$U$2:$W$2</formula1>
    </dataValidation>
    <dataValidation type="list" showInputMessage="1" showErrorMessage="1" sqref="K4:K30 P4:P30 F4:F30" xr:uid="{64A5DD24-5BAB-45EA-8B28-8924E8105C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39" customWidth="1"/>
    <col min="2" max="2" width="19.25" style="17" bestFit="1" customWidth="1"/>
    <col min="3" max="4" width="11" style="17" bestFit="1" customWidth="1"/>
    <col min="5" max="5" width="8.375" style="39" customWidth="1"/>
  </cols>
  <sheetData>
    <row r="1" spans="1:5" x14ac:dyDescent="0.4">
      <c r="A1" s="39" t="s">
        <v>28</v>
      </c>
      <c r="B1" s="17" t="s">
        <v>29</v>
      </c>
      <c r="C1" s="17" t="s">
        <v>30</v>
      </c>
      <c r="D1" s="17" t="s">
        <v>31</v>
      </c>
      <c r="E1" s="39" t="s">
        <v>32</v>
      </c>
    </row>
    <row r="2" spans="1:5" x14ac:dyDescent="0.4">
      <c r="A2" s="39" t="s">
        <v>83</v>
      </c>
      <c r="B2" s="17" t="s">
        <v>33</v>
      </c>
      <c r="C2" s="17">
        <v>1</v>
      </c>
    </row>
    <row r="3" spans="1:5" x14ac:dyDescent="0.4">
      <c r="A3" s="39" t="s">
        <v>84</v>
      </c>
      <c r="B3" s="17" t="s">
        <v>34</v>
      </c>
      <c r="C3" s="17">
        <v>1</v>
      </c>
    </row>
    <row r="4" spans="1:5" x14ac:dyDescent="0.4">
      <c r="A4" s="39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39" t="s">
        <v>86</v>
      </c>
      <c r="B5" s="17" t="s">
        <v>36</v>
      </c>
      <c r="C5" s="17">
        <v>1</v>
      </c>
      <c r="E5" s="39" t="s">
        <v>133</v>
      </c>
    </row>
    <row r="6" spans="1:5" x14ac:dyDescent="0.4">
      <c r="A6" s="39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39" t="s">
        <v>88</v>
      </c>
      <c r="B7" s="17" t="s">
        <v>38</v>
      </c>
      <c r="C7" s="17">
        <v>1</v>
      </c>
    </row>
    <row r="8" spans="1:5" x14ac:dyDescent="0.4">
      <c r="A8" s="39" t="s">
        <v>89</v>
      </c>
      <c r="B8" s="17" t="s">
        <v>39</v>
      </c>
      <c r="C8" s="17">
        <v>1</v>
      </c>
    </row>
    <row r="9" spans="1:5" x14ac:dyDescent="0.4">
      <c r="A9" s="39" t="s">
        <v>90</v>
      </c>
      <c r="B9" s="17" t="s">
        <v>40</v>
      </c>
      <c r="C9" s="17">
        <v>1</v>
      </c>
    </row>
    <row r="10" spans="1:5" x14ac:dyDescent="0.4">
      <c r="A10" s="39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39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39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39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39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39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39" t="s">
        <v>97</v>
      </c>
      <c r="B16" s="17" t="s">
        <v>47</v>
      </c>
      <c r="C16" s="17">
        <v>2</v>
      </c>
      <c r="E16" s="39" t="s">
        <v>83</v>
      </c>
    </row>
    <row r="17" spans="1:4" x14ac:dyDescent="0.4">
      <c r="A17" s="39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39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39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39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39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39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39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39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39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39" t="s">
        <v>107</v>
      </c>
      <c r="B26" s="17" t="s">
        <v>57</v>
      </c>
      <c r="C26" s="17">
        <v>2</v>
      </c>
    </row>
    <row r="27" spans="1:4" x14ac:dyDescent="0.4">
      <c r="A27" s="39" t="s">
        <v>108</v>
      </c>
      <c r="B27" s="17" t="s">
        <v>58</v>
      </c>
      <c r="C27" s="17">
        <v>3</v>
      </c>
    </row>
    <row r="28" spans="1:4" x14ac:dyDescent="0.4">
      <c r="A28" s="39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39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39" t="s">
        <v>111</v>
      </c>
      <c r="B30" s="17" t="s">
        <v>61</v>
      </c>
      <c r="C30" s="17">
        <v>5</v>
      </c>
    </row>
    <row r="31" spans="1:4" x14ac:dyDescent="0.4">
      <c r="A31" s="39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39" t="s">
        <v>113</v>
      </c>
      <c r="B32" s="17" t="s">
        <v>63</v>
      </c>
      <c r="C32" s="17">
        <v>13</v>
      </c>
    </row>
    <row r="33" spans="1:5" x14ac:dyDescent="0.4">
      <c r="A33" s="39" t="s">
        <v>114</v>
      </c>
      <c r="B33" s="17" t="s">
        <v>64</v>
      </c>
      <c r="C33" s="17">
        <v>13</v>
      </c>
    </row>
    <row r="34" spans="1:5" x14ac:dyDescent="0.4">
      <c r="A34" s="39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39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39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39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39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39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39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39" t="s">
        <v>122</v>
      </c>
      <c r="B41" s="17" t="s">
        <v>72</v>
      </c>
      <c r="C41" s="17">
        <v>13</v>
      </c>
    </row>
    <row r="42" spans="1:5" x14ac:dyDescent="0.4">
      <c r="A42" s="39" t="s">
        <v>123</v>
      </c>
      <c r="B42" s="17" t="s">
        <v>73</v>
      </c>
      <c r="C42" s="17">
        <v>13</v>
      </c>
    </row>
    <row r="43" spans="1:5" x14ac:dyDescent="0.4">
      <c r="A43" s="39" t="s">
        <v>124</v>
      </c>
      <c r="B43" s="17" t="s">
        <v>74</v>
      </c>
      <c r="C43" s="17">
        <v>13</v>
      </c>
    </row>
    <row r="44" spans="1:5" x14ac:dyDescent="0.4">
      <c r="A44" s="39" t="s">
        <v>125</v>
      </c>
      <c r="B44" s="17" t="s">
        <v>75</v>
      </c>
      <c r="C44" s="17">
        <v>13</v>
      </c>
    </row>
    <row r="45" spans="1:5" x14ac:dyDescent="0.4">
      <c r="A45" s="39" t="s">
        <v>126</v>
      </c>
      <c r="B45" s="17" t="s">
        <v>76</v>
      </c>
      <c r="C45" s="17">
        <v>26</v>
      </c>
      <c r="E45" s="39" t="s">
        <v>134</v>
      </c>
    </row>
    <row r="46" spans="1:5" x14ac:dyDescent="0.4">
      <c r="A46" s="39" t="s">
        <v>127</v>
      </c>
      <c r="B46" s="17" t="s">
        <v>77</v>
      </c>
      <c r="C46" s="17">
        <v>26</v>
      </c>
      <c r="E46" s="39" t="s">
        <v>135</v>
      </c>
    </row>
    <row r="47" spans="1:5" x14ac:dyDescent="0.4">
      <c r="A47" s="39" t="s">
        <v>128</v>
      </c>
      <c r="B47" s="17" t="s">
        <v>78</v>
      </c>
      <c r="C47" s="17">
        <v>26</v>
      </c>
      <c r="E47" s="39" t="s">
        <v>136</v>
      </c>
    </row>
    <row r="48" spans="1:5" x14ac:dyDescent="0.4">
      <c r="A48" s="39" t="s">
        <v>129</v>
      </c>
      <c r="B48" s="17" t="s">
        <v>79</v>
      </c>
      <c r="C48" s="17">
        <v>13</v>
      </c>
    </row>
    <row r="49" spans="1:3" x14ac:dyDescent="0.4">
      <c r="A49" s="39" t="s">
        <v>130</v>
      </c>
      <c r="B49" s="17" t="s">
        <v>80</v>
      </c>
      <c r="C49" s="17">
        <v>13</v>
      </c>
    </row>
    <row r="50" spans="1:3" x14ac:dyDescent="0.4">
      <c r="A50" s="39" t="s">
        <v>131</v>
      </c>
      <c r="B50" s="17" t="s">
        <v>81</v>
      </c>
      <c r="C50" s="17">
        <v>13</v>
      </c>
    </row>
    <row r="51" spans="1:3" x14ac:dyDescent="0.4">
      <c r="A51" s="39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35"/>
    <col min="12" max="12" width="9" style="35" customWidth="1"/>
    <col min="13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D3" s="35">
        <v>3900</v>
      </c>
      <c r="E3" s="35">
        <v>7700</v>
      </c>
    </row>
    <row r="4" spans="1:12" x14ac:dyDescent="0.4">
      <c r="A4" s="17">
        <v>25</v>
      </c>
      <c r="C4" s="35">
        <v>2400</v>
      </c>
      <c r="D4" s="35">
        <v>4800</v>
      </c>
      <c r="E4" s="35">
        <v>9600</v>
      </c>
    </row>
    <row r="5" spans="1:12" x14ac:dyDescent="0.4">
      <c r="A5" s="17">
        <v>30</v>
      </c>
      <c r="B5" s="35">
        <v>1500</v>
      </c>
      <c r="C5" s="35">
        <v>2900</v>
      </c>
      <c r="D5" s="35">
        <v>5800</v>
      </c>
      <c r="E5" s="35">
        <v>12000</v>
      </c>
    </row>
    <row r="6" spans="1:12" x14ac:dyDescent="0.4">
      <c r="A6" s="17">
        <v>40</v>
      </c>
      <c r="B6" s="35">
        <v>2000</v>
      </c>
      <c r="C6" s="35">
        <v>3900</v>
      </c>
      <c r="D6" s="35">
        <v>7700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2900</v>
      </c>
      <c r="C8" s="35">
        <v>5800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3400</v>
      </c>
      <c r="C9" s="35">
        <v>6800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3900</v>
      </c>
      <c r="C10" s="35">
        <v>7700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4400</v>
      </c>
      <c r="C11" s="35">
        <v>8700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C13" s="35">
        <v>10600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B3" s="35" t="s">
        <v>11</v>
      </c>
      <c r="C3" s="35">
        <v>2200</v>
      </c>
      <c r="D3" s="35">
        <v>4000</v>
      </c>
      <c r="E3" s="35">
        <v>7800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4800</v>
      </c>
      <c r="E4" s="35">
        <v>9600</v>
      </c>
    </row>
    <row r="5" spans="1:12" x14ac:dyDescent="0.4">
      <c r="A5" s="17">
        <v>30</v>
      </c>
      <c r="B5" s="35">
        <v>1600</v>
      </c>
      <c r="C5" s="35">
        <v>3000</v>
      </c>
      <c r="D5" s="35">
        <v>6000</v>
      </c>
      <c r="E5" s="35">
        <v>12000</v>
      </c>
    </row>
    <row r="6" spans="1:12" x14ac:dyDescent="0.4">
      <c r="A6" s="17">
        <v>40</v>
      </c>
      <c r="B6" s="35">
        <v>2200</v>
      </c>
      <c r="C6" s="35">
        <v>4000</v>
      </c>
      <c r="D6" s="35">
        <v>7800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3000</v>
      </c>
      <c r="C8" s="35">
        <v>6000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3600</v>
      </c>
      <c r="C9" s="35">
        <v>7000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4000</v>
      </c>
      <c r="C10" s="35">
        <v>7800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4600</v>
      </c>
      <c r="C11" s="35">
        <v>8800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B13" s="35" t="s">
        <v>11</v>
      </c>
      <c r="C13" s="35">
        <v>10800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-6000</v>
      </c>
      <c r="G2" s="35">
        <v>-9000</v>
      </c>
      <c r="H2" s="35">
        <v>-12000</v>
      </c>
      <c r="I2" s="35">
        <v>-18000</v>
      </c>
      <c r="J2" s="35">
        <v>-24000</v>
      </c>
      <c r="K2" s="35">
        <v>-48000</v>
      </c>
      <c r="L2" s="35">
        <v>-72000</v>
      </c>
    </row>
    <row r="3" spans="1:12" x14ac:dyDescent="0.4">
      <c r="A3" s="17">
        <v>20</v>
      </c>
      <c r="B3" s="35" t="s">
        <v>11</v>
      </c>
      <c r="C3" s="35">
        <v>-1100</v>
      </c>
      <c r="D3" s="35">
        <v>-2000</v>
      </c>
      <c r="E3" s="35">
        <v>-3900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-2400</v>
      </c>
      <c r="E4" s="35">
        <v>-4800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-800</v>
      </c>
      <c r="C5" s="35">
        <v>-1500</v>
      </c>
      <c r="D5" s="35">
        <v>-3000</v>
      </c>
      <c r="E5" s="35">
        <v>-6000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-1100</v>
      </c>
      <c r="C6" s="35">
        <v>-2000</v>
      </c>
      <c r="D6" s="35">
        <v>-3900</v>
      </c>
      <c r="E6" s="35">
        <v>-6000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-1200</v>
      </c>
      <c r="C7" s="35">
        <v>-2400</v>
      </c>
      <c r="D7" s="35">
        <v>-4800</v>
      </c>
      <c r="E7" s="35">
        <v>-6000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-1500</v>
      </c>
      <c r="C8" s="35">
        <v>-3000</v>
      </c>
      <c r="D8" s="35">
        <v>-6000</v>
      </c>
      <c r="E8" s="35">
        <v>-6000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-1800</v>
      </c>
      <c r="C9" s="35">
        <v>-3500</v>
      </c>
      <c r="D9" s="35">
        <v>-6000</v>
      </c>
      <c r="E9" s="35">
        <v>-6000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-2000</v>
      </c>
      <c r="C10" s="35">
        <v>-3900</v>
      </c>
      <c r="D10" s="35">
        <v>-6000</v>
      </c>
      <c r="E10" s="35">
        <v>-6000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-2300</v>
      </c>
      <c r="C11" s="35">
        <v>-4400</v>
      </c>
      <c r="D11" s="35">
        <v>-6000</v>
      </c>
      <c r="E11" s="35">
        <v>-6000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-2400</v>
      </c>
      <c r="C12" s="35">
        <v>-4800</v>
      </c>
      <c r="D12" s="35">
        <v>-6000</v>
      </c>
      <c r="E12" s="35">
        <v>-6000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-5400</v>
      </c>
      <c r="D13" s="35">
        <v>-6000</v>
      </c>
      <c r="E13" s="35">
        <v>-6000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 t="s">
        <v>11</v>
      </c>
      <c r="D3" s="35">
        <v>2600</v>
      </c>
      <c r="E3" s="35">
        <v>5200</v>
      </c>
    </row>
    <row r="4" spans="1:12" x14ac:dyDescent="0.4">
      <c r="A4" s="17">
        <v>25</v>
      </c>
      <c r="B4" s="35" t="s">
        <v>11</v>
      </c>
      <c r="C4" s="35">
        <v>1600</v>
      </c>
      <c r="D4" s="35">
        <v>3200</v>
      </c>
      <c r="E4" s="35">
        <v>6400</v>
      </c>
    </row>
    <row r="5" spans="1:12" x14ac:dyDescent="0.4">
      <c r="A5" s="17">
        <v>30</v>
      </c>
      <c r="B5" s="35">
        <v>1000</v>
      </c>
      <c r="C5" s="35">
        <v>2000</v>
      </c>
      <c r="D5" s="35">
        <v>3900</v>
      </c>
      <c r="E5" s="35">
        <v>8000</v>
      </c>
    </row>
    <row r="6" spans="1:12" x14ac:dyDescent="0.4">
      <c r="A6" s="17">
        <v>40</v>
      </c>
      <c r="B6" s="35">
        <v>1300</v>
      </c>
      <c r="C6" s="35">
        <v>2600</v>
      </c>
      <c r="D6" s="35">
        <v>5200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2000</v>
      </c>
      <c r="C8" s="35">
        <v>3900</v>
      </c>
      <c r="D8" s="35">
        <v>8000</v>
      </c>
      <c r="E8" s="35">
        <v>8000</v>
      </c>
    </row>
    <row r="9" spans="1:12" x14ac:dyDescent="0.4">
      <c r="A9" s="17">
        <v>70</v>
      </c>
      <c r="B9" s="35">
        <v>2300</v>
      </c>
      <c r="C9" s="35">
        <v>4500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2600</v>
      </c>
      <c r="C10" s="35">
        <v>5200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2900</v>
      </c>
      <c r="C11" s="35">
        <v>5800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7100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>
        <v>1500</v>
      </c>
      <c r="D3" s="35">
        <v>2800</v>
      </c>
      <c r="E3" s="35">
        <v>5300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3200</v>
      </c>
      <c r="E4" s="35">
        <v>6400</v>
      </c>
    </row>
    <row r="5" spans="1:12" x14ac:dyDescent="0.4">
      <c r="A5" s="17">
        <v>30</v>
      </c>
      <c r="B5" s="35">
        <v>1200</v>
      </c>
      <c r="C5" s="35">
        <v>2100</v>
      </c>
      <c r="D5" s="35">
        <v>4000</v>
      </c>
      <c r="E5" s="35">
        <v>8000</v>
      </c>
    </row>
    <row r="6" spans="1:12" x14ac:dyDescent="0.4">
      <c r="A6" s="17">
        <v>40</v>
      </c>
      <c r="B6" s="35">
        <v>1500</v>
      </c>
      <c r="C6" s="35">
        <v>2800</v>
      </c>
      <c r="D6" s="35">
        <v>5300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2100</v>
      </c>
      <c r="C8" s="35">
        <v>4000</v>
      </c>
      <c r="D8" s="35">
        <v>8000</v>
      </c>
      <c r="E8" s="35">
        <v>8000</v>
      </c>
    </row>
    <row r="9" spans="1:12" x14ac:dyDescent="0.4">
      <c r="A9" s="17">
        <v>70</v>
      </c>
      <c r="B9" s="35">
        <v>2400</v>
      </c>
      <c r="C9" s="35">
        <v>4700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2800</v>
      </c>
      <c r="C10" s="35">
        <v>5300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3100</v>
      </c>
      <c r="C11" s="35">
        <v>6000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7200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-3000</v>
      </c>
      <c r="G2" s="35">
        <v>-4500</v>
      </c>
      <c r="H2" s="35">
        <v>-6000</v>
      </c>
      <c r="I2" s="35">
        <v>-9000</v>
      </c>
      <c r="J2" s="35">
        <v>-12000</v>
      </c>
      <c r="K2" s="35">
        <v>-24000</v>
      </c>
      <c r="L2" s="35">
        <v>-36000</v>
      </c>
    </row>
    <row r="3" spans="1:12" x14ac:dyDescent="0.4">
      <c r="A3" s="17">
        <v>20</v>
      </c>
      <c r="B3" s="35" t="s">
        <v>11</v>
      </c>
      <c r="C3" s="35">
        <v>-600</v>
      </c>
      <c r="D3" s="35">
        <v>-1100</v>
      </c>
      <c r="E3" s="35">
        <v>-2000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-1200</v>
      </c>
      <c r="E4" s="35">
        <v>-2400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-500</v>
      </c>
      <c r="C5" s="35">
        <v>-800</v>
      </c>
      <c r="D5" s="35">
        <v>-1500</v>
      </c>
      <c r="E5" s="35">
        <v>-3000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-600</v>
      </c>
      <c r="C6" s="35">
        <v>-1100</v>
      </c>
      <c r="D6" s="35">
        <v>-2000</v>
      </c>
      <c r="E6" s="35">
        <v>-3000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-600</v>
      </c>
      <c r="C7" s="35">
        <v>-1200</v>
      </c>
      <c r="D7" s="35">
        <v>-2400</v>
      </c>
      <c r="E7" s="35">
        <v>-3000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-800</v>
      </c>
      <c r="C8" s="35">
        <v>-1500</v>
      </c>
      <c r="D8" s="35">
        <v>-3000</v>
      </c>
      <c r="E8" s="35">
        <v>-3000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-900</v>
      </c>
      <c r="C9" s="35">
        <v>-1800</v>
      </c>
      <c r="D9" s="35">
        <v>-3000</v>
      </c>
      <c r="E9" s="35">
        <v>-3000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-1100</v>
      </c>
      <c r="C10" s="35">
        <v>-2000</v>
      </c>
      <c r="D10" s="35">
        <v>-3000</v>
      </c>
      <c r="E10" s="35">
        <v>-3000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-1200</v>
      </c>
      <c r="C11" s="35">
        <v>-2300</v>
      </c>
      <c r="D11" s="35">
        <v>-3000</v>
      </c>
      <c r="E11" s="35">
        <v>-3000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-1200</v>
      </c>
      <c r="C12" s="35">
        <v>-2400</v>
      </c>
      <c r="D12" s="35">
        <v>-3000</v>
      </c>
      <c r="E12" s="35">
        <v>-3000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-2700</v>
      </c>
      <c r="D13" s="35">
        <v>-3000</v>
      </c>
      <c r="E13" s="35">
        <v>-3000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-5000</v>
      </c>
      <c r="G2" s="35">
        <v>-7500</v>
      </c>
      <c r="H2" s="35">
        <v>-10000</v>
      </c>
      <c r="I2" s="35">
        <v>-15000</v>
      </c>
      <c r="J2" s="35">
        <v>-20000</v>
      </c>
      <c r="K2" s="35">
        <v>-40000</v>
      </c>
      <c r="L2" s="35">
        <v>-60000</v>
      </c>
    </row>
    <row r="3" spans="1:12" x14ac:dyDescent="0.4">
      <c r="A3" s="17">
        <v>20</v>
      </c>
      <c r="B3" s="35" t="s">
        <v>11</v>
      </c>
      <c r="C3" s="35">
        <v>-900</v>
      </c>
      <c r="D3" s="35">
        <v>-1700</v>
      </c>
      <c r="E3" s="35">
        <v>-3300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-2000</v>
      </c>
      <c r="E4" s="35">
        <v>-4000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-700</v>
      </c>
      <c r="C5" s="35">
        <v>-1300</v>
      </c>
      <c r="D5" s="35">
        <v>-2500</v>
      </c>
      <c r="E5" s="35">
        <v>-5000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-900</v>
      </c>
      <c r="C6" s="35">
        <v>-1700</v>
      </c>
      <c r="D6" s="35">
        <v>-3300</v>
      </c>
      <c r="E6" s="35">
        <v>-5000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-1000</v>
      </c>
      <c r="C7" s="35">
        <v>-2000</v>
      </c>
      <c r="D7" s="35">
        <v>-4000</v>
      </c>
      <c r="E7" s="35">
        <v>-5000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-1300</v>
      </c>
      <c r="C8" s="35">
        <v>-2500</v>
      </c>
      <c r="D8" s="35">
        <v>-5000</v>
      </c>
      <c r="E8" s="35">
        <v>-5000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-1500</v>
      </c>
      <c r="C9" s="35">
        <v>-2900</v>
      </c>
      <c r="D9" s="35">
        <v>-5000</v>
      </c>
      <c r="E9" s="35">
        <v>-5000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-1700</v>
      </c>
      <c r="C10" s="35">
        <v>-3300</v>
      </c>
      <c r="D10" s="35">
        <v>-5000</v>
      </c>
      <c r="E10" s="35">
        <v>-5000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-1900</v>
      </c>
      <c r="C11" s="35">
        <v>-3700</v>
      </c>
      <c r="D11" s="35">
        <v>-5000</v>
      </c>
      <c r="E11" s="35">
        <v>-5000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-2000</v>
      </c>
      <c r="C12" s="35">
        <v>-4000</v>
      </c>
      <c r="D12" s="35">
        <v>-5000</v>
      </c>
      <c r="E12" s="35">
        <v>-5000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-4500</v>
      </c>
      <c r="D13" s="35">
        <v>-5000</v>
      </c>
      <c r="E13" s="35">
        <v>-5000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2018-12-20T05:39:58Z</dcterms:modified>
</cp:coreProperties>
</file>