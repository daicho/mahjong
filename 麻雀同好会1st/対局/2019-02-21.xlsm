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400A3195-0BCC-423C-9BDE-6A178ACF5652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7" r:id="rId2"/>
    <sheet name="Sheet3" sheetId="18" r:id="rId3"/>
    <sheet name="Sheet4" sheetId="19" r:id="rId4"/>
    <sheet name="Sheet5" sheetId="20" r:id="rId5"/>
    <sheet name="Sheet6" sheetId="22" r:id="rId6"/>
    <sheet name="Sheet7" sheetId="23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 s="1"/>
  <c r="T12" i="23"/>
  <c r="W12" i="23" s="1"/>
  <c r="O12" i="23"/>
  <c r="V12" i="23" s="1"/>
  <c r="J12" i="23"/>
  <c r="U12" i="23" s="1"/>
  <c r="D12" i="23"/>
  <c r="C12" i="23"/>
  <c r="B12" i="23"/>
  <c r="A12" i="23" s="1"/>
  <c r="D11" i="23"/>
  <c r="C11" i="23"/>
  <c r="D10" i="23"/>
  <c r="C10" i="23"/>
  <c r="D9" i="23"/>
  <c r="C9" i="23"/>
  <c r="D8" i="23"/>
  <c r="C8" i="23"/>
  <c r="D7" i="23"/>
  <c r="D6" i="23"/>
  <c r="C6" i="23"/>
  <c r="C7" i="23" s="1"/>
  <c r="J5" i="23"/>
  <c r="U5" i="23" s="1"/>
  <c r="D5" i="23"/>
  <c r="C5" i="23"/>
  <c r="B5" i="23"/>
  <c r="B6" i="23" s="1"/>
  <c r="T4" i="23"/>
  <c r="W4" i="23" s="1"/>
  <c r="O4" i="23"/>
  <c r="O5" i="23" s="1"/>
  <c r="J4" i="23"/>
  <c r="U4" i="23" s="1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W11" i="22" s="1"/>
  <c r="O11" i="22"/>
  <c r="V11" i="22" s="1"/>
  <c r="J11" i="22"/>
  <c r="U11" i="22" s="1"/>
  <c r="D11" i="22"/>
  <c r="C11" i="22"/>
  <c r="B11" i="22"/>
  <c r="A11" i="22" s="1"/>
  <c r="T10" i="22"/>
  <c r="W10" i="22" s="1"/>
  <c r="O10" i="22"/>
  <c r="V10" i="22" s="1"/>
  <c r="J10" i="22"/>
  <c r="U10" i="22" s="1"/>
  <c r="D10" i="22"/>
  <c r="C10" i="22"/>
  <c r="D9" i="22"/>
  <c r="C9" i="22"/>
  <c r="D8" i="22"/>
  <c r="C8" i="22"/>
  <c r="D7" i="22"/>
  <c r="C7" i="22"/>
  <c r="D6" i="22"/>
  <c r="C6" i="22"/>
  <c r="O5" i="22"/>
  <c r="O6" i="22" s="1"/>
  <c r="J5" i="22"/>
  <c r="U5" i="22" s="1"/>
  <c r="D5" i="22"/>
  <c r="C5" i="22"/>
  <c r="B5" i="22"/>
  <c r="B6" i="22" s="1"/>
  <c r="T4" i="22"/>
  <c r="W4" i="22" s="1"/>
  <c r="O4" i="22"/>
  <c r="V4" i="22" s="1"/>
  <c r="J4" i="22"/>
  <c r="U4" i="22" s="1"/>
  <c r="W3" i="22"/>
  <c r="V3" i="22"/>
  <c r="U3" i="22"/>
  <c r="W2" i="22"/>
  <c r="V2" i="22"/>
  <c r="U2" i="22"/>
  <c r="BO1" i="22"/>
  <c r="AT1" i="22"/>
  <c r="Y1" i="22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 s="1"/>
  <c r="D9" i="20"/>
  <c r="C9" i="20"/>
  <c r="D8" i="20"/>
  <c r="C8" i="20"/>
  <c r="D7" i="20"/>
  <c r="C7" i="20"/>
  <c r="D6" i="20"/>
  <c r="C6" i="20"/>
  <c r="D5" i="20"/>
  <c r="C5" i="20"/>
  <c r="B5" i="20"/>
  <c r="B6" i="20" s="1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D9" i="19"/>
  <c r="C9" i="19"/>
  <c r="D8" i="19"/>
  <c r="C8" i="19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D12" i="18"/>
  <c r="C12" i="18"/>
  <c r="D11" i="18"/>
  <c r="C11" i="18"/>
  <c r="D10" i="18"/>
  <c r="C10" i="18"/>
  <c r="D9" i="18"/>
  <c r="C9" i="18"/>
  <c r="D8" i="18"/>
  <c r="C8" i="18"/>
  <c r="D7" i="18"/>
  <c r="D6" i="18"/>
  <c r="C6" i="18"/>
  <c r="C7" i="18" s="1"/>
  <c r="B6" i="18"/>
  <c r="B7" i="18" s="1"/>
  <c r="J5" i="18"/>
  <c r="J6" i="18" s="1"/>
  <c r="D5" i="18"/>
  <c r="C5" i="18"/>
  <c r="B5" i="18"/>
  <c r="A6" i="18" s="1"/>
  <c r="T4" i="18"/>
  <c r="T5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A5" i="23" l="1"/>
  <c r="V4" i="23"/>
  <c r="O6" i="23"/>
  <c r="V5" i="23"/>
  <c r="A6" i="23"/>
  <c r="B7" i="23"/>
  <c r="T5" i="23"/>
  <c r="J6" i="23"/>
  <c r="A5" i="22"/>
  <c r="V5" i="22"/>
  <c r="B7" i="22"/>
  <c r="A7" i="22" s="1"/>
  <c r="V6" i="22"/>
  <c r="O7" i="22"/>
  <c r="T5" i="22"/>
  <c r="A6" i="22"/>
  <c r="J6" i="22"/>
  <c r="J5" i="20"/>
  <c r="U5" i="20" s="1"/>
  <c r="O5" i="20"/>
  <c r="O6" i="20" s="1"/>
  <c r="A5" i="20"/>
  <c r="V5" i="20"/>
  <c r="B7" i="20"/>
  <c r="O7" i="20"/>
  <c r="V6" i="20"/>
  <c r="T5" i="20"/>
  <c r="A6" i="20"/>
  <c r="J6" i="20"/>
  <c r="A5" i="19"/>
  <c r="V5" i="19"/>
  <c r="B7" i="19"/>
  <c r="A7" i="19" s="1"/>
  <c r="V6" i="19"/>
  <c r="O7" i="19"/>
  <c r="T5" i="19"/>
  <c r="A6" i="19"/>
  <c r="J6" i="19"/>
  <c r="A5" i="18"/>
  <c r="W4" i="18"/>
  <c r="U5" i="18"/>
  <c r="U6" i="18"/>
  <c r="J7" i="18"/>
  <c r="W5" i="18"/>
  <c r="T6" i="18"/>
  <c r="B8" i="18"/>
  <c r="A7" i="18"/>
  <c r="O5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 s="1"/>
  <c r="T10" i="17"/>
  <c r="W10" i="17" s="1"/>
  <c r="O10" i="17"/>
  <c r="V10" i="17" s="1"/>
  <c r="J10" i="17"/>
  <c r="U10" i="17" s="1"/>
  <c r="D10" i="17"/>
  <c r="C10" i="17"/>
  <c r="B10" i="17"/>
  <c r="A10" i="17"/>
  <c r="T9" i="17"/>
  <c r="W9" i="17" s="1"/>
  <c r="O9" i="17"/>
  <c r="V9" i="17" s="1"/>
  <c r="J9" i="17"/>
  <c r="U9" i="17" s="1"/>
  <c r="D9" i="17"/>
  <c r="C9" i="17"/>
  <c r="B9" i="17"/>
  <c r="A9" i="17" s="1"/>
  <c r="D8" i="17"/>
  <c r="D7" i="17"/>
  <c r="D6" i="17"/>
  <c r="C6" i="17"/>
  <c r="C7" i="17" s="1"/>
  <c r="C8" i="17" s="1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B8" i="23" l="1"/>
  <c r="V6" i="23"/>
  <c r="O7" i="23"/>
  <c r="J7" i="23"/>
  <c r="U6" i="23"/>
  <c r="A7" i="23"/>
  <c r="W5" i="23"/>
  <c r="T6" i="23"/>
  <c r="O8" i="22"/>
  <c r="V7" i="22"/>
  <c r="U6" i="22"/>
  <c r="J7" i="22"/>
  <c r="W5" i="22"/>
  <c r="T6" i="22"/>
  <c r="B8" i="22"/>
  <c r="A8" i="22" s="1"/>
  <c r="A7" i="20"/>
  <c r="J7" i="20"/>
  <c r="U6" i="20"/>
  <c r="O8" i="20"/>
  <c r="V7" i="20"/>
  <c r="T6" i="20"/>
  <c r="W5" i="20"/>
  <c r="B8" i="20"/>
  <c r="A8" i="20" s="1"/>
  <c r="O8" i="19"/>
  <c r="V7" i="19"/>
  <c r="U6" i="19"/>
  <c r="J7" i="19"/>
  <c r="W5" i="19"/>
  <c r="T6" i="19"/>
  <c r="B8" i="19"/>
  <c r="A8" i="19" s="1"/>
  <c r="O6" i="18"/>
  <c r="V5" i="18"/>
  <c r="B9" i="18"/>
  <c r="J8" i="18"/>
  <c r="U7" i="18"/>
  <c r="T7" i="18"/>
  <c r="W6" i="18"/>
  <c r="A8" i="18"/>
  <c r="A5" i="17"/>
  <c r="V5" i="17"/>
  <c r="V6" i="17"/>
  <c r="O7" i="17"/>
  <c r="B7" i="17"/>
  <c r="T5" i="17"/>
  <c r="A6" i="17"/>
  <c r="J6" i="17"/>
  <c r="A8" i="23" l="1"/>
  <c r="W6" i="23"/>
  <c r="T7" i="23"/>
  <c r="U7" i="23"/>
  <c r="J8" i="23"/>
  <c r="B9" i="23"/>
  <c r="O8" i="23"/>
  <c r="V7" i="23"/>
  <c r="U7" i="22"/>
  <c r="J8" i="22"/>
  <c r="W6" i="22"/>
  <c r="T7" i="22"/>
  <c r="B9" i="22"/>
  <c r="A9" i="22" s="1"/>
  <c r="V8" i="22"/>
  <c r="O9" i="22"/>
  <c r="V9" i="22" s="1"/>
  <c r="V8" i="20"/>
  <c r="O9" i="20"/>
  <c r="V9" i="20" s="1"/>
  <c r="B9" i="20"/>
  <c r="A9" i="20" s="1"/>
  <c r="W6" i="20"/>
  <c r="T7" i="20"/>
  <c r="U7" i="20"/>
  <c r="J8" i="20"/>
  <c r="U7" i="19"/>
  <c r="J8" i="19"/>
  <c r="B9" i="19"/>
  <c r="A9" i="19" s="1"/>
  <c r="W6" i="19"/>
  <c r="T7" i="19"/>
  <c r="O9" i="19"/>
  <c r="V9" i="19" s="1"/>
  <c r="V8" i="19"/>
  <c r="A9" i="18"/>
  <c r="B10" i="18"/>
  <c r="T8" i="18"/>
  <c r="W7" i="18"/>
  <c r="U8" i="18"/>
  <c r="J9" i="18"/>
  <c r="V6" i="18"/>
  <c r="O7" i="18"/>
  <c r="B8" i="17"/>
  <c r="A8" i="17" s="1"/>
  <c r="A7" i="17"/>
  <c r="O8" i="17"/>
  <c r="V8" i="17" s="1"/>
  <c r="V7" i="17"/>
  <c r="U6" i="17"/>
  <c r="J7" i="17"/>
  <c r="W5" i="17"/>
  <c r="T6" i="17"/>
  <c r="B10" i="23" l="1"/>
  <c r="T8" i="23"/>
  <c r="W7" i="23"/>
  <c r="A9" i="23"/>
  <c r="A10" i="23" s="1"/>
  <c r="J9" i="23"/>
  <c r="U8" i="23"/>
  <c r="V8" i="23"/>
  <c r="O9" i="23"/>
  <c r="W7" i="22"/>
  <c r="T8" i="22"/>
  <c r="U8" i="22"/>
  <c r="J9" i="22"/>
  <c r="U9" i="22" s="1"/>
  <c r="B10" i="22"/>
  <c r="A10" i="22"/>
  <c r="U8" i="20"/>
  <c r="J9" i="20"/>
  <c r="U9" i="20" s="1"/>
  <c r="W7" i="20"/>
  <c r="T8" i="20"/>
  <c r="W7" i="19"/>
  <c r="T8" i="19"/>
  <c r="U8" i="19"/>
  <c r="J9" i="19"/>
  <c r="U9" i="19" s="1"/>
  <c r="J10" i="18"/>
  <c r="U9" i="18"/>
  <c r="O8" i="18"/>
  <c r="V7" i="18"/>
  <c r="T9" i="18"/>
  <c r="W8" i="18"/>
  <c r="B11" i="18"/>
  <c r="A10" i="18"/>
  <c r="A11" i="18" s="1"/>
  <c r="W6" i="17"/>
  <c r="T7" i="17"/>
  <c r="U7" i="17"/>
  <c r="J8" i="17"/>
  <c r="U8" i="17" s="1"/>
  <c r="U9" i="23" l="1"/>
  <c r="J10" i="23"/>
  <c r="O10" i="23"/>
  <c r="V9" i="23"/>
  <c r="B11" i="23"/>
  <c r="A11" i="23" s="1"/>
  <c r="W8" i="23"/>
  <c r="T9" i="23"/>
  <c r="W8" i="22"/>
  <c r="T9" i="22"/>
  <c r="W9" i="22" s="1"/>
  <c r="W8" i="20"/>
  <c r="T9" i="20"/>
  <c r="W9" i="20" s="1"/>
  <c r="W8" i="19"/>
  <c r="T9" i="19"/>
  <c r="W9" i="19" s="1"/>
  <c r="W9" i="18"/>
  <c r="T10" i="18"/>
  <c r="U10" i="18"/>
  <c r="J11" i="18"/>
  <c r="B12" i="18"/>
  <c r="A12" i="18" s="1"/>
  <c r="V8" i="18"/>
  <c r="O9" i="18"/>
  <c r="W7" i="17"/>
  <c r="T8" i="17"/>
  <c r="W8" i="17" s="1"/>
  <c r="V10" i="23" l="1"/>
  <c r="O11" i="23"/>
  <c r="V11" i="23" s="1"/>
  <c r="U10" i="23"/>
  <c r="J11" i="23"/>
  <c r="U11" i="23" s="1"/>
  <c r="T10" i="23"/>
  <c r="W9" i="23"/>
  <c r="T11" i="18"/>
  <c r="W10" i="18"/>
  <c r="V9" i="18"/>
  <c r="O10" i="18"/>
  <c r="J12" i="18"/>
  <c r="U12" i="18" s="1"/>
  <c r="U11" i="18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10" i="23" l="1"/>
  <c r="T11" i="23"/>
  <c r="W11" i="23" s="1"/>
  <c r="V10" i="18"/>
  <c r="O11" i="18"/>
  <c r="W11" i="18"/>
  <c r="T12" i="18"/>
  <c r="W12" i="18" s="1"/>
  <c r="W3" i="1"/>
  <c r="V3" i="1"/>
  <c r="U3" i="1"/>
  <c r="V11" i="18" l="1"/>
  <c r="O12" i="18"/>
  <c r="V12" i="18" s="1"/>
  <c r="B5" i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U10" i="1" s="1"/>
  <c r="J11" i="1"/>
  <c r="U11" i="1" s="1"/>
  <c r="O10" i="1"/>
  <c r="V10" i="1" s="1"/>
  <c r="T9" i="1"/>
  <c r="B14" i="1"/>
  <c r="A14" i="1" s="1"/>
  <c r="W9" i="1" l="1"/>
  <c r="O11" i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<sst xmlns="http://schemas.openxmlformats.org/spreadsheetml/2006/main" count="1136" uniqueCount="157">
  <si>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</si>
  <si>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</si>
  <si>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</si>
  <si>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</si>
  <si>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</si>
  <si>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</si>
  <si>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</si>
  <si>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</si>
  <si>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</si>
  <si>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</si>
  <si>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</si>
  <si>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</si>
  <si>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</si>
  <si>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</si>
  <si>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</si>
  <si>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</si>
  <si>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</si>
  <si>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</si>
  <si>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</si>
  <si>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</si>
  <si>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</si>
  <si>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</si>
  <si>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</si>
  <si>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</si>
  <si>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</si>
  <si>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</si>
  <si>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</si>
  <si>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</si>
  <si>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</si>
  <si>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</si>
  <si>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</si>
  <si>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</si>
  <si>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</si>
  <si>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</si>
  <si>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</si>
  <si>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</si>
  <si>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</si>
  <si>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</si>
  <si>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</si>
  <si>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</si>
  <si>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</si>
  <si>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</si>
  <si>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</si>
  <si>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</si>
  <si>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</si>
  <si>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</si>
  <si>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</si>
  <si>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</si>
  <si>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</si>
  <si>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</si>
  <si>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</si>
  <si>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</si>
  <si>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</si>
  <si>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</si>
  <si>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</si>
  <si>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</si>
  <si>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</si>
  <si>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</si>
  <si>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</si>
  <si>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</si>
  <si>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</si>
  <si>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</si>
  <si>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</si>
  <si>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</si>
  <si>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</si>
  <si>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</si>
  <si>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</si>
  <si>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</si>
  <si>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</si>
  <si>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</si>
  <si>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</si>
  <si>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</si>
  <si>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</si>
  <si>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</si>
  <si>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</si>
  <si>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</si>
  <si>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</si>
  <si>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</si>
  <si>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</si>
  <si>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</si>
  <si>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</si>
  <si>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</si>
  <si>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</si>
  <si>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</si>
  <si>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</si>
  <si>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</si>
  <si>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</si>
  <si>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</si>
  <si>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</si>
  <si>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</si>
  <si>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</si>
  <si>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</si>
  <si>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</si>
  <si>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</si>
  <si>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</si>
  <si>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</si>
  <si>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</si>
  <si>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</si>
  <si>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</si>
  <si>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</si>
  <si>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</si>
  <si>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</si>
  <si>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</si>
  <si>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</si>
  <si>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</si>
  <si>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</si>
  <si>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</si>
  <si>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</si>
  <si>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</si>
  <si>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</si>
  <si>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</si>
  <si>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</si>
  <si>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</si>
  <si>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</si>
  <si>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</si>
  <si>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</si>
  <si>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</si>
  <si>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</si>
  <si>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</si>
  <si>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</si>
  <si>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</si>
  <si>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</si>
  <si>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</si>
  <si>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</si>
  <si>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</si>
  <si>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</si>
  <si>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</si>
  <si>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</si>
  <si>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</si>
  <si>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</si>
  <si>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</si>
  <si>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</si>
  <si>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</si>
  <si>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</si>
  <si>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</si>
  <si>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</si>
  <si>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</si>
  <si>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いっしー</t>
  </si>
  <si>
    <t>いっしー</t>
    <phoneticPr fontId="1"/>
  </si>
  <si>
    <t>りくと</t>
  </si>
  <si>
    <t>りくと</t>
    <phoneticPr fontId="1"/>
  </si>
  <si>
    <t>放銃</t>
  </si>
  <si>
    <t>ロン</t>
  </si>
  <si>
    <t>*</t>
  </si>
  <si>
    <t>ツモ</t>
  </si>
  <si>
    <t>ツモ支払</t>
  </si>
  <si>
    <t>01</t>
  </si>
  <si>
    <t>02</t>
  </si>
  <si>
    <t>たかの</t>
  </si>
  <si>
    <t>たかの</t>
    <phoneticPr fontId="1"/>
  </si>
  <si>
    <t>ぱぱ</t>
  </si>
  <si>
    <t>ぱぱ</t>
    <phoneticPr fontId="1"/>
  </si>
  <si>
    <t>ただ</t>
  </si>
  <si>
    <t>ただ</t>
    <phoneticPr fontId="1"/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</si>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</sst>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138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りくと</v>
      </c>
      <c r="W2" s="16" t="str">
        <f>$P$1</f>
        <v>いっしー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 t="s">
        <v>142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 t="shared" ref="U4:U30" si="0">IF($J4="","",ROUND(($J4-$J$3)/1000,1))</f>
        <v>0</v>
      </c>
      <c r="V4" s="61">
        <f t="shared" ref="V4:V30" si="1">IF($O4="","",ROUND(($O4-$O$3)/1000,1))</f>
        <v>-12</v>
      </c>
      <c r="W4" s="62">
        <f t="shared" ref="W4:W30" si="2">IF($T4="","",ROUND(($T4-$T$3)/1000,1))</f>
        <v>12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4</v>
      </c>
      <c r="BT4" s="36">
        <v>40</v>
      </c>
      <c r="BU4" s="47" t="s">
        <v>87</v>
      </c>
      <c r="BV4" s="48" t="s">
        <v>85</v>
      </c>
      <c r="BW4" s="48" t="s">
        <v>82</v>
      </c>
      <c r="BX4" s="48" t="s">
        <v>82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142</v>
      </c>
      <c r="G5" s="9">
        <v>16000</v>
      </c>
      <c r="H5" s="9"/>
      <c r="I5" s="55">
        <v>1000</v>
      </c>
      <c r="J5" s="21">
        <f t="shared" ref="J5:J30" si="5">IF(COUNTA($F5,$K5,$P5)&gt;0,J4+SUM(G5:I5),"")</f>
        <v>52000</v>
      </c>
      <c r="K5" s="8" t="s">
        <v>141</v>
      </c>
      <c r="L5" s="9">
        <v>-16000</v>
      </c>
      <c r="M5" s="9"/>
      <c r="N5" s="55">
        <v>-1000</v>
      </c>
      <c r="O5" s="21">
        <f t="shared" ref="O5:O30" si="6">IF(COUNTA($F5,$K5,$P5)&gt;0,O4+SUM(L5:N5),"")</f>
        <v>6000</v>
      </c>
      <c r="P5" s="8"/>
      <c r="Q5" s="9"/>
      <c r="R5" s="9"/>
      <c r="S5" s="55"/>
      <c r="T5" s="21">
        <f t="shared" ref="T5:T30" si="7">IF(COUNTA($F5,$K5,$P5)&gt;0,T4+SUM(Q5:S5),"")</f>
        <v>47000</v>
      </c>
      <c r="U5" s="60">
        <f t="shared" si="0"/>
        <v>17</v>
      </c>
      <c r="V5" s="61">
        <f t="shared" si="1"/>
        <v>-29</v>
      </c>
      <c r="W5" s="62">
        <f t="shared" si="2"/>
        <v>12</v>
      </c>
      <c r="Y5" s="8"/>
      <c r="Z5" s="41"/>
      <c r="AA5" s="32"/>
      <c r="AB5" s="32">
        <v>1</v>
      </c>
      <c r="AC5" s="32">
        <v>9</v>
      </c>
      <c r="AD5" s="36" t="s">
        <v>143</v>
      </c>
      <c r="AE5" s="47" t="s">
        <v>105</v>
      </c>
      <c r="AF5" s="48" t="s">
        <v>99</v>
      </c>
      <c r="AG5" s="48" t="s">
        <v>101</v>
      </c>
      <c r="AH5" s="48" t="s">
        <v>87</v>
      </c>
      <c r="AI5" s="48" t="s">
        <v>87</v>
      </c>
      <c r="AJ5" s="48" t="s">
        <v>87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144</v>
      </c>
      <c r="G6" s="9">
        <v>12000</v>
      </c>
      <c r="H6" s="9"/>
      <c r="I6" s="55">
        <v>0</v>
      </c>
      <c r="J6" s="21">
        <f t="shared" si="5"/>
        <v>64000</v>
      </c>
      <c r="K6" s="8" t="s">
        <v>145</v>
      </c>
      <c r="L6" s="9">
        <v>-6000</v>
      </c>
      <c r="M6" s="9"/>
      <c r="N6" s="55">
        <v>0</v>
      </c>
      <c r="O6" s="21">
        <f t="shared" si="6"/>
        <v>0</v>
      </c>
      <c r="P6" s="8" t="s">
        <v>145</v>
      </c>
      <c r="Q6" s="9">
        <v>-6000</v>
      </c>
      <c r="R6" s="9"/>
      <c r="S6" s="55">
        <v>0</v>
      </c>
      <c r="T6" s="21">
        <f t="shared" si="7"/>
        <v>41000</v>
      </c>
      <c r="U6" s="60">
        <f t="shared" si="0"/>
        <v>29</v>
      </c>
      <c r="V6" s="61">
        <f t="shared" si="1"/>
        <v>-35</v>
      </c>
      <c r="W6" s="62">
        <f t="shared" si="2"/>
        <v>6</v>
      </c>
      <c r="Y6" s="8"/>
      <c r="Z6" s="41"/>
      <c r="AA6" s="32">
        <v>1</v>
      </c>
      <c r="AB6" s="32"/>
      <c r="AC6" s="32">
        <v>5</v>
      </c>
      <c r="AD6" s="36" t="s">
        <v>143</v>
      </c>
      <c r="AE6" s="47" t="s">
        <v>146</v>
      </c>
      <c r="AF6" s="48" t="s">
        <v>83</v>
      </c>
      <c r="AG6" s="48" t="s">
        <v>147</v>
      </c>
      <c r="AH6" s="48" t="s">
        <v>80</v>
      </c>
      <c r="AI6" s="48" t="s">
        <v>81</v>
      </c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135</v>
      </c>
      <c r="F7" s="8" t="s">
        <v>142</v>
      </c>
      <c r="G7" s="9">
        <v>12000</v>
      </c>
      <c r="H7" s="9"/>
      <c r="I7" s="55">
        <v>1000</v>
      </c>
      <c r="J7" s="21">
        <f t="shared" si="5"/>
        <v>77000</v>
      </c>
      <c r="K7" s="8"/>
      <c r="L7" s="9"/>
      <c r="M7" s="9"/>
      <c r="N7" s="55"/>
      <c r="O7" s="21">
        <f t="shared" si="6"/>
        <v>0</v>
      </c>
      <c r="P7" s="8" t="s">
        <v>141</v>
      </c>
      <c r="Q7" s="9">
        <v>-12000</v>
      </c>
      <c r="R7" s="9"/>
      <c r="S7" s="55">
        <v>-1000</v>
      </c>
      <c r="T7" s="21">
        <f t="shared" si="7"/>
        <v>28000</v>
      </c>
      <c r="U7" s="60">
        <f t="shared" si="0"/>
        <v>42</v>
      </c>
      <c r="V7" s="61">
        <f t="shared" si="1"/>
        <v>-35</v>
      </c>
      <c r="W7" s="62">
        <f t="shared" si="2"/>
        <v>-7</v>
      </c>
      <c r="Y7" s="8"/>
      <c r="Z7" s="41"/>
      <c r="AA7" s="32">
        <v>1</v>
      </c>
      <c r="AB7" s="32"/>
      <c r="AC7" s="32">
        <v>4</v>
      </c>
      <c r="AD7" s="36">
        <v>40</v>
      </c>
      <c r="AE7" s="47" t="s">
        <v>146</v>
      </c>
      <c r="AF7" s="48" t="s">
        <v>82</v>
      </c>
      <c r="AG7" s="48" t="s">
        <v>80</v>
      </c>
      <c r="AH7" s="48" t="s">
        <v>81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2</v>
      </c>
      <c r="C8" s="18">
        <f t="shared" si="9"/>
        <v>2</v>
      </c>
      <c r="D8" s="18">
        <f t="shared" si="4"/>
        <v>0</v>
      </c>
      <c r="E8" s="4" t="s">
        <v>135</v>
      </c>
      <c r="F8" s="8" t="s">
        <v>142</v>
      </c>
      <c r="G8" s="9">
        <v>2900</v>
      </c>
      <c r="H8" s="9"/>
      <c r="I8" s="55">
        <v>2000</v>
      </c>
      <c r="J8" s="21">
        <f t="shared" si="5"/>
        <v>81900</v>
      </c>
      <c r="K8" s="8" t="s">
        <v>141</v>
      </c>
      <c r="L8" s="9">
        <v>-2900</v>
      </c>
      <c r="M8" s="9"/>
      <c r="N8" s="55">
        <v>-2000</v>
      </c>
      <c r="O8" s="21">
        <f t="shared" si="6"/>
        <v>-4900</v>
      </c>
      <c r="P8" s="8"/>
      <c r="Q8" s="9"/>
      <c r="R8" s="9"/>
      <c r="S8" s="55"/>
      <c r="T8" s="21">
        <f t="shared" si="7"/>
        <v>28000</v>
      </c>
      <c r="U8" s="60">
        <f t="shared" si="0"/>
        <v>46.9</v>
      </c>
      <c r="V8" s="61">
        <f t="shared" si="1"/>
        <v>-39.9</v>
      </c>
      <c r="W8" s="62">
        <f t="shared" si="2"/>
        <v>-7</v>
      </c>
      <c r="Y8" s="8"/>
      <c r="Z8" s="41"/>
      <c r="AA8" s="32"/>
      <c r="AB8" s="32">
        <v>1</v>
      </c>
      <c r="AC8" s="32">
        <v>2</v>
      </c>
      <c r="AD8" s="36">
        <v>30</v>
      </c>
      <c r="AE8" s="47" t="s">
        <v>87</v>
      </c>
      <c r="AF8" s="48" t="s">
        <v>80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52959-AAE6-4C17-81C1-39A04DE6439A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138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いっしー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8000</v>
      </c>
      <c r="H4" s="9"/>
      <c r="I4" s="55">
        <v>0</v>
      </c>
      <c r="J4" s="21">
        <f>IF(COUNTA($F4,$K4,$P4)&gt;0,J3+SUM(G4:I4),"")</f>
        <v>43000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-8000</v>
      </c>
      <c r="R4" s="9"/>
      <c r="S4" s="55">
        <v>0</v>
      </c>
      <c r="T4" s="21">
        <f>IF(COUNTA($F4,$K4,$P4)&gt;0,T3+SUM(Q4:S4),"")</f>
        <v>27000</v>
      </c>
      <c r="U4" s="60">
        <f t="shared" ref="U4:U30" si="0">IF($J4="","",ROUND(($J4-$J$3)/1000,1))</f>
        <v>8</v>
      </c>
      <c r="V4" s="61">
        <f t="shared" ref="V4:V30" si="1">IF($O4="","",ROUND(($O4-$O$3)/1000,1))</f>
        <v>0</v>
      </c>
      <c r="W4" s="62">
        <f t="shared" ref="W4:W30" si="2">IF($T4="","",ROUND(($T4-$T$3)/1000,1))</f>
        <v>-8</v>
      </c>
      <c r="Y4" s="8"/>
      <c r="Z4" s="41"/>
      <c r="AA4" s="32">
        <v>1</v>
      </c>
      <c r="AB4" s="32"/>
      <c r="AC4" s="32">
        <v>5</v>
      </c>
      <c r="AD4" s="36" t="s">
        <v>143</v>
      </c>
      <c r="AE4" s="47" t="s">
        <v>146</v>
      </c>
      <c r="AF4" s="48" t="s">
        <v>147</v>
      </c>
      <c r="AG4" s="48" t="s">
        <v>80</v>
      </c>
      <c r="AH4" s="48" t="s">
        <v>82</v>
      </c>
      <c r="AI4" s="48" t="s">
        <v>87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137</v>
      </c>
      <c r="F5" s="8"/>
      <c r="G5" s="9"/>
      <c r="H5" s="9"/>
      <c r="I5" s="55"/>
      <c r="J5" s="21">
        <f t="shared" ref="J5:J30" si="5">IF(COUNTA($F5,$K5,$P5)&gt;0,J4+SUM(G5:I5),"")</f>
        <v>43000</v>
      </c>
      <c r="K5" s="8" t="s">
        <v>141</v>
      </c>
      <c r="L5" s="9">
        <v>-12000</v>
      </c>
      <c r="M5" s="9"/>
      <c r="N5" s="55">
        <v>0</v>
      </c>
      <c r="O5" s="21">
        <f t="shared" ref="O5:O30" si="6">IF(COUNTA($F5,$K5,$P5)&gt;0,O4+SUM(L5:N5),"")</f>
        <v>23000</v>
      </c>
      <c r="P5" s="8" t="s">
        <v>142</v>
      </c>
      <c r="Q5" s="9">
        <v>12000</v>
      </c>
      <c r="R5" s="9"/>
      <c r="S5" s="55">
        <v>0</v>
      </c>
      <c r="T5" s="21">
        <f t="shared" ref="T5:T30" si="7">IF(COUNTA($F5,$K5,$P5)&gt;0,T4+SUM(Q5:S5),"")</f>
        <v>39000</v>
      </c>
      <c r="U5" s="60">
        <f t="shared" si="0"/>
        <v>8</v>
      </c>
      <c r="V5" s="61">
        <f t="shared" si="1"/>
        <v>-12</v>
      </c>
      <c r="W5" s="62">
        <f t="shared" si="2"/>
        <v>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5</v>
      </c>
      <c r="BT5" s="36" t="s">
        <v>143</v>
      </c>
      <c r="BU5" s="47" t="s">
        <v>107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137</v>
      </c>
      <c r="F6" s="8" t="s">
        <v>141</v>
      </c>
      <c r="G6" s="9">
        <v>-12000</v>
      </c>
      <c r="H6" s="9"/>
      <c r="I6" s="55">
        <v>-1000</v>
      </c>
      <c r="J6" s="21">
        <f t="shared" si="5"/>
        <v>30000</v>
      </c>
      <c r="K6" s="8"/>
      <c r="L6" s="9"/>
      <c r="M6" s="9"/>
      <c r="N6" s="55"/>
      <c r="O6" s="21">
        <f t="shared" si="6"/>
        <v>23000</v>
      </c>
      <c r="P6" s="8" t="s">
        <v>142</v>
      </c>
      <c r="Q6" s="9">
        <v>12000</v>
      </c>
      <c r="R6" s="9"/>
      <c r="S6" s="55">
        <v>1000</v>
      </c>
      <c r="T6" s="21">
        <f t="shared" si="7"/>
        <v>52000</v>
      </c>
      <c r="U6" s="60">
        <f t="shared" si="0"/>
        <v>-5</v>
      </c>
      <c r="V6" s="61">
        <f t="shared" si="1"/>
        <v>-12</v>
      </c>
      <c r="W6" s="62">
        <f t="shared" si="2"/>
        <v>17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5</v>
      </c>
      <c r="BT6" s="36" t="s">
        <v>143</v>
      </c>
      <c r="BU6" s="47" t="s">
        <v>87</v>
      </c>
      <c r="BV6" s="48" t="s">
        <v>80</v>
      </c>
      <c r="BW6" s="48" t="s">
        <v>80</v>
      </c>
      <c r="BX6" s="48" t="s">
        <v>80</v>
      </c>
      <c r="BY6" s="48" t="s">
        <v>82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2</v>
      </c>
      <c r="D7" s="18">
        <f t="shared" si="4"/>
        <v>0</v>
      </c>
      <c r="E7" s="4" t="s">
        <v>137</v>
      </c>
      <c r="F7" s="8" t="s">
        <v>145</v>
      </c>
      <c r="G7" s="9">
        <v>-800</v>
      </c>
      <c r="H7" s="9"/>
      <c r="I7" s="55">
        <v>-1000</v>
      </c>
      <c r="J7" s="21">
        <f t="shared" si="5"/>
        <v>28200</v>
      </c>
      <c r="K7" s="8" t="s">
        <v>144</v>
      </c>
      <c r="L7" s="9">
        <v>2100</v>
      </c>
      <c r="M7" s="9"/>
      <c r="N7" s="55">
        <v>2000</v>
      </c>
      <c r="O7" s="21">
        <f t="shared" si="6"/>
        <v>27100</v>
      </c>
      <c r="P7" s="8" t="s">
        <v>145</v>
      </c>
      <c r="Q7" s="9">
        <v>-1300</v>
      </c>
      <c r="R7" s="9"/>
      <c r="S7" s="55">
        <v>-1000</v>
      </c>
      <c r="T7" s="21">
        <f t="shared" si="7"/>
        <v>49700</v>
      </c>
      <c r="U7" s="60">
        <f t="shared" si="0"/>
        <v>-6.8</v>
      </c>
      <c r="V7" s="61">
        <f t="shared" si="1"/>
        <v>-7.9</v>
      </c>
      <c r="W7" s="62">
        <f t="shared" si="2"/>
        <v>14.7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2</v>
      </c>
      <c r="AY7" s="36">
        <v>30</v>
      </c>
      <c r="AZ7" s="47" t="s">
        <v>83</v>
      </c>
      <c r="BA7" s="48" t="s">
        <v>80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135</v>
      </c>
      <c r="F8" s="8" t="s">
        <v>141</v>
      </c>
      <c r="G8" s="9">
        <v>-2600</v>
      </c>
      <c r="H8" s="9"/>
      <c r="I8" s="55">
        <v>0</v>
      </c>
      <c r="J8" s="21">
        <f t="shared" si="5"/>
        <v>25600</v>
      </c>
      <c r="K8" s="8"/>
      <c r="L8" s="9"/>
      <c r="M8" s="9">
        <v>-1000</v>
      </c>
      <c r="N8" s="55"/>
      <c r="O8" s="21">
        <f t="shared" si="6"/>
        <v>26100</v>
      </c>
      <c r="P8" s="8" t="s">
        <v>142</v>
      </c>
      <c r="Q8" s="9">
        <v>2600</v>
      </c>
      <c r="R8" s="9">
        <v>1000</v>
      </c>
      <c r="S8" s="55">
        <v>0</v>
      </c>
      <c r="T8" s="21">
        <f t="shared" si="7"/>
        <v>53300</v>
      </c>
      <c r="U8" s="60">
        <f t="shared" si="0"/>
        <v>-9.4</v>
      </c>
      <c r="V8" s="61">
        <f t="shared" si="1"/>
        <v>-8.9</v>
      </c>
      <c r="W8" s="62">
        <f t="shared" si="2"/>
        <v>18.3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2</v>
      </c>
      <c r="BT8" s="36">
        <v>40</v>
      </c>
      <c r="BU8" s="47" t="s">
        <v>87</v>
      </c>
      <c r="BV8" s="48" t="s">
        <v>80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139</v>
      </c>
      <c r="F9" s="8" t="s">
        <v>145</v>
      </c>
      <c r="G9" s="9">
        <v>-9000</v>
      </c>
      <c r="H9" s="9"/>
      <c r="I9" s="55">
        <v>0</v>
      </c>
      <c r="J9" s="21">
        <f t="shared" si="5"/>
        <v>16600</v>
      </c>
      <c r="K9" s="8" t="s">
        <v>144</v>
      </c>
      <c r="L9" s="9">
        <v>18000</v>
      </c>
      <c r="M9" s="9"/>
      <c r="N9" s="55">
        <v>0</v>
      </c>
      <c r="O9" s="21">
        <f t="shared" si="6"/>
        <v>44100</v>
      </c>
      <c r="P9" s="8" t="s">
        <v>145</v>
      </c>
      <c r="Q9" s="9">
        <v>-9000</v>
      </c>
      <c r="R9" s="9"/>
      <c r="S9" s="55">
        <v>0</v>
      </c>
      <c r="T9" s="21">
        <f t="shared" si="7"/>
        <v>44300</v>
      </c>
      <c r="U9" s="60">
        <f t="shared" si="0"/>
        <v>-18.399999999999999</v>
      </c>
      <c r="V9" s="61">
        <f t="shared" si="1"/>
        <v>9.1</v>
      </c>
      <c r="W9" s="62">
        <f t="shared" si="2"/>
        <v>9.3000000000000007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6</v>
      </c>
      <c r="AY9" s="36" t="s">
        <v>143</v>
      </c>
      <c r="AZ9" s="47" t="s">
        <v>146</v>
      </c>
      <c r="BA9" s="48" t="s">
        <v>83</v>
      </c>
      <c r="BB9" s="48" t="s">
        <v>86</v>
      </c>
      <c r="BC9" s="48" t="s">
        <v>82</v>
      </c>
      <c r="BD9" s="48" t="s">
        <v>82</v>
      </c>
      <c r="BE9" s="48" t="s">
        <v>82</v>
      </c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1</v>
      </c>
      <c r="D10" s="18">
        <f t="shared" si="4"/>
        <v>0</v>
      </c>
      <c r="E10" s="4" t="s">
        <v>139</v>
      </c>
      <c r="F10" s="8" t="s">
        <v>144</v>
      </c>
      <c r="G10" s="9">
        <v>8000</v>
      </c>
      <c r="H10" s="9"/>
      <c r="I10" s="55">
        <v>1000</v>
      </c>
      <c r="J10" s="21">
        <f t="shared" si="5"/>
        <v>25600</v>
      </c>
      <c r="K10" s="8" t="s">
        <v>145</v>
      </c>
      <c r="L10" s="9">
        <v>-5000</v>
      </c>
      <c r="M10" s="9"/>
      <c r="N10" s="55">
        <v>-500</v>
      </c>
      <c r="O10" s="21">
        <f t="shared" si="6"/>
        <v>38600</v>
      </c>
      <c r="P10" s="8" t="s">
        <v>145</v>
      </c>
      <c r="Q10" s="9">
        <v>-3000</v>
      </c>
      <c r="R10" s="9"/>
      <c r="S10" s="55">
        <v>-500</v>
      </c>
      <c r="T10" s="21">
        <f t="shared" si="7"/>
        <v>40800</v>
      </c>
      <c r="U10" s="60">
        <f t="shared" si="0"/>
        <v>-9.4</v>
      </c>
      <c r="V10" s="61">
        <f t="shared" si="1"/>
        <v>3.6</v>
      </c>
      <c r="W10" s="62">
        <f t="shared" si="2"/>
        <v>5.8</v>
      </c>
      <c r="Y10" s="8"/>
      <c r="Z10" s="41"/>
      <c r="AA10" s="32"/>
      <c r="AB10" s="32"/>
      <c r="AC10" s="32">
        <v>4</v>
      </c>
      <c r="AD10" s="36">
        <v>30</v>
      </c>
      <c r="AE10" s="47" t="s">
        <v>105</v>
      </c>
      <c r="AF10" s="48" t="s">
        <v>83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">
        <v>137</v>
      </c>
      <c r="F11" s="8" t="s">
        <v>144</v>
      </c>
      <c r="G11" s="9">
        <v>16000</v>
      </c>
      <c r="H11" s="9">
        <v>1000</v>
      </c>
      <c r="I11" s="55">
        <v>0</v>
      </c>
      <c r="J11" s="21">
        <f t="shared" si="5"/>
        <v>42600</v>
      </c>
      <c r="K11" s="8" t="s">
        <v>145</v>
      </c>
      <c r="L11" s="9">
        <v>-6000</v>
      </c>
      <c r="M11" s="9"/>
      <c r="N11" s="55">
        <v>0</v>
      </c>
      <c r="O11" s="21">
        <f t="shared" si="6"/>
        <v>32600</v>
      </c>
      <c r="P11" s="8" t="s">
        <v>145</v>
      </c>
      <c r="Q11" s="9">
        <v>-10000</v>
      </c>
      <c r="R11" s="9">
        <v>-1000</v>
      </c>
      <c r="S11" s="55">
        <v>0</v>
      </c>
      <c r="T11" s="21">
        <f t="shared" si="7"/>
        <v>29800</v>
      </c>
      <c r="U11" s="60">
        <f t="shared" si="0"/>
        <v>7.6</v>
      </c>
      <c r="V11" s="61">
        <f t="shared" si="1"/>
        <v>-2.4</v>
      </c>
      <c r="W11" s="62">
        <f t="shared" si="2"/>
        <v>-5.2</v>
      </c>
      <c r="Y11" s="8"/>
      <c r="Z11" s="41"/>
      <c r="AA11" s="32"/>
      <c r="AB11" s="32">
        <v>1</v>
      </c>
      <c r="AC11" s="32">
        <v>9</v>
      </c>
      <c r="AD11" s="36" t="s">
        <v>143</v>
      </c>
      <c r="AE11" s="47" t="s">
        <v>99</v>
      </c>
      <c r="AF11" s="48" t="s">
        <v>97</v>
      </c>
      <c r="AG11" s="48" t="s">
        <v>105</v>
      </c>
      <c r="AH11" s="48" t="s">
        <v>87</v>
      </c>
      <c r="AI11" s="48" t="s">
        <v>87</v>
      </c>
      <c r="AJ11" s="48" t="s">
        <v>82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">
        <v>135</v>
      </c>
      <c r="F12" s="8" t="s">
        <v>145</v>
      </c>
      <c r="G12" s="9">
        <v>-1300</v>
      </c>
      <c r="H12" s="9"/>
      <c r="I12" s="55">
        <v>0</v>
      </c>
      <c r="J12" s="21">
        <f t="shared" si="5"/>
        <v>41300</v>
      </c>
      <c r="K12" s="8" t="s">
        <v>144</v>
      </c>
      <c r="L12" s="9">
        <v>2100</v>
      </c>
      <c r="M12" s="9"/>
      <c r="N12" s="55">
        <v>0</v>
      </c>
      <c r="O12" s="21">
        <f t="shared" si="6"/>
        <v>34700</v>
      </c>
      <c r="P12" s="8" t="s">
        <v>145</v>
      </c>
      <c r="Q12" s="9">
        <v>-800</v>
      </c>
      <c r="R12" s="9"/>
      <c r="S12" s="55">
        <v>0</v>
      </c>
      <c r="T12" s="21">
        <f t="shared" si="7"/>
        <v>29000</v>
      </c>
      <c r="U12" s="60">
        <f t="shared" si="0"/>
        <v>6.3</v>
      </c>
      <c r="V12" s="61">
        <f t="shared" si="1"/>
        <v>-0.3</v>
      </c>
      <c r="W12" s="62">
        <f t="shared" si="2"/>
        <v>-6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2</v>
      </c>
      <c r="AY12" s="36">
        <v>30</v>
      </c>
      <c r="AZ12" s="47" t="s">
        <v>87</v>
      </c>
      <c r="BA12" s="48" t="s">
        <v>82</v>
      </c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FDF865B6-F794-4B87-BB9D-DD66EC30560D}">
      <formula1>$U$2:$W$2</formula1>
    </dataValidation>
    <dataValidation type="list" showInputMessage="1" showErrorMessage="1" sqref="K4:K30 P4:P30 F4:F30" xr:uid="{7677E9F1-E21C-425A-9C9C-10E48BD0F9B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97436-C996-4435-8AED-D40792F9375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149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たかの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たかの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148</v>
      </c>
      <c r="F4" s="8" t="s">
        <v>142</v>
      </c>
      <c r="G4" s="9">
        <v>8000</v>
      </c>
      <c r="H4" s="9">
        <v>1000</v>
      </c>
      <c r="I4" s="55">
        <v>0</v>
      </c>
      <c r="J4" s="21">
        <f>IF(COUNTA($F4,$K4,$P4)&gt;0,J3+SUM(G4:I4),"")</f>
        <v>44000</v>
      </c>
      <c r="K4" s="8" t="s">
        <v>141</v>
      </c>
      <c r="L4" s="9">
        <v>-8000</v>
      </c>
      <c r="M4" s="9">
        <v>-1000</v>
      </c>
      <c r="N4" s="55">
        <v>0</v>
      </c>
      <c r="O4" s="21">
        <f>IF(COUNTA($F4,$K4,$P4)&gt;0,O3+SUM(L4:N4),"")</f>
        <v>26000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9</v>
      </c>
      <c r="V4" s="61">
        <f t="shared" ref="V4:V30" si="1">IF($O4="","",ROUND(($O4-$O$3)/1000,1))</f>
        <v>-9</v>
      </c>
      <c r="W4" s="62">
        <f t="shared" ref="W4:W30" si="2">IF($T4="","",ROUND(($T4-$T$3)/1000,1))</f>
        <v>0</v>
      </c>
      <c r="Y4" s="8"/>
      <c r="Z4" s="41"/>
      <c r="AA4" s="32">
        <v>1</v>
      </c>
      <c r="AB4" s="32"/>
      <c r="AC4" s="32">
        <v>5</v>
      </c>
      <c r="AD4" s="36" t="s">
        <v>143</v>
      </c>
      <c r="AE4" s="47" t="s">
        <v>146</v>
      </c>
      <c r="AF4" s="48" t="s">
        <v>87</v>
      </c>
      <c r="AG4" s="48" t="s">
        <v>80</v>
      </c>
      <c r="AH4" s="48" t="s">
        <v>80</v>
      </c>
      <c r="AI4" s="48" t="s">
        <v>80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144</v>
      </c>
      <c r="G5" s="9">
        <v>5300</v>
      </c>
      <c r="H5" s="9">
        <v>1000</v>
      </c>
      <c r="I5" s="55">
        <v>0</v>
      </c>
      <c r="J5" s="21">
        <f t="shared" ref="J5:J30" si="5">IF(COUNTA($F5,$K5,$P5)&gt;0,J4+SUM(G5:I5),"")</f>
        <v>50300</v>
      </c>
      <c r="K5" s="8" t="s">
        <v>145</v>
      </c>
      <c r="L5" s="9">
        <v>-2000</v>
      </c>
      <c r="M5" s="9">
        <v>-1000</v>
      </c>
      <c r="N5" s="55">
        <v>0</v>
      </c>
      <c r="O5" s="21">
        <f t="shared" ref="O5:O30" si="6">IF(COUNTA($F5,$K5,$P5)&gt;0,O4+SUM(L5:N5),"")</f>
        <v>23000</v>
      </c>
      <c r="P5" s="8" t="s">
        <v>145</v>
      </c>
      <c r="Q5" s="9">
        <v>-3300</v>
      </c>
      <c r="R5" s="9"/>
      <c r="S5" s="55">
        <v>0</v>
      </c>
      <c r="T5" s="21">
        <f t="shared" ref="T5:T30" si="7">IF(COUNTA($F5,$K5,$P5)&gt;0,T4+SUM(Q5:S5),"")</f>
        <v>31700</v>
      </c>
      <c r="U5" s="60">
        <f t="shared" si="0"/>
        <v>15.3</v>
      </c>
      <c r="V5" s="61">
        <f t="shared" si="1"/>
        <v>-12</v>
      </c>
      <c r="W5" s="62">
        <f t="shared" si="2"/>
        <v>-3.3</v>
      </c>
      <c r="Y5" s="8"/>
      <c r="Z5" s="41"/>
      <c r="AA5" s="32">
        <v>1</v>
      </c>
      <c r="AB5" s="32"/>
      <c r="AC5" s="32">
        <v>3</v>
      </c>
      <c r="AD5" s="36">
        <v>40</v>
      </c>
      <c r="AE5" s="47" t="s">
        <v>146</v>
      </c>
      <c r="AF5" s="48" t="s">
        <v>83</v>
      </c>
      <c r="AG5" s="48" t="s">
        <v>82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/>
      <c r="G6" s="9"/>
      <c r="H6" s="9"/>
      <c r="I6" s="55"/>
      <c r="J6" s="21">
        <f t="shared" si="5"/>
        <v>50300</v>
      </c>
      <c r="K6" s="8" t="s">
        <v>141</v>
      </c>
      <c r="L6" s="9">
        <v>-12000</v>
      </c>
      <c r="M6" s="9"/>
      <c r="N6" s="55">
        <v>0</v>
      </c>
      <c r="O6" s="21">
        <f t="shared" si="6"/>
        <v>11000</v>
      </c>
      <c r="P6" s="8" t="s">
        <v>142</v>
      </c>
      <c r="Q6" s="9">
        <v>12000</v>
      </c>
      <c r="R6" s="9"/>
      <c r="S6" s="55">
        <v>0</v>
      </c>
      <c r="T6" s="21">
        <f t="shared" si="7"/>
        <v>43700</v>
      </c>
      <c r="U6" s="60">
        <f t="shared" si="0"/>
        <v>15.3</v>
      </c>
      <c r="V6" s="61">
        <f t="shared" si="1"/>
        <v>-24</v>
      </c>
      <c r="W6" s="62">
        <f t="shared" si="2"/>
        <v>8.6999999999999993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7</v>
      </c>
      <c r="BT6" s="36" t="s">
        <v>143</v>
      </c>
      <c r="BU6" s="47" t="s">
        <v>105</v>
      </c>
      <c r="BV6" s="48" t="s">
        <v>87</v>
      </c>
      <c r="BW6" s="48" t="s">
        <v>87</v>
      </c>
      <c r="BX6" s="48" t="s">
        <v>82</v>
      </c>
      <c r="BY6" s="48" t="s">
        <v>82</v>
      </c>
      <c r="BZ6" s="48" t="s">
        <v>82</v>
      </c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148</v>
      </c>
      <c r="F7" s="8" t="s">
        <v>145</v>
      </c>
      <c r="G7" s="9">
        <v>-3000</v>
      </c>
      <c r="H7" s="9"/>
      <c r="I7" s="55">
        <v>0</v>
      </c>
      <c r="J7" s="21">
        <f t="shared" si="5"/>
        <v>47300</v>
      </c>
      <c r="K7" s="8" t="s">
        <v>145</v>
      </c>
      <c r="L7" s="9">
        <v>-5000</v>
      </c>
      <c r="M7" s="9"/>
      <c r="N7" s="55">
        <v>0</v>
      </c>
      <c r="O7" s="21">
        <f t="shared" si="6"/>
        <v>6000</v>
      </c>
      <c r="P7" s="8" t="s">
        <v>144</v>
      </c>
      <c r="Q7" s="9">
        <v>8000</v>
      </c>
      <c r="R7" s="9"/>
      <c r="S7" s="55">
        <v>0</v>
      </c>
      <c r="T7" s="21">
        <f t="shared" si="7"/>
        <v>51700</v>
      </c>
      <c r="U7" s="60">
        <f t="shared" si="0"/>
        <v>12.3</v>
      </c>
      <c r="V7" s="61">
        <f t="shared" si="1"/>
        <v>-29</v>
      </c>
      <c r="W7" s="62">
        <f t="shared" si="2"/>
        <v>16.7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143</v>
      </c>
      <c r="BU7" s="47" t="s">
        <v>146</v>
      </c>
      <c r="BV7" s="48" t="s">
        <v>83</v>
      </c>
      <c r="BW7" s="48" t="s">
        <v>147</v>
      </c>
      <c r="BX7" s="48" t="s">
        <v>82</v>
      </c>
      <c r="BY7" s="48" t="s">
        <v>82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144</v>
      </c>
      <c r="G8" s="9">
        <v>8000</v>
      </c>
      <c r="H8" s="9"/>
      <c r="I8" s="55">
        <v>0</v>
      </c>
      <c r="J8" s="21">
        <f t="shared" si="5"/>
        <v>55300</v>
      </c>
      <c r="K8" s="8" t="s">
        <v>145</v>
      </c>
      <c r="L8" s="9">
        <v>-3000</v>
      </c>
      <c r="M8" s="9"/>
      <c r="N8" s="55">
        <v>0</v>
      </c>
      <c r="O8" s="21">
        <f t="shared" si="6"/>
        <v>3000</v>
      </c>
      <c r="P8" s="8" t="s">
        <v>145</v>
      </c>
      <c r="Q8" s="9">
        <v>-5000</v>
      </c>
      <c r="R8" s="9"/>
      <c r="S8" s="55">
        <v>0</v>
      </c>
      <c r="T8" s="21">
        <f t="shared" si="7"/>
        <v>46700</v>
      </c>
      <c r="U8" s="60">
        <f t="shared" si="0"/>
        <v>20.3</v>
      </c>
      <c r="V8" s="61">
        <f t="shared" si="1"/>
        <v>-32</v>
      </c>
      <c r="W8" s="62">
        <f t="shared" si="2"/>
        <v>11.7</v>
      </c>
      <c r="Y8" s="8"/>
      <c r="Z8" s="41"/>
      <c r="AA8" s="32">
        <v>1</v>
      </c>
      <c r="AB8" s="32"/>
      <c r="AC8" s="32">
        <v>5</v>
      </c>
      <c r="AD8" s="36" t="s">
        <v>143</v>
      </c>
      <c r="AE8" s="47" t="s">
        <v>146</v>
      </c>
      <c r="AF8" s="48" t="s">
        <v>83</v>
      </c>
      <c r="AG8" s="48" t="s">
        <v>84</v>
      </c>
      <c r="AH8" s="48" t="s">
        <v>82</v>
      </c>
      <c r="AI8" s="48" t="s">
        <v>81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144</v>
      </c>
      <c r="G9" s="9">
        <v>4000</v>
      </c>
      <c r="H9" s="9"/>
      <c r="I9" s="55">
        <v>0</v>
      </c>
      <c r="J9" s="21">
        <f t="shared" si="5"/>
        <v>59300</v>
      </c>
      <c r="K9" s="8" t="s">
        <v>145</v>
      </c>
      <c r="L9" s="9">
        <v>-2000</v>
      </c>
      <c r="M9" s="9"/>
      <c r="N9" s="55">
        <v>0</v>
      </c>
      <c r="O9" s="21">
        <f t="shared" si="6"/>
        <v>1000</v>
      </c>
      <c r="P9" s="8" t="s">
        <v>145</v>
      </c>
      <c r="Q9" s="9">
        <v>-2000</v>
      </c>
      <c r="R9" s="9"/>
      <c r="S9" s="55">
        <v>0</v>
      </c>
      <c r="T9" s="21">
        <f t="shared" si="7"/>
        <v>44700</v>
      </c>
      <c r="U9" s="60">
        <f t="shared" si="0"/>
        <v>24.3</v>
      </c>
      <c r="V9" s="61">
        <f t="shared" si="1"/>
        <v>-34</v>
      </c>
      <c r="W9" s="62">
        <f t="shared" si="2"/>
        <v>9.6999999999999993</v>
      </c>
      <c r="Y9" s="8"/>
      <c r="Z9" s="41"/>
      <c r="AA9" s="32">
        <v>1</v>
      </c>
      <c r="AB9" s="32"/>
      <c r="AC9" s="32">
        <v>3</v>
      </c>
      <c r="AD9" s="36">
        <v>20</v>
      </c>
      <c r="AE9" s="47" t="s">
        <v>146</v>
      </c>
      <c r="AF9" s="48" t="s">
        <v>83</v>
      </c>
      <c r="AG9" s="48" t="s">
        <v>84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49B72797-057F-4A17-9FFD-263F8CA86B98}">
      <formula1>"ロン,ツモ,放銃,ツモ支払,流局,チョンボ"</formula1>
    </dataValidation>
    <dataValidation type="list" allowBlank="1" showInputMessage="1" showErrorMessage="1" sqref="E4:E30" xr:uid="{C66F3C0C-D3DE-4437-8C72-229B3FDC171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37603-0737-41B6-8EA2-58A259DA5F0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151</v>
      </c>
      <c r="L1" s="80"/>
      <c r="M1" s="80"/>
      <c r="N1" s="89"/>
      <c r="O1" s="81"/>
      <c r="P1" s="78" t="s">
        <v>153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ぱぱ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ただ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ぱぱ</v>
      </c>
      <c r="W2" s="16" t="str">
        <f>$P$1</f>
        <v>ただ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141</v>
      </c>
      <c r="G4" s="9">
        <v>-2600</v>
      </c>
      <c r="H4" s="9"/>
      <c r="I4" s="55">
        <v>0</v>
      </c>
      <c r="J4" s="21">
        <f>IF(COUNTA($F4,$K4,$P4)&gt;0,J3+SUM(G4:I4),"")</f>
        <v>32400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2600</v>
      </c>
      <c r="R4" s="9"/>
      <c r="S4" s="55">
        <v>0</v>
      </c>
      <c r="T4" s="21">
        <f>IF(COUNTA($F4,$K4,$P4)&gt;0,T3+SUM(Q4:S4),"")</f>
        <v>37600</v>
      </c>
      <c r="U4" s="60">
        <f t="shared" ref="U4:U30" si="0">IF($J4="","",ROUND(($J4-$J$3)/1000,1))</f>
        <v>-2.6</v>
      </c>
      <c r="V4" s="61">
        <f t="shared" ref="V4:V30" si="1">IF($O4="","",ROUND(($O4-$O$3)/1000,1))</f>
        <v>0</v>
      </c>
      <c r="W4" s="62">
        <f t="shared" ref="W4:W30" si="2">IF($T4="","",ROUND(($T4-$T$3)/1000,1))</f>
        <v>2.6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40</v>
      </c>
      <c r="BU4" s="47" t="s">
        <v>87</v>
      </c>
      <c r="BV4" s="48" t="s">
        <v>82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152</v>
      </c>
      <c r="F5" s="8" t="s">
        <v>142</v>
      </c>
      <c r="G5" s="9">
        <v>3200</v>
      </c>
      <c r="H5" s="9"/>
      <c r="I5" s="55">
        <v>0</v>
      </c>
      <c r="J5" s="21">
        <f t="shared" ref="J5:J30" si="5">IF(COUNTA($F5,$K5,$P5)&gt;0,J4+SUM(G5:I5),"")</f>
        <v>35600</v>
      </c>
      <c r="K5" s="8" t="s">
        <v>141</v>
      </c>
      <c r="L5" s="9">
        <v>-3200</v>
      </c>
      <c r="M5" s="9"/>
      <c r="N5" s="55">
        <v>0</v>
      </c>
      <c r="O5" s="21">
        <f t="shared" ref="O5:O30" si="6">IF(COUNTA($F5,$K5,$P5)&gt;0,O4+SUM(L5:N5),"")</f>
        <v>31800</v>
      </c>
      <c r="P5" s="8"/>
      <c r="Q5" s="9"/>
      <c r="R5" s="9"/>
      <c r="S5" s="55"/>
      <c r="T5" s="21">
        <f t="shared" ref="T5:T30" si="7">IF(COUNTA($F5,$K5,$P5)&gt;0,T4+SUM(Q5:S5),"")</f>
        <v>37600</v>
      </c>
      <c r="U5" s="60">
        <f t="shared" si="0"/>
        <v>0.6</v>
      </c>
      <c r="V5" s="61">
        <f t="shared" si="1"/>
        <v>-3.2</v>
      </c>
      <c r="W5" s="62">
        <f t="shared" si="2"/>
        <v>2.6</v>
      </c>
      <c r="Y5" s="8"/>
      <c r="Z5" s="41"/>
      <c r="AA5" s="32"/>
      <c r="AB5" s="32"/>
      <c r="AC5" s="32">
        <v>3</v>
      </c>
      <c r="AD5" s="36">
        <v>25</v>
      </c>
      <c r="AE5" s="47" t="s">
        <v>102</v>
      </c>
      <c r="AF5" s="48" t="s">
        <v>82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141</v>
      </c>
      <c r="G6" s="9">
        <v>-13200</v>
      </c>
      <c r="H6" s="9"/>
      <c r="I6" s="55">
        <v>0</v>
      </c>
      <c r="J6" s="21">
        <f t="shared" si="5"/>
        <v>22400</v>
      </c>
      <c r="K6" s="8" t="s">
        <v>142</v>
      </c>
      <c r="L6" s="9">
        <v>8000</v>
      </c>
      <c r="M6" s="9"/>
      <c r="N6" s="55">
        <v>0</v>
      </c>
      <c r="O6" s="21">
        <f t="shared" si="6"/>
        <v>39800</v>
      </c>
      <c r="P6" s="8" t="s">
        <v>142</v>
      </c>
      <c r="Q6" s="9">
        <v>5200</v>
      </c>
      <c r="R6" s="9"/>
      <c r="S6" s="55"/>
      <c r="T6" s="21">
        <f t="shared" si="7"/>
        <v>42800</v>
      </c>
      <c r="U6" s="60">
        <f t="shared" si="0"/>
        <v>-12.6</v>
      </c>
      <c r="V6" s="61">
        <f t="shared" si="1"/>
        <v>4.8</v>
      </c>
      <c r="W6" s="62">
        <f t="shared" si="2"/>
        <v>7.8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5</v>
      </c>
      <c r="AY6" s="36" t="s">
        <v>143</v>
      </c>
      <c r="AZ6" s="47" t="s">
        <v>87</v>
      </c>
      <c r="BA6" s="48" t="s">
        <v>87</v>
      </c>
      <c r="BB6" s="48" t="s">
        <v>82</v>
      </c>
      <c r="BC6" s="48" t="s">
        <v>82</v>
      </c>
      <c r="BD6" s="48" t="s">
        <v>82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40</v>
      </c>
      <c r="BU6" s="47" t="s">
        <v>87</v>
      </c>
      <c r="BV6" s="48" t="s">
        <v>87</v>
      </c>
      <c r="BW6" s="48" t="s">
        <v>82</v>
      </c>
      <c r="BX6" s="48" t="s">
        <v>82</v>
      </c>
      <c r="BY6" s="48" t="s">
        <v>82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150</v>
      </c>
      <c r="F7" s="8" t="s">
        <v>145</v>
      </c>
      <c r="G7" s="9">
        <v>-4500</v>
      </c>
      <c r="H7" s="9"/>
      <c r="I7" s="55">
        <v>0</v>
      </c>
      <c r="J7" s="21">
        <f t="shared" si="5"/>
        <v>17900</v>
      </c>
      <c r="K7" s="8" t="s">
        <v>145</v>
      </c>
      <c r="L7" s="9">
        <v>-7500</v>
      </c>
      <c r="M7" s="9"/>
      <c r="N7" s="55">
        <v>0</v>
      </c>
      <c r="O7" s="21">
        <f t="shared" si="6"/>
        <v>32300</v>
      </c>
      <c r="P7" s="8" t="s">
        <v>144</v>
      </c>
      <c r="Q7" s="9">
        <v>12000</v>
      </c>
      <c r="R7" s="9"/>
      <c r="S7" s="55">
        <v>0</v>
      </c>
      <c r="T7" s="21">
        <f t="shared" si="7"/>
        <v>54800</v>
      </c>
      <c r="U7" s="60">
        <f t="shared" si="0"/>
        <v>-17.100000000000001</v>
      </c>
      <c r="V7" s="61">
        <f t="shared" si="1"/>
        <v>-2.7</v>
      </c>
      <c r="W7" s="62">
        <f t="shared" si="2"/>
        <v>19.8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7</v>
      </c>
      <c r="BT7" s="36" t="s">
        <v>143</v>
      </c>
      <c r="BU7" s="47" t="s">
        <v>87</v>
      </c>
      <c r="BV7" s="48" t="s">
        <v>82</v>
      </c>
      <c r="BW7" s="48" t="s">
        <v>82</v>
      </c>
      <c r="BX7" s="48" t="s">
        <v>82</v>
      </c>
      <c r="BY7" s="48" t="s">
        <v>80</v>
      </c>
      <c r="BZ7" s="48" t="s">
        <v>80</v>
      </c>
      <c r="CA7" s="48" t="s">
        <v>80</v>
      </c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152</v>
      </c>
      <c r="F8" s="8" t="s">
        <v>142</v>
      </c>
      <c r="G8" s="9">
        <v>8000</v>
      </c>
      <c r="H8" s="9"/>
      <c r="I8" s="55">
        <v>0</v>
      </c>
      <c r="J8" s="21">
        <f t="shared" si="5"/>
        <v>25900</v>
      </c>
      <c r="K8" s="8" t="s">
        <v>141</v>
      </c>
      <c r="L8" s="9">
        <v>-8000</v>
      </c>
      <c r="M8" s="9"/>
      <c r="N8" s="55">
        <v>0</v>
      </c>
      <c r="O8" s="21">
        <f t="shared" si="6"/>
        <v>24300</v>
      </c>
      <c r="P8" s="8"/>
      <c r="Q8" s="9"/>
      <c r="R8" s="9"/>
      <c r="S8" s="55"/>
      <c r="T8" s="21">
        <f t="shared" si="7"/>
        <v>54800</v>
      </c>
      <c r="U8" s="60">
        <f t="shared" si="0"/>
        <v>-9.1</v>
      </c>
      <c r="V8" s="61">
        <f t="shared" si="1"/>
        <v>-10.7</v>
      </c>
      <c r="W8" s="62">
        <f t="shared" si="2"/>
        <v>19.8</v>
      </c>
      <c r="Y8" s="8"/>
      <c r="Z8" s="41"/>
      <c r="AA8" s="32"/>
      <c r="AB8" s="32">
        <v>1</v>
      </c>
      <c r="AC8" s="32">
        <v>5</v>
      </c>
      <c r="AD8" s="36" t="s">
        <v>143</v>
      </c>
      <c r="AE8" s="47" t="s">
        <v>87</v>
      </c>
      <c r="AF8" s="48" t="s">
        <v>87</v>
      </c>
      <c r="AG8" s="48" t="s">
        <v>80</v>
      </c>
      <c r="AH8" s="48" t="s">
        <v>80</v>
      </c>
      <c r="AI8" s="48" t="s">
        <v>80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145</v>
      </c>
      <c r="G9" s="9">
        <v>-1300</v>
      </c>
      <c r="H9" s="9"/>
      <c r="I9" s="55">
        <v>0</v>
      </c>
      <c r="J9" s="21">
        <f t="shared" si="5"/>
        <v>24600</v>
      </c>
      <c r="K9" s="8" t="s">
        <v>145</v>
      </c>
      <c r="L9" s="9">
        <v>-800</v>
      </c>
      <c r="M9" s="9"/>
      <c r="N9" s="55">
        <v>0</v>
      </c>
      <c r="O9" s="21">
        <f t="shared" si="6"/>
        <v>23500</v>
      </c>
      <c r="P9" s="8" t="s">
        <v>144</v>
      </c>
      <c r="Q9" s="9">
        <v>2100</v>
      </c>
      <c r="R9" s="9"/>
      <c r="S9" s="55">
        <v>0</v>
      </c>
      <c r="T9" s="21">
        <f t="shared" si="7"/>
        <v>56900</v>
      </c>
      <c r="U9" s="60">
        <f t="shared" si="0"/>
        <v>-10.4</v>
      </c>
      <c r="V9" s="61">
        <f t="shared" si="1"/>
        <v>-11.5</v>
      </c>
      <c r="W9" s="62">
        <f t="shared" si="2"/>
        <v>21.9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2</v>
      </c>
      <c r="BT9" s="36">
        <v>30</v>
      </c>
      <c r="BU9" s="47" t="s">
        <v>146</v>
      </c>
      <c r="BV9" s="48" t="s">
        <v>83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33C8FE4A-EB57-4519-AEB4-5A5C249AA223}">
      <formula1>$U$2:$W$2</formula1>
    </dataValidation>
    <dataValidation type="list" showInputMessage="1" showErrorMessage="1" sqref="K4:K30 P4:P30 F4:F30" xr:uid="{4B6EA8E9-8927-444A-8428-D82C4B5449A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3244C-0AEE-468B-8895-807106696C15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139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149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ただ</v>
      </c>
      <c r="W2" s="16" t="str">
        <f>$P$1</f>
        <v>たかの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/>
      <c r="L4" s="9"/>
      <c r="M4" s="9"/>
      <c r="N4" s="55"/>
      <c r="O4" s="21">
        <f>IF(COUNTA($F4,$K4,$P4)&gt;0,O3+SUM(L4:N4),"")</f>
        <v>35000</v>
      </c>
      <c r="P4" s="8" t="s">
        <v>142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 t="shared" ref="U4:U30" si="0">IF($J4="","",ROUND(($J4-$J$3)/1000,1))</f>
        <v>-8</v>
      </c>
      <c r="V4" s="61">
        <f t="shared" ref="V4:V30" si="1">IF($O4="","",ROUND(($O4-$O$3)/1000,1))</f>
        <v>0</v>
      </c>
      <c r="W4" s="62">
        <f t="shared" ref="W4:W30" si="2">IF($T4="","",ROUND(($T4-$T$3)/1000,1))</f>
        <v>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4</v>
      </c>
      <c r="BT4" s="36">
        <v>30</v>
      </c>
      <c r="BU4" s="47" t="s">
        <v>82</v>
      </c>
      <c r="BV4" s="48" t="s">
        <v>87</v>
      </c>
      <c r="BW4" s="48" t="s">
        <v>80</v>
      </c>
      <c r="BX4" s="48" t="s">
        <v>80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152</v>
      </c>
      <c r="F5" s="8" t="s">
        <v>145</v>
      </c>
      <c r="G5" s="9">
        <v>-800</v>
      </c>
      <c r="H5" s="9"/>
      <c r="I5" s="55">
        <v>0</v>
      </c>
      <c r="J5" s="21">
        <f t="shared" ref="J5:J30" si="5">IF(COUNTA($F5,$K5,$P5)&gt;0,J4+SUM(G5:I5),"")</f>
        <v>26200</v>
      </c>
      <c r="K5" s="8" t="s">
        <v>145</v>
      </c>
      <c r="L5" s="9">
        <v>-1300</v>
      </c>
      <c r="M5" s="9"/>
      <c r="N5" s="55">
        <v>0</v>
      </c>
      <c r="O5" s="21">
        <f t="shared" ref="O5:O30" si="6">IF(COUNTA($F5,$K5,$P5)&gt;0,O4+SUM(L5:N5),"")</f>
        <v>33700</v>
      </c>
      <c r="P5" s="8" t="s">
        <v>144</v>
      </c>
      <c r="Q5" s="9">
        <v>2100</v>
      </c>
      <c r="R5" s="9"/>
      <c r="S5" s="55">
        <v>0</v>
      </c>
      <c r="T5" s="21">
        <f t="shared" ref="T5:T30" si="7">IF(COUNTA($F5,$K5,$P5)&gt;0,T4+SUM(Q5:S5),"")</f>
        <v>45100</v>
      </c>
      <c r="U5" s="60">
        <f t="shared" si="0"/>
        <v>-8.8000000000000007</v>
      </c>
      <c r="V5" s="61">
        <f t="shared" si="1"/>
        <v>-1.3</v>
      </c>
      <c r="W5" s="62">
        <f t="shared" si="2"/>
        <v>10.1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82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148</v>
      </c>
      <c r="F6" s="8" t="s">
        <v>142</v>
      </c>
      <c r="G6" s="9">
        <v>3900</v>
      </c>
      <c r="H6" s="9"/>
      <c r="I6" s="55">
        <v>0</v>
      </c>
      <c r="J6" s="21">
        <f t="shared" si="5"/>
        <v>30100</v>
      </c>
      <c r="K6" s="8"/>
      <c r="L6" s="9"/>
      <c r="M6" s="9"/>
      <c r="N6" s="55"/>
      <c r="O6" s="21">
        <f t="shared" si="6"/>
        <v>33700</v>
      </c>
      <c r="P6" s="8" t="s">
        <v>141</v>
      </c>
      <c r="Q6" s="9">
        <v>-3900</v>
      </c>
      <c r="R6" s="9"/>
      <c r="S6" s="55">
        <v>0</v>
      </c>
      <c r="T6" s="21">
        <f t="shared" si="7"/>
        <v>41200</v>
      </c>
      <c r="U6" s="60">
        <f t="shared" si="0"/>
        <v>-4.9000000000000004</v>
      </c>
      <c r="V6" s="61">
        <f t="shared" si="1"/>
        <v>-1.3</v>
      </c>
      <c r="W6" s="62">
        <f t="shared" si="2"/>
        <v>6.2</v>
      </c>
      <c r="Y6" s="8"/>
      <c r="Z6" s="41"/>
      <c r="AA6" s="32"/>
      <c r="AB6" s="32">
        <v>1</v>
      </c>
      <c r="AC6" s="32">
        <v>3</v>
      </c>
      <c r="AD6" s="36">
        <v>30</v>
      </c>
      <c r="AE6" s="47" t="s">
        <v>87</v>
      </c>
      <c r="AF6" s="48" t="s">
        <v>105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145</v>
      </c>
      <c r="G7" s="9">
        <v>-3300</v>
      </c>
      <c r="H7" s="9"/>
      <c r="I7" s="55">
        <v>0</v>
      </c>
      <c r="J7" s="21">
        <f t="shared" si="5"/>
        <v>26800</v>
      </c>
      <c r="K7" s="8" t="s">
        <v>145</v>
      </c>
      <c r="L7" s="9">
        <v>-2000</v>
      </c>
      <c r="M7" s="9"/>
      <c r="N7" s="55">
        <v>0</v>
      </c>
      <c r="O7" s="21">
        <f t="shared" si="6"/>
        <v>31700</v>
      </c>
      <c r="P7" s="8" t="s">
        <v>144</v>
      </c>
      <c r="Q7" s="9">
        <v>5300</v>
      </c>
      <c r="R7" s="9"/>
      <c r="S7" s="55">
        <v>0</v>
      </c>
      <c r="T7" s="21">
        <f t="shared" si="7"/>
        <v>46500</v>
      </c>
      <c r="U7" s="60">
        <f t="shared" si="0"/>
        <v>-8.1999999999999993</v>
      </c>
      <c r="V7" s="61">
        <f t="shared" si="1"/>
        <v>-3.3</v>
      </c>
      <c r="W7" s="62">
        <f t="shared" si="2"/>
        <v>11.5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4</v>
      </c>
      <c r="BT7" s="36">
        <v>20</v>
      </c>
      <c r="BU7" s="47" t="s">
        <v>84</v>
      </c>
      <c r="BV7" s="48" t="s">
        <v>83</v>
      </c>
      <c r="BW7" s="48" t="s">
        <v>80</v>
      </c>
      <c r="BX7" s="48" t="s">
        <v>80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152</v>
      </c>
      <c r="F8" s="8" t="s">
        <v>144</v>
      </c>
      <c r="G8" s="9">
        <v>8000</v>
      </c>
      <c r="H8" s="9">
        <v>1000</v>
      </c>
      <c r="I8" s="55">
        <v>0</v>
      </c>
      <c r="J8" s="21">
        <f t="shared" si="5"/>
        <v>35800</v>
      </c>
      <c r="K8" s="8" t="s">
        <v>145</v>
      </c>
      <c r="L8" s="9">
        <v>-5000</v>
      </c>
      <c r="M8" s="9">
        <v>-1000</v>
      </c>
      <c r="N8" s="55">
        <v>0</v>
      </c>
      <c r="O8" s="21">
        <f t="shared" si="6"/>
        <v>25700</v>
      </c>
      <c r="P8" s="8" t="s">
        <v>145</v>
      </c>
      <c r="Q8" s="9">
        <v>-3000</v>
      </c>
      <c r="R8" s="9"/>
      <c r="S8" s="55">
        <v>0</v>
      </c>
      <c r="T8" s="21">
        <f t="shared" si="7"/>
        <v>43500</v>
      </c>
      <c r="U8" s="60">
        <f t="shared" si="0"/>
        <v>0.8</v>
      </c>
      <c r="V8" s="61">
        <f t="shared" si="1"/>
        <v>-9.3000000000000007</v>
      </c>
      <c r="W8" s="62">
        <f t="shared" si="2"/>
        <v>8.5</v>
      </c>
      <c r="Y8" s="8"/>
      <c r="Z8" s="41"/>
      <c r="AA8" s="32">
        <v>1</v>
      </c>
      <c r="AB8" s="32"/>
      <c r="AC8" s="32">
        <v>5</v>
      </c>
      <c r="AD8" s="36" t="s">
        <v>143</v>
      </c>
      <c r="AE8" s="47" t="s">
        <v>146</v>
      </c>
      <c r="AF8" s="48" t="s">
        <v>83</v>
      </c>
      <c r="AG8" s="48" t="s">
        <v>84</v>
      </c>
      <c r="AH8" s="48" t="s">
        <v>82</v>
      </c>
      <c r="AI8" s="48" t="s">
        <v>82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148</v>
      </c>
      <c r="F9" s="8" t="s">
        <v>141</v>
      </c>
      <c r="G9" s="9">
        <v>-18000</v>
      </c>
      <c r="H9" s="9"/>
      <c r="I9" s="55">
        <v>0</v>
      </c>
      <c r="J9" s="21">
        <f t="shared" si="5"/>
        <v>17800</v>
      </c>
      <c r="K9" s="8"/>
      <c r="L9" s="9"/>
      <c r="M9" s="9"/>
      <c r="N9" s="55"/>
      <c r="O9" s="21">
        <f t="shared" si="6"/>
        <v>25700</v>
      </c>
      <c r="P9" s="8" t="s">
        <v>142</v>
      </c>
      <c r="Q9" s="9">
        <v>18000</v>
      </c>
      <c r="R9" s="9"/>
      <c r="S9" s="55">
        <v>0</v>
      </c>
      <c r="T9" s="21">
        <f t="shared" si="7"/>
        <v>61500</v>
      </c>
      <c r="U9" s="60">
        <f t="shared" si="0"/>
        <v>-17.2</v>
      </c>
      <c r="V9" s="61">
        <f t="shared" si="1"/>
        <v>-9.3000000000000007</v>
      </c>
      <c r="W9" s="62">
        <f t="shared" si="2"/>
        <v>26.5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6</v>
      </c>
      <c r="BT9" s="36" t="s">
        <v>143</v>
      </c>
      <c r="BU9" s="47" t="s">
        <v>146</v>
      </c>
      <c r="BV9" s="48" t="s">
        <v>147</v>
      </c>
      <c r="BW9" s="48" t="s">
        <v>80</v>
      </c>
      <c r="BX9" s="48" t="s">
        <v>80</v>
      </c>
      <c r="BY9" s="48" t="s">
        <v>82</v>
      </c>
      <c r="BZ9" s="48" t="s">
        <v>82</v>
      </c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1</v>
      </c>
      <c r="D10" s="18">
        <f t="shared" si="4"/>
        <v>0</v>
      </c>
      <c r="E10" s="4" t="s">
        <v>148</v>
      </c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F4:F30 P4:P30 K4:K30" xr:uid="{424F64EA-D7C2-46C1-AF9D-4147307BA053}">
      <formula1>"ロン,ツモ,放銃,ツモ支払,流局,チョンボ"</formula1>
    </dataValidation>
    <dataValidation type="list" allowBlank="1" showInputMessage="1" showErrorMessage="1" sqref="E4:E30" xr:uid="{722ECDAF-A9C1-4675-A5FF-EC25F4756D2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73600-F0E8-4395-B976-A8E3310776F2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149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たかの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152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-1000</v>
      </c>
      <c r="M4" s="9"/>
      <c r="N4" s="55">
        <v>0</v>
      </c>
      <c r="O4" s="21">
        <f>IF(COUNTA($F4,$K4,$P4)&gt;0,O3+SUM(L4:N4),"")</f>
        <v>34000</v>
      </c>
      <c r="P4" s="8" t="s">
        <v>142</v>
      </c>
      <c r="Q4" s="9">
        <v>1000</v>
      </c>
      <c r="R4" s="9"/>
      <c r="S4" s="55">
        <v>0</v>
      </c>
      <c r="T4" s="21">
        <f>IF(COUNTA($F4,$K4,$P4)&gt;0,T3+SUM(Q4:S4),"")</f>
        <v>36000</v>
      </c>
      <c r="U4" s="60">
        <f t="shared" ref="U4:U30" si="0">IF($J4="","",ROUND(($J4-$J$3)/1000,1))</f>
        <v>0</v>
      </c>
      <c r="V4" s="61">
        <f t="shared" ref="V4:V30" si="1">IF($O4="","",ROUND(($O4-$O$3)/1000,1))</f>
        <v>-1</v>
      </c>
      <c r="W4" s="62">
        <f t="shared" ref="W4:W30" si="2">IF($T4="","",ROUND(($T4-$T$3)/1000,1))</f>
        <v>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1</v>
      </c>
      <c r="BT4" s="36">
        <v>30</v>
      </c>
      <c r="BU4" s="47" t="s">
        <v>87</v>
      </c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148</v>
      </c>
      <c r="F5" s="8" t="s">
        <v>142</v>
      </c>
      <c r="G5" s="9">
        <v>12000</v>
      </c>
      <c r="H5" s="9">
        <v>1000</v>
      </c>
      <c r="I5" s="55">
        <v>0</v>
      </c>
      <c r="J5" s="21">
        <f t="shared" ref="J5:J30" si="5">IF(COUNTA($F5,$K5,$P5)&gt;0,J4+SUM(G5:I5),"")</f>
        <v>48000</v>
      </c>
      <c r="K5" s="8"/>
      <c r="L5" s="9"/>
      <c r="M5" s="9">
        <v>-1000</v>
      </c>
      <c r="N5" s="55"/>
      <c r="O5" s="21">
        <f t="shared" ref="O5:O30" si="6">IF(COUNTA($F5,$K5,$P5)&gt;0,O4+SUM(L5:N5),"")</f>
        <v>33000</v>
      </c>
      <c r="P5" s="8" t="s">
        <v>141</v>
      </c>
      <c r="Q5" s="9">
        <v>-12000</v>
      </c>
      <c r="R5" s="9"/>
      <c r="S5" s="55">
        <v>0</v>
      </c>
      <c r="T5" s="21">
        <f t="shared" ref="T5:T30" si="7">IF(COUNTA($F5,$K5,$P5)&gt;0,T4+SUM(Q5:S5),"")</f>
        <v>24000</v>
      </c>
      <c r="U5" s="60">
        <f t="shared" si="0"/>
        <v>13</v>
      </c>
      <c r="V5" s="61">
        <f t="shared" si="1"/>
        <v>-2</v>
      </c>
      <c r="W5" s="62">
        <f t="shared" si="2"/>
        <v>-11</v>
      </c>
      <c r="Y5" s="8"/>
      <c r="Z5" s="41"/>
      <c r="AA5" s="32"/>
      <c r="AB5" s="32">
        <v>1</v>
      </c>
      <c r="AC5" s="32">
        <v>6</v>
      </c>
      <c r="AD5" s="36" t="s">
        <v>143</v>
      </c>
      <c r="AE5" s="47" t="s">
        <v>105</v>
      </c>
      <c r="AF5" s="48" t="s">
        <v>82</v>
      </c>
      <c r="AG5" s="48" t="s">
        <v>80</v>
      </c>
      <c r="AH5" s="48" t="s">
        <v>80</v>
      </c>
      <c r="AI5" s="48" t="s">
        <v>80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144</v>
      </c>
      <c r="G6" s="9">
        <v>12000</v>
      </c>
      <c r="H6" s="9"/>
      <c r="I6" s="55">
        <v>0</v>
      </c>
      <c r="J6" s="21">
        <f t="shared" si="5"/>
        <v>60000</v>
      </c>
      <c r="K6" s="8" t="s">
        <v>145</v>
      </c>
      <c r="L6" s="9">
        <v>-6000</v>
      </c>
      <c r="M6" s="9"/>
      <c r="N6" s="55">
        <v>0</v>
      </c>
      <c r="O6" s="21">
        <f t="shared" si="6"/>
        <v>27000</v>
      </c>
      <c r="P6" s="8" t="s">
        <v>145</v>
      </c>
      <c r="Q6" s="9">
        <v>-6000</v>
      </c>
      <c r="R6" s="9"/>
      <c r="S6" s="55">
        <v>0</v>
      </c>
      <c r="T6" s="21">
        <f t="shared" si="7"/>
        <v>18000</v>
      </c>
      <c r="U6" s="60">
        <f t="shared" si="0"/>
        <v>25</v>
      </c>
      <c r="V6" s="61">
        <f t="shared" si="1"/>
        <v>-8</v>
      </c>
      <c r="W6" s="62">
        <f t="shared" si="2"/>
        <v>-17</v>
      </c>
      <c r="Y6" s="8"/>
      <c r="Z6" s="41"/>
      <c r="AA6" s="32">
        <v>1</v>
      </c>
      <c r="AB6" s="32"/>
      <c r="AC6" s="32">
        <v>4</v>
      </c>
      <c r="AD6" s="36">
        <v>30</v>
      </c>
      <c r="AE6" s="47" t="s">
        <v>146</v>
      </c>
      <c r="AF6" s="48" t="s">
        <v>83</v>
      </c>
      <c r="AG6" s="48" t="s">
        <v>147</v>
      </c>
      <c r="AH6" s="48" t="s">
        <v>87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135</v>
      </c>
      <c r="F7" s="8" t="s">
        <v>145</v>
      </c>
      <c r="G7" s="9">
        <v>-7500</v>
      </c>
      <c r="H7" s="9"/>
      <c r="I7" s="55">
        <v>-500</v>
      </c>
      <c r="J7" s="21">
        <f t="shared" si="5"/>
        <v>52000</v>
      </c>
      <c r="K7" s="8" t="s">
        <v>145</v>
      </c>
      <c r="L7" s="9">
        <v>-4500</v>
      </c>
      <c r="M7" s="9">
        <v>-1000</v>
      </c>
      <c r="N7" s="55">
        <v>-500</v>
      </c>
      <c r="O7" s="21">
        <f t="shared" si="6"/>
        <v>21000</v>
      </c>
      <c r="P7" s="8" t="s">
        <v>144</v>
      </c>
      <c r="Q7" s="9">
        <v>12000</v>
      </c>
      <c r="R7" s="9">
        <v>1000</v>
      </c>
      <c r="S7" s="55">
        <v>1000</v>
      </c>
      <c r="T7" s="21">
        <f t="shared" si="7"/>
        <v>32000</v>
      </c>
      <c r="U7" s="60">
        <f t="shared" si="0"/>
        <v>17</v>
      </c>
      <c r="V7" s="61">
        <f t="shared" si="1"/>
        <v>-14</v>
      </c>
      <c r="W7" s="62">
        <f t="shared" si="2"/>
        <v>-3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7</v>
      </c>
      <c r="BT7" s="36" t="s">
        <v>143</v>
      </c>
      <c r="BU7" s="47" t="s">
        <v>105</v>
      </c>
      <c r="BV7" s="48" t="s">
        <v>87</v>
      </c>
      <c r="BW7" s="48" t="s">
        <v>97</v>
      </c>
      <c r="BX7" s="48" t="s">
        <v>83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152</v>
      </c>
      <c r="F8" s="8" t="s">
        <v>142</v>
      </c>
      <c r="G8" s="9">
        <v>2000</v>
      </c>
      <c r="H8" s="9"/>
      <c r="I8" s="55">
        <v>0</v>
      </c>
      <c r="J8" s="21">
        <f t="shared" si="5"/>
        <v>54000</v>
      </c>
      <c r="K8" s="8"/>
      <c r="L8" s="9"/>
      <c r="M8" s="9"/>
      <c r="N8" s="55"/>
      <c r="O8" s="21">
        <f t="shared" si="6"/>
        <v>21000</v>
      </c>
      <c r="P8" s="8" t="s">
        <v>141</v>
      </c>
      <c r="Q8" s="9">
        <v>-2000</v>
      </c>
      <c r="R8" s="9"/>
      <c r="S8" s="55">
        <v>0</v>
      </c>
      <c r="T8" s="21">
        <f t="shared" si="7"/>
        <v>30000</v>
      </c>
      <c r="U8" s="60">
        <f t="shared" si="0"/>
        <v>19</v>
      </c>
      <c r="V8" s="61">
        <f t="shared" si="1"/>
        <v>-14</v>
      </c>
      <c r="W8" s="62">
        <f t="shared" si="2"/>
        <v>-5</v>
      </c>
      <c r="Y8" s="8"/>
      <c r="Z8" s="41"/>
      <c r="AA8" s="32"/>
      <c r="AB8" s="32">
        <v>1</v>
      </c>
      <c r="AC8" s="32">
        <v>2</v>
      </c>
      <c r="AD8" s="36">
        <v>30</v>
      </c>
      <c r="AE8" s="47" t="s">
        <v>87</v>
      </c>
      <c r="AF8" s="48" t="s">
        <v>80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148</v>
      </c>
      <c r="F9" s="8" t="s">
        <v>141</v>
      </c>
      <c r="G9" s="9">
        <v>-24000</v>
      </c>
      <c r="H9" s="9"/>
      <c r="I9" s="55">
        <v>0</v>
      </c>
      <c r="J9" s="21">
        <f t="shared" si="5"/>
        <v>30000</v>
      </c>
      <c r="K9" s="8"/>
      <c r="L9" s="9"/>
      <c r="M9" s="9"/>
      <c r="N9" s="55"/>
      <c r="O9" s="21">
        <f t="shared" si="6"/>
        <v>21000</v>
      </c>
      <c r="P9" s="8" t="s">
        <v>142</v>
      </c>
      <c r="Q9" s="9">
        <v>24000</v>
      </c>
      <c r="R9" s="9"/>
      <c r="S9" s="55">
        <v>0</v>
      </c>
      <c r="T9" s="21">
        <f t="shared" si="7"/>
        <v>54000</v>
      </c>
      <c r="U9" s="60">
        <f t="shared" si="0"/>
        <v>-5</v>
      </c>
      <c r="V9" s="61">
        <f t="shared" si="1"/>
        <v>-14</v>
      </c>
      <c r="W9" s="62">
        <f t="shared" si="2"/>
        <v>19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9</v>
      </c>
      <c r="BT9" s="36" t="s">
        <v>143</v>
      </c>
      <c r="BU9" s="47" t="s">
        <v>146</v>
      </c>
      <c r="BV9" s="48" t="s">
        <v>147</v>
      </c>
      <c r="BW9" s="48" t="s">
        <v>84</v>
      </c>
      <c r="BX9" s="48" t="s">
        <v>82</v>
      </c>
      <c r="BY9" s="48" t="s">
        <v>82</v>
      </c>
      <c r="BZ9" s="48" t="s">
        <v>82</v>
      </c>
      <c r="CA9" s="48" t="s">
        <v>80</v>
      </c>
      <c r="CB9" s="48" t="s">
        <v>81</v>
      </c>
      <c r="CC9" s="48" t="s">
        <v>81</v>
      </c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1</v>
      </c>
      <c r="D10" s="18">
        <f t="shared" si="4"/>
        <v>0</v>
      </c>
      <c r="E10" s="4" t="s">
        <v>148</v>
      </c>
      <c r="F10" s="8" t="s">
        <v>142</v>
      </c>
      <c r="G10" s="9">
        <v>8000</v>
      </c>
      <c r="H10" s="9"/>
      <c r="I10" s="55">
        <v>1000</v>
      </c>
      <c r="J10" s="21">
        <f t="shared" si="5"/>
        <v>39000</v>
      </c>
      <c r="K10" s="8"/>
      <c r="L10" s="9"/>
      <c r="M10" s="9"/>
      <c r="N10" s="55"/>
      <c r="O10" s="21">
        <f t="shared" si="6"/>
        <v>21000</v>
      </c>
      <c r="P10" s="8" t="s">
        <v>141</v>
      </c>
      <c r="Q10" s="9">
        <v>-8000</v>
      </c>
      <c r="R10" s="9"/>
      <c r="S10" s="55">
        <v>-1000</v>
      </c>
      <c r="T10" s="21">
        <f t="shared" si="7"/>
        <v>45000</v>
      </c>
      <c r="U10" s="60">
        <f t="shared" si="0"/>
        <v>4</v>
      </c>
      <c r="V10" s="61">
        <f t="shared" si="1"/>
        <v>-14</v>
      </c>
      <c r="W10" s="62">
        <f t="shared" si="2"/>
        <v>10</v>
      </c>
      <c r="Y10" s="8"/>
      <c r="Z10" s="41"/>
      <c r="AA10" s="32">
        <v>1</v>
      </c>
      <c r="AB10" s="32"/>
      <c r="AC10" s="32">
        <v>4</v>
      </c>
      <c r="AD10" s="36">
        <v>40</v>
      </c>
      <c r="AE10" s="47" t="s">
        <v>146</v>
      </c>
      <c r="AF10" s="48" t="s">
        <v>80</v>
      </c>
      <c r="AG10" s="48" t="s">
        <v>80</v>
      </c>
      <c r="AH10" s="48" t="s">
        <v>80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135</v>
      </c>
      <c r="F11" s="8" t="s">
        <v>145</v>
      </c>
      <c r="G11" s="9">
        <v>-5000</v>
      </c>
      <c r="H11" s="9"/>
      <c r="I11" s="55">
        <v>0</v>
      </c>
      <c r="J11" s="21">
        <f t="shared" si="5"/>
        <v>34000</v>
      </c>
      <c r="K11" s="8" t="s">
        <v>145</v>
      </c>
      <c r="L11" s="9">
        <v>-3000</v>
      </c>
      <c r="M11" s="9"/>
      <c r="N11" s="55">
        <v>0</v>
      </c>
      <c r="O11" s="21">
        <f t="shared" si="6"/>
        <v>18000</v>
      </c>
      <c r="P11" s="8" t="s">
        <v>144</v>
      </c>
      <c r="Q11" s="9">
        <v>8000</v>
      </c>
      <c r="R11" s="9"/>
      <c r="S11" s="55">
        <v>0</v>
      </c>
      <c r="T11" s="21">
        <f t="shared" si="7"/>
        <v>53000</v>
      </c>
      <c r="U11" s="60">
        <f t="shared" si="0"/>
        <v>-1</v>
      </c>
      <c r="V11" s="61">
        <f t="shared" si="1"/>
        <v>-17</v>
      </c>
      <c r="W11" s="62">
        <f t="shared" si="2"/>
        <v>18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4</v>
      </c>
      <c r="BT11" s="36">
        <v>30</v>
      </c>
      <c r="BU11" s="47" t="s">
        <v>146</v>
      </c>
      <c r="BV11" s="48" t="s">
        <v>83</v>
      </c>
      <c r="BW11" s="48" t="s">
        <v>86</v>
      </c>
      <c r="BX11" s="48" t="s">
        <v>82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07BCE35C-D41C-4252-A024-F2AFC9D1F6F6}">
      <formula1>$U$2:$W$2</formula1>
    </dataValidation>
    <dataValidation type="list" showInputMessage="1" showErrorMessage="1" sqref="F4:F30 P4:P30 K4:K30" xr:uid="{4663FCC0-786F-43ED-BD37-E4E6A27B60B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C7AA-2F1F-49FE-AB7D-F0F84CB839A6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149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たかの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/>
      <c r="G4" s="9"/>
      <c r="H4" s="9"/>
      <c r="I4" s="55"/>
      <c r="J4" s="21">
        <f>IF(COUNTA($F4,$K4,$P4)&gt;0,J3+SUM(G4:I4),"")</f>
        <v>35000</v>
      </c>
      <c r="K4" s="8" t="s">
        <v>142</v>
      </c>
      <c r="L4" s="9">
        <v>3200</v>
      </c>
      <c r="M4" s="9"/>
      <c r="N4" s="55">
        <v>0</v>
      </c>
      <c r="O4" s="21">
        <f>IF(COUNTA($F4,$K4,$P4)&gt;0,O3+SUM(L4:N4),"")</f>
        <v>38200</v>
      </c>
      <c r="P4" s="8" t="s">
        <v>141</v>
      </c>
      <c r="Q4" s="9">
        <v>-3200</v>
      </c>
      <c r="R4" s="9"/>
      <c r="S4" s="55">
        <v>0</v>
      </c>
      <c r="T4" s="21">
        <f>IF(COUNTA($F4,$K4,$P4)&gt;0,T3+SUM(Q4:S4),"")</f>
        <v>31800</v>
      </c>
      <c r="U4" s="60">
        <f t="shared" ref="U4:U30" si="0">IF($J4="","",ROUND(($J4-$J$3)/1000,1))</f>
        <v>0</v>
      </c>
      <c r="V4" s="61">
        <f t="shared" ref="V4:V30" si="1">IF($O4="","",ROUND(($O4-$O$3)/1000,1))</f>
        <v>3.2</v>
      </c>
      <c r="W4" s="62">
        <f t="shared" ref="W4:W30" si="2">IF($T4="","",ROUND(($T4-$T$3)/1000,1))</f>
        <v>-3.2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3</v>
      </c>
      <c r="AY4" s="36">
        <v>25</v>
      </c>
      <c r="AZ4" s="47" t="s">
        <v>102</v>
      </c>
      <c r="BA4" s="48" t="s">
        <v>82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152</v>
      </c>
      <c r="F5" s="8" t="s">
        <v>141</v>
      </c>
      <c r="G5" s="9">
        <v>-12000</v>
      </c>
      <c r="H5" s="9"/>
      <c r="I5" s="55">
        <v>0</v>
      </c>
      <c r="J5" s="21">
        <f t="shared" ref="J5:J30" si="5">IF(COUNTA($F5,$K5,$P5)&gt;0,J4+SUM(G5:I5),"")</f>
        <v>23000</v>
      </c>
      <c r="K5" s="8" t="s">
        <v>142</v>
      </c>
      <c r="L5" s="9">
        <v>12000</v>
      </c>
      <c r="M5" s="9">
        <v>1000</v>
      </c>
      <c r="N5" s="55">
        <v>0</v>
      </c>
      <c r="O5" s="21">
        <f t="shared" ref="O5:O30" si="6">IF(COUNTA($F5,$K5,$P5)&gt;0,O4+SUM(L5:N5),"")</f>
        <v>51200</v>
      </c>
      <c r="P5" s="8"/>
      <c r="Q5" s="9"/>
      <c r="R5" s="9">
        <v>-1000</v>
      </c>
      <c r="S5" s="55"/>
      <c r="T5" s="21">
        <f t="shared" ref="T5:T30" si="7">IF(COUNTA($F5,$K5,$P5)&gt;0,T4+SUM(Q5:S5),"")</f>
        <v>30800</v>
      </c>
      <c r="U5" s="60">
        <f t="shared" si="0"/>
        <v>-12</v>
      </c>
      <c r="V5" s="61">
        <f t="shared" si="1"/>
        <v>16.2</v>
      </c>
      <c r="W5" s="62">
        <f t="shared" si="2"/>
        <v>-4.2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30</v>
      </c>
      <c r="AZ5" s="47" t="s">
        <v>146</v>
      </c>
      <c r="BA5" s="48" t="s">
        <v>84</v>
      </c>
      <c r="BB5" s="48" t="s">
        <v>80</v>
      </c>
      <c r="BC5" s="48" t="s">
        <v>147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152</v>
      </c>
      <c r="F6" s="8" t="s">
        <v>156</v>
      </c>
      <c r="G6" s="9">
        <v>-1500</v>
      </c>
      <c r="H6" s="9"/>
      <c r="I6" s="55"/>
      <c r="J6" s="21">
        <f t="shared" si="5"/>
        <v>21500</v>
      </c>
      <c r="K6" s="8" t="s">
        <v>156</v>
      </c>
      <c r="L6" s="9">
        <v>3000</v>
      </c>
      <c r="M6" s="9">
        <v>-1000</v>
      </c>
      <c r="N6" s="55"/>
      <c r="O6" s="21">
        <f t="shared" si="6"/>
        <v>53200</v>
      </c>
      <c r="P6" s="8" t="s">
        <v>156</v>
      </c>
      <c r="Q6" s="9">
        <v>-1500</v>
      </c>
      <c r="R6" s="9"/>
      <c r="S6" s="55"/>
      <c r="T6" s="21">
        <f t="shared" si="7"/>
        <v>29300</v>
      </c>
      <c r="U6" s="60">
        <f t="shared" si="0"/>
        <v>-13.5</v>
      </c>
      <c r="V6" s="61">
        <f t="shared" si="1"/>
        <v>18.2</v>
      </c>
      <c r="W6" s="62">
        <f t="shared" si="2"/>
        <v>-5.7</v>
      </c>
      <c r="Y6" s="8" t="s">
        <v>154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155</v>
      </c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154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2</v>
      </c>
      <c r="D7" s="18">
        <f t="shared" si="4"/>
        <v>1</v>
      </c>
      <c r="E7" s="4" t="s">
        <v>152</v>
      </c>
      <c r="F7" s="8" t="s">
        <v>145</v>
      </c>
      <c r="G7" s="9">
        <v>-3000</v>
      </c>
      <c r="H7" s="9"/>
      <c r="I7" s="55">
        <v>-1000</v>
      </c>
      <c r="J7" s="21">
        <f t="shared" si="5"/>
        <v>17500</v>
      </c>
      <c r="K7" s="8" t="s">
        <v>145</v>
      </c>
      <c r="L7" s="9">
        <v>-5000</v>
      </c>
      <c r="M7" s="9"/>
      <c r="N7" s="55">
        <v>-1000</v>
      </c>
      <c r="O7" s="21">
        <f t="shared" si="6"/>
        <v>47200</v>
      </c>
      <c r="P7" s="8" t="s">
        <v>144</v>
      </c>
      <c r="Q7" s="9">
        <v>8000</v>
      </c>
      <c r="R7" s="9">
        <v>1000</v>
      </c>
      <c r="S7" s="55">
        <v>2000</v>
      </c>
      <c r="T7" s="21">
        <f t="shared" si="7"/>
        <v>40300</v>
      </c>
      <c r="U7" s="60">
        <f t="shared" si="0"/>
        <v>-17.5</v>
      </c>
      <c r="V7" s="61">
        <f t="shared" si="1"/>
        <v>12.2</v>
      </c>
      <c r="W7" s="62">
        <f t="shared" si="2"/>
        <v>5.3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5</v>
      </c>
      <c r="BT7" s="36" t="s">
        <v>143</v>
      </c>
      <c r="BU7" s="47" t="s">
        <v>83</v>
      </c>
      <c r="BV7" s="48" t="s">
        <v>85</v>
      </c>
      <c r="BW7" s="48" t="s">
        <v>80</v>
      </c>
      <c r="BX7" s="48" t="s">
        <v>80</v>
      </c>
      <c r="BY7" s="48" t="s">
        <v>82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148</v>
      </c>
      <c r="F8" s="8" t="s">
        <v>141</v>
      </c>
      <c r="G8" s="9">
        <v>-16000</v>
      </c>
      <c r="H8" s="9"/>
      <c r="I8" s="55">
        <v>0</v>
      </c>
      <c r="J8" s="21">
        <f t="shared" si="5"/>
        <v>1500</v>
      </c>
      <c r="K8" s="8" t="s">
        <v>142</v>
      </c>
      <c r="L8" s="9">
        <v>16000</v>
      </c>
      <c r="M8" s="9"/>
      <c r="N8" s="55">
        <v>0</v>
      </c>
      <c r="O8" s="21">
        <f t="shared" si="6"/>
        <v>63200</v>
      </c>
      <c r="P8" s="8"/>
      <c r="Q8" s="9"/>
      <c r="R8" s="9"/>
      <c r="S8" s="55"/>
      <c r="T8" s="21">
        <f t="shared" si="7"/>
        <v>40300</v>
      </c>
      <c r="U8" s="60">
        <f t="shared" si="0"/>
        <v>-33.5</v>
      </c>
      <c r="V8" s="61">
        <f t="shared" si="1"/>
        <v>28.2</v>
      </c>
      <c r="W8" s="62">
        <f t="shared" si="2"/>
        <v>5.3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8</v>
      </c>
      <c r="AY8" s="36" t="s">
        <v>143</v>
      </c>
      <c r="AZ8" s="47" t="s">
        <v>107</v>
      </c>
      <c r="BA8" s="48" t="s">
        <v>97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135</v>
      </c>
      <c r="F9" s="8" t="s">
        <v>142</v>
      </c>
      <c r="G9" s="9">
        <v>7700</v>
      </c>
      <c r="H9" s="9"/>
      <c r="I9" s="55">
        <v>0</v>
      </c>
      <c r="J9" s="21">
        <f t="shared" si="5"/>
        <v>9200</v>
      </c>
      <c r="K9" s="8"/>
      <c r="L9" s="9"/>
      <c r="M9" s="9"/>
      <c r="N9" s="55"/>
      <c r="O9" s="21">
        <f t="shared" si="6"/>
        <v>63200</v>
      </c>
      <c r="P9" s="8" t="s">
        <v>141</v>
      </c>
      <c r="Q9" s="9">
        <v>-7700</v>
      </c>
      <c r="R9" s="9"/>
      <c r="S9" s="55">
        <v>0</v>
      </c>
      <c r="T9" s="21">
        <f t="shared" si="7"/>
        <v>32600</v>
      </c>
      <c r="U9" s="60">
        <f t="shared" si="0"/>
        <v>-25.8</v>
      </c>
      <c r="V9" s="61">
        <f t="shared" si="1"/>
        <v>28.2</v>
      </c>
      <c r="W9" s="62">
        <f t="shared" si="2"/>
        <v>-2.4</v>
      </c>
      <c r="Y9" s="8"/>
      <c r="Z9" s="41"/>
      <c r="AA9" s="32">
        <v>1</v>
      </c>
      <c r="AB9" s="32"/>
      <c r="AC9" s="32">
        <v>3</v>
      </c>
      <c r="AD9" s="36">
        <v>40</v>
      </c>
      <c r="AE9" s="47" t="s">
        <v>146</v>
      </c>
      <c r="AF9" s="48" t="s">
        <v>81</v>
      </c>
      <c r="AG9" s="48" t="s">
        <v>81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1</v>
      </c>
      <c r="D10" s="18">
        <f t="shared" si="4"/>
        <v>0</v>
      </c>
      <c r="E10" s="4" t="s">
        <v>135</v>
      </c>
      <c r="F10" s="8" t="s">
        <v>144</v>
      </c>
      <c r="G10" s="9">
        <v>12000</v>
      </c>
      <c r="H10" s="9"/>
      <c r="I10" s="55">
        <v>1000</v>
      </c>
      <c r="J10" s="21">
        <f t="shared" si="5"/>
        <v>22200</v>
      </c>
      <c r="K10" s="8" t="s">
        <v>145</v>
      </c>
      <c r="L10" s="9">
        <v>-6000</v>
      </c>
      <c r="M10" s="9"/>
      <c r="N10" s="55">
        <v>-500</v>
      </c>
      <c r="O10" s="21">
        <f t="shared" si="6"/>
        <v>56700</v>
      </c>
      <c r="P10" s="8" t="s">
        <v>145</v>
      </c>
      <c r="Q10" s="9">
        <v>-6000</v>
      </c>
      <c r="R10" s="9"/>
      <c r="S10" s="55">
        <v>-500</v>
      </c>
      <c r="T10" s="21">
        <f t="shared" si="7"/>
        <v>26100</v>
      </c>
      <c r="U10" s="60">
        <f t="shared" si="0"/>
        <v>-12.8</v>
      </c>
      <c r="V10" s="61">
        <f t="shared" si="1"/>
        <v>21.7</v>
      </c>
      <c r="W10" s="62">
        <f t="shared" si="2"/>
        <v>-8.9</v>
      </c>
      <c r="Y10" s="8"/>
      <c r="Z10" s="41"/>
      <c r="AA10" s="32"/>
      <c r="AB10" s="32"/>
      <c r="AC10" s="32">
        <v>5</v>
      </c>
      <c r="AD10" s="36" t="s">
        <v>143</v>
      </c>
      <c r="AE10" s="47" t="s">
        <v>83</v>
      </c>
      <c r="AF10" s="48" t="s">
        <v>102</v>
      </c>
      <c r="AG10" s="48" t="s">
        <v>80</v>
      </c>
      <c r="AH10" s="48" t="s">
        <v>80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1</v>
      </c>
      <c r="C11" s="18">
        <f t="shared" si="9"/>
        <v>2</v>
      </c>
      <c r="D11" s="18">
        <f t="shared" si="4"/>
        <v>0</v>
      </c>
      <c r="E11" s="4" t="s">
        <v>135</v>
      </c>
      <c r="F11" s="8" t="s">
        <v>142</v>
      </c>
      <c r="G11" s="9">
        <v>9600</v>
      </c>
      <c r="H11" s="9"/>
      <c r="I11" s="55">
        <v>2000</v>
      </c>
      <c r="J11" s="21">
        <f t="shared" si="5"/>
        <v>33800</v>
      </c>
      <c r="K11" s="8"/>
      <c r="L11" s="9"/>
      <c r="M11" s="9"/>
      <c r="N11" s="55"/>
      <c r="O11" s="21">
        <f t="shared" si="6"/>
        <v>56700</v>
      </c>
      <c r="P11" s="8" t="s">
        <v>141</v>
      </c>
      <c r="Q11" s="9">
        <v>-9600</v>
      </c>
      <c r="R11" s="9"/>
      <c r="S11" s="55">
        <v>-2000</v>
      </c>
      <c r="T11" s="21">
        <f t="shared" si="7"/>
        <v>14500</v>
      </c>
      <c r="U11" s="60">
        <f t="shared" si="0"/>
        <v>-1.2</v>
      </c>
      <c r="V11" s="61">
        <f t="shared" si="1"/>
        <v>21.7</v>
      </c>
      <c r="W11" s="62">
        <f t="shared" si="2"/>
        <v>-20.5</v>
      </c>
      <c r="Y11" s="8"/>
      <c r="Z11" s="41"/>
      <c r="AA11" s="32">
        <v>1</v>
      </c>
      <c r="AB11" s="32"/>
      <c r="AC11" s="32">
        <v>4</v>
      </c>
      <c r="AD11" s="36">
        <v>25</v>
      </c>
      <c r="AE11" s="47" t="s">
        <v>146</v>
      </c>
      <c r="AF11" s="48" t="s">
        <v>147</v>
      </c>
      <c r="AG11" s="48" t="s">
        <v>102</v>
      </c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3</v>
      </c>
      <c r="D12" s="18">
        <f t="shared" si="4"/>
        <v>0</v>
      </c>
      <c r="E12" s="4" t="s">
        <v>135</v>
      </c>
      <c r="F12" s="8" t="s">
        <v>142</v>
      </c>
      <c r="G12" s="9">
        <v>18000</v>
      </c>
      <c r="H12" s="9"/>
      <c r="I12" s="55">
        <v>3000</v>
      </c>
      <c r="J12" s="21">
        <f t="shared" si="5"/>
        <v>54800</v>
      </c>
      <c r="K12" s="8"/>
      <c r="L12" s="9"/>
      <c r="M12" s="9"/>
      <c r="N12" s="55"/>
      <c r="O12" s="21">
        <f t="shared" si="6"/>
        <v>56700</v>
      </c>
      <c r="P12" s="8" t="s">
        <v>141</v>
      </c>
      <c r="Q12" s="9">
        <v>-18000</v>
      </c>
      <c r="R12" s="9"/>
      <c r="S12" s="55">
        <v>-3000</v>
      </c>
      <c r="T12" s="21">
        <f t="shared" si="7"/>
        <v>-6500</v>
      </c>
      <c r="U12" s="60">
        <f t="shared" si="0"/>
        <v>19.8</v>
      </c>
      <c r="V12" s="61">
        <f t="shared" si="1"/>
        <v>21.7</v>
      </c>
      <c r="W12" s="62">
        <f t="shared" si="2"/>
        <v>-41.5</v>
      </c>
      <c r="Y12" s="8"/>
      <c r="Z12" s="41"/>
      <c r="AA12" s="32">
        <v>1</v>
      </c>
      <c r="AB12" s="32"/>
      <c r="AC12" s="32">
        <v>6</v>
      </c>
      <c r="AD12" s="36" t="s">
        <v>143</v>
      </c>
      <c r="AE12" s="47" t="s">
        <v>146</v>
      </c>
      <c r="AF12" s="48" t="s">
        <v>147</v>
      </c>
      <c r="AG12" s="48" t="s">
        <v>102</v>
      </c>
      <c r="AH12" s="48" t="s">
        <v>81</v>
      </c>
      <c r="AI12" s="48" t="s">
        <v>81</v>
      </c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F4:F30 P4:P30 K4:K30" xr:uid="{8919167F-23D3-4DDE-93FB-ED36B884D3E2}">
      <formula1>"ロン,ツモ,放銃,ツモ支払,流局,チョンボ"</formula1>
    </dataValidation>
    <dataValidation type="list" allowBlank="1" showInputMessage="1" showErrorMessage="1" sqref="E4:E30" xr:uid="{80C4768C-1CE0-440C-94CE-0CDCE9DB825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2019-02-21T17:04:33Z</dcterms:modified>
</cp:coreProperties>
</file>