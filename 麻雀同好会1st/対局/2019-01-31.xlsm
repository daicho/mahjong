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9086FF94-76D8-4D28-BDC2-E3CB6D86635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T9" i="17"/>
  <c r="W9" i="17" s="1"/>
  <c r="O9" i="17"/>
  <c r="V9" i="17" s="1"/>
  <c r="J9" i="17"/>
  <c r="U9" i="17" s="1"/>
  <c r="D9" i="17"/>
  <c r="C9" i="17"/>
  <c r="B9" i="17"/>
  <c r="A9" i="17" s="1"/>
  <c r="T8" i="17"/>
  <c r="W8" i="17" s="1"/>
  <c r="O8" i="17"/>
  <c r="V8" i="17" s="1"/>
  <c r="J8" i="17"/>
  <c r="U8" i="17" s="1"/>
  <c r="D8" i="17"/>
  <c r="C8" i="17"/>
  <c r="B8" i="17"/>
  <c r="A8" i="17"/>
  <c r="T7" i="17"/>
  <c r="W7" i="17" s="1"/>
  <c r="O7" i="17"/>
  <c r="V7" i="17" s="1"/>
  <c r="J7" i="17"/>
  <c r="U7" i="17" s="1"/>
  <c r="D7" i="17"/>
  <c r="C7" i="17"/>
  <c r="B7" i="17"/>
  <c r="A7" i="17" s="1"/>
  <c r="T6" i="17"/>
  <c r="W6" i="17" s="1"/>
  <c r="O6" i="17"/>
  <c r="V6" i="17" s="1"/>
  <c r="J6" i="17"/>
  <c r="U6" i="17" s="1"/>
  <c r="D6" i="17"/>
  <c r="C6" i="17"/>
  <c r="B6" i="17"/>
  <c r="A6" i="17"/>
  <c r="T5" i="17"/>
  <c r="W5" i="17" s="1"/>
  <c r="O5" i="17"/>
  <c r="V5" i="17" s="1"/>
  <c r="J5" i="17"/>
  <c r="U5" i="17" s="1"/>
  <c r="D5" i="17"/>
  <c r="C5" i="17"/>
  <c r="B5" i="17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T9" i="16"/>
  <c r="W9" i="16" s="1"/>
  <c r="O9" i="16"/>
  <c r="V9" i="16" s="1"/>
  <c r="J9" i="16"/>
  <c r="U9" i="16" s="1"/>
  <c r="D9" i="16"/>
  <c r="C9" i="16"/>
  <c r="B9" i="16"/>
  <c r="A9" i="16"/>
  <c r="T8" i="16"/>
  <c r="W8" i="16" s="1"/>
  <c r="O8" i="16"/>
  <c r="V8" i="16" s="1"/>
  <c r="J8" i="16"/>
  <c r="U8" i="16" s="1"/>
  <c r="D8" i="16"/>
  <c r="C8" i="16"/>
  <c r="B8" i="16"/>
  <c r="A8" i="16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V4" i="16"/>
  <c r="T4" i="16"/>
  <c r="W4" i="16" s="1"/>
  <c r="O4" i="16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O7" i="16"/>
  <c r="V7" i="16" s="1"/>
  <c r="V6" i="16"/>
  <c r="J6" i="16"/>
  <c r="T5" i="16"/>
  <c r="A6" i="16"/>
  <c r="J7" i="16" l="1"/>
  <c r="U7" i="16" s="1"/>
  <c r="U6" i="16"/>
  <c r="W5" i="16"/>
  <c r="T6" i="16"/>
  <c r="W6" i="16" l="1"/>
  <c r="T7" i="16"/>
  <c r="W7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<sst xmlns="http://schemas.openxmlformats.org/spreadsheetml/2006/main" count="703" uniqueCount="148">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</sst>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12</v>
      </c>
      <c r="V4" s="61">
        <f t="shared" ref="V4:V30" si="1">IF($O4="","",ROUND(($O4-$O$3)/1000,1))</f>
        <v>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6</v>
      </c>
      <c r="AD4" s="36" t="s">
        <v>143</v>
      </c>
      <c r="AE4" s="47" t="s">
        <v>105</v>
      </c>
      <c r="AF4" s="48" t="s">
        <v>87</v>
      </c>
      <c r="AG4" s="48" t="s">
        <v>80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8000</v>
      </c>
      <c r="H5" s="9"/>
      <c r="I5" s="55">
        <v>0</v>
      </c>
      <c r="J5" s="21">
        <f t="shared" ref="J5:J30" si="6">IF(COUNTA($F5,$K5,$P5)&gt;0,J4+SUM(G5:I5),"")</f>
        <v>55000</v>
      </c>
      <c r="K5" s="8"/>
      <c r="L5" s="9"/>
      <c r="M5" s="9"/>
      <c r="N5" s="55"/>
      <c r="O5" s="21">
        <f t="shared" ref="O5:O30" si="7">IF(COUNTA($F5,$K5,$P5)&gt;0,O4+SUM(L5:N5),"")</f>
        <v>35000</v>
      </c>
      <c r="P5" s="8" t="s">
        <v>142</v>
      </c>
      <c r="Q5" s="9">
        <v>-8000</v>
      </c>
      <c r="R5" s="9"/>
      <c r="S5" s="55">
        <v>0</v>
      </c>
      <c r="T5" s="21">
        <f t="shared" ref="T5:T30" si="8">IF(COUNTA($F5,$K5,$P5)&gt;0,T4+SUM(Q5:S5),"")</f>
        <v>15000</v>
      </c>
      <c r="U5" s="60">
        <f t="shared" si="0"/>
        <v>20</v>
      </c>
      <c r="V5" s="61">
        <f t="shared" si="1"/>
        <v>0</v>
      </c>
      <c r="W5" s="62">
        <f t="shared" si="2"/>
        <v>-20</v>
      </c>
      <c r="Y5" s="8"/>
      <c r="Z5" s="41"/>
      <c r="AA5" s="32">
        <v>1</v>
      </c>
      <c r="AB5" s="32"/>
      <c r="AC5" s="32">
        <v>5</v>
      </c>
      <c r="AD5" s="36" t="s">
        <v>143</v>
      </c>
      <c r="AE5" s="47" t="s">
        <v>144</v>
      </c>
      <c r="AF5" s="48" t="s">
        <v>82</v>
      </c>
      <c r="AG5" s="48" t="s">
        <v>81</v>
      </c>
      <c r="AH5" s="48" t="s">
        <v>81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12000</v>
      </c>
      <c r="H6" s="9">
        <v>2000</v>
      </c>
      <c r="I6" s="55">
        <v>0</v>
      </c>
      <c r="J6" s="21">
        <f t="shared" si="6"/>
        <v>69000</v>
      </c>
      <c r="K6" s="8" t="s">
        <v>142</v>
      </c>
      <c r="L6" s="9">
        <v>-12000</v>
      </c>
      <c r="M6" s="9">
        <v>-1000</v>
      </c>
      <c r="N6" s="55">
        <v>0</v>
      </c>
      <c r="O6" s="21">
        <f t="shared" si="7"/>
        <v>22000</v>
      </c>
      <c r="P6" s="8"/>
      <c r="Q6" s="9"/>
      <c r="R6" s="9">
        <v>-1000</v>
      </c>
      <c r="S6" s="55"/>
      <c r="T6" s="21">
        <f t="shared" si="8"/>
        <v>14000</v>
      </c>
      <c r="U6" s="60">
        <f t="shared" si="0"/>
        <v>34</v>
      </c>
      <c r="V6" s="61">
        <f t="shared" si="1"/>
        <v>-13</v>
      </c>
      <c r="W6" s="62">
        <f t="shared" si="2"/>
        <v>-21</v>
      </c>
      <c r="Y6" s="8"/>
      <c r="Z6" s="41"/>
      <c r="AA6" s="32"/>
      <c r="AB6" s="32">
        <v>1</v>
      </c>
      <c r="AC6" s="32">
        <v>5</v>
      </c>
      <c r="AD6" s="36" t="s">
        <v>143</v>
      </c>
      <c r="AE6" s="47" t="s">
        <v>87</v>
      </c>
      <c r="AF6" s="48" t="s">
        <v>87</v>
      </c>
      <c r="AG6" s="48" t="s">
        <v>87</v>
      </c>
      <c r="AH6" s="48" t="s">
        <v>105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135</v>
      </c>
      <c r="F7" s="8" t="s">
        <v>141</v>
      </c>
      <c r="G7" s="9">
        <v>24000</v>
      </c>
      <c r="H7" s="9"/>
      <c r="I7" s="55">
        <v>1000</v>
      </c>
      <c r="J7" s="21">
        <f t="shared" si="6"/>
        <v>94000</v>
      </c>
      <c r="K7" s="8" t="s">
        <v>142</v>
      </c>
      <c r="L7" s="9">
        <v>-24000</v>
      </c>
      <c r="M7" s="9"/>
      <c r="N7" s="55">
        <v>-1000</v>
      </c>
      <c r="O7" s="21">
        <f t="shared" si="7"/>
        <v>-3000</v>
      </c>
      <c r="P7" s="8"/>
      <c r="Q7" s="9"/>
      <c r="R7" s="9"/>
      <c r="S7" s="55"/>
      <c r="T7" s="21">
        <f t="shared" si="8"/>
        <v>14000</v>
      </c>
      <c r="U7" s="60">
        <f t="shared" si="0"/>
        <v>59</v>
      </c>
      <c r="V7" s="61">
        <f t="shared" si="1"/>
        <v>-38</v>
      </c>
      <c r="W7" s="62">
        <f t="shared" si="2"/>
        <v>-21</v>
      </c>
      <c r="Y7" s="8"/>
      <c r="Z7" s="41"/>
      <c r="AA7" s="32">
        <v>1</v>
      </c>
      <c r="AB7" s="32"/>
      <c r="AC7" s="32">
        <v>8</v>
      </c>
      <c r="AD7" s="36" t="s">
        <v>143</v>
      </c>
      <c r="AE7" s="47" t="s">
        <v>144</v>
      </c>
      <c r="AF7" s="48" t="s">
        <v>102</v>
      </c>
      <c r="AG7" s="48" t="s">
        <v>80</v>
      </c>
      <c r="AH7" s="48" t="s">
        <v>80</v>
      </c>
      <c r="AI7" s="48" t="s">
        <v>82</v>
      </c>
      <c r="AJ7" s="48" t="s">
        <v>82</v>
      </c>
      <c r="AK7" s="48" t="s">
        <v>82</v>
      </c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3493A-9511-45AD-84F0-AB60C3E7038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36000</v>
      </c>
      <c r="M4" s="9"/>
      <c r="N4" s="55">
        <v>0</v>
      </c>
      <c r="O4" s="21">
        <f>IF(COUNTA($F4,$K4,$P4)&gt;0,O3+SUM(L4:N4),"")</f>
        <v>71000</v>
      </c>
      <c r="P4" s="8" t="s">
        <v>142</v>
      </c>
      <c r="Q4" s="9">
        <v>-36000</v>
      </c>
      <c r="R4" s="9"/>
      <c r="S4" s="55">
        <v>0</v>
      </c>
      <c r="T4" s="21">
        <f>IF(COUNTA($F4,$K4,$P4)&gt;0,T3+SUM(Q4:S4),"")</f>
        <v>-1000</v>
      </c>
      <c r="U4" s="60">
        <f t="shared" ref="U4:U30" si="0">IF($J4="","",ROUND(($J4-$J$3)/1000,1))</f>
        <v>0</v>
      </c>
      <c r="V4" s="61">
        <f t="shared" ref="V4:V30" si="1">IF($O4="","",ROUND(($O4-$O$3)/1000,1))</f>
        <v>36</v>
      </c>
      <c r="W4" s="62">
        <f t="shared" ref="W4:W30" si="2">IF($T4="","",ROUND(($T4-$T$3)/1000,1))</f>
        <v>-36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11</v>
      </c>
      <c r="AY4" s="36" t="s">
        <v>143</v>
      </c>
      <c r="AZ4" s="47" t="s">
        <v>144</v>
      </c>
      <c r="BA4" s="48" t="s">
        <v>105</v>
      </c>
      <c r="BB4" s="48" t="s">
        <v>87</v>
      </c>
      <c r="BC4" s="48" t="s">
        <v>82</v>
      </c>
      <c r="BD4" s="48" t="s">
        <v>80</v>
      </c>
      <c r="BE4" s="48" t="s">
        <v>80</v>
      </c>
      <c r="BF4" s="48" t="s">
        <v>80</v>
      </c>
      <c r="BG4" s="48" t="s">
        <v>81</v>
      </c>
      <c r="BH4" s="48" t="s">
        <v>81</v>
      </c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30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9"/>
        <v/>
      </c>
      <c r="C7" s="18" t="str">
        <f t="shared" si="4"/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162A5C1E-FE74-4CA4-8CFE-4C652F41CA9F}">
      <formula1>$U$2:$W$2</formula1>
    </dataValidation>
    <dataValidation type="list" showInputMessage="1" showErrorMessage="1" sqref="K4:K30 P4:P30 F4:F30" xr:uid="{2AB30160-5B6D-4EEE-9F6D-843E2794085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7A6A9-A245-4E86-9264-340E6AEED7F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146</v>
      </c>
      <c r="L4" s="9">
        <v>24000</v>
      </c>
      <c r="M4" s="9"/>
      <c r="N4" s="55">
        <v>0</v>
      </c>
      <c r="O4" s="21">
        <f>IF(COUNTA($F4,$K4,$P4)&gt;0,O3+SUM(L4:N4),"")</f>
        <v>59000</v>
      </c>
      <c r="P4" s="8" t="s">
        <v>145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-12</v>
      </c>
      <c r="V4" s="61">
        <f t="shared" ref="V4:V30" si="1">IF($O4="","",ROUND(($O4-$O$3)/1000,1))</f>
        <v>24</v>
      </c>
      <c r="W4" s="62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10</v>
      </c>
      <c r="AY4" s="36" t="s">
        <v>143</v>
      </c>
      <c r="AZ4" s="47" t="s">
        <v>144</v>
      </c>
      <c r="BA4" s="48" t="s">
        <v>83</v>
      </c>
      <c r="BB4" s="48" t="s">
        <v>82</v>
      </c>
      <c r="BC4" s="48" t="s">
        <v>82</v>
      </c>
      <c r="BD4" s="48" t="s">
        <v>87</v>
      </c>
      <c r="BE4" s="48" t="s">
        <v>87</v>
      </c>
      <c r="BF4" s="48" t="s">
        <v>81</v>
      </c>
      <c r="BG4" s="48" t="s">
        <v>81</v>
      </c>
      <c r="BH4" s="48" t="s">
        <v>81</v>
      </c>
      <c r="BI4" s="48" t="s">
        <v>80</v>
      </c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145</v>
      </c>
      <c r="G5" s="9">
        <v>-6000</v>
      </c>
      <c r="H5" s="9"/>
      <c r="I5" s="55">
        <v>-500</v>
      </c>
      <c r="J5" s="21">
        <f t="shared" ref="J5:J30" si="6">IF(COUNTA($F5,$K5,$P5)&gt;0,J4+SUM(G5:I5),"")</f>
        <v>16500</v>
      </c>
      <c r="K5" s="8" t="s">
        <v>146</v>
      </c>
      <c r="L5" s="9">
        <v>12000</v>
      </c>
      <c r="M5" s="9"/>
      <c r="N5" s="55">
        <v>1000</v>
      </c>
      <c r="O5" s="21">
        <f t="shared" ref="O5:O30" si="7">IF(COUNTA($F5,$K5,$P5)&gt;0,O4+SUM(L5:N5),"")</f>
        <v>72000</v>
      </c>
      <c r="P5" s="8" t="s">
        <v>145</v>
      </c>
      <c r="Q5" s="9">
        <v>-6000</v>
      </c>
      <c r="R5" s="9"/>
      <c r="S5" s="55">
        <v>-500</v>
      </c>
      <c r="T5" s="21">
        <f t="shared" ref="T5:T30" si="8">IF(COUNTA($F5,$K5,$P5)&gt;0,T4+SUM(Q5:S5),"")</f>
        <v>16500</v>
      </c>
      <c r="U5" s="60">
        <f t="shared" si="0"/>
        <v>-18.5</v>
      </c>
      <c r="V5" s="61">
        <f t="shared" si="1"/>
        <v>37</v>
      </c>
      <c r="W5" s="62">
        <f t="shared" si="2"/>
        <v>-18.5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143</v>
      </c>
      <c r="AZ5" s="47" t="s">
        <v>144</v>
      </c>
      <c r="BA5" s="48" t="s">
        <v>83</v>
      </c>
      <c r="BB5" s="48" t="s">
        <v>85</v>
      </c>
      <c r="BC5" s="48" t="s">
        <v>86</v>
      </c>
      <c r="BD5" s="48" t="s">
        <v>84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137</v>
      </c>
      <c r="F6" s="8" t="s">
        <v>145</v>
      </c>
      <c r="G6" s="9">
        <v>-9000</v>
      </c>
      <c r="H6" s="9"/>
      <c r="I6" s="55">
        <v>-1000</v>
      </c>
      <c r="J6" s="21">
        <f t="shared" si="6"/>
        <v>6500</v>
      </c>
      <c r="K6" s="8" t="s">
        <v>145</v>
      </c>
      <c r="L6" s="9">
        <v>-15000</v>
      </c>
      <c r="M6" s="9"/>
      <c r="N6" s="55">
        <v>-1000</v>
      </c>
      <c r="O6" s="21">
        <f t="shared" si="7"/>
        <v>56000</v>
      </c>
      <c r="P6" s="8" t="s">
        <v>146</v>
      </c>
      <c r="Q6" s="9">
        <v>24000</v>
      </c>
      <c r="R6" s="9"/>
      <c r="S6" s="55">
        <v>2000</v>
      </c>
      <c r="T6" s="21">
        <f t="shared" si="8"/>
        <v>42500</v>
      </c>
      <c r="U6" s="60">
        <f t="shared" si="0"/>
        <v>-28.5</v>
      </c>
      <c r="V6" s="61">
        <f t="shared" si="1"/>
        <v>21</v>
      </c>
      <c r="W6" s="62">
        <f t="shared" si="2"/>
        <v>7.5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12</v>
      </c>
      <c r="BT6" s="36" t="s">
        <v>143</v>
      </c>
      <c r="BU6" s="47" t="s">
        <v>144</v>
      </c>
      <c r="BV6" s="48" t="s">
        <v>83</v>
      </c>
      <c r="BW6" s="48" t="s">
        <v>147</v>
      </c>
      <c r="BX6" s="48" t="s">
        <v>87</v>
      </c>
      <c r="BY6" s="48" t="s">
        <v>80</v>
      </c>
      <c r="BZ6" s="48" t="s">
        <v>80</v>
      </c>
      <c r="CA6" s="48" t="s">
        <v>81</v>
      </c>
      <c r="CB6" s="48" t="s">
        <v>81</v>
      </c>
      <c r="CC6" s="48" t="s">
        <v>105</v>
      </c>
      <c r="CD6" s="48" t="s">
        <v>85</v>
      </c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145</v>
      </c>
      <c r="G7" s="9">
        <v>-1500</v>
      </c>
      <c r="H7" s="9"/>
      <c r="I7" s="55">
        <v>0</v>
      </c>
      <c r="J7" s="21">
        <f t="shared" si="6"/>
        <v>5000</v>
      </c>
      <c r="K7" s="8" t="s">
        <v>146</v>
      </c>
      <c r="L7" s="9">
        <v>4000</v>
      </c>
      <c r="M7" s="9"/>
      <c r="N7" s="55">
        <v>0</v>
      </c>
      <c r="O7" s="21">
        <f t="shared" si="7"/>
        <v>60000</v>
      </c>
      <c r="P7" s="8" t="s">
        <v>145</v>
      </c>
      <c r="Q7" s="9">
        <v>-2500</v>
      </c>
      <c r="R7" s="9"/>
      <c r="S7" s="55">
        <v>0</v>
      </c>
      <c r="T7" s="21">
        <f t="shared" si="8"/>
        <v>40000</v>
      </c>
      <c r="U7" s="60">
        <f t="shared" si="0"/>
        <v>-30</v>
      </c>
      <c r="V7" s="61">
        <f t="shared" si="1"/>
        <v>25</v>
      </c>
      <c r="W7" s="62">
        <f t="shared" si="2"/>
        <v>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30</v>
      </c>
      <c r="AZ7" s="47" t="s">
        <v>144</v>
      </c>
      <c r="BA7" s="48" t="s">
        <v>83</v>
      </c>
      <c r="BB7" s="48" t="s">
        <v>81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141</v>
      </c>
      <c r="G8" s="9">
        <v>18000</v>
      </c>
      <c r="H8" s="9"/>
      <c r="I8" s="55">
        <v>0</v>
      </c>
      <c r="J8" s="21">
        <f t="shared" si="6"/>
        <v>23000</v>
      </c>
      <c r="K8" s="8"/>
      <c r="L8" s="9"/>
      <c r="M8" s="9"/>
      <c r="N8" s="55"/>
      <c r="O8" s="21">
        <f t="shared" si="7"/>
        <v>60000</v>
      </c>
      <c r="P8" s="8" t="s">
        <v>142</v>
      </c>
      <c r="Q8" s="9">
        <v>-18000</v>
      </c>
      <c r="R8" s="9"/>
      <c r="S8" s="55">
        <v>0</v>
      </c>
      <c r="T8" s="21">
        <f t="shared" si="8"/>
        <v>22000</v>
      </c>
      <c r="U8" s="60">
        <f t="shared" si="0"/>
        <v>-12</v>
      </c>
      <c r="V8" s="61">
        <f t="shared" si="1"/>
        <v>25</v>
      </c>
      <c r="W8" s="62">
        <f t="shared" si="2"/>
        <v>-13</v>
      </c>
      <c r="Y8" s="8"/>
      <c r="Z8" s="41"/>
      <c r="AA8" s="32">
        <v>1</v>
      </c>
      <c r="AB8" s="32"/>
      <c r="AC8" s="32">
        <v>6</v>
      </c>
      <c r="AD8" s="36" t="s">
        <v>143</v>
      </c>
      <c r="AE8" s="47" t="s">
        <v>144</v>
      </c>
      <c r="AF8" s="48" t="s">
        <v>86</v>
      </c>
      <c r="AG8" s="48" t="s">
        <v>84</v>
      </c>
      <c r="AH8" s="48" t="s">
        <v>85</v>
      </c>
      <c r="AI8" s="48" t="s">
        <v>82</v>
      </c>
      <c r="AJ8" s="48" t="s">
        <v>81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23000</v>
      </c>
      <c r="K9" s="8" t="s">
        <v>142</v>
      </c>
      <c r="L9" s="9">
        <v>-2600</v>
      </c>
      <c r="M9" s="9"/>
      <c r="N9" s="55">
        <v>-1000</v>
      </c>
      <c r="O9" s="21">
        <f t="shared" si="7"/>
        <v>56400</v>
      </c>
      <c r="P9" s="8" t="s">
        <v>141</v>
      </c>
      <c r="Q9" s="9">
        <v>2600</v>
      </c>
      <c r="R9" s="9"/>
      <c r="S9" s="55">
        <v>1000</v>
      </c>
      <c r="T9" s="21">
        <f t="shared" si="8"/>
        <v>25600</v>
      </c>
      <c r="U9" s="60">
        <f t="shared" si="0"/>
        <v>-12</v>
      </c>
      <c r="V9" s="61">
        <f t="shared" si="1"/>
        <v>21.4</v>
      </c>
      <c r="W9" s="62">
        <f t="shared" si="2"/>
        <v>-9.4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2</v>
      </c>
      <c r="BT9" s="36">
        <v>40</v>
      </c>
      <c r="BU9" s="47" t="s">
        <v>144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145</v>
      </c>
      <c r="G10" s="9">
        <v>-4500</v>
      </c>
      <c r="H10" s="9">
        <v>-1000</v>
      </c>
      <c r="I10" s="55">
        <v>0</v>
      </c>
      <c r="J10" s="21">
        <f t="shared" si="6"/>
        <v>17500</v>
      </c>
      <c r="K10" s="8" t="s">
        <v>145</v>
      </c>
      <c r="L10" s="9">
        <v>-7500</v>
      </c>
      <c r="M10" s="9"/>
      <c r="N10" s="55">
        <v>0</v>
      </c>
      <c r="O10" s="21">
        <f t="shared" si="7"/>
        <v>48900</v>
      </c>
      <c r="P10" s="8" t="s">
        <v>146</v>
      </c>
      <c r="Q10" s="9">
        <v>12000</v>
      </c>
      <c r="R10" s="9">
        <v>1000</v>
      </c>
      <c r="S10" s="55">
        <v>0</v>
      </c>
      <c r="T10" s="21">
        <f t="shared" si="8"/>
        <v>38600</v>
      </c>
      <c r="U10" s="60">
        <f t="shared" si="0"/>
        <v>-17.5</v>
      </c>
      <c r="V10" s="61">
        <f t="shared" si="1"/>
        <v>13.9</v>
      </c>
      <c r="W10" s="62">
        <f t="shared" si="2"/>
        <v>3.6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143</v>
      </c>
      <c r="BU10" s="47" t="s">
        <v>144</v>
      </c>
      <c r="BV10" s="48" t="s">
        <v>83</v>
      </c>
      <c r="BW10" s="48" t="s">
        <v>147</v>
      </c>
      <c r="BX10" s="48" t="s">
        <v>82</v>
      </c>
      <c r="BY10" s="48" t="s">
        <v>82</v>
      </c>
      <c r="BZ10" s="48" t="s">
        <v>80</v>
      </c>
      <c r="CA10" s="48" t="s">
        <v>84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-3000</v>
      </c>
      <c r="H11" s="9"/>
      <c r="I11" s="55">
        <v>0</v>
      </c>
      <c r="J11" s="21">
        <f t="shared" si="6"/>
        <v>14500</v>
      </c>
      <c r="K11" s="8" t="s">
        <v>146</v>
      </c>
      <c r="L11" s="9">
        <v>8000</v>
      </c>
      <c r="M11" s="9"/>
      <c r="N11" s="55">
        <v>0</v>
      </c>
      <c r="O11" s="21">
        <f t="shared" si="7"/>
        <v>56900</v>
      </c>
      <c r="P11" s="8" t="s">
        <v>145</v>
      </c>
      <c r="Q11" s="9">
        <v>-5000</v>
      </c>
      <c r="R11" s="9"/>
      <c r="S11" s="55">
        <v>0</v>
      </c>
      <c r="T11" s="21">
        <f t="shared" si="8"/>
        <v>33600</v>
      </c>
      <c r="U11" s="60">
        <f t="shared" si="0"/>
        <v>-20.5</v>
      </c>
      <c r="V11" s="61">
        <f t="shared" si="1"/>
        <v>21.9</v>
      </c>
      <c r="W11" s="62">
        <f t="shared" si="2"/>
        <v>-1.4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4</v>
      </c>
      <c r="AY11" s="36">
        <v>30</v>
      </c>
      <c r="AZ11" s="47" t="s">
        <v>87</v>
      </c>
      <c r="BA11" s="48" t="s">
        <v>105</v>
      </c>
      <c r="BB11" s="48" t="s">
        <v>82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/>
      <c r="G12" s="9"/>
      <c r="H12" s="9"/>
      <c r="I12" s="55"/>
      <c r="J12" s="21">
        <f t="shared" si="6"/>
        <v>14500</v>
      </c>
      <c r="K12" s="8" t="s">
        <v>141</v>
      </c>
      <c r="L12" s="9">
        <v>8000</v>
      </c>
      <c r="M12" s="9"/>
      <c r="N12" s="55">
        <v>0</v>
      </c>
      <c r="O12" s="21">
        <f t="shared" si="7"/>
        <v>64900</v>
      </c>
      <c r="P12" s="8" t="s">
        <v>142</v>
      </c>
      <c r="Q12" s="9">
        <v>-8000</v>
      </c>
      <c r="R12" s="9"/>
      <c r="S12" s="55">
        <v>0</v>
      </c>
      <c r="T12" s="21">
        <f t="shared" si="8"/>
        <v>25600</v>
      </c>
      <c r="U12" s="60">
        <f t="shared" si="0"/>
        <v>-20.5</v>
      </c>
      <c r="V12" s="61">
        <f t="shared" si="1"/>
        <v>29.9</v>
      </c>
      <c r="W12" s="62">
        <f t="shared" si="2"/>
        <v>-9.4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87</v>
      </c>
      <c r="BA12" s="48" t="s">
        <v>87</v>
      </c>
      <c r="BB12" s="48" t="s">
        <v>82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047F86EA-02F7-45FC-B85E-9F9B70C87AAA}">
      <formula1>"ロン,ツモ,放銃,ツモ支払,流局,チョンボ"</formula1>
    </dataValidation>
    <dataValidation type="list" allowBlank="1" showInputMessage="1" showErrorMessage="1" sqref="E4:E30" xr:uid="{A6991052-B293-448B-9579-3053204970D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2019-01-31T11:30:35Z</dcterms:modified>
</cp:coreProperties>
</file>