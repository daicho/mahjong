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E5A6CBA-737F-4A1C-AA82-B582777606B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5" i="17" l="1"/>
  <c r="V5" i="17"/>
  <c r="V6" i="17"/>
  <c r="O7" i="17"/>
  <c r="B7" i="17"/>
  <c r="T5" i="17"/>
  <c r="A6" i="17"/>
  <c r="J6" i="17"/>
  <c r="B8" i="17" l="1"/>
  <c r="A8" i="17" s="1"/>
  <c r="W5" i="17"/>
  <c r="T6" i="17"/>
  <c r="A7" i="17"/>
  <c r="J7" i="17"/>
  <c r="U6" i="17"/>
  <c r="O8" i="17"/>
  <c r="V7" i="17"/>
  <c r="V8" i="17" l="1"/>
  <c r="O9" i="17"/>
  <c r="V9" i="17" s="1"/>
  <c r="W6" i="17"/>
  <c r="T7" i="17"/>
  <c r="U7" i="17"/>
  <c r="J8" i="17"/>
  <c r="B9" i="17"/>
  <c r="A9" i="17" s="1"/>
  <c r="J9" i="17" l="1"/>
  <c r="U9" i="17" s="1"/>
  <c r="U8" i="17"/>
  <c r="T8" i="17"/>
  <c r="W7" i="17"/>
  <c r="W8" i="17" l="1"/>
  <c r="T9" i="17"/>
  <c r="W9" i="17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V11" i="1" s="1"/>
  <c r="J12" i="1"/>
  <c r="U12" i="1" s="1"/>
  <c r="T10" i="1"/>
  <c r="W10" i="1" l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<sst xmlns="http://schemas.openxmlformats.org/spreadsheetml/2006/main" count="639" uniqueCount="154">
  <si>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</si>
  <si>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</si>
  <si>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</si>
  <si>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</si>
  <si>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</si>
  <si>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</si>
  <si>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</si>
  <si>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</si>
  <si>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</si>
  <si>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</si>
  <si>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</si>
  <si>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</si>
  <si>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</si>
  <si>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</si>
  <si>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</si>
  <si>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</si>
  <si>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</si>
  <si>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</si>
  <si>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</si>
  <si>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</si>
  <si>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</si>
  <si>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</si>
  <si>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</si>
  <si>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</si>
  <si>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</si>
  <si>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</si>
  <si>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</si>
  <si>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</si>
  <si>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</si>
  <si>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</si>
  <si>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</si>
  <si>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</si>
  <si>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</si>
  <si>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</si>
  <si>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</si>
  <si>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</si>
  <si>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</si>
  <si>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</si>
  <si>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</si>
  <si>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</si>
  <si>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</si>
  <si>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</si>
  <si>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</si>
  <si>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</si>
  <si>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</si>
  <si>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</si>
  <si>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</si>
  <si>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</si>
  <si>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</si>
  <si>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</si>
  <si>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</si>
  <si>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</si>
  <si>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</si>
  <si>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</si>
  <si>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</si>
  <si>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</si>
  <si>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</si>
  <si>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</si>
  <si>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</si>
  <si>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</si>
  <si>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</si>
  <si>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</si>
  <si>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</si>
  <si>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</si>
  <si>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</si>
  <si>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</si>
  <si>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</si>
  <si>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</si>
  <si>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</si>
  <si>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</si>
  <si>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</si>
  <si>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</si>
  <si>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</si>
  <si>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</si>
  <si>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</si>
  <si>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</si>
  <si>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</si>
  <si>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</si>
  <si>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</si>
  <si>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</si>
  <si>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</si>
  <si>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</si>
  <si>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</si>
  <si>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</si>
  <si>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</si>
  <si>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</si>
  <si>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</si>
  <si>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</si>
  <si>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</si>
  <si>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</si>
  <si>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</si>
  <si>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</si>
  <si>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</si>
  <si>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</si>
  <si>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</si>
  <si>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</si>
  <si>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</si>
  <si>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</si>
  <si>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</si>
  <si>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</si>
  <si>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</si>
  <si>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</si>
  <si>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</si>
  <si>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</si>
  <si>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</si>
  <si>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</si>
  <si>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</si>
  <si>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</si>
  <si>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</si>
  <si>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</si>
  <si>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</si>
  <si>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</si>
  <si>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</si>
  <si>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</si>
  <si>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</si>
  <si>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</si>
  <si>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</si>
  <si>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</si>
  <si>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</si>
  <si>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</si>
  <si>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</si>
  <si>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</si>
  <si>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</si>
  <si>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</si>
  <si>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</si>
  <si>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</si>
  <si>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</si>
  <si>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</si>
  <si>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</si>
  <si>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</si>
  <si>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</si>
  <si>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</si>
  <si>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</si>
  <si>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</si>
  <si>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</si>
  <si>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</si>
  <si>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</si>
  <si>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</si>
  <si>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</si>
  <si>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</si>
  <si>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</si>
  <si>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</si>
  <si>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</si>
  <si>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</si>
  <si>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</si>
  <si>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</si>
  <si>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</si>
  <si>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放銃</t>
  </si>
  <si>
    <t>ロン</t>
  </si>
  <si>
    <t>N</t>
  </si>
  <si>
    <t>T</t>
  </si>
  <si>
    <t>流局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</si>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</sst>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143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144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10</v>
      </c>
      <c r="BT4" s="36" t="s">
        <v>145</v>
      </c>
      <c r="BU4" s="47" t="s">
        <v>107</v>
      </c>
      <c r="BV4" s="48" t="s">
        <v>82</v>
      </c>
      <c r="BW4" s="48" t="s">
        <v>85</v>
      </c>
      <c r="BX4" s="48" t="s">
        <v>81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143</v>
      </c>
      <c r="G5" s="9">
        <v>-12000</v>
      </c>
      <c r="H5" s="9"/>
      <c r="I5" s="55">
        <v>0</v>
      </c>
      <c r="J5" s="21">
        <f t="shared" ref="J5:J30" si="5">IF(COUNTA($F5,$K5,$P5)&gt;0,J4+SUM(G5:I5),"")</f>
        <v>17000</v>
      </c>
      <c r="K5" s="8" t="s">
        <v>143</v>
      </c>
      <c r="L5" s="9">
        <v>-12000</v>
      </c>
      <c r="M5" s="9"/>
      <c r="N5" s="55">
        <v>0</v>
      </c>
      <c r="O5" s="21">
        <f t="shared" ref="O5:O30" si="6">IF(COUNTA($F5,$K5,$P5)&gt;0,O4+SUM(L5:N5),"")</f>
        <v>13000</v>
      </c>
      <c r="P5" s="8" t="s">
        <v>144</v>
      </c>
      <c r="Q5" s="9">
        <v>24000</v>
      </c>
      <c r="R5" s="9"/>
      <c r="S5" s="55">
        <v>0</v>
      </c>
      <c r="T5" s="21">
        <f t="shared" ref="T5:T30" si="7">IF(COUNTA($F5,$K5,$P5)&gt;0,T4+SUM(Q5:S5),"")</f>
        <v>75000</v>
      </c>
      <c r="U5" s="60">
        <f t="shared" si="0"/>
        <v>-18</v>
      </c>
      <c r="V5" s="61">
        <f t="shared" si="1"/>
        <v>-22</v>
      </c>
      <c r="W5" s="62">
        <f t="shared" si="2"/>
        <v>40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9</v>
      </c>
      <c r="BT5" s="36" t="s">
        <v>145</v>
      </c>
      <c r="BU5" s="47" t="s">
        <v>146</v>
      </c>
      <c r="BV5" s="48" t="s">
        <v>83</v>
      </c>
      <c r="BW5" s="48" t="s">
        <v>105</v>
      </c>
      <c r="BX5" s="48" t="s">
        <v>87</v>
      </c>
      <c r="BY5" s="48" t="s">
        <v>82</v>
      </c>
      <c r="BZ5" s="48" t="s">
        <v>81</v>
      </c>
      <c r="CA5" s="48" t="s">
        <v>81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141</v>
      </c>
      <c r="F6" s="8" t="s">
        <v>143</v>
      </c>
      <c r="G6" s="9">
        <v>-800</v>
      </c>
      <c r="H6" s="9"/>
      <c r="I6" s="55">
        <v>-500</v>
      </c>
      <c r="J6" s="21">
        <f t="shared" si="5"/>
        <v>15700</v>
      </c>
      <c r="K6" s="8" t="s">
        <v>144</v>
      </c>
      <c r="L6" s="9">
        <v>2100</v>
      </c>
      <c r="M6" s="9"/>
      <c r="N6" s="55">
        <v>1000</v>
      </c>
      <c r="O6" s="21">
        <f t="shared" si="6"/>
        <v>16100</v>
      </c>
      <c r="P6" s="8" t="s">
        <v>143</v>
      </c>
      <c r="Q6" s="9">
        <v>-1300</v>
      </c>
      <c r="R6" s="9"/>
      <c r="S6" s="55">
        <v>-500</v>
      </c>
      <c r="T6" s="21">
        <f t="shared" si="7"/>
        <v>73200</v>
      </c>
      <c r="U6" s="60">
        <f t="shared" si="0"/>
        <v>-19.3</v>
      </c>
      <c r="V6" s="61">
        <f t="shared" si="1"/>
        <v>-18.899999999999999</v>
      </c>
      <c r="W6" s="62">
        <f t="shared" si="2"/>
        <v>38.200000000000003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30</v>
      </c>
      <c r="AZ6" s="47" t="s">
        <v>83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144</v>
      </c>
      <c r="G7" s="9">
        <v>12000</v>
      </c>
      <c r="H7" s="9"/>
      <c r="I7" s="55">
        <v>0</v>
      </c>
      <c r="J7" s="21">
        <f t="shared" si="5"/>
        <v>27700</v>
      </c>
      <c r="K7" s="8" t="s">
        <v>143</v>
      </c>
      <c r="L7" s="9">
        <v>-6000</v>
      </c>
      <c r="M7" s="9"/>
      <c r="N7" s="55">
        <v>0</v>
      </c>
      <c r="O7" s="21">
        <f t="shared" si="6"/>
        <v>10100</v>
      </c>
      <c r="P7" s="8" t="s">
        <v>143</v>
      </c>
      <c r="Q7" s="9">
        <v>-6000</v>
      </c>
      <c r="R7" s="9"/>
      <c r="S7" s="55">
        <v>0</v>
      </c>
      <c r="T7" s="21">
        <f t="shared" si="7"/>
        <v>67200</v>
      </c>
      <c r="U7" s="60">
        <f t="shared" si="0"/>
        <v>-7.3</v>
      </c>
      <c r="V7" s="61">
        <f t="shared" si="1"/>
        <v>-24.9</v>
      </c>
      <c r="W7" s="62">
        <f t="shared" si="2"/>
        <v>32.200000000000003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146</v>
      </c>
      <c r="AF7" s="48" t="s">
        <v>83</v>
      </c>
      <c r="AG7" s="48" t="s">
        <v>82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137</v>
      </c>
      <c r="F8" s="8"/>
      <c r="G8" s="9"/>
      <c r="H8" s="9"/>
      <c r="I8" s="55"/>
      <c r="J8" s="21">
        <f t="shared" si="5"/>
        <v>27700</v>
      </c>
      <c r="K8" s="8" t="s">
        <v>147</v>
      </c>
      <c r="L8" s="9">
        <v>-8000</v>
      </c>
      <c r="M8" s="9"/>
      <c r="N8" s="55">
        <v>-1000</v>
      </c>
      <c r="O8" s="21">
        <f t="shared" si="6"/>
        <v>1100</v>
      </c>
      <c r="P8" s="8" t="s">
        <v>148</v>
      </c>
      <c r="Q8" s="9">
        <v>8000</v>
      </c>
      <c r="R8" s="9"/>
      <c r="S8" s="55">
        <v>1000</v>
      </c>
      <c r="T8" s="21">
        <f t="shared" si="7"/>
        <v>76200</v>
      </c>
      <c r="U8" s="60">
        <f t="shared" si="0"/>
        <v>-7.3</v>
      </c>
      <c r="V8" s="61">
        <f t="shared" si="1"/>
        <v>-33.9</v>
      </c>
      <c r="W8" s="62">
        <f t="shared" si="2"/>
        <v>41.2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82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151</v>
      </c>
      <c r="G9" s="9">
        <v>-1500</v>
      </c>
      <c r="H9" s="9"/>
      <c r="I9" s="55"/>
      <c r="J9" s="21">
        <f t="shared" si="5"/>
        <v>26200</v>
      </c>
      <c r="K9" s="8" t="s">
        <v>151</v>
      </c>
      <c r="L9" s="9">
        <v>-1500</v>
      </c>
      <c r="M9" s="9"/>
      <c r="N9" s="55"/>
      <c r="O9" s="21">
        <f t="shared" si="6"/>
        <v>-400</v>
      </c>
      <c r="P9" s="8" t="s">
        <v>151</v>
      </c>
      <c r="Q9" s="9">
        <v>3000</v>
      </c>
      <c r="R9" s="9"/>
      <c r="S9" s="55"/>
      <c r="T9" s="21">
        <f t="shared" si="7"/>
        <v>79200</v>
      </c>
      <c r="U9" s="60">
        <f t="shared" si="0"/>
        <v>-8.8000000000000007</v>
      </c>
      <c r="V9" s="61">
        <f t="shared" si="1"/>
        <v>-35.4</v>
      </c>
      <c r="W9" s="62">
        <f t="shared" si="2"/>
        <v>44.2</v>
      </c>
      <c r="Y9" s="8" t="s">
        <v>149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149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150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3D62-ECFE-42AF-A54B-331BA6049EA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-1500</v>
      </c>
      <c r="H4" s="9"/>
      <c r="I4" s="55"/>
      <c r="J4" s="21">
        <f>IF(COUNTA($F4,$K4,$P4)&gt;0,J3+SUM(G4:I4),"")</f>
        <v>33500</v>
      </c>
      <c r="K4" s="8" t="s">
        <v>152</v>
      </c>
      <c r="L4" s="9">
        <v>3000</v>
      </c>
      <c r="M4" s="9">
        <v>-1000</v>
      </c>
      <c r="N4" s="55"/>
      <c r="O4" s="21">
        <f>IF(COUNTA($F4,$K4,$P4)&gt;0,O3+SUM(L4:N4),"")</f>
        <v>37000</v>
      </c>
      <c r="P4" s="8" t="s">
        <v>152</v>
      </c>
      <c r="Q4" s="9">
        <v>-1500</v>
      </c>
      <c r="R4" s="9"/>
      <c r="S4" s="55"/>
      <c r="T4" s="21">
        <f>IF(COUNTA($F4,$K4,$P4)&gt;0,T3+SUM(Q4:S4),"")</f>
        <v>33500</v>
      </c>
      <c r="U4" s="60">
        <f t="shared" ref="U4:U30" si="0">IF($J4="","",ROUND(($J4-$J$3)/1000,1))</f>
        <v>-1.5</v>
      </c>
      <c r="V4" s="61">
        <f t="shared" ref="V4:V30" si="1">IF($O4="","",ROUND(($O4-$O$3)/1000,1))</f>
        <v>2</v>
      </c>
      <c r="W4" s="62">
        <f t="shared" ref="W4:W30" si="2">IF($T4="","",ROUND(($T4-$T$3)/1000,1))</f>
        <v>-1.5</v>
      </c>
      <c r="Y4" s="8" t="s">
        <v>149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137</v>
      </c>
      <c r="F5" s="8" t="s">
        <v>148</v>
      </c>
      <c r="G5" s="9">
        <v>12000</v>
      </c>
      <c r="H5" s="9">
        <v>2000</v>
      </c>
      <c r="I5" s="55">
        <v>1000</v>
      </c>
      <c r="J5" s="21">
        <f t="shared" ref="J5:J30" si="5">IF(COUNTA($F5,$K5,$P5)&gt;0,J4+SUM(G5:I5),"")</f>
        <v>48500</v>
      </c>
      <c r="K5" s="8"/>
      <c r="L5" s="9"/>
      <c r="M5" s="9"/>
      <c r="N5" s="55"/>
      <c r="O5" s="21">
        <f t="shared" ref="O5:O30" si="6">IF(COUNTA($F5,$K5,$P5)&gt;0,O4+SUM(L5:N5),"")</f>
        <v>37000</v>
      </c>
      <c r="P5" s="8" t="s">
        <v>147</v>
      </c>
      <c r="Q5" s="9">
        <v>-12000</v>
      </c>
      <c r="R5" s="9">
        <v>-1000</v>
      </c>
      <c r="S5" s="55">
        <v>-1000</v>
      </c>
      <c r="T5" s="21">
        <f t="shared" ref="T5:T30" si="7">IF(COUNTA($F5,$K5,$P5)&gt;0,T4+SUM(Q5:S5),"")</f>
        <v>19500</v>
      </c>
      <c r="U5" s="60">
        <f t="shared" si="0"/>
        <v>13.5</v>
      </c>
      <c r="V5" s="61">
        <f t="shared" si="1"/>
        <v>2</v>
      </c>
      <c r="W5" s="62">
        <f t="shared" si="2"/>
        <v>-15.5</v>
      </c>
      <c r="Y5" s="8"/>
      <c r="Z5" s="41"/>
      <c r="AA5" s="32">
        <v>1</v>
      </c>
      <c r="AB5" s="32"/>
      <c r="AC5" s="32">
        <v>5</v>
      </c>
      <c r="AD5" s="36" t="s">
        <v>145</v>
      </c>
      <c r="AE5" s="47" t="s">
        <v>146</v>
      </c>
      <c r="AF5" s="48" t="s">
        <v>82</v>
      </c>
      <c r="AG5" s="48" t="s">
        <v>80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137</v>
      </c>
      <c r="F6" s="8" t="s">
        <v>152</v>
      </c>
      <c r="G6" s="9">
        <v>1500</v>
      </c>
      <c r="H6" s="9">
        <v>-1000</v>
      </c>
      <c r="I6" s="55"/>
      <c r="J6" s="21">
        <f t="shared" si="5"/>
        <v>49000</v>
      </c>
      <c r="K6" s="8" t="s">
        <v>152</v>
      </c>
      <c r="L6" s="9">
        <v>-3000</v>
      </c>
      <c r="M6" s="9"/>
      <c r="N6" s="55"/>
      <c r="O6" s="21">
        <f t="shared" si="6"/>
        <v>34000</v>
      </c>
      <c r="P6" s="8" t="s">
        <v>152</v>
      </c>
      <c r="Q6" s="9">
        <v>1500</v>
      </c>
      <c r="R6" s="9">
        <v>-1000</v>
      </c>
      <c r="S6" s="55"/>
      <c r="T6" s="21">
        <f t="shared" si="7"/>
        <v>20000</v>
      </c>
      <c r="U6" s="60">
        <f t="shared" si="0"/>
        <v>14</v>
      </c>
      <c r="V6" s="61">
        <f t="shared" si="1"/>
        <v>-1</v>
      </c>
      <c r="W6" s="62">
        <f t="shared" si="2"/>
        <v>-15</v>
      </c>
      <c r="Y6" s="8" t="s">
        <v>150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150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3</v>
      </c>
      <c r="D7" s="18">
        <f t="shared" si="4"/>
        <v>2</v>
      </c>
      <c r="E7" s="4" t="s">
        <v>137</v>
      </c>
      <c r="F7" s="8" t="s">
        <v>143</v>
      </c>
      <c r="G7" s="9">
        <v>-5000</v>
      </c>
      <c r="H7" s="9"/>
      <c r="I7" s="55">
        <v>-1500</v>
      </c>
      <c r="J7" s="21">
        <f t="shared" si="5"/>
        <v>42500</v>
      </c>
      <c r="K7" s="8" t="s">
        <v>144</v>
      </c>
      <c r="L7" s="9">
        <v>8000</v>
      </c>
      <c r="M7" s="9">
        <v>2000</v>
      </c>
      <c r="N7" s="55">
        <v>3000</v>
      </c>
      <c r="O7" s="21">
        <f t="shared" si="6"/>
        <v>47000</v>
      </c>
      <c r="P7" s="8" t="s">
        <v>143</v>
      </c>
      <c r="Q7" s="9">
        <v>-3000</v>
      </c>
      <c r="R7" s="9"/>
      <c r="S7" s="55">
        <v>-1500</v>
      </c>
      <c r="T7" s="21">
        <f t="shared" si="7"/>
        <v>15500</v>
      </c>
      <c r="U7" s="60">
        <f t="shared" si="0"/>
        <v>7.5</v>
      </c>
      <c r="V7" s="61">
        <f t="shared" si="1"/>
        <v>12</v>
      </c>
      <c r="W7" s="62">
        <f t="shared" si="2"/>
        <v>-19.5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30</v>
      </c>
      <c r="AZ7" s="47" t="s">
        <v>146</v>
      </c>
      <c r="BA7" s="48" t="s">
        <v>83</v>
      </c>
      <c r="BB7" s="48" t="s">
        <v>82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>
        <v>-1000</v>
      </c>
      <c r="I8" s="55"/>
      <c r="J8" s="21">
        <f t="shared" si="5"/>
        <v>41500</v>
      </c>
      <c r="K8" s="8" t="s">
        <v>147</v>
      </c>
      <c r="L8" s="9">
        <v>-16000</v>
      </c>
      <c r="M8" s="9"/>
      <c r="N8" s="55">
        <v>0</v>
      </c>
      <c r="O8" s="21">
        <f t="shared" si="6"/>
        <v>31000</v>
      </c>
      <c r="P8" s="8" t="s">
        <v>148</v>
      </c>
      <c r="Q8" s="9">
        <v>16000</v>
      </c>
      <c r="R8" s="9">
        <v>1000</v>
      </c>
      <c r="S8" s="55">
        <v>0</v>
      </c>
      <c r="T8" s="21">
        <f t="shared" si="7"/>
        <v>32500</v>
      </c>
      <c r="U8" s="60">
        <f t="shared" si="0"/>
        <v>6.5</v>
      </c>
      <c r="V8" s="61">
        <f t="shared" si="1"/>
        <v>-4</v>
      </c>
      <c r="W8" s="62">
        <f t="shared" si="2"/>
        <v>-2.5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9</v>
      </c>
      <c r="BT8" s="36" t="s">
        <v>145</v>
      </c>
      <c r="BU8" s="47" t="s">
        <v>146</v>
      </c>
      <c r="BV8" s="48" t="s">
        <v>94</v>
      </c>
      <c r="BW8" s="48" t="s">
        <v>103</v>
      </c>
      <c r="BX8" s="48" t="s">
        <v>82</v>
      </c>
      <c r="BY8" s="48" t="s">
        <v>80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144</v>
      </c>
      <c r="G9" s="9">
        <v>16000</v>
      </c>
      <c r="H9" s="9"/>
      <c r="I9" s="55">
        <v>0</v>
      </c>
      <c r="J9" s="21">
        <f t="shared" si="5"/>
        <v>57500</v>
      </c>
      <c r="K9" s="8" t="s">
        <v>143</v>
      </c>
      <c r="L9" s="9">
        <v>-6000</v>
      </c>
      <c r="M9" s="9"/>
      <c r="N9" s="55">
        <v>0</v>
      </c>
      <c r="O9" s="21">
        <f t="shared" si="6"/>
        <v>25000</v>
      </c>
      <c r="P9" s="8" t="s">
        <v>143</v>
      </c>
      <c r="Q9" s="9">
        <v>-10000</v>
      </c>
      <c r="R9" s="9"/>
      <c r="S9" s="55">
        <v>0</v>
      </c>
      <c r="T9" s="21">
        <f t="shared" si="7"/>
        <v>22500</v>
      </c>
      <c r="U9" s="60">
        <f t="shared" si="0"/>
        <v>22.5</v>
      </c>
      <c r="V9" s="61">
        <f t="shared" si="1"/>
        <v>-10</v>
      </c>
      <c r="W9" s="62">
        <f t="shared" si="2"/>
        <v>-12.5</v>
      </c>
      <c r="Y9" s="8"/>
      <c r="Z9" s="41"/>
      <c r="AA9" s="32">
        <v>1</v>
      </c>
      <c r="AB9" s="32"/>
      <c r="AC9" s="32">
        <v>8</v>
      </c>
      <c r="AD9" s="36" t="s">
        <v>145</v>
      </c>
      <c r="AE9" s="47" t="s">
        <v>146</v>
      </c>
      <c r="AF9" s="48" t="s">
        <v>83</v>
      </c>
      <c r="AG9" s="48" t="s">
        <v>153</v>
      </c>
      <c r="AH9" s="48" t="s">
        <v>80</v>
      </c>
      <c r="AI9" s="48" t="s">
        <v>80</v>
      </c>
      <c r="AJ9" s="48" t="s">
        <v>81</v>
      </c>
      <c r="AK9" s="48" t="s">
        <v>82</v>
      </c>
      <c r="AL9" s="48" t="s">
        <v>82</v>
      </c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143</v>
      </c>
      <c r="G10" s="9">
        <v>-2500</v>
      </c>
      <c r="H10" s="9"/>
      <c r="I10" s="55">
        <v>0</v>
      </c>
      <c r="J10" s="21">
        <f t="shared" si="5"/>
        <v>55000</v>
      </c>
      <c r="K10" s="8" t="s">
        <v>144</v>
      </c>
      <c r="L10" s="9">
        <v>4000</v>
      </c>
      <c r="M10" s="9"/>
      <c r="N10" s="55">
        <v>0</v>
      </c>
      <c r="O10" s="21">
        <f t="shared" si="6"/>
        <v>29000</v>
      </c>
      <c r="P10" s="8" t="s">
        <v>143</v>
      </c>
      <c r="Q10" s="9">
        <v>-1500</v>
      </c>
      <c r="R10" s="9"/>
      <c r="S10" s="55">
        <v>0</v>
      </c>
      <c r="T10" s="21">
        <f t="shared" si="7"/>
        <v>21000</v>
      </c>
      <c r="U10" s="60">
        <f t="shared" si="0"/>
        <v>20</v>
      </c>
      <c r="V10" s="61">
        <f t="shared" si="1"/>
        <v>-6</v>
      </c>
      <c r="W10" s="62">
        <f t="shared" si="2"/>
        <v>-14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3</v>
      </c>
      <c r="AY10" s="36">
        <v>30</v>
      </c>
      <c r="AZ10" s="47" t="s">
        <v>83</v>
      </c>
      <c r="BA10" s="48" t="s">
        <v>82</v>
      </c>
      <c r="BB10" s="48" t="s">
        <v>82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152</v>
      </c>
      <c r="G11" s="9">
        <v>-1500</v>
      </c>
      <c r="H11" s="9"/>
      <c r="I11" s="55"/>
      <c r="J11" s="21">
        <f t="shared" si="5"/>
        <v>53500</v>
      </c>
      <c r="K11" s="8" t="s">
        <v>152</v>
      </c>
      <c r="L11" s="9">
        <v>-1500</v>
      </c>
      <c r="M11" s="9"/>
      <c r="N11" s="55"/>
      <c r="O11" s="21">
        <f t="shared" si="6"/>
        <v>27500</v>
      </c>
      <c r="P11" s="8" t="s">
        <v>152</v>
      </c>
      <c r="Q11" s="9">
        <v>3000</v>
      </c>
      <c r="R11" s="9">
        <v>-1000</v>
      </c>
      <c r="S11" s="55"/>
      <c r="T11" s="21">
        <f t="shared" si="7"/>
        <v>23000</v>
      </c>
      <c r="U11" s="60">
        <f t="shared" si="0"/>
        <v>18.5</v>
      </c>
      <c r="V11" s="61">
        <f t="shared" si="1"/>
        <v>-7.5</v>
      </c>
      <c r="W11" s="62">
        <f t="shared" si="2"/>
        <v>-12</v>
      </c>
      <c r="Y11" s="8" t="s">
        <v>149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149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150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4E6DEE2C-A1AF-4505-AE19-B80DDEBABE2E}">
      <formula1>$U$2:$W$2</formula1>
    </dataValidation>
    <dataValidation type="list" showInputMessage="1" showErrorMessage="1" sqref="K4:K30 P4:P30 F4:F30" xr:uid="{D0EBD691-118C-496C-A8DF-B95880DA2B3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2019-02-23T14:48:25Z</dcterms:modified>
</cp:coreProperties>
</file>