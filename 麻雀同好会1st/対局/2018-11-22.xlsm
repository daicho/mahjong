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C0AA88C8-D0D5-4C85-8C2E-6573285C5065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Sheet4" sheetId="13" r:id="rId4"/>
    <sheet name="Sheet5" sheetId="14" r:id="rId5"/>
    <sheet name="Sheet6" sheetId="15" r:id="rId6"/>
    <sheet name="Sheet7" sheetId="16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6" l="1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V3" i="16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W3" i="15"/>
  <c r="W4" i="15"/>
  <c r="W5" i="15"/>
  <c r="W6" i="15"/>
  <c r="W7" i="15"/>
  <c r="W8" i="15"/>
  <c r="W9" i="15"/>
  <c r="W10" i="15"/>
  <c r="W11" i="15"/>
  <c r="W12" i="15"/>
  <c r="W13" i="15"/>
  <c r="W14" i="15"/>
  <c r="W15" i="15"/>
  <c r="W16" i="15"/>
  <c r="W17" i="15"/>
  <c r="W18" i="15"/>
  <c r="W19" i="15"/>
  <c r="W20" i="15"/>
  <c r="W21" i="15"/>
  <c r="W22" i="15"/>
  <c r="W23" i="15"/>
  <c r="W24" i="15"/>
  <c r="W25" i="15"/>
  <c r="W26" i="15"/>
  <c r="W27" i="15"/>
  <c r="W28" i="15"/>
  <c r="W29" i="15"/>
  <c r="W30" i="15"/>
  <c r="V3" i="15"/>
  <c r="V4" i="15"/>
  <c r="V5" i="15"/>
  <c r="V6" i="15"/>
  <c r="V7" i="15"/>
  <c r="V8" i="15"/>
  <c r="V9" i="15"/>
  <c r="V10" i="15"/>
  <c r="V11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U3" i="15"/>
  <c r="U4" i="15"/>
  <c r="U5" i="15"/>
  <c r="U6" i="15"/>
  <c r="U7" i="15"/>
  <c r="U8" i="15"/>
  <c r="U9" i="15"/>
  <c r="U10" i="15"/>
  <c r="U11" i="15"/>
  <c r="U12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U3" i="14"/>
  <c r="U4" i="14"/>
  <c r="U5" i="14"/>
  <c r="U6" i="14"/>
  <c r="U7" i="14"/>
  <c r="U8" i="14"/>
  <c r="U9" i="14"/>
  <c r="U10" i="14"/>
  <c r="U11" i="14"/>
  <c r="U12" i="14"/>
  <c r="U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U30" i="14"/>
  <c r="W3" i="13"/>
  <c r="W4" i="13"/>
  <c r="W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V3" i="13"/>
  <c r="V4" i="13"/>
  <c r="V5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U3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W3" i="12"/>
  <c r="W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W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30" i="16" l="1"/>
  <c r="S30" i="16"/>
  <c r="O30" i="16"/>
  <c r="N30" i="16"/>
  <c r="J30" i="16"/>
  <c r="I30" i="16"/>
  <c r="D30" i="16"/>
  <c r="C30" i="16"/>
  <c r="B30" i="16"/>
  <c r="A30" i="16"/>
  <c r="T29" i="16"/>
  <c r="S29" i="16"/>
  <c r="O29" i="16"/>
  <c r="N29" i="16"/>
  <c r="J29" i="16"/>
  <c r="I29" i="16"/>
  <c r="D29" i="16"/>
  <c r="C29" i="16"/>
  <c r="B29" i="16"/>
  <c r="A29" i="16"/>
  <c r="T28" i="16"/>
  <c r="S28" i="16"/>
  <c r="O28" i="16"/>
  <c r="N28" i="16"/>
  <c r="J28" i="16"/>
  <c r="I28" i="16"/>
  <c r="D28" i="16"/>
  <c r="C28" i="16"/>
  <c r="B28" i="16"/>
  <c r="A28" i="16"/>
  <c r="T27" i="16"/>
  <c r="S27" i="16"/>
  <c r="O27" i="16"/>
  <c r="N27" i="16"/>
  <c r="J27" i="16"/>
  <c r="I27" i="16"/>
  <c r="D27" i="16"/>
  <c r="C27" i="16"/>
  <c r="B27" i="16"/>
  <c r="A27" i="16"/>
  <c r="T26" i="16"/>
  <c r="S26" i="16"/>
  <c r="O26" i="16"/>
  <c r="N26" i="16"/>
  <c r="J26" i="16"/>
  <c r="I26" i="16"/>
  <c r="D26" i="16"/>
  <c r="C26" i="16"/>
  <c r="B26" i="16"/>
  <c r="A26" i="16"/>
  <c r="T25" i="16"/>
  <c r="S25" i="16"/>
  <c r="O25" i="16"/>
  <c r="N25" i="16"/>
  <c r="J25" i="16"/>
  <c r="I25" i="16"/>
  <c r="D25" i="16"/>
  <c r="C25" i="16"/>
  <c r="B25" i="16"/>
  <c r="A25" i="16"/>
  <c r="T24" i="16"/>
  <c r="S24" i="16"/>
  <c r="O24" i="16"/>
  <c r="N24" i="16"/>
  <c r="J24" i="16"/>
  <c r="I24" i="16"/>
  <c r="D24" i="16"/>
  <c r="C24" i="16"/>
  <c r="B24" i="16"/>
  <c r="A24" i="16"/>
  <c r="T23" i="16"/>
  <c r="S23" i="16"/>
  <c r="O23" i="16"/>
  <c r="N23" i="16"/>
  <c r="J23" i="16"/>
  <c r="I23" i="16"/>
  <c r="D23" i="16"/>
  <c r="C23" i="16"/>
  <c r="B23" i="16"/>
  <c r="A23" i="16"/>
  <c r="T22" i="16"/>
  <c r="S22" i="16"/>
  <c r="O22" i="16"/>
  <c r="N22" i="16"/>
  <c r="J22" i="16"/>
  <c r="I22" i="16"/>
  <c r="D22" i="16"/>
  <c r="C22" i="16"/>
  <c r="B22" i="16"/>
  <c r="A22" i="16"/>
  <c r="T21" i="16"/>
  <c r="S21" i="16"/>
  <c r="O21" i="16"/>
  <c r="N21" i="16"/>
  <c r="J21" i="16"/>
  <c r="I21" i="16"/>
  <c r="D21" i="16"/>
  <c r="C21" i="16"/>
  <c r="B21" i="16"/>
  <c r="A21" i="16"/>
  <c r="T20" i="16"/>
  <c r="S20" i="16"/>
  <c r="O20" i="16"/>
  <c r="N20" i="16"/>
  <c r="J20" i="16"/>
  <c r="I20" i="16"/>
  <c r="D20" i="16"/>
  <c r="C20" i="16"/>
  <c r="B20" i="16"/>
  <c r="A20" i="16"/>
  <c r="T19" i="16"/>
  <c r="S19" i="16"/>
  <c r="O19" i="16"/>
  <c r="N19" i="16"/>
  <c r="J19" i="16"/>
  <c r="I19" i="16"/>
  <c r="D19" i="16"/>
  <c r="C19" i="16"/>
  <c r="B19" i="16"/>
  <c r="A19" i="16"/>
  <c r="T18" i="16"/>
  <c r="S18" i="16"/>
  <c r="O18" i="16"/>
  <c r="N18" i="16"/>
  <c r="J18" i="16"/>
  <c r="I18" i="16"/>
  <c r="D18" i="16"/>
  <c r="C18" i="16"/>
  <c r="B18" i="16"/>
  <c r="A18" i="16"/>
  <c r="T17" i="16"/>
  <c r="S17" i="16"/>
  <c r="O17" i="16"/>
  <c r="N17" i="16"/>
  <c r="J17" i="16"/>
  <c r="I17" i="16"/>
  <c r="D17" i="16"/>
  <c r="C17" i="16"/>
  <c r="B17" i="16"/>
  <c r="A17" i="16"/>
  <c r="T16" i="16"/>
  <c r="S16" i="16"/>
  <c r="O16" i="16"/>
  <c r="N16" i="16"/>
  <c r="J16" i="16"/>
  <c r="I16" i="16"/>
  <c r="D16" i="16"/>
  <c r="C16" i="16"/>
  <c r="B16" i="16"/>
  <c r="A16" i="16"/>
  <c r="T15" i="16"/>
  <c r="S15" i="16"/>
  <c r="O15" i="16"/>
  <c r="N15" i="16"/>
  <c r="J15" i="16"/>
  <c r="I15" i="16"/>
  <c r="D15" i="16"/>
  <c r="C15" i="16"/>
  <c r="B15" i="16"/>
  <c r="A15" i="16"/>
  <c r="T14" i="16"/>
  <c r="S14" i="16"/>
  <c r="O14" i="16"/>
  <c r="N14" i="16"/>
  <c r="J14" i="16"/>
  <c r="I14" i="16"/>
  <c r="D14" i="16"/>
  <c r="C14" i="16"/>
  <c r="B14" i="16"/>
  <c r="A14" i="16"/>
  <c r="T13" i="16"/>
  <c r="S13" i="16"/>
  <c r="O13" i="16"/>
  <c r="N13" i="16"/>
  <c r="J13" i="16"/>
  <c r="I13" i="16"/>
  <c r="D13" i="16"/>
  <c r="C13" i="16"/>
  <c r="B13" i="16"/>
  <c r="A13" i="16"/>
  <c r="T12" i="16"/>
  <c r="S12" i="16"/>
  <c r="O12" i="16"/>
  <c r="N12" i="16"/>
  <c r="J12" i="16"/>
  <c r="I12" i="16"/>
  <c r="D12" i="16"/>
  <c r="C12" i="16"/>
  <c r="B12" i="16"/>
  <c r="A12" i="16"/>
  <c r="S11" i="16"/>
  <c r="T11" i="16" s="1"/>
  <c r="N11" i="16"/>
  <c r="O11" i="16" s="1"/>
  <c r="I11" i="16"/>
  <c r="J11" i="16" s="1"/>
  <c r="D11" i="16"/>
  <c r="C11" i="16"/>
  <c r="B11" i="16"/>
  <c r="A11" i="16"/>
  <c r="T10" i="16"/>
  <c r="S10" i="16"/>
  <c r="N10" i="16"/>
  <c r="O10" i="16" s="1"/>
  <c r="J10" i="16"/>
  <c r="I10" i="16"/>
  <c r="D10" i="16"/>
  <c r="C10" i="16"/>
  <c r="B10" i="16"/>
  <c r="A10" i="16"/>
  <c r="S9" i="16"/>
  <c r="T9" i="16" s="1"/>
  <c r="O9" i="16"/>
  <c r="N9" i="16"/>
  <c r="I9" i="16"/>
  <c r="J9" i="16" s="1"/>
  <c r="D9" i="16"/>
  <c r="C9" i="16"/>
  <c r="B9" i="16"/>
  <c r="A9" i="16"/>
  <c r="S8" i="16"/>
  <c r="I8" i="16"/>
  <c r="D8" i="16"/>
  <c r="C8" i="16"/>
  <c r="N8" i="16" s="1"/>
  <c r="S7" i="16"/>
  <c r="N7" i="16"/>
  <c r="I7" i="16"/>
  <c r="C7" i="16"/>
  <c r="S6" i="16"/>
  <c r="N6" i="16"/>
  <c r="I6" i="16"/>
  <c r="D6" i="16"/>
  <c r="D7" i="16" s="1"/>
  <c r="B6" i="16"/>
  <c r="D5" i="16"/>
  <c r="C5" i="16"/>
  <c r="S5" i="16" s="1"/>
  <c r="B5" i="16"/>
  <c r="A6" i="16" s="1"/>
  <c r="S4" i="16"/>
  <c r="T4" i="16" s="1"/>
  <c r="N4" i="16"/>
  <c r="O4" i="16" s="1"/>
  <c r="I4" i="16"/>
  <c r="J4" i="16" s="1"/>
  <c r="W2" i="16"/>
  <c r="V2" i="16"/>
  <c r="U2" i="16"/>
  <c r="A5" i="16" l="1"/>
  <c r="T5" i="16"/>
  <c r="C6" i="16"/>
  <c r="B7" i="16"/>
  <c r="I5" i="16"/>
  <c r="J5" i="16" s="1"/>
  <c r="N5" i="16"/>
  <c r="O5" i="16" s="1"/>
  <c r="T30" i="15"/>
  <c r="S30" i="15"/>
  <c r="O30" i="15"/>
  <c r="N30" i="15"/>
  <c r="J30" i="15"/>
  <c r="I30" i="15"/>
  <c r="D30" i="15"/>
  <c r="C30" i="15"/>
  <c r="B30" i="15"/>
  <c r="A30" i="15"/>
  <c r="T29" i="15"/>
  <c r="S29" i="15"/>
  <c r="O29" i="15"/>
  <c r="N29" i="15"/>
  <c r="J29" i="15"/>
  <c r="I29" i="15"/>
  <c r="D29" i="15"/>
  <c r="C29" i="15"/>
  <c r="B29" i="15"/>
  <c r="A29" i="15"/>
  <c r="T28" i="15"/>
  <c r="S28" i="15"/>
  <c r="O28" i="15"/>
  <c r="N28" i="15"/>
  <c r="J28" i="15"/>
  <c r="I28" i="15"/>
  <c r="D28" i="15"/>
  <c r="C28" i="15"/>
  <c r="B28" i="15"/>
  <c r="A28" i="15"/>
  <c r="T27" i="15"/>
  <c r="S27" i="15"/>
  <c r="O27" i="15"/>
  <c r="N27" i="15"/>
  <c r="J27" i="15"/>
  <c r="I27" i="15"/>
  <c r="D27" i="15"/>
  <c r="C27" i="15"/>
  <c r="B27" i="15"/>
  <c r="A27" i="15"/>
  <c r="T26" i="15"/>
  <c r="S26" i="15"/>
  <c r="O26" i="15"/>
  <c r="N26" i="15"/>
  <c r="J26" i="15"/>
  <c r="I26" i="15"/>
  <c r="D26" i="15"/>
  <c r="C26" i="15"/>
  <c r="B26" i="15"/>
  <c r="A26" i="15"/>
  <c r="T25" i="15"/>
  <c r="S25" i="15"/>
  <c r="O25" i="15"/>
  <c r="N25" i="15"/>
  <c r="J25" i="15"/>
  <c r="I25" i="15"/>
  <c r="D25" i="15"/>
  <c r="C25" i="15"/>
  <c r="B25" i="15"/>
  <c r="A25" i="15"/>
  <c r="T24" i="15"/>
  <c r="S24" i="15"/>
  <c r="O24" i="15"/>
  <c r="N24" i="15"/>
  <c r="J24" i="15"/>
  <c r="I24" i="15"/>
  <c r="D24" i="15"/>
  <c r="C24" i="15"/>
  <c r="B24" i="15"/>
  <c r="A24" i="15"/>
  <c r="T23" i="15"/>
  <c r="S23" i="15"/>
  <c r="O23" i="15"/>
  <c r="N23" i="15"/>
  <c r="J23" i="15"/>
  <c r="I23" i="15"/>
  <c r="D23" i="15"/>
  <c r="C23" i="15"/>
  <c r="B23" i="15"/>
  <c r="A23" i="15"/>
  <c r="T22" i="15"/>
  <c r="S22" i="15"/>
  <c r="O22" i="15"/>
  <c r="N22" i="15"/>
  <c r="J22" i="15"/>
  <c r="I22" i="15"/>
  <c r="D22" i="15"/>
  <c r="C22" i="15"/>
  <c r="B22" i="15"/>
  <c r="A22" i="15"/>
  <c r="T21" i="15"/>
  <c r="S21" i="15"/>
  <c r="O21" i="15"/>
  <c r="N21" i="15"/>
  <c r="J21" i="15"/>
  <c r="I21" i="15"/>
  <c r="D21" i="15"/>
  <c r="C21" i="15"/>
  <c r="B21" i="15"/>
  <c r="A21" i="15"/>
  <c r="T20" i="15"/>
  <c r="S20" i="15"/>
  <c r="O20" i="15"/>
  <c r="N20" i="15"/>
  <c r="J20" i="15"/>
  <c r="I20" i="15"/>
  <c r="D20" i="15"/>
  <c r="C20" i="15"/>
  <c r="B20" i="15"/>
  <c r="A20" i="15"/>
  <c r="T19" i="15"/>
  <c r="S19" i="15"/>
  <c r="O19" i="15"/>
  <c r="N19" i="15"/>
  <c r="J19" i="15"/>
  <c r="I19" i="15"/>
  <c r="D19" i="15"/>
  <c r="C19" i="15"/>
  <c r="B19" i="15"/>
  <c r="A19" i="15"/>
  <c r="T18" i="15"/>
  <c r="S18" i="15"/>
  <c r="O18" i="15"/>
  <c r="N18" i="15"/>
  <c r="J18" i="15"/>
  <c r="I18" i="15"/>
  <c r="D18" i="15"/>
  <c r="C18" i="15"/>
  <c r="B18" i="15"/>
  <c r="A18" i="15"/>
  <c r="T17" i="15"/>
  <c r="S17" i="15"/>
  <c r="O17" i="15"/>
  <c r="N17" i="15"/>
  <c r="J17" i="15"/>
  <c r="I17" i="15"/>
  <c r="D17" i="15"/>
  <c r="C17" i="15"/>
  <c r="B17" i="15"/>
  <c r="A17" i="15"/>
  <c r="T16" i="15"/>
  <c r="S16" i="15"/>
  <c r="O16" i="15"/>
  <c r="N16" i="15"/>
  <c r="J16" i="15"/>
  <c r="I16" i="15"/>
  <c r="D16" i="15"/>
  <c r="C16" i="15"/>
  <c r="B16" i="15"/>
  <c r="A16" i="15"/>
  <c r="T15" i="15"/>
  <c r="S15" i="15"/>
  <c r="O15" i="15"/>
  <c r="N15" i="15"/>
  <c r="J15" i="15"/>
  <c r="I15" i="15"/>
  <c r="D15" i="15"/>
  <c r="C15" i="15"/>
  <c r="B15" i="15"/>
  <c r="A15" i="15"/>
  <c r="T14" i="15"/>
  <c r="S14" i="15"/>
  <c r="O14" i="15"/>
  <c r="N14" i="15"/>
  <c r="J14" i="15"/>
  <c r="I14" i="15"/>
  <c r="D14" i="15"/>
  <c r="C14" i="15"/>
  <c r="B14" i="15"/>
  <c r="A14" i="15"/>
  <c r="T13" i="15"/>
  <c r="S13" i="15"/>
  <c r="O13" i="15"/>
  <c r="N13" i="15"/>
  <c r="J13" i="15"/>
  <c r="I13" i="15"/>
  <c r="D13" i="15"/>
  <c r="C13" i="15"/>
  <c r="B13" i="15"/>
  <c r="A13" i="15"/>
  <c r="S12" i="15"/>
  <c r="N12" i="15"/>
  <c r="I12" i="15"/>
  <c r="D12" i="15"/>
  <c r="C12" i="15"/>
  <c r="I11" i="15"/>
  <c r="D11" i="15"/>
  <c r="C11" i="15"/>
  <c r="N11" i="15" s="1"/>
  <c r="S9" i="15"/>
  <c r="N9" i="15"/>
  <c r="I9" i="15"/>
  <c r="C9" i="15"/>
  <c r="C10" i="15" s="1"/>
  <c r="S8" i="15"/>
  <c r="N8" i="15"/>
  <c r="I8" i="15"/>
  <c r="D8" i="15"/>
  <c r="D9" i="15" s="1"/>
  <c r="D10" i="15" s="1"/>
  <c r="C8" i="15"/>
  <c r="I7" i="15"/>
  <c r="D7" i="15"/>
  <c r="S6" i="15"/>
  <c r="I6" i="15"/>
  <c r="D6" i="15"/>
  <c r="C6" i="15"/>
  <c r="C7" i="15" s="1"/>
  <c r="B6" i="15"/>
  <c r="B7" i="15" s="1"/>
  <c r="N5" i="15"/>
  <c r="D5" i="15"/>
  <c r="C5" i="15"/>
  <c r="S5" i="15" s="1"/>
  <c r="B5" i="15"/>
  <c r="S4" i="15"/>
  <c r="T4" i="15" s="1"/>
  <c r="N4" i="15"/>
  <c r="O4" i="15" s="1"/>
  <c r="I4" i="15"/>
  <c r="J4" i="15" s="1"/>
  <c r="W2" i="15"/>
  <c r="V2" i="15"/>
  <c r="U2" i="15"/>
  <c r="O6" i="16" l="1"/>
  <c r="J6" i="16"/>
  <c r="B8" i="16"/>
  <c r="A8" i="16" s="1"/>
  <c r="A7" i="16"/>
  <c r="T6" i="16"/>
  <c r="N6" i="15"/>
  <c r="S11" i="15"/>
  <c r="T5" i="15"/>
  <c r="N7" i="15"/>
  <c r="S7" i="15"/>
  <c r="S10" i="15"/>
  <c r="I10" i="15"/>
  <c r="N10" i="15"/>
  <c r="B8" i="15"/>
  <c r="O5" i="15"/>
  <c r="A5" i="15"/>
  <c r="A6" i="15" s="1"/>
  <c r="A7" i="15" s="1"/>
  <c r="A8" i="15" s="1"/>
  <c r="I5" i="15"/>
  <c r="J5" i="15" s="1"/>
  <c r="T30" i="14"/>
  <c r="S30" i="14"/>
  <c r="O30" i="14"/>
  <c r="N30" i="14"/>
  <c r="J30" i="14"/>
  <c r="I30" i="14"/>
  <c r="D30" i="14"/>
  <c r="C30" i="14"/>
  <c r="B30" i="14"/>
  <c r="A30" i="14"/>
  <c r="T29" i="14"/>
  <c r="S29" i="14"/>
  <c r="O29" i="14"/>
  <c r="N29" i="14"/>
  <c r="J29" i="14"/>
  <c r="I29" i="14"/>
  <c r="D29" i="14"/>
  <c r="C29" i="14"/>
  <c r="B29" i="14"/>
  <c r="A29" i="14"/>
  <c r="T28" i="14"/>
  <c r="S28" i="14"/>
  <c r="O28" i="14"/>
  <c r="N28" i="14"/>
  <c r="J28" i="14"/>
  <c r="I28" i="14"/>
  <c r="D28" i="14"/>
  <c r="C28" i="14"/>
  <c r="B28" i="14"/>
  <c r="A28" i="14"/>
  <c r="T27" i="14"/>
  <c r="S27" i="14"/>
  <c r="O27" i="14"/>
  <c r="N27" i="14"/>
  <c r="J27" i="14"/>
  <c r="I27" i="14"/>
  <c r="D27" i="14"/>
  <c r="C27" i="14"/>
  <c r="B27" i="14"/>
  <c r="A27" i="14"/>
  <c r="T26" i="14"/>
  <c r="S26" i="14"/>
  <c r="O26" i="14"/>
  <c r="N26" i="14"/>
  <c r="J26" i="14"/>
  <c r="I26" i="14"/>
  <c r="D26" i="14"/>
  <c r="C26" i="14"/>
  <c r="B26" i="14"/>
  <c r="A26" i="14"/>
  <c r="T25" i="14"/>
  <c r="S25" i="14"/>
  <c r="O25" i="14"/>
  <c r="N25" i="14"/>
  <c r="J25" i="14"/>
  <c r="I25" i="14"/>
  <c r="D25" i="14"/>
  <c r="C25" i="14"/>
  <c r="B25" i="14"/>
  <c r="A25" i="14"/>
  <c r="T24" i="14"/>
  <c r="S24" i="14"/>
  <c r="O24" i="14"/>
  <c r="N24" i="14"/>
  <c r="J24" i="14"/>
  <c r="I24" i="14"/>
  <c r="D24" i="14"/>
  <c r="C24" i="14"/>
  <c r="B24" i="14"/>
  <c r="A24" i="14"/>
  <c r="T23" i="14"/>
  <c r="S23" i="14"/>
  <c r="O23" i="14"/>
  <c r="N23" i="14"/>
  <c r="J23" i="14"/>
  <c r="I23" i="14"/>
  <c r="D23" i="14"/>
  <c r="C23" i="14"/>
  <c r="B23" i="14"/>
  <c r="A23" i="14"/>
  <c r="T22" i="14"/>
  <c r="S22" i="14"/>
  <c r="O22" i="14"/>
  <c r="N22" i="14"/>
  <c r="J22" i="14"/>
  <c r="I22" i="14"/>
  <c r="D22" i="14"/>
  <c r="C22" i="14"/>
  <c r="B22" i="14"/>
  <c r="A22" i="14"/>
  <c r="T21" i="14"/>
  <c r="S21" i="14"/>
  <c r="O21" i="14"/>
  <c r="N21" i="14"/>
  <c r="J21" i="14"/>
  <c r="I21" i="14"/>
  <c r="D21" i="14"/>
  <c r="C21" i="14"/>
  <c r="B21" i="14"/>
  <c r="A21" i="14"/>
  <c r="T20" i="14"/>
  <c r="S20" i="14"/>
  <c r="O20" i="14"/>
  <c r="N20" i="14"/>
  <c r="J20" i="14"/>
  <c r="I20" i="14"/>
  <c r="D20" i="14"/>
  <c r="C20" i="14"/>
  <c r="B20" i="14"/>
  <c r="A20" i="14"/>
  <c r="T19" i="14"/>
  <c r="S19" i="14"/>
  <c r="O19" i="14"/>
  <c r="N19" i="14"/>
  <c r="J19" i="14"/>
  <c r="I19" i="14"/>
  <c r="D19" i="14"/>
  <c r="C19" i="14"/>
  <c r="B19" i="14"/>
  <c r="A19" i="14"/>
  <c r="T18" i="14"/>
  <c r="S18" i="14"/>
  <c r="O18" i="14"/>
  <c r="N18" i="14"/>
  <c r="J18" i="14"/>
  <c r="I18" i="14"/>
  <c r="D18" i="14"/>
  <c r="C18" i="14"/>
  <c r="B18" i="14"/>
  <c r="A18" i="14"/>
  <c r="T17" i="14"/>
  <c r="S17" i="14"/>
  <c r="O17" i="14"/>
  <c r="N17" i="14"/>
  <c r="J17" i="14"/>
  <c r="I17" i="14"/>
  <c r="D17" i="14"/>
  <c r="C17" i="14"/>
  <c r="B17" i="14"/>
  <c r="A17" i="14"/>
  <c r="T16" i="14"/>
  <c r="S16" i="14"/>
  <c r="O16" i="14"/>
  <c r="N16" i="14"/>
  <c r="J16" i="14"/>
  <c r="I16" i="14"/>
  <c r="D16" i="14"/>
  <c r="C16" i="14"/>
  <c r="B16" i="14"/>
  <c r="A16" i="14"/>
  <c r="T15" i="14"/>
  <c r="S15" i="14"/>
  <c r="O15" i="14"/>
  <c r="N15" i="14"/>
  <c r="J15" i="14"/>
  <c r="I15" i="14"/>
  <c r="D15" i="14"/>
  <c r="C15" i="14"/>
  <c r="B15" i="14"/>
  <c r="A15" i="14"/>
  <c r="T14" i="14"/>
  <c r="S14" i="14"/>
  <c r="O14" i="14"/>
  <c r="N14" i="14"/>
  <c r="J14" i="14"/>
  <c r="I14" i="14"/>
  <c r="D14" i="14"/>
  <c r="C14" i="14"/>
  <c r="B14" i="14"/>
  <c r="A14" i="14"/>
  <c r="T13" i="14"/>
  <c r="S13" i="14"/>
  <c r="O13" i="14"/>
  <c r="N13" i="14"/>
  <c r="J13" i="14"/>
  <c r="I13" i="14"/>
  <c r="D13" i="14"/>
  <c r="C13" i="14"/>
  <c r="B13" i="14"/>
  <c r="A13" i="14"/>
  <c r="S12" i="14"/>
  <c r="I12" i="14"/>
  <c r="D12" i="14"/>
  <c r="C12" i="14"/>
  <c r="N12" i="14" s="1"/>
  <c r="S11" i="14"/>
  <c r="I11" i="14"/>
  <c r="D11" i="14"/>
  <c r="C11" i="14"/>
  <c r="N11" i="14" s="1"/>
  <c r="N10" i="14"/>
  <c r="D10" i="14"/>
  <c r="C10" i="14"/>
  <c r="S10" i="14" s="1"/>
  <c r="D9" i="14"/>
  <c r="C9" i="14"/>
  <c r="N9" i="14" s="1"/>
  <c r="S8" i="14"/>
  <c r="I8" i="14"/>
  <c r="D8" i="14"/>
  <c r="C8" i="14"/>
  <c r="N8" i="14" s="1"/>
  <c r="S6" i="14"/>
  <c r="N6" i="14"/>
  <c r="I6" i="14"/>
  <c r="D6" i="14"/>
  <c r="D7" i="14" s="1"/>
  <c r="C6" i="14"/>
  <c r="C7" i="14" s="1"/>
  <c r="B6" i="14"/>
  <c r="B7" i="14" s="1"/>
  <c r="D5" i="14"/>
  <c r="C5" i="14"/>
  <c r="S5" i="14" s="1"/>
  <c r="B5" i="14"/>
  <c r="S4" i="14"/>
  <c r="T4" i="14" s="1"/>
  <c r="N4" i="14"/>
  <c r="O4" i="14" s="1"/>
  <c r="I4" i="14"/>
  <c r="J4" i="14" s="1"/>
  <c r="W2" i="14"/>
  <c r="V2" i="14"/>
  <c r="U2" i="14"/>
  <c r="T7" i="16" l="1"/>
  <c r="O7" i="16"/>
  <c r="J7" i="16"/>
  <c r="J6" i="15"/>
  <c r="T6" i="15"/>
  <c r="B9" i="15"/>
  <c r="A9" i="15" s="1"/>
  <c r="O6" i="15"/>
  <c r="N5" i="14"/>
  <c r="O5" i="14" s="1"/>
  <c r="B8" i="14"/>
  <c r="I7" i="14"/>
  <c r="N7" i="14"/>
  <c r="S7" i="14"/>
  <c r="T5" i="14"/>
  <c r="A5" i="14"/>
  <c r="A6" i="14" s="1"/>
  <c r="A7" i="14" s="1"/>
  <c r="A8" i="14" s="1"/>
  <c r="I5" i="14"/>
  <c r="J5" i="14" s="1"/>
  <c r="I9" i="14"/>
  <c r="S9" i="14"/>
  <c r="I10" i="14"/>
  <c r="T30" i="13"/>
  <c r="S30" i="13"/>
  <c r="O30" i="13"/>
  <c r="N30" i="13"/>
  <c r="J30" i="13"/>
  <c r="I30" i="13"/>
  <c r="D30" i="13"/>
  <c r="C30" i="13"/>
  <c r="B30" i="13"/>
  <c r="A30" i="13"/>
  <c r="T29" i="13"/>
  <c r="S29" i="13"/>
  <c r="O29" i="13"/>
  <c r="N29" i="13"/>
  <c r="J29" i="13"/>
  <c r="I29" i="13"/>
  <c r="D29" i="13"/>
  <c r="C29" i="13"/>
  <c r="B29" i="13"/>
  <c r="A29" i="13"/>
  <c r="T28" i="13"/>
  <c r="S28" i="13"/>
  <c r="O28" i="13"/>
  <c r="N28" i="13"/>
  <c r="J28" i="13"/>
  <c r="I28" i="13"/>
  <c r="D28" i="13"/>
  <c r="C28" i="13"/>
  <c r="B28" i="13"/>
  <c r="A28" i="13"/>
  <c r="T27" i="13"/>
  <c r="S27" i="13"/>
  <c r="O27" i="13"/>
  <c r="N27" i="13"/>
  <c r="J27" i="13"/>
  <c r="I27" i="13"/>
  <c r="D27" i="13"/>
  <c r="C27" i="13"/>
  <c r="B27" i="13"/>
  <c r="A27" i="13"/>
  <c r="T26" i="13"/>
  <c r="S26" i="13"/>
  <c r="O26" i="13"/>
  <c r="N26" i="13"/>
  <c r="J26" i="13"/>
  <c r="I26" i="13"/>
  <c r="D26" i="13"/>
  <c r="C26" i="13"/>
  <c r="B26" i="13"/>
  <c r="A26" i="13"/>
  <c r="T25" i="13"/>
  <c r="S25" i="13"/>
  <c r="O25" i="13"/>
  <c r="N25" i="13"/>
  <c r="J25" i="13"/>
  <c r="I25" i="13"/>
  <c r="D25" i="13"/>
  <c r="C25" i="13"/>
  <c r="B25" i="13"/>
  <c r="A25" i="13"/>
  <c r="T24" i="13"/>
  <c r="S24" i="13"/>
  <c r="O24" i="13"/>
  <c r="N24" i="13"/>
  <c r="J24" i="13"/>
  <c r="I24" i="13"/>
  <c r="D24" i="13"/>
  <c r="C24" i="13"/>
  <c r="B24" i="13"/>
  <c r="A24" i="13"/>
  <c r="T23" i="13"/>
  <c r="S23" i="13"/>
  <c r="O23" i="13"/>
  <c r="N23" i="13"/>
  <c r="J23" i="13"/>
  <c r="I23" i="13"/>
  <c r="D23" i="13"/>
  <c r="C23" i="13"/>
  <c r="B23" i="13"/>
  <c r="A23" i="13"/>
  <c r="T22" i="13"/>
  <c r="S22" i="13"/>
  <c r="O22" i="13"/>
  <c r="N22" i="13"/>
  <c r="J22" i="13"/>
  <c r="I22" i="13"/>
  <c r="D22" i="13"/>
  <c r="C22" i="13"/>
  <c r="B22" i="13"/>
  <c r="A22" i="13"/>
  <c r="T21" i="13"/>
  <c r="S21" i="13"/>
  <c r="O21" i="13"/>
  <c r="N21" i="13"/>
  <c r="J21" i="13"/>
  <c r="I21" i="13"/>
  <c r="D21" i="13"/>
  <c r="C21" i="13"/>
  <c r="B21" i="13"/>
  <c r="A21" i="13"/>
  <c r="T20" i="13"/>
  <c r="S20" i="13"/>
  <c r="O20" i="13"/>
  <c r="N20" i="13"/>
  <c r="J20" i="13"/>
  <c r="I20" i="13"/>
  <c r="D20" i="13"/>
  <c r="C20" i="13"/>
  <c r="B20" i="13"/>
  <c r="A20" i="13"/>
  <c r="T19" i="13"/>
  <c r="S19" i="13"/>
  <c r="O19" i="13"/>
  <c r="N19" i="13"/>
  <c r="J19" i="13"/>
  <c r="I19" i="13"/>
  <c r="D19" i="13"/>
  <c r="C19" i="13"/>
  <c r="B19" i="13"/>
  <c r="A19" i="13"/>
  <c r="T18" i="13"/>
  <c r="S18" i="13"/>
  <c r="O18" i="13"/>
  <c r="N18" i="13"/>
  <c r="J18" i="13"/>
  <c r="I18" i="13"/>
  <c r="D18" i="13"/>
  <c r="C18" i="13"/>
  <c r="B18" i="13"/>
  <c r="A18" i="13"/>
  <c r="T17" i="13"/>
  <c r="S17" i="13"/>
  <c r="O17" i="13"/>
  <c r="N17" i="13"/>
  <c r="J17" i="13"/>
  <c r="I17" i="13"/>
  <c r="D17" i="13"/>
  <c r="C17" i="13"/>
  <c r="B17" i="13"/>
  <c r="A17" i="13"/>
  <c r="T16" i="13"/>
  <c r="S16" i="13"/>
  <c r="O16" i="13"/>
  <c r="N16" i="13"/>
  <c r="J16" i="13"/>
  <c r="I16" i="13"/>
  <c r="D16" i="13"/>
  <c r="C16" i="13"/>
  <c r="B16" i="13"/>
  <c r="A16" i="13"/>
  <c r="T15" i="13"/>
  <c r="S15" i="13"/>
  <c r="O15" i="13"/>
  <c r="N15" i="13"/>
  <c r="J15" i="13"/>
  <c r="I15" i="13"/>
  <c r="D15" i="13"/>
  <c r="C15" i="13"/>
  <c r="B15" i="13"/>
  <c r="A15" i="13"/>
  <c r="T14" i="13"/>
  <c r="S14" i="13"/>
  <c r="O14" i="13"/>
  <c r="N14" i="13"/>
  <c r="J14" i="13"/>
  <c r="I14" i="13"/>
  <c r="D14" i="13"/>
  <c r="C14" i="13"/>
  <c r="B14" i="13"/>
  <c r="A14" i="13"/>
  <c r="T13" i="13"/>
  <c r="S13" i="13"/>
  <c r="O13" i="13"/>
  <c r="N13" i="13"/>
  <c r="J13" i="13"/>
  <c r="I13" i="13"/>
  <c r="D13" i="13"/>
  <c r="C13" i="13"/>
  <c r="B13" i="13"/>
  <c r="A13" i="13"/>
  <c r="S12" i="13"/>
  <c r="T12" i="13" s="1"/>
  <c r="N12" i="13"/>
  <c r="O12" i="13" s="1"/>
  <c r="I12" i="13"/>
  <c r="J12" i="13" s="1"/>
  <c r="D12" i="13"/>
  <c r="C12" i="13"/>
  <c r="B12" i="13"/>
  <c r="A12" i="13" s="1"/>
  <c r="S11" i="13"/>
  <c r="T11" i="13" s="1"/>
  <c r="N11" i="13"/>
  <c r="O11" i="13" s="1"/>
  <c r="J11" i="13"/>
  <c r="I11" i="13"/>
  <c r="D11" i="13"/>
  <c r="C11" i="13"/>
  <c r="B11" i="13"/>
  <c r="A11" i="13"/>
  <c r="T10" i="13"/>
  <c r="S10" i="13"/>
  <c r="N10" i="13"/>
  <c r="O10" i="13" s="1"/>
  <c r="I10" i="13"/>
  <c r="J10" i="13" s="1"/>
  <c r="D10" i="13"/>
  <c r="C10" i="13"/>
  <c r="B10" i="13"/>
  <c r="A10" i="13"/>
  <c r="S9" i="13"/>
  <c r="T9" i="13" s="1"/>
  <c r="O9" i="13"/>
  <c r="N9" i="13"/>
  <c r="I9" i="13"/>
  <c r="J9" i="13" s="1"/>
  <c r="D9" i="13"/>
  <c r="C9" i="13"/>
  <c r="B9" i="13"/>
  <c r="A9" i="13"/>
  <c r="S8" i="13"/>
  <c r="T8" i="13" s="1"/>
  <c r="N8" i="13"/>
  <c r="O8" i="13" s="1"/>
  <c r="J8" i="13"/>
  <c r="I8" i="13"/>
  <c r="D8" i="13"/>
  <c r="C8" i="13"/>
  <c r="B8" i="13"/>
  <c r="A8" i="13" s="1"/>
  <c r="S7" i="13"/>
  <c r="D7" i="13"/>
  <c r="D6" i="13"/>
  <c r="B6" i="13"/>
  <c r="B7" i="13" s="1"/>
  <c r="I5" i="13"/>
  <c r="D5" i="13"/>
  <c r="C5" i="13"/>
  <c r="C6" i="13" s="1"/>
  <c r="B5" i="13"/>
  <c r="A6" i="13" s="1"/>
  <c r="A5" i="13"/>
  <c r="S4" i="13"/>
  <c r="T4" i="13" s="1"/>
  <c r="N4" i="13"/>
  <c r="O4" i="13" s="1"/>
  <c r="I4" i="13"/>
  <c r="J4" i="13" s="1"/>
  <c r="W2" i="13"/>
  <c r="V2" i="13"/>
  <c r="U2" i="13"/>
  <c r="T8" i="16" l="1"/>
  <c r="O8" i="16"/>
  <c r="J8" i="16"/>
  <c r="T7" i="15"/>
  <c r="O7" i="15"/>
  <c r="B10" i="15"/>
  <c r="J7" i="15"/>
  <c r="T6" i="14"/>
  <c r="O6" i="14"/>
  <c r="B9" i="14"/>
  <c r="A9" i="14" s="1"/>
  <c r="J6" i="14"/>
  <c r="S6" i="13"/>
  <c r="I6" i="13"/>
  <c r="C7" i="13"/>
  <c r="N6" i="13"/>
  <c r="J5" i="13"/>
  <c r="A7" i="13"/>
  <c r="S5" i="13"/>
  <c r="T5" i="13" s="1"/>
  <c r="N5" i="13"/>
  <c r="O5" i="13" s="1"/>
  <c r="T30" i="12"/>
  <c r="S30" i="12"/>
  <c r="O30" i="12"/>
  <c r="N30" i="12"/>
  <c r="J30" i="12"/>
  <c r="I30" i="12"/>
  <c r="D30" i="12"/>
  <c r="C30" i="12"/>
  <c r="B30" i="12"/>
  <c r="A30" i="12"/>
  <c r="T29" i="12"/>
  <c r="S29" i="12"/>
  <c r="O29" i="12"/>
  <c r="N29" i="12"/>
  <c r="J29" i="12"/>
  <c r="I29" i="12"/>
  <c r="D29" i="12"/>
  <c r="C29" i="12"/>
  <c r="B29" i="12"/>
  <c r="A29" i="12"/>
  <c r="T28" i="12"/>
  <c r="S28" i="12"/>
  <c r="O28" i="12"/>
  <c r="N28" i="12"/>
  <c r="J28" i="12"/>
  <c r="I28" i="12"/>
  <c r="D28" i="12"/>
  <c r="C28" i="12"/>
  <c r="B28" i="12"/>
  <c r="A28" i="12"/>
  <c r="T27" i="12"/>
  <c r="S27" i="12"/>
  <c r="O27" i="12"/>
  <c r="N27" i="12"/>
  <c r="J27" i="12"/>
  <c r="I27" i="12"/>
  <c r="D27" i="12"/>
  <c r="C27" i="12"/>
  <c r="B27" i="12"/>
  <c r="A27" i="12"/>
  <c r="T26" i="12"/>
  <c r="S26" i="12"/>
  <c r="O26" i="12"/>
  <c r="N26" i="12"/>
  <c r="J26" i="12"/>
  <c r="I26" i="12"/>
  <c r="D26" i="12"/>
  <c r="C26" i="12"/>
  <c r="B26" i="12"/>
  <c r="A26" i="12"/>
  <c r="T25" i="12"/>
  <c r="S25" i="12"/>
  <c r="O25" i="12"/>
  <c r="N25" i="12"/>
  <c r="J25" i="12"/>
  <c r="I25" i="12"/>
  <c r="D25" i="12"/>
  <c r="C25" i="12"/>
  <c r="B25" i="12"/>
  <c r="A25" i="12"/>
  <c r="T24" i="12"/>
  <c r="S24" i="12"/>
  <c r="O24" i="12"/>
  <c r="N24" i="12"/>
  <c r="J24" i="12"/>
  <c r="I24" i="12"/>
  <c r="D24" i="12"/>
  <c r="C24" i="12"/>
  <c r="B24" i="12"/>
  <c r="A24" i="12"/>
  <c r="T23" i="12"/>
  <c r="S23" i="12"/>
  <c r="O23" i="12"/>
  <c r="N23" i="12"/>
  <c r="J23" i="12"/>
  <c r="I23" i="12"/>
  <c r="D23" i="12"/>
  <c r="C23" i="12"/>
  <c r="B23" i="12"/>
  <c r="A23" i="12"/>
  <c r="T22" i="12"/>
  <c r="S22" i="12"/>
  <c r="O22" i="12"/>
  <c r="N22" i="12"/>
  <c r="J22" i="12"/>
  <c r="I22" i="12"/>
  <c r="D22" i="12"/>
  <c r="C22" i="12"/>
  <c r="B22" i="12"/>
  <c r="A22" i="12"/>
  <c r="T21" i="12"/>
  <c r="S21" i="12"/>
  <c r="O21" i="12"/>
  <c r="N21" i="12"/>
  <c r="J21" i="12"/>
  <c r="I21" i="12"/>
  <c r="D21" i="12"/>
  <c r="C21" i="12"/>
  <c r="B21" i="12"/>
  <c r="A21" i="12"/>
  <c r="T20" i="12"/>
  <c r="S20" i="12"/>
  <c r="O20" i="12"/>
  <c r="N20" i="12"/>
  <c r="J20" i="12"/>
  <c r="I20" i="12"/>
  <c r="D20" i="12"/>
  <c r="C20" i="12"/>
  <c r="B20" i="12"/>
  <c r="A20" i="12"/>
  <c r="T19" i="12"/>
  <c r="S19" i="12"/>
  <c r="O19" i="12"/>
  <c r="N19" i="12"/>
  <c r="J19" i="12"/>
  <c r="I19" i="12"/>
  <c r="D19" i="12"/>
  <c r="C19" i="12"/>
  <c r="B19" i="12"/>
  <c r="A19" i="12"/>
  <c r="T18" i="12"/>
  <c r="S18" i="12"/>
  <c r="O18" i="12"/>
  <c r="N18" i="12"/>
  <c r="J18" i="12"/>
  <c r="I18" i="12"/>
  <c r="D18" i="12"/>
  <c r="C18" i="12"/>
  <c r="B18" i="12"/>
  <c r="A18" i="12"/>
  <c r="T17" i="12"/>
  <c r="S17" i="12"/>
  <c r="O17" i="12"/>
  <c r="N17" i="12"/>
  <c r="J17" i="12"/>
  <c r="I17" i="12"/>
  <c r="D17" i="12"/>
  <c r="C17" i="12"/>
  <c r="B17" i="12"/>
  <c r="A17" i="12"/>
  <c r="T16" i="12"/>
  <c r="S16" i="12"/>
  <c r="O16" i="12"/>
  <c r="N16" i="12"/>
  <c r="J16" i="12"/>
  <c r="I16" i="12"/>
  <c r="D16" i="12"/>
  <c r="C16" i="12"/>
  <c r="B16" i="12"/>
  <c r="A16" i="12"/>
  <c r="T15" i="12"/>
  <c r="S15" i="12"/>
  <c r="O15" i="12"/>
  <c r="N15" i="12"/>
  <c r="J15" i="12"/>
  <c r="I15" i="12"/>
  <c r="D15" i="12"/>
  <c r="C15" i="12"/>
  <c r="B15" i="12"/>
  <c r="A15" i="12"/>
  <c r="T14" i="12"/>
  <c r="S14" i="12"/>
  <c r="O14" i="12"/>
  <c r="N14" i="12"/>
  <c r="J14" i="12"/>
  <c r="I14" i="12"/>
  <c r="D14" i="12"/>
  <c r="C14" i="12"/>
  <c r="B14" i="12"/>
  <c r="A14" i="12"/>
  <c r="T13" i="12"/>
  <c r="S13" i="12"/>
  <c r="O13" i="12"/>
  <c r="N13" i="12"/>
  <c r="J13" i="12"/>
  <c r="I13" i="12"/>
  <c r="D13" i="12"/>
  <c r="C13" i="12"/>
  <c r="B13" i="12"/>
  <c r="A13" i="12"/>
  <c r="T12" i="12"/>
  <c r="S12" i="12"/>
  <c r="O12" i="12"/>
  <c r="N12" i="12"/>
  <c r="J12" i="12"/>
  <c r="I12" i="12"/>
  <c r="D12" i="12"/>
  <c r="C12" i="12"/>
  <c r="B12" i="12"/>
  <c r="A12" i="12"/>
  <c r="D11" i="12"/>
  <c r="D10" i="12"/>
  <c r="C10" i="12"/>
  <c r="S10" i="12" s="1"/>
  <c r="I9" i="12"/>
  <c r="D9" i="12"/>
  <c r="C9" i="12"/>
  <c r="S9" i="12" s="1"/>
  <c r="D8" i="12"/>
  <c r="S6" i="12"/>
  <c r="N6" i="12"/>
  <c r="I6" i="12"/>
  <c r="D6" i="12"/>
  <c r="D7" i="12" s="1"/>
  <c r="C6" i="12"/>
  <c r="C7" i="12" s="1"/>
  <c r="B6" i="12"/>
  <c r="B7" i="12" s="1"/>
  <c r="N5" i="12"/>
  <c r="D5" i="12"/>
  <c r="C5" i="12"/>
  <c r="S5" i="12" s="1"/>
  <c r="B5" i="12"/>
  <c r="S4" i="12"/>
  <c r="T4" i="12" s="1"/>
  <c r="N4" i="12"/>
  <c r="O4" i="12" s="1"/>
  <c r="I4" i="12"/>
  <c r="J4" i="12" s="1"/>
  <c r="W2" i="12"/>
  <c r="V2" i="12"/>
  <c r="U2" i="12"/>
  <c r="J8" i="15" l="1"/>
  <c r="O8" i="15"/>
  <c r="B11" i="15"/>
  <c r="A11" i="15" s="1"/>
  <c r="T8" i="15"/>
  <c r="A10" i="15"/>
  <c r="J7" i="14"/>
  <c r="O7" i="14"/>
  <c r="T7" i="14"/>
  <c r="B10" i="14"/>
  <c r="A10" i="14" s="1"/>
  <c r="O6" i="13"/>
  <c r="T6" i="13"/>
  <c r="J6" i="13"/>
  <c r="N7" i="13"/>
  <c r="I7" i="13"/>
  <c r="O5" i="12"/>
  <c r="N9" i="12"/>
  <c r="B8" i="12"/>
  <c r="A8" i="12" s="1"/>
  <c r="O6" i="12"/>
  <c r="T5" i="12"/>
  <c r="C8" i="12"/>
  <c r="N7" i="12"/>
  <c r="I7" i="12"/>
  <c r="S7" i="12"/>
  <c r="N10" i="12"/>
  <c r="A5" i="12"/>
  <c r="A6" i="12" s="1"/>
  <c r="A7" i="12" s="1"/>
  <c r="I5" i="12"/>
  <c r="J5" i="12" s="1"/>
  <c r="C11" i="12"/>
  <c r="I10" i="12"/>
  <c r="T30" i="11"/>
  <c r="S30" i="11"/>
  <c r="O30" i="11"/>
  <c r="N30" i="11"/>
  <c r="J30" i="11"/>
  <c r="I30" i="11"/>
  <c r="D30" i="11"/>
  <c r="C30" i="11"/>
  <c r="B30" i="11"/>
  <c r="A30" i="11"/>
  <c r="T29" i="11"/>
  <c r="S29" i="11"/>
  <c r="O29" i="11"/>
  <c r="N29" i="11"/>
  <c r="J29" i="11"/>
  <c r="I29" i="11"/>
  <c r="D29" i="11"/>
  <c r="C29" i="11"/>
  <c r="B29" i="11"/>
  <c r="A29" i="11"/>
  <c r="T28" i="11"/>
  <c r="S28" i="11"/>
  <c r="O28" i="11"/>
  <c r="N28" i="11"/>
  <c r="J28" i="11"/>
  <c r="I28" i="11"/>
  <c r="D28" i="11"/>
  <c r="C28" i="11"/>
  <c r="B28" i="11"/>
  <c r="A28" i="11"/>
  <c r="T27" i="11"/>
  <c r="S27" i="11"/>
  <c r="O27" i="11"/>
  <c r="N27" i="11"/>
  <c r="J27" i="11"/>
  <c r="I27" i="11"/>
  <c r="D27" i="11"/>
  <c r="C27" i="11"/>
  <c r="B27" i="11"/>
  <c r="A27" i="11"/>
  <c r="T26" i="11"/>
  <c r="S26" i="11"/>
  <c r="O26" i="11"/>
  <c r="N26" i="11"/>
  <c r="J26" i="11"/>
  <c r="I26" i="11"/>
  <c r="D26" i="11"/>
  <c r="C26" i="11"/>
  <c r="B26" i="11"/>
  <c r="A26" i="11"/>
  <c r="T25" i="11"/>
  <c r="S25" i="11"/>
  <c r="O25" i="11"/>
  <c r="N25" i="11"/>
  <c r="J25" i="11"/>
  <c r="I25" i="11"/>
  <c r="D25" i="11"/>
  <c r="C25" i="11"/>
  <c r="B25" i="11"/>
  <c r="A25" i="11"/>
  <c r="T24" i="11"/>
  <c r="S24" i="11"/>
  <c r="O24" i="11"/>
  <c r="N24" i="11"/>
  <c r="J24" i="11"/>
  <c r="I24" i="11"/>
  <c r="D24" i="11"/>
  <c r="C24" i="11"/>
  <c r="B24" i="11"/>
  <c r="A24" i="11"/>
  <c r="T23" i="11"/>
  <c r="S23" i="11"/>
  <c r="O23" i="11"/>
  <c r="N23" i="11"/>
  <c r="J23" i="11"/>
  <c r="I23" i="11"/>
  <c r="D23" i="11"/>
  <c r="C23" i="11"/>
  <c r="B23" i="11"/>
  <c r="A23" i="11"/>
  <c r="T22" i="11"/>
  <c r="S22" i="11"/>
  <c r="O22" i="11"/>
  <c r="N22" i="11"/>
  <c r="J22" i="11"/>
  <c r="I22" i="11"/>
  <c r="D22" i="11"/>
  <c r="C22" i="11"/>
  <c r="B22" i="11"/>
  <c r="A22" i="11"/>
  <c r="T21" i="11"/>
  <c r="S21" i="11"/>
  <c r="O21" i="11"/>
  <c r="N21" i="11"/>
  <c r="J21" i="11"/>
  <c r="I21" i="11"/>
  <c r="D21" i="11"/>
  <c r="C21" i="11"/>
  <c r="B21" i="11"/>
  <c r="A21" i="11"/>
  <c r="T20" i="11"/>
  <c r="S20" i="11"/>
  <c r="O20" i="11"/>
  <c r="N20" i="11"/>
  <c r="J20" i="11"/>
  <c r="I20" i="11"/>
  <c r="D20" i="11"/>
  <c r="C20" i="11"/>
  <c r="B20" i="11"/>
  <c r="A20" i="11"/>
  <c r="T19" i="11"/>
  <c r="S19" i="11"/>
  <c r="O19" i="11"/>
  <c r="N19" i="11"/>
  <c r="J19" i="11"/>
  <c r="I19" i="11"/>
  <c r="D19" i="11"/>
  <c r="C19" i="11"/>
  <c r="B19" i="11"/>
  <c r="A19" i="11"/>
  <c r="T18" i="11"/>
  <c r="S18" i="11"/>
  <c r="O18" i="11"/>
  <c r="N18" i="11"/>
  <c r="J18" i="11"/>
  <c r="I18" i="11"/>
  <c r="D18" i="11"/>
  <c r="C18" i="11"/>
  <c r="B18" i="11"/>
  <c r="A18" i="11"/>
  <c r="T17" i="11"/>
  <c r="S17" i="11"/>
  <c r="O17" i="11"/>
  <c r="N17" i="11"/>
  <c r="J17" i="11"/>
  <c r="I17" i="11"/>
  <c r="D17" i="11"/>
  <c r="C17" i="11"/>
  <c r="B17" i="11"/>
  <c r="A17" i="11"/>
  <c r="T16" i="11"/>
  <c r="S16" i="11"/>
  <c r="O16" i="11"/>
  <c r="N16" i="11"/>
  <c r="J16" i="11"/>
  <c r="I16" i="11"/>
  <c r="D16" i="11"/>
  <c r="C16" i="11"/>
  <c r="B16" i="11"/>
  <c r="A16" i="11"/>
  <c r="T15" i="11"/>
  <c r="S15" i="11"/>
  <c r="O15" i="11"/>
  <c r="N15" i="11"/>
  <c r="J15" i="11"/>
  <c r="I15" i="11"/>
  <c r="D15" i="11"/>
  <c r="C15" i="11"/>
  <c r="B15" i="11"/>
  <c r="A15" i="11"/>
  <c r="I14" i="11"/>
  <c r="D14" i="11"/>
  <c r="I13" i="11"/>
  <c r="D13" i="11"/>
  <c r="D12" i="11"/>
  <c r="N11" i="11"/>
  <c r="I11" i="11"/>
  <c r="D11" i="11"/>
  <c r="C11" i="11"/>
  <c r="C12" i="11" s="1"/>
  <c r="I10" i="11"/>
  <c r="D10" i="11"/>
  <c r="I9" i="11"/>
  <c r="C9" i="11"/>
  <c r="S8" i="11"/>
  <c r="N8" i="11"/>
  <c r="I8" i="11"/>
  <c r="D8" i="11"/>
  <c r="D9" i="11" s="1"/>
  <c r="C8" i="11"/>
  <c r="S7" i="11"/>
  <c r="I7" i="11"/>
  <c r="D7" i="11"/>
  <c r="C7" i="11"/>
  <c r="N7" i="11" s="1"/>
  <c r="I6" i="11"/>
  <c r="D6" i="11"/>
  <c r="B6" i="11"/>
  <c r="B7" i="11" s="1"/>
  <c r="I5" i="11"/>
  <c r="D5" i="11"/>
  <c r="C5" i="11"/>
  <c r="N5" i="11" s="1"/>
  <c r="B5" i="11"/>
  <c r="A5" i="11" s="1"/>
  <c r="S4" i="11"/>
  <c r="T4" i="11" s="1"/>
  <c r="N4" i="11"/>
  <c r="O4" i="11" s="1"/>
  <c r="I4" i="11"/>
  <c r="J4" i="11" s="1"/>
  <c r="W2" i="11"/>
  <c r="V2" i="11"/>
  <c r="U2" i="11"/>
  <c r="T9" i="15" l="1"/>
  <c r="O9" i="15"/>
  <c r="B12" i="15"/>
  <c r="A12" i="15" s="1"/>
  <c r="J9" i="15"/>
  <c r="O8" i="14"/>
  <c r="T8" i="14"/>
  <c r="B11" i="14"/>
  <c r="A11" i="14" s="1"/>
  <c r="J8" i="14"/>
  <c r="T7" i="13"/>
  <c r="J7" i="13"/>
  <c r="O7" i="13"/>
  <c r="N11" i="12"/>
  <c r="S11" i="12"/>
  <c r="I11" i="12"/>
  <c r="N8" i="12"/>
  <c r="S8" i="12"/>
  <c r="I8" i="12"/>
  <c r="T6" i="12"/>
  <c r="B9" i="12"/>
  <c r="A9" i="12"/>
  <c r="J6" i="12"/>
  <c r="O7" i="12"/>
  <c r="S11" i="11"/>
  <c r="J5" i="11"/>
  <c r="B8" i="11"/>
  <c r="O5" i="11"/>
  <c r="A6" i="11"/>
  <c r="A7" i="11" s="1"/>
  <c r="C10" i="11"/>
  <c r="S9" i="11"/>
  <c r="N9" i="11"/>
  <c r="N12" i="11"/>
  <c r="S12" i="11"/>
  <c r="I12" i="11"/>
  <c r="C13" i="11"/>
  <c r="S5" i="11"/>
  <c r="T5" i="11" s="1"/>
  <c r="C6" i="11"/>
  <c r="O10" i="15" l="1"/>
  <c r="J10" i="15"/>
  <c r="T10" i="15"/>
  <c r="J9" i="14"/>
  <c r="T9" i="14"/>
  <c r="O9" i="14"/>
  <c r="B12" i="14"/>
  <c r="A12" i="14" s="1"/>
  <c r="J7" i="12"/>
  <c r="T7" i="12"/>
  <c r="O8" i="12"/>
  <c r="B10" i="12"/>
  <c r="S10" i="11"/>
  <c r="N10" i="11"/>
  <c r="B9" i="11"/>
  <c r="A9" i="11" s="1"/>
  <c r="A8" i="11"/>
  <c r="S6" i="11"/>
  <c r="T6" i="11" s="1"/>
  <c r="N6" i="11"/>
  <c r="O6" i="11" s="1"/>
  <c r="C14" i="11"/>
  <c r="S13" i="11"/>
  <c r="N13" i="11"/>
  <c r="J6" i="11"/>
  <c r="J12" i="9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J11" i="15" l="1"/>
  <c r="T11" i="15"/>
  <c r="O11" i="15"/>
  <c r="T10" i="14"/>
  <c r="O10" i="14"/>
  <c r="J10" i="14"/>
  <c r="B11" i="12"/>
  <c r="A11" i="12" s="1"/>
  <c r="T8" i="12"/>
  <c r="A10" i="12"/>
  <c r="O9" i="12"/>
  <c r="J8" i="12"/>
  <c r="T7" i="11"/>
  <c r="O7" i="11"/>
  <c r="J7" i="11"/>
  <c r="B10" i="11"/>
  <c r="S14" i="11"/>
  <c r="N14" i="11"/>
  <c r="G12" i="10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T12" i="15" l="1"/>
  <c r="O12" i="15"/>
  <c r="J12" i="15"/>
  <c r="O11" i="14"/>
  <c r="J11" i="14"/>
  <c r="T11" i="14"/>
  <c r="J9" i="12"/>
  <c r="T9" i="12"/>
  <c r="O10" i="12"/>
  <c r="B11" i="11"/>
  <c r="A10" i="11"/>
  <c r="T8" i="11"/>
  <c r="O8" i="11"/>
  <c r="J8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I6" i="1"/>
  <c r="N6" i="1"/>
  <c r="J5" i="1"/>
  <c r="D5" i="1"/>
  <c r="C5" i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J12" i="14" l="1"/>
  <c r="T12" i="14"/>
  <c r="O12" i="14"/>
  <c r="T10" i="12"/>
  <c r="O11" i="12"/>
  <c r="J10" i="12"/>
  <c r="A11" i="11"/>
  <c r="J9" i="11"/>
  <c r="T9" i="11"/>
  <c r="O9" i="11"/>
  <c r="B12" i="11"/>
  <c r="A5" i="1"/>
  <c r="A6" i="1"/>
  <c r="A8" i="1"/>
  <c r="B9" i="1"/>
  <c r="A9" i="1" s="1"/>
  <c r="O4" i="1"/>
  <c r="O8" i="1"/>
  <c r="O9" i="1"/>
  <c r="T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7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11" i="12" l="1"/>
  <c r="T11" i="12"/>
  <c r="B13" i="11"/>
  <c r="A12" i="11"/>
  <c r="T10" i="11"/>
  <c r="O10" i="11"/>
  <c r="J10" i="11"/>
  <c r="T5" i="1"/>
  <c r="T6" i="1"/>
  <c r="O6" i="1"/>
  <c r="B10" i="1"/>
  <c r="B11" i="1" s="1"/>
  <c r="T9" i="1"/>
  <c r="A13" i="11" l="1"/>
  <c r="J11" i="11"/>
  <c r="T11" i="11"/>
  <c r="O11" i="11"/>
  <c r="B14" i="11"/>
  <c r="A14" i="11" s="1"/>
  <c r="A10" i="1"/>
  <c r="A11" i="1"/>
  <c r="B12" i="1"/>
  <c r="T12" i="11" l="1"/>
  <c r="O12" i="11"/>
  <c r="J12" i="11"/>
  <c r="B13" i="1"/>
  <c r="A13" i="1" s="1"/>
  <c r="A12" i="1"/>
  <c r="W2" i="1"/>
  <c r="V2" i="1"/>
  <c r="U2" i="1"/>
  <c r="T13" i="11" l="1"/>
  <c r="O13" i="11"/>
  <c r="J13" i="11"/>
  <c r="B14" i="1"/>
  <c r="A14" i="1" s="1"/>
  <c r="O14" i="11" l="1"/>
  <c r="J14" i="11"/>
  <c r="T14" i="11"/>
</calcChain>
</file>

<file path=xl/sharedStrings.xml><?xml version="1.0" encoding="utf-8"?>
<sst xmlns="http://schemas.openxmlformats.org/spreadsheetml/2006/main" count="408" uniqueCount="31">
  <si>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</si>
  <si>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</si>
  <si>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</si>
  <si>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</si>
  <si>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</si>
  <si>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</si>
  <si>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</si>
  <si>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</si>
  <si>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</si>
  <si>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</si>
  <si>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</si>
  <si>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</si>
  <si>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</si>
  <si>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</si>
  <si>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</si>
  <si>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</si>
  <si>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</si>
  <si>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</si>
  <si>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</si>
  <si>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</si>
  <si>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</si>
  <si>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</si>
  <si>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</si>
  <si>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</si>
  <si>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</si>
  <si>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ロン</t>
  </si>
  <si>
    <t>放銃</t>
  </si>
  <si>
    <t>流局</t>
  </si>
  <si>
    <t>ツモ</t>
  </si>
  <si>
    <t>ツモ支払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</si>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</sst>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14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7" t="s">
        <v>0</v>
      </c>
      <c r="B1" s="49" t="s">
        <v>2</v>
      </c>
      <c r="C1" s="49" t="s">
        <v>1</v>
      </c>
      <c r="D1" s="49" t="s">
        <v>6</v>
      </c>
      <c r="E1" s="51" t="s">
        <v>3</v>
      </c>
      <c r="F1" s="43" t="s">
        <v>20</v>
      </c>
      <c r="G1" s="44"/>
      <c r="H1" s="44"/>
      <c r="I1" s="45"/>
      <c r="J1" s="46"/>
      <c r="K1" s="43" t="s">
        <v>22</v>
      </c>
      <c r="L1" s="44"/>
      <c r="M1" s="44"/>
      <c r="N1" s="45"/>
      <c r="O1" s="46"/>
      <c r="P1" s="43" t="s">
        <v>24</v>
      </c>
      <c r="Q1" s="44"/>
      <c r="R1" s="44"/>
      <c r="S1" s="45"/>
      <c r="T1" s="46"/>
      <c r="U1" s="43" t="s">
        <v>8</v>
      </c>
      <c r="V1" s="44"/>
      <c r="W1" s="46"/>
    </row>
    <row r="2" spans="1:23" x14ac:dyDescent="0.4">
      <c r="A2" s="48"/>
      <c r="B2" s="50"/>
      <c r="C2" s="50"/>
      <c r="D2" s="50"/>
      <c r="E2" s="52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F1</f>
        <v>だいち</v>
      </c>
      <c r="V2" s="21" t="str">
        <f>K1</f>
        <v>りくと</v>
      </c>
      <c r="W2" s="22" t="str">
        <f>P1</f>
        <v>いっしー</v>
      </c>
    </row>
    <row r="3" spans="1:23" x14ac:dyDescent="0.4">
      <c r="A3" s="16"/>
      <c r="B3" s="25"/>
      <c r="C3" s="25"/>
      <c r="D3" s="25"/>
      <c r="E3" s="4"/>
      <c r="F3" s="9"/>
      <c r="G3" s="31"/>
      <c r="H3" s="31"/>
      <c r="I3" s="32"/>
      <c r="J3" s="28">
        <v>35000</v>
      </c>
      <c r="K3" s="9"/>
      <c r="L3" s="31"/>
      <c r="M3" s="31"/>
      <c r="N3" s="32"/>
      <c r="O3" s="28">
        <v>35000</v>
      </c>
      <c r="P3" s="9"/>
      <c r="Q3" s="31"/>
      <c r="R3" s="31"/>
      <c r="S3" s="32"/>
      <c r="T3" s="28">
        <v>35000</v>
      </c>
      <c r="U3" s="53">
        <f t="shared" ref="U3:U30" si="0">IF($J3="","",ROUND(($J3-$J$3)/1000,1))</f>
        <v>0</v>
      </c>
      <c r="V3" s="54">
        <f t="shared" ref="V3:V30" si="1">IF($O3="","",ROUND(($O3-$O$3)/1000,1))</f>
        <v>0</v>
      </c>
      <c r="W3" s="55">
        <f t="shared" ref="W3:W30" si="2">IF($T3="","",ROUND(($T3-$T$3)/1000,1))</f>
        <v>0</v>
      </c>
    </row>
    <row r="4" spans="1:23" x14ac:dyDescent="0.4">
      <c r="A4" s="17" t="s">
        <v>11</v>
      </c>
      <c r="B4" s="26">
        <v>1</v>
      </c>
      <c r="C4" s="26">
        <v>0</v>
      </c>
      <c r="D4" s="26">
        <v>0</v>
      </c>
      <c r="E4" s="5" t="s">
        <v>21</v>
      </c>
      <c r="F4" s="10" t="s">
        <v>26</v>
      </c>
      <c r="G4" s="11">
        <v>-1000</v>
      </c>
      <c r="H4" s="11"/>
      <c r="I4" s="12">
        <f>IF(OR(F4="ロン",F4="ツモ"),$C4*1000,IF(F4="放銃",$C4*-1000,IF(F4="ツモ支払",$C4*-500,"")))</f>
        <v>0</v>
      </c>
      <c r="J4" s="29">
        <f t="shared" ref="J4:J30" si="3">IF(COUNTA($F4,$K4,$P4)&gt;0,J3+SUM(G4:I4),"")</f>
        <v>34000</v>
      </c>
      <c r="K4" s="10"/>
      <c r="L4" s="11"/>
      <c r="M4" s="11"/>
      <c r="N4" s="12" t="str">
        <f>IF(OR(K4="ロン",K4="ツモ"),$C4*1000,IF(K4="放銃",$C4*-1000,IF(K4="ツモ支払",$C4*-500,"")))</f>
        <v/>
      </c>
      <c r="O4" s="29">
        <f t="shared" ref="O4:O30" si="4">IF(COUNTA($F4,$K4,$P4)&gt;0,O3+SUM(L4:N4),"")</f>
        <v>35000</v>
      </c>
      <c r="P4" s="10" t="s">
        <v>25</v>
      </c>
      <c r="Q4" s="11">
        <v>1000</v>
      </c>
      <c r="R4" s="11"/>
      <c r="S4" s="12">
        <f>IF(OR(P4="ロン",P4="ツモ"),$C4*1000,IF(P4="放銃",$C4*-1000,IF(P4="ツモ支払",$C4*-500,"")))</f>
        <v>0</v>
      </c>
      <c r="T4" s="29">
        <f t="shared" ref="T4:T30" si="5">IF(COUNTA($F4,$K4,$P4)&gt;0,T3+SUM(Q4:S4),"")</f>
        <v>36000</v>
      </c>
      <c r="U4" s="56">
        <f t="shared" si="0"/>
        <v>-1</v>
      </c>
      <c r="V4" s="57">
        <f t="shared" si="1"/>
        <v>0</v>
      </c>
      <c r="W4" s="58">
        <f t="shared" si="2"/>
        <v>1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6">
        <f>IF($E5="","",IF($E4=$E5,B4,IF(B4=3,1,B4+1)))</f>
        <v>2</v>
      </c>
      <c r="C5" s="26">
        <f>IF($E5="","",IF($E4=$E5,C4+1,0))</f>
        <v>0</v>
      </c>
      <c r="D5" s="26">
        <f>IF($E5="","",IF(OR(F4="流局",K4="流局",P4="流局",F4="チョンボ",K4="チョンボ",P4="チョンボ"),D4+($H4+$M4+$R4)/-1000,0))</f>
        <v>0</v>
      </c>
      <c r="E5" s="5" t="s">
        <v>23</v>
      </c>
      <c r="F5" s="10"/>
      <c r="G5" s="11"/>
      <c r="H5" s="11"/>
      <c r="I5" s="12" t="str">
        <f>IF(OR(F5="ロン",F5="ツモ"),$C5*1000,IF(F5="放銃",$C5*-1000,IF(F5="ツモ支払",$C5*-500,"")))</f>
        <v/>
      </c>
      <c r="J5" s="29">
        <f t="shared" si="3"/>
        <v>34000</v>
      </c>
      <c r="K5" s="10" t="s">
        <v>26</v>
      </c>
      <c r="L5" s="11">
        <v>-24000</v>
      </c>
      <c r="M5" s="11"/>
      <c r="N5" s="12">
        <f t="shared" ref="N5:N30" si="6">IF(OR(K5="ロン",K5="ツモ"),$C5*1000,IF(K5="放銃",$C5*-1000,IF(K5="ツモ支払",$C5*-500,"")))</f>
        <v>0</v>
      </c>
      <c r="O5" s="29">
        <f t="shared" si="4"/>
        <v>11000</v>
      </c>
      <c r="P5" s="10" t="s">
        <v>25</v>
      </c>
      <c r="Q5" s="11">
        <v>24000</v>
      </c>
      <c r="R5" s="11"/>
      <c r="S5" s="12">
        <f t="shared" ref="S5:S30" si="7">IF(OR(P5="ロン",P5="ツモ"),$C5*1000,IF(P5="放銃",$C5*-1000,IF(P5="ツモ支払",$C5*-500,"")))</f>
        <v>0</v>
      </c>
      <c r="T5" s="29">
        <f t="shared" si="5"/>
        <v>60000</v>
      </c>
      <c r="U5" s="56">
        <f t="shared" si="0"/>
        <v>-1</v>
      </c>
      <c r="V5" s="57">
        <f t="shared" si="1"/>
        <v>-24</v>
      </c>
      <c r="W5" s="58">
        <f t="shared" si="2"/>
        <v>25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6">
        <f t="shared" ref="B6:B30" si="9">IF($E6="","",IF($E5=$E6,B5,IF(B5=3,1,B5+1)))</f>
        <v>2</v>
      </c>
      <c r="C6" s="26">
        <f t="shared" ref="C6:C30" si="10">IF($E6="","",IF($E5=$E6,C5+1,0))</f>
        <v>1</v>
      </c>
      <c r="D6" s="26">
        <f t="shared" ref="D6:D30" si="11">IF($E6="","",IF(OR(F5="流局",K5="流局",P5="流局",F5="チョンボ",K5="チョンボ",P5="チョンボ"),D5+($H5+$M5+$R5)/-1000,0))</f>
        <v>0</v>
      </c>
      <c r="E6" s="5" t="s">
        <v>23</v>
      </c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29">
        <f t="shared" si="3"/>
        <v>34000</v>
      </c>
      <c r="K6" s="10" t="s">
        <v>25</v>
      </c>
      <c r="L6" s="11">
        <v>8000</v>
      </c>
      <c r="M6" s="11"/>
      <c r="N6" s="12">
        <f t="shared" si="6"/>
        <v>1000</v>
      </c>
      <c r="O6" s="29">
        <f t="shared" si="4"/>
        <v>20000</v>
      </c>
      <c r="P6" s="10" t="s">
        <v>26</v>
      </c>
      <c r="Q6" s="11">
        <v>-8000</v>
      </c>
      <c r="R6" s="11"/>
      <c r="S6" s="12">
        <f t="shared" si="7"/>
        <v>-1000</v>
      </c>
      <c r="T6" s="29">
        <f t="shared" si="5"/>
        <v>51000</v>
      </c>
      <c r="U6" s="56">
        <f t="shared" si="0"/>
        <v>-1</v>
      </c>
      <c r="V6" s="57">
        <f t="shared" si="1"/>
        <v>-15</v>
      </c>
      <c r="W6" s="58">
        <f t="shared" si="2"/>
        <v>16</v>
      </c>
    </row>
    <row r="7" spans="1:23" x14ac:dyDescent="0.4">
      <c r="A7" s="17" t="str">
        <f t="shared" si="8"/>
        <v>東</v>
      </c>
      <c r="B7" s="26">
        <f t="shared" si="9"/>
        <v>3</v>
      </c>
      <c r="C7" s="26">
        <f t="shared" si="10"/>
        <v>0</v>
      </c>
      <c r="D7" s="26">
        <f t="shared" si="11"/>
        <v>0</v>
      </c>
      <c r="E7" s="5" t="s">
        <v>19</v>
      </c>
      <c r="F7" s="10"/>
      <c r="G7" s="11"/>
      <c r="H7" s="11"/>
      <c r="I7" s="12" t="str">
        <f t="shared" si="12"/>
        <v/>
      </c>
      <c r="J7" s="29">
        <f t="shared" si="3"/>
        <v>34000</v>
      </c>
      <c r="K7" s="10" t="s">
        <v>26</v>
      </c>
      <c r="L7" s="11">
        <v>-1000</v>
      </c>
      <c r="M7" s="11"/>
      <c r="N7" s="12">
        <f t="shared" si="6"/>
        <v>0</v>
      </c>
      <c r="O7" s="29">
        <f t="shared" si="4"/>
        <v>19000</v>
      </c>
      <c r="P7" s="10" t="s">
        <v>25</v>
      </c>
      <c r="Q7" s="11">
        <v>1000</v>
      </c>
      <c r="R7" s="11"/>
      <c r="S7" s="12">
        <f t="shared" si="7"/>
        <v>0</v>
      </c>
      <c r="T7" s="29">
        <f t="shared" si="5"/>
        <v>52000</v>
      </c>
      <c r="U7" s="56">
        <f t="shared" si="0"/>
        <v>-1</v>
      </c>
      <c r="V7" s="57">
        <f t="shared" si="1"/>
        <v>-16</v>
      </c>
      <c r="W7" s="58">
        <f t="shared" si="2"/>
        <v>17</v>
      </c>
    </row>
    <row r="8" spans="1:23" x14ac:dyDescent="0.4">
      <c r="A8" s="17" t="str">
        <f t="shared" si="8"/>
        <v>南</v>
      </c>
      <c r="B8" s="26">
        <f t="shared" si="9"/>
        <v>1</v>
      </c>
      <c r="C8" s="26">
        <f t="shared" si="10"/>
        <v>0</v>
      </c>
      <c r="D8" s="26">
        <f t="shared" si="11"/>
        <v>0</v>
      </c>
      <c r="E8" s="5" t="s">
        <v>21</v>
      </c>
      <c r="F8" s="10" t="s">
        <v>27</v>
      </c>
      <c r="G8" s="11">
        <v>-3000</v>
      </c>
      <c r="H8" s="11"/>
      <c r="I8" s="12" t="str">
        <f t="shared" si="12"/>
        <v/>
      </c>
      <c r="J8" s="29">
        <f t="shared" si="3"/>
        <v>31000</v>
      </c>
      <c r="K8" s="10" t="s">
        <v>27</v>
      </c>
      <c r="L8" s="11">
        <v>1500</v>
      </c>
      <c r="M8" s="11">
        <v>-1000</v>
      </c>
      <c r="N8" s="12" t="str">
        <f t="shared" si="6"/>
        <v/>
      </c>
      <c r="O8" s="29">
        <f t="shared" si="4"/>
        <v>19500</v>
      </c>
      <c r="P8" s="10" t="s">
        <v>27</v>
      </c>
      <c r="Q8" s="11">
        <v>1500</v>
      </c>
      <c r="R8" s="11">
        <v>-1000</v>
      </c>
      <c r="S8" s="12" t="str">
        <f t="shared" si="7"/>
        <v/>
      </c>
      <c r="T8" s="29">
        <f t="shared" si="5"/>
        <v>52500</v>
      </c>
      <c r="U8" s="56">
        <f t="shared" si="0"/>
        <v>-4</v>
      </c>
      <c r="V8" s="57">
        <f t="shared" si="1"/>
        <v>-15.5</v>
      </c>
      <c r="W8" s="58">
        <f t="shared" si="2"/>
        <v>17.5</v>
      </c>
    </row>
    <row r="9" spans="1:23" x14ac:dyDescent="0.4">
      <c r="A9" s="17" t="str">
        <f t="shared" si="8"/>
        <v>南</v>
      </c>
      <c r="B9" s="26">
        <f t="shared" si="9"/>
        <v>1</v>
      </c>
      <c r="C9" s="26">
        <f t="shared" si="10"/>
        <v>1</v>
      </c>
      <c r="D9" s="26">
        <f t="shared" si="11"/>
        <v>2</v>
      </c>
      <c r="E9" s="5" t="s">
        <v>21</v>
      </c>
      <c r="F9" s="10"/>
      <c r="G9" s="11"/>
      <c r="H9" s="11"/>
      <c r="I9" s="12" t="str">
        <f t="shared" si="12"/>
        <v/>
      </c>
      <c r="J9" s="29">
        <f t="shared" si="3"/>
        <v>31000</v>
      </c>
      <c r="K9" s="10" t="s">
        <v>25</v>
      </c>
      <c r="L9" s="11">
        <v>12000</v>
      </c>
      <c r="M9" s="11">
        <v>2000</v>
      </c>
      <c r="N9" s="12">
        <f t="shared" si="6"/>
        <v>1000</v>
      </c>
      <c r="O9" s="29">
        <f t="shared" si="4"/>
        <v>34500</v>
      </c>
      <c r="P9" s="10" t="s">
        <v>26</v>
      </c>
      <c r="Q9" s="11">
        <v>-12000</v>
      </c>
      <c r="R9" s="11"/>
      <c r="S9" s="12">
        <f t="shared" si="7"/>
        <v>-1000</v>
      </c>
      <c r="T9" s="29">
        <f t="shared" si="5"/>
        <v>39500</v>
      </c>
      <c r="U9" s="56">
        <f t="shared" si="0"/>
        <v>-4</v>
      </c>
      <c r="V9" s="57">
        <f t="shared" si="1"/>
        <v>-0.5</v>
      </c>
      <c r="W9" s="58">
        <f t="shared" si="2"/>
        <v>4.5</v>
      </c>
    </row>
    <row r="10" spans="1:23" x14ac:dyDescent="0.4">
      <c r="A10" s="17" t="str">
        <f t="shared" si="8"/>
        <v>南</v>
      </c>
      <c r="B10" s="26">
        <f t="shared" si="9"/>
        <v>1</v>
      </c>
      <c r="C10" s="26">
        <f t="shared" si="10"/>
        <v>2</v>
      </c>
      <c r="D10" s="26">
        <f t="shared" si="11"/>
        <v>0</v>
      </c>
      <c r="E10" s="5" t="s">
        <v>21</v>
      </c>
      <c r="F10" s="10"/>
      <c r="G10" s="11"/>
      <c r="H10" s="11"/>
      <c r="I10" s="12" t="str">
        <f t="shared" si="12"/>
        <v/>
      </c>
      <c r="J10" s="29">
        <f t="shared" si="3"/>
        <v>31000</v>
      </c>
      <c r="K10" s="10" t="s">
        <v>26</v>
      </c>
      <c r="L10" s="11">
        <v>-8000</v>
      </c>
      <c r="M10" s="11"/>
      <c r="N10" s="12">
        <f t="shared" si="6"/>
        <v>-2000</v>
      </c>
      <c r="O10" s="29">
        <f t="shared" si="4"/>
        <v>24500</v>
      </c>
      <c r="P10" s="10" t="s">
        <v>25</v>
      </c>
      <c r="Q10" s="11">
        <v>8000</v>
      </c>
      <c r="R10" s="11"/>
      <c r="S10" s="12">
        <f t="shared" si="7"/>
        <v>2000</v>
      </c>
      <c r="T10" s="29">
        <f t="shared" si="5"/>
        <v>49500</v>
      </c>
      <c r="U10" s="56">
        <f t="shared" si="0"/>
        <v>-4</v>
      </c>
      <c r="V10" s="57">
        <f t="shared" si="1"/>
        <v>-10.5</v>
      </c>
      <c r="W10" s="58">
        <f t="shared" si="2"/>
        <v>14.5</v>
      </c>
    </row>
    <row r="11" spans="1:23" x14ac:dyDescent="0.4">
      <c r="A11" s="17" t="str">
        <f t="shared" si="8"/>
        <v>南</v>
      </c>
      <c r="B11" s="26">
        <f t="shared" si="9"/>
        <v>2</v>
      </c>
      <c r="C11" s="26">
        <f t="shared" si="10"/>
        <v>0</v>
      </c>
      <c r="D11" s="26">
        <f t="shared" si="11"/>
        <v>0</v>
      </c>
      <c r="E11" s="5" t="s">
        <v>23</v>
      </c>
      <c r="F11" s="10" t="s">
        <v>26</v>
      </c>
      <c r="G11" s="11">
        <v>-12000</v>
      </c>
      <c r="H11" s="11"/>
      <c r="I11" s="12">
        <f t="shared" si="12"/>
        <v>0</v>
      </c>
      <c r="J11" s="29">
        <f t="shared" si="3"/>
        <v>19000</v>
      </c>
      <c r="K11" s="10"/>
      <c r="L11" s="11"/>
      <c r="M11" s="11"/>
      <c r="N11" s="12" t="str">
        <f t="shared" si="6"/>
        <v/>
      </c>
      <c r="O11" s="29">
        <f t="shared" si="4"/>
        <v>24500</v>
      </c>
      <c r="P11" s="10" t="s">
        <v>25</v>
      </c>
      <c r="Q11" s="11">
        <v>12000</v>
      </c>
      <c r="R11" s="11"/>
      <c r="S11" s="12">
        <f t="shared" si="7"/>
        <v>0</v>
      </c>
      <c r="T11" s="29">
        <f t="shared" si="5"/>
        <v>61500</v>
      </c>
      <c r="U11" s="56">
        <f t="shared" si="0"/>
        <v>-16</v>
      </c>
      <c r="V11" s="57">
        <f t="shared" si="1"/>
        <v>-10.5</v>
      </c>
      <c r="W11" s="58">
        <f t="shared" si="2"/>
        <v>26.5</v>
      </c>
    </row>
    <row r="12" spans="1:23" x14ac:dyDescent="0.4">
      <c r="A12" s="17" t="str">
        <f t="shared" si="8"/>
        <v>南</v>
      </c>
      <c r="B12" s="26">
        <f t="shared" si="9"/>
        <v>2</v>
      </c>
      <c r="C12" s="26">
        <f t="shared" si="10"/>
        <v>1</v>
      </c>
      <c r="D12" s="26">
        <f t="shared" si="11"/>
        <v>0</v>
      </c>
      <c r="E12" s="5" t="s">
        <v>23</v>
      </c>
      <c r="F12" s="10" t="s">
        <v>29</v>
      </c>
      <c r="G12" s="11">
        <v>-9000</v>
      </c>
      <c r="H12" s="11"/>
      <c r="I12" s="12">
        <f t="shared" si="12"/>
        <v>-500</v>
      </c>
      <c r="J12" s="29">
        <f t="shared" si="3"/>
        <v>9500</v>
      </c>
      <c r="K12" s="10" t="s">
        <v>29</v>
      </c>
      <c r="L12" s="11">
        <v>-9000</v>
      </c>
      <c r="M12" s="11"/>
      <c r="N12" s="12">
        <f t="shared" si="6"/>
        <v>-500</v>
      </c>
      <c r="O12" s="29">
        <f t="shared" si="4"/>
        <v>15000</v>
      </c>
      <c r="P12" s="10" t="s">
        <v>28</v>
      </c>
      <c r="Q12" s="11">
        <v>18000</v>
      </c>
      <c r="R12" s="11"/>
      <c r="S12" s="12">
        <f t="shared" si="7"/>
        <v>1000</v>
      </c>
      <c r="T12" s="29">
        <f t="shared" si="5"/>
        <v>80500</v>
      </c>
      <c r="U12" s="56">
        <f t="shared" si="0"/>
        <v>-25.5</v>
      </c>
      <c r="V12" s="57">
        <f t="shared" si="1"/>
        <v>-20</v>
      </c>
      <c r="W12" s="58">
        <f t="shared" si="2"/>
        <v>45.5</v>
      </c>
    </row>
    <row r="13" spans="1:23" x14ac:dyDescent="0.4">
      <c r="A13" s="17" t="str">
        <f t="shared" si="8"/>
        <v>南</v>
      </c>
      <c r="B13" s="26">
        <f t="shared" si="9"/>
        <v>2</v>
      </c>
      <c r="C13" s="26">
        <f t="shared" si="10"/>
        <v>2</v>
      </c>
      <c r="D13" s="26">
        <f t="shared" si="11"/>
        <v>0</v>
      </c>
      <c r="E13" s="5" t="s">
        <v>23</v>
      </c>
      <c r="F13" s="10"/>
      <c r="G13" s="11"/>
      <c r="H13" s="11"/>
      <c r="I13" s="12" t="str">
        <f t="shared" si="12"/>
        <v/>
      </c>
      <c r="J13" s="29">
        <f t="shared" si="3"/>
        <v>9500</v>
      </c>
      <c r="K13" s="10" t="s">
        <v>26</v>
      </c>
      <c r="L13" s="11">
        <v>-12000</v>
      </c>
      <c r="M13" s="11"/>
      <c r="N13" s="12">
        <f t="shared" si="6"/>
        <v>-2000</v>
      </c>
      <c r="O13" s="29">
        <f t="shared" si="4"/>
        <v>1000</v>
      </c>
      <c r="P13" s="10" t="s">
        <v>25</v>
      </c>
      <c r="Q13" s="11">
        <v>12000</v>
      </c>
      <c r="R13" s="11"/>
      <c r="S13" s="12">
        <f t="shared" si="7"/>
        <v>2000</v>
      </c>
      <c r="T13" s="29">
        <f t="shared" si="5"/>
        <v>94500</v>
      </c>
      <c r="U13" s="56">
        <f t="shared" si="0"/>
        <v>-25.5</v>
      </c>
      <c r="V13" s="57">
        <f t="shared" si="1"/>
        <v>-34</v>
      </c>
      <c r="W13" s="58">
        <f t="shared" si="2"/>
        <v>59.5</v>
      </c>
    </row>
    <row r="14" spans="1:23" x14ac:dyDescent="0.4">
      <c r="A14" s="17" t="str">
        <f t="shared" si="8"/>
        <v>南</v>
      </c>
      <c r="B14" s="26">
        <f t="shared" si="9"/>
        <v>2</v>
      </c>
      <c r="C14" s="26">
        <f t="shared" si="10"/>
        <v>3</v>
      </c>
      <c r="D14" s="26">
        <f t="shared" si="11"/>
        <v>0</v>
      </c>
      <c r="E14" s="5" t="s">
        <v>23</v>
      </c>
      <c r="F14" s="10"/>
      <c r="G14" s="11"/>
      <c r="H14" s="11"/>
      <c r="I14" s="12" t="str">
        <f t="shared" si="12"/>
        <v/>
      </c>
      <c r="J14" s="29">
        <f t="shared" si="3"/>
        <v>9500</v>
      </c>
      <c r="K14" s="10" t="s">
        <v>26</v>
      </c>
      <c r="L14" s="11">
        <v>-2900</v>
      </c>
      <c r="M14" s="11"/>
      <c r="N14" s="12">
        <f t="shared" si="6"/>
        <v>-3000</v>
      </c>
      <c r="O14" s="29">
        <f t="shared" si="4"/>
        <v>-4900</v>
      </c>
      <c r="P14" s="10" t="s">
        <v>25</v>
      </c>
      <c r="Q14" s="11">
        <v>2900</v>
      </c>
      <c r="R14" s="11"/>
      <c r="S14" s="12">
        <f t="shared" si="7"/>
        <v>3000</v>
      </c>
      <c r="T14" s="29">
        <f t="shared" si="5"/>
        <v>100400</v>
      </c>
      <c r="U14" s="56">
        <f t="shared" si="0"/>
        <v>-25.5</v>
      </c>
      <c r="V14" s="57">
        <f t="shared" si="1"/>
        <v>-39.9</v>
      </c>
      <c r="W14" s="58">
        <f t="shared" si="2"/>
        <v>65.400000000000006</v>
      </c>
    </row>
    <row r="15" spans="1:23" x14ac:dyDescent="0.4">
      <c r="A15" s="17" t="str">
        <f t="shared" si="8"/>
        <v/>
      </c>
      <c r="B15" s="26" t="str">
        <f t="shared" si="9"/>
        <v/>
      </c>
      <c r="C15" s="26" t="str">
        <f t="shared" si="10"/>
        <v/>
      </c>
      <c r="D15" s="26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9" t="str">
        <f t="shared" si="3"/>
        <v/>
      </c>
      <c r="K15" s="10"/>
      <c r="L15" s="11"/>
      <c r="M15" s="11"/>
      <c r="N15" s="12" t="str">
        <f t="shared" si="6"/>
        <v/>
      </c>
      <c r="O15" s="29" t="str">
        <f t="shared" si="4"/>
        <v/>
      </c>
      <c r="P15" s="10"/>
      <c r="Q15" s="11"/>
      <c r="R15" s="11"/>
      <c r="S15" s="12" t="str">
        <f t="shared" si="7"/>
        <v/>
      </c>
      <c r="T15" s="29" t="str">
        <f t="shared" si="5"/>
        <v/>
      </c>
      <c r="U15" s="56" t="str">
        <f t="shared" si="0"/>
        <v/>
      </c>
      <c r="V15" s="57" t="str">
        <f t="shared" si="1"/>
        <v/>
      </c>
      <c r="W15" s="58" t="str">
        <f t="shared" si="2"/>
        <v/>
      </c>
    </row>
    <row r="16" spans="1:23" x14ac:dyDescent="0.4">
      <c r="A16" s="17" t="str">
        <f t="shared" si="8"/>
        <v/>
      </c>
      <c r="B16" s="26" t="str">
        <f t="shared" si="9"/>
        <v/>
      </c>
      <c r="C16" s="26" t="str">
        <f t="shared" si="10"/>
        <v/>
      </c>
      <c r="D16" s="26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9" t="str">
        <f t="shared" si="3"/>
        <v/>
      </c>
      <c r="K16" s="10"/>
      <c r="L16" s="11"/>
      <c r="M16" s="11"/>
      <c r="N16" s="12" t="str">
        <f t="shared" si="6"/>
        <v/>
      </c>
      <c r="O16" s="29" t="str">
        <f t="shared" si="4"/>
        <v/>
      </c>
      <c r="P16" s="10"/>
      <c r="Q16" s="11"/>
      <c r="R16" s="11"/>
      <c r="S16" s="12" t="str">
        <f t="shared" si="7"/>
        <v/>
      </c>
      <c r="T16" s="29" t="str">
        <f t="shared" si="5"/>
        <v/>
      </c>
      <c r="U16" s="56" t="str">
        <f t="shared" si="0"/>
        <v/>
      </c>
      <c r="V16" s="57" t="str">
        <f t="shared" si="1"/>
        <v/>
      </c>
      <c r="W16" s="58" t="str">
        <f t="shared" si="2"/>
        <v/>
      </c>
    </row>
    <row r="17" spans="1:23" x14ac:dyDescent="0.4">
      <c r="A17" s="17" t="str">
        <f t="shared" si="8"/>
        <v/>
      </c>
      <c r="B17" s="26" t="str">
        <f t="shared" si="9"/>
        <v/>
      </c>
      <c r="C17" s="26" t="str">
        <f t="shared" si="10"/>
        <v/>
      </c>
      <c r="D17" s="26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9" t="str">
        <f t="shared" si="3"/>
        <v/>
      </c>
      <c r="K17" s="10"/>
      <c r="L17" s="11"/>
      <c r="M17" s="11"/>
      <c r="N17" s="12" t="str">
        <f t="shared" si="6"/>
        <v/>
      </c>
      <c r="O17" s="29" t="str">
        <f t="shared" si="4"/>
        <v/>
      </c>
      <c r="P17" s="10"/>
      <c r="Q17" s="11"/>
      <c r="R17" s="11"/>
      <c r="S17" s="12" t="str">
        <f t="shared" si="7"/>
        <v/>
      </c>
      <c r="T17" s="29" t="str">
        <f t="shared" si="5"/>
        <v/>
      </c>
      <c r="U17" s="56" t="str">
        <f t="shared" si="0"/>
        <v/>
      </c>
      <c r="V17" s="57" t="str">
        <f t="shared" si="1"/>
        <v/>
      </c>
      <c r="W17" s="58" t="str">
        <f t="shared" si="2"/>
        <v/>
      </c>
    </row>
    <row r="18" spans="1:23" x14ac:dyDescent="0.4">
      <c r="A18" s="17" t="str">
        <f t="shared" si="8"/>
        <v/>
      </c>
      <c r="B18" s="26" t="str">
        <f t="shared" si="9"/>
        <v/>
      </c>
      <c r="C18" s="26" t="str">
        <f t="shared" si="10"/>
        <v/>
      </c>
      <c r="D18" s="26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9" t="str">
        <f t="shared" si="3"/>
        <v/>
      </c>
      <c r="K18" s="10"/>
      <c r="L18" s="11"/>
      <c r="M18" s="11"/>
      <c r="N18" s="12" t="str">
        <f t="shared" si="6"/>
        <v/>
      </c>
      <c r="O18" s="29" t="str">
        <f t="shared" si="4"/>
        <v/>
      </c>
      <c r="P18" s="10"/>
      <c r="Q18" s="11"/>
      <c r="R18" s="11"/>
      <c r="S18" s="12" t="str">
        <f t="shared" si="7"/>
        <v/>
      </c>
      <c r="T18" s="29" t="str">
        <f t="shared" si="5"/>
        <v/>
      </c>
      <c r="U18" s="56" t="str">
        <f t="shared" si="0"/>
        <v/>
      </c>
      <c r="V18" s="57" t="str">
        <f t="shared" si="1"/>
        <v/>
      </c>
      <c r="W18" s="58" t="str">
        <f t="shared" si="2"/>
        <v/>
      </c>
    </row>
    <row r="19" spans="1:23" x14ac:dyDescent="0.4">
      <c r="A19" s="17" t="str">
        <f t="shared" si="8"/>
        <v/>
      </c>
      <c r="B19" s="26" t="str">
        <f t="shared" si="9"/>
        <v/>
      </c>
      <c r="C19" s="26" t="str">
        <f t="shared" si="10"/>
        <v/>
      </c>
      <c r="D19" s="26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9" t="str">
        <f t="shared" si="3"/>
        <v/>
      </c>
      <c r="K19" s="10"/>
      <c r="L19" s="11"/>
      <c r="M19" s="11"/>
      <c r="N19" s="12" t="str">
        <f t="shared" si="6"/>
        <v/>
      </c>
      <c r="O19" s="29" t="str">
        <f t="shared" si="4"/>
        <v/>
      </c>
      <c r="P19" s="10"/>
      <c r="Q19" s="11"/>
      <c r="R19" s="11"/>
      <c r="S19" s="12" t="str">
        <f t="shared" si="7"/>
        <v/>
      </c>
      <c r="T19" s="29" t="str">
        <f t="shared" si="5"/>
        <v/>
      </c>
      <c r="U19" s="56" t="str">
        <f t="shared" si="0"/>
        <v/>
      </c>
      <c r="V19" s="57" t="str">
        <f t="shared" si="1"/>
        <v/>
      </c>
      <c r="W19" s="58" t="str">
        <f t="shared" si="2"/>
        <v/>
      </c>
    </row>
    <row r="20" spans="1:23" x14ac:dyDescent="0.4">
      <c r="A20" s="17" t="str">
        <f t="shared" si="8"/>
        <v/>
      </c>
      <c r="B20" s="26" t="str">
        <f t="shared" si="9"/>
        <v/>
      </c>
      <c r="C20" s="26" t="str">
        <f t="shared" si="10"/>
        <v/>
      </c>
      <c r="D20" s="26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9" t="str">
        <f t="shared" si="3"/>
        <v/>
      </c>
      <c r="K20" s="10"/>
      <c r="L20" s="11"/>
      <c r="M20" s="11"/>
      <c r="N20" s="12" t="str">
        <f t="shared" si="6"/>
        <v/>
      </c>
      <c r="O20" s="29" t="str">
        <f t="shared" si="4"/>
        <v/>
      </c>
      <c r="P20" s="10"/>
      <c r="Q20" s="11"/>
      <c r="R20" s="11"/>
      <c r="S20" s="12" t="str">
        <f t="shared" si="7"/>
        <v/>
      </c>
      <c r="T20" s="29" t="str">
        <f t="shared" si="5"/>
        <v/>
      </c>
      <c r="U20" s="56" t="str">
        <f t="shared" si="0"/>
        <v/>
      </c>
      <c r="V20" s="57" t="str">
        <f t="shared" si="1"/>
        <v/>
      </c>
      <c r="W20" s="58" t="str">
        <f t="shared" si="2"/>
        <v/>
      </c>
    </row>
    <row r="21" spans="1:23" x14ac:dyDescent="0.4">
      <c r="A21" s="17" t="str">
        <f t="shared" si="8"/>
        <v/>
      </c>
      <c r="B21" s="26" t="str">
        <f t="shared" si="9"/>
        <v/>
      </c>
      <c r="C21" s="26" t="str">
        <f t="shared" si="10"/>
        <v/>
      </c>
      <c r="D21" s="26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9" t="str">
        <f t="shared" si="3"/>
        <v/>
      </c>
      <c r="K21" s="10"/>
      <c r="L21" s="11"/>
      <c r="M21" s="11"/>
      <c r="N21" s="12" t="str">
        <f t="shared" si="6"/>
        <v/>
      </c>
      <c r="O21" s="29" t="str">
        <f t="shared" si="4"/>
        <v/>
      </c>
      <c r="P21" s="10"/>
      <c r="Q21" s="11"/>
      <c r="R21" s="11"/>
      <c r="S21" s="12" t="str">
        <f t="shared" si="7"/>
        <v/>
      </c>
      <c r="T21" s="29" t="str">
        <f t="shared" si="5"/>
        <v/>
      </c>
      <c r="U21" s="56" t="str">
        <f t="shared" si="0"/>
        <v/>
      </c>
      <c r="V21" s="57" t="str">
        <f t="shared" si="1"/>
        <v/>
      </c>
      <c r="W21" s="58" t="str">
        <f t="shared" si="2"/>
        <v/>
      </c>
    </row>
    <row r="22" spans="1:23" x14ac:dyDescent="0.4">
      <c r="A22" s="17" t="str">
        <f t="shared" si="8"/>
        <v/>
      </c>
      <c r="B22" s="26" t="str">
        <f t="shared" si="9"/>
        <v/>
      </c>
      <c r="C22" s="26" t="str">
        <f t="shared" si="10"/>
        <v/>
      </c>
      <c r="D22" s="26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9" t="str">
        <f t="shared" si="3"/>
        <v/>
      </c>
      <c r="K22" s="10"/>
      <c r="L22" s="11"/>
      <c r="M22" s="11"/>
      <c r="N22" s="12" t="str">
        <f t="shared" si="6"/>
        <v/>
      </c>
      <c r="O22" s="29" t="str">
        <f t="shared" si="4"/>
        <v/>
      </c>
      <c r="P22" s="10"/>
      <c r="Q22" s="11"/>
      <c r="R22" s="11"/>
      <c r="S22" s="12" t="str">
        <f t="shared" si="7"/>
        <v/>
      </c>
      <c r="T22" s="29" t="str">
        <f t="shared" si="5"/>
        <v/>
      </c>
      <c r="U22" s="56" t="str">
        <f t="shared" si="0"/>
        <v/>
      </c>
      <c r="V22" s="57" t="str">
        <f t="shared" si="1"/>
        <v/>
      </c>
      <c r="W22" s="58" t="str">
        <f t="shared" si="2"/>
        <v/>
      </c>
    </row>
    <row r="23" spans="1:23" x14ac:dyDescent="0.4">
      <c r="A23" s="17" t="str">
        <f t="shared" si="8"/>
        <v/>
      </c>
      <c r="B23" s="26" t="str">
        <f t="shared" si="9"/>
        <v/>
      </c>
      <c r="C23" s="26" t="str">
        <f t="shared" si="10"/>
        <v/>
      </c>
      <c r="D23" s="26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9" t="str">
        <f t="shared" si="3"/>
        <v/>
      </c>
      <c r="K23" s="10"/>
      <c r="L23" s="11"/>
      <c r="M23" s="11"/>
      <c r="N23" s="12" t="str">
        <f t="shared" si="6"/>
        <v/>
      </c>
      <c r="O23" s="29" t="str">
        <f t="shared" si="4"/>
        <v/>
      </c>
      <c r="P23" s="10"/>
      <c r="Q23" s="11"/>
      <c r="R23" s="11"/>
      <c r="S23" s="12" t="str">
        <f t="shared" si="7"/>
        <v/>
      </c>
      <c r="T23" s="29" t="str">
        <f t="shared" si="5"/>
        <v/>
      </c>
      <c r="U23" s="56" t="str">
        <f t="shared" si="0"/>
        <v/>
      </c>
      <c r="V23" s="57" t="str">
        <f t="shared" si="1"/>
        <v/>
      </c>
      <c r="W23" s="58" t="str">
        <f t="shared" si="2"/>
        <v/>
      </c>
    </row>
    <row r="24" spans="1:23" x14ac:dyDescent="0.4">
      <c r="A24" s="17" t="str">
        <f t="shared" si="8"/>
        <v/>
      </c>
      <c r="B24" s="26" t="str">
        <f t="shared" si="9"/>
        <v/>
      </c>
      <c r="C24" s="26" t="str">
        <f t="shared" si="10"/>
        <v/>
      </c>
      <c r="D24" s="26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9" t="str">
        <f t="shared" si="3"/>
        <v/>
      </c>
      <c r="K24" s="10"/>
      <c r="L24" s="11"/>
      <c r="M24" s="11"/>
      <c r="N24" s="12" t="str">
        <f t="shared" si="6"/>
        <v/>
      </c>
      <c r="O24" s="29" t="str">
        <f t="shared" si="4"/>
        <v/>
      </c>
      <c r="P24" s="10"/>
      <c r="Q24" s="11"/>
      <c r="R24" s="11"/>
      <c r="S24" s="12" t="str">
        <f t="shared" si="7"/>
        <v/>
      </c>
      <c r="T24" s="29" t="str">
        <f t="shared" si="5"/>
        <v/>
      </c>
      <c r="U24" s="56" t="str">
        <f t="shared" si="0"/>
        <v/>
      </c>
      <c r="V24" s="57" t="str">
        <f t="shared" si="1"/>
        <v/>
      </c>
      <c r="W24" s="58" t="str">
        <f t="shared" si="2"/>
        <v/>
      </c>
    </row>
    <row r="25" spans="1:23" x14ac:dyDescent="0.4">
      <c r="A25" s="17" t="str">
        <f t="shared" si="8"/>
        <v/>
      </c>
      <c r="B25" s="26" t="str">
        <f t="shared" si="9"/>
        <v/>
      </c>
      <c r="C25" s="26" t="str">
        <f t="shared" si="10"/>
        <v/>
      </c>
      <c r="D25" s="26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9" t="str">
        <f t="shared" si="3"/>
        <v/>
      </c>
      <c r="K25" s="10"/>
      <c r="L25" s="11"/>
      <c r="M25" s="11"/>
      <c r="N25" s="12" t="str">
        <f t="shared" si="6"/>
        <v/>
      </c>
      <c r="O25" s="29" t="str">
        <f t="shared" si="4"/>
        <v/>
      </c>
      <c r="P25" s="10"/>
      <c r="Q25" s="11"/>
      <c r="R25" s="11"/>
      <c r="S25" s="12" t="str">
        <f t="shared" si="7"/>
        <v/>
      </c>
      <c r="T25" s="29" t="str">
        <f t="shared" si="5"/>
        <v/>
      </c>
      <c r="U25" s="56" t="str">
        <f t="shared" si="0"/>
        <v/>
      </c>
      <c r="V25" s="57" t="str">
        <f t="shared" si="1"/>
        <v/>
      </c>
      <c r="W25" s="58" t="str">
        <f t="shared" si="2"/>
        <v/>
      </c>
    </row>
    <row r="26" spans="1:23" x14ac:dyDescent="0.4">
      <c r="A26" s="17" t="str">
        <f t="shared" si="8"/>
        <v/>
      </c>
      <c r="B26" s="26" t="str">
        <f t="shared" si="9"/>
        <v/>
      </c>
      <c r="C26" s="26" t="str">
        <f t="shared" si="10"/>
        <v/>
      </c>
      <c r="D26" s="26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9" t="str">
        <f t="shared" si="3"/>
        <v/>
      </c>
      <c r="K26" s="10"/>
      <c r="L26" s="11"/>
      <c r="M26" s="11"/>
      <c r="N26" s="12" t="str">
        <f t="shared" si="6"/>
        <v/>
      </c>
      <c r="O26" s="29" t="str">
        <f t="shared" si="4"/>
        <v/>
      </c>
      <c r="P26" s="10"/>
      <c r="Q26" s="11"/>
      <c r="R26" s="11"/>
      <c r="S26" s="12" t="str">
        <f t="shared" si="7"/>
        <v/>
      </c>
      <c r="T26" s="29" t="str">
        <f t="shared" si="5"/>
        <v/>
      </c>
      <c r="U26" s="56" t="str">
        <f t="shared" si="0"/>
        <v/>
      </c>
      <c r="V26" s="57" t="str">
        <f t="shared" si="1"/>
        <v/>
      </c>
      <c r="W26" s="58" t="str">
        <f t="shared" si="2"/>
        <v/>
      </c>
    </row>
    <row r="27" spans="1:23" x14ac:dyDescent="0.4">
      <c r="A27" s="17" t="str">
        <f t="shared" si="8"/>
        <v/>
      </c>
      <c r="B27" s="26" t="str">
        <f t="shared" si="9"/>
        <v/>
      </c>
      <c r="C27" s="26" t="str">
        <f t="shared" si="10"/>
        <v/>
      </c>
      <c r="D27" s="26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9" t="str">
        <f t="shared" si="3"/>
        <v/>
      </c>
      <c r="K27" s="10"/>
      <c r="L27" s="11"/>
      <c r="M27" s="11"/>
      <c r="N27" s="12" t="str">
        <f t="shared" si="6"/>
        <v/>
      </c>
      <c r="O27" s="29" t="str">
        <f t="shared" si="4"/>
        <v/>
      </c>
      <c r="P27" s="10"/>
      <c r="Q27" s="11"/>
      <c r="R27" s="11"/>
      <c r="S27" s="12" t="str">
        <f t="shared" si="7"/>
        <v/>
      </c>
      <c r="T27" s="29" t="str">
        <f t="shared" si="5"/>
        <v/>
      </c>
      <c r="U27" s="56" t="str">
        <f t="shared" si="0"/>
        <v/>
      </c>
      <c r="V27" s="57" t="str">
        <f t="shared" si="1"/>
        <v/>
      </c>
      <c r="W27" s="58" t="str">
        <f t="shared" si="2"/>
        <v/>
      </c>
    </row>
    <row r="28" spans="1:23" x14ac:dyDescent="0.4">
      <c r="A28" s="17" t="str">
        <f t="shared" si="8"/>
        <v/>
      </c>
      <c r="B28" s="26" t="str">
        <f t="shared" si="9"/>
        <v/>
      </c>
      <c r="C28" s="26" t="str">
        <f t="shared" si="10"/>
        <v/>
      </c>
      <c r="D28" s="26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9" t="str">
        <f t="shared" si="3"/>
        <v/>
      </c>
      <c r="K28" s="10"/>
      <c r="L28" s="11"/>
      <c r="M28" s="11"/>
      <c r="N28" s="12" t="str">
        <f t="shared" si="6"/>
        <v/>
      </c>
      <c r="O28" s="29" t="str">
        <f t="shared" si="4"/>
        <v/>
      </c>
      <c r="P28" s="10"/>
      <c r="Q28" s="11"/>
      <c r="R28" s="11"/>
      <c r="S28" s="12" t="str">
        <f t="shared" si="7"/>
        <v/>
      </c>
      <c r="T28" s="29" t="str">
        <f t="shared" si="5"/>
        <v/>
      </c>
      <c r="U28" s="56" t="str">
        <f t="shared" si="0"/>
        <v/>
      </c>
      <c r="V28" s="57" t="str">
        <f t="shared" si="1"/>
        <v/>
      </c>
      <c r="W28" s="58" t="str">
        <f t="shared" si="2"/>
        <v/>
      </c>
    </row>
    <row r="29" spans="1:23" x14ac:dyDescent="0.4">
      <c r="A29" s="17" t="str">
        <f t="shared" si="8"/>
        <v/>
      </c>
      <c r="B29" s="26" t="str">
        <f t="shared" si="9"/>
        <v/>
      </c>
      <c r="C29" s="26" t="str">
        <f t="shared" si="10"/>
        <v/>
      </c>
      <c r="D29" s="26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9" t="str">
        <f t="shared" si="3"/>
        <v/>
      </c>
      <c r="K29" s="10"/>
      <c r="L29" s="11"/>
      <c r="M29" s="11"/>
      <c r="N29" s="12" t="str">
        <f t="shared" si="6"/>
        <v/>
      </c>
      <c r="O29" s="29" t="str">
        <f t="shared" si="4"/>
        <v/>
      </c>
      <c r="P29" s="10"/>
      <c r="Q29" s="11"/>
      <c r="R29" s="11"/>
      <c r="S29" s="12" t="str">
        <f t="shared" si="7"/>
        <v/>
      </c>
      <c r="T29" s="29" t="str">
        <f t="shared" si="5"/>
        <v/>
      </c>
      <c r="U29" s="56" t="str">
        <f t="shared" si="0"/>
        <v/>
      </c>
      <c r="V29" s="57" t="str">
        <f t="shared" si="1"/>
        <v/>
      </c>
      <c r="W29" s="58" t="str">
        <f t="shared" si="2"/>
        <v/>
      </c>
    </row>
    <row r="30" spans="1:23" x14ac:dyDescent="0.4">
      <c r="A30" s="18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0" t="str">
        <f t="shared" si="3"/>
        <v/>
      </c>
      <c r="K30" s="13"/>
      <c r="L30" s="14"/>
      <c r="M30" s="14"/>
      <c r="N30" s="15" t="str">
        <f t="shared" si="6"/>
        <v/>
      </c>
      <c r="O30" s="30" t="str">
        <f t="shared" si="4"/>
        <v/>
      </c>
      <c r="P30" s="13"/>
      <c r="Q30" s="14"/>
      <c r="R30" s="14"/>
      <c r="S30" s="15" t="str">
        <f t="shared" si="7"/>
        <v/>
      </c>
      <c r="T30" s="30" t="str">
        <f t="shared" si="5"/>
        <v/>
      </c>
      <c r="U30" s="59" t="str">
        <f t="shared" si="0"/>
        <v/>
      </c>
      <c r="V30" s="60" t="str">
        <f t="shared" si="1"/>
        <v/>
      </c>
      <c r="W30" s="61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3" priority="2">
      <formula>IF(AND(G4&lt;&gt;"",F4&lt;&gt;"流局",F4&lt;&gt;"チョンボ"),SUM($G4:$I4,$L4:$N4,$Q4:$S4)-$D4*1000)</formula>
    </cfRule>
  </conditionalFormatting>
  <conditionalFormatting sqref="F1:T1">
    <cfRule type="duplicateValues" dxfId="12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41FF9-633A-40C7-8CF4-622AB7793F45}">
  <sheetPr codeName="Sheet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7" t="s">
        <v>0</v>
      </c>
      <c r="B1" s="49" t="s">
        <v>2</v>
      </c>
      <c r="C1" s="49" t="s">
        <v>1</v>
      </c>
      <c r="D1" s="49" t="s">
        <v>6</v>
      </c>
      <c r="E1" s="51" t="s">
        <v>3</v>
      </c>
      <c r="F1" s="43" t="s">
        <v>20</v>
      </c>
      <c r="G1" s="44"/>
      <c r="H1" s="44"/>
      <c r="I1" s="45"/>
      <c r="J1" s="46"/>
      <c r="K1" s="43" t="s">
        <v>22</v>
      </c>
      <c r="L1" s="44"/>
      <c r="M1" s="44"/>
      <c r="N1" s="45"/>
      <c r="O1" s="46"/>
      <c r="P1" s="43" t="s">
        <v>24</v>
      </c>
      <c r="Q1" s="44"/>
      <c r="R1" s="44"/>
      <c r="S1" s="45"/>
      <c r="T1" s="46"/>
      <c r="U1" s="43" t="s">
        <v>8</v>
      </c>
      <c r="V1" s="44"/>
      <c r="W1" s="46"/>
    </row>
    <row r="2" spans="1:23" x14ac:dyDescent="0.4">
      <c r="A2" s="48"/>
      <c r="B2" s="50"/>
      <c r="C2" s="50"/>
      <c r="D2" s="50"/>
      <c r="E2" s="52"/>
      <c r="F2" s="2" t="s">
        <v>7</v>
      </c>
      <c r="G2" s="3" t="s">
        <v>12</v>
      </c>
      <c r="H2" s="3" t="s">
        <v>4</v>
      </c>
      <c r="I2" s="24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24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24" t="s">
        <v>10</v>
      </c>
      <c r="T2" s="8" t="s">
        <v>5</v>
      </c>
      <c r="U2" s="23" t="str">
        <f>F1</f>
        <v>だいち</v>
      </c>
      <c r="V2" s="24" t="str">
        <f>K1</f>
        <v>りくと</v>
      </c>
      <c r="W2" s="22" t="str">
        <f>P1</f>
        <v>いっしー</v>
      </c>
    </row>
    <row r="3" spans="1:23" x14ac:dyDescent="0.4">
      <c r="A3" s="16"/>
      <c r="B3" s="25"/>
      <c r="C3" s="25"/>
      <c r="D3" s="25"/>
      <c r="E3" s="4"/>
      <c r="F3" s="9"/>
      <c r="G3" s="31"/>
      <c r="H3" s="31"/>
      <c r="I3" s="32"/>
      <c r="J3" s="28">
        <v>35000</v>
      </c>
      <c r="K3" s="9"/>
      <c r="L3" s="31"/>
      <c r="M3" s="31"/>
      <c r="N3" s="32"/>
      <c r="O3" s="28">
        <v>35000</v>
      </c>
      <c r="P3" s="9"/>
      <c r="Q3" s="31"/>
      <c r="R3" s="31"/>
      <c r="S3" s="32"/>
      <c r="T3" s="28">
        <v>35000</v>
      </c>
      <c r="U3" s="53">
        <f t="shared" ref="U3:U30" si="0">IF($J3="","",ROUND(($J3-$J$3)/1000,1))</f>
        <v>0</v>
      </c>
      <c r="V3" s="54">
        <f t="shared" ref="V3:V30" si="1">IF($O3="","",ROUND(($O3-$O$3)/1000,1))</f>
        <v>0</v>
      </c>
      <c r="W3" s="55">
        <f t="shared" ref="W3:W30" si="2">IF($T3="","",ROUND(($T3-$T$3)/1000,1))</f>
        <v>0</v>
      </c>
    </row>
    <row r="4" spans="1:23" x14ac:dyDescent="0.4">
      <c r="A4" s="17" t="s">
        <v>11</v>
      </c>
      <c r="B4" s="26">
        <v>1</v>
      </c>
      <c r="C4" s="26">
        <v>0</v>
      </c>
      <c r="D4" s="26">
        <v>0</v>
      </c>
      <c r="E4" s="5" t="s">
        <v>23</v>
      </c>
      <c r="F4" s="10" t="s">
        <v>27</v>
      </c>
      <c r="G4" s="11">
        <v>1500</v>
      </c>
      <c r="H4" s="11"/>
      <c r="I4" s="12" t="str">
        <f>IF(OR(F4="ロン",F4="ツモ"),$C4*1000,IF(F4="放銃",$C4*-1000,IF(F4="ツモ支払",$C4*-500,"")))</f>
        <v/>
      </c>
      <c r="J4" s="29">
        <f t="shared" ref="J4:J30" si="3">IF(COUNTA($F4,$K4,$P4)&gt;0,J3+SUM(G4:I4),"")</f>
        <v>36500</v>
      </c>
      <c r="K4" s="10" t="s">
        <v>27</v>
      </c>
      <c r="L4" s="11">
        <v>-3000</v>
      </c>
      <c r="M4" s="11"/>
      <c r="N4" s="12" t="str">
        <f>IF(OR(K4="ロン",K4="ツモ"),$C4*1000,IF(K4="放銃",$C4*-1000,IF(K4="ツモ支払",$C4*-500,"")))</f>
        <v/>
      </c>
      <c r="O4" s="29">
        <f t="shared" ref="O4:O30" si="4">IF(COUNTA($F4,$K4,$P4)&gt;0,O3+SUM(L4:N4),"")</f>
        <v>32000</v>
      </c>
      <c r="P4" s="10" t="s">
        <v>27</v>
      </c>
      <c r="Q4" s="11">
        <v>1500</v>
      </c>
      <c r="R4" s="11">
        <v>-1000</v>
      </c>
      <c r="S4" s="12" t="str">
        <f>IF(OR(P4="ロン",P4="ツモ"),$C4*1000,IF(P4="放銃",$C4*-1000,IF(P4="ツモ支払",$C4*-500,"")))</f>
        <v/>
      </c>
      <c r="T4" s="29">
        <f t="shared" ref="T4:T30" si="5">IF(COUNTA($F4,$K4,$P4)&gt;0,T3+SUM(Q4:S4),"")</f>
        <v>35500</v>
      </c>
      <c r="U4" s="56">
        <f t="shared" si="0"/>
        <v>1.5</v>
      </c>
      <c r="V4" s="57">
        <f t="shared" si="1"/>
        <v>-3</v>
      </c>
      <c r="W4" s="58">
        <f t="shared" si="2"/>
        <v>0.5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6">
        <f>IF($E5="","",IF($E4=$E5,B4,IF(B4=3,1,B4+1)))</f>
        <v>1</v>
      </c>
      <c r="C5" s="26">
        <f>IF($E5="","",IF($E4=$E5,C4+1,0))</f>
        <v>1</v>
      </c>
      <c r="D5" s="26">
        <f>IF($E5="","",IF(OR(F4="流局",K4="流局",P4="流局",F4="チョンボ",K4="チョンボ",P4="チョンボ"),D4+($H4+$M4+$R4)/-1000,0))</f>
        <v>1</v>
      </c>
      <c r="E5" s="5" t="s">
        <v>23</v>
      </c>
      <c r="F5" s="10" t="s">
        <v>28</v>
      </c>
      <c r="G5" s="11">
        <v>8000</v>
      </c>
      <c r="H5" s="11">
        <v>1000</v>
      </c>
      <c r="I5" s="12">
        <f>IF(OR(F5="ロン",F5="ツモ"),$C5*1000,IF(F5="放銃",$C5*-1000,IF(F5="ツモ支払",$C5*-500,"")))</f>
        <v>1000</v>
      </c>
      <c r="J5" s="29">
        <f t="shared" si="3"/>
        <v>46500</v>
      </c>
      <c r="K5" s="10" t="s">
        <v>29</v>
      </c>
      <c r="L5" s="11">
        <v>-3000</v>
      </c>
      <c r="M5" s="11"/>
      <c r="N5" s="12">
        <f t="shared" ref="N5:N30" si="6">IF(OR(K5="ロン",K5="ツモ"),$C5*1000,IF(K5="放銃",$C5*-1000,IF(K5="ツモ支払",$C5*-500,"")))</f>
        <v>-500</v>
      </c>
      <c r="O5" s="29">
        <f t="shared" si="4"/>
        <v>28500</v>
      </c>
      <c r="P5" s="10" t="s">
        <v>29</v>
      </c>
      <c r="Q5" s="11">
        <v>-5000</v>
      </c>
      <c r="R5" s="11"/>
      <c r="S5" s="12">
        <f t="shared" ref="S5:S30" si="7">IF(OR(P5="ロン",P5="ツモ"),$C5*1000,IF(P5="放銃",$C5*-1000,IF(P5="ツモ支払",$C5*-500,"")))</f>
        <v>-500</v>
      </c>
      <c r="T5" s="29">
        <f t="shared" si="5"/>
        <v>30000</v>
      </c>
      <c r="U5" s="56">
        <f t="shared" si="0"/>
        <v>11.5</v>
      </c>
      <c r="V5" s="57">
        <f t="shared" si="1"/>
        <v>-6.5</v>
      </c>
      <c r="W5" s="58">
        <f t="shared" si="2"/>
        <v>-5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6">
        <f t="shared" ref="B6:B30" si="9">IF($E6="","",IF($E5=$E6,B5,IF(B5=3,1,B5+1)))</f>
        <v>2</v>
      </c>
      <c r="C6" s="26">
        <f t="shared" ref="C6:C30" si="10">IF($E6="","",IF($E5=$E6,C5+1,0))</f>
        <v>0</v>
      </c>
      <c r="D6" s="26">
        <f t="shared" ref="D6:D30" si="11">IF($E6="","",IF(OR(F5="流局",K5="流局",P5="流局",F5="チョンボ",K5="チョンボ",P5="チョンボ"),D5+($H5+$M5+$R5)/-1000,0))</f>
        <v>0</v>
      </c>
      <c r="E6" s="5" t="s">
        <v>19</v>
      </c>
      <c r="F6" s="10" t="s">
        <v>27</v>
      </c>
      <c r="G6" s="11">
        <v>0</v>
      </c>
      <c r="H6" s="11"/>
      <c r="I6" s="12" t="str">
        <f t="shared" ref="I6:I30" si="12">IF(OR(F6="ロン",F6="ツモ"),$C6*1000,IF(F6="放銃",$C6*-1000,IF(F6="ツモ支払",$C6*-500,"")))</f>
        <v/>
      </c>
      <c r="J6" s="29">
        <f t="shared" si="3"/>
        <v>46500</v>
      </c>
      <c r="K6" s="10" t="s">
        <v>27</v>
      </c>
      <c r="L6" s="11">
        <v>0</v>
      </c>
      <c r="M6" s="11"/>
      <c r="N6" s="12" t="str">
        <f t="shared" si="6"/>
        <v/>
      </c>
      <c r="O6" s="29">
        <f t="shared" si="4"/>
        <v>28500</v>
      </c>
      <c r="P6" s="10" t="s">
        <v>27</v>
      </c>
      <c r="Q6" s="11">
        <v>0</v>
      </c>
      <c r="R6" s="11"/>
      <c r="S6" s="12" t="str">
        <f t="shared" si="7"/>
        <v/>
      </c>
      <c r="T6" s="29">
        <f t="shared" si="5"/>
        <v>30000</v>
      </c>
      <c r="U6" s="56">
        <f t="shared" si="0"/>
        <v>11.5</v>
      </c>
      <c r="V6" s="57">
        <f t="shared" si="1"/>
        <v>-6.5</v>
      </c>
      <c r="W6" s="58">
        <f t="shared" si="2"/>
        <v>-5</v>
      </c>
    </row>
    <row r="7" spans="1:23" x14ac:dyDescent="0.4">
      <c r="A7" s="17" t="str">
        <f t="shared" si="8"/>
        <v>東</v>
      </c>
      <c r="B7" s="26">
        <f t="shared" si="9"/>
        <v>2</v>
      </c>
      <c r="C7" s="26">
        <f t="shared" si="10"/>
        <v>1</v>
      </c>
      <c r="D7" s="26">
        <f t="shared" si="11"/>
        <v>0</v>
      </c>
      <c r="E7" s="5" t="s">
        <v>19</v>
      </c>
      <c r="F7" s="10" t="s">
        <v>28</v>
      </c>
      <c r="G7" s="11">
        <v>18000</v>
      </c>
      <c r="H7" s="11"/>
      <c r="I7" s="12">
        <f t="shared" si="12"/>
        <v>1000</v>
      </c>
      <c r="J7" s="29">
        <f t="shared" si="3"/>
        <v>65500</v>
      </c>
      <c r="K7" s="10" t="s">
        <v>29</v>
      </c>
      <c r="L7" s="11">
        <v>-9000</v>
      </c>
      <c r="M7" s="11"/>
      <c r="N7" s="12">
        <f t="shared" si="6"/>
        <v>-500</v>
      </c>
      <c r="O7" s="29">
        <f t="shared" si="4"/>
        <v>19000</v>
      </c>
      <c r="P7" s="10" t="s">
        <v>29</v>
      </c>
      <c r="Q7" s="11">
        <v>-9000</v>
      </c>
      <c r="R7" s="11"/>
      <c r="S7" s="12">
        <f t="shared" si="7"/>
        <v>-500</v>
      </c>
      <c r="T7" s="29">
        <f t="shared" si="5"/>
        <v>20500</v>
      </c>
      <c r="U7" s="56">
        <f t="shared" si="0"/>
        <v>30.5</v>
      </c>
      <c r="V7" s="57">
        <f t="shared" si="1"/>
        <v>-16</v>
      </c>
      <c r="W7" s="58">
        <f t="shared" si="2"/>
        <v>-14.5</v>
      </c>
    </row>
    <row r="8" spans="1:23" x14ac:dyDescent="0.4">
      <c r="A8" s="17" t="str">
        <f t="shared" si="8"/>
        <v>東</v>
      </c>
      <c r="B8" s="26">
        <f t="shared" si="9"/>
        <v>2</v>
      </c>
      <c r="C8" s="26">
        <f t="shared" si="10"/>
        <v>2</v>
      </c>
      <c r="D8" s="26">
        <f t="shared" si="11"/>
        <v>0</v>
      </c>
      <c r="E8" s="5" t="s">
        <v>19</v>
      </c>
      <c r="F8" s="10" t="s">
        <v>29</v>
      </c>
      <c r="G8" s="11">
        <v>-5000</v>
      </c>
      <c r="H8" s="11"/>
      <c r="I8" s="12">
        <f t="shared" si="12"/>
        <v>-1000</v>
      </c>
      <c r="J8" s="29">
        <f t="shared" si="3"/>
        <v>59500</v>
      </c>
      <c r="K8" s="10" t="s">
        <v>29</v>
      </c>
      <c r="L8" s="11">
        <v>-3000</v>
      </c>
      <c r="M8" s="11"/>
      <c r="N8" s="12">
        <f t="shared" si="6"/>
        <v>-1000</v>
      </c>
      <c r="O8" s="29">
        <f t="shared" si="4"/>
        <v>15000</v>
      </c>
      <c r="P8" s="10" t="s">
        <v>28</v>
      </c>
      <c r="Q8" s="11">
        <v>8000</v>
      </c>
      <c r="R8" s="11"/>
      <c r="S8" s="12">
        <f t="shared" si="7"/>
        <v>2000</v>
      </c>
      <c r="T8" s="29">
        <f t="shared" si="5"/>
        <v>30500</v>
      </c>
      <c r="U8" s="56">
        <f t="shared" si="0"/>
        <v>24.5</v>
      </c>
      <c r="V8" s="57">
        <f t="shared" si="1"/>
        <v>-20</v>
      </c>
      <c r="W8" s="58">
        <f t="shared" si="2"/>
        <v>-4.5</v>
      </c>
    </row>
    <row r="9" spans="1:23" x14ac:dyDescent="0.4">
      <c r="A9" s="17" t="str">
        <f t="shared" si="8"/>
        <v>東</v>
      </c>
      <c r="B9" s="26">
        <f t="shared" si="9"/>
        <v>3</v>
      </c>
      <c r="C9" s="26">
        <f t="shared" si="10"/>
        <v>0</v>
      </c>
      <c r="D9" s="26">
        <f t="shared" si="11"/>
        <v>0</v>
      </c>
      <c r="E9" s="5" t="s">
        <v>21</v>
      </c>
      <c r="F9" s="10"/>
      <c r="G9" s="11"/>
      <c r="H9" s="11"/>
      <c r="I9" s="12" t="str">
        <f t="shared" si="12"/>
        <v/>
      </c>
      <c r="J9" s="29">
        <f t="shared" si="3"/>
        <v>59500</v>
      </c>
      <c r="K9" s="10" t="s">
        <v>26</v>
      </c>
      <c r="L9" s="11">
        <v>-8000</v>
      </c>
      <c r="M9" s="11">
        <v>-1000</v>
      </c>
      <c r="N9" s="12">
        <f t="shared" si="6"/>
        <v>0</v>
      </c>
      <c r="O9" s="29">
        <f t="shared" si="4"/>
        <v>6000</v>
      </c>
      <c r="P9" s="10" t="s">
        <v>25</v>
      </c>
      <c r="Q9" s="11">
        <v>8000</v>
      </c>
      <c r="R9" s="11">
        <v>1000</v>
      </c>
      <c r="S9" s="12">
        <f t="shared" si="7"/>
        <v>0</v>
      </c>
      <c r="T9" s="29">
        <f t="shared" si="5"/>
        <v>39500</v>
      </c>
      <c r="U9" s="56">
        <f t="shared" si="0"/>
        <v>24.5</v>
      </c>
      <c r="V9" s="57">
        <f t="shared" si="1"/>
        <v>-29</v>
      </c>
      <c r="W9" s="58">
        <f t="shared" si="2"/>
        <v>4.5</v>
      </c>
    </row>
    <row r="10" spans="1:23" x14ac:dyDescent="0.4">
      <c r="A10" s="17" t="str">
        <f t="shared" si="8"/>
        <v>南</v>
      </c>
      <c r="B10" s="26">
        <f t="shared" si="9"/>
        <v>1</v>
      </c>
      <c r="C10" s="26">
        <f t="shared" si="10"/>
        <v>0</v>
      </c>
      <c r="D10" s="26">
        <f t="shared" si="11"/>
        <v>0</v>
      </c>
      <c r="E10" s="5" t="s">
        <v>23</v>
      </c>
      <c r="F10" s="10" t="s">
        <v>29</v>
      </c>
      <c r="G10" s="11">
        <v>-4800</v>
      </c>
      <c r="H10" s="11"/>
      <c r="I10" s="12">
        <f t="shared" si="12"/>
        <v>0</v>
      </c>
      <c r="J10" s="29">
        <f t="shared" si="3"/>
        <v>54700</v>
      </c>
      <c r="K10" s="10" t="s">
        <v>29</v>
      </c>
      <c r="L10" s="11">
        <v>-4800</v>
      </c>
      <c r="M10" s="11"/>
      <c r="N10" s="12">
        <f t="shared" si="6"/>
        <v>0</v>
      </c>
      <c r="O10" s="29">
        <f t="shared" si="4"/>
        <v>1200</v>
      </c>
      <c r="P10" s="10" t="s">
        <v>28</v>
      </c>
      <c r="Q10" s="11">
        <v>9600</v>
      </c>
      <c r="R10" s="11"/>
      <c r="S10" s="12">
        <f t="shared" si="7"/>
        <v>0</v>
      </c>
      <c r="T10" s="29">
        <f t="shared" si="5"/>
        <v>49100</v>
      </c>
      <c r="U10" s="56">
        <f t="shared" si="0"/>
        <v>19.7</v>
      </c>
      <c r="V10" s="57">
        <f t="shared" si="1"/>
        <v>-33.799999999999997</v>
      </c>
      <c r="W10" s="58">
        <f t="shared" si="2"/>
        <v>14.1</v>
      </c>
    </row>
    <row r="11" spans="1:23" x14ac:dyDescent="0.4">
      <c r="A11" s="17" t="str">
        <f t="shared" si="8"/>
        <v>南</v>
      </c>
      <c r="B11" s="26">
        <f t="shared" si="9"/>
        <v>1</v>
      </c>
      <c r="C11" s="26">
        <f t="shared" si="10"/>
        <v>1</v>
      </c>
      <c r="D11" s="26">
        <f t="shared" si="11"/>
        <v>0</v>
      </c>
      <c r="E11" s="5" t="s">
        <v>23</v>
      </c>
      <c r="F11" s="10" t="s">
        <v>28</v>
      </c>
      <c r="G11" s="11">
        <v>4000</v>
      </c>
      <c r="H11" s="11"/>
      <c r="I11" s="12">
        <f t="shared" si="12"/>
        <v>1000</v>
      </c>
      <c r="J11" s="29">
        <f t="shared" si="3"/>
        <v>59700</v>
      </c>
      <c r="K11" s="10" t="s">
        <v>29</v>
      </c>
      <c r="L11" s="11">
        <v>-1500</v>
      </c>
      <c r="M11" s="11"/>
      <c r="N11" s="12">
        <f t="shared" si="6"/>
        <v>-500</v>
      </c>
      <c r="O11" s="29">
        <f t="shared" si="4"/>
        <v>-800</v>
      </c>
      <c r="P11" s="10" t="s">
        <v>29</v>
      </c>
      <c r="Q11" s="11">
        <v>-2500</v>
      </c>
      <c r="R11" s="11"/>
      <c r="S11" s="12">
        <f t="shared" si="7"/>
        <v>-500</v>
      </c>
      <c r="T11" s="29">
        <f t="shared" si="5"/>
        <v>46100</v>
      </c>
      <c r="U11" s="56">
        <f t="shared" si="0"/>
        <v>24.7</v>
      </c>
      <c r="V11" s="57">
        <f t="shared" si="1"/>
        <v>-35.799999999999997</v>
      </c>
      <c r="W11" s="58">
        <f t="shared" si="2"/>
        <v>11.1</v>
      </c>
    </row>
    <row r="12" spans="1:23" x14ac:dyDescent="0.4">
      <c r="A12" s="17" t="str">
        <f t="shared" si="8"/>
        <v/>
      </c>
      <c r="B12" s="26" t="str">
        <f t="shared" si="9"/>
        <v/>
      </c>
      <c r="C12" s="26" t="str">
        <f t="shared" si="10"/>
        <v/>
      </c>
      <c r="D12" s="26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9" t="str">
        <f t="shared" si="3"/>
        <v/>
      </c>
      <c r="K12" s="10"/>
      <c r="L12" s="11"/>
      <c r="M12" s="11"/>
      <c r="N12" s="12" t="str">
        <f t="shared" si="6"/>
        <v/>
      </c>
      <c r="O12" s="29" t="str">
        <f t="shared" si="4"/>
        <v/>
      </c>
      <c r="P12" s="10"/>
      <c r="Q12" s="11"/>
      <c r="R12" s="11"/>
      <c r="S12" s="12" t="str">
        <f t="shared" si="7"/>
        <v/>
      </c>
      <c r="T12" s="29" t="str">
        <f t="shared" si="5"/>
        <v/>
      </c>
      <c r="U12" s="56" t="str">
        <f t="shared" si="0"/>
        <v/>
      </c>
      <c r="V12" s="57" t="str">
        <f t="shared" si="1"/>
        <v/>
      </c>
      <c r="W12" s="58" t="str">
        <f t="shared" si="2"/>
        <v/>
      </c>
    </row>
    <row r="13" spans="1:23" x14ac:dyDescent="0.4">
      <c r="A13" s="17" t="str">
        <f t="shared" si="8"/>
        <v/>
      </c>
      <c r="B13" s="26" t="str">
        <f t="shared" si="9"/>
        <v/>
      </c>
      <c r="C13" s="26" t="str">
        <f t="shared" si="10"/>
        <v/>
      </c>
      <c r="D13" s="26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9" t="str">
        <f t="shared" si="3"/>
        <v/>
      </c>
      <c r="K13" s="10"/>
      <c r="L13" s="11"/>
      <c r="M13" s="11"/>
      <c r="N13" s="12" t="str">
        <f t="shared" si="6"/>
        <v/>
      </c>
      <c r="O13" s="29" t="str">
        <f t="shared" si="4"/>
        <v/>
      </c>
      <c r="P13" s="10"/>
      <c r="Q13" s="11"/>
      <c r="R13" s="11"/>
      <c r="S13" s="12" t="str">
        <f t="shared" si="7"/>
        <v/>
      </c>
      <c r="T13" s="29" t="str">
        <f t="shared" si="5"/>
        <v/>
      </c>
      <c r="U13" s="56" t="str">
        <f t="shared" si="0"/>
        <v/>
      </c>
      <c r="V13" s="57" t="str">
        <f t="shared" si="1"/>
        <v/>
      </c>
      <c r="W13" s="58" t="str">
        <f t="shared" si="2"/>
        <v/>
      </c>
    </row>
    <row r="14" spans="1:23" x14ac:dyDescent="0.4">
      <c r="A14" s="17" t="str">
        <f t="shared" si="8"/>
        <v/>
      </c>
      <c r="B14" s="26" t="str">
        <f t="shared" si="9"/>
        <v/>
      </c>
      <c r="C14" s="26" t="str">
        <f t="shared" si="10"/>
        <v/>
      </c>
      <c r="D14" s="26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9" t="str">
        <f t="shared" si="3"/>
        <v/>
      </c>
      <c r="K14" s="10"/>
      <c r="L14" s="11"/>
      <c r="M14" s="11"/>
      <c r="N14" s="12" t="str">
        <f t="shared" si="6"/>
        <v/>
      </c>
      <c r="O14" s="29" t="str">
        <f t="shared" si="4"/>
        <v/>
      </c>
      <c r="P14" s="10"/>
      <c r="Q14" s="11"/>
      <c r="R14" s="11"/>
      <c r="S14" s="12" t="str">
        <f t="shared" si="7"/>
        <v/>
      </c>
      <c r="T14" s="29" t="str">
        <f t="shared" si="5"/>
        <v/>
      </c>
      <c r="U14" s="56" t="str">
        <f t="shared" si="0"/>
        <v/>
      </c>
      <c r="V14" s="57" t="str">
        <f t="shared" si="1"/>
        <v/>
      </c>
      <c r="W14" s="58" t="str">
        <f t="shared" si="2"/>
        <v/>
      </c>
    </row>
    <row r="15" spans="1:23" x14ac:dyDescent="0.4">
      <c r="A15" s="17" t="str">
        <f t="shared" si="8"/>
        <v/>
      </c>
      <c r="B15" s="26" t="str">
        <f t="shared" si="9"/>
        <v/>
      </c>
      <c r="C15" s="26" t="str">
        <f t="shared" si="10"/>
        <v/>
      </c>
      <c r="D15" s="26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9" t="str">
        <f t="shared" si="3"/>
        <v/>
      </c>
      <c r="K15" s="10"/>
      <c r="L15" s="11"/>
      <c r="M15" s="11"/>
      <c r="N15" s="12" t="str">
        <f t="shared" si="6"/>
        <v/>
      </c>
      <c r="O15" s="29" t="str">
        <f t="shared" si="4"/>
        <v/>
      </c>
      <c r="P15" s="10"/>
      <c r="Q15" s="11"/>
      <c r="R15" s="11"/>
      <c r="S15" s="12" t="str">
        <f t="shared" si="7"/>
        <v/>
      </c>
      <c r="T15" s="29" t="str">
        <f t="shared" si="5"/>
        <v/>
      </c>
      <c r="U15" s="56" t="str">
        <f t="shared" si="0"/>
        <v/>
      </c>
      <c r="V15" s="57" t="str">
        <f t="shared" si="1"/>
        <v/>
      </c>
      <c r="W15" s="58" t="str">
        <f t="shared" si="2"/>
        <v/>
      </c>
    </row>
    <row r="16" spans="1:23" x14ac:dyDescent="0.4">
      <c r="A16" s="17" t="str">
        <f t="shared" si="8"/>
        <v/>
      </c>
      <c r="B16" s="26" t="str">
        <f t="shared" si="9"/>
        <v/>
      </c>
      <c r="C16" s="26" t="str">
        <f t="shared" si="10"/>
        <v/>
      </c>
      <c r="D16" s="26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9" t="str">
        <f t="shared" si="3"/>
        <v/>
      </c>
      <c r="K16" s="10"/>
      <c r="L16" s="11"/>
      <c r="M16" s="11"/>
      <c r="N16" s="12" t="str">
        <f t="shared" si="6"/>
        <v/>
      </c>
      <c r="O16" s="29" t="str">
        <f t="shared" si="4"/>
        <v/>
      </c>
      <c r="P16" s="10"/>
      <c r="Q16" s="11"/>
      <c r="R16" s="11"/>
      <c r="S16" s="12" t="str">
        <f t="shared" si="7"/>
        <v/>
      </c>
      <c r="T16" s="29" t="str">
        <f t="shared" si="5"/>
        <v/>
      </c>
      <c r="U16" s="56" t="str">
        <f t="shared" si="0"/>
        <v/>
      </c>
      <c r="V16" s="57" t="str">
        <f t="shared" si="1"/>
        <v/>
      </c>
      <c r="W16" s="58" t="str">
        <f t="shared" si="2"/>
        <v/>
      </c>
    </row>
    <row r="17" spans="1:23" x14ac:dyDescent="0.4">
      <c r="A17" s="17" t="str">
        <f t="shared" si="8"/>
        <v/>
      </c>
      <c r="B17" s="26" t="str">
        <f t="shared" si="9"/>
        <v/>
      </c>
      <c r="C17" s="26" t="str">
        <f t="shared" si="10"/>
        <v/>
      </c>
      <c r="D17" s="26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9" t="str">
        <f t="shared" si="3"/>
        <v/>
      </c>
      <c r="K17" s="10"/>
      <c r="L17" s="11"/>
      <c r="M17" s="11"/>
      <c r="N17" s="12" t="str">
        <f t="shared" si="6"/>
        <v/>
      </c>
      <c r="O17" s="29" t="str">
        <f t="shared" si="4"/>
        <v/>
      </c>
      <c r="P17" s="10"/>
      <c r="Q17" s="11"/>
      <c r="R17" s="11"/>
      <c r="S17" s="12" t="str">
        <f t="shared" si="7"/>
        <v/>
      </c>
      <c r="T17" s="29" t="str">
        <f t="shared" si="5"/>
        <v/>
      </c>
      <c r="U17" s="56" t="str">
        <f t="shared" si="0"/>
        <v/>
      </c>
      <c r="V17" s="57" t="str">
        <f t="shared" si="1"/>
        <v/>
      </c>
      <c r="W17" s="58" t="str">
        <f t="shared" si="2"/>
        <v/>
      </c>
    </row>
    <row r="18" spans="1:23" x14ac:dyDescent="0.4">
      <c r="A18" s="17" t="str">
        <f t="shared" si="8"/>
        <v/>
      </c>
      <c r="B18" s="26" t="str">
        <f t="shared" si="9"/>
        <v/>
      </c>
      <c r="C18" s="26" t="str">
        <f t="shared" si="10"/>
        <v/>
      </c>
      <c r="D18" s="26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9" t="str">
        <f t="shared" si="3"/>
        <v/>
      </c>
      <c r="K18" s="10"/>
      <c r="L18" s="11"/>
      <c r="M18" s="11"/>
      <c r="N18" s="12" t="str">
        <f t="shared" si="6"/>
        <v/>
      </c>
      <c r="O18" s="29" t="str">
        <f t="shared" si="4"/>
        <v/>
      </c>
      <c r="P18" s="10"/>
      <c r="Q18" s="11"/>
      <c r="R18" s="11"/>
      <c r="S18" s="12" t="str">
        <f t="shared" si="7"/>
        <v/>
      </c>
      <c r="T18" s="29" t="str">
        <f t="shared" si="5"/>
        <v/>
      </c>
      <c r="U18" s="56" t="str">
        <f t="shared" si="0"/>
        <v/>
      </c>
      <c r="V18" s="57" t="str">
        <f t="shared" si="1"/>
        <v/>
      </c>
      <c r="W18" s="58" t="str">
        <f t="shared" si="2"/>
        <v/>
      </c>
    </row>
    <row r="19" spans="1:23" x14ac:dyDescent="0.4">
      <c r="A19" s="17" t="str">
        <f t="shared" si="8"/>
        <v/>
      </c>
      <c r="B19" s="26" t="str">
        <f t="shared" si="9"/>
        <v/>
      </c>
      <c r="C19" s="26" t="str">
        <f t="shared" si="10"/>
        <v/>
      </c>
      <c r="D19" s="26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9" t="str">
        <f t="shared" si="3"/>
        <v/>
      </c>
      <c r="K19" s="10"/>
      <c r="L19" s="11"/>
      <c r="M19" s="11"/>
      <c r="N19" s="12" t="str">
        <f t="shared" si="6"/>
        <v/>
      </c>
      <c r="O19" s="29" t="str">
        <f t="shared" si="4"/>
        <v/>
      </c>
      <c r="P19" s="10"/>
      <c r="Q19" s="11"/>
      <c r="R19" s="11"/>
      <c r="S19" s="12" t="str">
        <f t="shared" si="7"/>
        <v/>
      </c>
      <c r="T19" s="29" t="str">
        <f t="shared" si="5"/>
        <v/>
      </c>
      <c r="U19" s="56" t="str">
        <f t="shared" si="0"/>
        <v/>
      </c>
      <c r="V19" s="57" t="str">
        <f t="shared" si="1"/>
        <v/>
      </c>
      <c r="W19" s="58" t="str">
        <f t="shared" si="2"/>
        <v/>
      </c>
    </row>
    <row r="20" spans="1:23" x14ac:dyDescent="0.4">
      <c r="A20" s="17" t="str">
        <f t="shared" si="8"/>
        <v/>
      </c>
      <c r="B20" s="26" t="str">
        <f t="shared" si="9"/>
        <v/>
      </c>
      <c r="C20" s="26" t="str">
        <f t="shared" si="10"/>
        <v/>
      </c>
      <c r="D20" s="26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9" t="str">
        <f t="shared" si="3"/>
        <v/>
      </c>
      <c r="K20" s="10"/>
      <c r="L20" s="11"/>
      <c r="M20" s="11"/>
      <c r="N20" s="12" t="str">
        <f t="shared" si="6"/>
        <v/>
      </c>
      <c r="O20" s="29" t="str">
        <f t="shared" si="4"/>
        <v/>
      </c>
      <c r="P20" s="10"/>
      <c r="Q20" s="11"/>
      <c r="R20" s="11"/>
      <c r="S20" s="12" t="str">
        <f t="shared" si="7"/>
        <v/>
      </c>
      <c r="T20" s="29" t="str">
        <f t="shared" si="5"/>
        <v/>
      </c>
      <c r="U20" s="56" t="str">
        <f t="shared" si="0"/>
        <v/>
      </c>
      <c r="V20" s="57" t="str">
        <f t="shared" si="1"/>
        <v/>
      </c>
      <c r="W20" s="58" t="str">
        <f t="shared" si="2"/>
        <v/>
      </c>
    </row>
    <row r="21" spans="1:23" x14ac:dyDescent="0.4">
      <c r="A21" s="17" t="str">
        <f t="shared" si="8"/>
        <v/>
      </c>
      <c r="B21" s="26" t="str">
        <f t="shared" si="9"/>
        <v/>
      </c>
      <c r="C21" s="26" t="str">
        <f t="shared" si="10"/>
        <v/>
      </c>
      <c r="D21" s="26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9" t="str">
        <f t="shared" si="3"/>
        <v/>
      </c>
      <c r="K21" s="10"/>
      <c r="L21" s="11"/>
      <c r="M21" s="11"/>
      <c r="N21" s="12" t="str">
        <f t="shared" si="6"/>
        <v/>
      </c>
      <c r="O21" s="29" t="str">
        <f t="shared" si="4"/>
        <v/>
      </c>
      <c r="P21" s="10"/>
      <c r="Q21" s="11"/>
      <c r="R21" s="11"/>
      <c r="S21" s="12" t="str">
        <f t="shared" si="7"/>
        <v/>
      </c>
      <c r="T21" s="29" t="str">
        <f t="shared" si="5"/>
        <v/>
      </c>
      <c r="U21" s="56" t="str">
        <f t="shared" si="0"/>
        <v/>
      </c>
      <c r="V21" s="57" t="str">
        <f t="shared" si="1"/>
        <v/>
      </c>
      <c r="W21" s="58" t="str">
        <f t="shared" si="2"/>
        <v/>
      </c>
    </row>
    <row r="22" spans="1:23" x14ac:dyDescent="0.4">
      <c r="A22" s="17" t="str">
        <f t="shared" si="8"/>
        <v/>
      </c>
      <c r="B22" s="26" t="str">
        <f t="shared" si="9"/>
        <v/>
      </c>
      <c r="C22" s="26" t="str">
        <f t="shared" si="10"/>
        <v/>
      </c>
      <c r="D22" s="26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9" t="str">
        <f t="shared" si="3"/>
        <v/>
      </c>
      <c r="K22" s="10"/>
      <c r="L22" s="11"/>
      <c r="M22" s="11"/>
      <c r="N22" s="12" t="str">
        <f t="shared" si="6"/>
        <v/>
      </c>
      <c r="O22" s="29" t="str">
        <f t="shared" si="4"/>
        <v/>
      </c>
      <c r="P22" s="10"/>
      <c r="Q22" s="11"/>
      <c r="R22" s="11"/>
      <c r="S22" s="12" t="str">
        <f t="shared" si="7"/>
        <v/>
      </c>
      <c r="T22" s="29" t="str">
        <f t="shared" si="5"/>
        <v/>
      </c>
      <c r="U22" s="56" t="str">
        <f t="shared" si="0"/>
        <v/>
      </c>
      <c r="V22" s="57" t="str">
        <f t="shared" si="1"/>
        <v/>
      </c>
      <c r="W22" s="58" t="str">
        <f t="shared" si="2"/>
        <v/>
      </c>
    </row>
    <row r="23" spans="1:23" x14ac:dyDescent="0.4">
      <c r="A23" s="17" t="str">
        <f t="shared" si="8"/>
        <v/>
      </c>
      <c r="B23" s="26" t="str">
        <f t="shared" si="9"/>
        <v/>
      </c>
      <c r="C23" s="26" t="str">
        <f t="shared" si="10"/>
        <v/>
      </c>
      <c r="D23" s="26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9" t="str">
        <f t="shared" si="3"/>
        <v/>
      </c>
      <c r="K23" s="10"/>
      <c r="L23" s="11"/>
      <c r="M23" s="11"/>
      <c r="N23" s="12" t="str">
        <f t="shared" si="6"/>
        <v/>
      </c>
      <c r="O23" s="29" t="str">
        <f t="shared" si="4"/>
        <v/>
      </c>
      <c r="P23" s="10"/>
      <c r="Q23" s="11"/>
      <c r="R23" s="11"/>
      <c r="S23" s="12" t="str">
        <f t="shared" si="7"/>
        <v/>
      </c>
      <c r="T23" s="29" t="str">
        <f t="shared" si="5"/>
        <v/>
      </c>
      <c r="U23" s="56" t="str">
        <f t="shared" si="0"/>
        <v/>
      </c>
      <c r="V23" s="57" t="str">
        <f t="shared" si="1"/>
        <v/>
      </c>
      <c r="W23" s="58" t="str">
        <f t="shared" si="2"/>
        <v/>
      </c>
    </row>
    <row r="24" spans="1:23" x14ac:dyDescent="0.4">
      <c r="A24" s="17" t="str">
        <f t="shared" si="8"/>
        <v/>
      </c>
      <c r="B24" s="26" t="str">
        <f t="shared" si="9"/>
        <v/>
      </c>
      <c r="C24" s="26" t="str">
        <f t="shared" si="10"/>
        <v/>
      </c>
      <c r="D24" s="26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9" t="str">
        <f t="shared" si="3"/>
        <v/>
      </c>
      <c r="K24" s="10"/>
      <c r="L24" s="11"/>
      <c r="M24" s="11"/>
      <c r="N24" s="12" t="str">
        <f t="shared" si="6"/>
        <v/>
      </c>
      <c r="O24" s="29" t="str">
        <f t="shared" si="4"/>
        <v/>
      </c>
      <c r="P24" s="10"/>
      <c r="Q24" s="11"/>
      <c r="R24" s="11"/>
      <c r="S24" s="12" t="str">
        <f t="shared" si="7"/>
        <v/>
      </c>
      <c r="T24" s="29" t="str">
        <f t="shared" si="5"/>
        <v/>
      </c>
      <c r="U24" s="56" t="str">
        <f t="shared" si="0"/>
        <v/>
      </c>
      <c r="V24" s="57" t="str">
        <f t="shared" si="1"/>
        <v/>
      </c>
      <c r="W24" s="58" t="str">
        <f t="shared" si="2"/>
        <v/>
      </c>
    </row>
    <row r="25" spans="1:23" x14ac:dyDescent="0.4">
      <c r="A25" s="17" t="str">
        <f t="shared" si="8"/>
        <v/>
      </c>
      <c r="B25" s="26" t="str">
        <f t="shared" si="9"/>
        <v/>
      </c>
      <c r="C25" s="26" t="str">
        <f t="shared" si="10"/>
        <v/>
      </c>
      <c r="D25" s="26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9" t="str">
        <f t="shared" si="3"/>
        <v/>
      </c>
      <c r="K25" s="10"/>
      <c r="L25" s="11"/>
      <c r="M25" s="11"/>
      <c r="N25" s="12" t="str">
        <f t="shared" si="6"/>
        <v/>
      </c>
      <c r="O25" s="29" t="str">
        <f t="shared" si="4"/>
        <v/>
      </c>
      <c r="P25" s="10"/>
      <c r="Q25" s="11"/>
      <c r="R25" s="11"/>
      <c r="S25" s="12" t="str">
        <f t="shared" si="7"/>
        <v/>
      </c>
      <c r="T25" s="29" t="str">
        <f t="shared" si="5"/>
        <v/>
      </c>
      <c r="U25" s="56" t="str">
        <f t="shared" si="0"/>
        <v/>
      </c>
      <c r="V25" s="57" t="str">
        <f t="shared" si="1"/>
        <v/>
      </c>
      <c r="W25" s="58" t="str">
        <f t="shared" si="2"/>
        <v/>
      </c>
    </row>
    <row r="26" spans="1:23" x14ac:dyDescent="0.4">
      <c r="A26" s="17" t="str">
        <f t="shared" si="8"/>
        <v/>
      </c>
      <c r="B26" s="26" t="str">
        <f t="shared" si="9"/>
        <v/>
      </c>
      <c r="C26" s="26" t="str">
        <f t="shared" si="10"/>
        <v/>
      </c>
      <c r="D26" s="26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9" t="str">
        <f t="shared" si="3"/>
        <v/>
      </c>
      <c r="K26" s="10"/>
      <c r="L26" s="11"/>
      <c r="M26" s="11"/>
      <c r="N26" s="12" t="str">
        <f t="shared" si="6"/>
        <v/>
      </c>
      <c r="O26" s="29" t="str">
        <f t="shared" si="4"/>
        <v/>
      </c>
      <c r="P26" s="10"/>
      <c r="Q26" s="11"/>
      <c r="R26" s="11"/>
      <c r="S26" s="12" t="str">
        <f t="shared" si="7"/>
        <v/>
      </c>
      <c r="T26" s="29" t="str">
        <f t="shared" si="5"/>
        <v/>
      </c>
      <c r="U26" s="56" t="str">
        <f t="shared" si="0"/>
        <v/>
      </c>
      <c r="V26" s="57" t="str">
        <f t="shared" si="1"/>
        <v/>
      </c>
      <c r="W26" s="58" t="str">
        <f t="shared" si="2"/>
        <v/>
      </c>
    </row>
    <row r="27" spans="1:23" x14ac:dyDescent="0.4">
      <c r="A27" s="17" t="str">
        <f t="shared" si="8"/>
        <v/>
      </c>
      <c r="B27" s="26" t="str">
        <f t="shared" si="9"/>
        <v/>
      </c>
      <c r="C27" s="26" t="str">
        <f t="shared" si="10"/>
        <v/>
      </c>
      <c r="D27" s="26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9" t="str">
        <f t="shared" si="3"/>
        <v/>
      </c>
      <c r="K27" s="10"/>
      <c r="L27" s="11"/>
      <c r="M27" s="11"/>
      <c r="N27" s="12" t="str">
        <f t="shared" si="6"/>
        <v/>
      </c>
      <c r="O27" s="29" t="str">
        <f t="shared" si="4"/>
        <v/>
      </c>
      <c r="P27" s="10"/>
      <c r="Q27" s="11"/>
      <c r="R27" s="11"/>
      <c r="S27" s="12" t="str">
        <f t="shared" si="7"/>
        <v/>
      </c>
      <c r="T27" s="29" t="str">
        <f t="shared" si="5"/>
        <v/>
      </c>
      <c r="U27" s="56" t="str">
        <f t="shared" si="0"/>
        <v/>
      </c>
      <c r="V27" s="57" t="str">
        <f t="shared" si="1"/>
        <v/>
      </c>
      <c r="W27" s="58" t="str">
        <f t="shared" si="2"/>
        <v/>
      </c>
    </row>
    <row r="28" spans="1:23" x14ac:dyDescent="0.4">
      <c r="A28" s="17" t="str">
        <f t="shared" si="8"/>
        <v/>
      </c>
      <c r="B28" s="26" t="str">
        <f t="shared" si="9"/>
        <v/>
      </c>
      <c r="C28" s="26" t="str">
        <f t="shared" si="10"/>
        <v/>
      </c>
      <c r="D28" s="26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9" t="str">
        <f t="shared" si="3"/>
        <v/>
      </c>
      <c r="K28" s="10"/>
      <c r="L28" s="11"/>
      <c r="M28" s="11"/>
      <c r="N28" s="12" t="str">
        <f t="shared" si="6"/>
        <v/>
      </c>
      <c r="O28" s="29" t="str">
        <f t="shared" si="4"/>
        <v/>
      </c>
      <c r="P28" s="10"/>
      <c r="Q28" s="11"/>
      <c r="R28" s="11"/>
      <c r="S28" s="12" t="str">
        <f t="shared" si="7"/>
        <v/>
      </c>
      <c r="T28" s="29" t="str">
        <f t="shared" si="5"/>
        <v/>
      </c>
      <c r="U28" s="56" t="str">
        <f t="shared" si="0"/>
        <v/>
      </c>
      <c r="V28" s="57" t="str">
        <f t="shared" si="1"/>
        <v/>
      </c>
      <c r="W28" s="58" t="str">
        <f t="shared" si="2"/>
        <v/>
      </c>
    </row>
    <row r="29" spans="1:23" x14ac:dyDescent="0.4">
      <c r="A29" s="17" t="str">
        <f t="shared" si="8"/>
        <v/>
      </c>
      <c r="B29" s="26" t="str">
        <f t="shared" si="9"/>
        <v/>
      </c>
      <c r="C29" s="26" t="str">
        <f t="shared" si="10"/>
        <v/>
      </c>
      <c r="D29" s="26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9" t="str">
        <f t="shared" si="3"/>
        <v/>
      </c>
      <c r="K29" s="10"/>
      <c r="L29" s="11"/>
      <c r="M29" s="11"/>
      <c r="N29" s="12" t="str">
        <f t="shared" si="6"/>
        <v/>
      </c>
      <c r="O29" s="29" t="str">
        <f t="shared" si="4"/>
        <v/>
      </c>
      <c r="P29" s="10"/>
      <c r="Q29" s="11"/>
      <c r="R29" s="11"/>
      <c r="S29" s="12" t="str">
        <f t="shared" si="7"/>
        <v/>
      </c>
      <c r="T29" s="29" t="str">
        <f t="shared" si="5"/>
        <v/>
      </c>
      <c r="U29" s="56" t="str">
        <f t="shared" si="0"/>
        <v/>
      </c>
      <c r="V29" s="57" t="str">
        <f t="shared" si="1"/>
        <v/>
      </c>
      <c r="W29" s="58" t="str">
        <f t="shared" si="2"/>
        <v/>
      </c>
    </row>
    <row r="30" spans="1:23" x14ac:dyDescent="0.4">
      <c r="A30" s="18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0" t="str">
        <f t="shared" si="3"/>
        <v/>
      </c>
      <c r="K30" s="13"/>
      <c r="L30" s="14"/>
      <c r="M30" s="14"/>
      <c r="N30" s="15" t="str">
        <f t="shared" si="6"/>
        <v/>
      </c>
      <c r="O30" s="30" t="str">
        <f t="shared" si="4"/>
        <v/>
      </c>
      <c r="P30" s="13"/>
      <c r="Q30" s="14"/>
      <c r="R30" s="14"/>
      <c r="S30" s="15" t="str">
        <f t="shared" si="7"/>
        <v/>
      </c>
      <c r="T30" s="30" t="str">
        <f t="shared" si="5"/>
        <v/>
      </c>
      <c r="U30" s="59" t="str">
        <f t="shared" si="0"/>
        <v/>
      </c>
      <c r="V30" s="60" t="str">
        <f t="shared" si="1"/>
        <v/>
      </c>
      <c r="W30" s="6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1" priority="2">
      <formula>IF(AND(G4&lt;&gt;"",F4&lt;&gt;"流局",F4&lt;&gt;"チョンボ"),SUM($G4:$I4,$L4:$N4,$Q4:$S4)-$D4*1000)</formula>
    </cfRule>
  </conditionalFormatting>
  <conditionalFormatting sqref="F1:T1">
    <cfRule type="duplicateValues" dxfId="10" priority="1"/>
  </conditionalFormatting>
  <dataValidations count="2">
    <dataValidation type="list" allowBlank="1" showErrorMessage="1" sqref="E4:E30" xr:uid="{8D3C6B2F-63B1-4A29-9006-5BD750EE7E99}">
      <formula1>$U$2:$W$2</formula1>
    </dataValidation>
    <dataValidation type="list" showInputMessage="1" showErrorMessage="1" sqref="K4:K30 P4:P30 F4:F30" xr:uid="{CD15C361-4EC2-4C9B-8EB9-990E15CA141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E8571-666A-4310-BB90-65EE90297693}">
  <sheetPr codeName="Sheet10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7" t="s">
        <v>0</v>
      </c>
      <c r="B1" s="49" t="s">
        <v>2</v>
      </c>
      <c r="C1" s="49" t="s">
        <v>1</v>
      </c>
      <c r="D1" s="49" t="s">
        <v>6</v>
      </c>
      <c r="E1" s="51" t="s">
        <v>3</v>
      </c>
      <c r="F1" s="43" t="s">
        <v>20</v>
      </c>
      <c r="G1" s="44"/>
      <c r="H1" s="44"/>
      <c r="I1" s="45"/>
      <c r="J1" s="46"/>
      <c r="K1" s="43" t="s">
        <v>22</v>
      </c>
      <c r="L1" s="44"/>
      <c r="M1" s="44"/>
      <c r="N1" s="45"/>
      <c r="O1" s="46"/>
      <c r="P1" s="43" t="s">
        <v>24</v>
      </c>
      <c r="Q1" s="44"/>
      <c r="R1" s="44"/>
      <c r="S1" s="45"/>
      <c r="T1" s="46"/>
      <c r="U1" s="43" t="s">
        <v>8</v>
      </c>
      <c r="V1" s="44"/>
      <c r="W1" s="46"/>
    </row>
    <row r="2" spans="1:23" x14ac:dyDescent="0.4">
      <c r="A2" s="48"/>
      <c r="B2" s="50"/>
      <c r="C2" s="50"/>
      <c r="D2" s="50"/>
      <c r="E2" s="52"/>
      <c r="F2" s="2" t="s">
        <v>7</v>
      </c>
      <c r="G2" s="3" t="s">
        <v>12</v>
      </c>
      <c r="H2" s="3" t="s">
        <v>4</v>
      </c>
      <c r="I2" s="34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4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4" t="s">
        <v>10</v>
      </c>
      <c r="T2" s="8" t="s">
        <v>5</v>
      </c>
      <c r="U2" s="33" t="str">
        <f>F1</f>
        <v>だいち</v>
      </c>
      <c r="V2" s="34" t="str">
        <f>K1</f>
        <v>りくと</v>
      </c>
      <c r="W2" s="22" t="str">
        <f>P1</f>
        <v>いっしー</v>
      </c>
    </row>
    <row r="3" spans="1:23" x14ac:dyDescent="0.4">
      <c r="A3" s="16"/>
      <c r="B3" s="25"/>
      <c r="C3" s="25"/>
      <c r="D3" s="25"/>
      <c r="E3" s="4"/>
      <c r="F3" s="9"/>
      <c r="G3" s="31"/>
      <c r="H3" s="31"/>
      <c r="I3" s="32"/>
      <c r="J3" s="28">
        <v>35000</v>
      </c>
      <c r="K3" s="9"/>
      <c r="L3" s="31"/>
      <c r="M3" s="31"/>
      <c r="N3" s="32"/>
      <c r="O3" s="28">
        <v>35000</v>
      </c>
      <c r="P3" s="9"/>
      <c r="Q3" s="31"/>
      <c r="R3" s="31"/>
      <c r="S3" s="32"/>
      <c r="T3" s="28">
        <v>35000</v>
      </c>
      <c r="U3" s="53">
        <f t="shared" ref="U3:U30" si="0">IF($J3="","",ROUND(($J3-$J$3)/1000,1))</f>
        <v>0</v>
      </c>
      <c r="V3" s="54">
        <f t="shared" ref="V3:V30" si="1">IF($O3="","",ROUND(($O3-$O$3)/1000,1))</f>
        <v>0</v>
      </c>
      <c r="W3" s="55">
        <f t="shared" ref="W3:W30" si="2">IF($T3="","",ROUND(($T3-$T$3)/1000,1))</f>
        <v>0</v>
      </c>
    </row>
    <row r="4" spans="1:23" x14ac:dyDescent="0.4">
      <c r="A4" s="17" t="s">
        <v>11</v>
      </c>
      <c r="B4" s="26">
        <v>1</v>
      </c>
      <c r="C4" s="26">
        <v>0</v>
      </c>
      <c r="D4" s="26">
        <v>0</v>
      </c>
      <c r="E4" s="5" t="s">
        <v>21</v>
      </c>
      <c r="F4" s="10" t="s">
        <v>26</v>
      </c>
      <c r="G4" s="11">
        <v>-8000</v>
      </c>
      <c r="H4" s="11"/>
      <c r="I4" s="12">
        <f>IF(OR(F4="ロン",F4="ツモ"),$C4*1000,IF(F4="放銃",$C4*-1000,IF(F4="ツモ支払",$C4*-500,"")))</f>
        <v>0</v>
      </c>
      <c r="J4" s="29">
        <f t="shared" ref="J4:J30" si="3">IF(COUNTA($F4,$K4,$P4)&gt;0,J3+SUM(G4:I4),"")</f>
        <v>27000</v>
      </c>
      <c r="K4" s="10"/>
      <c r="L4" s="11"/>
      <c r="M4" s="11"/>
      <c r="N4" s="12" t="str">
        <f>IF(OR(K4="ロン",K4="ツモ"),$C4*1000,IF(K4="放銃",$C4*-1000,IF(K4="ツモ支払",$C4*-500,"")))</f>
        <v/>
      </c>
      <c r="O4" s="29">
        <f t="shared" ref="O4:O30" si="4">IF(COUNTA($F4,$K4,$P4)&gt;0,O3+SUM(L4:N4),"")</f>
        <v>35000</v>
      </c>
      <c r="P4" s="10" t="s">
        <v>25</v>
      </c>
      <c r="Q4" s="11">
        <v>8000</v>
      </c>
      <c r="R4" s="11"/>
      <c r="S4" s="12">
        <f>IF(OR(P4="ロン",P4="ツモ"),$C4*1000,IF(P4="放銃",$C4*-1000,IF(P4="ツモ支払",$C4*-500,"")))</f>
        <v>0</v>
      </c>
      <c r="T4" s="29">
        <f t="shared" ref="T4:T30" si="5">IF(COUNTA($F4,$K4,$P4)&gt;0,T3+SUM(Q4:S4),"")</f>
        <v>43000</v>
      </c>
      <c r="U4" s="56">
        <f t="shared" si="0"/>
        <v>-8</v>
      </c>
      <c r="V4" s="57">
        <f t="shared" si="1"/>
        <v>0</v>
      </c>
      <c r="W4" s="58">
        <f t="shared" si="2"/>
        <v>8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6">
        <f>IF($E5="","",IF($E4=$E5,B4,IF(B4=3,1,B4+1)))</f>
        <v>2</v>
      </c>
      <c r="C5" s="26">
        <f>IF($E5="","",IF($E4=$E5,C4+1,0))</f>
        <v>0</v>
      </c>
      <c r="D5" s="26">
        <f>IF($E5="","",IF(OR(F4="流局",K4="流局",P4="流局",F4="チョンボ",K4="チョンボ",P4="チョンボ"),D4+($H4+$M4+$R4)/-1000,0))</f>
        <v>0</v>
      </c>
      <c r="E5" s="5" t="s">
        <v>23</v>
      </c>
      <c r="F5" s="10"/>
      <c r="G5" s="11"/>
      <c r="H5" s="11"/>
      <c r="I5" s="12" t="str">
        <f>IF(OR(F5="ロン",F5="ツモ"),$C5*1000,IF(F5="放銃",$C5*-1000,IF(F5="ツモ支払",$C5*-500,"")))</f>
        <v/>
      </c>
      <c r="J5" s="29">
        <f t="shared" si="3"/>
        <v>27000</v>
      </c>
      <c r="K5" s="10" t="s">
        <v>26</v>
      </c>
      <c r="L5" s="11">
        <v>-24000</v>
      </c>
      <c r="M5" s="11"/>
      <c r="N5" s="12">
        <f t="shared" ref="N5:N30" si="6">IF(OR(K5="ロン",K5="ツモ"),$C5*1000,IF(K5="放銃",$C5*-1000,IF(K5="ツモ支払",$C5*-500,"")))</f>
        <v>0</v>
      </c>
      <c r="O5" s="29">
        <f t="shared" si="4"/>
        <v>11000</v>
      </c>
      <c r="P5" s="10" t="s">
        <v>25</v>
      </c>
      <c r="Q5" s="11">
        <v>24000</v>
      </c>
      <c r="R5" s="11"/>
      <c r="S5" s="12">
        <f t="shared" ref="S5:S30" si="7">IF(OR(P5="ロン",P5="ツモ"),$C5*1000,IF(P5="放銃",$C5*-1000,IF(P5="ツモ支払",$C5*-500,"")))</f>
        <v>0</v>
      </c>
      <c r="T5" s="29">
        <f t="shared" si="5"/>
        <v>67000</v>
      </c>
      <c r="U5" s="56">
        <f t="shared" si="0"/>
        <v>-8</v>
      </c>
      <c r="V5" s="57">
        <f t="shared" si="1"/>
        <v>-24</v>
      </c>
      <c r="W5" s="58">
        <f t="shared" si="2"/>
        <v>32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6">
        <f t="shared" ref="B6:B30" si="9">IF($E6="","",IF($E5=$E6,B5,IF(B5=3,1,B5+1)))</f>
        <v>2</v>
      </c>
      <c r="C6" s="26">
        <f t="shared" ref="C6:C30" si="10">IF($E6="","",IF($E5=$E6,C5+1,0))</f>
        <v>1</v>
      </c>
      <c r="D6" s="26">
        <f t="shared" ref="D6:D30" si="11">IF($E6="","",IF(OR(F5="流局",K5="流局",P5="流局",F5="チョンボ",K5="チョンボ",P5="チョンボ"),D5+($H5+$M5+$R5)/-1000,0))</f>
        <v>0</v>
      </c>
      <c r="E6" s="5" t="s">
        <v>23</v>
      </c>
      <c r="F6" s="10" t="s">
        <v>29</v>
      </c>
      <c r="G6" s="11">
        <v>-9000</v>
      </c>
      <c r="H6" s="11"/>
      <c r="I6" s="12">
        <f t="shared" ref="I6:I30" si="12">IF(OR(F6="ロン",F6="ツモ"),$C6*1000,IF(F6="放銃",$C6*-1000,IF(F6="ツモ支払",$C6*-500,"")))</f>
        <v>-500</v>
      </c>
      <c r="J6" s="29">
        <f t="shared" si="3"/>
        <v>17500</v>
      </c>
      <c r="K6" s="10" t="s">
        <v>29</v>
      </c>
      <c r="L6" s="11">
        <v>-9000</v>
      </c>
      <c r="M6" s="11"/>
      <c r="N6" s="12">
        <f t="shared" si="6"/>
        <v>-500</v>
      </c>
      <c r="O6" s="29">
        <f t="shared" si="4"/>
        <v>1500</v>
      </c>
      <c r="P6" s="10" t="s">
        <v>28</v>
      </c>
      <c r="Q6" s="11">
        <v>18000</v>
      </c>
      <c r="R6" s="11"/>
      <c r="S6" s="12">
        <f t="shared" si="7"/>
        <v>1000</v>
      </c>
      <c r="T6" s="29">
        <f t="shared" si="5"/>
        <v>86000</v>
      </c>
      <c r="U6" s="56">
        <f t="shared" si="0"/>
        <v>-17.5</v>
      </c>
      <c r="V6" s="57">
        <f t="shared" si="1"/>
        <v>-33.5</v>
      </c>
      <c r="W6" s="58">
        <f t="shared" si="2"/>
        <v>51</v>
      </c>
    </row>
    <row r="7" spans="1:23" x14ac:dyDescent="0.4">
      <c r="A7" s="17" t="str">
        <f t="shared" si="8"/>
        <v>東</v>
      </c>
      <c r="B7" s="26">
        <f t="shared" si="9"/>
        <v>2</v>
      </c>
      <c r="C7" s="26">
        <f t="shared" si="10"/>
        <v>2</v>
      </c>
      <c r="D7" s="26">
        <f t="shared" si="11"/>
        <v>0</v>
      </c>
      <c r="E7" s="5" t="s">
        <v>23</v>
      </c>
      <c r="F7" s="10" t="s">
        <v>25</v>
      </c>
      <c r="G7" s="11">
        <v>8000</v>
      </c>
      <c r="H7" s="11">
        <v>1000</v>
      </c>
      <c r="I7" s="12">
        <f t="shared" si="12"/>
        <v>2000</v>
      </c>
      <c r="J7" s="29">
        <f t="shared" si="3"/>
        <v>28500</v>
      </c>
      <c r="K7" s="10" t="s">
        <v>26</v>
      </c>
      <c r="L7" s="11">
        <v>-8000</v>
      </c>
      <c r="M7" s="11">
        <v>-1000</v>
      </c>
      <c r="N7" s="12">
        <f t="shared" si="6"/>
        <v>-2000</v>
      </c>
      <c r="O7" s="29">
        <f t="shared" si="4"/>
        <v>-9500</v>
      </c>
      <c r="P7" s="10"/>
      <c r="Q7" s="11"/>
      <c r="R7" s="11"/>
      <c r="S7" s="12" t="str">
        <f t="shared" si="7"/>
        <v/>
      </c>
      <c r="T7" s="29">
        <f t="shared" si="5"/>
        <v>86000</v>
      </c>
      <c r="U7" s="56">
        <f t="shared" si="0"/>
        <v>-6.5</v>
      </c>
      <c r="V7" s="57">
        <f t="shared" si="1"/>
        <v>-44.5</v>
      </c>
      <c r="W7" s="58">
        <f t="shared" si="2"/>
        <v>51</v>
      </c>
    </row>
    <row r="8" spans="1:23" x14ac:dyDescent="0.4">
      <c r="A8" s="17" t="str">
        <f t="shared" si="8"/>
        <v/>
      </c>
      <c r="B8" s="26" t="str">
        <f t="shared" si="9"/>
        <v/>
      </c>
      <c r="C8" s="26" t="str">
        <f t="shared" si="10"/>
        <v/>
      </c>
      <c r="D8" s="26" t="str">
        <f t="shared" si="11"/>
        <v/>
      </c>
      <c r="E8" s="5"/>
      <c r="F8" s="10"/>
      <c r="G8" s="11"/>
      <c r="H8" s="11"/>
      <c r="I8" s="12" t="str">
        <f t="shared" si="12"/>
        <v/>
      </c>
      <c r="J8" s="29" t="str">
        <f t="shared" si="3"/>
        <v/>
      </c>
      <c r="K8" s="10"/>
      <c r="L8" s="11"/>
      <c r="M8" s="11"/>
      <c r="N8" s="12" t="str">
        <f t="shared" si="6"/>
        <v/>
      </c>
      <c r="O8" s="29" t="str">
        <f t="shared" si="4"/>
        <v/>
      </c>
      <c r="P8" s="10"/>
      <c r="Q8" s="11"/>
      <c r="R8" s="11"/>
      <c r="S8" s="12" t="str">
        <f t="shared" si="7"/>
        <v/>
      </c>
      <c r="T8" s="29" t="str">
        <f t="shared" si="5"/>
        <v/>
      </c>
      <c r="U8" s="56" t="str">
        <f t="shared" si="0"/>
        <v/>
      </c>
      <c r="V8" s="57" t="str">
        <f t="shared" si="1"/>
        <v/>
      </c>
      <c r="W8" s="58" t="str">
        <f t="shared" si="2"/>
        <v/>
      </c>
    </row>
    <row r="9" spans="1:23" x14ac:dyDescent="0.4">
      <c r="A9" s="17" t="str">
        <f t="shared" si="8"/>
        <v/>
      </c>
      <c r="B9" s="26" t="str">
        <f t="shared" si="9"/>
        <v/>
      </c>
      <c r="C9" s="26" t="str">
        <f t="shared" si="10"/>
        <v/>
      </c>
      <c r="D9" s="26" t="str">
        <f t="shared" si="11"/>
        <v/>
      </c>
      <c r="E9" s="5"/>
      <c r="F9" s="10"/>
      <c r="G9" s="11"/>
      <c r="H9" s="11"/>
      <c r="I9" s="12" t="str">
        <f t="shared" si="12"/>
        <v/>
      </c>
      <c r="J9" s="29" t="str">
        <f t="shared" si="3"/>
        <v/>
      </c>
      <c r="K9" s="10"/>
      <c r="L9" s="11"/>
      <c r="M9" s="11"/>
      <c r="N9" s="12" t="str">
        <f t="shared" si="6"/>
        <v/>
      </c>
      <c r="O9" s="29" t="str">
        <f t="shared" si="4"/>
        <v/>
      </c>
      <c r="P9" s="10"/>
      <c r="Q9" s="11"/>
      <c r="R9" s="11"/>
      <c r="S9" s="12" t="str">
        <f t="shared" si="7"/>
        <v/>
      </c>
      <c r="T9" s="29" t="str">
        <f t="shared" si="5"/>
        <v/>
      </c>
      <c r="U9" s="56" t="str">
        <f t="shared" si="0"/>
        <v/>
      </c>
      <c r="V9" s="57" t="str">
        <f t="shared" si="1"/>
        <v/>
      </c>
      <c r="W9" s="58" t="str">
        <f t="shared" si="2"/>
        <v/>
      </c>
    </row>
    <row r="10" spans="1:23" x14ac:dyDescent="0.4">
      <c r="A10" s="17" t="str">
        <f t="shared" si="8"/>
        <v/>
      </c>
      <c r="B10" s="26" t="str">
        <f t="shared" si="9"/>
        <v/>
      </c>
      <c r="C10" s="26" t="str">
        <f t="shared" si="10"/>
        <v/>
      </c>
      <c r="D10" s="26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9" t="str">
        <f t="shared" si="3"/>
        <v/>
      </c>
      <c r="K10" s="10"/>
      <c r="L10" s="11"/>
      <c r="M10" s="11"/>
      <c r="N10" s="12" t="str">
        <f t="shared" si="6"/>
        <v/>
      </c>
      <c r="O10" s="29" t="str">
        <f t="shared" si="4"/>
        <v/>
      </c>
      <c r="P10" s="10"/>
      <c r="Q10" s="11"/>
      <c r="R10" s="11"/>
      <c r="S10" s="12" t="str">
        <f t="shared" si="7"/>
        <v/>
      </c>
      <c r="T10" s="29" t="str">
        <f t="shared" si="5"/>
        <v/>
      </c>
      <c r="U10" s="56" t="str">
        <f t="shared" si="0"/>
        <v/>
      </c>
      <c r="V10" s="57" t="str">
        <f t="shared" si="1"/>
        <v/>
      </c>
      <c r="W10" s="58" t="str">
        <f t="shared" si="2"/>
        <v/>
      </c>
    </row>
    <row r="11" spans="1:23" x14ac:dyDescent="0.4">
      <c r="A11" s="17" t="str">
        <f t="shared" si="8"/>
        <v/>
      </c>
      <c r="B11" s="26" t="str">
        <f t="shared" si="9"/>
        <v/>
      </c>
      <c r="C11" s="26" t="str">
        <f t="shared" si="10"/>
        <v/>
      </c>
      <c r="D11" s="26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9" t="str">
        <f t="shared" si="3"/>
        <v/>
      </c>
      <c r="K11" s="10"/>
      <c r="L11" s="11"/>
      <c r="M11" s="11"/>
      <c r="N11" s="12" t="str">
        <f t="shared" si="6"/>
        <v/>
      </c>
      <c r="O11" s="29" t="str">
        <f t="shared" si="4"/>
        <v/>
      </c>
      <c r="P11" s="10"/>
      <c r="Q11" s="11"/>
      <c r="R11" s="11"/>
      <c r="S11" s="12" t="str">
        <f t="shared" si="7"/>
        <v/>
      </c>
      <c r="T11" s="29" t="str">
        <f t="shared" si="5"/>
        <v/>
      </c>
      <c r="U11" s="56" t="str">
        <f t="shared" si="0"/>
        <v/>
      </c>
      <c r="V11" s="57" t="str">
        <f t="shared" si="1"/>
        <v/>
      </c>
      <c r="W11" s="58" t="str">
        <f t="shared" si="2"/>
        <v/>
      </c>
    </row>
    <row r="12" spans="1:23" x14ac:dyDescent="0.4">
      <c r="A12" s="17" t="str">
        <f t="shared" si="8"/>
        <v/>
      </c>
      <c r="B12" s="26" t="str">
        <f t="shared" si="9"/>
        <v/>
      </c>
      <c r="C12" s="26" t="str">
        <f t="shared" si="10"/>
        <v/>
      </c>
      <c r="D12" s="26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9" t="str">
        <f t="shared" si="3"/>
        <v/>
      </c>
      <c r="K12" s="10"/>
      <c r="L12" s="11"/>
      <c r="M12" s="11"/>
      <c r="N12" s="12" t="str">
        <f t="shared" si="6"/>
        <v/>
      </c>
      <c r="O12" s="29" t="str">
        <f t="shared" si="4"/>
        <v/>
      </c>
      <c r="P12" s="10"/>
      <c r="Q12" s="11"/>
      <c r="R12" s="11"/>
      <c r="S12" s="12" t="str">
        <f t="shared" si="7"/>
        <v/>
      </c>
      <c r="T12" s="29" t="str">
        <f t="shared" si="5"/>
        <v/>
      </c>
      <c r="U12" s="56" t="str">
        <f t="shared" si="0"/>
        <v/>
      </c>
      <c r="V12" s="57" t="str">
        <f t="shared" si="1"/>
        <v/>
      </c>
      <c r="W12" s="58" t="str">
        <f t="shared" si="2"/>
        <v/>
      </c>
    </row>
    <row r="13" spans="1:23" x14ac:dyDescent="0.4">
      <c r="A13" s="17" t="str">
        <f t="shared" si="8"/>
        <v/>
      </c>
      <c r="B13" s="26" t="str">
        <f t="shared" si="9"/>
        <v/>
      </c>
      <c r="C13" s="26" t="str">
        <f t="shared" si="10"/>
        <v/>
      </c>
      <c r="D13" s="26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9" t="str">
        <f t="shared" si="3"/>
        <v/>
      </c>
      <c r="K13" s="10"/>
      <c r="L13" s="11"/>
      <c r="M13" s="11"/>
      <c r="N13" s="12" t="str">
        <f t="shared" si="6"/>
        <v/>
      </c>
      <c r="O13" s="29" t="str">
        <f t="shared" si="4"/>
        <v/>
      </c>
      <c r="P13" s="10"/>
      <c r="Q13" s="11"/>
      <c r="R13" s="11"/>
      <c r="S13" s="12" t="str">
        <f t="shared" si="7"/>
        <v/>
      </c>
      <c r="T13" s="29" t="str">
        <f t="shared" si="5"/>
        <v/>
      </c>
      <c r="U13" s="56" t="str">
        <f t="shared" si="0"/>
        <v/>
      </c>
      <c r="V13" s="57" t="str">
        <f t="shared" si="1"/>
        <v/>
      </c>
      <c r="W13" s="58" t="str">
        <f t="shared" si="2"/>
        <v/>
      </c>
    </row>
    <row r="14" spans="1:23" x14ac:dyDescent="0.4">
      <c r="A14" s="17" t="str">
        <f t="shared" si="8"/>
        <v/>
      </c>
      <c r="B14" s="26" t="str">
        <f t="shared" si="9"/>
        <v/>
      </c>
      <c r="C14" s="26" t="str">
        <f t="shared" si="10"/>
        <v/>
      </c>
      <c r="D14" s="26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9" t="str">
        <f t="shared" si="3"/>
        <v/>
      </c>
      <c r="K14" s="10"/>
      <c r="L14" s="11"/>
      <c r="M14" s="11"/>
      <c r="N14" s="12" t="str">
        <f t="shared" si="6"/>
        <v/>
      </c>
      <c r="O14" s="29" t="str">
        <f t="shared" si="4"/>
        <v/>
      </c>
      <c r="P14" s="10"/>
      <c r="Q14" s="11"/>
      <c r="R14" s="11"/>
      <c r="S14" s="12" t="str">
        <f t="shared" si="7"/>
        <v/>
      </c>
      <c r="T14" s="29" t="str">
        <f t="shared" si="5"/>
        <v/>
      </c>
      <c r="U14" s="56" t="str">
        <f t="shared" si="0"/>
        <v/>
      </c>
      <c r="V14" s="57" t="str">
        <f t="shared" si="1"/>
        <v/>
      </c>
      <c r="W14" s="58" t="str">
        <f t="shared" si="2"/>
        <v/>
      </c>
    </row>
    <row r="15" spans="1:23" x14ac:dyDescent="0.4">
      <c r="A15" s="17" t="str">
        <f t="shared" si="8"/>
        <v/>
      </c>
      <c r="B15" s="26" t="str">
        <f t="shared" si="9"/>
        <v/>
      </c>
      <c r="C15" s="26" t="str">
        <f t="shared" si="10"/>
        <v/>
      </c>
      <c r="D15" s="26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9" t="str">
        <f t="shared" si="3"/>
        <v/>
      </c>
      <c r="K15" s="10"/>
      <c r="L15" s="11"/>
      <c r="M15" s="11"/>
      <c r="N15" s="12" t="str">
        <f t="shared" si="6"/>
        <v/>
      </c>
      <c r="O15" s="29" t="str">
        <f t="shared" si="4"/>
        <v/>
      </c>
      <c r="P15" s="10"/>
      <c r="Q15" s="11"/>
      <c r="R15" s="11"/>
      <c r="S15" s="12" t="str">
        <f t="shared" si="7"/>
        <v/>
      </c>
      <c r="T15" s="29" t="str">
        <f t="shared" si="5"/>
        <v/>
      </c>
      <c r="U15" s="56" t="str">
        <f t="shared" si="0"/>
        <v/>
      </c>
      <c r="V15" s="57" t="str">
        <f t="shared" si="1"/>
        <v/>
      </c>
      <c r="W15" s="58" t="str">
        <f t="shared" si="2"/>
        <v/>
      </c>
    </row>
    <row r="16" spans="1:23" x14ac:dyDescent="0.4">
      <c r="A16" s="17" t="str">
        <f t="shared" si="8"/>
        <v/>
      </c>
      <c r="B16" s="26" t="str">
        <f t="shared" si="9"/>
        <v/>
      </c>
      <c r="C16" s="26" t="str">
        <f t="shared" si="10"/>
        <v/>
      </c>
      <c r="D16" s="26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9" t="str">
        <f t="shared" si="3"/>
        <v/>
      </c>
      <c r="K16" s="10"/>
      <c r="L16" s="11"/>
      <c r="M16" s="11"/>
      <c r="N16" s="12" t="str">
        <f t="shared" si="6"/>
        <v/>
      </c>
      <c r="O16" s="29" t="str">
        <f t="shared" si="4"/>
        <v/>
      </c>
      <c r="P16" s="10"/>
      <c r="Q16" s="11"/>
      <c r="R16" s="11"/>
      <c r="S16" s="12" t="str">
        <f t="shared" si="7"/>
        <v/>
      </c>
      <c r="T16" s="29" t="str">
        <f t="shared" si="5"/>
        <v/>
      </c>
      <c r="U16" s="56" t="str">
        <f t="shared" si="0"/>
        <v/>
      </c>
      <c r="V16" s="57" t="str">
        <f t="shared" si="1"/>
        <v/>
      </c>
      <c r="W16" s="58" t="str">
        <f t="shared" si="2"/>
        <v/>
      </c>
    </row>
    <row r="17" spans="1:23" x14ac:dyDescent="0.4">
      <c r="A17" s="17" t="str">
        <f t="shared" si="8"/>
        <v/>
      </c>
      <c r="B17" s="26" t="str">
        <f t="shared" si="9"/>
        <v/>
      </c>
      <c r="C17" s="26" t="str">
        <f t="shared" si="10"/>
        <v/>
      </c>
      <c r="D17" s="26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9" t="str">
        <f t="shared" si="3"/>
        <v/>
      </c>
      <c r="K17" s="10"/>
      <c r="L17" s="11"/>
      <c r="M17" s="11"/>
      <c r="N17" s="12" t="str">
        <f t="shared" si="6"/>
        <v/>
      </c>
      <c r="O17" s="29" t="str">
        <f t="shared" si="4"/>
        <v/>
      </c>
      <c r="P17" s="10"/>
      <c r="Q17" s="11"/>
      <c r="R17" s="11"/>
      <c r="S17" s="12" t="str">
        <f t="shared" si="7"/>
        <v/>
      </c>
      <c r="T17" s="29" t="str">
        <f t="shared" si="5"/>
        <v/>
      </c>
      <c r="U17" s="56" t="str">
        <f t="shared" si="0"/>
        <v/>
      </c>
      <c r="V17" s="57" t="str">
        <f t="shared" si="1"/>
        <v/>
      </c>
      <c r="W17" s="58" t="str">
        <f t="shared" si="2"/>
        <v/>
      </c>
    </row>
    <row r="18" spans="1:23" x14ac:dyDescent="0.4">
      <c r="A18" s="17" t="str">
        <f t="shared" si="8"/>
        <v/>
      </c>
      <c r="B18" s="26" t="str">
        <f t="shared" si="9"/>
        <v/>
      </c>
      <c r="C18" s="26" t="str">
        <f t="shared" si="10"/>
        <v/>
      </c>
      <c r="D18" s="26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9" t="str">
        <f t="shared" si="3"/>
        <v/>
      </c>
      <c r="K18" s="10"/>
      <c r="L18" s="11"/>
      <c r="M18" s="11"/>
      <c r="N18" s="12" t="str">
        <f t="shared" si="6"/>
        <v/>
      </c>
      <c r="O18" s="29" t="str">
        <f t="shared" si="4"/>
        <v/>
      </c>
      <c r="P18" s="10"/>
      <c r="Q18" s="11"/>
      <c r="R18" s="11"/>
      <c r="S18" s="12" t="str">
        <f t="shared" si="7"/>
        <v/>
      </c>
      <c r="T18" s="29" t="str">
        <f t="shared" si="5"/>
        <v/>
      </c>
      <c r="U18" s="56" t="str">
        <f t="shared" si="0"/>
        <v/>
      </c>
      <c r="V18" s="57" t="str">
        <f t="shared" si="1"/>
        <v/>
      </c>
      <c r="W18" s="58" t="str">
        <f t="shared" si="2"/>
        <v/>
      </c>
    </row>
    <row r="19" spans="1:23" x14ac:dyDescent="0.4">
      <c r="A19" s="17" t="str">
        <f t="shared" si="8"/>
        <v/>
      </c>
      <c r="B19" s="26" t="str">
        <f t="shared" si="9"/>
        <v/>
      </c>
      <c r="C19" s="26" t="str">
        <f t="shared" si="10"/>
        <v/>
      </c>
      <c r="D19" s="26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9" t="str">
        <f t="shared" si="3"/>
        <v/>
      </c>
      <c r="K19" s="10"/>
      <c r="L19" s="11"/>
      <c r="M19" s="11"/>
      <c r="N19" s="12" t="str">
        <f t="shared" si="6"/>
        <v/>
      </c>
      <c r="O19" s="29" t="str">
        <f t="shared" si="4"/>
        <v/>
      </c>
      <c r="P19" s="10"/>
      <c r="Q19" s="11"/>
      <c r="R19" s="11"/>
      <c r="S19" s="12" t="str">
        <f t="shared" si="7"/>
        <v/>
      </c>
      <c r="T19" s="29" t="str">
        <f t="shared" si="5"/>
        <v/>
      </c>
      <c r="U19" s="56" t="str">
        <f t="shared" si="0"/>
        <v/>
      </c>
      <c r="V19" s="57" t="str">
        <f t="shared" si="1"/>
        <v/>
      </c>
      <c r="W19" s="58" t="str">
        <f t="shared" si="2"/>
        <v/>
      </c>
    </row>
    <row r="20" spans="1:23" x14ac:dyDescent="0.4">
      <c r="A20" s="17" t="str">
        <f t="shared" si="8"/>
        <v/>
      </c>
      <c r="B20" s="26" t="str">
        <f t="shared" si="9"/>
        <v/>
      </c>
      <c r="C20" s="26" t="str">
        <f t="shared" si="10"/>
        <v/>
      </c>
      <c r="D20" s="26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9" t="str">
        <f t="shared" si="3"/>
        <v/>
      </c>
      <c r="K20" s="10"/>
      <c r="L20" s="11"/>
      <c r="M20" s="11"/>
      <c r="N20" s="12" t="str">
        <f t="shared" si="6"/>
        <v/>
      </c>
      <c r="O20" s="29" t="str">
        <f t="shared" si="4"/>
        <v/>
      </c>
      <c r="P20" s="10"/>
      <c r="Q20" s="11"/>
      <c r="R20" s="11"/>
      <c r="S20" s="12" t="str">
        <f t="shared" si="7"/>
        <v/>
      </c>
      <c r="T20" s="29" t="str">
        <f t="shared" si="5"/>
        <v/>
      </c>
      <c r="U20" s="56" t="str">
        <f t="shared" si="0"/>
        <v/>
      </c>
      <c r="V20" s="57" t="str">
        <f t="shared" si="1"/>
        <v/>
      </c>
      <c r="W20" s="58" t="str">
        <f t="shared" si="2"/>
        <v/>
      </c>
    </row>
    <row r="21" spans="1:23" x14ac:dyDescent="0.4">
      <c r="A21" s="17" t="str">
        <f t="shared" si="8"/>
        <v/>
      </c>
      <c r="B21" s="26" t="str">
        <f t="shared" si="9"/>
        <v/>
      </c>
      <c r="C21" s="26" t="str">
        <f t="shared" si="10"/>
        <v/>
      </c>
      <c r="D21" s="26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9" t="str">
        <f t="shared" si="3"/>
        <v/>
      </c>
      <c r="K21" s="10"/>
      <c r="L21" s="11"/>
      <c r="M21" s="11"/>
      <c r="N21" s="12" t="str">
        <f t="shared" si="6"/>
        <v/>
      </c>
      <c r="O21" s="29" t="str">
        <f t="shared" si="4"/>
        <v/>
      </c>
      <c r="P21" s="10"/>
      <c r="Q21" s="11"/>
      <c r="R21" s="11"/>
      <c r="S21" s="12" t="str">
        <f t="shared" si="7"/>
        <v/>
      </c>
      <c r="T21" s="29" t="str">
        <f t="shared" si="5"/>
        <v/>
      </c>
      <c r="U21" s="56" t="str">
        <f t="shared" si="0"/>
        <v/>
      </c>
      <c r="V21" s="57" t="str">
        <f t="shared" si="1"/>
        <v/>
      </c>
      <c r="W21" s="58" t="str">
        <f t="shared" si="2"/>
        <v/>
      </c>
    </row>
    <row r="22" spans="1:23" x14ac:dyDescent="0.4">
      <c r="A22" s="17" t="str">
        <f t="shared" si="8"/>
        <v/>
      </c>
      <c r="B22" s="26" t="str">
        <f t="shared" si="9"/>
        <v/>
      </c>
      <c r="C22" s="26" t="str">
        <f t="shared" si="10"/>
        <v/>
      </c>
      <c r="D22" s="26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9" t="str">
        <f t="shared" si="3"/>
        <v/>
      </c>
      <c r="K22" s="10"/>
      <c r="L22" s="11"/>
      <c r="M22" s="11"/>
      <c r="N22" s="12" t="str">
        <f t="shared" si="6"/>
        <v/>
      </c>
      <c r="O22" s="29" t="str">
        <f t="shared" si="4"/>
        <v/>
      </c>
      <c r="P22" s="10"/>
      <c r="Q22" s="11"/>
      <c r="R22" s="11"/>
      <c r="S22" s="12" t="str">
        <f t="shared" si="7"/>
        <v/>
      </c>
      <c r="T22" s="29" t="str">
        <f t="shared" si="5"/>
        <v/>
      </c>
      <c r="U22" s="56" t="str">
        <f t="shared" si="0"/>
        <v/>
      </c>
      <c r="V22" s="57" t="str">
        <f t="shared" si="1"/>
        <v/>
      </c>
      <c r="W22" s="58" t="str">
        <f t="shared" si="2"/>
        <v/>
      </c>
    </row>
    <row r="23" spans="1:23" x14ac:dyDescent="0.4">
      <c r="A23" s="17" t="str">
        <f t="shared" si="8"/>
        <v/>
      </c>
      <c r="B23" s="26" t="str">
        <f t="shared" si="9"/>
        <v/>
      </c>
      <c r="C23" s="26" t="str">
        <f t="shared" si="10"/>
        <v/>
      </c>
      <c r="D23" s="26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9" t="str">
        <f t="shared" si="3"/>
        <v/>
      </c>
      <c r="K23" s="10"/>
      <c r="L23" s="11"/>
      <c r="M23" s="11"/>
      <c r="N23" s="12" t="str">
        <f t="shared" si="6"/>
        <v/>
      </c>
      <c r="O23" s="29" t="str">
        <f t="shared" si="4"/>
        <v/>
      </c>
      <c r="P23" s="10"/>
      <c r="Q23" s="11"/>
      <c r="R23" s="11"/>
      <c r="S23" s="12" t="str">
        <f t="shared" si="7"/>
        <v/>
      </c>
      <c r="T23" s="29" t="str">
        <f t="shared" si="5"/>
        <v/>
      </c>
      <c r="U23" s="56" t="str">
        <f t="shared" si="0"/>
        <v/>
      </c>
      <c r="V23" s="57" t="str">
        <f t="shared" si="1"/>
        <v/>
      </c>
      <c r="W23" s="58" t="str">
        <f t="shared" si="2"/>
        <v/>
      </c>
    </row>
    <row r="24" spans="1:23" x14ac:dyDescent="0.4">
      <c r="A24" s="17" t="str">
        <f t="shared" si="8"/>
        <v/>
      </c>
      <c r="B24" s="26" t="str">
        <f t="shared" si="9"/>
        <v/>
      </c>
      <c r="C24" s="26" t="str">
        <f t="shared" si="10"/>
        <v/>
      </c>
      <c r="D24" s="26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9" t="str">
        <f t="shared" si="3"/>
        <v/>
      </c>
      <c r="K24" s="10"/>
      <c r="L24" s="11"/>
      <c r="M24" s="11"/>
      <c r="N24" s="12" t="str">
        <f t="shared" si="6"/>
        <v/>
      </c>
      <c r="O24" s="29" t="str">
        <f t="shared" si="4"/>
        <v/>
      </c>
      <c r="P24" s="10"/>
      <c r="Q24" s="11"/>
      <c r="R24" s="11"/>
      <c r="S24" s="12" t="str">
        <f t="shared" si="7"/>
        <v/>
      </c>
      <c r="T24" s="29" t="str">
        <f t="shared" si="5"/>
        <v/>
      </c>
      <c r="U24" s="56" t="str">
        <f t="shared" si="0"/>
        <v/>
      </c>
      <c r="V24" s="57" t="str">
        <f t="shared" si="1"/>
        <v/>
      </c>
      <c r="W24" s="58" t="str">
        <f t="shared" si="2"/>
        <v/>
      </c>
    </row>
    <row r="25" spans="1:23" x14ac:dyDescent="0.4">
      <c r="A25" s="17" t="str">
        <f t="shared" si="8"/>
        <v/>
      </c>
      <c r="B25" s="26" t="str">
        <f t="shared" si="9"/>
        <v/>
      </c>
      <c r="C25" s="26" t="str">
        <f t="shared" si="10"/>
        <v/>
      </c>
      <c r="D25" s="26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9" t="str">
        <f t="shared" si="3"/>
        <v/>
      </c>
      <c r="K25" s="10"/>
      <c r="L25" s="11"/>
      <c r="M25" s="11"/>
      <c r="N25" s="12" t="str">
        <f t="shared" si="6"/>
        <v/>
      </c>
      <c r="O25" s="29" t="str">
        <f t="shared" si="4"/>
        <v/>
      </c>
      <c r="P25" s="10"/>
      <c r="Q25" s="11"/>
      <c r="R25" s="11"/>
      <c r="S25" s="12" t="str">
        <f t="shared" si="7"/>
        <v/>
      </c>
      <c r="T25" s="29" t="str">
        <f t="shared" si="5"/>
        <v/>
      </c>
      <c r="U25" s="56" t="str">
        <f t="shared" si="0"/>
        <v/>
      </c>
      <c r="V25" s="57" t="str">
        <f t="shared" si="1"/>
        <v/>
      </c>
      <c r="W25" s="58" t="str">
        <f t="shared" si="2"/>
        <v/>
      </c>
    </row>
    <row r="26" spans="1:23" x14ac:dyDescent="0.4">
      <c r="A26" s="17" t="str">
        <f t="shared" si="8"/>
        <v/>
      </c>
      <c r="B26" s="26" t="str">
        <f t="shared" si="9"/>
        <v/>
      </c>
      <c r="C26" s="26" t="str">
        <f t="shared" si="10"/>
        <v/>
      </c>
      <c r="D26" s="26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9" t="str">
        <f t="shared" si="3"/>
        <v/>
      </c>
      <c r="K26" s="10"/>
      <c r="L26" s="11"/>
      <c r="M26" s="11"/>
      <c r="N26" s="12" t="str">
        <f t="shared" si="6"/>
        <v/>
      </c>
      <c r="O26" s="29" t="str">
        <f t="shared" si="4"/>
        <v/>
      </c>
      <c r="P26" s="10"/>
      <c r="Q26" s="11"/>
      <c r="R26" s="11"/>
      <c r="S26" s="12" t="str">
        <f t="shared" si="7"/>
        <v/>
      </c>
      <c r="T26" s="29" t="str">
        <f t="shared" si="5"/>
        <v/>
      </c>
      <c r="U26" s="56" t="str">
        <f t="shared" si="0"/>
        <v/>
      </c>
      <c r="V26" s="57" t="str">
        <f t="shared" si="1"/>
        <v/>
      </c>
      <c r="W26" s="58" t="str">
        <f t="shared" si="2"/>
        <v/>
      </c>
    </row>
    <row r="27" spans="1:23" x14ac:dyDescent="0.4">
      <c r="A27" s="17" t="str">
        <f t="shared" si="8"/>
        <v/>
      </c>
      <c r="B27" s="26" t="str">
        <f t="shared" si="9"/>
        <v/>
      </c>
      <c r="C27" s="26" t="str">
        <f t="shared" si="10"/>
        <v/>
      </c>
      <c r="D27" s="26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9" t="str">
        <f t="shared" si="3"/>
        <v/>
      </c>
      <c r="K27" s="10"/>
      <c r="L27" s="11"/>
      <c r="M27" s="11"/>
      <c r="N27" s="12" t="str">
        <f t="shared" si="6"/>
        <v/>
      </c>
      <c r="O27" s="29" t="str">
        <f t="shared" si="4"/>
        <v/>
      </c>
      <c r="P27" s="10"/>
      <c r="Q27" s="11"/>
      <c r="R27" s="11"/>
      <c r="S27" s="12" t="str">
        <f t="shared" si="7"/>
        <v/>
      </c>
      <c r="T27" s="29" t="str">
        <f t="shared" si="5"/>
        <v/>
      </c>
      <c r="U27" s="56" t="str">
        <f t="shared" si="0"/>
        <v/>
      </c>
      <c r="V27" s="57" t="str">
        <f t="shared" si="1"/>
        <v/>
      </c>
      <c r="W27" s="58" t="str">
        <f t="shared" si="2"/>
        <v/>
      </c>
    </row>
    <row r="28" spans="1:23" x14ac:dyDescent="0.4">
      <c r="A28" s="17" t="str">
        <f t="shared" si="8"/>
        <v/>
      </c>
      <c r="B28" s="26" t="str">
        <f t="shared" si="9"/>
        <v/>
      </c>
      <c r="C28" s="26" t="str">
        <f t="shared" si="10"/>
        <v/>
      </c>
      <c r="D28" s="26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9" t="str">
        <f t="shared" si="3"/>
        <v/>
      </c>
      <c r="K28" s="10"/>
      <c r="L28" s="11"/>
      <c r="M28" s="11"/>
      <c r="N28" s="12" t="str">
        <f t="shared" si="6"/>
        <v/>
      </c>
      <c r="O28" s="29" t="str">
        <f t="shared" si="4"/>
        <v/>
      </c>
      <c r="P28" s="10"/>
      <c r="Q28" s="11"/>
      <c r="R28" s="11"/>
      <c r="S28" s="12" t="str">
        <f t="shared" si="7"/>
        <v/>
      </c>
      <c r="T28" s="29" t="str">
        <f t="shared" si="5"/>
        <v/>
      </c>
      <c r="U28" s="56" t="str">
        <f t="shared" si="0"/>
        <v/>
      </c>
      <c r="V28" s="57" t="str">
        <f t="shared" si="1"/>
        <v/>
      </c>
      <c r="W28" s="58" t="str">
        <f t="shared" si="2"/>
        <v/>
      </c>
    </row>
    <row r="29" spans="1:23" x14ac:dyDescent="0.4">
      <c r="A29" s="17" t="str">
        <f t="shared" si="8"/>
        <v/>
      </c>
      <c r="B29" s="26" t="str">
        <f t="shared" si="9"/>
        <v/>
      </c>
      <c r="C29" s="26" t="str">
        <f t="shared" si="10"/>
        <v/>
      </c>
      <c r="D29" s="26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9" t="str">
        <f t="shared" si="3"/>
        <v/>
      </c>
      <c r="K29" s="10"/>
      <c r="L29" s="11"/>
      <c r="M29" s="11"/>
      <c r="N29" s="12" t="str">
        <f t="shared" si="6"/>
        <v/>
      </c>
      <c r="O29" s="29" t="str">
        <f t="shared" si="4"/>
        <v/>
      </c>
      <c r="P29" s="10"/>
      <c r="Q29" s="11"/>
      <c r="R29" s="11"/>
      <c r="S29" s="12" t="str">
        <f t="shared" si="7"/>
        <v/>
      </c>
      <c r="T29" s="29" t="str">
        <f t="shared" si="5"/>
        <v/>
      </c>
      <c r="U29" s="56" t="str">
        <f t="shared" si="0"/>
        <v/>
      </c>
      <c r="V29" s="57" t="str">
        <f t="shared" si="1"/>
        <v/>
      </c>
      <c r="W29" s="58" t="str">
        <f t="shared" si="2"/>
        <v/>
      </c>
    </row>
    <row r="30" spans="1:23" x14ac:dyDescent="0.4">
      <c r="A30" s="18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0" t="str">
        <f t="shared" si="3"/>
        <v/>
      </c>
      <c r="K30" s="13"/>
      <c r="L30" s="14"/>
      <c r="M30" s="14"/>
      <c r="N30" s="15" t="str">
        <f t="shared" si="6"/>
        <v/>
      </c>
      <c r="O30" s="30" t="str">
        <f t="shared" si="4"/>
        <v/>
      </c>
      <c r="P30" s="13"/>
      <c r="Q30" s="14"/>
      <c r="R30" s="14"/>
      <c r="S30" s="15" t="str">
        <f t="shared" si="7"/>
        <v/>
      </c>
      <c r="T30" s="30" t="str">
        <f t="shared" si="5"/>
        <v/>
      </c>
      <c r="U30" s="59" t="str">
        <f t="shared" si="0"/>
        <v/>
      </c>
      <c r="V30" s="60" t="str">
        <f t="shared" si="1"/>
        <v/>
      </c>
      <c r="W30" s="6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2">
      <formula>IF(AND(G4&lt;&gt;"",F4&lt;&gt;"流局",F4&lt;&gt;"チョンボ"),SUM($G4:$I4,$L4:$N4,$Q4:$S4)-$D4*1000)</formula>
    </cfRule>
  </conditionalFormatting>
  <conditionalFormatting sqref="F1:T1">
    <cfRule type="duplicateValues" dxfId="8" priority="1"/>
  </conditionalFormatting>
  <dataValidations count="2">
    <dataValidation type="list" showInputMessage="1" showErrorMessage="1" sqref="K4:K30 P4:P30 F4:F30" xr:uid="{44481CF0-B424-4391-9332-7A67D8E47D39}">
      <formula1>"ロン,ツモ,放銃,ツモ支払,流局,チョンボ"</formula1>
    </dataValidation>
    <dataValidation type="list" allowBlank="1" showErrorMessage="1" sqref="E4:E30" xr:uid="{C1229348-8800-4C3A-8A29-0B287FF60FA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C3523-B422-4F7F-AFBA-5B7F287FCCEF}">
  <sheetPr codeName="Sheet11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7" t="s">
        <v>0</v>
      </c>
      <c r="B1" s="49" t="s">
        <v>2</v>
      </c>
      <c r="C1" s="49" t="s">
        <v>1</v>
      </c>
      <c r="D1" s="49" t="s">
        <v>6</v>
      </c>
      <c r="E1" s="51" t="s">
        <v>3</v>
      </c>
      <c r="F1" s="43" t="s">
        <v>20</v>
      </c>
      <c r="G1" s="44"/>
      <c r="H1" s="44"/>
      <c r="I1" s="45"/>
      <c r="J1" s="46"/>
      <c r="K1" s="43" t="s">
        <v>22</v>
      </c>
      <c r="L1" s="44"/>
      <c r="M1" s="44"/>
      <c r="N1" s="45"/>
      <c r="O1" s="46"/>
      <c r="P1" s="43" t="s">
        <v>24</v>
      </c>
      <c r="Q1" s="44"/>
      <c r="R1" s="44"/>
      <c r="S1" s="45"/>
      <c r="T1" s="46"/>
      <c r="U1" s="43" t="s">
        <v>8</v>
      </c>
      <c r="V1" s="44"/>
      <c r="W1" s="46"/>
    </row>
    <row r="2" spans="1:23" x14ac:dyDescent="0.4">
      <c r="A2" s="48"/>
      <c r="B2" s="50"/>
      <c r="C2" s="50"/>
      <c r="D2" s="50"/>
      <c r="E2" s="52"/>
      <c r="F2" s="2" t="s">
        <v>7</v>
      </c>
      <c r="G2" s="3" t="s">
        <v>12</v>
      </c>
      <c r="H2" s="3" t="s">
        <v>4</v>
      </c>
      <c r="I2" s="36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6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6" t="s">
        <v>10</v>
      </c>
      <c r="T2" s="8" t="s">
        <v>5</v>
      </c>
      <c r="U2" s="35" t="str">
        <f>F1</f>
        <v>だいち</v>
      </c>
      <c r="V2" s="36" t="str">
        <f>K1</f>
        <v>りくと</v>
      </c>
      <c r="W2" s="22" t="str">
        <f>P1</f>
        <v>いっしー</v>
      </c>
    </row>
    <row r="3" spans="1:23" x14ac:dyDescent="0.4">
      <c r="A3" s="16"/>
      <c r="B3" s="25"/>
      <c r="C3" s="25"/>
      <c r="D3" s="25"/>
      <c r="E3" s="4"/>
      <c r="F3" s="9"/>
      <c r="G3" s="31"/>
      <c r="H3" s="31"/>
      <c r="I3" s="32"/>
      <c r="J3" s="28">
        <v>35000</v>
      </c>
      <c r="K3" s="9"/>
      <c r="L3" s="31"/>
      <c r="M3" s="31"/>
      <c r="N3" s="32"/>
      <c r="O3" s="28">
        <v>35000</v>
      </c>
      <c r="P3" s="9"/>
      <c r="Q3" s="31"/>
      <c r="R3" s="31"/>
      <c r="S3" s="32"/>
      <c r="T3" s="28">
        <v>35000</v>
      </c>
      <c r="U3" s="53">
        <f t="shared" ref="U3:U30" si="0">IF($J3="","",ROUND(($J3-$J$3)/1000,1))</f>
        <v>0</v>
      </c>
      <c r="V3" s="54">
        <f t="shared" ref="V3:V30" si="1">IF($O3="","",ROUND(($O3-$O$3)/1000,1))</f>
        <v>0</v>
      </c>
      <c r="W3" s="55">
        <f t="shared" ref="W3:W30" si="2">IF($T3="","",ROUND(($T3-$T$3)/1000,1))</f>
        <v>0</v>
      </c>
    </row>
    <row r="4" spans="1:23" x14ac:dyDescent="0.4">
      <c r="A4" s="17" t="s">
        <v>11</v>
      </c>
      <c r="B4" s="26">
        <v>1</v>
      </c>
      <c r="C4" s="26">
        <v>0</v>
      </c>
      <c r="D4" s="26">
        <v>0</v>
      </c>
      <c r="E4" s="5" t="s">
        <v>19</v>
      </c>
      <c r="F4" s="10" t="s">
        <v>25</v>
      </c>
      <c r="G4" s="11">
        <v>5800</v>
      </c>
      <c r="H4" s="11"/>
      <c r="I4" s="12">
        <f>IF(OR(F4="ロン",F4="ツモ"),$C4*1000,IF(F4="放銃",$C4*-1000,IF(F4="ツモ支払",$C4*-500,"")))</f>
        <v>0</v>
      </c>
      <c r="J4" s="29">
        <f t="shared" ref="J4:J30" si="3">IF(COUNTA($F4,$K4,$P4)&gt;0,J3+SUM(G4:I4),"")</f>
        <v>40800</v>
      </c>
      <c r="K4" s="10"/>
      <c r="L4" s="11"/>
      <c r="M4" s="11"/>
      <c r="N4" s="12" t="str">
        <f>IF(OR(K4="ロン",K4="ツモ"),$C4*1000,IF(K4="放銃",$C4*-1000,IF(K4="ツモ支払",$C4*-500,"")))</f>
        <v/>
      </c>
      <c r="O4" s="29">
        <f t="shared" ref="O4:O30" si="4">IF(COUNTA($F4,$K4,$P4)&gt;0,O3+SUM(L4:N4),"")</f>
        <v>35000</v>
      </c>
      <c r="P4" s="10" t="s">
        <v>26</v>
      </c>
      <c r="Q4" s="11">
        <v>-5800</v>
      </c>
      <c r="R4" s="11"/>
      <c r="S4" s="12">
        <f>IF(OR(P4="ロン",P4="ツモ"),$C4*1000,IF(P4="放銃",$C4*-1000,IF(P4="ツモ支払",$C4*-500,"")))</f>
        <v>0</v>
      </c>
      <c r="T4" s="29">
        <f t="shared" ref="T4:T30" si="5">IF(COUNTA($F4,$K4,$P4)&gt;0,T3+SUM(Q4:S4),"")</f>
        <v>29200</v>
      </c>
      <c r="U4" s="56">
        <f t="shared" si="0"/>
        <v>5.8</v>
      </c>
      <c r="V4" s="57">
        <f t="shared" si="1"/>
        <v>0</v>
      </c>
      <c r="W4" s="58">
        <f t="shared" si="2"/>
        <v>-5.8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6">
        <f>IF($E5="","",IF($E4=$E5,B4,IF(B4=3,1,B4+1)))</f>
        <v>1</v>
      </c>
      <c r="C5" s="26">
        <f>IF($E5="","",IF($E4=$E5,C4+1,0))</f>
        <v>1</v>
      </c>
      <c r="D5" s="26">
        <f>IF($E5="","",IF(OR(F4="流局",K4="流局",P4="流局",F4="チョンボ",K4="チョンボ",P4="チョンボ"),D4+($H4+$M4+$R4)/-1000,0))</f>
        <v>0</v>
      </c>
      <c r="E5" s="5" t="s">
        <v>19</v>
      </c>
      <c r="F5" s="10" t="s">
        <v>29</v>
      </c>
      <c r="G5" s="11">
        <v>-5000</v>
      </c>
      <c r="H5" s="11"/>
      <c r="I5" s="12">
        <f>IF(OR(F5="ロン",F5="ツモ"),$C5*1000,IF(F5="放銃",$C5*-1000,IF(F5="ツモ支払",$C5*-500,"")))</f>
        <v>-500</v>
      </c>
      <c r="J5" s="29">
        <f t="shared" si="3"/>
        <v>35300</v>
      </c>
      <c r="K5" s="10" t="s">
        <v>29</v>
      </c>
      <c r="L5" s="11">
        <v>-3000</v>
      </c>
      <c r="M5" s="11"/>
      <c r="N5" s="12">
        <f t="shared" ref="N5:N30" si="6">IF(OR(K5="ロン",K5="ツモ"),$C5*1000,IF(K5="放銃",$C5*-1000,IF(K5="ツモ支払",$C5*-500,"")))</f>
        <v>-500</v>
      </c>
      <c r="O5" s="29">
        <f t="shared" si="4"/>
        <v>31500</v>
      </c>
      <c r="P5" s="10" t="s">
        <v>28</v>
      </c>
      <c r="Q5" s="11">
        <v>8000</v>
      </c>
      <c r="R5" s="11"/>
      <c r="S5" s="12">
        <f t="shared" ref="S5:S30" si="7">IF(OR(P5="ロン",P5="ツモ"),$C5*1000,IF(P5="放銃",$C5*-1000,IF(P5="ツモ支払",$C5*-500,"")))</f>
        <v>1000</v>
      </c>
      <c r="T5" s="29">
        <f t="shared" si="5"/>
        <v>38200</v>
      </c>
      <c r="U5" s="56">
        <f t="shared" si="0"/>
        <v>0.3</v>
      </c>
      <c r="V5" s="57">
        <f t="shared" si="1"/>
        <v>-3.5</v>
      </c>
      <c r="W5" s="58">
        <f t="shared" si="2"/>
        <v>3.2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6">
        <f t="shared" ref="B6:B30" si="9">IF($E6="","",IF($E5=$E6,B5,IF(B5=3,1,B5+1)))</f>
        <v>2</v>
      </c>
      <c r="C6" s="26">
        <f t="shared" ref="C6:C30" si="10">IF($E6="","",IF($E5=$E6,C5+1,0))</f>
        <v>0</v>
      </c>
      <c r="D6" s="26">
        <f t="shared" ref="D6:D30" si="11">IF($E6="","",IF(OR(F5="流局",K5="流局",P5="流局",F5="チョンボ",K5="チョンボ",P5="チョンボ"),D5+($H5+$M5+$R5)/-1000,0))</f>
        <v>0</v>
      </c>
      <c r="E6" s="5" t="s">
        <v>21</v>
      </c>
      <c r="F6" s="10" t="s">
        <v>27</v>
      </c>
      <c r="G6" s="11">
        <v>0</v>
      </c>
      <c r="H6" s="11"/>
      <c r="I6" s="12" t="str">
        <f t="shared" ref="I6:I30" si="12">IF(OR(F6="ロン",F6="ツモ"),$C6*1000,IF(F6="放銃",$C6*-1000,IF(F6="ツモ支払",$C6*-500,"")))</f>
        <v/>
      </c>
      <c r="J6" s="29">
        <f t="shared" si="3"/>
        <v>35300</v>
      </c>
      <c r="K6" s="10" t="s">
        <v>27</v>
      </c>
      <c r="L6" s="11">
        <v>0</v>
      </c>
      <c r="M6" s="11"/>
      <c r="N6" s="12" t="str">
        <f t="shared" si="6"/>
        <v/>
      </c>
      <c r="O6" s="29">
        <f t="shared" si="4"/>
        <v>31500</v>
      </c>
      <c r="P6" s="10" t="s">
        <v>27</v>
      </c>
      <c r="Q6" s="11">
        <v>0</v>
      </c>
      <c r="R6" s="11"/>
      <c r="S6" s="12" t="str">
        <f t="shared" si="7"/>
        <v/>
      </c>
      <c r="T6" s="29">
        <f t="shared" si="5"/>
        <v>38200</v>
      </c>
      <c r="U6" s="56">
        <f t="shared" si="0"/>
        <v>0.3</v>
      </c>
      <c r="V6" s="57">
        <f t="shared" si="1"/>
        <v>-3.5</v>
      </c>
      <c r="W6" s="58">
        <f t="shared" si="2"/>
        <v>3.2</v>
      </c>
    </row>
    <row r="7" spans="1:23" x14ac:dyDescent="0.4">
      <c r="A7" s="17" t="str">
        <f t="shared" si="8"/>
        <v>東</v>
      </c>
      <c r="B7" s="26">
        <f t="shared" si="9"/>
        <v>2</v>
      </c>
      <c r="C7" s="26">
        <f t="shared" si="10"/>
        <v>1</v>
      </c>
      <c r="D7" s="26">
        <f t="shared" si="11"/>
        <v>0</v>
      </c>
      <c r="E7" s="5" t="s">
        <v>21</v>
      </c>
      <c r="F7" s="10" t="s">
        <v>29</v>
      </c>
      <c r="G7" s="11">
        <v>-3000</v>
      </c>
      <c r="H7" s="11"/>
      <c r="I7" s="12">
        <f t="shared" si="12"/>
        <v>-500</v>
      </c>
      <c r="J7" s="29">
        <f t="shared" si="3"/>
        <v>31800</v>
      </c>
      <c r="K7" s="10" t="s">
        <v>29</v>
      </c>
      <c r="L7" s="11">
        <v>-5000</v>
      </c>
      <c r="M7" s="11"/>
      <c r="N7" s="12">
        <f t="shared" si="6"/>
        <v>-500</v>
      </c>
      <c r="O7" s="29">
        <f t="shared" si="4"/>
        <v>26000</v>
      </c>
      <c r="P7" s="10" t="s">
        <v>28</v>
      </c>
      <c r="Q7" s="11">
        <v>8000</v>
      </c>
      <c r="R7" s="11"/>
      <c r="S7" s="12">
        <f t="shared" si="7"/>
        <v>1000</v>
      </c>
      <c r="T7" s="29">
        <f t="shared" si="5"/>
        <v>47200</v>
      </c>
      <c r="U7" s="56">
        <f t="shared" si="0"/>
        <v>-3.2</v>
      </c>
      <c r="V7" s="57">
        <f t="shared" si="1"/>
        <v>-9</v>
      </c>
      <c r="W7" s="58">
        <f t="shared" si="2"/>
        <v>12.2</v>
      </c>
    </row>
    <row r="8" spans="1:23" x14ac:dyDescent="0.4">
      <c r="A8" s="17" t="str">
        <f t="shared" si="8"/>
        <v>東</v>
      </c>
      <c r="B8" s="26">
        <f t="shared" si="9"/>
        <v>3</v>
      </c>
      <c r="C8" s="26">
        <f t="shared" si="10"/>
        <v>0</v>
      </c>
      <c r="D8" s="26">
        <f t="shared" si="11"/>
        <v>0</v>
      </c>
      <c r="E8" s="5" t="s">
        <v>23</v>
      </c>
      <c r="F8" s="10"/>
      <c r="G8" s="11"/>
      <c r="H8" s="11"/>
      <c r="I8" s="12" t="str">
        <f t="shared" si="12"/>
        <v/>
      </c>
      <c r="J8" s="29">
        <f t="shared" si="3"/>
        <v>31800</v>
      </c>
      <c r="K8" s="10" t="s">
        <v>25</v>
      </c>
      <c r="L8" s="11">
        <v>24000</v>
      </c>
      <c r="M8" s="11"/>
      <c r="N8" s="12">
        <f t="shared" si="6"/>
        <v>0</v>
      </c>
      <c r="O8" s="29">
        <f t="shared" si="4"/>
        <v>50000</v>
      </c>
      <c r="P8" s="10" t="s">
        <v>26</v>
      </c>
      <c r="Q8" s="11">
        <v>-24000</v>
      </c>
      <c r="R8" s="11"/>
      <c r="S8" s="12">
        <f t="shared" si="7"/>
        <v>0</v>
      </c>
      <c r="T8" s="29">
        <f t="shared" si="5"/>
        <v>23200</v>
      </c>
      <c r="U8" s="56">
        <f t="shared" si="0"/>
        <v>-3.2</v>
      </c>
      <c r="V8" s="57">
        <f t="shared" si="1"/>
        <v>15</v>
      </c>
      <c r="W8" s="58">
        <f t="shared" si="2"/>
        <v>-11.8</v>
      </c>
    </row>
    <row r="9" spans="1:23" x14ac:dyDescent="0.4">
      <c r="A9" s="17" t="str">
        <f t="shared" si="8"/>
        <v>南</v>
      </c>
      <c r="B9" s="26">
        <f t="shared" si="9"/>
        <v>1</v>
      </c>
      <c r="C9" s="26">
        <f t="shared" si="10"/>
        <v>0</v>
      </c>
      <c r="D9" s="26">
        <f t="shared" si="11"/>
        <v>0</v>
      </c>
      <c r="E9" s="5" t="s">
        <v>19</v>
      </c>
      <c r="F9" s="10" t="s">
        <v>29</v>
      </c>
      <c r="G9" s="11">
        <v>-20000</v>
      </c>
      <c r="H9" s="11"/>
      <c r="I9" s="12">
        <f t="shared" si="12"/>
        <v>0</v>
      </c>
      <c r="J9" s="29">
        <f t="shared" si="3"/>
        <v>11800</v>
      </c>
      <c r="K9" s="10" t="s">
        <v>28</v>
      </c>
      <c r="L9" s="11">
        <v>32000</v>
      </c>
      <c r="M9" s="11"/>
      <c r="N9" s="12">
        <f t="shared" si="6"/>
        <v>0</v>
      </c>
      <c r="O9" s="29">
        <f t="shared" si="4"/>
        <v>82000</v>
      </c>
      <c r="P9" s="10" t="s">
        <v>29</v>
      </c>
      <c r="Q9" s="11">
        <v>-12000</v>
      </c>
      <c r="R9" s="11"/>
      <c r="S9" s="12">
        <f t="shared" si="7"/>
        <v>0</v>
      </c>
      <c r="T9" s="29">
        <f t="shared" si="5"/>
        <v>11200</v>
      </c>
      <c r="U9" s="56">
        <f t="shared" si="0"/>
        <v>-23.2</v>
      </c>
      <c r="V9" s="57">
        <f t="shared" si="1"/>
        <v>47</v>
      </c>
      <c r="W9" s="58">
        <f t="shared" si="2"/>
        <v>-23.8</v>
      </c>
    </row>
    <row r="10" spans="1:23" x14ac:dyDescent="0.4">
      <c r="A10" s="17" t="str">
        <f t="shared" si="8"/>
        <v>南</v>
      </c>
      <c r="B10" s="26">
        <f t="shared" si="9"/>
        <v>2</v>
      </c>
      <c r="C10" s="26">
        <f t="shared" si="10"/>
        <v>0</v>
      </c>
      <c r="D10" s="26">
        <f t="shared" si="11"/>
        <v>0</v>
      </c>
      <c r="E10" s="5" t="s">
        <v>21</v>
      </c>
      <c r="F10" s="10" t="s">
        <v>29</v>
      </c>
      <c r="G10" s="11">
        <v>-3000</v>
      </c>
      <c r="H10" s="11"/>
      <c r="I10" s="12">
        <f t="shared" si="12"/>
        <v>0</v>
      </c>
      <c r="J10" s="29">
        <f t="shared" si="3"/>
        <v>8800</v>
      </c>
      <c r="K10" s="10" t="s">
        <v>29</v>
      </c>
      <c r="L10" s="11">
        <v>-5000</v>
      </c>
      <c r="M10" s="11"/>
      <c r="N10" s="12">
        <f t="shared" si="6"/>
        <v>0</v>
      </c>
      <c r="O10" s="29">
        <f t="shared" si="4"/>
        <v>77000</v>
      </c>
      <c r="P10" s="10" t="s">
        <v>28</v>
      </c>
      <c r="Q10" s="11">
        <v>8000</v>
      </c>
      <c r="R10" s="11"/>
      <c r="S10" s="12">
        <f t="shared" si="7"/>
        <v>0</v>
      </c>
      <c r="T10" s="29">
        <f t="shared" si="5"/>
        <v>19200</v>
      </c>
      <c r="U10" s="56">
        <f t="shared" si="0"/>
        <v>-26.2</v>
      </c>
      <c r="V10" s="57">
        <f t="shared" si="1"/>
        <v>42</v>
      </c>
      <c r="W10" s="58">
        <f t="shared" si="2"/>
        <v>-15.8</v>
      </c>
    </row>
    <row r="11" spans="1:23" x14ac:dyDescent="0.4">
      <c r="A11" s="17" t="str">
        <f t="shared" si="8"/>
        <v>南</v>
      </c>
      <c r="B11" s="26">
        <f t="shared" si="9"/>
        <v>3</v>
      </c>
      <c r="C11" s="26">
        <f t="shared" si="10"/>
        <v>0</v>
      </c>
      <c r="D11" s="26">
        <f t="shared" si="11"/>
        <v>0</v>
      </c>
      <c r="E11" s="5" t="s">
        <v>23</v>
      </c>
      <c r="F11" s="10"/>
      <c r="G11" s="11"/>
      <c r="H11" s="11"/>
      <c r="I11" s="12" t="str">
        <f t="shared" si="12"/>
        <v/>
      </c>
      <c r="J11" s="29">
        <f t="shared" si="3"/>
        <v>8800</v>
      </c>
      <c r="K11" s="10" t="s">
        <v>26</v>
      </c>
      <c r="L11" s="11">
        <v>-18000</v>
      </c>
      <c r="M11" s="11"/>
      <c r="N11" s="12">
        <f t="shared" si="6"/>
        <v>0</v>
      </c>
      <c r="O11" s="29">
        <f t="shared" si="4"/>
        <v>59000</v>
      </c>
      <c r="P11" s="10" t="s">
        <v>25</v>
      </c>
      <c r="Q11" s="11">
        <v>18000</v>
      </c>
      <c r="R11" s="11"/>
      <c r="S11" s="12">
        <f t="shared" si="7"/>
        <v>0</v>
      </c>
      <c r="T11" s="29">
        <f t="shared" si="5"/>
        <v>37200</v>
      </c>
      <c r="U11" s="56">
        <f t="shared" si="0"/>
        <v>-26.2</v>
      </c>
      <c r="V11" s="57">
        <f t="shared" si="1"/>
        <v>24</v>
      </c>
      <c r="W11" s="58">
        <f t="shared" si="2"/>
        <v>2.2000000000000002</v>
      </c>
    </row>
    <row r="12" spans="1:23" x14ac:dyDescent="0.4">
      <c r="A12" s="17" t="str">
        <f t="shared" si="8"/>
        <v>南</v>
      </c>
      <c r="B12" s="26">
        <f t="shared" si="9"/>
        <v>3</v>
      </c>
      <c r="C12" s="26">
        <f t="shared" si="10"/>
        <v>1</v>
      </c>
      <c r="D12" s="26">
        <f t="shared" si="11"/>
        <v>0</v>
      </c>
      <c r="E12" s="5" t="s">
        <v>23</v>
      </c>
      <c r="F12" s="10" t="s">
        <v>29</v>
      </c>
      <c r="G12" s="11">
        <v>-6000</v>
      </c>
      <c r="H12" s="11">
        <v>-1000</v>
      </c>
      <c r="I12" s="12">
        <f t="shared" si="12"/>
        <v>-500</v>
      </c>
      <c r="J12" s="29">
        <f t="shared" si="3"/>
        <v>1300</v>
      </c>
      <c r="K12" s="10" t="s">
        <v>29</v>
      </c>
      <c r="L12" s="11">
        <v>-6000</v>
      </c>
      <c r="M12" s="11">
        <v>-1000</v>
      </c>
      <c r="N12" s="12">
        <f t="shared" si="6"/>
        <v>-500</v>
      </c>
      <c r="O12" s="29">
        <f t="shared" si="4"/>
        <v>51500</v>
      </c>
      <c r="P12" s="10" t="s">
        <v>28</v>
      </c>
      <c r="Q12" s="11">
        <v>12000</v>
      </c>
      <c r="R12" s="11">
        <v>2000</v>
      </c>
      <c r="S12" s="12">
        <f t="shared" si="7"/>
        <v>1000</v>
      </c>
      <c r="T12" s="29">
        <f t="shared" si="5"/>
        <v>52200</v>
      </c>
      <c r="U12" s="56">
        <f t="shared" si="0"/>
        <v>-33.700000000000003</v>
      </c>
      <c r="V12" s="57">
        <f t="shared" si="1"/>
        <v>16.5</v>
      </c>
      <c r="W12" s="58">
        <f t="shared" si="2"/>
        <v>17.2</v>
      </c>
    </row>
    <row r="13" spans="1:23" x14ac:dyDescent="0.4">
      <c r="A13" s="17" t="str">
        <f t="shared" si="8"/>
        <v/>
      </c>
      <c r="B13" s="26" t="str">
        <f t="shared" si="9"/>
        <v/>
      </c>
      <c r="C13" s="26" t="str">
        <f t="shared" si="10"/>
        <v/>
      </c>
      <c r="D13" s="26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9" t="str">
        <f t="shared" si="3"/>
        <v/>
      </c>
      <c r="K13" s="10"/>
      <c r="L13" s="11"/>
      <c r="M13" s="11"/>
      <c r="N13" s="12" t="str">
        <f t="shared" si="6"/>
        <v/>
      </c>
      <c r="O13" s="29" t="str">
        <f t="shared" si="4"/>
        <v/>
      </c>
      <c r="P13" s="10"/>
      <c r="Q13" s="11"/>
      <c r="R13" s="11"/>
      <c r="S13" s="12" t="str">
        <f t="shared" si="7"/>
        <v/>
      </c>
      <c r="T13" s="29" t="str">
        <f t="shared" si="5"/>
        <v/>
      </c>
      <c r="U13" s="56" t="str">
        <f t="shared" si="0"/>
        <v/>
      </c>
      <c r="V13" s="57" t="str">
        <f t="shared" si="1"/>
        <v/>
      </c>
      <c r="W13" s="58" t="str">
        <f t="shared" si="2"/>
        <v/>
      </c>
    </row>
    <row r="14" spans="1:23" x14ac:dyDescent="0.4">
      <c r="A14" s="17" t="str">
        <f t="shared" si="8"/>
        <v/>
      </c>
      <c r="B14" s="26" t="str">
        <f t="shared" si="9"/>
        <v/>
      </c>
      <c r="C14" s="26" t="str">
        <f t="shared" si="10"/>
        <v/>
      </c>
      <c r="D14" s="26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9" t="str">
        <f t="shared" si="3"/>
        <v/>
      </c>
      <c r="K14" s="10"/>
      <c r="L14" s="11"/>
      <c r="M14" s="11"/>
      <c r="N14" s="12" t="str">
        <f t="shared" si="6"/>
        <v/>
      </c>
      <c r="O14" s="29" t="str">
        <f t="shared" si="4"/>
        <v/>
      </c>
      <c r="P14" s="10"/>
      <c r="Q14" s="11"/>
      <c r="R14" s="11"/>
      <c r="S14" s="12" t="str">
        <f t="shared" si="7"/>
        <v/>
      </c>
      <c r="T14" s="29" t="str">
        <f t="shared" si="5"/>
        <v/>
      </c>
      <c r="U14" s="56" t="str">
        <f t="shared" si="0"/>
        <v/>
      </c>
      <c r="V14" s="57" t="str">
        <f t="shared" si="1"/>
        <v/>
      </c>
      <c r="W14" s="58" t="str">
        <f t="shared" si="2"/>
        <v/>
      </c>
    </row>
    <row r="15" spans="1:23" x14ac:dyDescent="0.4">
      <c r="A15" s="17" t="str">
        <f t="shared" si="8"/>
        <v/>
      </c>
      <c r="B15" s="26" t="str">
        <f t="shared" si="9"/>
        <v/>
      </c>
      <c r="C15" s="26" t="str">
        <f t="shared" si="10"/>
        <v/>
      </c>
      <c r="D15" s="26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9" t="str">
        <f t="shared" si="3"/>
        <v/>
      </c>
      <c r="K15" s="10"/>
      <c r="L15" s="11"/>
      <c r="M15" s="11"/>
      <c r="N15" s="12" t="str">
        <f t="shared" si="6"/>
        <v/>
      </c>
      <c r="O15" s="29" t="str">
        <f t="shared" si="4"/>
        <v/>
      </c>
      <c r="P15" s="10"/>
      <c r="Q15" s="11"/>
      <c r="R15" s="11"/>
      <c r="S15" s="12" t="str">
        <f t="shared" si="7"/>
        <v/>
      </c>
      <c r="T15" s="29" t="str">
        <f t="shared" si="5"/>
        <v/>
      </c>
      <c r="U15" s="56" t="str">
        <f t="shared" si="0"/>
        <v/>
      </c>
      <c r="V15" s="57" t="str">
        <f t="shared" si="1"/>
        <v/>
      </c>
      <c r="W15" s="58" t="str">
        <f t="shared" si="2"/>
        <v/>
      </c>
    </row>
    <row r="16" spans="1:23" x14ac:dyDescent="0.4">
      <c r="A16" s="17" t="str">
        <f t="shared" si="8"/>
        <v/>
      </c>
      <c r="B16" s="26" t="str">
        <f t="shared" si="9"/>
        <v/>
      </c>
      <c r="C16" s="26" t="str">
        <f t="shared" si="10"/>
        <v/>
      </c>
      <c r="D16" s="26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9" t="str">
        <f t="shared" si="3"/>
        <v/>
      </c>
      <c r="K16" s="10"/>
      <c r="L16" s="11"/>
      <c r="M16" s="11"/>
      <c r="N16" s="12" t="str">
        <f t="shared" si="6"/>
        <v/>
      </c>
      <c r="O16" s="29" t="str">
        <f t="shared" si="4"/>
        <v/>
      </c>
      <c r="P16" s="10"/>
      <c r="Q16" s="11"/>
      <c r="R16" s="11"/>
      <c r="S16" s="12" t="str">
        <f t="shared" si="7"/>
        <v/>
      </c>
      <c r="T16" s="29" t="str">
        <f t="shared" si="5"/>
        <v/>
      </c>
      <c r="U16" s="56" t="str">
        <f t="shared" si="0"/>
        <v/>
      </c>
      <c r="V16" s="57" t="str">
        <f t="shared" si="1"/>
        <v/>
      </c>
      <c r="W16" s="58" t="str">
        <f t="shared" si="2"/>
        <v/>
      </c>
    </row>
    <row r="17" spans="1:23" x14ac:dyDescent="0.4">
      <c r="A17" s="17" t="str">
        <f t="shared" si="8"/>
        <v/>
      </c>
      <c r="B17" s="26" t="str">
        <f t="shared" si="9"/>
        <v/>
      </c>
      <c r="C17" s="26" t="str">
        <f t="shared" si="10"/>
        <v/>
      </c>
      <c r="D17" s="26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9" t="str">
        <f t="shared" si="3"/>
        <v/>
      </c>
      <c r="K17" s="10"/>
      <c r="L17" s="11"/>
      <c r="M17" s="11"/>
      <c r="N17" s="12" t="str">
        <f t="shared" si="6"/>
        <v/>
      </c>
      <c r="O17" s="29" t="str">
        <f t="shared" si="4"/>
        <v/>
      </c>
      <c r="P17" s="10"/>
      <c r="Q17" s="11"/>
      <c r="R17" s="11"/>
      <c r="S17" s="12" t="str">
        <f t="shared" si="7"/>
        <v/>
      </c>
      <c r="T17" s="29" t="str">
        <f t="shared" si="5"/>
        <v/>
      </c>
      <c r="U17" s="56" t="str">
        <f t="shared" si="0"/>
        <v/>
      </c>
      <c r="V17" s="57" t="str">
        <f t="shared" si="1"/>
        <v/>
      </c>
      <c r="W17" s="58" t="str">
        <f t="shared" si="2"/>
        <v/>
      </c>
    </row>
    <row r="18" spans="1:23" x14ac:dyDescent="0.4">
      <c r="A18" s="17" t="str">
        <f t="shared" si="8"/>
        <v/>
      </c>
      <c r="B18" s="26" t="str">
        <f t="shared" si="9"/>
        <v/>
      </c>
      <c r="C18" s="26" t="str">
        <f t="shared" si="10"/>
        <v/>
      </c>
      <c r="D18" s="26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9" t="str">
        <f t="shared" si="3"/>
        <v/>
      </c>
      <c r="K18" s="10"/>
      <c r="L18" s="11"/>
      <c r="M18" s="11"/>
      <c r="N18" s="12" t="str">
        <f t="shared" si="6"/>
        <v/>
      </c>
      <c r="O18" s="29" t="str">
        <f t="shared" si="4"/>
        <v/>
      </c>
      <c r="P18" s="10"/>
      <c r="Q18" s="11"/>
      <c r="R18" s="11"/>
      <c r="S18" s="12" t="str">
        <f t="shared" si="7"/>
        <v/>
      </c>
      <c r="T18" s="29" t="str">
        <f t="shared" si="5"/>
        <v/>
      </c>
      <c r="U18" s="56" t="str">
        <f t="shared" si="0"/>
        <v/>
      </c>
      <c r="V18" s="57" t="str">
        <f t="shared" si="1"/>
        <v/>
      </c>
      <c r="W18" s="58" t="str">
        <f t="shared" si="2"/>
        <v/>
      </c>
    </row>
    <row r="19" spans="1:23" x14ac:dyDescent="0.4">
      <c r="A19" s="17" t="str">
        <f t="shared" si="8"/>
        <v/>
      </c>
      <c r="B19" s="26" t="str">
        <f t="shared" si="9"/>
        <v/>
      </c>
      <c r="C19" s="26" t="str">
        <f t="shared" si="10"/>
        <v/>
      </c>
      <c r="D19" s="26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9" t="str">
        <f t="shared" si="3"/>
        <v/>
      </c>
      <c r="K19" s="10"/>
      <c r="L19" s="11"/>
      <c r="M19" s="11"/>
      <c r="N19" s="12" t="str">
        <f t="shared" si="6"/>
        <v/>
      </c>
      <c r="O19" s="29" t="str">
        <f t="shared" si="4"/>
        <v/>
      </c>
      <c r="P19" s="10"/>
      <c r="Q19" s="11"/>
      <c r="R19" s="11"/>
      <c r="S19" s="12" t="str">
        <f t="shared" si="7"/>
        <v/>
      </c>
      <c r="T19" s="29" t="str">
        <f t="shared" si="5"/>
        <v/>
      </c>
      <c r="U19" s="56" t="str">
        <f t="shared" si="0"/>
        <v/>
      </c>
      <c r="V19" s="57" t="str">
        <f t="shared" si="1"/>
        <v/>
      </c>
      <c r="W19" s="58" t="str">
        <f t="shared" si="2"/>
        <v/>
      </c>
    </row>
    <row r="20" spans="1:23" x14ac:dyDescent="0.4">
      <c r="A20" s="17" t="str">
        <f t="shared" si="8"/>
        <v/>
      </c>
      <c r="B20" s="26" t="str">
        <f t="shared" si="9"/>
        <v/>
      </c>
      <c r="C20" s="26" t="str">
        <f t="shared" si="10"/>
        <v/>
      </c>
      <c r="D20" s="26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9" t="str">
        <f t="shared" si="3"/>
        <v/>
      </c>
      <c r="K20" s="10"/>
      <c r="L20" s="11"/>
      <c r="M20" s="11"/>
      <c r="N20" s="12" t="str">
        <f t="shared" si="6"/>
        <v/>
      </c>
      <c r="O20" s="29" t="str">
        <f t="shared" si="4"/>
        <v/>
      </c>
      <c r="P20" s="10"/>
      <c r="Q20" s="11"/>
      <c r="R20" s="11"/>
      <c r="S20" s="12" t="str">
        <f t="shared" si="7"/>
        <v/>
      </c>
      <c r="T20" s="29" t="str">
        <f t="shared" si="5"/>
        <v/>
      </c>
      <c r="U20" s="56" t="str">
        <f t="shared" si="0"/>
        <v/>
      </c>
      <c r="V20" s="57" t="str">
        <f t="shared" si="1"/>
        <v/>
      </c>
      <c r="W20" s="58" t="str">
        <f t="shared" si="2"/>
        <v/>
      </c>
    </row>
    <row r="21" spans="1:23" x14ac:dyDescent="0.4">
      <c r="A21" s="17" t="str">
        <f t="shared" si="8"/>
        <v/>
      </c>
      <c r="B21" s="26" t="str">
        <f t="shared" si="9"/>
        <v/>
      </c>
      <c r="C21" s="26" t="str">
        <f t="shared" si="10"/>
        <v/>
      </c>
      <c r="D21" s="26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9" t="str">
        <f t="shared" si="3"/>
        <v/>
      </c>
      <c r="K21" s="10"/>
      <c r="L21" s="11"/>
      <c r="M21" s="11"/>
      <c r="N21" s="12" t="str">
        <f t="shared" si="6"/>
        <v/>
      </c>
      <c r="O21" s="29" t="str">
        <f t="shared" si="4"/>
        <v/>
      </c>
      <c r="P21" s="10"/>
      <c r="Q21" s="11"/>
      <c r="R21" s="11"/>
      <c r="S21" s="12" t="str">
        <f t="shared" si="7"/>
        <v/>
      </c>
      <c r="T21" s="29" t="str">
        <f t="shared" si="5"/>
        <v/>
      </c>
      <c r="U21" s="56" t="str">
        <f t="shared" si="0"/>
        <v/>
      </c>
      <c r="V21" s="57" t="str">
        <f t="shared" si="1"/>
        <v/>
      </c>
      <c r="W21" s="58" t="str">
        <f t="shared" si="2"/>
        <v/>
      </c>
    </row>
    <row r="22" spans="1:23" x14ac:dyDescent="0.4">
      <c r="A22" s="17" t="str">
        <f t="shared" si="8"/>
        <v/>
      </c>
      <c r="B22" s="26" t="str">
        <f t="shared" si="9"/>
        <v/>
      </c>
      <c r="C22" s="26" t="str">
        <f t="shared" si="10"/>
        <v/>
      </c>
      <c r="D22" s="26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9" t="str">
        <f t="shared" si="3"/>
        <v/>
      </c>
      <c r="K22" s="10"/>
      <c r="L22" s="11"/>
      <c r="M22" s="11"/>
      <c r="N22" s="12" t="str">
        <f t="shared" si="6"/>
        <v/>
      </c>
      <c r="O22" s="29" t="str">
        <f t="shared" si="4"/>
        <v/>
      </c>
      <c r="P22" s="10"/>
      <c r="Q22" s="11"/>
      <c r="R22" s="11"/>
      <c r="S22" s="12" t="str">
        <f t="shared" si="7"/>
        <v/>
      </c>
      <c r="T22" s="29" t="str">
        <f t="shared" si="5"/>
        <v/>
      </c>
      <c r="U22" s="56" t="str">
        <f t="shared" si="0"/>
        <v/>
      </c>
      <c r="V22" s="57" t="str">
        <f t="shared" si="1"/>
        <v/>
      </c>
      <c r="W22" s="58" t="str">
        <f t="shared" si="2"/>
        <v/>
      </c>
    </row>
    <row r="23" spans="1:23" x14ac:dyDescent="0.4">
      <c r="A23" s="17" t="str">
        <f t="shared" si="8"/>
        <v/>
      </c>
      <c r="B23" s="26" t="str">
        <f t="shared" si="9"/>
        <v/>
      </c>
      <c r="C23" s="26" t="str">
        <f t="shared" si="10"/>
        <v/>
      </c>
      <c r="D23" s="26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9" t="str">
        <f t="shared" si="3"/>
        <v/>
      </c>
      <c r="K23" s="10"/>
      <c r="L23" s="11"/>
      <c r="M23" s="11"/>
      <c r="N23" s="12" t="str">
        <f t="shared" si="6"/>
        <v/>
      </c>
      <c r="O23" s="29" t="str">
        <f t="shared" si="4"/>
        <v/>
      </c>
      <c r="P23" s="10"/>
      <c r="Q23" s="11"/>
      <c r="R23" s="11"/>
      <c r="S23" s="12" t="str">
        <f t="shared" si="7"/>
        <v/>
      </c>
      <c r="T23" s="29" t="str">
        <f t="shared" si="5"/>
        <v/>
      </c>
      <c r="U23" s="56" t="str">
        <f t="shared" si="0"/>
        <v/>
      </c>
      <c r="V23" s="57" t="str">
        <f t="shared" si="1"/>
        <v/>
      </c>
      <c r="W23" s="58" t="str">
        <f t="shared" si="2"/>
        <v/>
      </c>
    </row>
    <row r="24" spans="1:23" x14ac:dyDescent="0.4">
      <c r="A24" s="17" t="str">
        <f t="shared" si="8"/>
        <v/>
      </c>
      <c r="B24" s="26" t="str">
        <f t="shared" si="9"/>
        <v/>
      </c>
      <c r="C24" s="26" t="str">
        <f t="shared" si="10"/>
        <v/>
      </c>
      <c r="D24" s="26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9" t="str">
        <f t="shared" si="3"/>
        <v/>
      </c>
      <c r="K24" s="10"/>
      <c r="L24" s="11"/>
      <c r="M24" s="11"/>
      <c r="N24" s="12" t="str">
        <f t="shared" si="6"/>
        <v/>
      </c>
      <c r="O24" s="29" t="str">
        <f t="shared" si="4"/>
        <v/>
      </c>
      <c r="P24" s="10"/>
      <c r="Q24" s="11"/>
      <c r="R24" s="11"/>
      <c r="S24" s="12" t="str">
        <f t="shared" si="7"/>
        <v/>
      </c>
      <c r="T24" s="29" t="str">
        <f t="shared" si="5"/>
        <v/>
      </c>
      <c r="U24" s="56" t="str">
        <f t="shared" si="0"/>
        <v/>
      </c>
      <c r="V24" s="57" t="str">
        <f t="shared" si="1"/>
        <v/>
      </c>
      <c r="W24" s="58" t="str">
        <f t="shared" si="2"/>
        <v/>
      </c>
    </row>
    <row r="25" spans="1:23" x14ac:dyDescent="0.4">
      <c r="A25" s="17" t="str">
        <f t="shared" si="8"/>
        <v/>
      </c>
      <c r="B25" s="26" t="str">
        <f t="shared" si="9"/>
        <v/>
      </c>
      <c r="C25" s="26" t="str">
        <f t="shared" si="10"/>
        <v/>
      </c>
      <c r="D25" s="26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9" t="str">
        <f t="shared" si="3"/>
        <v/>
      </c>
      <c r="K25" s="10"/>
      <c r="L25" s="11"/>
      <c r="M25" s="11"/>
      <c r="N25" s="12" t="str">
        <f t="shared" si="6"/>
        <v/>
      </c>
      <c r="O25" s="29" t="str">
        <f t="shared" si="4"/>
        <v/>
      </c>
      <c r="P25" s="10"/>
      <c r="Q25" s="11"/>
      <c r="R25" s="11"/>
      <c r="S25" s="12" t="str">
        <f t="shared" si="7"/>
        <v/>
      </c>
      <c r="T25" s="29" t="str">
        <f t="shared" si="5"/>
        <v/>
      </c>
      <c r="U25" s="56" t="str">
        <f t="shared" si="0"/>
        <v/>
      </c>
      <c r="V25" s="57" t="str">
        <f t="shared" si="1"/>
        <v/>
      </c>
      <c r="W25" s="58" t="str">
        <f t="shared" si="2"/>
        <v/>
      </c>
    </row>
    <row r="26" spans="1:23" x14ac:dyDescent="0.4">
      <c r="A26" s="17" t="str">
        <f t="shared" si="8"/>
        <v/>
      </c>
      <c r="B26" s="26" t="str">
        <f t="shared" si="9"/>
        <v/>
      </c>
      <c r="C26" s="26" t="str">
        <f t="shared" si="10"/>
        <v/>
      </c>
      <c r="D26" s="26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9" t="str">
        <f t="shared" si="3"/>
        <v/>
      </c>
      <c r="K26" s="10"/>
      <c r="L26" s="11"/>
      <c r="M26" s="11"/>
      <c r="N26" s="12" t="str">
        <f t="shared" si="6"/>
        <v/>
      </c>
      <c r="O26" s="29" t="str">
        <f t="shared" si="4"/>
        <v/>
      </c>
      <c r="P26" s="10"/>
      <c r="Q26" s="11"/>
      <c r="R26" s="11"/>
      <c r="S26" s="12" t="str">
        <f t="shared" si="7"/>
        <v/>
      </c>
      <c r="T26" s="29" t="str">
        <f t="shared" si="5"/>
        <v/>
      </c>
      <c r="U26" s="56" t="str">
        <f t="shared" si="0"/>
        <v/>
      </c>
      <c r="V26" s="57" t="str">
        <f t="shared" si="1"/>
        <v/>
      </c>
      <c r="W26" s="58" t="str">
        <f t="shared" si="2"/>
        <v/>
      </c>
    </row>
    <row r="27" spans="1:23" x14ac:dyDescent="0.4">
      <c r="A27" s="17" t="str">
        <f t="shared" si="8"/>
        <v/>
      </c>
      <c r="B27" s="26" t="str">
        <f t="shared" si="9"/>
        <v/>
      </c>
      <c r="C27" s="26" t="str">
        <f t="shared" si="10"/>
        <v/>
      </c>
      <c r="D27" s="26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9" t="str">
        <f t="shared" si="3"/>
        <v/>
      </c>
      <c r="K27" s="10"/>
      <c r="L27" s="11"/>
      <c r="M27" s="11"/>
      <c r="N27" s="12" t="str">
        <f t="shared" si="6"/>
        <v/>
      </c>
      <c r="O27" s="29" t="str">
        <f t="shared" si="4"/>
        <v/>
      </c>
      <c r="P27" s="10"/>
      <c r="Q27" s="11"/>
      <c r="R27" s="11"/>
      <c r="S27" s="12" t="str">
        <f t="shared" si="7"/>
        <v/>
      </c>
      <c r="T27" s="29" t="str">
        <f t="shared" si="5"/>
        <v/>
      </c>
      <c r="U27" s="56" t="str">
        <f t="shared" si="0"/>
        <v/>
      </c>
      <c r="V27" s="57" t="str">
        <f t="shared" si="1"/>
        <v/>
      </c>
      <c r="W27" s="58" t="str">
        <f t="shared" si="2"/>
        <v/>
      </c>
    </row>
    <row r="28" spans="1:23" x14ac:dyDescent="0.4">
      <c r="A28" s="17" t="str">
        <f t="shared" si="8"/>
        <v/>
      </c>
      <c r="B28" s="26" t="str">
        <f t="shared" si="9"/>
        <v/>
      </c>
      <c r="C28" s="26" t="str">
        <f t="shared" si="10"/>
        <v/>
      </c>
      <c r="D28" s="26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9" t="str">
        <f t="shared" si="3"/>
        <v/>
      </c>
      <c r="K28" s="10"/>
      <c r="L28" s="11"/>
      <c r="M28" s="11"/>
      <c r="N28" s="12" t="str">
        <f t="shared" si="6"/>
        <v/>
      </c>
      <c r="O28" s="29" t="str">
        <f t="shared" si="4"/>
        <v/>
      </c>
      <c r="P28" s="10"/>
      <c r="Q28" s="11"/>
      <c r="R28" s="11"/>
      <c r="S28" s="12" t="str">
        <f t="shared" si="7"/>
        <v/>
      </c>
      <c r="T28" s="29" t="str">
        <f t="shared" si="5"/>
        <v/>
      </c>
      <c r="U28" s="56" t="str">
        <f t="shared" si="0"/>
        <v/>
      </c>
      <c r="V28" s="57" t="str">
        <f t="shared" si="1"/>
        <v/>
      </c>
      <c r="W28" s="58" t="str">
        <f t="shared" si="2"/>
        <v/>
      </c>
    </row>
    <row r="29" spans="1:23" x14ac:dyDescent="0.4">
      <c r="A29" s="17" t="str">
        <f t="shared" si="8"/>
        <v/>
      </c>
      <c r="B29" s="26" t="str">
        <f t="shared" si="9"/>
        <v/>
      </c>
      <c r="C29" s="26" t="str">
        <f t="shared" si="10"/>
        <v/>
      </c>
      <c r="D29" s="26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9" t="str">
        <f t="shared" si="3"/>
        <v/>
      </c>
      <c r="K29" s="10"/>
      <c r="L29" s="11"/>
      <c r="M29" s="11"/>
      <c r="N29" s="12" t="str">
        <f t="shared" si="6"/>
        <v/>
      </c>
      <c r="O29" s="29" t="str">
        <f t="shared" si="4"/>
        <v/>
      </c>
      <c r="P29" s="10"/>
      <c r="Q29" s="11"/>
      <c r="R29" s="11"/>
      <c r="S29" s="12" t="str">
        <f t="shared" si="7"/>
        <v/>
      </c>
      <c r="T29" s="29" t="str">
        <f t="shared" si="5"/>
        <v/>
      </c>
      <c r="U29" s="56" t="str">
        <f t="shared" si="0"/>
        <v/>
      </c>
      <c r="V29" s="57" t="str">
        <f t="shared" si="1"/>
        <v/>
      </c>
      <c r="W29" s="58" t="str">
        <f t="shared" si="2"/>
        <v/>
      </c>
    </row>
    <row r="30" spans="1:23" x14ac:dyDescent="0.4">
      <c r="A30" s="18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0" t="str">
        <f t="shared" si="3"/>
        <v/>
      </c>
      <c r="K30" s="13"/>
      <c r="L30" s="14"/>
      <c r="M30" s="14"/>
      <c r="N30" s="15" t="str">
        <f t="shared" si="6"/>
        <v/>
      </c>
      <c r="O30" s="30" t="str">
        <f t="shared" si="4"/>
        <v/>
      </c>
      <c r="P30" s="13"/>
      <c r="Q30" s="14"/>
      <c r="R30" s="14"/>
      <c r="S30" s="15" t="str">
        <f t="shared" si="7"/>
        <v/>
      </c>
      <c r="T30" s="30" t="str">
        <f t="shared" si="5"/>
        <v/>
      </c>
      <c r="U30" s="59" t="str">
        <f t="shared" si="0"/>
        <v/>
      </c>
      <c r="V30" s="60" t="str">
        <f t="shared" si="1"/>
        <v/>
      </c>
      <c r="W30" s="6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7" priority="2">
      <formula>IF(AND(G4&lt;&gt;"",F4&lt;&gt;"流局",F4&lt;&gt;"チョンボ"),SUM($G4:$I4,$L4:$N4,$Q4:$S4)-$D4*1000)</formula>
    </cfRule>
  </conditionalFormatting>
  <conditionalFormatting sqref="F1:T1">
    <cfRule type="duplicateValues" dxfId="6" priority="1"/>
  </conditionalFormatting>
  <dataValidations count="2">
    <dataValidation type="list" allowBlank="1" showErrorMessage="1" sqref="E4:E30" xr:uid="{9F1DFCEE-5147-4B9D-8B0A-2C2DF4EE93CA}">
      <formula1>$U$2:$W$2</formula1>
    </dataValidation>
    <dataValidation type="list" showInputMessage="1" showErrorMessage="1" sqref="K4:K30 P4:P30 F4:F30" xr:uid="{CBB23F11-A8CE-4A92-84E1-CC12992B968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FF58-2544-418A-BE18-4C4674D7CEE3}">
  <sheetPr codeName="Sheet1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7" t="s">
        <v>0</v>
      </c>
      <c r="B1" s="49" t="s">
        <v>2</v>
      </c>
      <c r="C1" s="49" t="s">
        <v>1</v>
      </c>
      <c r="D1" s="49" t="s">
        <v>6</v>
      </c>
      <c r="E1" s="51" t="s">
        <v>3</v>
      </c>
      <c r="F1" s="43" t="s">
        <v>20</v>
      </c>
      <c r="G1" s="44"/>
      <c r="H1" s="44"/>
      <c r="I1" s="45"/>
      <c r="J1" s="46"/>
      <c r="K1" s="43" t="s">
        <v>22</v>
      </c>
      <c r="L1" s="44"/>
      <c r="M1" s="44"/>
      <c r="N1" s="45"/>
      <c r="O1" s="46"/>
      <c r="P1" s="43" t="s">
        <v>24</v>
      </c>
      <c r="Q1" s="44"/>
      <c r="R1" s="44"/>
      <c r="S1" s="45"/>
      <c r="T1" s="46"/>
      <c r="U1" s="43" t="s">
        <v>8</v>
      </c>
      <c r="V1" s="44"/>
      <c r="W1" s="46"/>
    </row>
    <row r="2" spans="1:23" x14ac:dyDescent="0.4">
      <c r="A2" s="48"/>
      <c r="B2" s="50"/>
      <c r="C2" s="50"/>
      <c r="D2" s="50"/>
      <c r="E2" s="52"/>
      <c r="F2" s="2" t="s">
        <v>7</v>
      </c>
      <c r="G2" s="3" t="s">
        <v>12</v>
      </c>
      <c r="H2" s="3" t="s">
        <v>4</v>
      </c>
      <c r="I2" s="38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8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8" t="s">
        <v>10</v>
      </c>
      <c r="T2" s="8" t="s">
        <v>5</v>
      </c>
      <c r="U2" s="37" t="str">
        <f>F1</f>
        <v>だいち</v>
      </c>
      <c r="V2" s="38" t="str">
        <f>K1</f>
        <v>りくと</v>
      </c>
      <c r="W2" s="22" t="str">
        <f>P1</f>
        <v>いっしー</v>
      </c>
    </row>
    <row r="3" spans="1:23" x14ac:dyDescent="0.4">
      <c r="A3" s="16"/>
      <c r="B3" s="25"/>
      <c r="C3" s="25"/>
      <c r="D3" s="25"/>
      <c r="E3" s="4"/>
      <c r="F3" s="9"/>
      <c r="G3" s="31"/>
      <c r="H3" s="31"/>
      <c r="I3" s="32"/>
      <c r="J3" s="28">
        <v>35000</v>
      </c>
      <c r="K3" s="9"/>
      <c r="L3" s="31"/>
      <c r="M3" s="31"/>
      <c r="N3" s="32"/>
      <c r="O3" s="28">
        <v>35000</v>
      </c>
      <c r="P3" s="9"/>
      <c r="Q3" s="31"/>
      <c r="R3" s="31"/>
      <c r="S3" s="32"/>
      <c r="T3" s="28">
        <v>35000</v>
      </c>
      <c r="U3" s="53">
        <f t="shared" ref="U3:U30" si="0">IF($J3="","",ROUND(($J3-$J$3)/1000,1))</f>
        <v>0</v>
      </c>
      <c r="V3" s="54">
        <f t="shared" ref="V3:V30" si="1">IF($O3="","",ROUND(($O3-$O$3)/1000,1))</f>
        <v>0</v>
      </c>
      <c r="W3" s="55">
        <f t="shared" ref="W3:W30" si="2">IF($T3="","",ROUND(($T3-$T$3)/1000,1))</f>
        <v>0</v>
      </c>
    </row>
    <row r="4" spans="1:23" x14ac:dyDescent="0.4">
      <c r="A4" s="17" t="s">
        <v>11</v>
      </c>
      <c r="B4" s="26">
        <v>1</v>
      </c>
      <c r="C4" s="26">
        <v>0</v>
      </c>
      <c r="D4" s="26">
        <v>0</v>
      </c>
      <c r="E4" s="5" t="s">
        <v>21</v>
      </c>
      <c r="F4" s="10" t="s">
        <v>29</v>
      </c>
      <c r="G4" s="11">
        <v>-600</v>
      </c>
      <c r="H4" s="11"/>
      <c r="I4" s="12">
        <f>IF(OR(F4="ロン",F4="ツモ"),$C4*1000,IF(F4="放銃",$C4*-1000,IF(F4="ツモ支払",$C4*-500,"")))</f>
        <v>0</v>
      </c>
      <c r="J4" s="29">
        <f t="shared" ref="J4:J30" si="3">IF(COUNTA($F4,$K4,$P4)&gt;0,J3+SUM(G4:I4),"")</f>
        <v>34400</v>
      </c>
      <c r="K4" s="10" t="s">
        <v>29</v>
      </c>
      <c r="L4" s="11">
        <v>-900</v>
      </c>
      <c r="M4" s="11"/>
      <c r="N4" s="12">
        <f>IF(OR(K4="ロン",K4="ツモ"),$C4*1000,IF(K4="放銃",$C4*-1000,IF(K4="ツモ支払",$C4*-500,"")))</f>
        <v>0</v>
      </c>
      <c r="O4" s="29">
        <f t="shared" ref="O4:O30" si="4">IF(COUNTA($F4,$K4,$P4)&gt;0,O3+SUM(L4:N4),"")</f>
        <v>34100</v>
      </c>
      <c r="P4" s="10" t="s">
        <v>28</v>
      </c>
      <c r="Q4" s="11">
        <v>1500</v>
      </c>
      <c r="R4" s="11"/>
      <c r="S4" s="12">
        <f>IF(OR(P4="ロン",P4="ツモ"),$C4*1000,IF(P4="放銃",$C4*-1000,IF(P4="ツモ支払",$C4*-500,"")))</f>
        <v>0</v>
      </c>
      <c r="T4" s="29">
        <f t="shared" ref="T4:T30" si="5">IF(COUNTA($F4,$K4,$P4)&gt;0,T3+SUM(Q4:S4),"")</f>
        <v>36500</v>
      </c>
      <c r="U4" s="56">
        <f t="shared" si="0"/>
        <v>-0.6</v>
      </c>
      <c r="V4" s="57">
        <f t="shared" si="1"/>
        <v>-0.9</v>
      </c>
      <c r="W4" s="58">
        <f t="shared" si="2"/>
        <v>1.5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6">
        <f>IF($E5="","",IF($E4=$E5,B4,IF(B4=3,1,B4+1)))</f>
        <v>2</v>
      </c>
      <c r="C5" s="26">
        <f>IF($E5="","",IF($E4=$E5,C4+1,0))</f>
        <v>0</v>
      </c>
      <c r="D5" s="26">
        <f>IF($E5="","",IF(OR(F4="流局",K4="流局",P4="流局",F4="チョンボ",K4="チョンボ",P4="チョンボ"),D4+($H4+$M4+$R4)/-1000,0))</f>
        <v>0</v>
      </c>
      <c r="E5" s="5" t="s">
        <v>23</v>
      </c>
      <c r="F5" s="10" t="s">
        <v>25</v>
      </c>
      <c r="G5" s="11">
        <v>5200</v>
      </c>
      <c r="H5" s="11"/>
      <c r="I5" s="12">
        <f>IF(OR(F5="ロン",F5="ツモ"),$C5*1000,IF(F5="放銃",$C5*-1000,IF(F5="ツモ支払",$C5*-500,"")))</f>
        <v>0</v>
      </c>
      <c r="J5" s="29">
        <f t="shared" si="3"/>
        <v>39600</v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29">
        <f t="shared" si="4"/>
        <v>34100</v>
      </c>
      <c r="P5" s="10" t="s">
        <v>26</v>
      </c>
      <c r="Q5" s="11">
        <v>-5200</v>
      </c>
      <c r="R5" s="11"/>
      <c r="S5" s="12">
        <f t="shared" ref="S5:S30" si="7">IF(OR(P5="ロン",P5="ツモ"),$C5*1000,IF(P5="放銃",$C5*-1000,IF(P5="ツモ支払",$C5*-500,"")))</f>
        <v>0</v>
      </c>
      <c r="T5" s="29">
        <f t="shared" si="5"/>
        <v>31300</v>
      </c>
      <c r="U5" s="56">
        <f t="shared" si="0"/>
        <v>4.5999999999999996</v>
      </c>
      <c r="V5" s="57">
        <f t="shared" si="1"/>
        <v>-0.9</v>
      </c>
      <c r="W5" s="58">
        <f t="shared" si="2"/>
        <v>-3.7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6">
        <f t="shared" ref="B6:B30" si="9">IF($E6="","",IF($E5=$E6,B5,IF(B5=3,1,B5+1)))</f>
        <v>3</v>
      </c>
      <c r="C6" s="26">
        <f t="shared" ref="C6:C30" si="10">IF($E6="","",IF($E5=$E6,C5+1,0))</f>
        <v>0</v>
      </c>
      <c r="D6" s="26">
        <f t="shared" ref="D6:D30" si="11">IF($E6="","",IF(OR(F5="流局",K5="流局",P5="流局",F5="チョンボ",K5="チョンボ",P5="チョンボ"),D5+($H5+$M5+$R5)/-1000,0))</f>
        <v>0</v>
      </c>
      <c r="E6" s="5" t="s">
        <v>19</v>
      </c>
      <c r="F6" s="10" t="s">
        <v>25</v>
      </c>
      <c r="G6" s="11">
        <v>12000</v>
      </c>
      <c r="H6" s="11">
        <v>1000</v>
      </c>
      <c r="I6" s="12">
        <f t="shared" ref="I6:I30" si="12">IF(OR(F6="ロン",F6="ツモ"),$C6*1000,IF(F6="放銃",$C6*-1000,IF(F6="ツモ支払",$C6*-500,"")))</f>
        <v>0</v>
      </c>
      <c r="J6" s="29">
        <f t="shared" si="3"/>
        <v>52600</v>
      </c>
      <c r="K6" s="10" t="s">
        <v>26</v>
      </c>
      <c r="L6" s="11">
        <v>-12000</v>
      </c>
      <c r="M6" s="11"/>
      <c r="N6" s="12">
        <f t="shared" si="6"/>
        <v>0</v>
      </c>
      <c r="O6" s="29">
        <f t="shared" si="4"/>
        <v>22100</v>
      </c>
      <c r="P6" s="10"/>
      <c r="Q6" s="11"/>
      <c r="R6" s="11">
        <v>-1000</v>
      </c>
      <c r="S6" s="12" t="str">
        <f t="shared" si="7"/>
        <v/>
      </c>
      <c r="T6" s="29">
        <f t="shared" si="5"/>
        <v>30300</v>
      </c>
      <c r="U6" s="56">
        <f t="shared" si="0"/>
        <v>17.600000000000001</v>
      </c>
      <c r="V6" s="57">
        <f t="shared" si="1"/>
        <v>-12.9</v>
      </c>
      <c r="W6" s="58">
        <f t="shared" si="2"/>
        <v>-4.7</v>
      </c>
    </row>
    <row r="7" spans="1:23" x14ac:dyDescent="0.4">
      <c r="A7" s="17" t="str">
        <f t="shared" si="8"/>
        <v>東</v>
      </c>
      <c r="B7" s="26">
        <f t="shared" si="9"/>
        <v>3</v>
      </c>
      <c r="C7" s="26">
        <f t="shared" si="10"/>
        <v>1</v>
      </c>
      <c r="D7" s="26">
        <f t="shared" si="11"/>
        <v>0</v>
      </c>
      <c r="E7" s="5" t="s">
        <v>19</v>
      </c>
      <c r="F7" s="10"/>
      <c r="G7" s="11"/>
      <c r="H7" s="11"/>
      <c r="I7" s="12" t="str">
        <f t="shared" si="12"/>
        <v/>
      </c>
      <c r="J7" s="29">
        <f t="shared" si="3"/>
        <v>52600</v>
      </c>
      <c r="K7" s="10" t="s">
        <v>26</v>
      </c>
      <c r="L7" s="11">
        <v>-8000</v>
      </c>
      <c r="M7" s="11"/>
      <c r="N7" s="12">
        <f t="shared" si="6"/>
        <v>-1000</v>
      </c>
      <c r="O7" s="29">
        <f t="shared" si="4"/>
        <v>13100</v>
      </c>
      <c r="P7" s="10" t="s">
        <v>25</v>
      </c>
      <c r="Q7" s="11">
        <v>8000</v>
      </c>
      <c r="R7" s="11"/>
      <c r="S7" s="12">
        <f t="shared" si="7"/>
        <v>1000</v>
      </c>
      <c r="T7" s="29">
        <f t="shared" si="5"/>
        <v>39300</v>
      </c>
      <c r="U7" s="56">
        <f t="shared" si="0"/>
        <v>17.600000000000001</v>
      </c>
      <c r="V7" s="57">
        <f t="shared" si="1"/>
        <v>-21.9</v>
      </c>
      <c r="W7" s="58">
        <f t="shared" si="2"/>
        <v>4.3</v>
      </c>
    </row>
    <row r="8" spans="1:23" x14ac:dyDescent="0.4">
      <c r="A8" s="17" t="str">
        <f t="shared" si="8"/>
        <v>南</v>
      </c>
      <c r="B8" s="26">
        <f t="shared" si="9"/>
        <v>1</v>
      </c>
      <c r="C8" s="26">
        <f t="shared" si="10"/>
        <v>0</v>
      </c>
      <c r="D8" s="26">
        <f t="shared" si="11"/>
        <v>0</v>
      </c>
      <c r="E8" s="5" t="s">
        <v>21</v>
      </c>
      <c r="F8" s="10" t="s">
        <v>30</v>
      </c>
      <c r="G8" s="11">
        <v>3000</v>
      </c>
      <c r="H8" s="11"/>
      <c r="I8" s="12" t="str">
        <f t="shared" si="12"/>
        <v/>
      </c>
      <c r="J8" s="29">
        <f t="shared" si="3"/>
        <v>55600</v>
      </c>
      <c r="K8" s="10" t="s">
        <v>30</v>
      </c>
      <c r="L8" s="11">
        <v>5000</v>
      </c>
      <c r="M8" s="11"/>
      <c r="N8" s="12" t="str">
        <f t="shared" si="6"/>
        <v/>
      </c>
      <c r="O8" s="29">
        <f t="shared" si="4"/>
        <v>18100</v>
      </c>
      <c r="P8" s="10" t="s">
        <v>30</v>
      </c>
      <c r="Q8" s="11">
        <v>-8000</v>
      </c>
      <c r="R8" s="11">
        <v>-1000</v>
      </c>
      <c r="S8" s="12" t="str">
        <f t="shared" si="7"/>
        <v/>
      </c>
      <c r="T8" s="29">
        <f t="shared" si="5"/>
        <v>30300</v>
      </c>
      <c r="U8" s="56">
        <f t="shared" si="0"/>
        <v>20.6</v>
      </c>
      <c r="V8" s="57">
        <f t="shared" si="1"/>
        <v>-16.899999999999999</v>
      </c>
      <c r="W8" s="58">
        <f t="shared" si="2"/>
        <v>-4.7</v>
      </c>
    </row>
    <row r="9" spans="1:23" x14ac:dyDescent="0.4">
      <c r="A9" s="17" t="str">
        <f t="shared" si="8"/>
        <v>南</v>
      </c>
      <c r="B9" s="26">
        <f t="shared" si="9"/>
        <v>1</v>
      </c>
      <c r="C9" s="26">
        <f t="shared" si="10"/>
        <v>1</v>
      </c>
      <c r="D9" s="26">
        <f t="shared" si="11"/>
        <v>1</v>
      </c>
      <c r="E9" s="5" t="s">
        <v>21</v>
      </c>
      <c r="F9" s="10" t="s">
        <v>27</v>
      </c>
      <c r="G9" s="11">
        <v>0</v>
      </c>
      <c r="H9" s="11"/>
      <c r="I9" s="12" t="str">
        <f t="shared" si="12"/>
        <v/>
      </c>
      <c r="J9" s="29">
        <f t="shared" si="3"/>
        <v>55600</v>
      </c>
      <c r="K9" s="10" t="s">
        <v>27</v>
      </c>
      <c r="L9" s="11">
        <v>0</v>
      </c>
      <c r="M9" s="11"/>
      <c r="N9" s="12" t="str">
        <f t="shared" si="6"/>
        <v/>
      </c>
      <c r="O9" s="29">
        <f t="shared" si="4"/>
        <v>18100</v>
      </c>
      <c r="P9" s="10" t="s">
        <v>27</v>
      </c>
      <c r="Q9" s="11">
        <v>0</v>
      </c>
      <c r="R9" s="11"/>
      <c r="S9" s="12" t="str">
        <f t="shared" si="7"/>
        <v/>
      </c>
      <c r="T9" s="29">
        <f t="shared" si="5"/>
        <v>30300</v>
      </c>
      <c r="U9" s="56">
        <f t="shared" si="0"/>
        <v>20.6</v>
      </c>
      <c r="V9" s="57">
        <f t="shared" si="1"/>
        <v>-16.899999999999999</v>
      </c>
      <c r="W9" s="58">
        <f t="shared" si="2"/>
        <v>-4.7</v>
      </c>
    </row>
    <row r="10" spans="1:23" x14ac:dyDescent="0.4">
      <c r="A10" s="17" t="str">
        <f t="shared" si="8"/>
        <v>南</v>
      </c>
      <c r="B10" s="26">
        <f t="shared" si="9"/>
        <v>1</v>
      </c>
      <c r="C10" s="26">
        <f t="shared" si="10"/>
        <v>2</v>
      </c>
      <c r="D10" s="26">
        <f t="shared" si="11"/>
        <v>1</v>
      </c>
      <c r="E10" s="5" t="s">
        <v>21</v>
      </c>
      <c r="F10" s="10" t="s">
        <v>29</v>
      </c>
      <c r="G10" s="11">
        <v>-1500</v>
      </c>
      <c r="H10" s="11"/>
      <c r="I10" s="12">
        <f t="shared" si="12"/>
        <v>-1000</v>
      </c>
      <c r="J10" s="29">
        <f t="shared" si="3"/>
        <v>53100</v>
      </c>
      <c r="K10" s="10" t="s">
        <v>29</v>
      </c>
      <c r="L10" s="11">
        <v>-2500</v>
      </c>
      <c r="M10" s="11"/>
      <c r="N10" s="12">
        <f t="shared" si="6"/>
        <v>-1000</v>
      </c>
      <c r="O10" s="29">
        <f t="shared" si="4"/>
        <v>14600</v>
      </c>
      <c r="P10" s="10" t="s">
        <v>28</v>
      </c>
      <c r="Q10" s="11">
        <v>4000</v>
      </c>
      <c r="R10" s="11">
        <v>1000</v>
      </c>
      <c r="S10" s="12">
        <f t="shared" si="7"/>
        <v>2000</v>
      </c>
      <c r="T10" s="29">
        <f t="shared" si="5"/>
        <v>37300</v>
      </c>
      <c r="U10" s="56">
        <f t="shared" si="0"/>
        <v>18.100000000000001</v>
      </c>
      <c r="V10" s="57">
        <f t="shared" si="1"/>
        <v>-20.399999999999999</v>
      </c>
      <c r="W10" s="58">
        <f t="shared" si="2"/>
        <v>2.2999999999999998</v>
      </c>
    </row>
    <row r="11" spans="1:23" x14ac:dyDescent="0.4">
      <c r="A11" s="17" t="str">
        <f t="shared" si="8"/>
        <v>南</v>
      </c>
      <c r="B11" s="26">
        <f t="shared" si="9"/>
        <v>2</v>
      </c>
      <c r="C11" s="26">
        <f t="shared" si="10"/>
        <v>0</v>
      </c>
      <c r="D11" s="26">
        <f t="shared" si="11"/>
        <v>0</v>
      </c>
      <c r="E11" s="5" t="s">
        <v>23</v>
      </c>
      <c r="F11" s="10"/>
      <c r="G11" s="11"/>
      <c r="H11" s="11"/>
      <c r="I11" s="12" t="str">
        <f t="shared" si="12"/>
        <v/>
      </c>
      <c r="J11" s="29">
        <f t="shared" si="3"/>
        <v>53100</v>
      </c>
      <c r="K11" s="10" t="s">
        <v>25</v>
      </c>
      <c r="L11" s="11">
        <v>12000</v>
      </c>
      <c r="M11" s="11"/>
      <c r="N11" s="12">
        <f t="shared" si="6"/>
        <v>0</v>
      </c>
      <c r="O11" s="29">
        <f t="shared" si="4"/>
        <v>26600</v>
      </c>
      <c r="P11" s="10" t="s">
        <v>26</v>
      </c>
      <c r="Q11" s="11">
        <v>-12000</v>
      </c>
      <c r="R11" s="11"/>
      <c r="S11" s="12">
        <f t="shared" si="7"/>
        <v>0</v>
      </c>
      <c r="T11" s="29">
        <f t="shared" si="5"/>
        <v>25300</v>
      </c>
      <c r="U11" s="56">
        <f t="shared" si="0"/>
        <v>18.100000000000001</v>
      </c>
      <c r="V11" s="57">
        <f t="shared" si="1"/>
        <v>-8.4</v>
      </c>
      <c r="W11" s="58">
        <f t="shared" si="2"/>
        <v>-9.6999999999999993</v>
      </c>
    </row>
    <row r="12" spans="1:23" x14ac:dyDescent="0.4">
      <c r="A12" s="17" t="str">
        <f t="shared" si="8"/>
        <v>南</v>
      </c>
      <c r="B12" s="26">
        <f t="shared" si="9"/>
        <v>3</v>
      </c>
      <c r="C12" s="26">
        <f t="shared" si="10"/>
        <v>0</v>
      </c>
      <c r="D12" s="26">
        <f t="shared" si="11"/>
        <v>0</v>
      </c>
      <c r="E12" s="5" t="s">
        <v>19</v>
      </c>
      <c r="F12" s="10" t="s">
        <v>25</v>
      </c>
      <c r="G12" s="11">
        <v>5800</v>
      </c>
      <c r="H12" s="11"/>
      <c r="I12" s="12">
        <f t="shared" si="12"/>
        <v>0</v>
      </c>
      <c r="J12" s="29">
        <f t="shared" si="3"/>
        <v>58900</v>
      </c>
      <c r="K12" s="10"/>
      <c r="L12" s="11"/>
      <c r="M12" s="11"/>
      <c r="N12" s="12" t="str">
        <f t="shared" si="6"/>
        <v/>
      </c>
      <c r="O12" s="29">
        <f t="shared" si="4"/>
        <v>26600</v>
      </c>
      <c r="P12" s="10" t="s">
        <v>26</v>
      </c>
      <c r="Q12" s="11">
        <v>-5800</v>
      </c>
      <c r="R12" s="11"/>
      <c r="S12" s="12">
        <f t="shared" si="7"/>
        <v>0</v>
      </c>
      <c r="T12" s="29">
        <f t="shared" si="5"/>
        <v>19500</v>
      </c>
      <c r="U12" s="56">
        <f t="shared" si="0"/>
        <v>23.9</v>
      </c>
      <c r="V12" s="57">
        <f t="shared" si="1"/>
        <v>-8.4</v>
      </c>
      <c r="W12" s="58">
        <f t="shared" si="2"/>
        <v>-15.5</v>
      </c>
    </row>
    <row r="13" spans="1:23" x14ac:dyDescent="0.4">
      <c r="A13" s="17" t="str">
        <f t="shared" si="8"/>
        <v/>
      </c>
      <c r="B13" s="26" t="str">
        <f t="shared" si="9"/>
        <v/>
      </c>
      <c r="C13" s="26" t="str">
        <f t="shared" si="10"/>
        <v/>
      </c>
      <c r="D13" s="26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9" t="str">
        <f t="shared" si="3"/>
        <v/>
      </c>
      <c r="K13" s="10"/>
      <c r="L13" s="11"/>
      <c r="M13" s="11"/>
      <c r="N13" s="12" t="str">
        <f t="shared" si="6"/>
        <v/>
      </c>
      <c r="O13" s="29" t="str">
        <f t="shared" si="4"/>
        <v/>
      </c>
      <c r="P13" s="10"/>
      <c r="Q13" s="11"/>
      <c r="R13" s="11"/>
      <c r="S13" s="12" t="str">
        <f t="shared" si="7"/>
        <v/>
      </c>
      <c r="T13" s="29" t="str">
        <f t="shared" si="5"/>
        <v/>
      </c>
      <c r="U13" s="56" t="str">
        <f t="shared" si="0"/>
        <v/>
      </c>
      <c r="V13" s="57" t="str">
        <f t="shared" si="1"/>
        <v/>
      </c>
      <c r="W13" s="58" t="str">
        <f t="shared" si="2"/>
        <v/>
      </c>
    </row>
    <row r="14" spans="1:23" x14ac:dyDescent="0.4">
      <c r="A14" s="17" t="str">
        <f t="shared" si="8"/>
        <v/>
      </c>
      <c r="B14" s="26" t="str">
        <f t="shared" si="9"/>
        <v/>
      </c>
      <c r="C14" s="26" t="str">
        <f t="shared" si="10"/>
        <v/>
      </c>
      <c r="D14" s="26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9" t="str">
        <f t="shared" si="3"/>
        <v/>
      </c>
      <c r="K14" s="10"/>
      <c r="L14" s="11"/>
      <c r="M14" s="11"/>
      <c r="N14" s="12" t="str">
        <f t="shared" si="6"/>
        <v/>
      </c>
      <c r="O14" s="29" t="str">
        <f t="shared" si="4"/>
        <v/>
      </c>
      <c r="P14" s="10"/>
      <c r="Q14" s="11"/>
      <c r="R14" s="11"/>
      <c r="S14" s="12" t="str">
        <f t="shared" si="7"/>
        <v/>
      </c>
      <c r="T14" s="29" t="str">
        <f t="shared" si="5"/>
        <v/>
      </c>
      <c r="U14" s="56" t="str">
        <f t="shared" si="0"/>
        <v/>
      </c>
      <c r="V14" s="57" t="str">
        <f t="shared" si="1"/>
        <v/>
      </c>
      <c r="W14" s="58" t="str">
        <f t="shared" si="2"/>
        <v/>
      </c>
    </row>
    <row r="15" spans="1:23" x14ac:dyDescent="0.4">
      <c r="A15" s="17" t="str">
        <f t="shared" si="8"/>
        <v/>
      </c>
      <c r="B15" s="26" t="str">
        <f t="shared" si="9"/>
        <v/>
      </c>
      <c r="C15" s="26" t="str">
        <f t="shared" si="10"/>
        <v/>
      </c>
      <c r="D15" s="26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9" t="str">
        <f t="shared" si="3"/>
        <v/>
      </c>
      <c r="K15" s="10"/>
      <c r="L15" s="11"/>
      <c r="M15" s="11"/>
      <c r="N15" s="12" t="str">
        <f t="shared" si="6"/>
        <v/>
      </c>
      <c r="O15" s="29" t="str">
        <f t="shared" si="4"/>
        <v/>
      </c>
      <c r="P15" s="10"/>
      <c r="Q15" s="11"/>
      <c r="R15" s="11"/>
      <c r="S15" s="12" t="str">
        <f t="shared" si="7"/>
        <v/>
      </c>
      <c r="T15" s="29" t="str">
        <f t="shared" si="5"/>
        <v/>
      </c>
      <c r="U15" s="56" t="str">
        <f t="shared" si="0"/>
        <v/>
      </c>
      <c r="V15" s="57" t="str">
        <f t="shared" si="1"/>
        <v/>
      </c>
      <c r="W15" s="58" t="str">
        <f t="shared" si="2"/>
        <v/>
      </c>
    </row>
    <row r="16" spans="1:23" x14ac:dyDescent="0.4">
      <c r="A16" s="17" t="str">
        <f t="shared" si="8"/>
        <v/>
      </c>
      <c r="B16" s="26" t="str">
        <f t="shared" si="9"/>
        <v/>
      </c>
      <c r="C16" s="26" t="str">
        <f t="shared" si="10"/>
        <v/>
      </c>
      <c r="D16" s="26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9" t="str">
        <f t="shared" si="3"/>
        <v/>
      </c>
      <c r="K16" s="10"/>
      <c r="L16" s="11"/>
      <c r="M16" s="11"/>
      <c r="N16" s="12" t="str">
        <f t="shared" si="6"/>
        <v/>
      </c>
      <c r="O16" s="29" t="str">
        <f t="shared" si="4"/>
        <v/>
      </c>
      <c r="P16" s="10"/>
      <c r="Q16" s="11"/>
      <c r="R16" s="11"/>
      <c r="S16" s="12" t="str">
        <f t="shared" si="7"/>
        <v/>
      </c>
      <c r="T16" s="29" t="str">
        <f t="shared" si="5"/>
        <v/>
      </c>
      <c r="U16" s="56" t="str">
        <f t="shared" si="0"/>
        <v/>
      </c>
      <c r="V16" s="57" t="str">
        <f t="shared" si="1"/>
        <v/>
      </c>
      <c r="W16" s="58" t="str">
        <f t="shared" si="2"/>
        <v/>
      </c>
    </row>
    <row r="17" spans="1:23" x14ac:dyDescent="0.4">
      <c r="A17" s="17" t="str">
        <f t="shared" si="8"/>
        <v/>
      </c>
      <c r="B17" s="26" t="str">
        <f t="shared" si="9"/>
        <v/>
      </c>
      <c r="C17" s="26" t="str">
        <f t="shared" si="10"/>
        <v/>
      </c>
      <c r="D17" s="26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9" t="str">
        <f t="shared" si="3"/>
        <v/>
      </c>
      <c r="K17" s="10"/>
      <c r="L17" s="11"/>
      <c r="M17" s="11"/>
      <c r="N17" s="12" t="str">
        <f t="shared" si="6"/>
        <v/>
      </c>
      <c r="O17" s="29" t="str">
        <f t="shared" si="4"/>
        <v/>
      </c>
      <c r="P17" s="10"/>
      <c r="Q17" s="11"/>
      <c r="R17" s="11"/>
      <c r="S17" s="12" t="str">
        <f t="shared" si="7"/>
        <v/>
      </c>
      <c r="T17" s="29" t="str">
        <f t="shared" si="5"/>
        <v/>
      </c>
      <c r="U17" s="56" t="str">
        <f t="shared" si="0"/>
        <v/>
      </c>
      <c r="V17" s="57" t="str">
        <f t="shared" si="1"/>
        <v/>
      </c>
      <c r="W17" s="58" t="str">
        <f t="shared" si="2"/>
        <v/>
      </c>
    </row>
    <row r="18" spans="1:23" x14ac:dyDescent="0.4">
      <c r="A18" s="17" t="str">
        <f t="shared" si="8"/>
        <v/>
      </c>
      <c r="B18" s="26" t="str">
        <f t="shared" si="9"/>
        <v/>
      </c>
      <c r="C18" s="26" t="str">
        <f t="shared" si="10"/>
        <v/>
      </c>
      <c r="D18" s="26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9" t="str">
        <f t="shared" si="3"/>
        <v/>
      </c>
      <c r="K18" s="10"/>
      <c r="L18" s="11"/>
      <c r="M18" s="11"/>
      <c r="N18" s="12" t="str">
        <f t="shared" si="6"/>
        <v/>
      </c>
      <c r="O18" s="29" t="str">
        <f t="shared" si="4"/>
        <v/>
      </c>
      <c r="P18" s="10"/>
      <c r="Q18" s="11"/>
      <c r="R18" s="11"/>
      <c r="S18" s="12" t="str">
        <f t="shared" si="7"/>
        <v/>
      </c>
      <c r="T18" s="29" t="str">
        <f t="shared" si="5"/>
        <v/>
      </c>
      <c r="U18" s="56" t="str">
        <f t="shared" si="0"/>
        <v/>
      </c>
      <c r="V18" s="57" t="str">
        <f t="shared" si="1"/>
        <v/>
      </c>
      <c r="W18" s="58" t="str">
        <f t="shared" si="2"/>
        <v/>
      </c>
    </row>
    <row r="19" spans="1:23" x14ac:dyDescent="0.4">
      <c r="A19" s="17" t="str">
        <f t="shared" si="8"/>
        <v/>
      </c>
      <c r="B19" s="26" t="str">
        <f t="shared" si="9"/>
        <v/>
      </c>
      <c r="C19" s="26" t="str">
        <f t="shared" si="10"/>
        <v/>
      </c>
      <c r="D19" s="26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9" t="str">
        <f t="shared" si="3"/>
        <v/>
      </c>
      <c r="K19" s="10"/>
      <c r="L19" s="11"/>
      <c r="M19" s="11"/>
      <c r="N19" s="12" t="str">
        <f t="shared" si="6"/>
        <v/>
      </c>
      <c r="O19" s="29" t="str">
        <f t="shared" si="4"/>
        <v/>
      </c>
      <c r="P19" s="10"/>
      <c r="Q19" s="11"/>
      <c r="R19" s="11"/>
      <c r="S19" s="12" t="str">
        <f t="shared" si="7"/>
        <v/>
      </c>
      <c r="T19" s="29" t="str">
        <f t="shared" si="5"/>
        <v/>
      </c>
      <c r="U19" s="56" t="str">
        <f t="shared" si="0"/>
        <v/>
      </c>
      <c r="V19" s="57" t="str">
        <f t="shared" si="1"/>
        <v/>
      </c>
      <c r="W19" s="58" t="str">
        <f t="shared" si="2"/>
        <v/>
      </c>
    </row>
    <row r="20" spans="1:23" x14ac:dyDescent="0.4">
      <c r="A20" s="17" t="str">
        <f t="shared" si="8"/>
        <v/>
      </c>
      <c r="B20" s="26" t="str">
        <f t="shared" si="9"/>
        <v/>
      </c>
      <c r="C20" s="26" t="str">
        <f t="shared" si="10"/>
        <v/>
      </c>
      <c r="D20" s="26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9" t="str">
        <f t="shared" si="3"/>
        <v/>
      </c>
      <c r="K20" s="10"/>
      <c r="L20" s="11"/>
      <c r="M20" s="11"/>
      <c r="N20" s="12" t="str">
        <f t="shared" si="6"/>
        <v/>
      </c>
      <c r="O20" s="29" t="str">
        <f t="shared" si="4"/>
        <v/>
      </c>
      <c r="P20" s="10"/>
      <c r="Q20" s="11"/>
      <c r="R20" s="11"/>
      <c r="S20" s="12" t="str">
        <f t="shared" si="7"/>
        <v/>
      </c>
      <c r="T20" s="29" t="str">
        <f t="shared" si="5"/>
        <v/>
      </c>
      <c r="U20" s="56" t="str">
        <f t="shared" si="0"/>
        <v/>
      </c>
      <c r="V20" s="57" t="str">
        <f t="shared" si="1"/>
        <v/>
      </c>
      <c r="W20" s="58" t="str">
        <f t="shared" si="2"/>
        <v/>
      </c>
    </row>
    <row r="21" spans="1:23" x14ac:dyDescent="0.4">
      <c r="A21" s="17" t="str">
        <f t="shared" si="8"/>
        <v/>
      </c>
      <c r="B21" s="26" t="str">
        <f t="shared" si="9"/>
        <v/>
      </c>
      <c r="C21" s="26" t="str">
        <f t="shared" si="10"/>
        <v/>
      </c>
      <c r="D21" s="26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9" t="str">
        <f t="shared" si="3"/>
        <v/>
      </c>
      <c r="K21" s="10"/>
      <c r="L21" s="11"/>
      <c r="M21" s="11"/>
      <c r="N21" s="12" t="str">
        <f t="shared" si="6"/>
        <v/>
      </c>
      <c r="O21" s="29" t="str">
        <f t="shared" si="4"/>
        <v/>
      </c>
      <c r="P21" s="10"/>
      <c r="Q21" s="11"/>
      <c r="R21" s="11"/>
      <c r="S21" s="12" t="str">
        <f t="shared" si="7"/>
        <v/>
      </c>
      <c r="T21" s="29" t="str">
        <f t="shared" si="5"/>
        <v/>
      </c>
      <c r="U21" s="56" t="str">
        <f t="shared" si="0"/>
        <v/>
      </c>
      <c r="V21" s="57" t="str">
        <f t="shared" si="1"/>
        <v/>
      </c>
      <c r="W21" s="58" t="str">
        <f t="shared" si="2"/>
        <v/>
      </c>
    </row>
    <row r="22" spans="1:23" x14ac:dyDescent="0.4">
      <c r="A22" s="17" t="str">
        <f t="shared" si="8"/>
        <v/>
      </c>
      <c r="B22" s="26" t="str">
        <f t="shared" si="9"/>
        <v/>
      </c>
      <c r="C22" s="26" t="str">
        <f t="shared" si="10"/>
        <v/>
      </c>
      <c r="D22" s="26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9" t="str">
        <f t="shared" si="3"/>
        <v/>
      </c>
      <c r="K22" s="10"/>
      <c r="L22" s="11"/>
      <c r="M22" s="11"/>
      <c r="N22" s="12" t="str">
        <f t="shared" si="6"/>
        <v/>
      </c>
      <c r="O22" s="29" t="str">
        <f t="shared" si="4"/>
        <v/>
      </c>
      <c r="P22" s="10"/>
      <c r="Q22" s="11"/>
      <c r="R22" s="11"/>
      <c r="S22" s="12" t="str">
        <f t="shared" si="7"/>
        <v/>
      </c>
      <c r="T22" s="29" t="str">
        <f t="shared" si="5"/>
        <v/>
      </c>
      <c r="U22" s="56" t="str">
        <f t="shared" si="0"/>
        <v/>
      </c>
      <c r="V22" s="57" t="str">
        <f t="shared" si="1"/>
        <v/>
      </c>
      <c r="W22" s="58" t="str">
        <f t="shared" si="2"/>
        <v/>
      </c>
    </row>
    <row r="23" spans="1:23" x14ac:dyDescent="0.4">
      <c r="A23" s="17" t="str">
        <f t="shared" si="8"/>
        <v/>
      </c>
      <c r="B23" s="26" t="str">
        <f t="shared" si="9"/>
        <v/>
      </c>
      <c r="C23" s="26" t="str">
        <f t="shared" si="10"/>
        <v/>
      </c>
      <c r="D23" s="26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9" t="str">
        <f t="shared" si="3"/>
        <v/>
      </c>
      <c r="K23" s="10"/>
      <c r="L23" s="11"/>
      <c r="M23" s="11"/>
      <c r="N23" s="12" t="str">
        <f t="shared" si="6"/>
        <v/>
      </c>
      <c r="O23" s="29" t="str">
        <f t="shared" si="4"/>
        <v/>
      </c>
      <c r="P23" s="10"/>
      <c r="Q23" s="11"/>
      <c r="R23" s="11"/>
      <c r="S23" s="12" t="str">
        <f t="shared" si="7"/>
        <v/>
      </c>
      <c r="T23" s="29" t="str">
        <f t="shared" si="5"/>
        <v/>
      </c>
      <c r="U23" s="56" t="str">
        <f t="shared" si="0"/>
        <v/>
      </c>
      <c r="V23" s="57" t="str">
        <f t="shared" si="1"/>
        <v/>
      </c>
      <c r="W23" s="58" t="str">
        <f t="shared" si="2"/>
        <v/>
      </c>
    </row>
    <row r="24" spans="1:23" x14ac:dyDescent="0.4">
      <c r="A24" s="17" t="str">
        <f t="shared" si="8"/>
        <v/>
      </c>
      <c r="B24" s="26" t="str">
        <f t="shared" si="9"/>
        <v/>
      </c>
      <c r="C24" s="26" t="str">
        <f t="shared" si="10"/>
        <v/>
      </c>
      <c r="D24" s="26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9" t="str">
        <f t="shared" si="3"/>
        <v/>
      </c>
      <c r="K24" s="10"/>
      <c r="L24" s="11"/>
      <c r="M24" s="11"/>
      <c r="N24" s="12" t="str">
        <f t="shared" si="6"/>
        <v/>
      </c>
      <c r="O24" s="29" t="str">
        <f t="shared" si="4"/>
        <v/>
      </c>
      <c r="P24" s="10"/>
      <c r="Q24" s="11"/>
      <c r="R24" s="11"/>
      <c r="S24" s="12" t="str">
        <f t="shared" si="7"/>
        <v/>
      </c>
      <c r="T24" s="29" t="str">
        <f t="shared" si="5"/>
        <v/>
      </c>
      <c r="U24" s="56" t="str">
        <f t="shared" si="0"/>
        <v/>
      </c>
      <c r="V24" s="57" t="str">
        <f t="shared" si="1"/>
        <v/>
      </c>
      <c r="W24" s="58" t="str">
        <f t="shared" si="2"/>
        <v/>
      </c>
    </row>
    <row r="25" spans="1:23" x14ac:dyDescent="0.4">
      <c r="A25" s="17" t="str">
        <f t="shared" si="8"/>
        <v/>
      </c>
      <c r="B25" s="26" t="str">
        <f t="shared" si="9"/>
        <v/>
      </c>
      <c r="C25" s="26" t="str">
        <f t="shared" si="10"/>
        <v/>
      </c>
      <c r="D25" s="26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9" t="str">
        <f t="shared" si="3"/>
        <v/>
      </c>
      <c r="K25" s="10"/>
      <c r="L25" s="11"/>
      <c r="M25" s="11"/>
      <c r="N25" s="12" t="str">
        <f t="shared" si="6"/>
        <v/>
      </c>
      <c r="O25" s="29" t="str">
        <f t="shared" si="4"/>
        <v/>
      </c>
      <c r="P25" s="10"/>
      <c r="Q25" s="11"/>
      <c r="R25" s="11"/>
      <c r="S25" s="12" t="str">
        <f t="shared" si="7"/>
        <v/>
      </c>
      <c r="T25" s="29" t="str">
        <f t="shared" si="5"/>
        <v/>
      </c>
      <c r="U25" s="56" t="str">
        <f t="shared" si="0"/>
        <v/>
      </c>
      <c r="V25" s="57" t="str">
        <f t="shared" si="1"/>
        <v/>
      </c>
      <c r="W25" s="58" t="str">
        <f t="shared" si="2"/>
        <v/>
      </c>
    </row>
    <row r="26" spans="1:23" x14ac:dyDescent="0.4">
      <c r="A26" s="17" t="str">
        <f t="shared" si="8"/>
        <v/>
      </c>
      <c r="B26" s="26" t="str">
        <f t="shared" si="9"/>
        <v/>
      </c>
      <c r="C26" s="26" t="str">
        <f t="shared" si="10"/>
        <v/>
      </c>
      <c r="D26" s="26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9" t="str">
        <f t="shared" si="3"/>
        <v/>
      </c>
      <c r="K26" s="10"/>
      <c r="L26" s="11"/>
      <c r="M26" s="11"/>
      <c r="N26" s="12" t="str">
        <f t="shared" si="6"/>
        <v/>
      </c>
      <c r="O26" s="29" t="str">
        <f t="shared" si="4"/>
        <v/>
      </c>
      <c r="P26" s="10"/>
      <c r="Q26" s="11"/>
      <c r="R26" s="11"/>
      <c r="S26" s="12" t="str">
        <f t="shared" si="7"/>
        <v/>
      </c>
      <c r="T26" s="29" t="str">
        <f t="shared" si="5"/>
        <v/>
      </c>
      <c r="U26" s="56" t="str">
        <f t="shared" si="0"/>
        <v/>
      </c>
      <c r="V26" s="57" t="str">
        <f t="shared" si="1"/>
        <v/>
      </c>
      <c r="W26" s="58" t="str">
        <f t="shared" si="2"/>
        <v/>
      </c>
    </row>
    <row r="27" spans="1:23" x14ac:dyDescent="0.4">
      <c r="A27" s="17" t="str">
        <f t="shared" si="8"/>
        <v/>
      </c>
      <c r="B27" s="26" t="str">
        <f t="shared" si="9"/>
        <v/>
      </c>
      <c r="C27" s="26" t="str">
        <f t="shared" si="10"/>
        <v/>
      </c>
      <c r="D27" s="26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9" t="str">
        <f t="shared" si="3"/>
        <v/>
      </c>
      <c r="K27" s="10"/>
      <c r="L27" s="11"/>
      <c r="M27" s="11"/>
      <c r="N27" s="12" t="str">
        <f t="shared" si="6"/>
        <v/>
      </c>
      <c r="O27" s="29" t="str">
        <f t="shared" si="4"/>
        <v/>
      </c>
      <c r="P27" s="10"/>
      <c r="Q27" s="11"/>
      <c r="R27" s="11"/>
      <c r="S27" s="12" t="str">
        <f t="shared" si="7"/>
        <v/>
      </c>
      <c r="T27" s="29" t="str">
        <f t="shared" si="5"/>
        <v/>
      </c>
      <c r="U27" s="56" t="str">
        <f t="shared" si="0"/>
        <v/>
      </c>
      <c r="V27" s="57" t="str">
        <f t="shared" si="1"/>
        <v/>
      </c>
      <c r="W27" s="58" t="str">
        <f t="shared" si="2"/>
        <v/>
      </c>
    </row>
    <row r="28" spans="1:23" x14ac:dyDescent="0.4">
      <c r="A28" s="17" t="str">
        <f t="shared" si="8"/>
        <v/>
      </c>
      <c r="B28" s="26" t="str">
        <f t="shared" si="9"/>
        <v/>
      </c>
      <c r="C28" s="26" t="str">
        <f t="shared" si="10"/>
        <v/>
      </c>
      <c r="D28" s="26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9" t="str">
        <f t="shared" si="3"/>
        <v/>
      </c>
      <c r="K28" s="10"/>
      <c r="L28" s="11"/>
      <c r="M28" s="11"/>
      <c r="N28" s="12" t="str">
        <f t="shared" si="6"/>
        <v/>
      </c>
      <c r="O28" s="29" t="str">
        <f t="shared" si="4"/>
        <v/>
      </c>
      <c r="P28" s="10"/>
      <c r="Q28" s="11"/>
      <c r="R28" s="11"/>
      <c r="S28" s="12" t="str">
        <f t="shared" si="7"/>
        <v/>
      </c>
      <c r="T28" s="29" t="str">
        <f t="shared" si="5"/>
        <v/>
      </c>
      <c r="U28" s="56" t="str">
        <f t="shared" si="0"/>
        <v/>
      </c>
      <c r="V28" s="57" t="str">
        <f t="shared" si="1"/>
        <v/>
      </c>
      <c r="W28" s="58" t="str">
        <f t="shared" si="2"/>
        <v/>
      </c>
    </row>
    <row r="29" spans="1:23" x14ac:dyDescent="0.4">
      <c r="A29" s="17" t="str">
        <f t="shared" si="8"/>
        <v/>
      </c>
      <c r="B29" s="26" t="str">
        <f t="shared" si="9"/>
        <v/>
      </c>
      <c r="C29" s="26" t="str">
        <f t="shared" si="10"/>
        <v/>
      </c>
      <c r="D29" s="26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9" t="str">
        <f t="shared" si="3"/>
        <v/>
      </c>
      <c r="K29" s="10"/>
      <c r="L29" s="11"/>
      <c r="M29" s="11"/>
      <c r="N29" s="12" t="str">
        <f t="shared" si="6"/>
        <v/>
      </c>
      <c r="O29" s="29" t="str">
        <f t="shared" si="4"/>
        <v/>
      </c>
      <c r="P29" s="10"/>
      <c r="Q29" s="11"/>
      <c r="R29" s="11"/>
      <c r="S29" s="12" t="str">
        <f t="shared" si="7"/>
        <v/>
      </c>
      <c r="T29" s="29" t="str">
        <f t="shared" si="5"/>
        <v/>
      </c>
      <c r="U29" s="56" t="str">
        <f t="shared" si="0"/>
        <v/>
      </c>
      <c r="V29" s="57" t="str">
        <f t="shared" si="1"/>
        <v/>
      </c>
      <c r="W29" s="58" t="str">
        <f t="shared" si="2"/>
        <v/>
      </c>
    </row>
    <row r="30" spans="1:23" x14ac:dyDescent="0.4">
      <c r="A30" s="18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0" t="str">
        <f t="shared" si="3"/>
        <v/>
      </c>
      <c r="K30" s="13"/>
      <c r="L30" s="14"/>
      <c r="M30" s="14"/>
      <c r="N30" s="15" t="str">
        <f t="shared" si="6"/>
        <v/>
      </c>
      <c r="O30" s="30" t="str">
        <f t="shared" si="4"/>
        <v/>
      </c>
      <c r="P30" s="13"/>
      <c r="Q30" s="14"/>
      <c r="R30" s="14"/>
      <c r="S30" s="15" t="str">
        <f t="shared" si="7"/>
        <v/>
      </c>
      <c r="T30" s="30" t="str">
        <f t="shared" si="5"/>
        <v/>
      </c>
      <c r="U30" s="59" t="str">
        <f t="shared" si="0"/>
        <v/>
      </c>
      <c r="V30" s="60" t="str">
        <f t="shared" si="1"/>
        <v/>
      </c>
      <c r="W30" s="6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169D80A9-2365-416A-8C84-8B864A0293A0}">
      <formula1>"ロン,ツモ,放銃,ツモ支払,流局,チョンボ"</formula1>
    </dataValidation>
    <dataValidation type="list" allowBlank="1" showErrorMessage="1" sqref="E4:E30" xr:uid="{3B4C685A-87B0-4A37-B429-92222EA0510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6ABFA-CB75-4011-A10E-159BEC6E8396}">
  <sheetPr codeName="Sheet13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7" t="s">
        <v>0</v>
      </c>
      <c r="B1" s="49" t="s">
        <v>2</v>
      </c>
      <c r="C1" s="49" t="s">
        <v>1</v>
      </c>
      <c r="D1" s="49" t="s">
        <v>6</v>
      </c>
      <c r="E1" s="51" t="s">
        <v>3</v>
      </c>
      <c r="F1" s="43" t="s">
        <v>20</v>
      </c>
      <c r="G1" s="44"/>
      <c r="H1" s="44"/>
      <c r="I1" s="45"/>
      <c r="J1" s="46"/>
      <c r="K1" s="43" t="s">
        <v>22</v>
      </c>
      <c r="L1" s="44"/>
      <c r="M1" s="44"/>
      <c r="N1" s="45"/>
      <c r="O1" s="46"/>
      <c r="P1" s="43" t="s">
        <v>24</v>
      </c>
      <c r="Q1" s="44"/>
      <c r="R1" s="44"/>
      <c r="S1" s="45"/>
      <c r="T1" s="46"/>
      <c r="U1" s="43" t="s">
        <v>8</v>
      </c>
      <c r="V1" s="44"/>
      <c r="W1" s="46"/>
    </row>
    <row r="2" spans="1:23" x14ac:dyDescent="0.4">
      <c r="A2" s="48"/>
      <c r="B2" s="50"/>
      <c r="C2" s="50"/>
      <c r="D2" s="50"/>
      <c r="E2" s="52"/>
      <c r="F2" s="2" t="s">
        <v>7</v>
      </c>
      <c r="G2" s="3" t="s">
        <v>12</v>
      </c>
      <c r="H2" s="3" t="s">
        <v>4</v>
      </c>
      <c r="I2" s="40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0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0" t="s">
        <v>10</v>
      </c>
      <c r="T2" s="8" t="s">
        <v>5</v>
      </c>
      <c r="U2" s="39" t="str">
        <f>F1</f>
        <v>だいち</v>
      </c>
      <c r="V2" s="40" t="str">
        <f>K1</f>
        <v>りくと</v>
      </c>
      <c r="W2" s="22" t="str">
        <f>P1</f>
        <v>いっしー</v>
      </c>
    </row>
    <row r="3" spans="1:23" x14ac:dyDescent="0.4">
      <c r="A3" s="16"/>
      <c r="B3" s="25"/>
      <c r="C3" s="25"/>
      <c r="D3" s="25"/>
      <c r="E3" s="4"/>
      <c r="F3" s="9"/>
      <c r="G3" s="31"/>
      <c r="H3" s="31"/>
      <c r="I3" s="32"/>
      <c r="J3" s="28">
        <v>35000</v>
      </c>
      <c r="K3" s="9"/>
      <c r="L3" s="31"/>
      <c r="M3" s="31"/>
      <c r="N3" s="32"/>
      <c r="O3" s="28">
        <v>35000</v>
      </c>
      <c r="P3" s="9"/>
      <c r="Q3" s="31"/>
      <c r="R3" s="31"/>
      <c r="S3" s="32"/>
      <c r="T3" s="28">
        <v>35000</v>
      </c>
      <c r="U3" s="53">
        <f t="shared" ref="U3:U30" si="0">IF($J3="","",ROUND(($J3-$J$3)/1000,1))</f>
        <v>0</v>
      </c>
      <c r="V3" s="54">
        <f t="shared" ref="V3:V30" si="1">IF($O3="","",ROUND(($O3-$O$3)/1000,1))</f>
        <v>0</v>
      </c>
      <c r="W3" s="55">
        <f t="shared" ref="W3:W30" si="2">IF($T3="","",ROUND(($T3-$T$3)/1000,1))</f>
        <v>0</v>
      </c>
    </row>
    <row r="4" spans="1:23" x14ac:dyDescent="0.4">
      <c r="A4" s="17" t="s">
        <v>11</v>
      </c>
      <c r="B4" s="26">
        <v>1</v>
      </c>
      <c r="C4" s="26">
        <v>0</v>
      </c>
      <c r="D4" s="26">
        <v>0</v>
      </c>
      <c r="E4" s="5" t="s">
        <v>21</v>
      </c>
      <c r="F4" s="10" t="s">
        <v>27</v>
      </c>
      <c r="G4" s="11">
        <v>0</v>
      </c>
      <c r="H4" s="11"/>
      <c r="I4" s="12" t="str">
        <f>IF(OR(F4="ロン",F4="ツモ"),$C4*1000,IF(F4="放銃",$C4*-1000,IF(F4="ツモ支払",$C4*-500,"")))</f>
        <v/>
      </c>
      <c r="J4" s="29">
        <f t="shared" ref="J4:J30" si="3">IF(COUNTA($F4,$K4,$P4)&gt;0,J3+SUM(G4:I4),"")</f>
        <v>35000</v>
      </c>
      <c r="K4" s="10" t="s">
        <v>27</v>
      </c>
      <c r="L4" s="11">
        <v>0</v>
      </c>
      <c r="M4" s="11">
        <v>-1000</v>
      </c>
      <c r="N4" s="12" t="str">
        <f>IF(OR(K4="ロン",K4="ツモ"),$C4*1000,IF(K4="放銃",$C4*-1000,IF(K4="ツモ支払",$C4*-500,"")))</f>
        <v/>
      </c>
      <c r="O4" s="29">
        <f t="shared" ref="O4:O30" si="4">IF(COUNTA($F4,$K4,$P4)&gt;0,O3+SUM(L4:N4),"")</f>
        <v>34000</v>
      </c>
      <c r="P4" s="10" t="s">
        <v>27</v>
      </c>
      <c r="Q4" s="11">
        <v>0</v>
      </c>
      <c r="R4" s="11"/>
      <c r="S4" s="12" t="str">
        <f>IF(OR(P4="ロン",P4="ツモ"),$C4*1000,IF(P4="放銃",$C4*-1000,IF(P4="ツモ支払",$C4*-500,"")))</f>
        <v/>
      </c>
      <c r="T4" s="29">
        <f t="shared" ref="T4:T30" si="5">IF(COUNTA($F4,$K4,$P4)&gt;0,T3+SUM(Q4:S4),"")</f>
        <v>35000</v>
      </c>
      <c r="U4" s="56">
        <f t="shared" si="0"/>
        <v>0</v>
      </c>
      <c r="V4" s="57">
        <f t="shared" si="1"/>
        <v>-1</v>
      </c>
      <c r="W4" s="58">
        <f t="shared" si="2"/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6">
        <f>IF($E5="","",IF($E4=$E5,B4,IF(B4=3,1,B4+1)))</f>
        <v>1</v>
      </c>
      <c r="C5" s="26">
        <f>IF($E5="","",IF($E4=$E5,C4+1,0))</f>
        <v>1</v>
      </c>
      <c r="D5" s="26">
        <f>IF($E5="","",IF(OR(F4="流局",K4="流局",P4="流局",F4="チョンボ",K4="チョンボ",P4="チョンボ"),D4+($H4+$M4+$R4)/-1000,0))</f>
        <v>1</v>
      </c>
      <c r="E5" s="5" t="s">
        <v>21</v>
      </c>
      <c r="F5" s="10" t="s">
        <v>29</v>
      </c>
      <c r="G5" s="11">
        <v>-24000</v>
      </c>
      <c r="H5" s="11"/>
      <c r="I5" s="12">
        <f>IF(OR(F5="ロン",F5="ツモ"),$C5*1000,IF(F5="放銃",$C5*-1000,IF(F5="ツモ支払",$C5*-500,"")))</f>
        <v>-500</v>
      </c>
      <c r="J5" s="29">
        <f t="shared" si="3"/>
        <v>10500</v>
      </c>
      <c r="K5" s="10" t="s">
        <v>28</v>
      </c>
      <c r="L5" s="11">
        <v>48000</v>
      </c>
      <c r="M5" s="11">
        <v>1000</v>
      </c>
      <c r="N5" s="12">
        <f t="shared" ref="N5:N30" si="6">IF(OR(K5="ロン",K5="ツモ"),$C5*1000,IF(K5="放銃",$C5*-1000,IF(K5="ツモ支払",$C5*-500,"")))</f>
        <v>1000</v>
      </c>
      <c r="O5" s="29">
        <f t="shared" si="4"/>
        <v>84000</v>
      </c>
      <c r="P5" s="10" t="s">
        <v>29</v>
      </c>
      <c r="Q5" s="11">
        <v>-24000</v>
      </c>
      <c r="R5" s="11"/>
      <c r="S5" s="12">
        <f t="shared" ref="S5:S30" si="7">IF(OR(P5="ロン",P5="ツモ"),$C5*1000,IF(P5="放銃",$C5*-1000,IF(P5="ツモ支払",$C5*-500,"")))</f>
        <v>-500</v>
      </c>
      <c r="T5" s="29">
        <f t="shared" si="5"/>
        <v>10500</v>
      </c>
      <c r="U5" s="56">
        <f t="shared" si="0"/>
        <v>-24.5</v>
      </c>
      <c r="V5" s="57">
        <f t="shared" si="1"/>
        <v>49</v>
      </c>
      <c r="W5" s="58">
        <f t="shared" si="2"/>
        <v>-24.5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6">
        <f t="shared" ref="B6:B30" si="9">IF($E6="","",IF($E5=$E6,B5,IF(B5=3,1,B5+1)))</f>
        <v>1</v>
      </c>
      <c r="C6" s="26">
        <f t="shared" ref="C6:C30" si="10">IF($E6="","",IF($E5=$E6,C5+1,0))</f>
        <v>2</v>
      </c>
      <c r="D6" s="26">
        <f t="shared" ref="D6:D30" si="11">IF($E6="","",IF(OR(F5="流局",K5="流局",P5="流局",F5="チョンボ",K5="チョンボ",P5="チョンボ"),D5+($H5+$M5+$R5)/-1000,0))</f>
        <v>0</v>
      </c>
      <c r="E6" s="5" t="s">
        <v>21</v>
      </c>
      <c r="F6" s="10" t="s">
        <v>27</v>
      </c>
      <c r="G6" s="11">
        <v>-1500</v>
      </c>
      <c r="H6" s="11"/>
      <c r="I6" s="12" t="str">
        <f t="shared" ref="I6:I30" si="12">IF(OR(F6="ロン",F6="ツモ"),$C6*1000,IF(F6="放銃",$C6*-1000,IF(F6="ツモ支払",$C6*-500,"")))</f>
        <v/>
      </c>
      <c r="J6" s="29">
        <f t="shared" si="3"/>
        <v>9000</v>
      </c>
      <c r="K6" s="10" t="s">
        <v>27</v>
      </c>
      <c r="L6" s="11">
        <v>-1500</v>
      </c>
      <c r="M6" s="11"/>
      <c r="N6" s="12" t="str">
        <f t="shared" si="6"/>
        <v/>
      </c>
      <c r="O6" s="29">
        <f t="shared" si="4"/>
        <v>82500</v>
      </c>
      <c r="P6" s="10" t="s">
        <v>27</v>
      </c>
      <c r="Q6" s="11">
        <v>3000</v>
      </c>
      <c r="R6" s="11">
        <v>-1000</v>
      </c>
      <c r="S6" s="12" t="str">
        <f t="shared" si="7"/>
        <v/>
      </c>
      <c r="T6" s="29">
        <f t="shared" si="5"/>
        <v>12500</v>
      </c>
      <c r="U6" s="56">
        <f t="shared" si="0"/>
        <v>-26</v>
      </c>
      <c r="V6" s="57">
        <f t="shared" si="1"/>
        <v>47.5</v>
      </c>
      <c r="W6" s="58">
        <f t="shared" si="2"/>
        <v>-22.5</v>
      </c>
    </row>
    <row r="7" spans="1:23" x14ac:dyDescent="0.4">
      <c r="A7" s="17" t="str">
        <f t="shared" si="8"/>
        <v>東</v>
      </c>
      <c r="B7" s="26">
        <f t="shared" si="9"/>
        <v>2</v>
      </c>
      <c r="C7" s="26">
        <f t="shared" si="10"/>
        <v>0</v>
      </c>
      <c r="D7" s="26">
        <f t="shared" si="11"/>
        <v>1</v>
      </c>
      <c r="E7" s="5" t="s">
        <v>23</v>
      </c>
      <c r="F7" s="10" t="s">
        <v>29</v>
      </c>
      <c r="G7" s="11">
        <v>-6000</v>
      </c>
      <c r="H7" s="11"/>
      <c r="I7" s="12">
        <f t="shared" si="12"/>
        <v>0</v>
      </c>
      <c r="J7" s="29">
        <f t="shared" si="3"/>
        <v>3000</v>
      </c>
      <c r="K7" s="10" t="s">
        <v>28</v>
      </c>
      <c r="L7" s="11">
        <v>16000</v>
      </c>
      <c r="M7" s="11">
        <v>1000</v>
      </c>
      <c r="N7" s="12">
        <f t="shared" si="6"/>
        <v>0</v>
      </c>
      <c r="O7" s="29">
        <f t="shared" si="4"/>
        <v>99500</v>
      </c>
      <c r="P7" s="10" t="s">
        <v>29</v>
      </c>
      <c r="Q7" s="11">
        <v>-10000</v>
      </c>
      <c r="R7" s="11"/>
      <c r="S7" s="12">
        <f t="shared" si="7"/>
        <v>0</v>
      </c>
      <c r="T7" s="29">
        <f t="shared" si="5"/>
        <v>2500</v>
      </c>
      <c r="U7" s="56">
        <f t="shared" si="0"/>
        <v>-32</v>
      </c>
      <c r="V7" s="57">
        <f t="shared" si="1"/>
        <v>64.5</v>
      </c>
      <c r="W7" s="58">
        <f t="shared" si="2"/>
        <v>-32.5</v>
      </c>
    </row>
    <row r="8" spans="1:23" x14ac:dyDescent="0.4">
      <c r="A8" s="17" t="str">
        <f t="shared" si="8"/>
        <v>東</v>
      </c>
      <c r="B8" s="26">
        <f t="shared" si="9"/>
        <v>3</v>
      </c>
      <c r="C8" s="26">
        <f t="shared" si="10"/>
        <v>0</v>
      </c>
      <c r="D8" s="26">
        <f t="shared" si="11"/>
        <v>0</v>
      </c>
      <c r="E8" s="5" t="s">
        <v>19</v>
      </c>
      <c r="F8" s="10" t="s">
        <v>29</v>
      </c>
      <c r="G8" s="11">
        <v>-5000</v>
      </c>
      <c r="H8" s="11"/>
      <c r="I8" s="12">
        <f t="shared" si="12"/>
        <v>0</v>
      </c>
      <c r="J8" s="29">
        <f t="shared" si="3"/>
        <v>-2000</v>
      </c>
      <c r="K8" s="10" t="s">
        <v>29</v>
      </c>
      <c r="L8" s="11">
        <v>-3000</v>
      </c>
      <c r="M8" s="11"/>
      <c r="N8" s="12">
        <f t="shared" si="6"/>
        <v>0</v>
      </c>
      <c r="O8" s="29">
        <f t="shared" si="4"/>
        <v>96500</v>
      </c>
      <c r="P8" s="10" t="s">
        <v>28</v>
      </c>
      <c r="Q8" s="11">
        <v>8000</v>
      </c>
      <c r="R8" s="11"/>
      <c r="S8" s="12">
        <f t="shared" si="7"/>
        <v>0</v>
      </c>
      <c r="T8" s="29">
        <f t="shared" si="5"/>
        <v>10500</v>
      </c>
      <c r="U8" s="56">
        <f t="shared" si="0"/>
        <v>-37</v>
      </c>
      <c r="V8" s="57">
        <f t="shared" si="1"/>
        <v>61.5</v>
      </c>
      <c r="W8" s="58">
        <f t="shared" si="2"/>
        <v>-24.5</v>
      </c>
    </row>
    <row r="9" spans="1:23" x14ac:dyDescent="0.4">
      <c r="A9" s="17" t="str">
        <f t="shared" si="8"/>
        <v/>
      </c>
      <c r="B9" s="26" t="str">
        <f t="shared" si="9"/>
        <v/>
      </c>
      <c r="C9" s="26" t="str">
        <f t="shared" si="10"/>
        <v/>
      </c>
      <c r="D9" s="26" t="str">
        <f t="shared" si="11"/>
        <v/>
      </c>
      <c r="E9" s="5"/>
      <c r="F9" s="10"/>
      <c r="G9" s="11"/>
      <c r="H9" s="11"/>
      <c r="I9" s="12" t="str">
        <f t="shared" si="12"/>
        <v/>
      </c>
      <c r="J9" s="29" t="str">
        <f t="shared" si="3"/>
        <v/>
      </c>
      <c r="K9" s="10"/>
      <c r="L9" s="11"/>
      <c r="M9" s="11"/>
      <c r="N9" s="12" t="str">
        <f t="shared" si="6"/>
        <v/>
      </c>
      <c r="O9" s="29" t="str">
        <f t="shared" si="4"/>
        <v/>
      </c>
      <c r="P9" s="10"/>
      <c r="Q9" s="11"/>
      <c r="R9" s="11"/>
      <c r="S9" s="12" t="str">
        <f t="shared" si="7"/>
        <v/>
      </c>
      <c r="T9" s="29" t="str">
        <f t="shared" si="5"/>
        <v/>
      </c>
      <c r="U9" s="56" t="str">
        <f t="shared" si="0"/>
        <v/>
      </c>
      <c r="V9" s="57" t="str">
        <f t="shared" si="1"/>
        <v/>
      </c>
      <c r="W9" s="58" t="str">
        <f t="shared" si="2"/>
        <v/>
      </c>
    </row>
    <row r="10" spans="1:23" x14ac:dyDescent="0.4">
      <c r="A10" s="17" t="str">
        <f t="shared" si="8"/>
        <v/>
      </c>
      <c r="B10" s="26" t="str">
        <f t="shared" si="9"/>
        <v/>
      </c>
      <c r="C10" s="26" t="str">
        <f t="shared" si="10"/>
        <v/>
      </c>
      <c r="D10" s="26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9" t="str">
        <f t="shared" si="3"/>
        <v/>
      </c>
      <c r="K10" s="10"/>
      <c r="L10" s="11"/>
      <c r="M10" s="11"/>
      <c r="N10" s="12" t="str">
        <f t="shared" si="6"/>
        <v/>
      </c>
      <c r="O10" s="29" t="str">
        <f t="shared" si="4"/>
        <v/>
      </c>
      <c r="P10" s="10"/>
      <c r="Q10" s="11"/>
      <c r="R10" s="11"/>
      <c r="S10" s="12" t="str">
        <f t="shared" si="7"/>
        <v/>
      </c>
      <c r="T10" s="29" t="str">
        <f t="shared" si="5"/>
        <v/>
      </c>
      <c r="U10" s="56" t="str">
        <f t="shared" si="0"/>
        <v/>
      </c>
      <c r="V10" s="57" t="str">
        <f t="shared" si="1"/>
        <v/>
      </c>
      <c r="W10" s="58" t="str">
        <f t="shared" si="2"/>
        <v/>
      </c>
    </row>
    <row r="11" spans="1:23" x14ac:dyDescent="0.4">
      <c r="A11" s="17" t="str">
        <f t="shared" si="8"/>
        <v/>
      </c>
      <c r="B11" s="26" t="str">
        <f t="shared" si="9"/>
        <v/>
      </c>
      <c r="C11" s="26" t="str">
        <f t="shared" si="10"/>
        <v/>
      </c>
      <c r="D11" s="26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9" t="str">
        <f t="shared" si="3"/>
        <v/>
      </c>
      <c r="K11" s="10"/>
      <c r="L11" s="11"/>
      <c r="M11" s="11"/>
      <c r="N11" s="12" t="str">
        <f t="shared" si="6"/>
        <v/>
      </c>
      <c r="O11" s="29" t="str">
        <f t="shared" si="4"/>
        <v/>
      </c>
      <c r="P11" s="10"/>
      <c r="Q11" s="11"/>
      <c r="R11" s="11"/>
      <c r="S11" s="12" t="str">
        <f t="shared" si="7"/>
        <v/>
      </c>
      <c r="T11" s="29" t="str">
        <f t="shared" si="5"/>
        <v/>
      </c>
      <c r="U11" s="56" t="str">
        <f t="shared" si="0"/>
        <v/>
      </c>
      <c r="V11" s="57" t="str">
        <f t="shared" si="1"/>
        <v/>
      </c>
      <c r="W11" s="58" t="str">
        <f t="shared" si="2"/>
        <v/>
      </c>
    </row>
    <row r="12" spans="1:23" x14ac:dyDescent="0.4">
      <c r="A12" s="17" t="str">
        <f t="shared" si="8"/>
        <v/>
      </c>
      <c r="B12" s="26" t="str">
        <f t="shared" si="9"/>
        <v/>
      </c>
      <c r="C12" s="26" t="str">
        <f t="shared" si="10"/>
        <v/>
      </c>
      <c r="D12" s="26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9" t="str">
        <f t="shared" si="3"/>
        <v/>
      </c>
      <c r="K12" s="10"/>
      <c r="L12" s="11"/>
      <c r="M12" s="11"/>
      <c r="N12" s="12" t="str">
        <f t="shared" si="6"/>
        <v/>
      </c>
      <c r="O12" s="29" t="str">
        <f t="shared" si="4"/>
        <v/>
      </c>
      <c r="P12" s="10"/>
      <c r="Q12" s="11"/>
      <c r="R12" s="11"/>
      <c r="S12" s="12" t="str">
        <f t="shared" si="7"/>
        <v/>
      </c>
      <c r="T12" s="29" t="str">
        <f t="shared" si="5"/>
        <v/>
      </c>
      <c r="U12" s="56" t="str">
        <f t="shared" si="0"/>
        <v/>
      </c>
      <c r="V12" s="57" t="str">
        <f t="shared" si="1"/>
        <v/>
      </c>
      <c r="W12" s="58" t="str">
        <f t="shared" si="2"/>
        <v/>
      </c>
    </row>
    <row r="13" spans="1:23" x14ac:dyDescent="0.4">
      <c r="A13" s="17" t="str">
        <f t="shared" si="8"/>
        <v/>
      </c>
      <c r="B13" s="26" t="str">
        <f t="shared" si="9"/>
        <v/>
      </c>
      <c r="C13" s="26" t="str">
        <f t="shared" si="10"/>
        <v/>
      </c>
      <c r="D13" s="26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9" t="str">
        <f t="shared" si="3"/>
        <v/>
      </c>
      <c r="K13" s="10"/>
      <c r="L13" s="11"/>
      <c r="M13" s="11"/>
      <c r="N13" s="12" t="str">
        <f t="shared" si="6"/>
        <v/>
      </c>
      <c r="O13" s="29" t="str">
        <f t="shared" si="4"/>
        <v/>
      </c>
      <c r="P13" s="10"/>
      <c r="Q13" s="11"/>
      <c r="R13" s="11"/>
      <c r="S13" s="12" t="str">
        <f t="shared" si="7"/>
        <v/>
      </c>
      <c r="T13" s="29" t="str">
        <f t="shared" si="5"/>
        <v/>
      </c>
      <c r="U13" s="56" t="str">
        <f t="shared" si="0"/>
        <v/>
      </c>
      <c r="V13" s="57" t="str">
        <f t="shared" si="1"/>
        <v/>
      </c>
      <c r="W13" s="58" t="str">
        <f t="shared" si="2"/>
        <v/>
      </c>
    </row>
    <row r="14" spans="1:23" x14ac:dyDescent="0.4">
      <c r="A14" s="17" t="str">
        <f t="shared" si="8"/>
        <v/>
      </c>
      <c r="B14" s="26" t="str">
        <f t="shared" si="9"/>
        <v/>
      </c>
      <c r="C14" s="26" t="str">
        <f t="shared" si="10"/>
        <v/>
      </c>
      <c r="D14" s="26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9" t="str">
        <f t="shared" si="3"/>
        <v/>
      </c>
      <c r="K14" s="10"/>
      <c r="L14" s="11"/>
      <c r="M14" s="11"/>
      <c r="N14" s="12" t="str">
        <f t="shared" si="6"/>
        <v/>
      </c>
      <c r="O14" s="29" t="str">
        <f t="shared" si="4"/>
        <v/>
      </c>
      <c r="P14" s="10"/>
      <c r="Q14" s="11"/>
      <c r="R14" s="11"/>
      <c r="S14" s="12" t="str">
        <f t="shared" si="7"/>
        <v/>
      </c>
      <c r="T14" s="29" t="str">
        <f t="shared" si="5"/>
        <v/>
      </c>
      <c r="U14" s="56" t="str">
        <f t="shared" si="0"/>
        <v/>
      </c>
      <c r="V14" s="57" t="str">
        <f t="shared" si="1"/>
        <v/>
      </c>
      <c r="W14" s="58" t="str">
        <f t="shared" si="2"/>
        <v/>
      </c>
    </row>
    <row r="15" spans="1:23" x14ac:dyDescent="0.4">
      <c r="A15" s="17" t="str">
        <f t="shared" si="8"/>
        <v/>
      </c>
      <c r="B15" s="26" t="str">
        <f t="shared" si="9"/>
        <v/>
      </c>
      <c r="C15" s="26" t="str">
        <f t="shared" si="10"/>
        <v/>
      </c>
      <c r="D15" s="26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9" t="str">
        <f t="shared" si="3"/>
        <v/>
      </c>
      <c r="K15" s="10"/>
      <c r="L15" s="11"/>
      <c r="M15" s="11"/>
      <c r="N15" s="12" t="str">
        <f t="shared" si="6"/>
        <v/>
      </c>
      <c r="O15" s="29" t="str">
        <f t="shared" si="4"/>
        <v/>
      </c>
      <c r="P15" s="10"/>
      <c r="Q15" s="11"/>
      <c r="R15" s="11"/>
      <c r="S15" s="12" t="str">
        <f t="shared" si="7"/>
        <v/>
      </c>
      <c r="T15" s="29" t="str">
        <f t="shared" si="5"/>
        <v/>
      </c>
      <c r="U15" s="56" t="str">
        <f t="shared" si="0"/>
        <v/>
      </c>
      <c r="V15" s="57" t="str">
        <f t="shared" si="1"/>
        <v/>
      </c>
      <c r="W15" s="58" t="str">
        <f t="shared" si="2"/>
        <v/>
      </c>
    </row>
    <row r="16" spans="1:23" x14ac:dyDescent="0.4">
      <c r="A16" s="17" t="str">
        <f t="shared" si="8"/>
        <v/>
      </c>
      <c r="B16" s="26" t="str">
        <f t="shared" si="9"/>
        <v/>
      </c>
      <c r="C16" s="26" t="str">
        <f t="shared" si="10"/>
        <v/>
      </c>
      <c r="D16" s="26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9" t="str">
        <f t="shared" si="3"/>
        <v/>
      </c>
      <c r="K16" s="10"/>
      <c r="L16" s="11"/>
      <c r="M16" s="11"/>
      <c r="N16" s="12" t="str">
        <f t="shared" si="6"/>
        <v/>
      </c>
      <c r="O16" s="29" t="str">
        <f t="shared" si="4"/>
        <v/>
      </c>
      <c r="P16" s="10"/>
      <c r="Q16" s="11"/>
      <c r="R16" s="11"/>
      <c r="S16" s="12" t="str">
        <f t="shared" si="7"/>
        <v/>
      </c>
      <c r="T16" s="29" t="str">
        <f t="shared" si="5"/>
        <v/>
      </c>
      <c r="U16" s="56" t="str">
        <f t="shared" si="0"/>
        <v/>
      </c>
      <c r="V16" s="57" t="str">
        <f t="shared" si="1"/>
        <v/>
      </c>
      <c r="W16" s="58" t="str">
        <f t="shared" si="2"/>
        <v/>
      </c>
    </row>
    <row r="17" spans="1:23" x14ac:dyDescent="0.4">
      <c r="A17" s="17" t="str">
        <f t="shared" si="8"/>
        <v/>
      </c>
      <c r="B17" s="26" t="str">
        <f t="shared" si="9"/>
        <v/>
      </c>
      <c r="C17" s="26" t="str">
        <f t="shared" si="10"/>
        <v/>
      </c>
      <c r="D17" s="26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9" t="str">
        <f t="shared" si="3"/>
        <v/>
      </c>
      <c r="K17" s="10"/>
      <c r="L17" s="11"/>
      <c r="M17" s="11"/>
      <c r="N17" s="12" t="str">
        <f t="shared" si="6"/>
        <v/>
      </c>
      <c r="O17" s="29" t="str">
        <f t="shared" si="4"/>
        <v/>
      </c>
      <c r="P17" s="10"/>
      <c r="Q17" s="11"/>
      <c r="R17" s="11"/>
      <c r="S17" s="12" t="str">
        <f t="shared" si="7"/>
        <v/>
      </c>
      <c r="T17" s="29" t="str">
        <f t="shared" si="5"/>
        <v/>
      </c>
      <c r="U17" s="56" t="str">
        <f t="shared" si="0"/>
        <v/>
      </c>
      <c r="V17" s="57" t="str">
        <f t="shared" si="1"/>
        <v/>
      </c>
      <c r="W17" s="58" t="str">
        <f t="shared" si="2"/>
        <v/>
      </c>
    </row>
    <row r="18" spans="1:23" x14ac:dyDescent="0.4">
      <c r="A18" s="17" t="str">
        <f t="shared" si="8"/>
        <v/>
      </c>
      <c r="B18" s="26" t="str">
        <f t="shared" si="9"/>
        <v/>
      </c>
      <c r="C18" s="26" t="str">
        <f t="shared" si="10"/>
        <v/>
      </c>
      <c r="D18" s="26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9" t="str">
        <f t="shared" si="3"/>
        <v/>
      </c>
      <c r="K18" s="10"/>
      <c r="L18" s="11"/>
      <c r="M18" s="11"/>
      <c r="N18" s="12" t="str">
        <f t="shared" si="6"/>
        <v/>
      </c>
      <c r="O18" s="29" t="str">
        <f t="shared" si="4"/>
        <v/>
      </c>
      <c r="P18" s="10"/>
      <c r="Q18" s="11"/>
      <c r="R18" s="11"/>
      <c r="S18" s="12" t="str">
        <f t="shared" si="7"/>
        <v/>
      </c>
      <c r="T18" s="29" t="str">
        <f t="shared" si="5"/>
        <v/>
      </c>
      <c r="U18" s="56" t="str">
        <f t="shared" si="0"/>
        <v/>
      </c>
      <c r="V18" s="57" t="str">
        <f t="shared" si="1"/>
        <v/>
      </c>
      <c r="W18" s="58" t="str">
        <f t="shared" si="2"/>
        <v/>
      </c>
    </row>
    <row r="19" spans="1:23" x14ac:dyDescent="0.4">
      <c r="A19" s="17" t="str">
        <f t="shared" si="8"/>
        <v/>
      </c>
      <c r="B19" s="26" t="str">
        <f t="shared" si="9"/>
        <v/>
      </c>
      <c r="C19" s="26" t="str">
        <f t="shared" si="10"/>
        <v/>
      </c>
      <c r="D19" s="26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9" t="str">
        <f t="shared" si="3"/>
        <v/>
      </c>
      <c r="K19" s="10"/>
      <c r="L19" s="11"/>
      <c r="M19" s="11"/>
      <c r="N19" s="12" t="str">
        <f t="shared" si="6"/>
        <v/>
      </c>
      <c r="O19" s="29" t="str">
        <f t="shared" si="4"/>
        <v/>
      </c>
      <c r="P19" s="10"/>
      <c r="Q19" s="11"/>
      <c r="R19" s="11"/>
      <c r="S19" s="12" t="str">
        <f t="shared" si="7"/>
        <v/>
      </c>
      <c r="T19" s="29" t="str">
        <f t="shared" si="5"/>
        <v/>
      </c>
      <c r="U19" s="56" t="str">
        <f t="shared" si="0"/>
        <v/>
      </c>
      <c r="V19" s="57" t="str">
        <f t="shared" si="1"/>
        <v/>
      </c>
      <c r="W19" s="58" t="str">
        <f t="shared" si="2"/>
        <v/>
      </c>
    </row>
    <row r="20" spans="1:23" x14ac:dyDescent="0.4">
      <c r="A20" s="17" t="str">
        <f t="shared" si="8"/>
        <v/>
      </c>
      <c r="B20" s="26" t="str">
        <f t="shared" si="9"/>
        <v/>
      </c>
      <c r="C20" s="26" t="str">
        <f t="shared" si="10"/>
        <v/>
      </c>
      <c r="D20" s="26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9" t="str">
        <f t="shared" si="3"/>
        <v/>
      </c>
      <c r="K20" s="10"/>
      <c r="L20" s="11"/>
      <c r="M20" s="11"/>
      <c r="N20" s="12" t="str">
        <f t="shared" si="6"/>
        <v/>
      </c>
      <c r="O20" s="29" t="str">
        <f t="shared" si="4"/>
        <v/>
      </c>
      <c r="P20" s="10"/>
      <c r="Q20" s="11"/>
      <c r="R20" s="11"/>
      <c r="S20" s="12" t="str">
        <f t="shared" si="7"/>
        <v/>
      </c>
      <c r="T20" s="29" t="str">
        <f t="shared" si="5"/>
        <v/>
      </c>
      <c r="U20" s="56" t="str">
        <f t="shared" si="0"/>
        <v/>
      </c>
      <c r="V20" s="57" t="str">
        <f t="shared" si="1"/>
        <v/>
      </c>
      <c r="W20" s="58" t="str">
        <f t="shared" si="2"/>
        <v/>
      </c>
    </row>
    <row r="21" spans="1:23" x14ac:dyDescent="0.4">
      <c r="A21" s="17" t="str">
        <f t="shared" si="8"/>
        <v/>
      </c>
      <c r="B21" s="26" t="str">
        <f t="shared" si="9"/>
        <v/>
      </c>
      <c r="C21" s="26" t="str">
        <f t="shared" si="10"/>
        <v/>
      </c>
      <c r="D21" s="26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9" t="str">
        <f t="shared" si="3"/>
        <v/>
      </c>
      <c r="K21" s="10"/>
      <c r="L21" s="11"/>
      <c r="M21" s="11"/>
      <c r="N21" s="12" t="str">
        <f t="shared" si="6"/>
        <v/>
      </c>
      <c r="O21" s="29" t="str">
        <f t="shared" si="4"/>
        <v/>
      </c>
      <c r="P21" s="10"/>
      <c r="Q21" s="11"/>
      <c r="R21" s="11"/>
      <c r="S21" s="12" t="str">
        <f t="shared" si="7"/>
        <v/>
      </c>
      <c r="T21" s="29" t="str">
        <f t="shared" si="5"/>
        <v/>
      </c>
      <c r="U21" s="56" t="str">
        <f t="shared" si="0"/>
        <v/>
      </c>
      <c r="V21" s="57" t="str">
        <f t="shared" si="1"/>
        <v/>
      </c>
      <c r="W21" s="58" t="str">
        <f t="shared" si="2"/>
        <v/>
      </c>
    </row>
    <row r="22" spans="1:23" x14ac:dyDescent="0.4">
      <c r="A22" s="17" t="str">
        <f t="shared" si="8"/>
        <v/>
      </c>
      <c r="B22" s="26" t="str">
        <f t="shared" si="9"/>
        <v/>
      </c>
      <c r="C22" s="26" t="str">
        <f t="shared" si="10"/>
        <v/>
      </c>
      <c r="D22" s="26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9" t="str">
        <f t="shared" si="3"/>
        <v/>
      </c>
      <c r="K22" s="10"/>
      <c r="L22" s="11"/>
      <c r="M22" s="11"/>
      <c r="N22" s="12" t="str">
        <f t="shared" si="6"/>
        <v/>
      </c>
      <c r="O22" s="29" t="str">
        <f t="shared" si="4"/>
        <v/>
      </c>
      <c r="P22" s="10"/>
      <c r="Q22" s="11"/>
      <c r="R22" s="11"/>
      <c r="S22" s="12" t="str">
        <f t="shared" si="7"/>
        <v/>
      </c>
      <c r="T22" s="29" t="str">
        <f t="shared" si="5"/>
        <v/>
      </c>
      <c r="U22" s="56" t="str">
        <f t="shared" si="0"/>
        <v/>
      </c>
      <c r="V22" s="57" t="str">
        <f t="shared" si="1"/>
        <v/>
      </c>
      <c r="W22" s="58" t="str">
        <f t="shared" si="2"/>
        <v/>
      </c>
    </row>
    <row r="23" spans="1:23" x14ac:dyDescent="0.4">
      <c r="A23" s="17" t="str">
        <f t="shared" si="8"/>
        <v/>
      </c>
      <c r="B23" s="26" t="str">
        <f t="shared" si="9"/>
        <v/>
      </c>
      <c r="C23" s="26" t="str">
        <f t="shared" si="10"/>
        <v/>
      </c>
      <c r="D23" s="26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9" t="str">
        <f t="shared" si="3"/>
        <v/>
      </c>
      <c r="K23" s="10"/>
      <c r="L23" s="11"/>
      <c r="M23" s="11"/>
      <c r="N23" s="12" t="str">
        <f t="shared" si="6"/>
        <v/>
      </c>
      <c r="O23" s="29" t="str">
        <f t="shared" si="4"/>
        <v/>
      </c>
      <c r="P23" s="10"/>
      <c r="Q23" s="11"/>
      <c r="R23" s="11"/>
      <c r="S23" s="12" t="str">
        <f t="shared" si="7"/>
        <v/>
      </c>
      <c r="T23" s="29" t="str">
        <f t="shared" si="5"/>
        <v/>
      </c>
      <c r="U23" s="56" t="str">
        <f t="shared" si="0"/>
        <v/>
      </c>
      <c r="V23" s="57" t="str">
        <f t="shared" si="1"/>
        <v/>
      </c>
      <c r="W23" s="58" t="str">
        <f t="shared" si="2"/>
        <v/>
      </c>
    </row>
    <row r="24" spans="1:23" x14ac:dyDescent="0.4">
      <c r="A24" s="17" t="str">
        <f t="shared" si="8"/>
        <v/>
      </c>
      <c r="B24" s="26" t="str">
        <f t="shared" si="9"/>
        <v/>
      </c>
      <c r="C24" s="26" t="str">
        <f t="shared" si="10"/>
        <v/>
      </c>
      <c r="D24" s="26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9" t="str">
        <f t="shared" si="3"/>
        <v/>
      </c>
      <c r="K24" s="10"/>
      <c r="L24" s="11"/>
      <c r="M24" s="11"/>
      <c r="N24" s="12" t="str">
        <f t="shared" si="6"/>
        <v/>
      </c>
      <c r="O24" s="29" t="str">
        <f t="shared" si="4"/>
        <v/>
      </c>
      <c r="P24" s="10"/>
      <c r="Q24" s="11"/>
      <c r="R24" s="11"/>
      <c r="S24" s="12" t="str">
        <f t="shared" si="7"/>
        <v/>
      </c>
      <c r="T24" s="29" t="str">
        <f t="shared" si="5"/>
        <v/>
      </c>
      <c r="U24" s="56" t="str">
        <f t="shared" si="0"/>
        <v/>
      </c>
      <c r="V24" s="57" t="str">
        <f t="shared" si="1"/>
        <v/>
      </c>
      <c r="W24" s="58" t="str">
        <f t="shared" si="2"/>
        <v/>
      </c>
    </row>
    <row r="25" spans="1:23" x14ac:dyDescent="0.4">
      <c r="A25" s="17" t="str">
        <f t="shared" si="8"/>
        <v/>
      </c>
      <c r="B25" s="26" t="str">
        <f t="shared" si="9"/>
        <v/>
      </c>
      <c r="C25" s="26" t="str">
        <f t="shared" si="10"/>
        <v/>
      </c>
      <c r="D25" s="26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9" t="str">
        <f t="shared" si="3"/>
        <v/>
      </c>
      <c r="K25" s="10"/>
      <c r="L25" s="11"/>
      <c r="M25" s="11"/>
      <c r="N25" s="12" t="str">
        <f t="shared" si="6"/>
        <v/>
      </c>
      <c r="O25" s="29" t="str">
        <f t="shared" si="4"/>
        <v/>
      </c>
      <c r="P25" s="10"/>
      <c r="Q25" s="11"/>
      <c r="R25" s="11"/>
      <c r="S25" s="12" t="str">
        <f t="shared" si="7"/>
        <v/>
      </c>
      <c r="T25" s="29" t="str">
        <f t="shared" si="5"/>
        <v/>
      </c>
      <c r="U25" s="56" t="str">
        <f t="shared" si="0"/>
        <v/>
      </c>
      <c r="V25" s="57" t="str">
        <f t="shared" si="1"/>
        <v/>
      </c>
      <c r="W25" s="58" t="str">
        <f t="shared" si="2"/>
        <v/>
      </c>
    </row>
    <row r="26" spans="1:23" x14ac:dyDescent="0.4">
      <c r="A26" s="17" t="str">
        <f t="shared" si="8"/>
        <v/>
      </c>
      <c r="B26" s="26" t="str">
        <f t="shared" si="9"/>
        <v/>
      </c>
      <c r="C26" s="26" t="str">
        <f t="shared" si="10"/>
        <v/>
      </c>
      <c r="D26" s="26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9" t="str">
        <f t="shared" si="3"/>
        <v/>
      </c>
      <c r="K26" s="10"/>
      <c r="L26" s="11"/>
      <c r="M26" s="11"/>
      <c r="N26" s="12" t="str">
        <f t="shared" si="6"/>
        <v/>
      </c>
      <c r="O26" s="29" t="str">
        <f t="shared" si="4"/>
        <v/>
      </c>
      <c r="P26" s="10"/>
      <c r="Q26" s="11"/>
      <c r="R26" s="11"/>
      <c r="S26" s="12" t="str">
        <f t="shared" si="7"/>
        <v/>
      </c>
      <c r="T26" s="29" t="str">
        <f t="shared" si="5"/>
        <v/>
      </c>
      <c r="U26" s="56" t="str">
        <f t="shared" si="0"/>
        <v/>
      </c>
      <c r="V26" s="57" t="str">
        <f t="shared" si="1"/>
        <v/>
      </c>
      <c r="W26" s="58" t="str">
        <f t="shared" si="2"/>
        <v/>
      </c>
    </row>
    <row r="27" spans="1:23" x14ac:dyDescent="0.4">
      <c r="A27" s="17" t="str">
        <f t="shared" si="8"/>
        <v/>
      </c>
      <c r="B27" s="26" t="str">
        <f t="shared" si="9"/>
        <v/>
      </c>
      <c r="C27" s="26" t="str">
        <f t="shared" si="10"/>
        <v/>
      </c>
      <c r="D27" s="26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9" t="str">
        <f t="shared" si="3"/>
        <v/>
      </c>
      <c r="K27" s="10"/>
      <c r="L27" s="11"/>
      <c r="M27" s="11"/>
      <c r="N27" s="12" t="str">
        <f t="shared" si="6"/>
        <v/>
      </c>
      <c r="O27" s="29" t="str">
        <f t="shared" si="4"/>
        <v/>
      </c>
      <c r="P27" s="10"/>
      <c r="Q27" s="11"/>
      <c r="R27" s="11"/>
      <c r="S27" s="12" t="str">
        <f t="shared" si="7"/>
        <v/>
      </c>
      <c r="T27" s="29" t="str">
        <f t="shared" si="5"/>
        <v/>
      </c>
      <c r="U27" s="56" t="str">
        <f t="shared" si="0"/>
        <v/>
      </c>
      <c r="V27" s="57" t="str">
        <f t="shared" si="1"/>
        <v/>
      </c>
      <c r="W27" s="58" t="str">
        <f t="shared" si="2"/>
        <v/>
      </c>
    </row>
    <row r="28" spans="1:23" x14ac:dyDescent="0.4">
      <c r="A28" s="17" t="str">
        <f t="shared" si="8"/>
        <v/>
      </c>
      <c r="B28" s="26" t="str">
        <f t="shared" si="9"/>
        <v/>
      </c>
      <c r="C28" s="26" t="str">
        <f t="shared" si="10"/>
        <v/>
      </c>
      <c r="D28" s="26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9" t="str">
        <f t="shared" si="3"/>
        <v/>
      </c>
      <c r="K28" s="10"/>
      <c r="L28" s="11"/>
      <c r="M28" s="11"/>
      <c r="N28" s="12" t="str">
        <f t="shared" si="6"/>
        <v/>
      </c>
      <c r="O28" s="29" t="str">
        <f t="shared" si="4"/>
        <v/>
      </c>
      <c r="P28" s="10"/>
      <c r="Q28" s="11"/>
      <c r="R28" s="11"/>
      <c r="S28" s="12" t="str">
        <f t="shared" si="7"/>
        <v/>
      </c>
      <c r="T28" s="29" t="str">
        <f t="shared" si="5"/>
        <v/>
      </c>
      <c r="U28" s="56" t="str">
        <f t="shared" si="0"/>
        <v/>
      </c>
      <c r="V28" s="57" t="str">
        <f t="shared" si="1"/>
        <v/>
      </c>
      <c r="W28" s="58" t="str">
        <f t="shared" si="2"/>
        <v/>
      </c>
    </row>
    <row r="29" spans="1:23" x14ac:dyDescent="0.4">
      <c r="A29" s="17" t="str">
        <f t="shared" si="8"/>
        <v/>
      </c>
      <c r="B29" s="26" t="str">
        <f t="shared" si="9"/>
        <v/>
      </c>
      <c r="C29" s="26" t="str">
        <f t="shared" si="10"/>
        <v/>
      </c>
      <c r="D29" s="26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9" t="str">
        <f t="shared" si="3"/>
        <v/>
      </c>
      <c r="K29" s="10"/>
      <c r="L29" s="11"/>
      <c r="M29" s="11"/>
      <c r="N29" s="12" t="str">
        <f t="shared" si="6"/>
        <v/>
      </c>
      <c r="O29" s="29" t="str">
        <f t="shared" si="4"/>
        <v/>
      </c>
      <c r="P29" s="10"/>
      <c r="Q29" s="11"/>
      <c r="R29" s="11"/>
      <c r="S29" s="12" t="str">
        <f t="shared" si="7"/>
        <v/>
      </c>
      <c r="T29" s="29" t="str">
        <f t="shared" si="5"/>
        <v/>
      </c>
      <c r="U29" s="56" t="str">
        <f t="shared" si="0"/>
        <v/>
      </c>
      <c r="V29" s="57" t="str">
        <f t="shared" si="1"/>
        <v/>
      </c>
      <c r="W29" s="58" t="str">
        <f t="shared" si="2"/>
        <v/>
      </c>
    </row>
    <row r="30" spans="1:23" x14ac:dyDescent="0.4">
      <c r="A30" s="18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0" t="str">
        <f t="shared" si="3"/>
        <v/>
      </c>
      <c r="K30" s="13"/>
      <c r="L30" s="14"/>
      <c r="M30" s="14"/>
      <c r="N30" s="15" t="str">
        <f t="shared" si="6"/>
        <v/>
      </c>
      <c r="O30" s="30" t="str">
        <f t="shared" si="4"/>
        <v/>
      </c>
      <c r="P30" s="13"/>
      <c r="Q30" s="14"/>
      <c r="R30" s="14"/>
      <c r="S30" s="15" t="str">
        <f t="shared" si="7"/>
        <v/>
      </c>
      <c r="T30" s="30" t="str">
        <f t="shared" si="5"/>
        <v/>
      </c>
      <c r="U30" s="59" t="str">
        <f t="shared" si="0"/>
        <v/>
      </c>
      <c r="V30" s="60" t="str">
        <f t="shared" si="1"/>
        <v/>
      </c>
      <c r="W30" s="6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80CEEC93-B948-4BB5-953F-1D4A54D62388}">
      <formula1>$U$2:$W$2</formula1>
    </dataValidation>
    <dataValidation type="list" showInputMessage="1" showErrorMessage="1" sqref="K4:K30 P4:P30 F4:F30" xr:uid="{19A201BD-0A47-4BCA-8A83-054BFAB45BF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529D7-B4C1-4029-A261-B817CF63BE0E}">
  <sheetPr codeName="Sheet14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7" t="s">
        <v>0</v>
      </c>
      <c r="B1" s="49" t="s">
        <v>2</v>
      </c>
      <c r="C1" s="49" t="s">
        <v>1</v>
      </c>
      <c r="D1" s="49" t="s">
        <v>6</v>
      </c>
      <c r="E1" s="51" t="s">
        <v>3</v>
      </c>
      <c r="F1" s="43" t="s">
        <v>20</v>
      </c>
      <c r="G1" s="44"/>
      <c r="H1" s="44"/>
      <c r="I1" s="45"/>
      <c r="J1" s="46"/>
      <c r="K1" s="43" t="s">
        <v>22</v>
      </c>
      <c r="L1" s="44"/>
      <c r="M1" s="44"/>
      <c r="N1" s="45"/>
      <c r="O1" s="46"/>
      <c r="P1" s="43" t="s">
        <v>24</v>
      </c>
      <c r="Q1" s="44"/>
      <c r="R1" s="44"/>
      <c r="S1" s="45"/>
      <c r="T1" s="46"/>
      <c r="U1" s="43" t="s">
        <v>8</v>
      </c>
      <c r="V1" s="44"/>
      <c r="W1" s="46"/>
    </row>
    <row r="2" spans="1:23" x14ac:dyDescent="0.4">
      <c r="A2" s="48"/>
      <c r="B2" s="50"/>
      <c r="C2" s="50"/>
      <c r="D2" s="50"/>
      <c r="E2" s="52"/>
      <c r="F2" s="2" t="s">
        <v>7</v>
      </c>
      <c r="G2" s="3" t="s">
        <v>12</v>
      </c>
      <c r="H2" s="3" t="s">
        <v>4</v>
      </c>
      <c r="I2" s="4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2" t="s">
        <v>10</v>
      </c>
      <c r="T2" s="8" t="s">
        <v>5</v>
      </c>
      <c r="U2" s="41" t="str">
        <f>F1</f>
        <v>だいち</v>
      </c>
      <c r="V2" s="42" t="str">
        <f>K1</f>
        <v>りくと</v>
      </c>
      <c r="W2" s="22" t="str">
        <f>P1</f>
        <v>いっしー</v>
      </c>
    </row>
    <row r="3" spans="1:23" x14ac:dyDescent="0.4">
      <c r="A3" s="16"/>
      <c r="B3" s="25"/>
      <c r="C3" s="25"/>
      <c r="D3" s="25"/>
      <c r="E3" s="4"/>
      <c r="F3" s="9"/>
      <c r="G3" s="31"/>
      <c r="H3" s="31"/>
      <c r="I3" s="32"/>
      <c r="J3" s="28">
        <v>35000</v>
      </c>
      <c r="K3" s="9"/>
      <c r="L3" s="31"/>
      <c r="M3" s="31"/>
      <c r="N3" s="32"/>
      <c r="O3" s="28">
        <v>35000</v>
      </c>
      <c r="P3" s="9"/>
      <c r="Q3" s="31"/>
      <c r="R3" s="31"/>
      <c r="S3" s="32"/>
      <c r="T3" s="28">
        <v>35000</v>
      </c>
      <c r="U3" s="53">
        <f t="shared" ref="U3:U30" si="0">IF($J3="","",ROUND(($J3-$J$3)/1000,1))</f>
        <v>0</v>
      </c>
      <c r="V3" s="54">
        <f t="shared" ref="V3:V30" si="1">IF($O3="","",ROUND(($O3-$O$3)/1000,1))</f>
        <v>0</v>
      </c>
      <c r="W3" s="55">
        <f t="shared" ref="W3:W30" si="2">IF($T3="","",ROUND(($T3-$T$3)/1000,1))</f>
        <v>0</v>
      </c>
    </row>
    <row r="4" spans="1:23" x14ac:dyDescent="0.4">
      <c r="A4" s="17" t="s">
        <v>11</v>
      </c>
      <c r="B4" s="26">
        <v>1</v>
      </c>
      <c r="C4" s="26">
        <v>0</v>
      </c>
      <c r="D4" s="26">
        <v>0</v>
      </c>
      <c r="E4" s="5" t="s">
        <v>23</v>
      </c>
      <c r="F4" s="10" t="s">
        <v>29</v>
      </c>
      <c r="G4" s="11">
        <v>-3000</v>
      </c>
      <c r="H4" s="11"/>
      <c r="I4" s="12">
        <f>IF(OR(F4="ロン",F4="ツモ"),$C4*1000,IF(F4="放銃",$C4*-1000,IF(F4="ツモ支払",$C4*-500,"")))</f>
        <v>0</v>
      </c>
      <c r="J4" s="29">
        <f t="shared" ref="J4:J30" si="3">IF(COUNTA($F4,$K4,$P4)&gt;0,J3+SUM(G4:I4),"")</f>
        <v>32000</v>
      </c>
      <c r="K4" s="10" t="s">
        <v>28</v>
      </c>
      <c r="L4" s="11">
        <v>8000</v>
      </c>
      <c r="M4" s="11"/>
      <c r="N4" s="12">
        <f>IF(OR(K4="ロン",K4="ツモ"),$C4*1000,IF(K4="放銃",$C4*-1000,IF(K4="ツモ支払",$C4*-500,"")))</f>
        <v>0</v>
      </c>
      <c r="O4" s="29">
        <f t="shared" ref="O4:O30" si="4">IF(COUNTA($F4,$K4,$P4)&gt;0,O3+SUM(L4:N4),"")</f>
        <v>43000</v>
      </c>
      <c r="P4" s="10" t="s">
        <v>29</v>
      </c>
      <c r="Q4" s="11">
        <v>-5000</v>
      </c>
      <c r="R4" s="11"/>
      <c r="S4" s="12">
        <f>IF(OR(P4="ロン",P4="ツモ"),$C4*1000,IF(P4="放銃",$C4*-1000,IF(P4="ツモ支払",$C4*-500,"")))</f>
        <v>0</v>
      </c>
      <c r="T4" s="29">
        <f t="shared" ref="T4:T30" si="5">IF(COUNTA($F4,$K4,$P4)&gt;0,T3+SUM(Q4:S4),"")</f>
        <v>30000</v>
      </c>
      <c r="U4" s="56">
        <f t="shared" si="0"/>
        <v>-3</v>
      </c>
      <c r="V4" s="57">
        <f t="shared" si="1"/>
        <v>8</v>
      </c>
      <c r="W4" s="58">
        <f t="shared" si="2"/>
        <v>-5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6">
        <f>IF($E5="","",IF($E4=$E5,B4,IF(B4=3,1,B4+1)))</f>
        <v>2</v>
      </c>
      <c r="C5" s="26">
        <f>IF($E5="","",IF($E4=$E5,C4+1,0))</f>
        <v>0</v>
      </c>
      <c r="D5" s="26">
        <f>IF($E5="","",IF(OR(F4="流局",K4="流局",P4="流局",F4="チョンボ",K4="チョンボ",P4="チョンボ"),D4+($H4+$M4+$R4)/-1000,0))</f>
        <v>0</v>
      </c>
      <c r="E5" s="5" t="s">
        <v>19</v>
      </c>
      <c r="F5" s="10"/>
      <c r="G5" s="11"/>
      <c r="H5" s="11"/>
      <c r="I5" s="12" t="str">
        <f>IF(OR(F5="ロン",F5="ツモ"),$C5*1000,IF(F5="放銃",$C5*-1000,IF(F5="ツモ支払",$C5*-500,"")))</f>
        <v/>
      </c>
      <c r="J5" s="29">
        <f t="shared" si="3"/>
        <v>32000</v>
      </c>
      <c r="K5" s="10" t="s">
        <v>26</v>
      </c>
      <c r="L5" s="11">
        <v>-8000</v>
      </c>
      <c r="M5" s="11"/>
      <c r="N5" s="12">
        <f t="shared" ref="N5:N30" si="6">IF(OR(K5="ロン",K5="ツモ"),$C5*1000,IF(K5="放銃",$C5*-1000,IF(K5="ツモ支払",$C5*-500,"")))</f>
        <v>0</v>
      </c>
      <c r="O5" s="29">
        <f t="shared" si="4"/>
        <v>35000</v>
      </c>
      <c r="P5" s="10" t="s">
        <v>25</v>
      </c>
      <c r="Q5" s="11">
        <v>8000</v>
      </c>
      <c r="R5" s="11"/>
      <c r="S5" s="12">
        <f t="shared" ref="S5:S30" si="7">IF(OR(P5="ロン",P5="ツモ"),$C5*1000,IF(P5="放銃",$C5*-1000,IF(P5="ツモ支払",$C5*-500,"")))</f>
        <v>0</v>
      </c>
      <c r="T5" s="29">
        <f t="shared" si="5"/>
        <v>38000</v>
      </c>
      <c r="U5" s="56">
        <f t="shared" si="0"/>
        <v>-3</v>
      </c>
      <c r="V5" s="57">
        <f t="shared" si="1"/>
        <v>0</v>
      </c>
      <c r="W5" s="58">
        <f t="shared" si="2"/>
        <v>3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6">
        <f t="shared" ref="B6:B30" si="9">IF($E6="","",IF($E5=$E6,B5,IF(B5=3,1,B5+1)))</f>
        <v>3</v>
      </c>
      <c r="C6" s="26">
        <f t="shared" ref="C6:C30" si="10">IF($E6="","",IF($E5=$E6,C5+1,0))</f>
        <v>0</v>
      </c>
      <c r="D6" s="26">
        <f t="shared" ref="D6:D30" si="11">IF($E6="","",IF(OR(F5="流局",K5="流局",P5="流局",F5="チョンボ",K5="チョンボ",P5="チョンボ"),D5+($H5+$M5+$R5)/-1000,0))</f>
        <v>0</v>
      </c>
      <c r="E6" s="5" t="s">
        <v>21</v>
      </c>
      <c r="F6" s="10" t="s">
        <v>29</v>
      </c>
      <c r="G6" s="11">
        <v>-6000</v>
      </c>
      <c r="H6" s="11"/>
      <c r="I6" s="12">
        <f t="shared" ref="I6:I30" si="12">IF(OR(F6="ロン",F6="ツモ"),$C6*1000,IF(F6="放銃",$C6*-1000,IF(F6="ツモ支払",$C6*-500,"")))</f>
        <v>0</v>
      </c>
      <c r="J6" s="29">
        <f t="shared" si="3"/>
        <v>26000</v>
      </c>
      <c r="K6" s="10" t="s">
        <v>28</v>
      </c>
      <c r="L6" s="11">
        <v>12000</v>
      </c>
      <c r="M6" s="11">
        <v>1000</v>
      </c>
      <c r="N6" s="12">
        <f t="shared" si="6"/>
        <v>0</v>
      </c>
      <c r="O6" s="29">
        <f t="shared" si="4"/>
        <v>48000</v>
      </c>
      <c r="P6" s="10" t="s">
        <v>29</v>
      </c>
      <c r="Q6" s="11">
        <v>-6000</v>
      </c>
      <c r="R6" s="11">
        <v>-1000</v>
      </c>
      <c r="S6" s="12">
        <f t="shared" si="7"/>
        <v>0</v>
      </c>
      <c r="T6" s="29">
        <f t="shared" si="5"/>
        <v>31000</v>
      </c>
      <c r="U6" s="56">
        <f t="shared" si="0"/>
        <v>-9</v>
      </c>
      <c r="V6" s="57">
        <f t="shared" si="1"/>
        <v>13</v>
      </c>
      <c r="W6" s="58">
        <f t="shared" si="2"/>
        <v>-4</v>
      </c>
    </row>
    <row r="7" spans="1:23" x14ac:dyDescent="0.4">
      <c r="A7" s="17" t="str">
        <f t="shared" si="8"/>
        <v>東</v>
      </c>
      <c r="B7" s="26">
        <f t="shared" si="9"/>
        <v>3</v>
      </c>
      <c r="C7" s="26">
        <f t="shared" si="10"/>
        <v>1</v>
      </c>
      <c r="D7" s="26">
        <f t="shared" si="11"/>
        <v>0</v>
      </c>
      <c r="E7" s="5" t="s">
        <v>21</v>
      </c>
      <c r="F7" s="10" t="s">
        <v>26</v>
      </c>
      <c r="G7" s="11">
        <v>-12000</v>
      </c>
      <c r="H7" s="11"/>
      <c r="I7" s="12">
        <f t="shared" si="12"/>
        <v>-1000</v>
      </c>
      <c r="J7" s="29">
        <f t="shared" si="3"/>
        <v>13000</v>
      </c>
      <c r="K7" s="10" t="s">
        <v>25</v>
      </c>
      <c r="L7" s="11">
        <v>12000</v>
      </c>
      <c r="M7" s="11"/>
      <c r="N7" s="12">
        <f t="shared" si="6"/>
        <v>1000</v>
      </c>
      <c r="O7" s="29">
        <f t="shared" si="4"/>
        <v>61000</v>
      </c>
      <c r="P7" s="10"/>
      <c r="Q7" s="11"/>
      <c r="R7" s="11"/>
      <c r="S7" s="12" t="str">
        <f t="shared" si="7"/>
        <v/>
      </c>
      <c r="T7" s="29">
        <f t="shared" si="5"/>
        <v>31000</v>
      </c>
      <c r="U7" s="56">
        <f t="shared" si="0"/>
        <v>-22</v>
      </c>
      <c r="V7" s="57">
        <f t="shared" si="1"/>
        <v>26</v>
      </c>
      <c r="W7" s="58">
        <f t="shared" si="2"/>
        <v>-4</v>
      </c>
    </row>
    <row r="8" spans="1:23" x14ac:dyDescent="0.4">
      <c r="A8" s="17" t="str">
        <f t="shared" si="8"/>
        <v>東</v>
      </c>
      <c r="B8" s="26">
        <f t="shared" si="9"/>
        <v>3</v>
      </c>
      <c r="C8" s="26">
        <f t="shared" si="10"/>
        <v>2</v>
      </c>
      <c r="D8" s="26">
        <f t="shared" si="11"/>
        <v>0</v>
      </c>
      <c r="E8" s="5" t="s">
        <v>21</v>
      </c>
      <c r="F8" s="10" t="s">
        <v>25</v>
      </c>
      <c r="G8" s="11">
        <v>8000</v>
      </c>
      <c r="H8" s="11"/>
      <c r="I8" s="12">
        <f t="shared" si="12"/>
        <v>2000</v>
      </c>
      <c r="J8" s="29">
        <f t="shared" si="3"/>
        <v>23000</v>
      </c>
      <c r="K8" s="10"/>
      <c r="L8" s="11"/>
      <c r="M8" s="11"/>
      <c r="N8" s="12" t="str">
        <f t="shared" si="6"/>
        <v/>
      </c>
      <c r="O8" s="29">
        <f t="shared" si="4"/>
        <v>61000</v>
      </c>
      <c r="P8" s="10" t="s">
        <v>26</v>
      </c>
      <c r="Q8" s="11">
        <v>-8000</v>
      </c>
      <c r="R8" s="11"/>
      <c r="S8" s="12">
        <f t="shared" si="7"/>
        <v>-2000</v>
      </c>
      <c r="T8" s="29">
        <f t="shared" si="5"/>
        <v>21000</v>
      </c>
      <c r="U8" s="56">
        <f t="shared" si="0"/>
        <v>-12</v>
      </c>
      <c r="V8" s="57">
        <f t="shared" si="1"/>
        <v>26</v>
      </c>
      <c r="W8" s="58">
        <f t="shared" si="2"/>
        <v>-14</v>
      </c>
    </row>
    <row r="9" spans="1:23" x14ac:dyDescent="0.4">
      <c r="A9" s="17" t="str">
        <f t="shared" si="8"/>
        <v>南</v>
      </c>
      <c r="B9" s="26">
        <f t="shared" si="9"/>
        <v>1</v>
      </c>
      <c r="C9" s="26">
        <f t="shared" si="10"/>
        <v>0</v>
      </c>
      <c r="D9" s="26">
        <f t="shared" si="11"/>
        <v>0</v>
      </c>
      <c r="E9" s="5" t="s">
        <v>23</v>
      </c>
      <c r="F9" s="10" t="s">
        <v>28</v>
      </c>
      <c r="G9" s="11">
        <v>32000</v>
      </c>
      <c r="H9" s="11"/>
      <c r="I9" s="12">
        <f t="shared" si="12"/>
        <v>0</v>
      </c>
      <c r="J9" s="29">
        <f t="shared" si="3"/>
        <v>55000</v>
      </c>
      <c r="K9" s="10" t="s">
        <v>29</v>
      </c>
      <c r="L9" s="11">
        <v>-12000</v>
      </c>
      <c r="M9" s="11"/>
      <c r="N9" s="12">
        <f t="shared" si="6"/>
        <v>0</v>
      </c>
      <c r="O9" s="29">
        <f t="shared" si="4"/>
        <v>49000</v>
      </c>
      <c r="P9" s="10" t="s">
        <v>29</v>
      </c>
      <c r="Q9" s="11">
        <v>-20000</v>
      </c>
      <c r="R9" s="11"/>
      <c r="S9" s="12">
        <f t="shared" si="7"/>
        <v>0</v>
      </c>
      <c r="T9" s="29">
        <f t="shared" si="5"/>
        <v>1000</v>
      </c>
      <c r="U9" s="56">
        <f t="shared" si="0"/>
        <v>20</v>
      </c>
      <c r="V9" s="57">
        <f t="shared" si="1"/>
        <v>14</v>
      </c>
      <c r="W9" s="58">
        <f t="shared" si="2"/>
        <v>-34</v>
      </c>
    </row>
    <row r="10" spans="1:23" x14ac:dyDescent="0.4">
      <c r="A10" s="17" t="str">
        <f t="shared" si="8"/>
        <v>南</v>
      </c>
      <c r="B10" s="26">
        <f t="shared" si="9"/>
        <v>2</v>
      </c>
      <c r="C10" s="26">
        <f t="shared" si="10"/>
        <v>0</v>
      </c>
      <c r="D10" s="26">
        <f t="shared" si="11"/>
        <v>0</v>
      </c>
      <c r="E10" s="5" t="s">
        <v>19</v>
      </c>
      <c r="F10" s="10" t="s">
        <v>25</v>
      </c>
      <c r="G10" s="11">
        <v>24000</v>
      </c>
      <c r="H10" s="11">
        <v>1000</v>
      </c>
      <c r="I10" s="12">
        <f t="shared" si="12"/>
        <v>0</v>
      </c>
      <c r="J10" s="29">
        <f t="shared" si="3"/>
        <v>80000</v>
      </c>
      <c r="K10" s="10" t="s">
        <v>26</v>
      </c>
      <c r="L10" s="11">
        <v>-24000</v>
      </c>
      <c r="M10" s="11"/>
      <c r="N10" s="12">
        <f t="shared" si="6"/>
        <v>0</v>
      </c>
      <c r="O10" s="29">
        <f t="shared" si="4"/>
        <v>25000</v>
      </c>
      <c r="P10" s="10"/>
      <c r="Q10" s="11"/>
      <c r="R10" s="11">
        <v>-1000</v>
      </c>
      <c r="S10" s="12" t="str">
        <f t="shared" si="7"/>
        <v/>
      </c>
      <c r="T10" s="29">
        <f t="shared" si="5"/>
        <v>0</v>
      </c>
      <c r="U10" s="56">
        <f t="shared" si="0"/>
        <v>45</v>
      </c>
      <c r="V10" s="57">
        <f t="shared" si="1"/>
        <v>-10</v>
      </c>
      <c r="W10" s="58">
        <f t="shared" si="2"/>
        <v>-35</v>
      </c>
    </row>
    <row r="11" spans="1:23" x14ac:dyDescent="0.4">
      <c r="A11" s="17" t="str">
        <f t="shared" si="8"/>
        <v>南</v>
      </c>
      <c r="B11" s="26">
        <f t="shared" si="9"/>
        <v>2</v>
      </c>
      <c r="C11" s="26">
        <f t="shared" si="10"/>
        <v>1</v>
      </c>
      <c r="D11" s="26">
        <f t="shared" si="11"/>
        <v>0</v>
      </c>
      <c r="E11" s="5" t="s">
        <v>19</v>
      </c>
      <c r="F11" s="10" t="s">
        <v>28</v>
      </c>
      <c r="G11" s="11">
        <v>12000</v>
      </c>
      <c r="H11" s="11"/>
      <c r="I11" s="12">
        <f t="shared" si="12"/>
        <v>1000</v>
      </c>
      <c r="J11" s="29">
        <f t="shared" si="3"/>
        <v>93000</v>
      </c>
      <c r="K11" s="10" t="s">
        <v>29</v>
      </c>
      <c r="L11" s="11">
        <v>-6000</v>
      </c>
      <c r="M11" s="11"/>
      <c r="N11" s="12">
        <f t="shared" si="6"/>
        <v>-500</v>
      </c>
      <c r="O11" s="29">
        <f t="shared" si="4"/>
        <v>18500</v>
      </c>
      <c r="P11" s="10" t="s">
        <v>29</v>
      </c>
      <c r="Q11" s="11">
        <v>-6000</v>
      </c>
      <c r="R11" s="11"/>
      <c r="S11" s="12">
        <f t="shared" si="7"/>
        <v>-500</v>
      </c>
      <c r="T11" s="29">
        <f t="shared" si="5"/>
        <v>-6500</v>
      </c>
      <c r="U11" s="56">
        <f t="shared" si="0"/>
        <v>58</v>
      </c>
      <c r="V11" s="57">
        <f t="shared" si="1"/>
        <v>-16.5</v>
      </c>
      <c r="W11" s="58">
        <f t="shared" si="2"/>
        <v>-41.5</v>
      </c>
    </row>
    <row r="12" spans="1:23" x14ac:dyDescent="0.4">
      <c r="A12" s="17" t="str">
        <f t="shared" si="8"/>
        <v/>
      </c>
      <c r="B12" s="26" t="str">
        <f t="shared" si="9"/>
        <v/>
      </c>
      <c r="C12" s="26" t="str">
        <f t="shared" si="10"/>
        <v/>
      </c>
      <c r="D12" s="26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9" t="str">
        <f t="shared" si="3"/>
        <v/>
      </c>
      <c r="K12" s="10"/>
      <c r="L12" s="11"/>
      <c r="M12" s="11"/>
      <c r="N12" s="12" t="str">
        <f t="shared" si="6"/>
        <v/>
      </c>
      <c r="O12" s="29" t="str">
        <f t="shared" si="4"/>
        <v/>
      </c>
      <c r="P12" s="10"/>
      <c r="Q12" s="11"/>
      <c r="R12" s="11"/>
      <c r="S12" s="12" t="str">
        <f t="shared" si="7"/>
        <v/>
      </c>
      <c r="T12" s="29" t="str">
        <f t="shared" si="5"/>
        <v/>
      </c>
      <c r="U12" s="56" t="str">
        <f t="shared" si="0"/>
        <v/>
      </c>
      <c r="V12" s="57" t="str">
        <f t="shared" si="1"/>
        <v/>
      </c>
      <c r="W12" s="58" t="str">
        <f t="shared" si="2"/>
        <v/>
      </c>
    </row>
    <row r="13" spans="1:23" x14ac:dyDescent="0.4">
      <c r="A13" s="17" t="str">
        <f t="shared" si="8"/>
        <v/>
      </c>
      <c r="B13" s="26" t="str">
        <f t="shared" si="9"/>
        <v/>
      </c>
      <c r="C13" s="26" t="str">
        <f t="shared" si="10"/>
        <v/>
      </c>
      <c r="D13" s="26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9" t="str">
        <f t="shared" si="3"/>
        <v/>
      </c>
      <c r="K13" s="10"/>
      <c r="L13" s="11"/>
      <c r="M13" s="11"/>
      <c r="N13" s="12" t="str">
        <f t="shared" si="6"/>
        <v/>
      </c>
      <c r="O13" s="29" t="str">
        <f t="shared" si="4"/>
        <v/>
      </c>
      <c r="P13" s="10"/>
      <c r="Q13" s="11"/>
      <c r="R13" s="11"/>
      <c r="S13" s="12" t="str">
        <f t="shared" si="7"/>
        <v/>
      </c>
      <c r="T13" s="29" t="str">
        <f t="shared" si="5"/>
        <v/>
      </c>
      <c r="U13" s="56" t="str">
        <f t="shared" si="0"/>
        <v/>
      </c>
      <c r="V13" s="57" t="str">
        <f t="shared" si="1"/>
        <v/>
      </c>
      <c r="W13" s="58" t="str">
        <f t="shared" si="2"/>
        <v/>
      </c>
    </row>
    <row r="14" spans="1:23" x14ac:dyDescent="0.4">
      <c r="A14" s="17" t="str">
        <f t="shared" si="8"/>
        <v/>
      </c>
      <c r="B14" s="26" t="str">
        <f t="shared" si="9"/>
        <v/>
      </c>
      <c r="C14" s="26" t="str">
        <f t="shared" si="10"/>
        <v/>
      </c>
      <c r="D14" s="26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9" t="str">
        <f t="shared" si="3"/>
        <v/>
      </c>
      <c r="K14" s="10"/>
      <c r="L14" s="11"/>
      <c r="M14" s="11"/>
      <c r="N14" s="12" t="str">
        <f t="shared" si="6"/>
        <v/>
      </c>
      <c r="O14" s="29" t="str">
        <f t="shared" si="4"/>
        <v/>
      </c>
      <c r="P14" s="10"/>
      <c r="Q14" s="11"/>
      <c r="R14" s="11"/>
      <c r="S14" s="12" t="str">
        <f t="shared" si="7"/>
        <v/>
      </c>
      <c r="T14" s="29" t="str">
        <f t="shared" si="5"/>
        <v/>
      </c>
      <c r="U14" s="56" t="str">
        <f t="shared" si="0"/>
        <v/>
      </c>
      <c r="V14" s="57" t="str">
        <f t="shared" si="1"/>
        <v/>
      </c>
      <c r="W14" s="58" t="str">
        <f t="shared" si="2"/>
        <v/>
      </c>
    </row>
    <row r="15" spans="1:23" x14ac:dyDescent="0.4">
      <c r="A15" s="17" t="str">
        <f t="shared" si="8"/>
        <v/>
      </c>
      <c r="B15" s="26" t="str">
        <f t="shared" si="9"/>
        <v/>
      </c>
      <c r="C15" s="26" t="str">
        <f t="shared" si="10"/>
        <v/>
      </c>
      <c r="D15" s="26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9" t="str">
        <f t="shared" si="3"/>
        <v/>
      </c>
      <c r="K15" s="10"/>
      <c r="L15" s="11"/>
      <c r="M15" s="11"/>
      <c r="N15" s="12" t="str">
        <f t="shared" si="6"/>
        <v/>
      </c>
      <c r="O15" s="29" t="str">
        <f t="shared" si="4"/>
        <v/>
      </c>
      <c r="P15" s="10"/>
      <c r="Q15" s="11"/>
      <c r="R15" s="11"/>
      <c r="S15" s="12" t="str">
        <f t="shared" si="7"/>
        <v/>
      </c>
      <c r="T15" s="29" t="str">
        <f t="shared" si="5"/>
        <v/>
      </c>
      <c r="U15" s="56" t="str">
        <f t="shared" si="0"/>
        <v/>
      </c>
      <c r="V15" s="57" t="str">
        <f t="shared" si="1"/>
        <v/>
      </c>
      <c r="W15" s="58" t="str">
        <f t="shared" si="2"/>
        <v/>
      </c>
    </row>
    <row r="16" spans="1:23" x14ac:dyDescent="0.4">
      <c r="A16" s="17" t="str">
        <f t="shared" si="8"/>
        <v/>
      </c>
      <c r="B16" s="26" t="str">
        <f t="shared" si="9"/>
        <v/>
      </c>
      <c r="C16" s="26" t="str">
        <f t="shared" si="10"/>
        <v/>
      </c>
      <c r="D16" s="26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9" t="str">
        <f t="shared" si="3"/>
        <v/>
      </c>
      <c r="K16" s="10"/>
      <c r="L16" s="11"/>
      <c r="M16" s="11"/>
      <c r="N16" s="12" t="str">
        <f t="shared" si="6"/>
        <v/>
      </c>
      <c r="O16" s="29" t="str">
        <f t="shared" si="4"/>
        <v/>
      </c>
      <c r="P16" s="10"/>
      <c r="Q16" s="11"/>
      <c r="R16" s="11"/>
      <c r="S16" s="12" t="str">
        <f t="shared" si="7"/>
        <v/>
      </c>
      <c r="T16" s="29" t="str">
        <f t="shared" si="5"/>
        <v/>
      </c>
      <c r="U16" s="56" t="str">
        <f t="shared" si="0"/>
        <v/>
      </c>
      <c r="V16" s="57" t="str">
        <f t="shared" si="1"/>
        <v/>
      </c>
      <c r="W16" s="58" t="str">
        <f t="shared" si="2"/>
        <v/>
      </c>
    </row>
    <row r="17" spans="1:23" x14ac:dyDescent="0.4">
      <c r="A17" s="17" t="str">
        <f t="shared" si="8"/>
        <v/>
      </c>
      <c r="B17" s="26" t="str">
        <f t="shared" si="9"/>
        <v/>
      </c>
      <c r="C17" s="26" t="str">
        <f t="shared" si="10"/>
        <v/>
      </c>
      <c r="D17" s="26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9" t="str">
        <f t="shared" si="3"/>
        <v/>
      </c>
      <c r="K17" s="10"/>
      <c r="L17" s="11"/>
      <c r="M17" s="11"/>
      <c r="N17" s="12" t="str">
        <f t="shared" si="6"/>
        <v/>
      </c>
      <c r="O17" s="29" t="str">
        <f t="shared" si="4"/>
        <v/>
      </c>
      <c r="P17" s="10"/>
      <c r="Q17" s="11"/>
      <c r="R17" s="11"/>
      <c r="S17" s="12" t="str">
        <f t="shared" si="7"/>
        <v/>
      </c>
      <c r="T17" s="29" t="str">
        <f t="shared" si="5"/>
        <v/>
      </c>
      <c r="U17" s="56" t="str">
        <f t="shared" si="0"/>
        <v/>
      </c>
      <c r="V17" s="57" t="str">
        <f t="shared" si="1"/>
        <v/>
      </c>
      <c r="W17" s="58" t="str">
        <f t="shared" si="2"/>
        <v/>
      </c>
    </row>
    <row r="18" spans="1:23" x14ac:dyDescent="0.4">
      <c r="A18" s="17" t="str">
        <f t="shared" si="8"/>
        <v/>
      </c>
      <c r="B18" s="26" t="str">
        <f t="shared" si="9"/>
        <v/>
      </c>
      <c r="C18" s="26" t="str">
        <f t="shared" si="10"/>
        <v/>
      </c>
      <c r="D18" s="26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9" t="str">
        <f t="shared" si="3"/>
        <v/>
      </c>
      <c r="K18" s="10"/>
      <c r="L18" s="11"/>
      <c r="M18" s="11"/>
      <c r="N18" s="12" t="str">
        <f t="shared" si="6"/>
        <v/>
      </c>
      <c r="O18" s="29" t="str">
        <f t="shared" si="4"/>
        <v/>
      </c>
      <c r="P18" s="10"/>
      <c r="Q18" s="11"/>
      <c r="R18" s="11"/>
      <c r="S18" s="12" t="str">
        <f t="shared" si="7"/>
        <v/>
      </c>
      <c r="T18" s="29" t="str">
        <f t="shared" si="5"/>
        <v/>
      </c>
      <c r="U18" s="56" t="str">
        <f t="shared" si="0"/>
        <v/>
      </c>
      <c r="V18" s="57" t="str">
        <f t="shared" si="1"/>
        <v/>
      </c>
      <c r="W18" s="58" t="str">
        <f t="shared" si="2"/>
        <v/>
      </c>
    </row>
    <row r="19" spans="1:23" x14ac:dyDescent="0.4">
      <c r="A19" s="17" t="str">
        <f t="shared" si="8"/>
        <v/>
      </c>
      <c r="B19" s="26" t="str">
        <f t="shared" si="9"/>
        <v/>
      </c>
      <c r="C19" s="26" t="str">
        <f t="shared" si="10"/>
        <v/>
      </c>
      <c r="D19" s="26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9" t="str">
        <f t="shared" si="3"/>
        <v/>
      </c>
      <c r="K19" s="10"/>
      <c r="L19" s="11"/>
      <c r="M19" s="11"/>
      <c r="N19" s="12" t="str">
        <f t="shared" si="6"/>
        <v/>
      </c>
      <c r="O19" s="29" t="str">
        <f t="shared" si="4"/>
        <v/>
      </c>
      <c r="P19" s="10"/>
      <c r="Q19" s="11"/>
      <c r="R19" s="11"/>
      <c r="S19" s="12" t="str">
        <f t="shared" si="7"/>
        <v/>
      </c>
      <c r="T19" s="29" t="str">
        <f t="shared" si="5"/>
        <v/>
      </c>
      <c r="U19" s="56" t="str">
        <f t="shared" si="0"/>
        <v/>
      </c>
      <c r="V19" s="57" t="str">
        <f t="shared" si="1"/>
        <v/>
      </c>
      <c r="W19" s="58" t="str">
        <f t="shared" si="2"/>
        <v/>
      </c>
    </row>
    <row r="20" spans="1:23" x14ac:dyDescent="0.4">
      <c r="A20" s="17" t="str">
        <f t="shared" si="8"/>
        <v/>
      </c>
      <c r="B20" s="26" t="str">
        <f t="shared" si="9"/>
        <v/>
      </c>
      <c r="C20" s="26" t="str">
        <f t="shared" si="10"/>
        <v/>
      </c>
      <c r="D20" s="26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9" t="str">
        <f t="shared" si="3"/>
        <v/>
      </c>
      <c r="K20" s="10"/>
      <c r="L20" s="11"/>
      <c r="M20" s="11"/>
      <c r="N20" s="12" t="str">
        <f t="shared" si="6"/>
        <v/>
      </c>
      <c r="O20" s="29" t="str">
        <f t="shared" si="4"/>
        <v/>
      </c>
      <c r="P20" s="10"/>
      <c r="Q20" s="11"/>
      <c r="R20" s="11"/>
      <c r="S20" s="12" t="str">
        <f t="shared" si="7"/>
        <v/>
      </c>
      <c r="T20" s="29" t="str">
        <f t="shared" si="5"/>
        <v/>
      </c>
      <c r="U20" s="56" t="str">
        <f t="shared" si="0"/>
        <v/>
      </c>
      <c r="V20" s="57" t="str">
        <f t="shared" si="1"/>
        <v/>
      </c>
      <c r="W20" s="58" t="str">
        <f t="shared" si="2"/>
        <v/>
      </c>
    </row>
    <row r="21" spans="1:23" x14ac:dyDescent="0.4">
      <c r="A21" s="17" t="str">
        <f t="shared" si="8"/>
        <v/>
      </c>
      <c r="B21" s="26" t="str">
        <f t="shared" si="9"/>
        <v/>
      </c>
      <c r="C21" s="26" t="str">
        <f t="shared" si="10"/>
        <v/>
      </c>
      <c r="D21" s="26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9" t="str">
        <f t="shared" si="3"/>
        <v/>
      </c>
      <c r="K21" s="10"/>
      <c r="L21" s="11"/>
      <c r="M21" s="11"/>
      <c r="N21" s="12" t="str">
        <f t="shared" si="6"/>
        <v/>
      </c>
      <c r="O21" s="29" t="str">
        <f t="shared" si="4"/>
        <v/>
      </c>
      <c r="P21" s="10"/>
      <c r="Q21" s="11"/>
      <c r="R21" s="11"/>
      <c r="S21" s="12" t="str">
        <f t="shared" si="7"/>
        <v/>
      </c>
      <c r="T21" s="29" t="str">
        <f t="shared" si="5"/>
        <v/>
      </c>
      <c r="U21" s="56" t="str">
        <f t="shared" si="0"/>
        <v/>
      </c>
      <c r="V21" s="57" t="str">
        <f t="shared" si="1"/>
        <v/>
      </c>
      <c r="W21" s="58" t="str">
        <f t="shared" si="2"/>
        <v/>
      </c>
    </row>
    <row r="22" spans="1:23" x14ac:dyDescent="0.4">
      <c r="A22" s="17" t="str">
        <f t="shared" si="8"/>
        <v/>
      </c>
      <c r="B22" s="26" t="str">
        <f t="shared" si="9"/>
        <v/>
      </c>
      <c r="C22" s="26" t="str">
        <f t="shared" si="10"/>
        <v/>
      </c>
      <c r="D22" s="26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9" t="str">
        <f t="shared" si="3"/>
        <v/>
      </c>
      <c r="K22" s="10"/>
      <c r="L22" s="11"/>
      <c r="M22" s="11"/>
      <c r="N22" s="12" t="str">
        <f t="shared" si="6"/>
        <v/>
      </c>
      <c r="O22" s="29" t="str">
        <f t="shared" si="4"/>
        <v/>
      </c>
      <c r="P22" s="10"/>
      <c r="Q22" s="11"/>
      <c r="R22" s="11"/>
      <c r="S22" s="12" t="str">
        <f t="shared" si="7"/>
        <v/>
      </c>
      <c r="T22" s="29" t="str">
        <f t="shared" si="5"/>
        <v/>
      </c>
      <c r="U22" s="56" t="str">
        <f t="shared" si="0"/>
        <v/>
      </c>
      <c r="V22" s="57" t="str">
        <f t="shared" si="1"/>
        <v/>
      </c>
      <c r="W22" s="58" t="str">
        <f t="shared" si="2"/>
        <v/>
      </c>
    </row>
    <row r="23" spans="1:23" x14ac:dyDescent="0.4">
      <c r="A23" s="17" t="str">
        <f t="shared" si="8"/>
        <v/>
      </c>
      <c r="B23" s="26" t="str">
        <f t="shared" si="9"/>
        <v/>
      </c>
      <c r="C23" s="26" t="str">
        <f t="shared" si="10"/>
        <v/>
      </c>
      <c r="D23" s="26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9" t="str">
        <f t="shared" si="3"/>
        <v/>
      </c>
      <c r="K23" s="10"/>
      <c r="L23" s="11"/>
      <c r="M23" s="11"/>
      <c r="N23" s="12" t="str">
        <f t="shared" si="6"/>
        <v/>
      </c>
      <c r="O23" s="29" t="str">
        <f t="shared" si="4"/>
        <v/>
      </c>
      <c r="P23" s="10"/>
      <c r="Q23" s="11"/>
      <c r="R23" s="11"/>
      <c r="S23" s="12" t="str">
        <f t="shared" si="7"/>
        <v/>
      </c>
      <c r="T23" s="29" t="str">
        <f t="shared" si="5"/>
        <v/>
      </c>
      <c r="U23" s="56" t="str">
        <f t="shared" si="0"/>
        <v/>
      </c>
      <c r="V23" s="57" t="str">
        <f t="shared" si="1"/>
        <v/>
      </c>
      <c r="W23" s="58" t="str">
        <f t="shared" si="2"/>
        <v/>
      </c>
    </row>
    <row r="24" spans="1:23" x14ac:dyDescent="0.4">
      <c r="A24" s="17" t="str">
        <f t="shared" si="8"/>
        <v/>
      </c>
      <c r="B24" s="26" t="str">
        <f t="shared" si="9"/>
        <v/>
      </c>
      <c r="C24" s="26" t="str">
        <f t="shared" si="10"/>
        <v/>
      </c>
      <c r="D24" s="26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9" t="str">
        <f t="shared" si="3"/>
        <v/>
      </c>
      <c r="K24" s="10"/>
      <c r="L24" s="11"/>
      <c r="M24" s="11"/>
      <c r="N24" s="12" t="str">
        <f t="shared" si="6"/>
        <v/>
      </c>
      <c r="O24" s="29" t="str">
        <f t="shared" si="4"/>
        <v/>
      </c>
      <c r="P24" s="10"/>
      <c r="Q24" s="11"/>
      <c r="R24" s="11"/>
      <c r="S24" s="12" t="str">
        <f t="shared" si="7"/>
        <v/>
      </c>
      <c r="T24" s="29" t="str">
        <f t="shared" si="5"/>
        <v/>
      </c>
      <c r="U24" s="56" t="str">
        <f t="shared" si="0"/>
        <v/>
      </c>
      <c r="V24" s="57" t="str">
        <f t="shared" si="1"/>
        <v/>
      </c>
      <c r="W24" s="58" t="str">
        <f t="shared" si="2"/>
        <v/>
      </c>
    </row>
    <row r="25" spans="1:23" x14ac:dyDescent="0.4">
      <c r="A25" s="17" t="str">
        <f t="shared" si="8"/>
        <v/>
      </c>
      <c r="B25" s="26" t="str">
        <f t="shared" si="9"/>
        <v/>
      </c>
      <c r="C25" s="26" t="str">
        <f t="shared" si="10"/>
        <v/>
      </c>
      <c r="D25" s="26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9" t="str">
        <f t="shared" si="3"/>
        <v/>
      </c>
      <c r="K25" s="10"/>
      <c r="L25" s="11"/>
      <c r="M25" s="11"/>
      <c r="N25" s="12" t="str">
        <f t="shared" si="6"/>
        <v/>
      </c>
      <c r="O25" s="29" t="str">
        <f t="shared" si="4"/>
        <v/>
      </c>
      <c r="P25" s="10"/>
      <c r="Q25" s="11"/>
      <c r="R25" s="11"/>
      <c r="S25" s="12" t="str">
        <f t="shared" si="7"/>
        <v/>
      </c>
      <c r="T25" s="29" t="str">
        <f t="shared" si="5"/>
        <v/>
      </c>
      <c r="U25" s="56" t="str">
        <f t="shared" si="0"/>
        <v/>
      </c>
      <c r="V25" s="57" t="str">
        <f t="shared" si="1"/>
        <v/>
      </c>
      <c r="W25" s="58" t="str">
        <f t="shared" si="2"/>
        <v/>
      </c>
    </row>
    <row r="26" spans="1:23" x14ac:dyDescent="0.4">
      <c r="A26" s="17" t="str">
        <f t="shared" si="8"/>
        <v/>
      </c>
      <c r="B26" s="26" t="str">
        <f t="shared" si="9"/>
        <v/>
      </c>
      <c r="C26" s="26" t="str">
        <f t="shared" si="10"/>
        <v/>
      </c>
      <c r="D26" s="26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9" t="str">
        <f t="shared" si="3"/>
        <v/>
      </c>
      <c r="K26" s="10"/>
      <c r="L26" s="11"/>
      <c r="M26" s="11"/>
      <c r="N26" s="12" t="str">
        <f t="shared" si="6"/>
        <v/>
      </c>
      <c r="O26" s="29" t="str">
        <f t="shared" si="4"/>
        <v/>
      </c>
      <c r="P26" s="10"/>
      <c r="Q26" s="11"/>
      <c r="R26" s="11"/>
      <c r="S26" s="12" t="str">
        <f t="shared" si="7"/>
        <v/>
      </c>
      <c r="T26" s="29" t="str">
        <f t="shared" si="5"/>
        <v/>
      </c>
      <c r="U26" s="56" t="str">
        <f t="shared" si="0"/>
        <v/>
      </c>
      <c r="V26" s="57" t="str">
        <f t="shared" si="1"/>
        <v/>
      </c>
      <c r="W26" s="58" t="str">
        <f t="shared" si="2"/>
        <v/>
      </c>
    </row>
    <row r="27" spans="1:23" x14ac:dyDescent="0.4">
      <c r="A27" s="17" t="str">
        <f t="shared" si="8"/>
        <v/>
      </c>
      <c r="B27" s="26" t="str">
        <f t="shared" si="9"/>
        <v/>
      </c>
      <c r="C27" s="26" t="str">
        <f t="shared" si="10"/>
        <v/>
      </c>
      <c r="D27" s="26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9" t="str">
        <f t="shared" si="3"/>
        <v/>
      </c>
      <c r="K27" s="10"/>
      <c r="L27" s="11"/>
      <c r="M27" s="11"/>
      <c r="N27" s="12" t="str">
        <f t="shared" si="6"/>
        <v/>
      </c>
      <c r="O27" s="29" t="str">
        <f t="shared" si="4"/>
        <v/>
      </c>
      <c r="P27" s="10"/>
      <c r="Q27" s="11"/>
      <c r="R27" s="11"/>
      <c r="S27" s="12" t="str">
        <f t="shared" si="7"/>
        <v/>
      </c>
      <c r="T27" s="29" t="str">
        <f t="shared" si="5"/>
        <v/>
      </c>
      <c r="U27" s="56" t="str">
        <f t="shared" si="0"/>
        <v/>
      </c>
      <c r="V27" s="57" t="str">
        <f t="shared" si="1"/>
        <v/>
      </c>
      <c r="W27" s="58" t="str">
        <f t="shared" si="2"/>
        <v/>
      </c>
    </row>
    <row r="28" spans="1:23" x14ac:dyDescent="0.4">
      <c r="A28" s="17" t="str">
        <f t="shared" si="8"/>
        <v/>
      </c>
      <c r="B28" s="26" t="str">
        <f t="shared" si="9"/>
        <v/>
      </c>
      <c r="C28" s="26" t="str">
        <f t="shared" si="10"/>
        <v/>
      </c>
      <c r="D28" s="26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9" t="str">
        <f t="shared" si="3"/>
        <v/>
      </c>
      <c r="K28" s="10"/>
      <c r="L28" s="11"/>
      <c r="M28" s="11"/>
      <c r="N28" s="12" t="str">
        <f t="shared" si="6"/>
        <v/>
      </c>
      <c r="O28" s="29" t="str">
        <f t="shared" si="4"/>
        <v/>
      </c>
      <c r="P28" s="10"/>
      <c r="Q28" s="11"/>
      <c r="R28" s="11"/>
      <c r="S28" s="12" t="str">
        <f t="shared" si="7"/>
        <v/>
      </c>
      <c r="T28" s="29" t="str">
        <f t="shared" si="5"/>
        <v/>
      </c>
      <c r="U28" s="56" t="str">
        <f t="shared" si="0"/>
        <v/>
      </c>
      <c r="V28" s="57" t="str">
        <f t="shared" si="1"/>
        <v/>
      </c>
      <c r="W28" s="58" t="str">
        <f t="shared" si="2"/>
        <v/>
      </c>
    </row>
    <row r="29" spans="1:23" x14ac:dyDescent="0.4">
      <c r="A29" s="17" t="str">
        <f t="shared" si="8"/>
        <v/>
      </c>
      <c r="B29" s="26" t="str">
        <f t="shared" si="9"/>
        <v/>
      </c>
      <c r="C29" s="26" t="str">
        <f t="shared" si="10"/>
        <v/>
      </c>
      <c r="D29" s="26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9" t="str">
        <f t="shared" si="3"/>
        <v/>
      </c>
      <c r="K29" s="10"/>
      <c r="L29" s="11"/>
      <c r="M29" s="11"/>
      <c r="N29" s="12" t="str">
        <f t="shared" si="6"/>
        <v/>
      </c>
      <c r="O29" s="29" t="str">
        <f t="shared" si="4"/>
        <v/>
      </c>
      <c r="P29" s="10"/>
      <c r="Q29" s="11"/>
      <c r="R29" s="11"/>
      <c r="S29" s="12" t="str">
        <f t="shared" si="7"/>
        <v/>
      </c>
      <c r="T29" s="29" t="str">
        <f t="shared" si="5"/>
        <v/>
      </c>
      <c r="U29" s="56" t="str">
        <f t="shared" si="0"/>
        <v/>
      </c>
      <c r="V29" s="57" t="str">
        <f t="shared" si="1"/>
        <v/>
      </c>
      <c r="W29" s="58" t="str">
        <f t="shared" si="2"/>
        <v/>
      </c>
    </row>
    <row r="30" spans="1:23" x14ac:dyDescent="0.4">
      <c r="A30" s="18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0" t="str">
        <f t="shared" si="3"/>
        <v/>
      </c>
      <c r="K30" s="13"/>
      <c r="L30" s="14"/>
      <c r="M30" s="14"/>
      <c r="N30" s="15" t="str">
        <f t="shared" si="6"/>
        <v/>
      </c>
      <c r="O30" s="30" t="str">
        <f t="shared" si="4"/>
        <v/>
      </c>
      <c r="P30" s="13"/>
      <c r="Q30" s="14"/>
      <c r="R30" s="14"/>
      <c r="S30" s="15" t="str">
        <f t="shared" si="7"/>
        <v/>
      </c>
      <c r="T30" s="30" t="str">
        <f t="shared" si="5"/>
        <v/>
      </c>
      <c r="U30" s="59" t="str">
        <f t="shared" si="0"/>
        <v/>
      </c>
      <c r="V30" s="60" t="str">
        <f t="shared" si="1"/>
        <v/>
      </c>
      <c r="W30" s="6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1FCFDA39-5E18-4C3A-A240-87BE2B520EE4}">
      <formula1>"ロン,ツモ,放銃,ツモ支払,流局,チョンボ"</formula1>
    </dataValidation>
    <dataValidation type="list" allowBlank="1" showErrorMessage="1" sqref="E4:E30" xr:uid="{8CD17CC7-10D7-40CC-B9BC-CBF768D4107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/>
  </sheetViews>
  <sheetFormatPr defaultRowHeight="18.75" x14ac:dyDescent="0.4"/>
  <cols>
    <col min="1" max="1" width="9" style="19"/>
  </cols>
  <sheetData>
    <row r="1" spans="1:10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/>
  </sheetViews>
  <sheetFormatPr defaultRowHeight="18.75" x14ac:dyDescent="0.4"/>
  <cols>
    <col min="1" max="1" width="9" style="19"/>
  </cols>
  <sheetData>
    <row r="1" spans="1:10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/>
  </sheetViews>
  <sheetFormatPr defaultRowHeight="18.75" x14ac:dyDescent="0.4"/>
  <cols>
    <col min="1" max="1" width="9" style="19"/>
  </cols>
  <sheetData>
    <row r="1" spans="1:10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Sheet7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2018-12-20T05:39:47Z</dcterms:modified>
</cp:coreProperties>
</file>