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1st\対局\"/>
    </mc:Choice>
  </mc:AlternateContent>
  <xr:revisionPtr revIDLastSave="0" documentId="13_ncr:1_{33C493DD-3161-4C2B-ACCF-AA4B6CA495DF}" xr6:coauthVersionLast="41" xr6:coauthVersionMax="41" xr10:uidLastSave="{00000000-0000-0000-0000-000000000000}"/>
  <bookViews>
    <workbookView xWindow="390" yWindow="3705" windowWidth="21600" windowHeight="11835" activeTab="3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Sheet7" sheetId="21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D12" i="21"/>
  <c r="C12" i="21"/>
  <c r="C13" i="21" s="1"/>
  <c r="D11" i="21"/>
  <c r="C10" i="21"/>
  <c r="C11" i="21" s="1"/>
  <c r="D8" i="21"/>
  <c r="D9" i="21" s="1"/>
  <c r="D10" i="21" s="1"/>
  <c r="C8" i="21"/>
  <c r="C9" i="21" s="1"/>
  <c r="D7" i="21"/>
  <c r="C7" i="21"/>
  <c r="D6" i="21"/>
  <c r="O5" i="21"/>
  <c r="O6" i="21" s="1"/>
  <c r="D5" i="21"/>
  <c r="C5" i="21"/>
  <c r="C6" i="21" s="1"/>
  <c r="B5" i="21"/>
  <c r="B6" i="21" s="1"/>
  <c r="T4" i="21"/>
  <c r="W4" i="21" s="1"/>
  <c r="O4" i="21"/>
  <c r="V4" i="21" s="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C13" i="20"/>
  <c r="D12" i="20"/>
  <c r="C12" i="20"/>
  <c r="D11" i="20"/>
  <c r="C10" i="20"/>
  <c r="C11" i="20" s="1"/>
  <c r="D9" i="20"/>
  <c r="D10" i="20" s="1"/>
  <c r="D8" i="20"/>
  <c r="D7" i="20"/>
  <c r="D6" i="20"/>
  <c r="C6" i="20"/>
  <c r="C7" i="20" s="1"/>
  <c r="C8" i="20" s="1"/>
  <c r="C9" i="20" s="1"/>
  <c r="J5" i="20"/>
  <c r="U5" i="20" s="1"/>
  <c r="D5" i="20"/>
  <c r="C5" i="20"/>
  <c r="B5" i="20"/>
  <c r="B6" i="20" s="1"/>
  <c r="T4" i="20"/>
  <c r="W4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J5" i="21" l="1"/>
  <c r="U5" i="21" s="1"/>
  <c r="O5" i="20"/>
  <c r="O6" i="20" s="1"/>
  <c r="A5" i="21"/>
  <c r="V5" i="21"/>
  <c r="V6" i="21"/>
  <c r="O7" i="21"/>
  <c r="B7" i="21"/>
  <c r="T5" i="21"/>
  <c r="A6" i="21"/>
  <c r="J6" i="21"/>
  <c r="A5" i="20"/>
  <c r="B7" i="20"/>
  <c r="V6" i="20"/>
  <c r="O7" i="20"/>
  <c r="T5" i="20"/>
  <c r="A6" i="20"/>
  <c r="J6" i="20"/>
  <c r="A7" i="20" l="1"/>
  <c r="V5" i="20"/>
  <c r="A7" i="21"/>
  <c r="J7" i="21"/>
  <c r="U6" i="21"/>
  <c r="B8" i="21"/>
  <c r="A8" i="21" s="1"/>
  <c r="O8" i="21"/>
  <c r="V7" i="21"/>
  <c r="W5" i="21"/>
  <c r="T6" i="21"/>
  <c r="J7" i="20"/>
  <c r="U6" i="20"/>
  <c r="O8" i="20"/>
  <c r="V7" i="20"/>
  <c r="T6" i="20"/>
  <c r="W5" i="20"/>
  <c r="B8" i="20"/>
  <c r="B9" i="21" l="1"/>
  <c r="A9" i="21" s="1"/>
  <c r="W6" i="21"/>
  <c r="T7" i="21"/>
  <c r="V8" i="21"/>
  <c r="O9" i="21"/>
  <c r="U7" i="21"/>
  <c r="J8" i="21"/>
  <c r="V8" i="20"/>
  <c r="O9" i="20"/>
  <c r="B9" i="20"/>
  <c r="A9" i="20" s="1"/>
  <c r="A8" i="20"/>
  <c r="W6" i="20"/>
  <c r="T7" i="20"/>
  <c r="U7" i="20"/>
  <c r="J8" i="20"/>
  <c r="T8" i="21" l="1"/>
  <c r="W7" i="21"/>
  <c r="O10" i="21"/>
  <c r="V9" i="21"/>
  <c r="J9" i="21"/>
  <c r="U8" i="21"/>
  <c r="B10" i="21"/>
  <c r="A10" i="21" s="1"/>
  <c r="U8" i="20"/>
  <c r="J9" i="20"/>
  <c r="W7" i="20"/>
  <c r="T8" i="20"/>
  <c r="B10" i="20"/>
  <c r="A10" i="20" s="1"/>
  <c r="O10" i="20"/>
  <c r="V9" i="20"/>
  <c r="V10" i="21" l="1"/>
  <c r="O11" i="21"/>
  <c r="B11" i="21"/>
  <c r="A11" i="21"/>
  <c r="U9" i="21"/>
  <c r="J10" i="21"/>
  <c r="W8" i="21"/>
  <c r="T9" i="21"/>
  <c r="W8" i="20"/>
  <c r="T9" i="20"/>
  <c r="V10" i="20"/>
  <c r="O11" i="20"/>
  <c r="U9" i="20"/>
  <c r="J10" i="20"/>
  <c r="B11" i="20"/>
  <c r="A11" i="20" l="1"/>
  <c r="B12" i="20"/>
  <c r="V11" i="20"/>
  <c r="O12" i="20"/>
  <c r="B12" i="21"/>
  <c r="A12" i="21"/>
  <c r="U10" i="21"/>
  <c r="J11" i="21"/>
  <c r="O12" i="21"/>
  <c r="V11" i="21"/>
  <c r="T10" i="21"/>
  <c r="W9" i="21"/>
  <c r="J11" i="20"/>
  <c r="U10" i="20"/>
  <c r="T10" i="20"/>
  <c r="W9" i="20"/>
  <c r="U11" i="20" l="1"/>
  <c r="J12" i="20"/>
  <c r="V12" i="20"/>
  <c r="O13" i="20"/>
  <c r="V13" i="20" s="1"/>
  <c r="A12" i="20"/>
  <c r="B13" i="20"/>
  <c r="A13" i="20" s="1"/>
  <c r="U11" i="21"/>
  <c r="J12" i="21"/>
  <c r="W10" i="21"/>
  <c r="T11" i="21"/>
  <c r="V12" i="21"/>
  <c r="O13" i="21"/>
  <c r="V13" i="21" s="1"/>
  <c r="B13" i="21"/>
  <c r="A13" i="21"/>
  <c r="W10" i="20"/>
  <c r="T11" i="20"/>
  <c r="W11" i="20" l="1"/>
  <c r="T12" i="20"/>
  <c r="U12" i="20"/>
  <c r="J13" i="20"/>
  <c r="U13" i="20" s="1"/>
  <c r="T12" i="21"/>
  <c r="W11" i="21"/>
  <c r="U12" i="21"/>
  <c r="J13" i="21"/>
  <c r="U13" i="21" s="1"/>
  <c r="W12" i="20" l="1"/>
  <c r="T13" i="20"/>
  <c r="W13" i="20" s="1"/>
  <c r="W12" i="21"/>
  <c r="T13" i="21"/>
  <c r="W13" i="21" s="1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D11" i="19"/>
  <c r="C11" i="19"/>
  <c r="D10" i="19"/>
  <c r="C10" i="19"/>
  <c r="D9" i="19"/>
  <c r="D8" i="19"/>
  <c r="D7" i="19"/>
  <c r="D6" i="19"/>
  <c r="C6" i="19"/>
  <c r="C7" i="19" s="1"/>
  <c r="C8" i="19" s="1"/>
  <c r="C9" i="19" s="1"/>
  <c r="D5" i="19"/>
  <c r="C5" i="19"/>
  <c r="B5" i="19"/>
  <c r="B6" i="19" s="1"/>
  <c r="T4" i="19"/>
  <c r="O4" i="19"/>
  <c r="J4" i="19"/>
  <c r="W3" i="19"/>
  <c r="V3" i="19"/>
  <c r="U3" i="19"/>
  <c r="W2" i="19"/>
  <c r="V2" i="19"/>
  <c r="U2" i="19"/>
  <c r="BO1" i="19"/>
  <c r="AT1" i="19"/>
  <c r="Y1" i="19"/>
  <c r="T5" i="19" l="1"/>
  <c r="U4" i="19"/>
  <c r="V4" i="19"/>
  <c r="W4" i="19"/>
  <c r="T6" i="19"/>
  <c r="B7" i="19"/>
  <c r="A5" i="19"/>
  <c r="A6" i="19" s="1"/>
  <c r="A7" i="19" s="1"/>
  <c r="J5" i="19"/>
  <c r="O5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D12" i="18"/>
  <c r="C12" i="18"/>
  <c r="D11" i="18"/>
  <c r="C11" i="18"/>
  <c r="D10" i="18"/>
  <c r="C10" i="18"/>
  <c r="D9" i="18"/>
  <c r="C9" i="18"/>
  <c r="D8" i="18"/>
  <c r="C8" i="18"/>
  <c r="D7" i="18"/>
  <c r="D6" i="18"/>
  <c r="C6" i="18"/>
  <c r="C7" i="18" s="1"/>
  <c r="J5" i="18"/>
  <c r="U5" i="18" s="1"/>
  <c r="D5" i="18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D14" i="17"/>
  <c r="C14" i="17"/>
  <c r="D13" i="17"/>
  <c r="C13" i="17"/>
  <c r="D12" i="17"/>
  <c r="C12" i="17"/>
  <c r="D11" i="17"/>
  <c r="C11" i="17"/>
  <c r="D10" i="17"/>
  <c r="C10" i="17"/>
  <c r="D9" i="17"/>
  <c r="C9" i="17"/>
  <c r="D8" i="17"/>
  <c r="C8" i="17"/>
  <c r="D7" i="17"/>
  <c r="D6" i="17"/>
  <c r="B6" i="17"/>
  <c r="A6" i="17" s="1"/>
  <c r="T5" i="17"/>
  <c r="W5" i="17" s="1"/>
  <c r="D5" i="17"/>
  <c r="C5" i="17"/>
  <c r="C6" i="17" s="1"/>
  <c r="C7" i="17" s="1"/>
  <c r="B5" i="17"/>
  <c r="A5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D14" i="16"/>
  <c r="C14" i="16"/>
  <c r="D13" i="16"/>
  <c r="D12" i="16"/>
  <c r="C12" i="16"/>
  <c r="C13" i="16" s="1"/>
  <c r="D11" i="16"/>
  <c r="C11" i="16"/>
  <c r="D10" i="16"/>
  <c r="C10" i="16"/>
  <c r="D9" i="16"/>
  <c r="D8" i="16"/>
  <c r="C8" i="16"/>
  <c r="C9" i="16" s="1"/>
  <c r="D6" i="16"/>
  <c r="D7" i="16" s="1"/>
  <c r="C6" i="16"/>
  <c r="C7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O5" i="18" l="1"/>
  <c r="O6" i="18" s="1"/>
  <c r="O5" i="16"/>
  <c r="O6" i="16" s="1"/>
  <c r="J5" i="17"/>
  <c r="T6" i="17"/>
  <c r="W6" i="17" s="1"/>
  <c r="O5" i="17"/>
  <c r="B7" i="17"/>
  <c r="B8" i="17" s="1"/>
  <c r="W5" i="19"/>
  <c r="O6" i="19"/>
  <c r="V5" i="19"/>
  <c r="B8" i="19"/>
  <c r="A8" i="19" s="1"/>
  <c r="U5" i="19"/>
  <c r="J6" i="19"/>
  <c r="W6" i="19"/>
  <c r="T7" i="19"/>
  <c r="A5" i="18"/>
  <c r="A6" i="18" s="1"/>
  <c r="V5" i="18"/>
  <c r="B7" i="18"/>
  <c r="V6" i="18"/>
  <c r="O7" i="18"/>
  <c r="T5" i="18"/>
  <c r="J6" i="18"/>
  <c r="A7" i="17"/>
  <c r="A8" i="17" s="1"/>
  <c r="B9" i="17"/>
  <c r="T7" i="17"/>
  <c r="A5" i="16"/>
  <c r="A6" i="16" s="1"/>
  <c r="V5" i="16"/>
  <c r="B7" i="16"/>
  <c r="V6" i="16"/>
  <c r="O7" i="16"/>
  <c r="T5" i="16"/>
  <c r="J6" i="16"/>
  <c r="V5" i="17" l="1"/>
  <c r="O6" i="17"/>
  <c r="U5" i="17"/>
  <c r="J6" i="17"/>
  <c r="B9" i="19"/>
  <c r="A9" i="19" s="1"/>
  <c r="W7" i="19"/>
  <c r="T8" i="19"/>
  <c r="U6" i="19"/>
  <c r="J7" i="19"/>
  <c r="V6" i="19"/>
  <c r="O7" i="19"/>
  <c r="A7" i="18"/>
  <c r="O8" i="18"/>
  <c r="V7" i="18"/>
  <c r="J7" i="18"/>
  <c r="U6" i="18"/>
  <c r="W5" i="18"/>
  <c r="T6" i="18"/>
  <c r="B8" i="18"/>
  <c r="A9" i="17"/>
  <c r="T8" i="17"/>
  <c r="W7" i="17"/>
  <c r="B10" i="17"/>
  <c r="A7" i="16"/>
  <c r="O8" i="16"/>
  <c r="V7" i="16"/>
  <c r="J7" i="16"/>
  <c r="U6" i="16"/>
  <c r="W5" i="16"/>
  <c r="T6" i="16"/>
  <c r="B8" i="16"/>
  <c r="A10" i="17" l="1"/>
  <c r="A8" i="18"/>
  <c r="U6" i="17"/>
  <c r="J7" i="17"/>
  <c r="V6" i="17"/>
  <c r="O7" i="17"/>
  <c r="A8" i="16"/>
  <c r="O8" i="19"/>
  <c r="V7" i="19"/>
  <c r="U7" i="19"/>
  <c r="J8" i="19"/>
  <c r="W8" i="19"/>
  <c r="T9" i="19"/>
  <c r="B10" i="19"/>
  <c r="B9" i="18"/>
  <c r="A9" i="18"/>
  <c r="U7" i="18"/>
  <c r="J8" i="18"/>
  <c r="W6" i="18"/>
  <c r="T7" i="18"/>
  <c r="V8" i="18"/>
  <c r="O9" i="18"/>
  <c r="B11" i="17"/>
  <c r="A11" i="17" s="1"/>
  <c r="W8" i="17"/>
  <c r="T9" i="17"/>
  <c r="V8" i="16"/>
  <c r="O9" i="16"/>
  <c r="B9" i="16"/>
  <c r="A9" i="16" s="1"/>
  <c r="U7" i="16"/>
  <c r="J8" i="16"/>
  <c r="W6" i="16"/>
  <c r="T7" i="16"/>
  <c r="O8" i="17" l="1"/>
  <c r="V7" i="17"/>
  <c r="U7" i="17"/>
  <c r="J8" i="17"/>
  <c r="U8" i="19"/>
  <c r="J9" i="19"/>
  <c r="B11" i="19"/>
  <c r="A11" i="19" s="1"/>
  <c r="W9" i="19"/>
  <c r="T10" i="19"/>
  <c r="A10" i="19"/>
  <c r="V8" i="19"/>
  <c r="O9" i="19"/>
  <c r="O10" i="18"/>
  <c r="V9" i="18"/>
  <c r="U8" i="18"/>
  <c r="J9" i="18"/>
  <c r="T8" i="18"/>
  <c r="W7" i="18"/>
  <c r="B10" i="18"/>
  <c r="B12" i="17"/>
  <c r="A12" i="17" s="1"/>
  <c r="T10" i="17"/>
  <c r="W9" i="17"/>
  <c r="T8" i="16"/>
  <c r="W7" i="16"/>
  <c r="B10" i="16"/>
  <c r="A10" i="16" s="1"/>
  <c r="U8" i="16"/>
  <c r="J9" i="16"/>
  <c r="O10" i="16"/>
  <c r="V9" i="16"/>
  <c r="U8" i="17" l="1"/>
  <c r="J9" i="17"/>
  <c r="V8" i="17"/>
  <c r="O9" i="17"/>
  <c r="W10" i="19"/>
  <c r="T11" i="19"/>
  <c r="U9" i="19"/>
  <c r="J10" i="19"/>
  <c r="O10" i="19"/>
  <c r="V9" i="19"/>
  <c r="B11" i="18"/>
  <c r="W8" i="18"/>
  <c r="T9" i="18"/>
  <c r="V10" i="18"/>
  <c r="O11" i="18"/>
  <c r="A10" i="18"/>
  <c r="U9" i="18"/>
  <c r="J10" i="18"/>
  <c r="W10" i="17"/>
  <c r="T11" i="17"/>
  <c r="O13" i="17"/>
  <c r="B13" i="17"/>
  <c r="V10" i="16"/>
  <c r="O11" i="16"/>
  <c r="B11" i="16"/>
  <c r="A11" i="16" s="1"/>
  <c r="U9" i="16"/>
  <c r="J10" i="16"/>
  <c r="W8" i="16"/>
  <c r="T9" i="16"/>
  <c r="V9" i="17" l="1"/>
  <c r="O10" i="17"/>
  <c r="U9" i="17"/>
  <c r="J10" i="17"/>
  <c r="A11" i="18"/>
  <c r="W11" i="19"/>
  <c r="U10" i="19"/>
  <c r="J11" i="19"/>
  <c r="V10" i="19"/>
  <c r="O11" i="19"/>
  <c r="U10" i="18"/>
  <c r="J11" i="18"/>
  <c r="W9" i="18"/>
  <c r="T10" i="18"/>
  <c r="O12" i="18"/>
  <c r="V12" i="18" s="1"/>
  <c r="V11" i="18"/>
  <c r="B12" i="18"/>
  <c r="A12" i="18" s="1"/>
  <c r="B14" i="17"/>
  <c r="A14" i="17"/>
  <c r="A13" i="17"/>
  <c r="T12" i="17"/>
  <c r="W11" i="17"/>
  <c r="O14" i="17"/>
  <c r="V14" i="17" s="1"/>
  <c r="V13" i="17"/>
  <c r="J13" i="17"/>
  <c r="B12" i="16"/>
  <c r="U10" i="16"/>
  <c r="J11" i="16"/>
  <c r="O12" i="16"/>
  <c r="V11" i="16"/>
  <c r="W9" i="16"/>
  <c r="T10" i="16"/>
  <c r="V12" i="16" l="1"/>
  <c r="O13" i="16"/>
  <c r="J11" i="17"/>
  <c r="U10" i="17"/>
  <c r="A12" i="16"/>
  <c r="B13" i="16"/>
  <c r="V10" i="17"/>
  <c r="O11" i="17"/>
  <c r="V11" i="19"/>
  <c r="U11" i="19"/>
  <c r="W10" i="18"/>
  <c r="T11" i="18"/>
  <c r="U11" i="18"/>
  <c r="J12" i="18"/>
  <c r="U12" i="18" s="1"/>
  <c r="W12" i="17"/>
  <c r="T13" i="17"/>
  <c r="U13" i="17"/>
  <c r="J14" i="17"/>
  <c r="U14" i="17" s="1"/>
  <c r="W10" i="16"/>
  <c r="T11" i="16"/>
  <c r="U11" i="16"/>
  <c r="J12" i="16"/>
  <c r="A13" i="16" l="1"/>
  <c r="B14" i="16"/>
  <c r="A14" i="16"/>
  <c r="U12" i="16"/>
  <c r="J13" i="16"/>
  <c r="U11" i="17"/>
  <c r="J12" i="17"/>
  <c r="U12" i="17" s="1"/>
  <c r="V13" i="16"/>
  <c r="O14" i="16"/>
  <c r="V14" i="16" s="1"/>
  <c r="V11" i="17"/>
  <c r="O12" i="17"/>
  <c r="V12" i="17" s="1"/>
  <c r="T12" i="18"/>
  <c r="W12" i="18" s="1"/>
  <c r="W11" i="18"/>
  <c r="W13" i="17"/>
  <c r="T14" i="17"/>
  <c r="W14" i="17" s="1"/>
  <c r="W11" i="16"/>
  <c r="T12" i="16"/>
  <c r="U13" i="16" l="1"/>
  <c r="J14" i="16"/>
  <c r="U14" i="16" s="1"/>
  <c r="W12" i="16"/>
  <c r="T13" i="16"/>
  <c r="W3" i="1"/>
  <c r="V3" i="1"/>
  <c r="U3" i="1"/>
  <c r="W13" i="16" l="1"/>
  <c r="T14" i="16"/>
  <c r="W14" i="16" s="1"/>
  <c r="B5" i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9" i="1"/>
  <c r="C10" i="1" s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7" i="1"/>
  <c r="J5" i="1"/>
  <c r="B9" i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A8" i="1" l="1"/>
  <c r="A9" i="1" s="1"/>
  <c r="U5" i="1"/>
  <c r="W4" i="1"/>
  <c r="V4" i="1"/>
  <c r="J6" i="1"/>
  <c r="T5" i="1"/>
  <c r="O6" i="1"/>
  <c r="B10" i="1"/>
  <c r="W5" i="1" l="1"/>
  <c r="O7" i="1"/>
  <c r="O8" i="1" s="1"/>
  <c r="V8" i="1" s="1"/>
  <c r="V6" i="1"/>
  <c r="J7" i="1"/>
  <c r="J8" i="1" s="1"/>
  <c r="U8" i="1" s="1"/>
  <c r="U6" i="1"/>
  <c r="B11" i="1"/>
  <c r="A10" i="1"/>
  <c r="T6" i="1"/>
  <c r="A11" i="1" l="1"/>
  <c r="B12" i="1"/>
  <c r="A12" i="1" s="1"/>
  <c r="U7" i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O12" i="1"/>
  <c r="T11" i="1"/>
  <c r="U13" i="1" l="1"/>
  <c r="V12" i="1"/>
  <c r="W11" i="1"/>
  <c r="J14" i="1"/>
  <c r="U14" i="1" s="1"/>
  <c r="O13" i="1"/>
  <c r="T12" i="1"/>
  <c r="V13" i="1" l="1"/>
  <c r="W12" i="1"/>
  <c r="O14" i="1"/>
  <c r="V14" i="1" s="1"/>
  <c r="J15" i="1"/>
  <c r="U15" i="1" s="1"/>
  <c r="T13" i="1"/>
  <c r="W13" i="1" l="1"/>
  <c r="T14" i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<sst xmlns="http://schemas.openxmlformats.org/spreadsheetml/2006/main" count="1220" uniqueCount="154">
  <si>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</si>
  <si>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</si>
  <si>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</si>
  <si>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</si>
  <si>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</si>
  <si>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</si>
  <si>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</si>
  <si>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</si>
  <si>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</si>
  <si>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</si>
  <si>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</si>
  <si>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</si>
  <si>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</si>
  <si>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</si>
  <si>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</si>
  <si>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</si>
  <si>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</si>
  <si>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</si>
  <si>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</si>
  <si>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</si>
  <si>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</si>
  <si>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</si>
  <si>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</si>
  <si>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</si>
  <si>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</si>
  <si>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</si>
  <si>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</si>
  <si>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</si>
  <si>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</si>
  <si>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</si>
  <si>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</si>
  <si>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</si>
  <si>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</si>
  <si>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</si>
  <si>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</si>
  <si>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</si>
  <si>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</si>
  <si>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</si>
  <si>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</si>
  <si>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</si>
  <si>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</si>
  <si>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</si>
  <si>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</si>
  <si>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</si>
  <si>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</si>
  <si>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</si>
  <si>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</si>
  <si>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</si>
  <si>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</si>
  <si>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</si>
  <si>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</si>
  <si>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</si>
  <si>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</si>
  <si>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</si>
  <si>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</si>
  <si>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</si>
  <si>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</si>
  <si>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</si>
  <si>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</si>
  <si>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</si>
  <si>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</si>
  <si>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</si>
  <si>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</si>
  <si>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</si>
  <si>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</si>
  <si>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</si>
  <si>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</si>
  <si>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</si>
  <si>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</si>
  <si>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</si>
  <si>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</si>
  <si>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</si>
  <si>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</si>
  <si>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</si>
  <si>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</si>
  <si>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</si>
  <si>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</si>
  <si>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</si>
  <si>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</si>
  <si>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</si>
  <si>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</si>
  <si>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</si>
  <si>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</si>
  <si>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</si>
  <si>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</si>
  <si>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</si>
  <si>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</si>
  <si>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</si>
  <si>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</si>
  <si>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</si>
  <si>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</si>
  <si>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</si>
  <si>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</si>
  <si>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</si>
  <si>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</si>
  <si>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</si>
  <si>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</si>
  <si>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</si>
  <si>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</si>
  <si>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</si>
  <si>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</si>
  <si>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</si>
  <si>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</si>
  <si>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</si>
  <si>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</si>
  <si>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</si>
  <si>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</si>
  <si>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</si>
  <si>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</si>
  <si>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</si>
  <si>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</si>
  <si>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</si>
  <si>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</si>
  <si>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</si>
  <si>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</si>
  <si>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</si>
  <si>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</si>
  <si>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</si>
  <si>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</si>
  <si>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</si>
  <si>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</si>
  <si>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</si>
  <si>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</si>
  <si>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</si>
  <si>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</si>
  <si>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</si>
  <si>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</si>
  <si>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</si>
  <si>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</si>
  <si>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</si>
  <si>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</si>
  <si>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</si>
  <si>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</si>
  <si>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</si>
  <si>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</si>
  <si>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</si>
  <si>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</si>
  <si>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まっつん</t>
  </si>
  <si>
    <t>まっつん</t>
    <phoneticPr fontId="1"/>
  </si>
  <si>
    <t>れんたろう</t>
  </si>
  <si>
    <t>れんたろう</t>
    <phoneticPr fontId="1"/>
  </si>
  <si>
    <t>ロン</t>
  </si>
  <si>
    <t>放銃</t>
  </si>
  <si>
    <t>01</t>
  </si>
  <si>
    <t>N</t>
  </si>
  <si>
    <t>T</t>
  </si>
  <si>
    <t>流局</t>
    <phoneticPr fontId="1"/>
  </si>
  <si>
    <t>*</t>
  </si>
  <si>
    <t>ツモ支払</t>
  </si>
  <si>
    <t>ツモ</t>
  </si>
  <si>
    <t>02</t>
  </si>
  <si>
    <t>流局</t>
    <phoneticPr fontId="1"/>
  </si>
  <si>
    <t>ただ</t>
  </si>
  <si>
    <t>ただ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</si>
</sst>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まっつん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12000</v>
      </c>
      <c r="M4" s="9"/>
      <c r="N4" s="55">
        <v>0</v>
      </c>
      <c r="O4" s="21">
        <f>IF(COUNTA($F4,$K4,$P4)&gt;0,O3+SUM(L4:N4),"")</f>
        <v>47000</v>
      </c>
      <c r="P4" s="8" t="s">
        <v>142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 t="shared" ref="U4:U30" si="0">IF($J4="","",ROUND(($J4-$J$3)/1000,1))</f>
        <v>0</v>
      </c>
      <c r="V4" s="61">
        <f t="shared" ref="V4:V30" si="1">IF($O4="","",ROUND(($O4-$O$3)/1000,1))</f>
        <v>12</v>
      </c>
      <c r="W4" s="62">
        <f t="shared" ref="W4:W30" si="2">IF($T4="","",ROUND(($T4-$T$3)/1000,1))</f>
        <v>-12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4</v>
      </c>
      <c r="AY4" s="36">
        <v>40</v>
      </c>
      <c r="AZ4" s="47" t="s">
        <v>81</v>
      </c>
      <c r="BA4" s="48" t="s">
        <v>81</v>
      </c>
      <c r="BB4" s="48" t="s">
        <v>82</v>
      </c>
      <c r="BC4" s="48" t="s">
        <v>143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6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141</v>
      </c>
      <c r="G5" s="9">
        <v>1300</v>
      </c>
      <c r="H5" s="9"/>
      <c r="I5" s="55">
        <v>1000</v>
      </c>
      <c r="J5" s="21">
        <f t="shared" ref="J5:J30" si="6">IF(COUNTA($F5,$K5,$P5)&gt;0,J4+SUM(G5:I5),"")</f>
        <v>37300</v>
      </c>
      <c r="K5" s="8"/>
      <c r="L5" s="9"/>
      <c r="M5" s="9"/>
      <c r="N5" s="55"/>
      <c r="O5" s="21">
        <f t="shared" ref="O5:O30" si="7">IF(COUNTA($F5,$K5,$P5)&gt;0,O4+SUM(L5:N5),"")</f>
        <v>47000</v>
      </c>
      <c r="P5" s="8" t="s">
        <v>142</v>
      </c>
      <c r="Q5" s="9">
        <v>-1300</v>
      </c>
      <c r="R5" s="9"/>
      <c r="S5" s="55">
        <v>-1000</v>
      </c>
      <c r="T5" s="21">
        <f t="shared" ref="T5:T30" si="8">IF(COUNTA($F5,$K5,$P5)&gt;0,T4+SUM(Q5:S5),"")</f>
        <v>20700</v>
      </c>
      <c r="U5" s="60">
        <f t="shared" si="0"/>
        <v>2.2999999999999998</v>
      </c>
      <c r="V5" s="61">
        <f t="shared" si="1"/>
        <v>12</v>
      </c>
      <c r="W5" s="62">
        <f t="shared" si="2"/>
        <v>-14.3</v>
      </c>
      <c r="Y5" s="8"/>
      <c r="Z5" s="41"/>
      <c r="AA5" s="32">
        <v>1</v>
      </c>
      <c r="AB5" s="32"/>
      <c r="AC5" s="32">
        <v>1</v>
      </c>
      <c r="AD5" s="36">
        <v>40</v>
      </c>
      <c r="AE5" s="47" t="s">
        <v>143</v>
      </c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146</v>
      </c>
      <c r="G6" s="9">
        <v>-1500</v>
      </c>
      <c r="H6" s="9"/>
      <c r="I6" s="55"/>
      <c r="J6" s="21">
        <f t="shared" si="6"/>
        <v>35800</v>
      </c>
      <c r="K6" s="8" t="s">
        <v>146</v>
      </c>
      <c r="L6" s="9">
        <v>-1500</v>
      </c>
      <c r="M6" s="9"/>
      <c r="N6" s="55"/>
      <c r="O6" s="21">
        <f t="shared" si="7"/>
        <v>45500</v>
      </c>
      <c r="P6" s="8" t="s">
        <v>146</v>
      </c>
      <c r="Q6" s="9">
        <v>3000</v>
      </c>
      <c r="R6" s="9">
        <v>-1000</v>
      </c>
      <c r="S6" s="55"/>
      <c r="T6" s="21">
        <f t="shared" si="8"/>
        <v>22700</v>
      </c>
      <c r="U6" s="60">
        <f t="shared" si="0"/>
        <v>0.8</v>
      </c>
      <c r="V6" s="61">
        <f t="shared" si="1"/>
        <v>10.5</v>
      </c>
      <c r="W6" s="62">
        <f t="shared" si="2"/>
        <v>-12.3</v>
      </c>
      <c r="Y6" s="8" t="s">
        <v>144</v>
      </c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144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145</v>
      </c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2</v>
      </c>
      <c r="C7" s="18">
        <f t="shared" ref="C7:C30" si="11">IF($E7="","",IF(F6="チョンボ",C6,IF($E6=$E7,C6+1,0)))</f>
        <v>1</v>
      </c>
      <c r="D7" s="18">
        <f t="shared" si="5"/>
        <v>1</v>
      </c>
      <c r="E7" s="4" t="s">
        <v>139</v>
      </c>
      <c r="F7" s="8"/>
      <c r="G7" s="9"/>
      <c r="H7" s="9"/>
      <c r="I7" s="55"/>
      <c r="J7" s="21">
        <f t="shared" si="6"/>
        <v>35800</v>
      </c>
      <c r="K7" s="8" t="s">
        <v>141</v>
      </c>
      <c r="L7" s="9">
        <v>8000</v>
      </c>
      <c r="M7" s="9">
        <v>1000</v>
      </c>
      <c r="N7" s="55">
        <v>1000</v>
      </c>
      <c r="O7" s="21">
        <f t="shared" si="7"/>
        <v>55500</v>
      </c>
      <c r="P7" s="8" t="s">
        <v>142</v>
      </c>
      <c r="Q7" s="9">
        <v>-8000</v>
      </c>
      <c r="R7" s="9"/>
      <c r="S7" s="55">
        <v>-1000</v>
      </c>
      <c r="T7" s="21">
        <f t="shared" si="8"/>
        <v>13700</v>
      </c>
      <c r="U7" s="60">
        <f t="shared" si="0"/>
        <v>0.8</v>
      </c>
      <c r="V7" s="61">
        <f t="shared" si="1"/>
        <v>20.5</v>
      </c>
      <c r="W7" s="62">
        <f t="shared" si="2"/>
        <v>-21.3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5</v>
      </c>
      <c r="AY7" s="36" t="s">
        <v>147</v>
      </c>
      <c r="AZ7" s="47" t="s">
        <v>143</v>
      </c>
      <c r="BA7" s="48" t="s">
        <v>86</v>
      </c>
      <c r="BB7" s="48" t="s">
        <v>102</v>
      </c>
      <c r="BC7" s="48" t="s">
        <v>82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0</v>
      </c>
      <c r="D8" s="18">
        <f t="shared" si="5"/>
        <v>0</v>
      </c>
      <c r="E8" s="4" t="s">
        <v>135</v>
      </c>
      <c r="F8" s="8" t="s">
        <v>148</v>
      </c>
      <c r="G8" s="9">
        <v>-2000</v>
      </c>
      <c r="H8" s="9"/>
      <c r="I8" s="55">
        <v>0</v>
      </c>
      <c r="J8" s="21">
        <f t="shared" si="6"/>
        <v>33800</v>
      </c>
      <c r="K8" s="8" t="s">
        <v>149</v>
      </c>
      <c r="L8" s="9">
        <v>3200</v>
      </c>
      <c r="M8" s="9"/>
      <c r="N8" s="55">
        <v>0</v>
      </c>
      <c r="O8" s="21">
        <f t="shared" si="7"/>
        <v>58700</v>
      </c>
      <c r="P8" s="8" t="s">
        <v>148</v>
      </c>
      <c r="Q8" s="9">
        <v>-1200</v>
      </c>
      <c r="R8" s="9"/>
      <c r="S8" s="55">
        <v>0</v>
      </c>
      <c r="T8" s="21">
        <f t="shared" si="8"/>
        <v>12500</v>
      </c>
      <c r="U8" s="60">
        <f t="shared" si="0"/>
        <v>-1.2</v>
      </c>
      <c r="V8" s="61">
        <f t="shared" si="1"/>
        <v>23.7</v>
      </c>
      <c r="W8" s="62">
        <f t="shared" si="2"/>
        <v>-22.5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3</v>
      </c>
      <c r="AY8" s="36">
        <v>25</v>
      </c>
      <c r="AZ8" s="47" t="s">
        <v>102</v>
      </c>
      <c r="BA8" s="48" t="s">
        <v>83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1</v>
      </c>
      <c r="C9" s="18">
        <f t="shared" si="11"/>
        <v>0</v>
      </c>
      <c r="D9" s="18">
        <f t="shared" si="5"/>
        <v>0</v>
      </c>
      <c r="E9" s="4" t="s">
        <v>137</v>
      </c>
      <c r="F9" s="8" t="s">
        <v>146</v>
      </c>
      <c r="G9" s="9">
        <v>-1500</v>
      </c>
      <c r="H9" s="9"/>
      <c r="I9" s="55"/>
      <c r="J9" s="21">
        <f t="shared" si="6"/>
        <v>32300</v>
      </c>
      <c r="K9" s="8" t="s">
        <v>146</v>
      </c>
      <c r="L9" s="9">
        <v>3000</v>
      </c>
      <c r="M9" s="9">
        <v>-1000</v>
      </c>
      <c r="N9" s="55"/>
      <c r="O9" s="21">
        <f t="shared" si="7"/>
        <v>60700</v>
      </c>
      <c r="P9" s="8" t="s">
        <v>146</v>
      </c>
      <c r="Q9" s="9">
        <v>-1500</v>
      </c>
      <c r="R9" s="9"/>
      <c r="S9" s="55"/>
      <c r="T9" s="21">
        <f t="shared" si="8"/>
        <v>11000</v>
      </c>
      <c r="U9" s="60">
        <f t="shared" si="0"/>
        <v>-2.7</v>
      </c>
      <c r="V9" s="61">
        <f t="shared" si="1"/>
        <v>25.7</v>
      </c>
      <c r="W9" s="62">
        <f t="shared" si="2"/>
        <v>-24</v>
      </c>
      <c r="Y9" s="8" t="s">
        <v>144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145</v>
      </c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144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1</v>
      </c>
      <c r="C10" s="18">
        <f t="shared" si="11"/>
        <v>1</v>
      </c>
      <c r="D10" s="18">
        <f t="shared" si="5"/>
        <v>1</v>
      </c>
      <c r="E10" s="4" t="s">
        <v>137</v>
      </c>
      <c r="F10" s="8" t="s">
        <v>148</v>
      </c>
      <c r="G10" s="9">
        <v>-1500</v>
      </c>
      <c r="H10" s="9"/>
      <c r="I10" s="55">
        <v>-500</v>
      </c>
      <c r="J10" s="21">
        <f t="shared" si="6"/>
        <v>30300</v>
      </c>
      <c r="K10" s="8" t="s">
        <v>148</v>
      </c>
      <c r="L10" s="9">
        <v>-2500</v>
      </c>
      <c r="M10" s="9"/>
      <c r="N10" s="55">
        <v>-500</v>
      </c>
      <c r="O10" s="21">
        <f t="shared" si="7"/>
        <v>57700</v>
      </c>
      <c r="P10" s="8" t="s">
        <v>149</v>
      </c>
      <c r="Q10" s="9">
        <v>4000</v>
      </c>
      <c r="R10" s="9">
        <v>1000</v>
      </c>
      <c r="S10" s="55">
        <v>1000</v>
      </c>
      <c r="T10" s="21">
        <f t="shared" si="8"/>
        <v>17000</v>
      </c>
      <c r="U10" s="60">
        <f t="shared" si="0"/>
        <v>-4.7</v>
      </c>
      <c r="V10" s="61">
        <f t="shared" si="1"/>
        <v>22.7</v>
      </c>
      <c r="W10" s="62">
        <f t="shared" si="2"/>
        <v>-18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3</v>
      </c>
      <c r="BT10" s="36">
        <v>30</v>
      </c>
      <c r="BU10" s="47" t="s">
        <v>87</v>
      </c>
      <c r="BV10" s="48" t="s">
        <v>82</v>
      </c>
      <c r="BW10" s="48" t="s">
        <v>80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2</v>
      </c>
      <c r="C11" s="18">
        <f t="shared" si="11"/>
        <v>0</v>
      </c>
      <c r="D11" s="18">
        <f t="shared" si="5"/>
        <v>0</v>
      </c>
      <c r="E11" s="4" t="s">
        <v>139</v>
      </c>
      <c r="F11" s="8" t="s">
        <v>149</v>
      </c>
      <c r="G11" s="9">
        <v>12000</v>
      </c>
      <c r="H11" s="9"/>
      <c r="I11" s="55">
        <v>0</v>
      </c>
      <c r="J11" s="21">
        <f t="shared" si="6"/>
        <v>42300</v>
      </c>
      <c r="K11" s="8" t="s">
        <v>148</v>
      </c>
      <c r="L11" s="9">
        <v>-4500</v>
      </c>
      <c r="M11" s="9"/>
      <c r="N11" s="55">
        <v>0</v>
      </c>
      <c r="O11" s="21">
        <f t="shared" si="7"/>
        <v>53200</v>
      </c>
      <c r="P11" s="8" t="s">
        <v>148</v>
      </c>
      <c r="Q11" s="9">
        <v>-7500</v>
      </c>
      <c r="R11" s="9"/>
      <c r="S11" s="55">
        <v>0</v>
      </c>
      <c r="T11" s="21">
        <f t="shared" si="8"/>
        <v>9500</v>
      </c>
      <c r="U11" s="60">
        <f t="shared" si="0"/>
        <v>7.3</v>
      </c>
      <c r="V11" s="61">
        <f t="shared" si="1"/>
        <v>18.2</v>
      </c>
      <c r="W11" s="62">
        <f t="shared" si="2"/>
        <v>-25.5</v>
      </c>
      <c r="Y11" s="8"/>
      <c r="Z11" s="41"/>
      <c r="AA11" s="32">
        <v>1</v>
      </c>
      <c r="AB11" s="32"/>
      <c r="AC11" s="32">
        <v>7</v>
      </c>
      <c r="AD11" s="36" t="s">
        <v>147</v>
      </c>
      <c r="AE11" s="47" t="s">
        <v>143</v>
      </c>
      <c r="AF11" s="48" t="s">
        <v>83</v>
      </c>
      <c r="AG11" s="48" t="s">
        <v>82</v>
      </c>
      <c r="AH11" s="48" t="s">
        <v>82</v>
      </c>
      <c r="AI11" s="48" t="s">
        <v>80</v>
      </c>
      <c r="AJ11" s="48" t="s">
        <v>81</v>
      </c>
      <c r="AK11" s="48" t="s">
        <v>81</v>
      </c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9"/>
        <v>3</v>
      </c>
      <c r="C12" s="18">
        <f t="shared" si="11"/>
        <v>0</v>
      </c>
      <c r="D12" s="18">
        <f t="shared" si="5"/>
        <v>0</v>
      </c>
      <c r="E12" s="4" t="s">
        <v>135</v>
      </c>
      <c r="F12" s="8"/>
      <c r="G12" s="9"/>
      <c r="H12" s="9"/>
      <c r="I12" s="55"/>
      <c r="J12" s="21">
        <f t="shared" si="6"/>
        <v>42300</v>
      </c>
      <c r="K12" s="8" t="s">
        <v>141</v>
      </c>
      <c r="L12" s="9">
        <v>8000</v>
      </c>
      <c r="M12" s="9"/>
      <c r="N12" s="55">
        <v>0</v>
      </c>
      <c r="O12" s="21">
        <f t="shared" si="7"/>
        <v>61200</v>
      </c>
      <c r="P12" s="8" t="s">
        <v>142</v>
      </c>
      <c r="Q12" s="9">
        <v>-8000</v>
      </c>
      <c r="R12" s="9"/>
      <c r="S12" s="55">
        <v>0</v>
      </c>
      <c r="T12" s="21">
        <f t="shared" si="8"/>
        <v>1500</v>
      </c>
      <c r="U12" s="60">
        <f t="shared" si="0"/>
        <v>7.3</v>
      </c>
      <c r="V12" s="61">
        <f t="shared" si="1"/>
        <v>26.2</v>
      </c>
      <c r="W12" s="62">
        <f t="shared" si="2"/>
        <v>-33.5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4</v>
      </c>
      <c r="AY12" s="36">
        <v>30</v>
      </c>
      <c r="AZ12" s="47" t="s">
        <v>105</v>
      </c>
      <c r="BA12" s="48" t="s">
        <v>87</v>
      </c>
      <c r="BB12" s="48" t="s">
        <v>87</v>
      </c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A3544-3CBE-4DE8-B474-B376293E3D44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まっつん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149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148</v>
      </c>
      <c r="L4" s="9">
        <v>-6000</v>
      </c>
      <c r="M4" s="9"/>
      <c r="N4" s="55">
        <v>0</v>
      </c>
      <c r="O4" s="21">
        <f>IF(COUNTA($F4,$K4,$P4)&gt;0,O3+SUM(L4:N4),"")</f>
        <v>29000</v>
      </c>
      <c r="P4" s="8" t="s">
        <v>148</v>
      </c>
      <c r="Q4" s="9">
        <v>-6000</v>
      </c>
      <c r="R4" s="9"/>
      <c r="S4" s="55">
        <v>0</v>
      </c>
      <c r="T4" s="21">
        <f>IF(COUNTA($F4,$K4,$P4)&gt;0,T3+SUM(Q4:S4),"")</f>
        <v>29000</v>
      </c>
      <c r="U4" s="60">
        <f t="shared" ref="U4:U30" si="0">IF($J4="","",ROUND(($J4-$J$3)/1000,1))</f>
        <v>12</v>
      </c>
      <c r="V4" s="61">
        <f t="shared" ref="V4:V30" si="1">IF($O4="","",ROUND(($O4-$O$3)/1000,1))</f>
        <v>-6</v>
      </c>
      <c r="W4" s="62">
        <f t="shared" ref="W4:W30" si="2">IF($T4="","",ROUND(($T4-$T$3)/1000,1))</f>
        <v>-6</v>
      </c>
      <c r="Y4" s="8"/>
      <c r="Z4" s="41"/>
      <c r="AA4" s="32">
        <v>1</v>
      </c>
      <c r="AB4" s="32"/>
      <c r="AC4" s="32">
        <v>5</v>
      </c>
      <c r="AD4" s="36" t="s">
        <v>147</v>
      </c>
      <c r="AE4" s="47" t="s">
        <v>143</v>
      </c>
      <c r="AF4" s="48" t="s">
        <v>83</v>
      </c>
      <c r="AG4" s="48" t="s">
        <v>84</v>
      </c>
      <c r="AH4" s="48" t="s">
        <v>82</v>
      </c>
      <c r="AI4" s="48" t="s">
        <v>82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149</v>
      </c>
      <c r="G5" s="9">
        <v>12000</v>
      </c>
      <c r="H5" s="9">
        <v>1000</v>
      </c>
      <c r="I5" s="55">
        <v>1000</v>
      </c>
      <c r="J5" s="21">
        <f t="shared" ref="J5:J30" si="6">IF(COUNTA($F5,$K5,$P5)&gt;0,J4+SUM(G5:I5),"")</f>
        <v>61000</v>
      </c>
      <c r="K5" s="8" t="s">
        <v>148</v>
      </c>
      <c r="L5" s="9">
        <v>-6000</v>
      </c>
      <c r="M5" s="9">
        <v>-1000</v>
      </c>
      <c r="N5" s="55">
        <v>-500</v>
      </c>
      <c r="O5" s="21">
        <f t="shared" ref="O5:O30" si="7">IF(COUNTA($F5,$K5,$P5)&gt;0,O4+SUM(L5:N5),"")</f>
        <v>21500</v>
      </c>
      <c r="P5" s="8" t="s">
        <v>148</v>
      </c>
      <c r="Q5" s="9">
        <v>-6000</v>
      </c>
      <c r="R5" s="9"/>
      <c r="S5" s="55">
        <v>-500</v>
      </c>
      <c r="T5" s="21">
        <f t="shared" ref="T5:T30" si="8">IF(COUNTA($F5,$K5,$P5)&gt;0,T4+SUM(Q5:S5),"")</f>
        <v>22500</v>
      </c>
      <c r="U5" s="60">
        <f t="shared" si="0"/>
        <v>26</v>
      </c>
      <c r="V5" s="61">
        <f t="shared" si="1"/>
        <v>-13.5</v>
      </c>
      <c r="W5" s="62">
        <f t="shared" si="2"/>
        <v>-12.5</v>
      </c>
      <c r="Y5" s="8"/>
      <c r="Z5" s="41"/>
      <c r="AA5" s="32"/>
      <c r="AB5" s="32"/>
      <c r="AC5" s="32">
        <v>4</v>
      </c>
      <c r="AD5" s="36">
        <v>30</v>
      </c>
      <c r="AE5" s="47" t="s">
        <v>83</v>
      </c>
      <c r="AF5" s="48" t="s">
        <v>86</v>
      </c>
      <c r="AG5" s="48" t="s">
        <v>82</v>
      </c>
      <c r="AH5" s="48" t="s">
        <v>80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135</v>
      </c>
      <c r="F6" s="8" t="s">
        <v>142</v>
      </c>
      <c r="G6" s="9">
        <v>-8000</v>
      </c>
      <c r="H6" s="9"/>
      <c r="I6" s="55">
        <v>-2000</v>
      </c>
      <c r="J6" s="21">
        <f t="shared" si="6"/>
        <v>51000</v>
      </c>
      <c r="K6" s="8" t="s">
        <v>141</v>
      </c>
      <c r="L6" s="9">
        <v>8000</v>
      </c>
      <c r="M6" s="9"/>
      <c r="N6" s="55">
        <v>2000</v>
      </c>
      <c r="O6" s="21">
        <f t="shared" si="7"/>
        <v>31500</v>
      </c>
      <c r="P6" s="8"/>
      <c r="Q6" s="9"/>
      <c r="R6" s="9"/>
      <c r="S6" s="55"/>
      <c r="T6" s="21">
        <f t="shared" si="8"/>
        <v>22500</v>
      </c>
      <c r="U6" s="60">
        <f t="shared" si="0"/>
        <v>16</v>
      </c>
      <c r="V6" s="61">
        <f t="shared" si="1"/>
        <v>-3.5</v>
      </c>
      <c r="W6" s="62">
        <f t="shared" si="2"/>
        <v>-12.5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4</v>
      </c>
      <c r="AY6" s="36">
        <v>40</v>
      </c>
      <c r="AZ6" s="47" t="s">
        <v>143</v>
      </c>
      <c r="BA6" s="48" t="s">
        <v>80</v>
      </c>
      <c r="BB6" s="48" t="s">
        <v>80</v>
      </c>
      <c r="BC6" s="48" t="s">
        <v>82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0</v>
      </c>
      <c r="D7" s="18">
        <f t="shared" si="5"/>
        <v>0</v>
      </c>
      <c r="E7" s="4" t="s">
        <v>137</v>
      </c>
      <c r="F7" s="8" t="s">
        <v>142</v>
      </c>
      <c r="G7" s="9">
        <v>-12000</v>
      </c>
      <c r="H7" s="9">
        <v>-1000</v>
      </c>
      <c r="I7" s="55">
        <v>0</v>
      </c>
      <c r="J7" s="21">
        <f t="shared" si="6"/>
        <v>38000</v>
      </c>
      <c r="K7" s="8" t="s">
        <v>141</v>
      </c>
      <c r="L7" s="9">
        <v>12000</v>
      </c>
      <c r="M7" s="9">
        <v>1000</v>
      </c>
      <c r="N7" s="55">
        <v>0</v>
      </c>
      <c r="O7" s="21">
        <f t="shared" si="7"/>
        <v>44500</v>
      </c>
      <c r="P7" s="8"/>
      <c r="Q7" s="9"/>
      <c r="R7" s="9"/>
      <c r="S7" s="55"/>
      <c r="T7" s="21">
        <f t="shared" si="8"/>
        <v>22500</v>
      </c>
      <c r="U7" s="60">
        <f t="shared" si="0"/>
        <v>3</v>
      </c>
      <c r="V7" s="61">
        <f t="shared" si="1"/>
        <v>9.5</v>
      </c>
      <c r="W7" s="62">
        <f t="shared" si="2"/>
        <v>-12.5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5</v>
      </c>
      <c r="AY7" s="36" t="s">
        <v>147</v>
      </c>
      <c r="AZ7" s="47" t="s">
        <v>143</v>
      </c>
      <c r="BA7" s="48" t="s">
        <v>150</v>
      </c>
      <c r="BB7" s="48" t="s">
        <v>80</v>
      </c>
      <c r="BC7" s="48" t="s">
        <v>82</v>
      </c>
      <c r="BD7" s="48" t="s">
        <v>82</v>
      </c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1</v>
      </c>
      <c r="D8" s="18">
        <f t="shared" si="5"/>
        <v>0</v>
      </c>
      <c r="E8" s="4" t="s">
        <v>137</v>
      </c>
      <c r="F8" s="8" t="s">
        <v>148</v>
      </c>
      <c r="G8" s="9">
        <v>-6000</v>
      </c>
      <c r="H8" s="9"/>
      <c r="I8" s="55">
        <v>-500</v>
      </c>
      <c r="J8" s="21">
        <f t="shared" si="6"/>
        <v>31500</v>
      </c>
      <c r="K8" s="8" t="s">
        <v>149</v>
      </c>
      <c r="L8" s="9">
        <v>12000</v>
      </c>
      <c r="M8" s="9">
        <v>1000</v>
      </c>
      <c r="N8" s="55">
        <v>1000</v>
      </c>
      <c r="O8" s="21">
        <f t="shared" si="7"/>
        <v>58500</v>
      </c>
      <c r="P8" s="8" t="s">
        <v>148</v>
      </c>
      <c r="Q8" s="9">
        <v>-6000</v>
      </c>
      <c r="R8" s="9">
        <v>-1000</v>
      </c>
      <c r="S8" s="55">
        <v>-500</v>
      </c>
      <c r="T8" s="21">
        <f t="shared" si="8"/>
        <v>15000</v>
      </c>
      <c r="U8" s="60">
        <f t="shared" si="0"/>
        <v>-3.5</v>
      </c>
      <c r="V8" s="61">
        <f t="shared" si="1"/>
        <v>23.5</v>
      </c>
      <c r="W8" s="62">
        <f t="shared" si="2"/>
        <v>-20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5</v>
      </c>
      <c r="AY8" s="36" t="s">
        <v>147</v>
      </c>
      <c r="AZ8" s="47" t="s">
        <v>105</v>
      </c>
      <c r="BA8" s="48" t="s">
        <v>97</v>
      </c>
      <c r="BB8" s="48" t="s">
        <v>82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2</v>
      </c>
      <c r="C9" s="18">
        <f t="shared" si="4"/>
        <v>2</v>
      </c>
      <c r="D9" s="18">
        <f t="shared" si="5"/>
        <v>0</v>
      </c>
      <c r="E9" s="4" t="s">
        <v>137</v>
      </c>
      <c r="F9" s="8"/>
      <c r="G9" s="9"/>
      <c r="H9" s="9"/>
      <c r="I9" s="55"/>
      <c r="J9" s="21">
        <f t="shared" si="6"/>
        <v>31500</v>
      </c>
      <c r="K9" s="8" t="s">
        <v>142</v>
      </c>
      <c r="L9" s="9">
        <v>-8000</v>
      </c>
      <c r="M9" s="9"/>
      <c r="N9" s="55">
        <v>-2000</v>
      </c>
      <c r="O9" s="21">
        <f t="shared" si="7"/>
        <v>48500</v>
      </c>
      <c r="P9" s="8" t="s">
        <v>141</v>
      </c>
      <c r="Q9" s="9">
        <v>8000</v>
      </c>
      <c r="R9" s="9"/>
      <c r="S9" s="55">
        <v>2000</v>
      </c>
      <c r="T9" s="21">
        <f t="shared" si="8"/>
        <v>25000</v>
      </c>
      <c r="U9" s="60">
        <f t="shared" si="0"/>
        <v>-3.5</v>
      </c>
      <c r="V9" s="61">
        <f t="shared" si="1"/>
        <v>13.5</v>
      </c>
      <c r="W9" s="62">
        <f t="shared" si="2"/>
        <v>-10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4</v>
      </c>
      <c r="BT9" s="36">
        <v>30</v>
      </c>
      <c r="BU9" s="47" t="s">
        <v>143</v>
      </c>
      <c r="BV9" s="48" t="s">
        <v>84</v>
      </c>
      <c r="BW9" s="48" t="s">
        <v>82</v>
      </c>
      <c r="BX9" s="48" t="s">
        <v>80</v>
      </c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139</v>
      </c>
      <c r="F10" s="8" t="s">
        <v>141</v>
      </c>
      <c r="G10" s="9">
        <v>1300</v>
      </c>
      <c r="H10" s="9"/>
      <c r="I10" s="55">
        <v>0</v>
      </c>
      <c r="J10" s="21">
        <f t="shared" si="6"/>
        <v>32800</v>
      </c>
      <c r="K10" s="8" t="s">
        <v>142</v>
      </c>
      <c r="L10" s="9">
        <v>-1300</v>
      </c>
      <c r="M10" s="9"/>
      <c r="N10" s="55">
        <v>0</v>
      </c>
      <c r="O10" s="21">
        <f t="shared" si="7"/>
        <v>47200</v>
      </c>
      <c r="P10" s="8"/>
      <c r="Q10" s="9"/>
      <c r="R10" s="9"/>
      <c r="S10" s="55"/>
      <c r="T10" s="21">
        <f t="shared" si="8"/>
        <v>25000</v>
      </c>
      <c r="U10" s="60">
        <f t="shared" si="0"/>
        <v>-2.2000000000000002</v>
      </c>
      <c r="V10" s="61">
        <f t="shared" si="1"/>
        <v>12.2</v>
      </c>
      <c r="W10" s="62">
        <f t="shared" si="2"/>
        <v>-10</v>
      </c>
      <c r="Y10" s="8"/>
      <c r="Z10" s="41"/>
      <c r="AA10" s="32">
        <v>1</v>
      </c>
      <c r="AB10" s="32"/>
      <c r="AC10" s="32">
        <v>1</v>
      </c>
      <c r="AD10" s="36">
        <v>40</v>
      </c>
      <c r="AE10" s="47" t="s">
        <v>143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1</v>
      </c>
      <c r="C11" s="18">
        <f t="shared" si="4"/>
        <v>0</v>
      </c>
      <c r="D11" s="18">
        <f t="shared" si="5"/>
        <v>0</v>
      </c>
      <c r="E11" s="4" t="s">
        <v>135</v>
      </c>
      <c r="F11" s="8" t="s">
        <v>148</v>
      </c>
      <c r="G11" s="9">
        <v>-10000</v>
      </c>
      <c r="H11" s="9"/>
      <c r="I11" s="55">
        <v>0</v>
      </c>
      <c r="J11" s="21">
        <f t="shared" si="6"/>
        <v>22800</v>
      </c>
      <c r="K11" s="8" t="s">
        <v>149</v>
      </c>
      <c r="L11" s="9">
        <v>16000</v>
      </c>
      <c r="M11" s="9">
        <v>1000</v>
      </c>
      <c r="N11" s="55">
        <v>0</v>
      </c>
      <c r="O11" s="21">
        <f t="shared" si="7"/>
        <v>64200</v>
      </c>
      <c r="P11" s="8" t="s">
        <v>148</v>
      </c>
      <c r="Q11" s="9">
        <v>-6000</v>
      </c>
      <c r="R11" s="9">
        <v>-1000</v>
      </c>
      <c r="S11" s="55">
        <v>0</v>
      </c>
      <c r="T11" s="21">
        <f t="shared" si="8"/>
        <v>18000</v>
      </c>
      <c r="U11" s="60">
        <f t="shared" si="0"/>
        <v>-12.2</v>
      </c>
      <c r="V11" s="61">
        <f t="shared" si="1"/>
        <v>29.2</v>
      </c>
      <c r="W11" s="62">
        <f t="shared" si="2"/>
        <v>-17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10</v>
      </c>
      <c r="AY11" s="36" t="s">
        <v>147</v>
      </c>
      <c r="AZ11" s="47" t="s">
        <v>143</v>
      </c>
      <c r="BA11" s="48" t="s">
        <v>83</v>
      </c>
      <c r="BB11" s="48" t="s">
        <v>87</v>
      </c>
      <c r="BC11" s="48" t="s">
        <v>87</v>
      </c>
      <c r="BD11" s="48" t="s">
        <v>105</v>
      </c>
      <c r="BE11" s="48" t="s">
        <v>82</v>
      </c>
      <c r="BF11" s="48" t="s">
        <v>82</v>
      </c>
      <c r="BG11" s="48" t="s">
        <v>85</v>
      </c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0</v>
      </c>
      <c r="D12" s="18">
        <f t="shared" si="5"/>
        <v>0</v>
      </c>
      <c r="E12" s="4" t="s">
        <v>137</v>
      </c>
      <c r="F12" s="8"/>
      <c r="G12" s="9"/>
      <c r="H12" s="9">
        <v>-1000</v>
      </c>
      <c r="I12" s="55"/>
      <c r="J12" s="21">
        <f t="shared" si="6"/>
        <v>21800</v>
      </c>
      <c r="K12" s="8" t="s">
        <v>141</v>
      </c>
      <c r="L12" s="9">
        <v>12000</v>
      </c>
      <c r="M12" s="9">
        <v>1000</v>
      </c>
      <c r="N12" s="55">
        <v>0</v>
      </c>
      <c r="O12" s="21">
        <f t="shared" si="7"/>
        <v>77200</v>
      </c>
      <c r="P12" s="8" t="s">
        <v>142</v>
      </c>
      <c r="Q12" s="9">
        <v>-12000</v>
      </c>
      <c r="R12" s="9"/>
      <c r="S12" s="55">
        <v>0</v>
      </c>
      <c r="T12" s="21">
        <f t="shared" si="8"/>
        <v>6000</v>
      </c>
      <c r="U12" s="60">
        <f t="shared" si="0"/>
        <v>-13.2</v>
      </c>
      <c r="V12" s="61">
        <f t="shared" si="1"/>
        <v>42.2</v>
      </c>
      <c r="W12" s="62">
        <f t="shared" si="2"/>
        <v>-29</v>
      </c>
      <c r="Y12" s="8"/>
      <c r="Z12" s="41"/>
      <c r="AA12" s="32">
        <v>1</v>
      </c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5</v>
      </c>
      <c r="AY12" s="36" t="s">
        <v>147</v>
      </c>
      <c r="AZ12" s="47" t="s">
        <v>143</v>
      </c>
      <c r="BA12" s="48" t="s">
        <v>150</v>
      </c>
      <c r="BB12" s="48" t="s">
        <v>87</v>
      </c>
      <c r="BC12" s="48" t="s">
        <v>80</v>
      </c>
      <c r="BD12" s="48" t="s">
        <v>80</v>
      </c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2</v>
      </c>
      <c r="C13" s="18">
        <f t="shared" si="4"/>
        <v>1</v>
      </c>
      <c r="D13" s="18">
        <f t="shared" si="5"/>
        <v>0</v>
      </c>
      <c r="E13" s="4" t="s">
        <v>137</v>
      </c>
      <c r="F13" s="8" t="s">
        <v>149</v>
      </c>
      <c r="G13" s="9">
        <v>8000</v>
      </c>
      <c r="H13" s="9"/>
      <c r="I13" s="55">
        <v>1000</v>
      </c>
      <c r="J13" s="21">
        <f t="shared" si="6"/>
        <v>30800</v>
      </c>
      <c r="K13" s="8" t="s">
        <v>148</v>
      </c>
      <c r="L13" s="9">
        <v>-5000</v>
      </c>
      <c r="M13" s="9"/>
      <c r="N13" s="55">
        <v>-500</v>
      </c>
      <c r="O13" s="21">
        <f t="shared" si="7"/>
        <v>71700</v>
      </c>
      <c r="P13" s="8" t="s">
        <v>148</v>
      </c>
      <c r="Q13" s="9">
        <v>-3000</v>
      </c>
      <c r="R13" s="9"/>
      <c r="S13" s="55">
        <v>-500</v>
      </c>
      <c r="T13" s="21">
        <f t="shared" si="8"/>
        <v>2500</v>
      </c>
      <c r="U13" s="60">
        <f t="shared" si="0"/>
        <v>-4.2</v>
      </c>
      <c r="V13" s="61">
        <f t="shared" si="1"/>
        <v>36.700000000000003</v>
      </c>
      <c r="W13" s="62">
        <f t="shared" si="2"/>
        <v>-32.5</v>
      </c>
      <c r="Y13" s="8"/>
      <c r="Z13" s="41"/>
      <c r="AA13" s="32">
        <v>1</v>
      </c>
      <c r="AB13" s="32"/>
      <c r="AC13" s="32">
        <v>5</v>
      </c>
      <c r="AD13" s="36" t="s">
        <v>147</v>
      </c>
      <c r="AE13" s="47" t="s">
        <v>143</v>
      </c>
      <c r="AF13" s="48" t="s">
        <v>83</v>
      </c>
      <c r="AG13" s="48" t="s">
        <v>84</v>
      </c>
      <c r="AH13" s="48" t="s">
        <v>82</v>
      </c>
      <c r="AI13" s="48" t="s">
        <v>81</v>
      </c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9"/>
        <v>3</v>
      </c>
      <c r="C14" s="18">
        <f t="shared" si="4"/>
        <v>0</v>
      </c>
      <c r="D14" s="18">
        <f t="shared" si="5"/>
        <v>0</v>
      </c>
      <c r="E14" s="4" t="s">
        <v>139</v>
      </c>
      <c r="F14" s="8" t="s">
        <v>149</v>
      </c>
      <c r="G14" s="9">
        <v>8000</v>
      </c>
      <c r="H14" s="9">
        <v>1000</v>
      </c>
      <c r="I14" s="55">
        <v>0</v>
      </c>
      <c r="J14" s="21">
        <f t="shared" si="6"/>
        <v>39800</v>
      </c>
      <c r="K14" s="8" t="s">
        <v>148</v>
      </c>
      <c r="L14" s="9">
        <v>-3000</v>
      </c>
      <c r="M14" s="9">
        <v>-1000</v>
      </c>
      <c r="N14" s="55">
        <v>0</v>
      </c>
      <c r="O14" s="21">
        <f t="shared" si="7"/>
        <v>67700</v>
      </c>
      <c r="P14" s="8" t="s">
        <v>148</v>
      </c>
      <c r="Q14" s="9">
        <v>-5000</v>
      </c>
      <c r="R14" s="9"/>
      <c r="S14" s="55">
        <v>0</v>
      </c>
      <c r="T14" s="21">
        <f t="shared" si="8"/>
        <v>-2500</v>
      </c>
      <c r="U14" s="60">
        <f t="shared" si="0"/>
        <v>4.8</v>
      </c>
      <c r="V14" s="61">
        <f t="shared" si="1"/>
        <v>32.700000000000003</v>
      </c>
      <c r="W14" s="62">
        <f t="shared" si="2"/>
        <v>-37.5</v>
      </c>
      <c r="Y14" s="8"/>
      <c r="Z14" s="41"/>
      <c r="AA14" s="32">
        <v>1</v>
      </c>
      <c r="AB14" s="32"/>
      <c r="AC14" s="32">
        <v>5</v>
      </c>
      <c r="AD14" s="36" t="s">
        <v>147</v>
      </c>
      <c r="AE14" s="47" t="s">
        <v>143</v>
      </c>
      <c r="AF14" s="48" t="s">
        <v>83</v>
      </c>
      <c r="AG14" s="48" t="s">
        <v>84</v>
      </c>
      <c r="AH14" s="48" t="s">
        <v>82</v>
      </c>
      <c r="AI14" s="48" t="s">
        <v>82</v>
      </c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>
        <v>1</v>
      </c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>
        <v>1</v>
      </c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allowBlank="1" showInputMessage="1" showErrorMessage="1" sqref="E4:E30" xr:uid="{2A566AD8-05FE-452B-931B-295B56FFC148}">
      <formula1>$U$2:$W$2</formula1>
    </dataValidation>
    <dataValidation type="list" showInputMessage="1" showErrorMessage="1" sqref="K4:K30 P4:P30 F4:F30" xr:uid="{294FF321-DE6C-48AA-AE5B-7EDDE14C175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CEF02-FE16-44F2-8790-97969F674E0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まっつん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148</v>
      </c>
      <c r="G4" s="9">
        <v>-5000</v>
      </c>
      <c r="H4" s="9">
        <v>-1000</v>
      </c>
      <c r="I4" s="55">
        <v>0</v>
      </c>
      <c r="J4" s="21">
        <f>IF(COUNTA($F4,$K4,$P4)&gt;0,J3+SUM(G4:I4),"")</f>
        <v>29000</v>
      </c>
      <c r="K4" s="8" t="s">
        <v>148</v>
      </c>
      <c r="L4" s="9">
        <v>-3000</v>
      </c>
      <c r="M4" s="9"/>
      <c r="N4" s="55">
        <v>0</v>
      </c>
      <c r="O4" s="21">
        <f>IF(COUNTA($F4,$K4,$P4)&gt;0,O3+SUM(L4:N4),"")</f>
        <v>32000</v>
      </c>
      <c r="P4" s="8" t="s">
        <v>149</v>
      </c>
      <c r="Q4" s="9">
        <v>8000</v>
      </c>
      <c r="R4" s="9">
        <v>1000</v>
      </c>
      <c r="S4" s="55">
        <v>0</v>
      </c>
      <c r="T4" s="21">
        <f>IF(COUNTA($F4,$K4,$P4)&gt;0,T3+SUM(Q4:S4),"")</f>
        <v>44000</v>
      </c>
      <c r="U4" s="60">
        <f t="shared" ref="U4:U30" si="0">IF($J4="","",ROUND(($J4-$J$3)/1000,1))</f>
        <v>-6</v>
      </c>
      <c r="V4" s="61">
        <f t="shared" ref="V4:V30" si="1">IF($O4="","",ROUND(($O4-$O$3)/1000,1))</f>
        <v>-3</v>
      </c>
      <c r="W4" s="62">
        <f t="shared" ref="W4:W30" si="2">IF($T4="","",ROUND(($T4-$T$3)/1000,1))</f>
        <v>9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5</v>
      </c>
      <c r="BT4" s="36" t="s">
        <v>147</v>
      </c>
      <c r="BU4" s="47" t="s">
        <v>143</v>
      </c>
      <c r="BV4" s="48" t="s">
        <v>83</v>
      </c>
      <c r="BW4" s="48" t="s">
        <v>82</v>
      </c>
      <c r="BX4" s="48" t="s">
        <v>81</v>
      </c>
      <c r="BY4" s="48" t="s">
        <v>81</v>
      </c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148</v>
      </c>
      <c r="G5" s="9">
        <v>-12000</v>
      </c>
      <c r="H5" s="9"/>
      <c r="I5" s="55">
        <v>0</v>
      </c>
      <c r="J5" s="21">
        <f t="shared" ref="J5:J30" si="6">IF(COUNTA($F5,$K5,$P5)&gt;0,J4+SUM(G5:I5),"")</f>
        <v>17000</v>
      </c>
      <c r="K5" s="8" t="s">
        <v>149</v>
      </c>
      <c r="L5" s="9">
        <v>24000</v>
      </c>
      <c r="M5" s="9"/>
      <c r="N5" s="55">
        <v>0</v>
      </c>
      <c r="O5" s="21">
        <f t="shared" ref="O5:O30" si="7">IF(COUNTA($F5,$K5,$P5)&gt;0,O4+SUM(L5:N5),"")</f>
        <v>56000</v>
      </c>
      <c r="P5" s="8" t="s">
        <v>148</v>
      </c>
      <c r="Q5" s="9">
        <v>-12000</v>
      </c>
      <c r="R5" s="9"/>
      <c r="S5" s="55">
        <v>0</v>
      </c>
      <c r="T5" s="21">
        <f t="shared" ref="T5:T30" si="8">IF(COUNTA($F5,$K5,$P5)&gt;0,T4+SUM(Q5:S5),"")</f>
        <v>32000</v>
      </c>
      <c r="U5" s="60">
        <f t="shared" si="0"/>
        <v>-18</v>
      </c>
      <c r="V5" s="61">
        <f t="shared" si="1"/>
        <v>21</v>
      </c>
      <c r="W5" s="62">
        <f t="shared" si="2"/>
        <v>-3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10</v>
      </c>
      <c r="AY5" s="36" t="s">
        <v>147</v>
      </c>
      <c r="AZ5" s="47" t="s">
        <v>143</v>
      </c>
      <c r="BA5" s="48" t="s">
        <v>83</v>
      </c>
      <c r="BB5" s="48" t="s">
        <v>97</v>
      </c>
      <c r="BC5" s="48" t="s">
        <v>87</v>
      </c>
      <c r="BD5" s="48" t="s">
        <v>82</v>
      </c>
      <c r="BE5" s="48" t="s">
        <v>80</v>
      </c>
      <c r="BF5" s="48" t="s">
        <v>80</v>
      </c>
      <c r="BG5" s="48" t="s">
        <v>80</v>
      </c>
      <c r="BH5" s="48" t="s">
        <v>87</v>
      </c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137</v>
      </c>
      <c r="F6" s="8"/>
      <c r="G6" s="9"/>
      <c r="H6" s="9"/>
      <c r="I6" s="55"/>
      <c r="J6" s="21">
        <f t="shared" si="6"/>
        <v>17000</v>
      </c>
      <c r="K6" s="8" t="s">
        <v>141</v>
      </c>
      <c r="L6" s="9">
        <v>12000</v>
      </c>
      <c r="M6" s="9"/>
      <c r="N6" s="55">
        <v>1000</v>
      </c>
      <c r="O6" s="21">
        <f t="shared" si="7"/>
        <v>69000</v>
      </c>
      <c r="P6" s="8" t="s">
        <v>142</v>
      </c>
      <c r="Q6" s="9">
        <v>-12000</v>
      </c>
      <c r="R6" s="9"/>
      <c r="S6" s="55">
        <v>-1000</v>
      </c>
      <c r="T6" s="21">
        <f t="shared" si="8"/>
        <v>19000</v>
      </c>
      <c r="U6" s="60">
        <f t="shared" si="0"/>
        <v>-18</v>
      </c>
      <c r="V6" s="61">
        <f t="shared" si="1"/>
        <v>34</v>
      </c>
      <c r="W6" s="62">
        <f t="shared" si="2"/>
        <v>-16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4</v>
      </c>
      <c r="AY6" s="36">
        <v>40</v>
      </c>
      <c r="AZ6" s="47" t="s">
        <v>143</v>
      </c>
      <c r="BA6" s="48" t="s">
        <v>150</v>
      </c>
      <c r="BB6" s="48" t="s">
        <v>81</v>
      </c>
      <c r="BC6" s="48" t="s">
        <v>80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2</v>
      </c>
      <c r="D7" s="18">
        <f t="shared" si="5"/>
        <v>0</v>
      </c>
      <c r="E7" s="4" t="s">
        <v>137</v>
      </c>
      <c r="F7" s="8" t="s">
        <v>148</v>
      </c>
      <c r="G7" s="9">
        <v>-2400</v>
      </c>
      <c r="H7" s="9"/>
      <c r="I7" s="55">
        <v>-1000</v>
      </c>
      <c r="J7" s="21">
        <f t="shared" si="6"/>
        <v>13600</v>
      </c>
      <c r="K7" s="8" t="s">
        <v>148</v>
      </c>
      <c r="L7" s="9">
        <v>-4000</v>
      </c>
      <c r="M7" s="9"/>
      <c r="N7" s="55">
        <v>-1000</v>
      </c>
      <c r="O7" s="21">
        <f t="shared" si="7"/>
        <v>64000</v>
      </c>
      <c r="P7" s="8" t="s">
        <v>149</v>
      </c>
      <c r="Q7" s="9">
        <v>6400</v>
      </c>
      <c r="R7" s="9"/>
      <c r="S7" s="55">
        <v>2000</v>
      </c>
      <c r="T7" s="21">
        <f t="shared" si="8"/>
        <v>27400</v>
      </c>
      <c r="U7" s="60">
        <f t="shared" si="0"/>
        <v>-21.4</v>
      </c>
      <c r="V7" s="61">
        <f t="shared" si="1"/>
        <v>29</v>
      </c>
      <c r="W7" s="62">
        <f t="shared" si="2"/>
        <v>-7.6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4</v>
      </c>
      <c r="BT7" s="36">
        <v>25</v>
      </c>
      <c r="BU7" s="47" t="s">
        <v>143</v>
      </c>
      <c r="BV7" s="48" t="s">
        <v>83</v>
      </c>
      <c r="BW7" s="48" t="s">
        <v>102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0</v>
      </c>
      <c r="D8" s="18">
        <f t="shared" si="5"/>
        <v>0</v>
      </c>
      <c r="E8" s="4" t="s">
        <v>139</v>
      </c>
      <c r="F8" s="8" t="s">
        <v>141</v>
      </c>
      <c r="G8" s="9">
        <v>8000</v>
      </c>
      <c r="H8" s="9">
        <v>1000</v>
      </c>
      <c r="I8" s="55">
        <v>0</v>
      </c>
      <c r="J8" s="21">
        <f t="shared" si="6"/>
        <v>22600</v>
      </c>
      <c r="K8" s="8"/>
      <c r="L8" s="9"/>
      <c r="M8" s="9">
        <v>-1000</v>
      </c>
      <c r="N8" s="55"/>
      <c r="O8" s="21">
        <f t="shared" si="7"/>
        <v>63000</v>
      </c>
      <c r="P8" s="8" t="s">
        <v>142</v>
      </c>
      <c r="Q8" s="9">
        <v>-8000</v>
      </c>
      <c r="R8" s="9"/>
      <c r="S8" s="55">
        <v>0</v>
      </c>
      <c r="T8" s="21">
        <f t="shared" si="8"/>
        <v>19400</v>
      </c>
      <c r="U8" s="60">
        <f t="shared" si="0"/>
        <v>-12.4</v>
      </c>
      <c r="V8" s="61">
        <f t="shared" si="1"/>
        <v>28</v>
      </c>
      <c r="W8" s="62">
        <f t="shared" si="2"/>
        <v>-15.6</v>
      </c>
      <c r="Y8" s="8"/>
      <c r="Z8" s="41"/>
      <c r="AA8" s="32"/>
      <c r="AB8" s="32">
        <v>1</v>
      </c>
      <c r="AC8" s="32">
        <v>4</v>
      </c>
      <c r="AD8" s="36">
        <v>30</v>
      </c>
      <c r="AE8" s="47" t="s">
        <v>87</v>
      </c>
      <c r="AF8" s="48" t="s">
        <v>82</v>
      </c>
      <c r="AG8" s="48" t="s">
        <v>105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135</v>
      </c>
      <c r="F9" s="8" t="s">
        <v>149</v>
      </c>
      <c r="G9" s="9">
        <v>3000</v>
      </c>
      <c r="H9" s="9"/>
      <c r="I9" s="55">
        <v>0</v>
      </c>
      <c r="J9" s="21">
        <f t="shared" si="6"/>
        <v>25600</v>
      </c>
      <c r="K9" s="8" t="s">
        <v>148</v>
      </c>
      <c r="L9" s="9">
        <v>-1500</v>
      </c>
      <c r="M9" s="9"/>
      <c r="N9" s="55">
        <v>0</v>
      </c>
      <c r="O9" s="21">
        <f t="shared" si="7"/>
        <v>61500</v>
      </c>
      <c r="P9" s="8" t="s">
        <v>148</v>
      </c>
      <c r="Q9" s="9">
        <v>-1500</v>
      </c>
      <c r="R9" s="9"/>
      <c r="S9" s="55">
        <v>0</v>
      </c>
      <c r="T9" s="21">
        <f t="shared" si="8"/>
        <v>17900</v>
      </c>
      <c r="U9" s="60">
        <f t="shared" si="0"/>
        <v>-9.4</v>
      </c>
      <c r="V9" s="61">
        <f t="shared" si="1"/>
        <v>26.5</v>
      </c>
      <c r="W9" s="62">
        <f t="shared" si="2"/>
        <v>-17.100000000000001</v>
      </c>
      <c r="Y9" s="8"/>
      <c r="Z9" s="41"/>
      <c r="AA9" s="32"/>
      <c r="AB9" s="32"/>
      <c r="AC9" s="32">
        <v>2</v>
      </c>
      <c r="AD9" s="36">
        <v>30</v>
      </c>
      <c r="AE9" s="47" t="s">
        <v>83</v>
      </c>
      <c r="AF9" s="48" t="s">
        <v>82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1</v>
      </c>
      <c r="D10" s="18">
        <f t="shared" si="5"/>
        <v>0</v>
      </c>
      <c r="E10" s="4" t="s">
        <v>135</v>
      </c>
      <c r="F10" s="8"/>
      <c r="G10" s="9"/>
      <c r="H10" s="9"/>
      <c r="I10" s="55"/>
      <c r="J10" s="21">
        <f t="shared" si="6"/>
        <v>25600</v>
      </c>
      <c r="K10" s="8" t="s">
        <v>142</v>
      </c>
      <c r="L10" s="9">
        <v>-5200</v>
      </c>
      <c r="M10" s="9"/>
      <c r="N10" s="55">
        <v>-1000</v>
      </c>
      <c r="O10" s="21">
        <f t="shared" si="7"/>
        <v>55300</v>
      </c>
      <c r="P10" s="8" t="s">
        <v>141</v>
      </c>
      <c r="Q10" s="9">
        <v>5200</v>
      </c>
      <c r="R10" s="9"/>
      <c r="S10" s="55">
        <v>1000</v>
      </c>
      <c r="T10" s="21">
        <f t="shared" si="8"/>
        <v>24100</v>
      </c>
      <c r="U10" s="60">
        <f t="shared" si="0"/>
        <v>-9.4</v>
      </c>
      <c r="V10" s="61">
        <f t="shared" si="1"/>
        <v>20.3</v>
      </c>
      <c r="W10" s="62">
        <f t="shared" si="2"/>
        <v>-10.9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3</v>
      </c>
      <c r="BT10" s="36">
        <v>40</v>
      </c>
      <c r="BU10" s="47" t="s">
        <v>143</v>
      </c>
      <c r="BV10" s="48" t="s">
        <v>82</v>
      </c>
      <c r="BW10" s="48" t="s">
        <v>81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0</v>
      </c>
      <c r="D11" s="18">
        <f t="shared" si="5"/>
        <v>0</v>
      </c>
      <c r="E11" s="4" t="s">
        <v>137</v>
      </c>
      <c r="F11" s="8" t="s">
        <v>151</v>
      </c>
      <c r="G11" s="9">
        <v>1500</v>
      </c>
      <c r="H11" s="9"/>
      <c r="I11" s="55"/>
      <c r="J11" s="21">
        <f t="shared" si="6"/>
        <v>27100</v>
      </c>
      <c r="K11" s="8" t="s">
        <v>151</v>
      </c>
      <c r="L11" s="9">
        <v>-3000</v>
      </c>
      <c r="M11" s="9"/>
      <c r="N11" s="55"/>
      <c r="O11" s="21">
        <f t="shared" si="7"/>
        <v>52300</v>
      </c>
      <c r="P11" s="8" t="s">
        <v>151</v>
      </c>
      <c r="Q11" s="9">
        <v>1500</v>
      </c>
      <c r="R11" s="9"/>
      <c r="S11" s="55"/>
      <c r="T11" s="21">
        <f t="shared" si="8"/>
        <v>25600</v>
      </c>
      <c r="U11" s="60">
        <f t="shared" si="0"/>
        <v>-7.9</v>
      </c>
      <c r="V11" s="61">
        <f t="shared" si="1"/>
        <v>17.3</v>
      </c>
      <c r="W11" s="62">
        <f t="shared" si="2"/>
        <v>-9.4</v>
      </c>
      <c r="Y11" s="8" t="s">
        <v>145</v>
      </c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144</v>
      </c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145</v>
      </c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139</v>
      </c>
      <c r="F12" s="8" t="s">
        <v>141</v>
      </c>
      <c r="G12" s="9">
        <v>12000</v>
      </c>
      <c r="H12" s="9"/>
      <c r="I12" s="55">
        <v>0</v>
      </c>
      <c r="J12" s="21">
        <f t="shared" si="6"/>
        <v>39100</v>
      </c>
      <c r="K12" s="8" t="s">
        <v>142</v>
      </c>
      <c r="L12" s="9">
        <v>-12000</v>
      </c>
      <c r="M12" s="9"/>
      <c r="N12" s="55">
        <v>0</v>
      </c>
      <c r="O12" s="21">
        <f t="shared" si="7"/>
        <v>40300</v>
      </c>
      <c r="P12" s="8"/>
      <c r="Q12" s="9"/>
      <c r="R12" s="9"/>
      <c r="S12" s="55"/>
      <c r="T12" s="21">
        <f t="shared" si="8"/>
        <v>25600</v>
      </c>
      <c r="U12" s="60">
        <f t="shared" si="0"/>
        <v>4.0999999999999996</v>
      </c>
      <c r="V12" s="61">
        <f t="shared" si="1"/>
        <v>5.3</v>
      </c>
      <c r="W12" s="62">
        <f t="shared" si="2"/>
        <v>-9.4</v>
      </c>
      <c r="Y12" s="8"/>
      <c r="Z12" s="41"/>
      <c r="AA12" s="32"/>
      <c r="AB12" s="32">
        <v>1</v>
      </c>
      <c r="AC12" s="32">
        <v>6</v>
      </c>
      <c r="AD12" s="36" t="s">
        <v>147</v>
      </c>
      <c r="AE12" s="47" t="s">
        <v>105</v>
      </c>
      <c r="AF12" s="48" t="s">
        <v>87</v>
      </c>
      <c r="AG12" s="48" t="s">
        <v>87</v>
      </c>
      <c r="AH12" s="48" t="s">
        <v>87</v>
      </c>
      <c r="AI12" s="48" t="s">
        <v>82</v>
      </c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FCBA41EB-B0D3-400C-8276-57A53A83F753}">
      <formula1>"ロン,ツモ,放銃,ツモ支払,流局,チョンボ"</formula1>
    </dataValidation>
    <dataValidation type="list" allowBlank="1" showInputMessage="1" showErrorMessage="1" sqref="E4:E30" xr:uid="{6CEE5A19-733F-4649-A084-EF306B4F776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DAB7-DC07-42B8-B5B1-D2D451342AC9}">
  <sheetPr codeName="Sheet12">
    <pageSetUpPr fitToPage="1"/>
  </sheetPr>
  <dimension ref="A1:CI30"/>
  <sheetViews>
    <sheetView tabSelected="1" zoomScaleNormal="100" workbookViewId="0">
      <selection activeCell="M11" sqref="M11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153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142</v>
      </c>
      <c r="G4" s="9">
        <v>-18000</v>
      </c>
      <c r="H4" s="9"/>
      <c r="I4" s="55">
        <v>0</v>
      </c>
      <c r="J4" s="21">
        <f>IF(COUNTA($F4,$K4,$P4)&gt;0,J3+SUM(G4:I4),"")</f>
        <v>17000</v>
      </c>
      <c r="K4" s="8"/>
      <c r="L4" s="9"/>
      <c r="M4" s="9"/>
      <c r="N4" s="55"/>
      <c r="O4" s="21">
        <f>IF(COUNTA($F4,$K4,$P4)&gt;0,O3+SUM(L4:N4),"")</f>
        <v>35000</v>
      </c>
      <c r="P4" s="8" t="s">
        <v>141</v>
      </c>
      <c r="Q4" s="9">
        <v>18000</v>
      </c>
      <c r="R4" s="9"/>
      <c r="S4" s="55">
        <v>0</v>
      </c>
      <c r="T4" s="21">
        <f>IF(COUNTA($F4,$K4,$P4)&gt;0,T3+SUM(Q4:S4),"")</f>
        <v>53000</v>
      </c>
      <c r="U4" s="60">
        <f t="shared" ref="U4:U30" si="0">IF($J4="","",ROUND(($J4-$J$3)/1000,1))</f>
        <v>-18</v>
      </c>
      <c r="V4" s="61">
        <f t="shared" ref="V4:V30" si="1">IF($O4="","",ROUND(($O4-$O$3)/1000,1))</f>
        <v>0</v>
      </c>
      <c r="W4" s="62">
        <f t="shared" ref="W4:W30" si="2">IF($T4="","",ROUND(($T4-$T$3)/1000,1))</f>
        <v>18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6</v>
      </c>
      <c r="BT4" s="36" t="s">
        <v>147</v>
      </c>
      <c r="BU4" s="47" t="s">
        <v>143</v>
      </c>
      <c r="BV4" s="48" t="s">
        <v>87</v>
      </c>
      <c r="BW4" s="48" t="s">
        <v>82</v>
      </c>
      <c r="BX4" s="48" t="s">
        <v>82</v>
      </c>
      <c r="BY4" s="48" t="s">
        <v>80</v>
      </c>
      <c r="BZ4" s="48" t="s">
        <v>81</v>
      </c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148</v>
      </c>
      <c r="G5" s="9">
        <v>-9000</v>
      </c>
      <c r="H5" s="9"/>
      <c r="I5" s="55">
        <v>-500</v>
      </c>
      <c r="J5" s="21">
        <f t="shared" ref="J5:J30" si="6">IF(COUNTA($F5,$K5,$P5)&gt;0,J4+SUM(G5:I5),"")</f>
        <v>7500</v>
      </c>
      <c r="K5" s="8" t="s">
        <v>149</v>
      </c>
      <c r="L5" s="9">
        <v>24000</v>
      </c>
      <c r="M5" s="9"/>
      <c r="N5" s="55">
        <v>1000</v>
      </c>
      <c r="O5" s="21">
        <f t="shared" ref="O5:O30" si="7">IF(COUNTA($F5,$K5,$P5)&gt;0,O4+SUM(L5:N5),"")</f>
        <v>60000</v>
      </c>
      <c r="P5" s="8" t="s">
        <v>148</v>
      </c>
      <c r="Q5" s="9">
        <v>-15000</v>
      </c>
      <c r="R5" s="9"/>
      <c r="S5" s="55">
        <v>-500</v>
      </c>
      <c r="T5" s="21">
        <f t="shared" ref="T5:T30" si="8">IF(COUNTA($F5,$K5,$P5)&gt;0,T4+SUM(Q5:S5),"")</f>
        <v>37500</v>
      </c>
      <c r="U5" s="60">
        <f t="shared" si="0"/>
        <v>-27.5</v>
      </c>
      <c r="V5" s="61">
        <f t="shared" si="1"/>
        <v>25</v>
      </c>
      <c r="W5" s="62">
        <f t="shared" si="2"/>
        <v>2.5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11</v>
      </c>
      <c r="AY5" s="36" t="s">
        <v>147</v>
      </c>
      <c r="AZ5" s="47" t="s">
        <v>143</v>
      </c>
      <c r="BA5" s="48" t="s">
        <v>83</v>
      </c>
      <c r="BB5" s="48" t="s">
        <v>80</v>
      </c>
      <c r="BC5" s="48" t="s">
        <v>81</v>
      </c>
      <c r="BD5" s="48" t="s">
        <v>81</v>
      </c>
      <c r="BE5" s="48" t="s">
        <v>81</v>
      </c>
      <c r="BF5" s="48" t="s">
        <v>82</v>
      </c>
      <c r="BG5" s="48" t="s">
        <v>82</v>
      </c>
      <c r="BH5" s="48" t="s">
        <v>82</v>
      </c>
      <c r="BI5" s="48" t="s">
        <v>84</v>
      </c>
      <c r="BJ5" s="48" t="s">
        <v>81</v>
      </c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135</v>
      </c>
      <c r="F6" s="8"/>
      <c r="G6" s="9"/>
      <c r="H6" s="9">
        <v>-1000</v>
      </c>
      <c r="I6" s="55"/>
      <c r="J6" s="21">
        <f t="shared" si="6"/>
        <v>6500</v>
      </c>
      <c r="K6" s="8" t="s">
        <v>142</v>
      </c>
      <c r="L6" s="9">
        <v>-8000</v>
      </c>
      <c r="M6" s="9">
        <v>-1000</v>
      </c>
      <c r="N6" s="55">
        <v>0</v>
      </c>
      <c r="O6" s="21">
        <f t="shared" si="7"/>
        <v>51000</v>
      </c>
      <c r="P6" s="8" t="s">
        <v>141</v>
      </c>
      <c r="Q6" s="9">
        <v>8000</v>
      </c>
      <c r="R6" s="9">
        <v>2000</v>
      </c>
      <c r="S6" s="55">
        <v>0</v>
      </c>
      <c r="T6" s="21">
        <f t="shared" si="8"/>
        <v>47500</v>
      </c>
      <c r="U6" s="60">
        <f t="shared" si="0"/>
        <v>-28.5</v>
      </c>
      <c r="V6" s="61">
        <f t="shared" si="1"/>
        <v>16</v>
      </c>
      <c r="W6" s="62">
        <f t="shared" si="2"/>
        <v>12.5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4</v>
      </c>
      <c r="BT6" s="36">
        <v>30</v>
      </c>
      <c r="BU6" s="47" t="s">
        <v>87</v>
      </c>
      <c r="BV6" s="48" t="s">
        <v>87</v>
      </c>
      <c r="BW6" s="48" t="s">
        <v>82</v>
      </c>
      <c r="BX6" s="48" t="s">
        <v>82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152</v>
      </c>
      <c r="F7" s="8" t="s">
        <v>148</v>
      </c>
      <c r="G7" s="9">
        <v>-1500</v>
      </c>
      <c r="H7" s="9"/>
      <c r="I7" s="55">
        <v>0</v>
      </c>
      <c r="J7" s="21">
        <f t="shared" si="6"/>
        <v>5000</v>
      </c>
      <c r="K7" s="8" t="s">
        <v>149</v>
      </c>
      <c r="L7" s="9">
        <v>3000</v>
      </c>
      <c r="M7" s="9">
        <v>1000</v>
      </c>
      <c r="N7" s="55">
        <v>0</v>
      </c>
      <c r="O7" s="21">
        <f t="shared" si="7"/>
        <v>55000</v>
      </c>
      <c r="P7" s="8" t="s">
        <v>148</v>
      </c>
      <c r="Q7" s="9">
        <v>-1500</v>
      </c>
      <c r="R7" s="9">
        <v>-1000</v>
      </c>
      <c r="S7" s="55">
        <v>0</v>
      </c>
      <c r="T7" s="21">
        <f t="shared" si="8"/>
        <v>45000</v>
      </c>
      <c r="U7" s="60">
        <f t="shared" si="0"/>
        <v>-30</v>
      </c>
      <c r="V7" s="61">
        <f t="shared" si="1"/>
        <v>20</v>
      </c>
      <c r="W7" s="62">
        <f t="shared" si="2"/>
        <v>10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2</v>
      </c>
      <c r="AY7" s="36">
        <v>30</v>
      </c>
      <c r="AZ7" s="47" t="s">
        <v>143</v>
      </c>
      <c r="BA7" s="48" t="s">
        <v>83</v>
      </c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1</v>
      </c>
      <c r="D8" s="18">
        <f t="shared" si="5"/>
        <v>0</v>
      </c>
      <c r="E8" s="4" t="s">
        <v>152</v>
      </c>
      <c r="F8" s="8" t="s">
        <v>141</v>
      </c>
      <c r="G8" s="9">
        <v>12000</v>
      </c>
      <c r="H8" s="9"/>
      <c r="I8" s="55">
        <v>1000</v>
      </c>
      <c r="J8" s="21">
        <f t="shared" si="6"/>
        <v>18000</v>
      </c>
      <c r="K8" s="8"/>
      <c r="L8" s="9"/>
      <c r="M8" s="9"/>
      <c r="N8" s="55"/>
      <c r="O8" s="21">
        <f t="shared" si="7"/>
        <v>55000</v>
      </c>
      <c r="P8" s="8" t="s">
        <v>142</v>
      </c>
      <c r="Q8" s="9">
        <v>-12000</v>
      </c>
      <c r="R8" s="9"/>
      <c r="S8" s="55">
        <v>-1000</v>
      </c>
      <c r="T8" s="21">
        <f t="shared" si="8"/>
        <v>32000</v>
      </c>
      <c r="U8" s="60">
        <f t="shared" si="0"/>
        <v>-17</v>
      </c>
      <c r="V8" s="61">
        <f t="shared" si="1"/>
        <v>20</v>
      </c>
      <c r="W8" s="62">
        <f t="shared" si="2"/>
        <v>-3</v>
      </c>
      <c r="Y8" s="8"/>
      <c r="Z8" s="41"/>
      <c r="AA8" s="32"/>
      <c r="AB8" s="32">
        <v>1</v>
      </c>
      <c r="AC8" s="32">
        <v>6</v>
      </c>
      <c r="AD8" s="36" t="s">
        <v>147</v>
      </c>
      <c r="AE8" s="47" t="s">
        <v>105</v>
      </c>
      <c r="AF8" s="48" t="s">
        <v>99</v>
      </c>
      <c r="AG8" s="48" t="s">
        <v>87</v>
      </c>
      <c r="AH8" s="48" t="s">
        <v>87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139</v>
      </c>
      <c r="F9" s="8" t="s">
        <v>149</v>
      </c>
      <c r="G9" s="9">
        <v>8000</v>
      </c>
      <c r="H9" s="9"/>
      <c r="I9" s="55">
        <v>0</v>
      </c>
      <c r="J9" s="21">
        <f t="shared" si="6"/>
        <v>26000</v>
      </c>
      <c r="K9" s="8" t="s">
        <v>148</v>
      </c>
      <c r="L9" s="9">
        <v>-3000</v>
      </c>
      <c r="M9" s="9"/>
      <c r="N9" s="55">
        <v>0</v>
      </c>
      <c r="O9" s="21">
        <f t="shared" si="7"/>
        <v>52000</v>
      </c>
      <c r="P9" s="8" t="s">
        <v>148</v>
      </c>
      <c r="Q9" s="9">
        <v>-5000</v>
      </c>
      <c r="R9" s="9"/>
      <c r="S9" s="55">
        <v>0</v>
      </c>
      <c r="T9" s="21">
        <f t="shared" si="8"/>
        <v>27000</v>
      </c>
      <c r="U9" s="60">
        <f t="shared" si="0"/>
        <v>-9</v>
      </c>
      <c r="V9" s="61">
        <f t="shared" si="1"/>
        <v>17</v>
      </c>
      <c r="W9" s="62">
        <f t="shared" si="2"/>
        <v>-8</v>
      </c>
      <c r="Y9" s="8"/>
      <c r="Z9" s="41"/>
      <c r="AA9" s="32">
        <v>1</v>
      </c>
      <c r="AB9" s="32"/>
      <c r="AC9" s="32">
        <v>5</v>
      </c>
      <c r="AD9" s="36" t="s">
        <v>147</v>
      </c>
      <c r="AE9" s="47" t="s">
        <v>143</v>
      </c>
      <c r="AF9" s="48" t="s">
        <v>83</v>
      </c>
      <c r="AG9" s="48" t="s">
        <v>82</v>
      </c>
      <c r="AH9" s="48" t="s">
        <v>80</v>
      </c>
      <c r="AI9" s="48" t="s">
        <v>80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135</v>
      </c>
      <c r="F10" s="8"/>
      <c r="G10" s="9"/>
      <c r="H10" s="9"/>
      <c r="I10" s="55"/>
      <c r="J10" s="21">
        <f t="shared" si="6"/>
        <v>26000</v>
      </c>
      <c r="K10" s="8" t="s">
        <v>142</v>
      </c>
      <c r="L10" s="9">
        <v>-8000</v>
      </c>
      <c r="M10" s="9"/>
      <c r="N10" s="55">
        <v>0</v>
      </c>
      <c r="O10" s="21">
        <f t="shared" si="7"/>
        <v>44000</v>
      </c>
      <c r="P10" s="8" t="s">
        <v>141</v>
      </c>
      <c r="Q10" s="9">
        <v>8000</v>
      </c>
      <c r="R10" s="9"/>
      <c r="S10" s="55">
        <v>0</v>
      </c>
      <c r="T10" s="21">
        <f t="shared" si="8"/>
        <v>35000</v>
      </c>
      <c r="U10" s="60">
        <f t="shared" si="0"/>
        <v>-9</v>
      </c>
      <c r="V10" s="61">
        <f t="shared" si="1"/>
        <v>9</v>
      </c>
      <c r="W10" s="62">
        <f t="shared" si="2"/>
        <v>0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5</v>
      </c>
      <c r="BT10" s="36" t="s">
        <v>147</v>
      </c>
      <c r="BU10" s="47" t="s">
        <v>143</v>
      </c>
      <c r="BV10" s="48" t="s">
        <v>82</v>
      </c>
      <c r="BW10" s="48" t="s">
        <v>82</v>
      </c>
      <c r="BX10" s="48" t="s">
        <v>80</v>
      </c>
      <c r="BY10" s="48" t="s">
        <v>80</v>
      </c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0</v>
      </c>
      <c r="D11" s="18">
        <f t="shared" si="5"/>
        <v>0</v>
      </c>
      <c r="E11" s="4" t="s">
        <v>152</v>
      </c>
      <c r="F11" s="8" t="s">
        <v>151</v>
      </c>
      <c r="G11" s="9">
        <v>-3000</v>
      </c>
      <c r="H11" s="9"/>
      <c r="I11" s="55"/>
      <c r="J11" s="21">
        <f t="shared" si="6"/>
        <v>23000</v>
      </c>
      <c r="K11" s="8" t="s">
        <v>151</v>
      </c>
      <c r="L11" s="9">
        <v>1500</v>
      </c>
      <c r="M11" s="9">
        <v>1000</v>
      </c>
      <c r="N11" s="55"/>
      <c r="O11" s="21">
        <f t="shared" si="7"/>
        <v>46500</v>
      </c>
      <c r="P11" s="8" t="s">
        <v>151</v>
      </c>
      <c r="Q11" s="9">
        <v>1500</v>
      </c>
      <c r="R11" s="9">
        <v>-1000</v>
      </c>
      <c r="S11" s="55"/>
      <c r="T11" s="21">
        <f t="shared" si="8"/>
        <v>35500</v>
      </c>
      <c r="U11" s="60">
        <f t="shared" si="0"/>
        <v>-12</v>
      </c>
      <c r="V11" s="61">
        <f t="shared" si="1"/>
        <v>11.5</v>
      </c>
      <c r="W11" s="62">
        <f t="shared" si="2"/>
        <v>0.5</v>
      </c>
      <c r="Y11" s="8" t="s">
        <v>144</v>
      </c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145</v>
      </c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145</v>
      </c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81CCB526-9800-4DA2-8522-F2FDAC27E768}">
      <formula1>$U$2:$W$2</formula1>
    </dataValidation>
    <dataValidation type="list" showInputMessage="1" showErrorMessage="1" sqref="K4:K30 P4:P30 F4:F30" xr:uid="{505CA706-AB36-4D04-BEA4-D0CD688BC395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AC65-E253-4FA9-BD9F-2FB82BFAAD46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153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ただ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れんたろう</v>
      </c>
      <c r="W2" s="16" t="str">
        <f>$P$1</f>
        <v>ただ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142</v>
      </c>
      <c r="G4" s="9">
        <v>-8000</v>
      </c>
      <c r="H4" s="9"/>
      <c r="I4" s="55">
        <v>0</v>
      </c>
      <c r="J4" s="21">
        <f>IF(COUNTA($F4,$K4,$P4)&gt;0,J3+SUM(G4:I4),"")</f>
        <v>27000</v>
      </c>
      <c r="K4" s="8"/>
      <c r="L4" s="9"/>
      <c r="M4" s="9"/>
      <c r="N4" s="55"/>
      <c r="O4" s="21">
        <f>IF(COUNTA($F4,$K4,$P4)&gt;0,O3+SUM(L4:N4),"")</f>
        <v>35000</v>
      </c>
      <c r="P4" s="8" t="s">
        <v>141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0">
        <f t="shared" ref="U4:U30" si="0">IF($J4="","",ROUND(($J4-$J$3)/1000,1))</f>
        <v>-8</v>
      </c>
      <c r="V4" s="61">
        <f t="shared" ref="V4:V30" si="1">IF($O4="","",ROUND(($O4-$O$3)/1000,1))</f>
        <v>0</v>
      </c>
      <c r="W4" s="62">
        <f t="shared" ref="W4:W30" si="2">IF($T4="","",ROUND(($T4-$T$3)/1000,1))</f>
        <v>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4</v>
      </c>
      <c r="BT4" s="36">
        <v>30</v>
      </c>
      <c r="BU4" s="47" t="s">
        <v>82</v>
      </c>
      <c r="BV4" s="48" t="s">
        <v>87</v>
      </c>
      <c r="BW4" s="48" t="s">
        <v>87</v>
      </c>
      <c r="BX4" s="48" t="s">
        <v>87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/>
      <c r="G5" s="9"/>
      <c r="H5" s="9"/>
      <c r="I5" s="55"/>
      <c r="J5" s="21">
        <f t="shared" ref="J5:J30" si="6">IF(COUNTA($F5,$K5,$P5)&gt;0,J4+SUM(G5:I5),"")</f>
        <v>27000</v>
      </c>
      <c r="K5" s="8" t="s">
        <v>142</v>
      </c>
      <c r="L5" s="9">
        <v>-8000</v>
      </c>
      <c r="M5" s="9">
        <v>-1000</v>
      </c>
      <c r="N5" s="55">
        <v>0</v>
      </c>
      <c r="O5" s="21">
        <f t="shared" ref="O5:O30" si="7">IF(COUNTA($F5,$K5,$P5)&gt;0,O4+SUM(L5:N5),"")</f>
        <v>26000</v>
      </c>
      <c r="P5" s="8" t="s">
        <v>141</v>
      </c>
      <c r="Q5" s="9">
        <v>8000</v>
      </c>
      <c r="R5" s="9">
        <v>1000</v>
      </c>
      <c r="S5" s="55">
        <v>0</v>
      </c>
      <c r="T5" s="21">
        <f t="shared" ref="T5:T30" si="8">IF(COUNTA($F5,$K5,$P5)&gt;0,T4+SUM(Q5:S5),"")</f>
        <v>52000</v>
      </c>
      <c r="U5" s="60">
        <f t="shared" si="0"/>
        <v>-8</v>
      </c>
      <c r="V5" s="61">
        <f t="shared" si="1"/>
        <v>-9</v>
      </c>
      <c r="W5" s="62">
        <f t="shared" si="2"/>
        <v>17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4</v>
      </c>
      <c r="BT5" s="36">
        <v>40</v>
      </c>
      <c r="BU5" s="47" t="s">
        <v>143</v>
      </c>
      <c r="BV5" s="48" t="s">
        <v>150</v>
      </c>
      <c r="BW5" s="48" t="s">
        <v>93</v>
      </c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152</v>
      </c>
      <c r="F6" s="8" t="s">
        <v>148</v>
      </c>
      <c r="G6" s="9">
        <v>-3000</v>
      </c>
      <c r="H6" s="9"/>
      <c r="I6" s="55">
        <v>0</v>
      </c>
      <c r="J6" s="21">
        <f t="shared" si="6"/>
        <v>24000</v>
      </c>
      <c r="K6" s="8" t="s">
        <v>148</v>
      </c>
      <c r="L6" s="9">
        <v>-3000</v>
      </c>
      <c r="M6" s="9"/>
      <c r="N6" s="55">
        <v>0</v>
      </c>
      <c r="O6" s="21">
        <f t="shared" si="7"/>
        <v>23000</v>
      </c>
      <c r="P6" s="8" t="s">
        <v>149</v>
      </c>
      <c r="Q6" s="9">
        <v>6000</v>
      </c>
      <c r="R6" s="9"/>
      <c r="S6" s="55">
        <v>0</v>
      </c>
      <c r="T6" s="21">
        <f t="shared" si="8"/>
        <v>58000</v>
      </c>
      <c r="U6" s="60">
        <f t="shared" si="0"/>
        <v>-11</v>
      </c>
      <c r="V6" s="61">
        <f t="shared" si="1"/>
        <v>-12</v>
      </c>
      <c r="W6" s="62">
        <f t="shared" si="2"/>
        <v>23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3</v>
      </c>
      <c r="BT6" s="36">
        <v>30</v>
      </c>
      <c r="BU6" s="47" t="s">
        <v>143</v>
      </c>
      <c r="BV6" s="48" t="s">
        <v>83</v>
      </c>
      <c r="BW6" s="48" t="s">
        <v>86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1</v>
      </c>
      <c r="D7" s="18">
        <f t="shared" si="5"/>
        <v>0</v>
      </c>
      <c r="E7" s="4" t="s">
        <v>152</v>
      </c>
      <c r="F7" s="8" t="s">
        <v>141</v>
      </c>
      <c r="G7" s="9">
        <v>12000</v>
      </c>
      <c r="H7" s="9">
        <v>1000</v>
      </c>
      <c r="I7" s="55">
        <v>1000</v>
      </c>
      <c r="J7" s="21">
        <f t="shared" si="6"/>
        <v>38000</v>
      </c>
      <c r="K7" s="8"/>
      <c r="L7" s="9"/>
      <c r="M7" s="9">
        <v>-1000</v>
      </c>
      <c r="N7" s="55"/>
      <c r="O7" s="21">
        <f t="shared" si="7"/>
        <v>22000</v>
      </c>
      <c r="P7" s="8" t="s">
        <v>142</v>
      </c>
      <c r="Q7" s="9">
        <v>-12000</v>
      </c>
      <c r="R7" s="9"/>
      <c r="S7" s="55">
        <v>-1000</v>
      </c>
      <c r="T7" s="21">
        <f t="shared" si="8"/>
        <v>45000</v>
      </c>
      <c r="U7" s="60">
        <f t="shared" si="0"/>
        <v>3</v>
      </c>
      <c r="V7" s="61">
        <f t="shared" si="1"/>
        <v>-13</v>
      </c>
      <c r="W7" s="62">
        <f t="shared" si="2"/>
        <v>10</v>
      </c>
      <c r="Y7" s="8"/>
      <c r="Z7" s="41"/>
      <c r="AA7" s="32"/>
      <c r="AB7" s="32"/>
      <c r="AC7" s="32">
        <v>6</v>
      </c>
      <c r="AD7" s="36" t="s">
        <v>147</v>
      </c>
      <c r="AE7" s="47" t="s">
        <v>105</v>
      </c>
      <c r="AF7" s="48" t="s">
        <v>87</v>
      </c>
      <c r="AG7" s="48" t="s">
        <v>80</v>
      </c>
      <c r="AH7" s="48" t="s">
        <v>80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135</v>
      </c>
      <c r="F8" s="8" t="s">
        <v>141</v>
      </c>
      <c r="G8" s="9">
        <v>18000</v>
      </c>
      <c r="H8" s="9"/>
      <c r="I8" s="55">
        <v>0</v>
      </c>
      <c r="J8" s="21">
        <f t="shared" si="6"/>
        <v>56000</v>
      </c>
      <c r="K8" s="8"/>
      <c r="L8" s="9"/>
      <c r="M8" s="9"/>
      <c r="N8" s="55"/>
      <c r="O8" s="21">
        <f t="shared" si="7"/>
        <v>22000</v>
      </c>
      <c r="P8" s="8" t="s">
        <v>142</v>
      </c>
      <c r="Q8" s="9">
        <v>-18000</v>
      </c>
      <c r="R8" s="9"/>
      <c r="S8" s="55">
        <v>0</v>
      </c>
      <c r="T8" s="21">
        <f t="shared" si="8"/>
        <v>27000</v>
      </c>
      <c r="U8" s="60">
        <f t="shared" si="0"/>
        <v>21</v>
      </c>
      <c r="V8" s="61">
        <f t="shared" si="1"/>
        <v>-13</v>
      </c>
      <c r="W8" s="62">
        <f t="shared" si="2"/>
        <v>-8</v>
      </c>
      <c r="Y8" s="8"/>
      <c r="Z8" s="41"/>
      <c r="AA8" s="32"/>
      <c r="AB8" s="32">
        <v>1</v>
      </c>
      <c r="AC8" s="32">
        <v>7</v>
      </c>
      <c r="AD8" s="36" t="s">
        <v>147</v>
      </c>
      <c r="AE8" s="47" t="s">
        <v>105</v>
      </c>
      <c r="AF8" s="48" t="s">
        <v>87</v>
      </c>
      <c r="AG8" s="48" t="s">
        <v>87</v>
      </c>
      <c r="AH8" s="48" t="s">
        <v>82</v>
      </c>
      <c r="AI8" s="48" t="s">
        <v>82</v>
      </c>
      <c r="AJ8" s="48" t="s">
        <v>82</v>
      </c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1</v>
      </c>
      <c r="D9" s="18">
        <f t="shared" si="5"/>
        <v>0</v>
      </c>
      <c r="E9" s="4" t="s">
        <v>135</v>
      </c>
      <c r="F9" s="8" t="s">
        <v>148</v>
      </c>
      <c r="G9" s="9">
        <v>-5000</v>
      </c>
      <c r="H9" s="9"/>
      <c r="I9" s="55">
        <v>-500</v>
      </c>
      <c r="J9" s="21">
        <f t="shared" si="6"/>
        <v>50500</v>
      </c>
      <c r="K9" s="8" t="s">
        <v>148</v>
      </c>
      <c r="L9" s="9">
        <v>-3000</v>
      </c>
      <c r="M9" s="9"/>
      <c r="N9" s="55">
        <v>-500</v>
      </c>
      <c r="O9" s="21">
        <f t="shared" si="7"/>
        <v>18500</v>
      </c>
      <c r="P9" s="8" t="s">
        <v>149</v>
      </c>
      <c r="Q9" s="9">
        <v>8000</v>
      </c>
      <c r="R9" s="9"/>
      <c r="S9" s="55">
        <v>1000</v>
      </c>
      <c r="T9" s="21">
        <f t="shared" si="8"/>
        <v>36000</v>
      </c>
      <c r="U9" s="60">
        <f t="shared" si="0"/>
        <v>15.5</v>
      </c>
      <c r="V9" s="61">
        <f t="shared" si="1"/>
        <v>-16.5</v>
      </c>
      <c r="W9" s="62">
        <f t="shared" si="2"/>
        <v>1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5</v>
      </c>
      <c r="BT9" s="36" t="s">
        <v>147</v>
      </c>
      <c r="BU9" s="47" t="s">
        <v>87</v>
      </c>
      <c r="BV9" s="48" t="s">
        <v>87</v>
      </c>
      <c r="BW9" s="48" t="s">
        <v>82</v>
      </c>
      <c r="BX9" s="48" t="s">
        <v>82</v>
      </c>
      <c r="BY9" s="48" t="s">
        <v>82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139</v>
      </c>
      <c r="F10" s="8"/>
      <c r="G10" s="9"/>
      <c r="H10" s="9"/>
      <c r="I10" s="55"/>
      <c r="J10" s="21">
        <f t="shared" si="6"/>
        <v>50500</v>
      </c>
      <c r="K10" s="8" t="s">
        <v>142</v>
      </c>
      <c r="L10" s="9">
        <v>-2600</v>
      </c>
      <c r="M10" s="9">
        <v>-1000</v>
      </c>
      <c r="N10" s="55">
        <v>0</v>
      </c>
      <c r="O10" s="21">
        <f t="shared" si="7"/>
        <v>14900</v>
      </c>
      <c r="P10" s="8" t="s">
        <v>141</v>
      </c>
      <c r="Q10" s="9">
        <v>2600</v>
      </c>
      <c r="R10" s="9">
        <v>1000</v>
      </c>
      <c r="S10" s="55">
        <v>0</v>
      </c>
      <c r="T10" s="21">
        <f t="shared" si="8"/>
        <v>39600</v>
      </c>
      <c r="U10" s="60">
        <f t="shared" si="0"/>
        <v>15.5</v>
      </c>
      <c r="V10" s="61">
        <f t="shared" si="1"/>
        <v>-20.100000000000001</v>
      </c>
      <c r="W10" s="62">
        <f t="shared" si="2"/>
        <v>4.5999999999999996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>
        <v>2</v>
      </c>
      <c r="BT10" s="36">
        <v>40</v>
      </c>
      <c r="BU10" s="47" t="s">
        <v>93</v>
      </c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0</v>
      </c>
      <c r="D11" s="18">
        <f t="shared" si="5"/>
        <v>0</v>
      </c>
      <c r="E11" s="4" t="s">
        <v>152</v>
      </c>
      <c r="F11" s="8" t="s">
        <v>148</v>
      </c>
      <c r="G11" s="9">
        <v>-3000</v>
      </c>
      <c r="H11" s="9"/>
      <c r="I11" s="55">
        <v>0</v>
      </c>
      <c r="J11" s="21">
        <f t="shared" si="6"/>
        <v>47500</v>
      </c>
      <c r="K11" s="8" t="s">
        <v>149</v>
      </c>
      <c r="L11" s="9">
        <v>8000</v>
      </c>
      <c r="M11" s="9"/>
      <c r="N11" s="55">
        <v>0</v>
      </c>
      <c r="O11" s="21">
        <f t="shared" si="7"/>
        <v>22900</v>
      </c>
      <c r="P11" s="8" t="s">
        <v>148</v>
      </c>
      <c r="Q11" s="9">
        <v>-5000</v>
      </c>
      <c r="R11" s="9"/>
      <c r="S11" s="55">
        <v>0</v>
      </c>
      <c r="T11" s="21">
        <f t="shared" si="8"/>
        <v>34600</v>
      </c>
      <c r="U11" s="60">
        <f t="shared" si="0"/>
        <v>12.5</v>
      </c>
      <c r="V11" s="61">
        <f t="shared" si="1"/>
        <v>-12.1</v>
      </c>
      <c r="W11" s="62">
        <f t="shared" si="2"/>
        <v>-0.4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>
        <v>4</v>
      </c>
      <c r="AY11" s="36">
        <v>30</v>
      </c>
      <c r="AZ11" s="47" t="s">
        <v>83</v>
      </c>
      <c r="BA11" s="48" t="s">
        <v>80</v>
      </c>
      <c r="BB11" s="48" t="s">
        <v>82</v>
      </c>
      <c r="BC11" s="48" t="s">
        <v>82</v>
      </c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F6AD9061-254C-4741-951C-E7E2A21C4F30}">
      <formula1>"ロン,ツモ,放銃,ツモ支払,流局,チョンボ"</formula1>
    </dataValidation>
    <dataValidation type="list" allowBlank="1" showInputMessage="1" showErrorMessage="1" sqref="E4:E30" xr:uid="{7AB9BBD4-D6C6-4E9B-80A8-594FD01FA1C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1084C-9EBF-48D8-9C82-C0AD337D483A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153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ただ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れんたろう</v>
      </c>
      <c r="W2" s="16" t="str">
        <f>$P$1</f>
        <v>ただ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152</v>
      </c>
      <c r="F4" s="8" t="s">
        <v>142</v>
      </c>
      <c r="G4" s="9">
        <v>-8000</v>
      </c>
      <c r="H4" s="9"/>
      <c r="I4" s="55">
        <v>0</v>
      </c>
      <c r="J4" s="21">
        <f>IF(COUNTA($F4,$K4,$P4)&gt;0,J3+SUM(G4:I4),"")</f>
        <v>27000</v>
      </c>
      <c r="K4" s="8" t="s">
        <v>141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-8</v>
      </c>
      <c r="V4" s="61">
        <f t="shared" ref="V4:V30" si="1">IF($O4="","",ROUND(($O4-$O$3)/1000,1))</f>
        <v>8</v>
      </c>
      <c r="W4" s="62">
        <f t="shared" ref="W4:W30" si="2">IF($T4="","",ROUND(($T4-$T$3)/1000,1))</f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5</v>
      </c>
      <c r="AY4" s="36" t="s">
        <v>147</v>
      </c>
      <c r="AZ4" s="47" t="s">
        <v>143</v>
      </c>
      <c r="BA4" s="48" t="s">
        <v>82</v>
      </c>
      <c r="BB4" s="48" t="s">
        <v>82</v>
      </c>
      <c r="BC4" s="48" t="s">
        <v>80</v>
      </c>
      <c r="BD4" s="48" t="s">
        <v>84</v>
      </c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148</v>
      </c>
      <c r="G5" s="9">
        <v>-2500</v>
      </c>
      <c r="H5" s="9"/>
      <c r="I5" s="55">
        <v>0</v>
      </c>
      <c r="J5" s="21">
        <f t="shared" ref="J5:J30" si="6">IF(COUNTA($F5,$K5,$P5)&gt;0,J4+SUM(G5:I5),"")</f>
        <v>24500</v>
      </c>
      <c r="K5" s="8" t="s">
        <v>149</v>
      </c>
      <c r="L5" s="9">
        <v>4000</v>
      </c>
      <c r="M5" s="9"/>
      <c r="N5" s="55">
        <v>0</v>
      </c>
      <c r="O5" s="21">
        <f t="shared" ref="O5:O30" si="7">IF(COUNTA($F5,$K5,$P5)&gt;0,O4+SUM(L5:N5),"")</f>
        <v>47000</v>
      </c>
      <c r="P5" s="8" t="s">
        <v>148</v>
      </c>
      <c r="Q5" s="9">
        <v>-1500</v>
      </c>
      <c r="R5" s="9"/>
      <c r="S5" s="55">
        <v>0</v>
      </c>
      <c r="T5" s="21">
        <f t="shared" ref="T5:T30" si="8">IF(COUNTA($F5,$K5,$P5)&gt;0,T4+SUM(Q5:S5),"")</f>
        <v>33500</v>
      </c>
      <c r="U5" s="60">
        <f t="shared" si="0"/>
        <v>-10.5</v>
      </c>
      <c r="V5" s="61">
        <f t="shared" si="1"/>
        <v>12</v>
      </c>
      <c r="W5" s="62">
        <f t="shared" si="2"/>
        <v>-1.5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3</v>
      </c>
      <c r="AY5" s="36">
        <v>30</v>
      </c>
      <c r="AZ5" s="47" t="s">
        <v>88</v>
      </c>
      <c r="BA5" s="48" t="s">
        <v>87</v>
      </c>
      <c r="BB5" s="48" t="s">
        <v>82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142</v>
      </c>
      <c r="G6" s="9">
        <v>-8000</v>
      </c>
      <c r="H6" s="9"/>
      <c r="I6" s="55">
        <v>0</v>
      </c>
      <c r="J6" s="21">
        <f t="shared" si="6"/>
        <v>16500</v>
      </c>
      <c r="K6" s="8"/>
      <c r="L6" s="9"/>
      <c r="M6" s="9"/>
      <c r="N6" s="55"/>
      <c r="O6" s="21">
        <f t="shared" si="7"/>
        <v>47000</v>
      </c>
      <c r="P6" s="8" t="s">
        <v>141</v>
      </c>
      <c r="Q6" s="9">
        <v>8000</v>
      </c>
      <c r="R6" s="9"/>
      <c r="S6" s="55">
        <v>0</v>
      </c>
      <c r="T6" s="21">
        <f t="shared" si="8"/>
        <v>41500</v>
      </c>
      <c r="U6" s="60">
        <f t="shared" si="0"/>
        <v>-18.5</v>
      </c>
      <c r="V6" s="61">
        <f t="shared" si="1"/>
        <v>12</v>
      </c>
      <c r="W6" s="62">
        <f t="shared" si="2"/>
        <v>6.5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5</v>
      </c>
      <c r="BT6" s="36" t="s">
        <v>147</v>
      </c>
      <c r="BU6" s="47" t="s">
        <v>92</v>
      </c>
      <c r="BV6" s="48" t="s">
        <v>80</v>
      </c>
      <c r="BW6" s="48" t="s">
        <v>80</v>
      </c>
      <c r="BX6" s="48" t="s">
        <v>80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152</v>
      </c>
      <c r="F7" s="8" t="s">
        <v>142</v>
      </c>
      <c r="G7" s="9">
        <v>-3900</v>
      </c>
      <c r="H7" s="9"/>
      <c r="I7" s="55">
        <v>0</v>
      </c>
      <c r="J7" s="21">
        <f t="shared" si="6"/>
        <v>12600</v>
      </c>
      <c r="K7" s="8"/>
      <c r="L7" s="9"/>
      <c r="M7" s="9"/>
      <c r="N7" s="55"/>
      <c r="O7" s="21">
        <f t="shared" si="7"/>
        <v>47000</v>
      </c>
      <c r="P7" s="8" t="s">
        <v>141</v>
      </c>
      <c r="Q7" s="9">
        <v>3900</v>
      </c>
      <c r="R7" s="9"/>
      <c r="S7" s="55">
        <v>0</v>
      </c>
      <c r="T7" s="21">
        <f t="shared" si="8"/>
        <v>45400</v>
      </c>
      <c r="U7" s="60">
        <f t="shared" si="0"/>
        <v>-22.4</v>
      </c>
      <c r="V7" s="61">
        <f t="shared" si="1"/>
        <v>12</v>
      </c>
      <c r="W7" s="62">
        <f t="shared" si="2"/>
        <v>10.4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2</v>
      </c>
      <c r="BT7" s="36">
        <v>40</v>
      </c>
      <c r="BU7" s="47" t="s">
        <v>143</v>
      </c>
      <c r="BV7" s="48" t="s">
        <v>82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1</v>
      </c>
      <c r="D8" s="18">
        <f t="shared" si="5"/>
        <v>0</v>
      </c>
      <c r="E8" s="4" t="s">
        <v>152</v>
      </c>
      <c r="F8" s="8" t="s">
        <v>146</v>
      </c>
      <c r="G8" s="9">
        <v>1500</v>
      </c>
      <c r="H8" s="9">
        <v>-1000</v>
      </c>
      <c r="I8" s="55"/>
      <c r="J8" s="21">
        <f t="shared" si="6"/>
        <v>13100</v>
      </c>
      <c r="K8" s="8" t="s">
        <v>146</v>
      </c>
      <c r="L8" s="9">
        <v>-3000</v>
      </c>
      <c r="M8" s="9"/>
      <c r="N8" s="55"/>
      <c r="O8" s="21">
        <f t="shared" si="7"/>
        <v>44000</v>
      </c>
      <c r="P8" s="8" t="s">
        <v>146</v>
      </c>
      <c r="Q8" s="9">
        <v>1500</v>
      </c>
      <c r="R8" s="9"/>
      <c r="S8" s="55"/>
      <c r="T8" s="21">
        <f t="shared" si="8"/>
        <v>46900</v>
      </c>
      <c r="U8" s="60">
        <f t="shared" si="0"/>
        <v>-21.9</v>
      </c>
      <c r="V8" s="61">
        <f t="shared" si="1"/>
        <v>9</v>
      </c>
      <c r="W8" s="62">
        <f t="shared" si="2"/>
        <v>11.9</v>
      </c>
      <c r="Y8" s="8" t="s">
        <v>145</v>
      </c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144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145</v>
      </c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2</v>
      </c>
      <c r="D9" s="18">
        <f t="shared" si="5"/>
        <v>1</v>
      </c>
      <c r="E9" s="4" t="s">
        <v>152</v>
      </c>
      <c r="F9" s="8" t="s">
        <v>146</v>
      </c>
      <c r="G9" s="9">
        <v>1500</v>
      </c>
      <c r="H9" s="9"/>
      <c r="I9" s="55"/>
      <c r="J9" s="21">
        <f t="shared" si="6"/>
        <v>14600</v>
      </c>
      <c r="K9" s="8" t="s">
        <v>146</v>
      </c>
      <c r="L9" s="9">
        <v>1500</v>
      </c>
      <c r="M9" s="9"/>
      <c r="N9" s="55"/>
      <c r="O9" s="21">
        <f t="shared" si="7"/>
        <v>45500</v>
      </c>
      <c r="P9" s="8" t="s">
        <v>146</v>
      </c>
      <c r="Q9" s="9">
        <v>-3000</v>
      </c>
      <c r="R9" s="9"/>
      <c r="S9" s="55"/>
      <c r="T9" s="21">
        <f t="shared" si="8"/>
        <v>43900</v>
      </c>
      <c r="U9" s="60">
        <f t="shared" si="0"/>
        <v>-20.399999999999999</v>
      </c>
      <c r="V9" s="61">
        <f t="shared" si="1"/>
        <v>10.5</v>
      </c>
      <c r="W9" s="62">
        <f t="shared" si="2"/>
        <v>8.9</v>
      </c>
      <c r="Y9" s="8" t="s">
        <v>145</v>
      </c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145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144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1</v>
      </c>
      <c r="E10" s="4" t="s">
        <v>135</v>
      </c>
      <c r="F10" s="8" t="s">
        <v>141</v>
      </c>
      <c r="G10" s="9">
        <v>18000</v>
      </c>
      <c r="H10" s="9">
        <v>1000</v>
      </c>
      <c r="I10" s="55">
        <v>0</v>
      </c>
      <c r="J10" s="21">
        <f t="shared" si="6"/>
        <v>33600</v>
      </c>
      <c r="K10" s="8" t="s">
        <v>142</v>
      </c>
      <c r="L10" s="9">
        <v>-18000</v>
      </c>
      <c r="M10" s="9"/>
      <c r="N10" s="55">
        <v>0</v>
      </c>
      <c r="O10" s="21">
        <f t="shared" si="7"/>
        <v>27500</v>
      </c>
      <c r="P10" s="8"/>
      <c r="Q10" s="9"/>
      <c r="R10" s="9"/>
      <c r="S10" s="55"/>
      <c r="T10" s="21">
        <f t="shared" si="8"/>
        <v>43900</v>
      </c>
      <c r="U10" s="60">
        <f t="shared" si="0"/>
        <v>-1.4</v>
      </c>
      <c r="V10" s="61">
        <f t="shared" si="1"/>
        <v>-7.5</v>
      </c>
      <c r="W10" s="62">
        <f t="shared" si="2"/>
        <v>8.9</v>
      </c>
      <c r="Y10" s="8"/>
      <c r="Z10" s="41"/>
      <c r="AA10" s="32"/>
      <c r="AB10" s="32">
        <v>1</v>
      </c>
      <c r="AC10" s="32">
        <v>6</v>
      </c>
      <c r="AD10" s="36" t="s">
        <v>147</v>
      </c>
      <c r="AE10" s="47" t="s">
        <v>105</v>
      </c>
      <c r="AF10" s="48" t="s">
        <v>87</v>
      </c>
      <c r="AG10" s="48" t="s">
        <v>80</v>
      </c>
      <c r="AH10" s="48" t="s">
        <v>80</v>
      </c>
      <c r="AI10" s="48" t="s">
        <v>80</v>
      </c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1</v>
      </c>
      <c r="D11" s="18">
        <f t="shared" si="5"/>
        <v>0</v>
      </c>
      <c r="E11" s="4" t="s">
        <v>135</v>
      </c>
      <c r="F11" s="8" t="s">
        <v>148</v>
      </c>
      <c r="G11" s="9">
        <v>-5000</v>
      </c>
      <c r="H11" s="9"/>
      <c r="I11" s="55">
        <v>-500</v>
      </c>
      <c r="J11" s="21">
        <f t="shared" si="6"/>
        <v>28100</v>
      </c>
      <c r="K11" s="8" t="s">
        <v>148</v>
      </c>
      <c r="L11" s="9">
        <v>-3000</v>
      </c>
      <c r="M11" s="9"/>
      <c r="N11" s="55">
        <v>-500</v>
      </c>
      <c r="O11" s="21">
        <f t="shared" si="7"/>
        <v>24000</v>
      </c>
      <c r="P11" s="8" t="s">
        <v>149</v>
      </c>
      <c r="Q11" s="9">
        <v>8000</v>
      </c>
      <c r="R11" s="9"/>
      <c r="S11" s="55">
        <v>1000</v>
      </c>
      <c r="T11" s="21">
        <f t="shared" si="8"/>
        <v>52900</v>
      </c>
      <c r="U11" s="60">
        <f t="shared" si="0"/>
        <v>-6.9</v>
      </c>
      <c r="V11" s="61">
        <f t="shared" si="1"/>
        <v>-11</v>
      </c>
      <c r="W11" s="62">
        <f t="shared" si="2"/>
        <v>17.899999999999999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4</v>
      </c>
      <c r="BT11" s="36">
        <v>30</v>
      </c>
      <c r="BU11" s="47" t="s">
        <v>143</v>
      </c>
      <c r="BV11" s="48" t="s">
        <v>83</v>
      </c>
      <c r="BW11" s="48" t="s">
        <v>82</v>
      </c>
      <c r="BX11" s="48" t="s">
        <v>82</v>
      </c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139</v>
      </c>
      <c r="F12" s="8" t="s">
        <v>148</v>
      </c>
      <c r="G12" s="9">
        <v>-6000</v>
      </c>
      <c r="H12" s="9"/>
      <c r="I12" s="55">
        <v>0</v>
      </c>
      <c r="J12" s="21">
        <f t="shared" si="6"/>
        <v>22100</v>
      </c>
      <c r="K12" s="8" t="s">
        <v>149</v>
      </c>
      <c r="L12" s="9">
        <v>12000</v>
      </c>
      <c r="M12" s="9"/>
      <c r="N12" s="55">
        <v>0</v>
      </c>
      <c r="O12" s="21">
        <f t="shared" si="7"/>
        <v>36000</v>
      </c>
      <c r="P12" s="8" t="s">
        <v>148</v>
      </c>
      <c r="Q12" s="9">
        <v>-6000</v>
      </c>
      <c r="R12" s="9"/>
      <c r="S12" s="55">
        <v>0</v>
      </c>
      <c r="T12" s="21">
        <f t="shared" si="8"/>
        <v>46900</v>
      </c>
      <c r="U12" s="60">
        <f t="shared" si="0"/>
        <v>-12.9</v>
      </c>
      <c r="V12" s="61">
        <f t="shared" si="1"/>
        <v>1</v>
      </c>
      <c r="W12" s="62">
        <f t="shared" si="2"/>
        <v>11.9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4</v>
      </c>
      <c r="AY12" s="36">
        <v>30</v>
      </c>
      <c r="AZ12" s="47" t="s">
        <v>143</v>
      </c>
      <c r="BA12" s="48" t="s">
        <v>83</v>
      </c>
      <c r="BB12" s="48" t="s">
        <v>82</v>
      </c>
      <c r="BC12" s="48" t="s">
        <v>82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1</v>
      </c>
      <c r="D13" s="18">
        <f t="shared" si="5"/>
        <v>0</v>
      </c>
      <c r="E13" s="4" t="s">
        <v>139</v>
      </c>
      <c r="F13" s="8"/>
      <c r="G13" s="9"/>
      <c r="H13" s="9"/>
      <c r="I13" s="55"/>
      <c r="J13" s="21">
        <f t="shared" si="6"/>
        <v>22100</v>
      </c>
      <c r="K13" s="8" t="s">
        <v>142</v>
      </c>
      <c r="L13" s="9">
        <v>-5200</v>
      </c>
      <c r="M13" s="9"/>
      <c r="N13" s="55">
        <v>-1000</v>
      </c>
      <c r="O13" s="21">
        <f t="shared" si="7"/>
        <v>29800</v>
      </c>
      <c r="P13" s="8" t="s">
        <v>141</v>
      </c>
      <c r="Q13" s="9">
        <v>5200</v>
      </c>
      <c r="R13" s="9"/>
      <c r="S13" s="55">
        <v>1000</v>
      </c>
      <c r="T13" s="21">
        <f t="shared" si="8"/>
        <v>53100</v>
      </c>
      <c r="U13" s="60">
        <f t="shared" si="0"/>
        <v>-12.9</v>
      </c>
      <c r="V13" s="61">
        <f t="shared" si="1"/>
        <v>-5.2</v>
      </c>
      <c r="W13" s="62">
        <f t="shared" si="2"/>
        <v>18.100000000000001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3</v>
      </c>
      <c r="BT13" s="36">
        <v>40</v>
      </c>
      <c r="BU13" s="47" t="s">
        <v>143</v>
      </c>
      <c r="BV13" s="48" t="s">
        <v>150</v>
      </c>
      <c r="BW13" s="48" t="s">
        <v>81</v>
      </c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84A9039C-FBF9-45B9-96A1-1095C4FB5B32}">
      <formula1>$U$2:$W$2</formula1>
    </dataValidation>
    <dataValidation type="list" showInputMessage="1" showErrorMessage="1" sqref="K4:K30 P4:P30 F4:F30" xr:uid="{090BC6B6-4515-4CD3-AAAB-A143E7E02FE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A06FC-89B1-48BF-89A2-6B33C0C93481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153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ただ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まっつん</v>
      </c>
      <c r="W2" s="16" t="str">
        <f>$P$1</f>
        <v>ただ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152</v>
      </c>
      <c r="F4" s="8" t="s">
        <v>142</v>
      </c>
      <c r="G4" s="9">
        <v>-3900</v>
      </c>
      <c r="H4" s="9">
        <v>-1000</v>
      </c>
      <c r="I4" s="55">
        <v>0</v>
      </c>
      <c r="J4" s="21">
        <f>IF(COUNTA($F4,$K4,$P4)&gt;0,J3+SUM(G4:I4),"")</f>
        <v>30100</v>
      </c>
      <c r="K4" s="8"/>
      <c r="L4" s="9"/>
      <c r="M4" s="9"/>
      <c r="N4" s="55"/>
      <c r="O4" s="21">
        <f>IF(COUNTA($F4,$K4,$P4)&gt;0,O3+SUM(L4:N4),"")</f>
        <v>35000</v>
      </c>
      <c r="P4" s="8" t="s">
        <v>141</v>
      </c>
      <c r="Q4" s="9">
        <v>3900</v>
      </c>
      <c r="R4" s="9">
        <v>1000</v>
      </c>
      <c r="S4" s="55">
        <v>0</v>
      </c>
      <c r="T4" s="21">
        <f>IF(COUNTA($F4,$K4,$P4)&gt;0,T3+SUM(Q4:S4),"")</f>
        <v>39900</v>
      </c>
      <c r="U4" s="60">
        <f t="shared" ref="U4:U30" si="0">IF($J4="","",ROUND(($J4-$J$3)/1000,1))</f>
        <v>-4.9000000000000004</v>
      </c>
      <c r="V4" s="61">
        <f t="shared" ref="V4:V30" si="1">IF($O4="","",ROUND(($O4-$O$3)/1000,1))</f>
        <v>0</v>
      </c>
      <c r="W4" s="62">
        <f t="shared" ref="W4:W30" si="2">IF($T4="","",ROUND(($T4-$T$3)/1000,1))</f>
        <v>4.9000000000000004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2</v>
      </c>
      <c r="BT4" s="36">
        <v>40</v>
      </c>
      <c r="BU4" s="47" t="s">
        <v>87</v>
      </c>
      <c r="BV4" s="48" t="s">
        <v>82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152</v>
      </c>
      <c r="F5" s="8" t="s">
        <v>148</v>
      </c>
      <c r="G5" s="9">
        <v>-6000</v>
      </c>
      <c r="H5" s="9"/>
      <c r="I5" s="55">
        <v>-500</v>
      </c>
      <c r="J5" s="21">
        <f t="shared" ref="J5:J30" si="6">IF(COUNTA($F5,$K5,$P5)&gt;0,J4+SUM(G5:I5),"")</f>
        <v>23600</v>
      </c>
      <c r="K5" s="8" t="s">
        <v>148</v>
      </c>
      <c r="L5" s="9">
        <v>-6000</v>
      </c>
      <c r="M5" s="9">
        <v>-1000</v>
      </c>
      <c r="N5" s="55">
        <v>-500</v>
      </c>
      <c r="O5" s="21">
        <f t="shared" ref="O5:O30" si="7">IF(COUNTA($F5,$K5,$P5)&gt;0,O4+SUM(L5:N5),"")</f>
        <v>27500</v>
      </c>
      <c r="P5" s="8" t="s">
        <v>149</v>
      </c>
      <c r="Q5" s="9">
        <v>12000</v>
      </c>
      <c r="R5" s="9">
        <v>1000</v>
      </c>
      <c r="S5" s="55">
        <v>1000</v>
      </c>
      <c r="T5" s="21">
        <f t="shared" ref="T5:T30" si="8">IF(COUNTA($F5,$K5,$P5)&gt;0,T4+SUM(Q5:S5),"")</f>
        <v>53900</v>
      </c>
      <c r="U5" s="60">
        <f t="shared" si="0"/>
        <v>-11.4</v>
      </c>
      <c r="V5" s="61">
        <f t="shared" si="1"/>
        <v>-7.5</v>
      </c>
      <c r="W5" s="62">
        <f t="shared" si="2"/>
        <v>18.899999999999999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4</v>
      </c>
      <c r="BT5" s="36">
        <v>30</v>
      </c>
      <c r="BU5" s="47" t="s">
        <v>143</v>
      </c>
      <c r="BV5" s="48" t="s">
        <v>83</v>
      </c>
      <c r="BW5" s="48" t="s">
        <v>82</v>
      </c>
      <c r="BX5" s="48" t="s">
        <v>85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152</v>
      </c>
      <c r="F6" s="8" t="s">
        <v>141</v>
      </c>
      <c r="G6" s="9">
        <v>12000</v>
      </c>
      <c r="H6" s="9">
        <v>1000</v>
      </c>
      <c r="I6" s="55">
        <v>2000</v>
      </c>
      <c r="J6" s="21">
        <f t="shared" si="6"/>
        <v>38600</v>
      </c>
      <c r="K6" s="8" t="s">
        <v>142</v>
      </c>
      <c r="L6" s="9">
        <v>-12000</v>
      </c>
      <c r="M6" s="9">
        <v>-1000</v>
      </c>
      <c r="N6" s="55">
        <v>-2000</v>
      </c>
      <c r="O6" s="21">
        <f t="shared" si="7"/>
        <v>12500</v>
      </c>
      <c r="P6" s="8"/>
      <c r="Q6" s="9"/>
      <c r="R6" s="9"/>
      <c r="S6" s="55"/>
      <c r="T6" s="21">
        <f t="shared" si="8"/>
        <v>53900</v>
      </c>
      <c r="U6" s="60">
        <f t="shared" si="0"/>
        <v>3.6</v>
      </c>
      <c r="V6" s="61">
        <f t="shared" si="1"/>
        <v>-22.5</v>
      </c>
      <c r="W6" s="62">
        <f t="shared" si="2"/>
        <v>18.899999999999999</v>
      </c>
      <c r="Y6" s="8"/>
      <c r="Z6" s="41"/>
      <c r="AA6" s="32"/>
      <c r="AB6" s="32">
        <v>1</v>
      </c>
      <c r="AC6" s="32">
        <v>6</v>
      </c>
      <c r="AD6" s="36" t="s">
        <v>147</v>
      </c>
      <c r="AE6" s="47" t="s">
        <v>105</v>
      </c>
      <c r="AF6" s="48" t="s">
        <v>87</v>
      </c>
      <c r="AG6" s="48" t="s">
        <v>87</v>
      </c>
      <c r="AH6" s="48" t="s">
        <v>82</v>
      </c>
      <c r="AI6" s="48" t="s">
        <v>80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141</v>
      </c>
      <c r="G7" s="9">
        <v>12000</v>
      </c>
      <c r="H7" s="9"/>
      <c r="I7" s="55"/>
      <c r="J7" s="21">
        <f t="shared" si="6"/>
        <v>50600</v>
      </c>
      <c r="K7" s="8" t="s">
        <v>142</v>
      </c>
      <c r="L7" s="9">
        <v>-15900</v>
      </c>
      <c r="M7" s="9"/>
      <c r="N7" s="55">
        <v>0</v>
      </c>
      <c r="O7" s="21">
        <f t="shared" si="7"/>
        <v>-3400</v>
      </c>
      <c r="P7" s="8" t="s">
        <v>141</v>
      </c>
      <c r="Q7" s="9">
        <v>3900</v>
      </c>
      <c r="R7" s="9"/>
      <c r="S7" s="55">
        <v>0</v>
      </c>
      <c r="T7" s="21">
        <f t="shared" si="8"/>
        <v>57800</v>
      </c>
      <c r="U7" s="60">
        <f t="shared" si="0"/>
        <v>15.6</v>
      </c>
      <c r="V7" s="61">
        <f t="shared" si="1"/>
        <v>-38.4</v>
      </c>
      <c r="W7" s="62">
        <f t="shared" si="2"/>
        <v>22.8</v>
      </c>
      <c r="Y7" s="8"/>
      <c r="Z7" s="41"/>
      <c r="AA7" s="32">
        <v>1</v>
      </c>
      <c r="AB7" s="32"/>
      <c r="AC7" s="32">
        <v>5</v>
      </c>
      <c r="AD7" s="36" t="s">
        <v>147</v>
      </c>
      <c r="AE7" s="47" t="s">
        <v>143</v>
      </c>
      <c r="AF7" s="48" t="s">
        <v>84</v>
      </c>
      <c r="AG7" s="48" t="s">
        <v>81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3</v>
      </c>
      <c r="BT7" s="36">
        <v>30</v>
      </c>
      <c r="BU7" s="47" t="s">
        <v>143</v>
      </c>
      <c r="BV7" s="48" t="s">
        <v>84</v>
      </c>
      <c r="BW7" s="48" t="s">
        <v>81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/>
      </c>
      <c r="B8" s="18" t="str">
        <f t="shared" si="9"/>
        <v/>
      </c>
      <c r="C8" s="18" t="str">
        <f t="shared" si="4"/>
        <v/>
      </c>
      <c r="D8" s="18" t="str">
        <f t="shared" si="5"/>
        <v/>
      </c>
      <c r="E8" s="4"/>
      <c r="F8" s="8"/>
      <c r="G8" s="9"/>
      <c r="H8" s="9"/>
      <c r="I8" s="55"/>
      <c r="J8" s="21" t="str">
        <f t="shared" si="6"/>
        <v/>
      </c>
      <c r="K8" s="8"/>
      <c r="L8" s="9"/>
      <c r="M8" s="9"/>
      <c r="N8" s="55"/>
      <c r="O8" s="21" t="str">
        <f t="shared" si="7"/>
        <v/>
      </c>
      <c r="P8" s="8"/>
      <c r="Q8" s="9"/>
      <c r="R8" s="9"/>
      <c r="S8" s="55"/>
      <c r="T8" s="21" t="str">
        <f t="shared" si="8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9"/>
        <v/>
      </c>
      <c r="C9" s="18" t="str">
        <f t="shared" si="4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B857E957-6921-46BD-8349-1853B472B935}">
      <formula1>"ロン,ツモ,放銃,ツモ支払,流局,チョンボ"</formula1>
    </dataValidation>
    <dataValidation type="list" allowBlank="1" showInputMessage="1" showErrorMessage="1" sqref="E4:E30" xr:uid="{708DEB43-8996-477D-AAC8-3E26E0AAC1E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2019-10-15T07:54:32Z</dcterms:modified>
</cp:coreProperties>
</file>