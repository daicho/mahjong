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2B51AF4A-A16D-4FF9-A9A9-4C9A59E2CDDF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1" l="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S30" i="11"/>
  <c r="O30" i="11"/>
  <c r="N30" i="11"/>
  <c r="J30" i="11"/>
  <c r="D30" i="11"/>
  <c r="C30" i="11"/>
  <c r="B30" i="11"/>
  <c r="A30" i="11"/>
  <c r="T29" i="11"/>
  <c r="S29" i="11"/>
  <c r="O29" i="11"/>
  <c r="N29" i="11"/>
  <c r="J29" i="11"/>
  <c r="D29" i="11"/>
  <c r="C29" i="11"/>
  <c r="B29" i="11"/>
  <c r="A29" i="11"/>
  <c r="T28" i="11"/>
  <c r="S28" i="11"/>
  <c r="O28" i="11"/>
  <c r="N28" i="11"/>
  <c r="J28" i="11"/>
  <c r="D28" i="11"/>
  <c r="C28" i="11"/>
  <c r="B28" i="11"/>
  <c r="A28" i="11"/>
  <c r="T27" i="11"/>
  <c r="S27" i="11"/>
  <c r="O27" i="11"/>
  <c r="N27" i="11"/>
  <c r="J27" i="11"/>
  <c r="D27" i="11"/>
  <c r="C27" i="11"/>
  <c r="B27" i="11"/>
  <c r="A27" i="11"/>
  <c r="T26" i="11"/>
  <c r="S26" i="11"/>
  <c r="O26" i="11"/>
  <c r="N26" i="11"/>
  <c r="J26" i="11"/>
  <c r="D26" i="11"/>
  <c r="C26" i="11"/>
  <c r="B26" i="11"/>
  <c r="A26" i="11"/>
  <c r="T25" i="11"/>
  <c r="S25" i="11"/>
  <c r="O25" i="11"/>
  <c r="N25" i="11"/>
  <c r="J25" i="11"/>
  <c r="D25" i="11"/>
  <c r="C25" i="11"/>
  <c r="B25" i="11"/>
  <c r="A25" i="11"/>
  <c r="T24" i="11"/>
  <c r="S24" i="11"/>
  <c r="O24" i="11"/>
  <c r="N24" i="11"/>
  <c r="J24" i="11"/>
  <c r="D24" i="11"/>
  <c r="C24" i="11"/>
  <c r="B24" i="11"/>
  <c r="A24" i="11"/>
  <c r="T23" i="11"/>
  <c r="S23" i="11"/>
  <c r="O23" i="11"/>
  <c r="N23" i="11"/>
  <c r="J23" i="11"/>
  <c r="D23" i="11"/>
  <c r="C23" i="11"/>
  <c r="B23" i="11"/>
  <c r="A23" i="11"/>
  <c r="T22" i="11"/>
  <c r="S22" i="11"/>
  <c r="O22" i="11"/>
  <c r="N22" i="11"/>
  <c r="J22" i="11"/>
  <c r="D22" i="11"/>
  <c r="C22" i="11"/>
  <c r="B22" i="11"/>
  <c r="A22" i="11"/>
  <c r="T21" i="11"/>
  <c r="S21" i="11"/>
  <c r="O21" i="11"/>
  <c r="N21" i="11"/>
  <c r="J21" i="11"/>
  <c r="D21" i="11"/>
  <c r="C21" i="11"/>
  <c r="B21" i="11"/>
  <c r="A21" i="11"/>
  <c r="T20" i="11"/>
  <c r="S20" i="11"/>
  <c r="O20" i="11"/>
  <c r="N20" i="11"/>
  <c r="J20" i="11"/>
  <c r="D20" i="11"/>
  <c r="C20" i="11"/>
  <c r="B20" i="11"/>
  <c r="A20" i="11"/>
  <c r="T19" i="11"/>
  <c r="S19" i="11"/>
  <c r="O19" i="11"/>
  <c r="N19" i="11"/>
  <c r="J19" i="11"/>
  <c r="D19" i="11"/>
  <c r="C19" i="11"/>
  <c r="B19" i="11"/>
  <c r="A19" i="11"/>
  <c r="T18" i="11"/>
  <c r="S18" i="11"/>
  <c r="O18" i="11"/>
  <c r="N18" i="11"/>
  <c r="J18" i="11"/>
  <c r="D18" i="11"/>
  <c r="C18" i="11"/>
  <c r="B18" i="11"/>
  <c r="A18" i="11"/>
  <c r="T17" i="11"/>
  <c r="S17" i="11"/>
  <c r="O17" i="11"/>
  <c r="N17" i="11"/>
  <c r="J17" i="11"/>
  <c r="D17" i="11"/>
  <c r="C17" i="11"/>
  <c r="B17" i="11"/>
  <c r="A17" i="11"/>
  <c r="T16" i="11"/>
  <c r="S16" i="11"/>
  <c r="O16" i="11"/>
  <c r="N16" i="11"/>
  <c r="J16" i="11"/>
  <c r="D16" i="11"/>
  <c r="C16" i="11"/>
  <c r="B16" i="11"/>
  <c r="A16" i="11"/>
  <c r="T15" i="11"/>
  <c r="S15" i="11"/>
  <c r="O15" i="11"/>
  <c r="N15" i="11"/>
  <c r="J15" i="1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T4" i="11" s="1"/>
  <c r="N4" i="11"/>
  <c r="O4" i="11" s="1"/>
  <c r="J4" i="11"/>
  <c r="W2" i="11"/>
  <c r="V2" i="11"/>
  <c r="U2" i="11"/>
  <c r="A6" i="11" l="1"/>
  <c r="A5" i="11"/>
  <c r="N5" i="11"/>
  <c r="O5" i="11" s="1"/>
  <c r="N9" i="11"/>
  <c r="N7" i="11"/>
  <c r="A7" i="11"/>
  <c r="B8" i="11"/>
  <c r="S11" i="11"/>
  <c r="J5" i="11"/>
  <c r="T5" i="1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T6" i="11" l="1"/>
  <c r="O6" i="11"/>
  <c r="J6" i="11"/>
  <c r="B9" i="11"/>
  <c r="A9" i="11" s="1"/>
  <c r="A8" i="11"/>
  <c r="O7" i="11" l="1"/>
  <c r="T7" i="11"/>
  <c r="B10" i="11"/>
  <c r="J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A10" i="11"/>
  <c r="T8" i="11"/>
  <c r="O8" i="11"/>
  <c r="W2" i="1"/>
  <c r="V2" i="1"/>
  <c r="U2" i="1"/>
  <c r="A11" i="11" l="1"/>
  <c r="O9" i="11"/>
  <c r="T9" i="11"/>
  <c r="J9" i="11"/>
  <c r="B12" i="11"/>
  <c r="B2" i="10"/>
  <c r="B13" i="11" l="1"/>
  <c r="A12" i="11"/>
  <c r="J10" i="11"/>
  <c r="T10" i="11"/>
  <c r="O10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13" i="11" l="1"/>
  <c r="T11" i="11"/>
  <c r="J11" i="11"/>
  <c r="O11" i="11"/>
  <c r="B14" i="11"/>
  <c r="A14" i="11" s="1"/>
  <c r="J5" i="1"/>
  <c r="A5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6" i="1"/>
  <c r="J7" i="1" s="1"/>
  <c r="O12" i="11" l="1"/>
  <c r="J12" i="11"/>
  <c r="T12" i="11"/>
  <c r="J8" i="1"/>
  <c r="T5" i="1"/>
  <c r="O6" i="1"/>
  <c r="O7" i="1" s="1"/>
  <c r="B10" i="1"/>
  <c r="B11" i="1" s="1"/>
  <c r="J13" i="11" l="1"/>
  <c r="O13" i="11"/>
  <c r="T13" i="11"/>
  <c r="O8" i="1"/>
  <c r="J9" i="1"/>
  <c r="T6" i="1"/>
  <c r="T7" i="1" s="1"/>
  <c r="A10" i="1"/>
  <c r="A11" i="1"/>
  <c r="B12" i="1"/>
  <c r="T14" i="11" l="1"/>
  <c r="O14" i="11"/>
  <c r="J14" i="11"/>
  <c r="T8" i="1"/>
  <c r="J10" i="1"/>
  <c r="O9" i="1"/>
  <c r="B13" i="1"/>
  <c r="A13" i="1" s="1"/>
  <c r="A12" i="1"/>
  <c r="O10" i="1" l="1"/>
  <c r="T9" i="1"/>
  <c r="B14" i="1"/>
  <c r="A14" i="1" s="1"/>
  <c r="T10" i="1" l="1"/>
</calcChain>
</file>

<file path=xl/sharedStrings.xml><?xml version="1.0" encoding="utf-8"?>
<sst xmlns="http://schemas.openxmlformats.org/spreadsheetml/2006/main" count="182" uniqueCount="32">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</sst>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たかの</v>
      </c>
      <c r="W2" s="22" t="str">
        <f>$P$1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35000</v>
      </c>
      <c r="K4" s="10" t="s">
        <v>29</v>
      </c>
      <c r="L4" s="11">
        <v>-18000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17000</v>
      </c>
      <c r="P4" s="10" t="s">
        <v>28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53000</v>
      </c>
      <c r="U4" s="46">
        <f t="shared" si="0"/>
        <v>0</v>
      </c>
      <c r="V4" s="47">
        <f t="shared" si="1"/>
        <v>-18</v>
      </c>
      <c r="W4" s="48">
        <f t="shared" si="2"/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7">
        <f t="shared" si="3"/>
        <v>35000</v>
      </c>
      <c r="K5" s="10" t="s">
        <v>28</v>
      </c>
      <c r="L5" s="11">
        <v>2000</v>
      </c>
      <c r="M5" s="11"/>
      <c r="N5" s="12">
        <f t="shared" ref="N5:N30" si="6">IF(OR(K5="ロン",K5="ツモ"),$C5*1000,IF(K5="放銃",$C5*-1000,IF(K5="ツモ支払",$C5*-500,"")))</f>
        <v>1000</v>
      </c>
      <c r="O5" s="27">
        <f t="shared" si="4"/>
        <v>20000</v>
      </c>
      <c r="P5" s="10" t="s">
        <v>29</v>
      </c>
      <c r="Q5" s="11">
        <v>-2000</v>
      </c>
      <c r="R5" s="11"/>
      <c r="S5" s="12">
        <f t="shared" ref="S5:S30" si="7">IF(OR(P5="ロン",P5="ツモ"),$C5*1000,IF(P5="放銃",$C5*-1000,IF(P5="ツモ支払",$C5*-500,"")))</f>
        <v>-1000</v>
      </c>
      <c r="T5" s="27">
        <f t="shared" si="5"/>
        <v>50000</v>
      </c>
      <c r="U5" s="46">
        <f t="shared" si="0"/>
        <v>0</v>
      </c>
      <c r="V5" s="47">
        <f t="shared" si="1"/>
        <v>-15</v>
      </c>
      <c r="W5" s="48">
        <f t="shared" si="2"/>
        <v>15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18000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53000</v>
      </c>
      <c r="K6" s="10" t="s">
        <v>29</v>
      </c>
      <c r="L6" s="11">
        <v>-18000</v>
      </c>
      <c r="M6" s="11"/>
      <c r="N6" s="12">
        <f t="shared" si="6"/>
        <v>0</v>
      </c>
      <c r="O6" s="27">
        <f t="shared" si="4"/>
        <v>2000</v>
      </c>
      <c r="P6" s="10"/>
      <c r="Q6" s="11"/>
      <c r="R6" s="11"/>
      <c r="S6" s="12" t="str">
        <f t="shared" si="7"/>
        <v/>
      </c>
      <c r="T6" s="27">
        <f t="shared" si="5"/>
        <v>50000</v>
      </c>
      <c r="U6" s="46">
        <f t="shared" si="0"/>
        <v>18</v>
      </c>
      <c r="V6" s="47">
        <f t="shared" si="1"/>
        <v>-33</v>
      </c>
      <c r="W6" s="48">
        <f t="shared" si="2"/>
        <v>15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1</v>
      </c>
      <c r="D7" s="24">
        <f t="shared" si="11"/>
        <v>0</v>
      </c>
      <c r="E7" s="5" t="s">
        <v>22</v>
      </c>
      <c r="F7" s="10" t="s">
        <v>31</v>
      </c>
      <c r="G7" s="11">
        <v>-5000</v>
      </c>
      <c r="H7" s="11"/>
      <c r="I7" s="12">
        <f t="shared" si="12"/>
        <v>-500</v>
      </c>
      <c r="J7" s="27">
        <f t="shared" si="3"/>
        <v>47500</v>
      </c>
      <c r="K7" s="10" t="s">
        <v>30</v>
      </c>
      <c r="L7" s="11">
        <v>8000</v>
      </c>
      <c r="M7" s="11"/>
      <c r="N7" s="12">
        <f t="shared" si="6"/>
        <v>1000</v>
      </c>
      <c r="O7" s="27">
        <f t="shared" si="4"/>
        <v>11000</v>
      </c>
      <c r="P7" s="10" t="s">
        <v>31</v>
      </c>
      <c r="Q7" s="11">
        <v>-3000</v>
      </c>
      <c r="R7" s="11"/>
      <c r="S7" s="12">
        <f t="shared" si="7"/>
        <v>-500</v>
      </c>
      <c r="T7" s="27">
        <f t="shared" si="5"/>
        <v>46500</v>
      </c>
      <c r="U7" s="46">
        <f t="shared" si="0"/>
        <v>12.5</v>
      </c>
      <c r="V7" s="47">
        <f t="shared" si="1"/>
        <v>-24</v>
      </c>
      <c r="W7" s="48">
        <f t="shared" si="2"/>
        <v>11.5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24</v>
      </c>
      <c r="F8" s="10"/>
      <c r="G8" s="11"/>
      <c r="H8" s="11"/>
      <c r="I8" s="12" t="str">
        <f t="shared" si="12"/>
        <v/>
      </c>
      <c r="J8" s="27">
        <f t="shared" si="3"/>
        <v>47500</v>
      </c>
      <c r="K8" s="10" t="s">
        <v>28</v>
      </c>
      <c r="L8" s="11">
        <v>18000</v>
      </c>
      <c r="M8" s="11"/>
      <c r="N8" s="12">
        <f t="shared" si="6"/>
        <v>0</v>
      </c>
      <c r="O8" s="27">
        <f t="shared" si="4"/>
        <v>29000</v>
      </c>
      <c r="P8" s="10" t="s">
        <v>29</v>
      </c>
      <c r="Q8" s="11">
        <v>-18000</v>
      </c>
      <c r="R8" s="11"/>
      <c r="S8" s="12">
        <f t="shared" si="7"/>
        <v>0</v>
      </c>
      <c r="T8" s="27">
        <f t="shared" si="5"/>
        <v>28500</v>
      </c>
      <c r="U8" s="46">
        <f t="shared" si="0"/>
        <v>12.5</v>
      </c>
      <c r="V8" s="47">
        <f t="shared" si="1"/>
        <v>-6</v>
      </c>
      <c r="W8" s="48">
        <f t="shared" si="2"/>
        <v>-6.5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24</v>
      </c>
      <c r="F9" s="10" t="s">
        <v>31</v>
      </c>
      <c r="G9" s="11">
        <v>-6000</v>
      </c>
      <c r="H9" s="11"/>
      <c r="I9" s="12">
        <f t="shared" si="12"/>
        <v>-500</v>
      </c>
      <c r="J9" s="27">
        <f t="shared" si="3"/>
        <v>41000</v>
      </c>
      <c r="K9" s="10" t="s">
        <v>30</v>
      </c>
      <c r="L9" s="11">
        <v>12000</v>
      </c>
      <c r="M9" s="11"/>
      <c r="N9" s="12">
        <f t="shared" si="6"/>
        <v>1000</v>
      </c>
      <c r="O9" s="27">
        <f t="shared" si="4"/>
        <v>42000</v>
      </c>
      <c r="P9" s="10" t="s">
        <v>31</v>
      </c>
      <c r="Q9" s="11">
        <v>-6000</v>
      </c>
      <c r="R9" s="11"/>
      <c r="S9" s="12">
        <f t="shared" si="7"/>
        <v>-500</v>
      </c>
      <c r="T9" s="27">
        <f t="shared" si="5"/>
        <v>22000</v>
      </c>
      <c r="U9" s="46">
        <f t="shared" si="0"/>
        <v>6</v>
      </c>
      <c r="V9" s="47">
        <f t="shared" si="1"/>
        <v>7</v>
      </c>
      <c r="W9" s="48">
        <f t="shared" si="2"/>
        <v>-13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2</v>
      </c>
      <c r="D10" s="24">
        <f t="shared" si="11"/>
        <v>0</v>
      </c>
      <c r="E10" s="5" t="s">
        <v>24</v>
      </c>
      <c r="F10" s="10" t="s">
        <v>28</v>
      </c>
      <c r="G10" s="11">
        <v>16000</v>
      </c>
      <c r="H10" s="11"/>
      <c r="I10" s="12">
        <f t="shared" si="12"/>
        <v>2000</v>
      </c>
      <c r="J10" s="27">
        <f t="shared" si="3"/>
        <v>59000</v>
      </c>
      <c r="K10" s="10" t="s">
        <v>29</v>
      </c>
      <c r="L10" s="11">
        <v>-16000</v>
      </c>
      <c r="M10" s="11"/>
      <c r="N10" s="12">
        <f t="shared" si="6"/>
        <v>-2000</v>
      </c>
      <c r="O10" s="27">
        <f t="shared" si="4"/>
        <v>24000</v>
      </c>
      <c r="P10" s="10"/>
      <c r="Q10" s="11"/>
      <c r="R10" s="11"/>
      <c r="S10" s="12" t="str">
        <f t="shared" si="7"/>
        <v/>
      </c>
      <c r="T10" s="27">
        <f t="shared" si="5"/>
        <v>22000</v>
      </c>
      <c r="U10" s="46">
        <f t="shared" si="0"/>
        <v>24</v>
      </c>
      <c r="V10" s="47">
        <f t="shared" si="1"/>
        <v>-11</v>
      </c>
      <c r="W10" s="48">
        <f t="shared" si="2"/>
        <v>-13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0</v>
      </c>
      <c r="D11" s="24">
        <f t="shared" si="11"/>
        <v>0</v>
      </c>
      <c r="E11" s="5" t="s">
        <v>26</v>
      </c>
      <c r="F11" s="10" t="s">
        <v>30</v>
      </c>
      <c r="G11" s="11"/>
      <c r="H11" s="11"/>
      <c r="I11" s="12">
        <f t="shared" si="12"/>
        <v>0</v>
      </c>
      <c r="J11" s="27">
        <f t="shared" si="3"/>
        <v>59000</v>
      </c>
      <c r="K11" s="10" t="s">
        <v>31</v>
      </c>
      <c r="L11" s="11"/>
      <c r="M11" s="11"/>
      <c r="N11" s="12">
        <f t="shared" si="6"/>
        <v>0</v>
      </c>
      <c r="O11" s="27">
        <f t="shared" si="4"/>
        <v>24000</v>
      </c>
      <c r="P11" s="10" t="s">
        <v>31</v>
      </c>
      <c r="Q11" s="11"/>
      <c r="R11" s="11"/>
      <c r="S11" s="12">
        <f t="shared" si="7"/>
        <v>0</v>
      </c>
      <c r="T11" s="27">
        <f t="shared" si="5"/>
        <v>22000</v>
      </c>
      <c r="U11" s="46">
        <f t="shared" si="0"/>
        <v>24</v>
      </c>
      <c r="V11" s="47">
        <f t="shared" si="1"/>
        <v>-11</v>
      </c>
      <c r="W11" s="48">
        <f t="shared" si="2"/>
        <v>-13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22</v>
      </c>
      <c r="F12" s="10" t="s">
        <v>28</v>
      </c>
      <c r="G12" s="11">
        <v>2900</v>
      </c>
      <c r="H12" s="11"/>
      <c r="I12" s="12">
        <f t="shared" si="12"/>
        <v>0</v>
      </c>
      <c r="J12" s="27">
        <f t="shared" si="3"/>
        <v>61900</v>
      </c>
      <c r="K12" s="10" t="s">
        <v>29</v>
      </c>
      <c r="L12" s="11">
        <v>-2900</v>
      </c>
      <c r="M12" s="11"/>
      <c r="N12" s="12">
        <f t="shared" si="6"/>
        <v>0</v>
      </c>
      <c r="O12" s="27">
        <f t="shared" si="4"/>
        <v>21100</v>
      </c>
      <c r="P12" s="10"/>
      <c r="Q12" s="11"/>
      <c r="R12" s="11"/>
      <c r="S12" s="12" t="str">
        <f t="shared" si="7"/>
        <v/>
      </c>
      <c r="T12" s="27">
        <f t="shared" si="5"/>
        <v>22000</v>
      </c>
      <c r="U12" s="46">
        <f t="shared" si="0"/>
        <v>26.9</v>
      </c>
      <c r="V12" s="47">
        <f t="shared" si="1"/>
        <v>-13.9</v>
      </c>
      <c r="W12" s="48">
        <f t="shared" si="2"/>
        <v>-13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1</v>
      </c>
      <c r="D13" s="24">
        <f t="shared" si="11"/>
        <v>0</v>
      </c>
      <c r="E13" s="5" t="s">
        <v>22</v>
      </c>
      <c r="F13" s="10" t="s">
        <v>29</v>
      </c>
      <c r="G13" s="11">
        <v>-8000</v>
      </c>
      <c r="H13" s="11"/>
      <c r="I13" s="12">
        <f t="shared" si="12"/>
        <v>-1000</v>
      </c>
      <c r="J13" s="27">
        <f t="shared" si="3"/>
        <v>52900</v>
      </c>
      <c r="K13" s="10"/>
      <c r="L13" s="11"/>
      <c r="M13" s="11"/>
      <c r="N13" s="12" t="str">
        <f t="shared" si="6"/>
        <v/>
      </c>
      <c r="O13" s="27">
        <f t="shared" si="4"/>
        <v>21100</v>
      </c>
      <c r="P13" s="10" t="s">
        <v>28</v>
      </c>
      <c r="Q13" s="11">
        <v>8000</v>
      </c>
      <c r="R13" s="11"/>
      <c r="S13" s="12">
        <f t="shared" si="7"/>
        <v>1000</v>
      </c>
      <c r="T13" s="27">
        <f t="shared" si="5"/>
        <v>31000</v>
      </c>
      <c r="U13" s="46">
        <f t="shared" si="0"/>
        <v>17.899999999999999</v>
      </c>
      <c r="V13" s="47">
        <f t="shared" si="1"/>
        <v>-13.9</v>
      </c>
      <c r="W13" s="48">
        <f t="shared" si="2"/>
        <v>-4</v>
      </c>
    </row>
    <row r="14" spans="1:23" x14ac:dyDescent="0.4">
      <c r="A14" s="17" t="str">
        <f t="shared" si="8"/>
        <v>南</v>
      </c>
      <c r="B14" s="24">
        <f t="shared" si="9"/>
        <v>3</v>
      </c>
      <c r="C14" s="24">
        <f t="shared" si="10"/>
        <v>0</v>
      </c>
      <c r="D14" s="24">
        <f t="shared" si="11"/>
        <v>0</v>
      </c>
      <c r="E14" s="5" t="s">
        <v>24</v>
      </c>
      <c r="F14" s="10" t="s">
        <v>28</v>
      </c>
      <c r="G14" s="11">
        <v>3200</v>
      </c>
      <c r="H14" s="11"/>
      <c r="I14" s="12">
        <f t="shared" si="12"/>
        <v>0</v>
      </c>
      <c r="J14" s="27">
        <f t="shared" si="3"/>
        <v>56100</v>
      </c>
      <c r="K14" s="10"/>
      <c r="L14" s="11"/>
      <c r="M14" s="11"/>
      <c r="N14" s="12" t="str">
        <f t="shared" si="6"/>
        <v/>
      </c>
      <c r="O14" s="27">
        <f t="shared" si="4"/>
        <v>21100</v>
      </c>
      <c r="P14" s="10" t="s">
        <v>29</v>
      </c>
      <c r="Q14" s="11">
        <v>-3200</v>
      </c>
      <c r="R14" s="11"/>
      <c r="S14" s="12">
        <f t="shared" si="7"/>
        <v>0</v>
      </c>
      <c r="T14" s="27">
        <f t="shared" si="5"/>
        <v>27800</v>
      </c>
      <c r="U14" s="46">
        <f t="shared" si="0"/>
        <v>21.1</v>
      </c>
      <c r="V14" s="47">
        <f t="shared" si="1"/>
        <v>-13.9</v>
      </c>
      <c r="W14" s="48">
        <f t="shared" si="2"/>
        <v>-7.2</v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23</v>
      </c>
      <c r="G1" s="34"/>
      <c r="H1" s="34"/>
      <c r="I1" s="35"/>
      <c r="J1" s="36"/>
      <c r="K1" s="33" t="s">
        <v>25</v>
      </c>
      <c r="L1" s="34"/>
      <c r="M1" s="34"/>
      <c r="N1" s="35"/>
      <c r="O1" s="36"/>
      <c r="P1" s="33" t="s">
        <v>27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たかの</v>
      </c>
      <c r="W2" s="22" t="str">
        <f>$P$1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31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29000</v>
      </c>
      <c r="K4" s="10" t="s">
        <v>31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29000</v>
      </c>
      <c r="P4" s="10" t="s">
        <v>30</v>
      </c>
      <c r="Q4" s="11">
        <v>12000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47000</v>
      </c>
      <c r="U4" s="46">
        <f t="shared" si="0"/>
        <v>-6</v>
      </c>
      <c r="V4" s="47">
        <f t="shared" si="1"/>
        <v>-6</v>
      </c>
      <c r="W4" s="48">
        <f t="shared" si="2"/>
        <v>12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27">
        <f t="shared" si="3"/>
        <v>22500</v>
      </c>
      <c r="K5" s="10" t="s">
        <v>31</v>
      </c>
      <c r="L5" s="11">
        <v>-6000</v>
      </c>
      <c r="M5" s="11"/>
      <c r="N5" s="12">
        <f t="shared" ref="N5:N30" si="6">IF(OR(K5="ロン",K5="ツモ"),$C5*1000,IF(K5="放銃",$C5*-1000,IF(K5="ツモ支払",$C5*-500,"")))</f>
        <v>-500</v>
      </c>
      <c r="O5" s="27">
        <f t="shared" si="4"/>
        <v>22500</v>
      </c>
      <c r="P5" s="10" t="s">
        <v>30</v>
      </c>
      <c r="Q5" s="11">
        <v>12000</v>
      </c>
      <c r="R5" s="11"/>
      <c r="S5" s="12">
        <f t="shared" ref="S5:S30" si="7">IF(OR(P5="ロン",P5="ツモ"),$C5*1000,IF(P5="放銃",$C5*-1000,IF(P5="ツモ支払",$C5*-500,"")))</f>
        <v>1000</v>
      </c>
      <c r="T5" s="27">
        <f t="shared" si="5"/>
        <v>60000</v>
      </c>
      <c r="U5" s="46">
        <f t="shared" si="0"/>
        <v>-12.5</v>
      </c>
      <c r="V5" s="47">
        <f t="shared" si="1"/>
        <v>-12.5</v>
      </c>
      <c r="W5" s="48">
        <f t="shared" si="2"/>
        <v>25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1300</v>
      </c>
      <c r="H6" s="11"/>
      <c r="I6" s="12">
        <f t="shared" ref="I6:I30" si="12">IF(OR(F6="ロン",F6="ツモ"),$C6*1000,IF(F6="放銃",$C6*-1000,IF(F6="ツモ支払",$C6*-500,"")))</f>
        <v>2000</v>
      </c>
      <c r="J6" s="27">
        <f t="shared" si="3"/>
        <v>25800</v>
      </c>
      <c r="K6" s="10" t="s">
        <v>29</v>
      </c>
      <c r="L6" s="11">
        <v>-1300</v>
      </c>
      <c r="M6" s="11"/>
      <c r="N6" s="12">
        <f t="shared" si="6"/>
        <v>-2000</v>
      </c>
      <c r="O6" s="27">
        <f t="shared" si="4"/>
        <v>19200</v>
      </c>
      <c r="P6" s="10"/>
      <c r="Q6" s="11"/>
      <c r="R6" s="11"/>
      <c r="S6" s="12" t="str">
        <f t="shared" si="7"/>
        <v/>
      </c>
      <c r="T6" s="27">
        <f t="shared" si="5"/>
        <v>60000</v>
      </c>
      <c r="U6" s="46">
        <f t="shared" si="0"/>
        <v>-9.1999999999999993</v>
      </c>
      <c r="V6" s="47">
        <f t="shared" si="1"/>
        <v>-15.8</v>
      </c>
      <c r="W6" s="48">
        <f t="shared" si="2"/>
        <v>25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22</v>
      </c>
      <c r="F7" s="10" t="s">
        <v>28</v>
      </c>
      <c r="G7" s="11">
        <v>12000</v>
      </c>
      <c r="H7" s="11"/>
      <c r="I7" s="12">
        <f t="shared" si="12"/>
        <v>0</v>
      </c>
      <c r="J7" s="27">
        <f t="shared" si="3"/>
        <v>37800</v>
      </c>
      <c r="K7" s="10"/>
      <c r="L7" s="11"/>
      <c r="M7" s="11"/>
      <c r="N7" s="12" t="str">
        <f t="shared" si="6"/>
        <v/>
      </c>
      <c r="O7" s="27">
        <f t="shared" si="4"/>
        <v>19200</v>
      </c>
      <c r="P7" s="10" t="s">
        <v>29</v>
      </c>
      <c r="Q7" s="11">
        <v>-12000</v>
      </c>
      <c r="R7" s="11"/>
      <c r="S7" s="12">
        <f t="shared" si="7"/>
        <v>0</v>
      </c>
      <c r="T7" s="27">
        <f t="shared" si="5"/>
        <v>48000</v>
      </c>
      <c r="U7" s="46">
        <f t="shared" si="0"/>
        <v>2.8</v>
      </c>
      <c r="V7" s="47">
        <f t="shared" si="1"/>
        <v>-15.8</v>
      </c>
      <c r="W7" s="48">
        <f t="shared" si="2"/>
        <v>13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1</v>
      </c>
      <c r="D8" s="24">
        <f t="shared" si="11"/>
        <v>0</v>
      </c>
      <c r="E8" s="5" t="s">
        <v>22</v>
      </c>
      <c r="F8" s="10" t="s">
        <v>30</v>
      </c>
      <c r="G8" s="11">
        <v>12000</v>
      </c>
      <c r="H8" s="11"/>
      <c r="I8" s="12">
        <f t="shared" si="12"/>
        <v>1000</v>
      </c>
      <c r="J8" s="27">
        <f t="shared" si="3"/>
        <v>50800</v>
      </c>
      <c r="K8" s="10" t="s">
        <v>31</v>
      </c>
      <c r="L8" s="11">
        <v>-6000</v>
      </c>
      <c r="M8" s="11"/>
      <c r="N8" s="12">
        <f t="shared" si="6"/>
        <v>-500</v>
      </c>
      <c r="O8" s="27">
        <f t="shared" si="4"/>
        <v>12700</v>
      </c>
      <c r="P8" s="10" t="s">
        <v>31</v>
      </c>
      <c r="Q8" s="11">
        <v>-6000</v>
      </c>
      <c r="R8" s="11"/>
      <c r="S8" s="12">
        <f t="shared" si="7"/>
        <v>-500</v>
      </c>
      <c r="T8" s="27">
        <f t="shared" si="5"/>
        <v>41500</v>
      </c>
      <c r="U8" s="46">
        <f t="shared" si="0"/>
        <v>15.8</v>
      </c>
      <c r="V8" s="47">
        <f t="shared" si="1"/>
        <v>-22.3</v>
      </c>
      <c r="W8" s="48">
        <f t="shared" si="2"/>
        <v>6.5</v>
      </c>
    </row>
    <row r="9" spans="1:23" x14ac:dyDescent="0.4">
      <c r="A9" s="17" t="str">
        <f t="shared" si="8"/>
        <v>東</v>
      </c>
      <c r="B9" s="24">
        <f t="shared" si="9"/>
        <v>2</v>
      </c>
      <c r="C9" s="24">
        <f t="shared" si="10"/>
        <v>2</v>
      </c>
      <c r="D9" s="24">
        <f t="shared" si="11"/>
        <v>0</v>
      </c>
      <c r="E9" s="5" t="s">
        <v>22</v>
      </c>
      <c r="F9" s="10" t="s">
        <v>28</v>
      </c>
      <c r="G9" s="11">
        <v>2400</v>
      </c>
      <c r="H9" s="11"/>
      <c r="I9" s="12">
        <f t="shared" si="12"/>
        <v>2000</v>
      </c>
      <c r="J9" s="27">
        <f t="shared" si="3"/>
        <v>55200</v>
      </c>
      <c r="K9" s="10"/>
      <c r="L9" s="11"/>
      <c r="M9" s="11"/>
      <c r="N9" s="12" t="str">
        <f t="shared" si="6"/>
        <v/>
      </c>
      <c r="O9" s="27">
        <f t="shared" si="4"/>
        <v>12700</v>
      </c>
      <c r="P9" s="10" t="s">
        <v>29</v>
      </c>
      <c r="Q9" s="11">
        <v>-2400</v>
      </c>
      <c r="R9" s="11"/>
      <c r="S9" s="12">
        <f t="shared" si="7"/>
        <v>-2000</v>
      </c>
      <c r="T9" s="27">
        <f t="shared" si="5"/>
        <v>37100</v>
      </c>
      <c r="U9" s="46">
        <f t="shared" si="0"/>
        <v>20.2</v>
      </c>
      <c r="V9" s="47">
        <f t="shared" si="1"/>
        <v>-22.3</v>
      </c>
      <c r="W9" s="48">
        <f t="shared" si="2"/>
        <v>2.1</v>
      </c>
    </row>
    <row r="10" spans="1:23" x14ac:dyDescent="0.4">
      <c r="A10" s="17" t="str">
        <f t="shared" si="8"/>
        <v>東</v>
      </c>
      <c r="B10" s="24">
        <f t="shared" si="9"/>
        <v>2</v>
      </c>
      <c r="C10" s="24">
        <f t="shared" si="10"/>
        <v>3</v>
      </c>
      <c r="D10" s="24">
        <f t="shared" si="11"/>
        <v>0</v>
      </c>
      <c r="E10" s="5" t="s">
        <v>22</v>
      </c>
      <c r="F10" s="10" t="s">
        <v>29</v>
      </c>
      <c r="G10" s="11">
        <v>-5200</v>
      </c>
      <c r="H10" s="11"/>
      <c r="I10" s="12">
        <f t="shared" si="12"/>
        <v>-3000</v>
      </c>
      <c r="J10" s="27">
        <f t="shared" si="3"/>
        <v>47000</v>
      </c>
      <c r="K10" s="10"/>
      <c r="L10" s="11"/>
      <c r="M10" s="11"/>
      <c r="N10" s="12" t="str">
        <f t="shared" si="6"/>
        <v/>
      </c>
      <c r="O10" s="27">
        <f t="shared" si="4"/>
        <v>12700</v>
      </c>
      <c r="P10" s="10" t="s">
        <v>28</v>
      </c>
      <c r="Q10" s="11">
        <v>5200</v>
      </c>
      <c r="R10" s="11"/>
      <c r="S10" s="12">
        <f t="shared" si="7"/>
        <v>3000</v>
      </c>
      <c r="T10" s="27">
        <f t="shared" si="5"/>
        <v>45300</v>
      </c>
      <c r="U10" s="46">
        <f t="shared" si="0"/>
        <v>12</v>
      </c>
      <c r="V10" s="47">
        <f t="shared" si="1"/>
        <v>-22.3</v>
      </c>
      <c r="W10" s="48">
        <f t="shared" si="2"/>
        <v>10.3</v>
      </c>
    </row>
    <row r="11" spans="1:23" x14ac:dyDescent="0.4">
      <c r="A11" s="17" t="str">
        <f t="shared" si="8"/>
        <v>東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29</v>
      </c>
      <c r="G11" s="11">
        <v>-2000</v>
      </c>
      <c r="H11" s="11"/>
      <c r="I11" s="12">
        <f t="shared" si="12"/>
        <v>0</v>
      </c>
      <c r="J11" s="27">
        <f t="shared" si="3"/>
        <v>45000</v>
      </c>
      <c r="K11" s="10" t="s">
        <v>28</v>
      </c>
      <c r="L11" s="11">
        <v>2000</v>
      </c>
      <c r="M11" s="11"/>
      <c r="N11" s="12">
        <f t="shared" si="6"/>
        <v>0</v>
      </c>
      <c r="O11" s="27">
        <f t="shared" si="4"/>
        <v>14700</v>
      </c>
      <c r="P11" s="10"/>
      <c r="Q11" s="11"/>
      <c r="R11" s="11"/>
      <c r="S11" s="12" t="str">
        <f t="shared" si="7"/>
        <v/>
      </c>
      <c r="T11" s="27">
        <f t="shared" si="5"/>
        <v>45300</v>
      </c>
      <c r="U11" s="46">
        <f t="shared" si="0"/>
        <v>10</v>
      </c>
      <c r="V11" s="47">
        <f t="shared" si="1"/>
        <v>-20.3</v>
      </c>
      <c r="W11" s="48">
        <f t="shared" si="2"/>
        <v>10.3</v>
      </c>
    </row>
    <row r="12" spans="1:23" x14ac:dyDescent="0.4">
      <c r="A12" s="17" t="str">
        <f t="shared" si="8"/>
        <v>南</v>
      </c>
      <c r="B12" s="24">
        <f t="shared" si="9"/>
        <v>1</v>
      </c>
      <c r="C12" s="24">
        <f t="shared" si="10"/>
        <v>0</v>
      </c>
      <c r="D12" s="24">
        <f t="shared" si="11"/>
        <v>0</v>
      </c>
      <c r="E12" s="5" t="s">
        <v>26</v>
      </c>
      <c r="F12" s="10" t="s">
        <v>29</v>
      </c>
      <c r="G12" s="11">
        <v>-12000</v>
      </c>
      <c r="H12" s="11"/>
      <c r="I12" s="12">
        <f t="shared" si="12"/>
        <v>0</v>
      </c>
      <c r="J12" s="27">
        <f t="shared" si="3"/>
        <v>33000</v>
      </c>
      <c r="K12" s="10" t="s">
        <v>28</v>
      </c>
      <c r="L12" s="11">
        <v>12000</v>
      </c>
      <c r="M12" s="11"/>
      <c r="N12" s="12">
        <f t="shared" si="6"/>
        <v>0</v>
      </c>
      <c r="O12" s="27">
        <f t="shared" si="4"/>
        <v>26700</v>
      </c>
      <c r="P12" s="10"/>
      <c r="Q12" s="11"/>
      <c r="R12" s="11"/>
      <c r="S12" s="12" t="str">
        <f t="shared" si="7"/>
        <v/>
      </c>
      <c r="T12" s="27">
        <f t="shared" si="5"/>
        <v>45300</v>
      </c>
      <c r="U12" s="46">
        <f t="shared" si="0"/>
        <v>-2</v>
      </c>
      <c r="V12" s="47">
        <f t="shared" si="1"/>
        <v>-8.3000000000000007</v>
      </c>
      <c r="W12" s="48">
        <f t="shared" si="2"/>
        <v>10.3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0</v>
      </c>
      <c r="D13" s="24">
        <f t="shared" si="11"/>
        <v>0</v>
      </c>
      <c r="E13" s="5" t="s">
        <v>22</v>
      </c>
      <c r="F13" s="10" t="s">
        <v>29</v>
      </c>
      <c r="G13" s="11">
        <v>-64000</v>
      </c>
      <c r="H13" s="11"/>
      <c r="I13" s="12">
        <f t="shared" si="12"/>
        <v>0</v>
      </c>
      <c r="J13" s="27">
        <f t="shared" si="3"/>
        <v>-31000</v>
      </c>
      <c r="K13" s="10"/>
      <c r="L13" s="11"/>
      <c r="M13" s="11"/>
      <c r="N13" s="12" t="str">
        <f t="shared" si="6"/>
        <v/>
      </c>
      <c r="O13" s="27">
        <f t="shared" si="4"/>
        <v>26700</v>
      </c>
      <c r="P13" s="10" t="s">
        <v>28</v>
      </c>
      <c r="Q13" s="11">
        <v>64000</v>
      </c>
      <c r="R13" s="11"/>
      <c r="S13" s="12">
        <f t="shared" si="7"/>
        <v>0</v>
      </c>
      <c r="T13" s="27">
        <f t="shared" si="5"/>
        <v>109300</v>
      </c>
      <c r="U13" s="46">
        <f t="shared" si="0"/>
        <v>-66</v>
      </c>
      <c r="V13" s="47">
        <f t="shared" si="1"/>
        <v>-8.3000000000000007</v>
      </c>
      <c r="W13" s="48">
        <f t="shared" si="2"/>
        <v>74.3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2018-12-20T05:39:54Z</dcterms:modified>
</cp:coreProperties>
</file>