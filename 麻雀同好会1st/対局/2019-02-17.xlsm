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02DA0E25-885E-4F38-BEEC-BDBA5A4AD1C7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D12" i="19"/>
  <c r="D13" i="19" s="1"/>
  <c r="C12" i="19"/>
  <c r="C13" i="19" s="1"/>
  <c r="D11" i="19"/>
  <c r="C11" i="19"/>
  <c r="D10" i="19"/>
  <c r="D9" i="19"/>
  <c r="D8" i="19"/>
  <c r="C8" i="19"/>
  <c r="C9" i="19" s="1"/>
  <c r="C10" i="19" s="1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 s="1"/>
  <c r="T12" i="18"/>
  <c r="W12" i="18" s="1"/>
  <c r="O12" i="18"/>
  <c r="V12" i="18" s="1"/>
  <c r="J12" i="18"/>
  <c r="U12" i="18" s="1"/>
  <c r="D12" i="18"/>
  <c r="C12" i="18"/>
  <c r="B12" i="18"/>
  <c r="A12" i="18"/>
  <c r="D10" i="18"/>
  <c r="D11" i="18" s="1"/>
  <c r="C10" i="18"/>
  <c r="C11" i="18" s="1"/>
  <c r="D9" i="18"/>
  <c r="C9" i="18"/>
  <c r="D8" i="18"/>
  <c r="C8" i="18"/>
  <c r="D7" i="18"/>
  <c r="D6" i="18"/>
  <c r="C6" i="18"/>
  <c r="C7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 s="1"/>
  <c r="D9" i="17"/>
  <c r="C9" i="17"/>
  <c r="D8" i="17"/>
  <c r="C8" i="17"/>
  <c r="C6" i="17"/>
  <c r="C7" i="17" s="1"/>
  <c r="B6" i="17"/>
  <c r="B7" i="17" s="1"/>
  <c r="J5" i="17"/>
  <c r="J6" i="17" s="1"/>
  <c r="D5" i="17"/>
  <c r="D6" i="17" s="1"/>
  <c r="D7" i="17" s="1"/>
  <c r="C5" i="17"/>
  <c r="B5" i="17"/>
  <c r="T4" i="17"/>
  <c r="T5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A5" i="19" l="1"/>
  <c r="V5" i="19"/>
  <c r="B7" i="19"/>
  <c r="A7" i="19" s="1"/>
  <c r="O7" i="19"/>
  <c r="V6" i="19"/>
  <c r="T5" i="19"/>
  <c r="A6" i="19"/>
  <c r="J6" i="19"/>
  <c r="A5" i="18"/>
  <c r="V5" i="18"/>
  <c r="B7" i="18"/>
  <c r="O7" i="18"/>
  <c r="V6" i="18"/>
  <c r="T5" i="18"/>
  <c r="A6" i="18"/>
  <c r="J6" i="18"/>
  <c r="A6" i="17"/>
  <c r="A5" i="17"/>
  <c r="U5" i="17"/>
  <c r="W4" i="17"/>
  <c r="U6" i="17"/>
  <c r="J7" i="17"/>
  <c r="W5" i="17"/>
  <c r="T6" i="17"/>
  <c r="B8" i="17"/>
  <c r="A7" i="17"/>
  <c r="O5" i="17"/>
  <c r="U6" i="19" l="1"/>
  <c r="J7" i="19"/>
  <c r="O8" i="19"/>
  <c r="V7" i="19"/>
  <c r="W5" i="19"/>
  <c r="T6" i="19"/>
  <c r="B8" i="19"/>
  <c r="A8" i="19" s="1"/>
  <c r="A7" i="18"/>
  <c r="J7" i="18"/>
  <c r="U6" i="18"/>
  <c r="O8" i="18"/>
  <c r="V7" i="18"/>
  <c r="W5" i="18"/>
  <c r="T6" i="18"/>
  <c r="B8" i="18"/>
  <c r="A8" i="18" s="1"/>
  <c r="V5" i="17"/>
  <c r="O6" i="17"/>
  <c r="T7" i="17"/>
  <c r="W6" i="17"/>
  <c r="B9" i="17"/>
  <c r="A9" i="17" s="1"/>
  <c r="J8" i="17"/>
  <c r="U7" i="17"/>
  <c r="A8" i="17"/>
  <c r="B9" i="19" l="1"/>
  <c r="A9" i="19" s="1"/>
  <c r="V8" i="19"/>
  <c r="O9" i="19"/>
  <c r="W6" i="19"/>
  <c r="T7" i="19"/>
  <c r="U7" i="19"/>
  <c r="J8" i="19"/>
  <c r="B9" i="18"/>
  <c r="A9" i="18" s="1"/>
  <c r="V8" i="18"/>
  <c r="O9" i="18"/>
  <c r="W6" i="18"/>
  <c r="T7" i="18"/>
  <c r="U7" i="18"/>
  <c r="J8" i="18"/>
  <c r="U8" i="17"/>
  <c r="J9" i="17"/>
  <c r="W7" i="17"/>
  <c r="T8" i="17"/>
  <c r="V6" i="17"/>
  <c r="O7" i="17"/>
  <c r="J9" i="19" l="1"/>
  <c r="U8" i="19"/>
  <c r="O10" i="19"/>
  <c r="V9" i="19"/>
  <c r="T8" i="19"/>
  <c r="W7" i="19"/>
  <c r="B10" i="19"/>
  <c r="A10" i="19" s="1"/>
  <c r="O10" i="18"/>
  <c r="V9" i="18"/>
  <c r="U8" i="18"/>
  <c r="J9" i="18"/>
  <c r="W7" i="18"/>
  <c r="T8" i="18"/>
  <c r="B10" i="18"/>
  <c r="A10" i="18" s="1"/>
  <c r="U9" i="17"/>
  <c r="T9" i="17"/>
  <c r="W8" i="17"/>
  <c r="O8" i="17"/>
  <c r="V7" i="17"/>
  <c r="O11" i="19" l="1"/>
  <c r="V10" i="19"/>
  <c r="B11" i="19"/>
  <c r="A11" i="19" s="1"/>
  <c r="W8" i="19"/>
  <c r="T9" i="19"/>
  <c r="U9" i="19"/>
  <c r="J10" i="19"/>
  <c r="U9" i="18"/>
  <c r="J10" i="18"/>
  <c r="W8" i="18"/>
  <c r="T9" i="18"/>
  <c r="B11" i="18"/>
  <c r="A11" i="18" s="1"/>
  <c r="V10" i="18"/>
  <c r="O11" i="18"/>
  <c r="V11" i="18" s="1"/>
  <c r="W9" i="17"/>
  <c r="V8" i="17"/>
  <c r="O9" i="17"/>
  <c r="U10" i="19" l="1"/>
  <c r="J11" i="19"/>
  <c r="B12" i="19"/>
  <c r="T10" i="19"/>
  <c r="W9" i="19"/>
  <c r="O12" i="19"/>
  <c r="V11" i="19"/>
  <c r="W9" i="18"/>
  <c r="T10" i="18"/>
  <c r="U10" i="18"/>
  <c r="J11" i="18"/>
  <c r="V9" i="17"/>
  <c r="B13" i="19" l="1"/>
  <c r="A13" i="19" s="1"/>
  <c r="U11" i="19"/>
  <c r="J12" i="19"/>
  <c r="A12" i="19"/>
  <c r="O13" i="19"/>
  <c r="V13" i="19" s="1"/>
  <c r="V12" i="19"/>
  <c r="W10" i="19"/>
  <c r="T11" i="19"/>
  <c r="U11" i="18"/>
  <c r="W10" i="18"/>
  <c r="T11" i="18"/>
  <c r="U12" i="19" l="1"/>
  <c r="J13" i="19"/>
  <c r="U13" i="19" s="1"/>
  <c r="W11" i="19"/>
  <c r="T12" i="19"/>
  <c r="W11" i="18"/>
  <c r="W12" i="19" l="1"/>
  <c r="T13" i="19"/>
  <c r="W13" i="19" s="1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C10" i="16"/>
  <c r="D9" i="16"/>
  <c r="C9" i="16"/>
  <c r="D8" i="16"/>
  <c r="C8" i="16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6" l="1"/>
  <c r="B7" i="16"/>
  <c r="O7" i="16"/>
  <c r="V6" i="16"/>
  <c r="T5" i="16"/>
  <c r="A6" i="16"/>
  <c r="J6" i="16"/>
  <c r="O8" i="16" l="1"/>
  <c r="V7" i="16"/>
  <c r="W5" i="16"/>
  <c r="T6" i="16"/>
  <c r="B8" i="16"/>
  <c r="A8" i="16" s="1"/>
  <c r="U6" i="16"/>
  <c r="J7" i="16"/>
  <c r="A7" i="16"/>
  <c r="U7" i="16" l="1"/>
  <c r="J8" i="16"/>
  <c r="W6" i="16"/>
  <c r="T7" i="16"/>
  <c r="B9" i="16"/>
  <c r="O9" i="16"/>
  <c r="V8" i="16"/>
  <c r="W7" i="16" l="1"/>
  <c r="T8" i="16"/>
  <c r="O10" i="16"/>
  <c r="V9" i="16"/>
  <c r="B10" i="16"/>
  <c r="A10" i="16" s="1"/>
  <c r="U8" i="16"/>
  <c r="J9" i="16"/>
  <c r="A9" i="16"/>
  <c r="U9" i="16" l="1"/>
  <c r="J10" i="16"/>
  <c r="V10" i="16"/>
  <c r="O11" i="16"/>
  <c r="V11" i="16" s="1"/>
  <c r="W8" i="16"/>
  <c r="T9" i="16"/>
  <c r="B11" i="16"/>
  <c r="A11" i="16"/>
  <c r="W9" i="16" l="1"/>
  <c r="T10" i="16"/>
  <c r="U10" i="16"/>
  <c r="J11" i="16"/>
  <c r="U11" i="16" s="1"/>
  <c r="W10" i="16" l="1"/>
  <c r="T11" i="16"/>
  <c r="W11" i="16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<sst xmlns="http://schemas.openxmlformats.org/spreadsheetml/2006/main" count="958" uniqueCount="153">
  <si>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</si>
  <si>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</si>
  <si>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</si>
  <si>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</si>
  <si>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</si>
  <si>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</si>
  <si>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</si>
  <si>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</si>
  <si>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</si>
  <si>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</si>
  <si>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</si>
  <si>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</si>
  <si>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</si>
  <si>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</si>
  <si>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</si>
  <si>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</si>
  <si>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</si>
  <si>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</si>
  <si>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</si>
  <si>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</si>
  <si>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</si>
  <si>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</si>
  <si>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</si>
  <si>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</si>
  <si>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</si>
  <si>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</si>
  <si>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</si>
  <si>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</si>
  <si>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</si>
  <si>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</si>
  <si>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</si>
  <si>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</si>
  <si>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</si>
  <si>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</si>
  <si>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</si>
  <si>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</si>
  <si>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</si>
  <si>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</si>
  <si>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</si>
  <si>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</si>
  <si>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</si>
  <si>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</si>
  <si>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</si>
  <si>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</si>
  <si>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</si>
  <si>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</si>
  <si>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</si>
  <si>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</si>
  <si>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</si>
  <si>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</si>
  <si>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</si>
  <si>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</si>
  <si>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</si>
  <si>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</si>
  <si>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</si>
  <si>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</si>
  <si>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</si>
  <si>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</si>
  <si>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</si>
  <si>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</si>
  <si>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</si>
  <si>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</si>
  <si>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</si>
  <si>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</si>
  <si>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</si>
  <si>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</si>
  <si>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</si>
  <si>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</si>
  <si>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</si>
  <si>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</si>
  <si>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</si>
  <si>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</si>
  <si>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</si>
  <si>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</si>
  <si>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</si>
  <si>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</si>
  <si>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</si>
  <si>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</si>
  <si>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</si>
  <si>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</si>
  <si>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</si>
  <si>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</si>
  <si>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</si>
  <si>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</si>
  <si>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</si>
  <si>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</si>
  <si>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</si>
  <si>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</si>
  <si>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</si>
  <si>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</si>
  <si>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</si>
  <si>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</si>
  <si>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</si>
  <si>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</si>
  <si>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</si>
  <si>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</si>
  <si>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</si>
  <si>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</si>
  <si>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</si>
  <si>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</si>
  <si>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</si>
  <si>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</si>
  <si>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</si>
  <si>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</si>
  <si>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</si>
  <si>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</si>
  <si>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</si>
  <si>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</si>
  <si>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</si>
  <si>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</si>
  <si>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</si>
  <si>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</si>
  <si>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</si>
  <si>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</si>
  <si>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</si>
  <si>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</si>
  <si>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</si>
  <si>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</si>
  <si>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</si>
  <si>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</si>
  <si>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</si>
  <si>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</si>
  <si>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</si>
  <si>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</si>
  <si>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</si>
  <si>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</si>
  <si>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</si>
  <si>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</si>
  <si>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</si>
  <si>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</si>
  <si>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</si>
  <si>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</si>
  <si>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</si>
  <si>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</si>
  <si>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</si>
  <si>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</si>
  <si>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</si>
  <si>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</si>
  <si>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</si>
  <si>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</si>
  <si>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</si>
  <si>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放銃</t>
  </si>
  <si>
    <t>ロン</t>
  </si>
  <si>
    <t>01</t>
  </si>
  <si>
    <t>ツモ支払</t>
  </si>
  <si>
    <t>ツモ</t>
  </si>
  <si>
    <t>*</t>
  </si>
  <si>
    <t>02</t>
  </si>
  <si>
    <t>りくと</t>
  </si>
  <si>
    <t>りくと</t>
    <phoneticPr fontId="1"/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</si>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</sst>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142</v>
      </c>
      <c r="L4" s="9">
        <v>5200</v>
      </c>
      <c r="M4" s="9">
        <v>1000</v>
      </c>
      <c r="N4" s="55">
        <v>0</v>
      </c>
      <c r="O4" s="21">
        <f>IF(COUNTA($F4,$K4,$P4)&gt;0,O3+SUM(L4:N4),"")</f>
        <v>41200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-5.2</v>
      </c>
      <c r="V4" s="61">
        <f t="shared" ref="V4:V30" si="1">IF($O4="","",ROUND(($O4-$O$3)/1000,1))</f>
        <v>6.2</v>
      </c>
      <c r="W4" s="62">
        <f t="shared" ref="W4:W30" si="2">IF($T4="","",ROUND(($T4-$T$3)/1000,1))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143</v>
      </c>
      <c r="BA4" s="48" t="s">
        <v>82</v>
      </c>
      <c r="BB4" s="48" t="s">
        <v>81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144</v>
      </c>
      <c r="G5" s="9">
        <v>-5000</v>
      </c>
      <c r="H5" s="9"/>
      <c r="I5" s="55">
        <v>0</v>
      </c>
      <c r="J5" s="21">
        <f t="shared" ref="J5:J30" si="5">IF(COUNTA($F5,$K5,$P5)&gt;0,J4+SUM(G5:I5),"")</f>
        <v>24800</v>
      </c>
      <c r="K5" s="8" t="s">
        <v>145</v>
      </c>
      <c r="L5" s="9">
        <v>8000</v>
      </c>
      <c r="M5" s="9"/>
      <c r="N5" s="55">
        <v>0</v>
      </c>
      <c r="O5" s="21">
        <f t="shared" ref="O5:O30" si="6">IF(COUNTA($F5,$K5,$P5)&gt;0,O4+SUM(L5:N5),"")</f>
        <v>49200</v>
      </c>
      <c r="P5" s="8" t="s">
        <v>144</v>
      </c>
      <c r="Q5" s="9">
        <v>-3000</v>
      </c>
      <c r="R5" s="9"/>
      <c r="S5" s="55">
        <v>0</v>
      </c>
      <c r="T5" s="21">
        <f t="shared" ref="T5:T30" si="7">IF(COUNTA($F5,$K5,$P5)&gt;0,T4+SUM(Q5:S5),"")</f>
        <v>31000</v>
      </c>
      <c r="U5" s="60">
        <f t="shared" si="0"/>
        <v>-10.199999999999999</v>
      </c>
      <c r="V5" s="61">
        <f t="shared" si="1"/>
        <v>14.2</v>
      </c>
      <c r="W5" s="62">
        <f t="shared" si="2"/>
        <v>-4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4</v>
      </c>
      <c r="AY5" s="36">
        <v>30</v>
      </c>
      <c r="AZ5" s="47" t="s">
        <v>83</v>
      </c>
      <c r="BA5" s="48" t="s">
        <v>87</v>
      </c>
      <c r="BB5" s="48" t="s">
        <v>80</v>
      </c>
      <c r="BC5" s="48" t="s">
        <v>82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144</v>
      </c>
      <c r="G6" s="9">
        <v>-1500</v>
      </c>
      <c r="H6" s="9">
        <v>-1000</v>
      </c>
      <c r="I6" s="55">
        <v>0</v>
      </c>
      <c r="J6" s="21">
        <f t="shared" si="5"/>
        <v>22300</v>
      </c>
      <c r="K6" s="8" t="s">
        <v>145</v>
      </c>
      <c r="L6" s="9">
        <v>3000</v>
      </c>
      <c r="M6" s="9">
        <v>1000</v>
      </c>
      <c r="N6" s="55">
        <v>0</v>
      </c>
      <c r="O6" s="21">
        <f t="shared" si="6"/>
        <v>53200</v>
      </c>
      <c r="P6" s="8" t="s">
        <v>144</v>
      </c>
      <c r="Q6" s="9">
        <v>-1500</v>
      </c>
      <c r="R6" s="9"/>
      <c r="S6" s="55">
        <v>0</v>
      </c>
      <c r="T6" s="21">
        <f t="shared" si="7"/>
        <v>29500</v>
      </c>
      <c r="U6" s="60">
        <f t="shared" si="0"/>
        <v>-12.7</v>
      </c>
      <c r="V6" s="61">
        <f t="shared" si="1"/>
        <v>18.2</v>
      </c>
      <c r="W6" s="62">
        <f t="shared" si="2"/>
        <v>-5.5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2</v>
      </c>
      <c r="AY6" s="36">
        <v>30</v>
      </c>
      <c r="AZ6" s="47" t="s">
        <v>83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137</v>
      </c>
      <c r="F7" s="8" t="s">
        <v>142</v>
      </c>
      <c r="G7" s="9">
        <v>3200</v>
      </c>
      <c r="H7" s="9"/>
      <c r="I7" s="55">
        <v>1000</v>
      </c>
      <c r="J7" s="21">
        <f t="shared" si="5"/>
        <v>26500</v>
      </c>
      <c r="K7" s="8" t="s">
        <v>141</v>
      </c>
      <c r="L7" s="9">
        <v>-3200</v>
      </c>
      <c r="M7" s="9"/>
      <c r="N7" s="55">
        <v>-1000</v>
      </c>
      <c r="O7" s="21">
        <f t="shared" si="6"/>
        <v>49000</v>
      </c>
      <c r="P7" s="8"/>
      <c r="Q7" s="9"/>
      <c r="R7" s="9"/>
      <c r="S7" s="55"/>
      <c r="T7" s="21">
        <f t="shared" si="7"/>
        <v>29500</v>
      </c>
      <c r="U7" s="60">
        <f t="shared" si="0"/>
        <v>-8.5</v>
      </c>
      <c r="V7" s="61">
        <f t="shared" si="1"/>
        <v>14</v>
      </c>
      <c r="W7" s="62">
        <f t="shared" si="2"/>
        <v>-5.5</v>
      </c>
      <c r="Y7" s="8"/>
      <c r="Z7" s="41"/>
      <c r="AA7" s="32"/>
      <c r="AB7" s="32">
        <v>1</v>
      </c>
      <c r="AC7" s="32">
        <v>2</v>
      </c>
      <c r="AD7" s="36">
        <v>50</v>
      </c>
      <c r="AE7" s="47" t="s">
        <v>87</v>
      </c>
      <c r="AF7" s="48" t="s">
        <v>82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142</v>
      </c>
      <c r="G8" s="9">
        <v>8000</v>
      </c>
      <c r="H8" s="9"/>
      <c r="I8" s="55">
        <v>0</v>
      </c>
      <c r="J8" s="21">
        <f t="shared" si="5"/>
        <v>34500</v>
      </c>
      <c r="K8" s="8"/>
      <c r="L8" s="9"/>
      <c r="M8" s="9"/>
      <c r="N8" s="55"/>
      <c r="O8" s="21">
        <f t="shared" si="6"/>
        <v>49000</v>
      </c>
      <c r="P8" s="8" t="s">
        <v>141</v>
      </c>
      <c r="Q8" s="9">
        <v>-8000</v>
      </c>
      <c r="R8" s="9"/>
      <c r="S8" s="55">
        <v>0</v>
      </c>
      <c r="T8" s="21">
        <f t="shared" si="7"/>
        <v>21500</v>
      </c>
      <c r="U8" s="60">
        <f t="shared" si="0"/>
        <v>-0.5</v>
      </c>
      <c r="V8" s="61">
        <f t="shared" si="1"/>
        <v>14</v>
      </c>
      <c r="W8" s="62">
        <f t="shared" si="2"/>
        <v>-13.5</v>
      </c>
      <c r="Y8" s="8"/>
      <c r="Z8" s="41"/>
      <c r="AA8" s="32">
        <v>1</v>
      </c>
      <c r="AB8" s="32"/>
      <c r="AC8" s="32">
        <v>4</v>
      </c>
      <c r="AD8" s="36">
        <v>40</v>
      </c>
      <c r="AE8" s="47" t="s">
        <v>143</v>
      </c>
      <c r="AF8" s="48" t="s">
        <v>87</v>
      </c>
      <c r="AG8" s="48" t="s">
        <v>82</v>
      </c>
      <c r="AH8" s="48" t="s">
        <v>80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142</v>
      </c>
      <c r="G9" s="9">
        <v>18000</v>
      </c>
      <c r="H9" s="9"/>
      <c r="I9" s="55">
        <v>0</v>
      </c>
      <c r="J9" s="21">
        <f t="shared" si="5"/>
        <v>52500</v>
      </c>
      <c r="K9" s="8"/>
      <c r="L9" s="9"/>
      <c r="M9" s="9"/>
      <c r="N9" s="55"/>
      <c r="O9" s="21">
        <f t="shared" si="6"/>
        <v>49000</v>
      </c>
      <c r="P9" s="8" t="s">
        <v>141</v>
      </c>
      <c r="Q9" s="9">
        <v>-18000</v>
      </c>
      <c r="R9" s="9"/>
      <c r="S9" s="55">
        <v>0</v>
      </c>
      <c r="T9" s="21">
        <f t="shared" si="7"/>
        <v>3500</v>
      </c>
      <c r="U9" s="60">
        <f t="shared" si="0"/>
        <v>17.5</v>
      </c>
      <c r="V9" s="61">
        <f t="shared" si="1"/>
        <v>14</v>
      </c>
      <c r="W9" s="62">
        <f t="shared" si="2"/>
        <v>-31.5</v>
      </c>
      <c r="Y9" s="8"/>
      <c r="Z9" s="41"/>
      <c r="AA9" s="32">
        <v>1</v>
      </c>
      <c r="AB9" s="32"/>
      <c r="AC9" s="32">
        <v>6</v>
      </c>
      <c r="AD9" s="36" t="s">
        <v>146</v>
      </c>
      <c r="AE9" s="47" t="s">
        <v>143</v>
      </c>
      <c r="AF9" s="48" t="s">
        <v>147</v>
      </c>
      <c r="AG9" s="48" t="s">
        <v>84</v>
      </c>
      <c r="AH9" s="48" t="s">
        <v>82</v>
      </c>
      <c r="AI9" s="48" t="s">
        <v>80</v>
      </c>
      <c r="AJ9" s="48" t="s">
        <v>81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">
        <v>135</v>
      </c>
      <c r="F10" s="8" t="s">
        <v>144</v>
      </c>
      <c r="G10" s="9">
        <v>-7500</v>
      </c>
      <c r="H10" s="9"/>
      <c r="I10" s="55">
        <v>-500</v>
      </c>
      <c r="J10" s="21">
        <f t="shared" si="5"/>
        <v>44500</v>
      </c>
      <c r="K10" s="8" t="s">
        <v>144</v>
      </c>
      <c r="L10" s="9">
        <v>-4500</v>
      </c>
      <c r="M10" s="9"/>
      <c r="N10" s="55">
        <v>-500</v>
      </c>
      <c r="O10" s="21">
        <f t="shared" si="6"/>
        <v>44000</v>
      </c>
      <c r="P10" s="8" t="s">
        <v>145</v>
      </c>
      <c r="Q10" s="9">
        <v>12000</v>
      </c>
      <c r="R10" s="9"/>
      <c r="S10" s="55">
        <v>1000</v>
      </c>
      <c r="T10" s="21">
        <f t="shared" si="7"/>
        <v>16500</v>
      </c>
      <c r="U10" s="60">
        <f t="shared" si="0"/>
        <v>9.5</v>
      </c>
      <c r="V10" s="61">
        <f t="shared" si="1"/>
        <v>9</v>
      </c>
      <c r="W10" s="62">
        <f t="shared" si="2"/>
        <v>-18.5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146</v>
      </c>
      <c r="BU10" s="47" t="s">
        <v>143</v>
      </c>
      <c r="BV10" s="48" t="s">
        <v>83</v>
      </c>
      <c r="BW10" s="48" t="s">
        <v>102</v>
      </c>
      <c r="BX10" s="48" t="s">
        <v>80</v>
      </c>
      <c r="BY10" s="48" t="s">
        <v>80</v>
      </c>
      <c r="BZ10" s="48" t="s">
        <v>82</v>
      </c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142</v>
      </c>
      <c r="G11" s="9">
        <v>3900</v>
      </c>
      <c r="H11" s="9"/>
      <c r="I11" s="55">
        <v>0</v>
      </c>
      <c r="J11" s="21">
        <f t="shared" si="5"/>
        <v>48400</v>
      </c>
      <c r="K11" s="8"/>
      <c r="L11" s="9"/>
      <c r="M11" s="9"/>
      <c r="N11" s="55"/>
      <c r="O11" s="21">
        <f t="shared" si="6"/>
        <v>44000</v>
      </c>
      <c r="P11" s="8" t="s">
        <v>141</v>
      </c>
      <c r="Q11" s="9">
        <v>-3900</v>
      </c>
      <c r="R11" s="9"/>
      <c r="S11" s="55">
        <v>0</v>
      </c>
      <c r="T11" s="21">
        <f t="shared" si="7"/>
        <v>12600</v>
      </c>
      <c r="U11" s="60">
        <f t="shared" si="0"/>
        <v>13.4</v>
      </c>
      <c r="V11" s="61">
        <f t="shared" si="1"/>
        <v>9</v>
      </c>
      <c r="W11" s="62">
        <f t="shared" si="2"/>
        <v>-22.4</v>
      </c>
      <c r="Y11" s="8"/>
      <c r="Z11" s="41"/>
      <c r="AA11" s="32">
        <v>1</v>
      </c>
      <c r="AB11" s="32"/>
      <c r="AC11" s="32">
        <v>3</v>
      </c>
      <c r="AD11" s="36">
        <v>30</v>
      </c>
      <c r="AE11" s="47" t="s">
        <v>143</v>
      </c>
      <c r="AF11" s="48" t="s">
        <v>147</v>
      </c>
      <c r="AG11" s="48" t="s">
        <v>84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ED489-3268-43BD-ADD3-9CF35223DCE8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149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152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152</v>
      </c>
      <c r="L4" s="9">
        <v>1500</v>
      </c>
      <c r="M4" s="9">
        <v>-1000</v>
      </c>
      <c r="N4" s="55"/>
      <c r="O4" s="21">
        <f>IF(COUNTA($F4,$K4,$P4)&gt;0,O3+SUM(L4:N4),"")</f>
        <v>35500</v>
      </c>
      <c r="P4" s="8" t="s">
        <v>152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0.5</v>
      </c>
      <c r="V4" s="61">
        <f t="shared" ref="V4:V30" si="1">IF($O4="","",ROUND(($O4-$O$3)/1000,1))</f>
        <v>0.5</v>
      </c>
      <c r="W4" s="62">
        <f t="shared" ref="W4:W30" si="2">IF($T4="","",ROUND(($T4-$T$3)/1000,1))</f>
        <v>-3</v>
      </c>
      <c r="Y4" s="8" t="s">
        <v>150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150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151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2</v>
      </c>
      <c r="E5" s="4" t="s">
        <v>135</v>
      </c>
      <c r="F5" s="8" t="s">
        <v>152</v>
      </c>
      <c r="G5" s="9">
        <v>-1500</v>
      </c>
      <c r="H5" s="9"/>
      <c r="I5" s="55"/>
      <c r="J5" s="21">
        <f t="shared" ref="J5:J30" si="5">IF(COUNTA($F5,$K5,$P5)&gt;0,J4+SUM(G5:I5),"")</f>
        <v>34000</v>
      </c>
      <c r="K5" s="8" t="s">
        <v>152</v>
      </c>
      <c r="L5" s="9">
        <v>3000</v>
      </c>
      <c r="M5" s="9">
        <v>-1000</v>
      </c>
      <c r="N5" s="55"/>
      <c r="O5" s="21">
        <f t="shared" ref="O5:O30" si="6">IF(COUNTA($F5,$K5,$P5)&gt;0,O4+SUM(L5:N5),"")</f>
        <v>37500</v>
      </c>
      <c r="P5" s="8" t="s">
        <v>152</v>
      </c>
      <c r="Q5" s="9">
        <v>-1500</v>
      </c>
      <c r="R5" s="9"/>
      <c r="S5" s="55"/>
      <c r="T5" s="21">
        <f t="shared" ref="T5:T30" si="7">IF(COUNTA($F5,$K5,$P5)&gt;0,T4+SUM(Q5:S5),"")</f>
        <v>30500</v>
      </c>
      <c r="U5" s="60">
        <f t="shared" si="0"/>
        <v>-1</v>
      </c>
      <c r="V5" s="61">
        <f t="shared" si="1"/>
        <v>2.5</v>
      </c>
      <c r="W5" s="62">
        <f t="shared" si="2"/>
        <v>-4.5</v>
      </c>
      <c r="Y5" s="8" t="s">
        <v>151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150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151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2</v>
      </c>
      <c r="D6" s="18">
        <f t="shared" si="4"/>
        <v>3</v>
      </c>
      <c r="E6" s="4" t="s">
        <v>148</v>
      </c>
      <c r="F6" s="8" t="s">
        <v>152</v>
      </c>
      <c r="G6" s="9">
        <v>3000</v>
      </c>
      <c r="H6" s="9">
        <v>-1000</v>
      </c>
      <c r="I6" s="55"/>
      <c r="J6" s="21">
        <f t="shared" si="5"/>
        <v>36000</v>
      </c>
      <c r="K6" s="8" t="s">
        <v>152</v>
      </c>
      <c r="L6" s="9">
        <v>-1500</v>
      </c>
      <c r="M6" s="9"/>
      <c r="N6" s="55"/>
      <c r="O6" s="21">
        <f t="shared" si="6"/>
        <v>36000</v>
      </c>
      <c r="P6" s="8" t="s">
        <v>152</v>
      </c>
      <c r="Q6" s="9">
        <v>-1500</v>
      </c>
      <c r="R6" s="9"/>
      <c r="S6" s="55"/>
      <c r="T6" s="21">
        <f t="shared" si="7"/>
        <v>29000</v>
      </c>
      <c r="U6" s="60">
        <f t="shared" si="0"/>
        <v>1</v>
      </c>
      <c r="V6" s="61">
        <f t="shared" si="1"/>
        <v>1</v>
      </c>
      <c r="W6" s="62">
        <f t="shared" si="2"/>
        <v>-6</v>
      </c>
      <c r="Y6" s="8" t="s">
        <v>150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151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151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3</v>
      </c>
      <c r="D7" s="18">
        <f t="shared" si="4"/>
        <v>4</v>
      </c>
      <c r="E7" s="4" t="s">
        <v>139</v>
      </c>
      <c r="F7" s="8" t="s">
        <v>145</v>
      </c>
      <c r="G7" s="9">
        <v>2100</v>
      </c>
      <c r="H7" s="9">
        <v>4000</v>
      </c>
      <c r="I7" s="55">
        <v>3000</v>
      </c>
      <c r="J7" s="21">
        <f t="shared" si="5"/>
        <v>45100</v>
      </c>
      <c r="K7" s="8" t="s">
        <v>144</v>
      </c>
      <c r="L7" s="9">
        <v>-800</v>
      </c>
      <c r="M7" s="9"/>
      <c r="N7" s="55">
        <v>-1500</v>
      </c>
      <c r="O7" s="21">
        <f t="shared" si="6"/>
        <v>33700</v>
      </c>
      <c r="P7" s="8" t="s">
        <v>144</v>
      </c>
      <c r="Q7" s="9">
        <v>-1300</v>
      </c>
      <c r="R7" s="9"/>
      <c r="S7" s="55">
        <v>-1500</v>
      </c>
      <c r="T7" s="21">
        <f t="shared" si="7"/>
        <v>26200</v>
      </c>
      <c r="U7" s="60">
        <f t="shared" si="0"/>
        <v>10.1</v>
      </c>
      <c r="V7" s="61">
        <f t="shared" si="1"/>
        <v>-1.3</v>
      </c>
      <c r="W7" s="62">
        <f t="shared" si="2"/>
        <v>-8.8000000000000007</v>
      </c>
      <c r="Y7" s="8"/>
      <c r="Z7" s="41"/>
      <c r="AA7" s="32"/>
      <c r="AB7" s="32"/>
      <c r="AC7" s="32">
        <v>2</v>
      </c>
      <c r="AD7" s="36">
        <v>30</v>
      </c>
      <c r="AE7" s="47" t="s">
        <v>82</v>
      </c>
      <c r="AF7" s="48" t="s">
        <v>83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135</v>
      </c>
      <c r="F8" s="8" t="s">
        <v>141</v>
      </c>
      <c r="G8" s="9">
        <v>-16000</v>
      </c>
      <c r="H8" s="9">
        <v>-1000</v>
      </c>
      <c r="I8" s="55">
        <v>0</v>
      </c>
      <c r="J8" s="21">
        <f t="shared" si="5"/>
        <v>28100</v>
      </c>
      <c r="K8" s="8" t="s">
        <v>142</v>
      </c>
      <c r="L8" s="9">
        <v>8000</v>
      </c>
      <c r="M8" s="9">
        <v>1000</v>
      </c>
      <c r="N8" s="55">
        <v>0</v>
      </c>
      <c r="O8" s="21">
        <f t="shared" si="6"/>
        <v>42700</v>
      </c>
      <c r="P8" s="8" t="s">
        <v>142</v>
      </c>
      <c r="Q8" s="9">
        <v>8000</v>
      </c>
      <c r="R8" s="9"/>
      <c r="S8" s="55"/>
      <c r="T8" s="21">
        <f t="shared" si="7"/>
        <v>34200</v>
      </c>
      <c r="U8" s="60">
        <f t="shared" si="0"/>
        <v>-6.9</v>
      </c>
      <c r="V8" s="61">
        <f t="shared" si="1"/>
        <v>7.7</v>
      </c>
      <c r="W8" s="62">
        <f t="shared" si="2"/>
        <v>-0.8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143</v>
      </c>
      <c r="BA8" s="48" t="s">
        <v>89</v>
      </c>
      <c r="BB8" s="48" t="s">
        <v>84</v>
      </c>
      <c r="BC8" s="48" t="s">
        <v>81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146</v>
      </c>
      <c r="BU8" s="47" t="s">
        <v>143</v>
      </c>
      <c r="BV8" s="48" t="s">
        <v>89</v>
      </c>
      <c r="BW8" s="48" t="s">
        <v>84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148</v>
      </c>
      <c r="F9" s="8" t="s">
        <v>142</v>
      </c>
      <c r="G9" s="9">
        <v>12000</v>
      </c>
      <c r="H9" s="9">
        <v>1000</v>
      </c>
      <c r="I9" s="55">
        <v>0</v>
      </c>
      <c r="J9" s="21">
        <f t="shared" si="5"/>
        <v>41100</v>
      </c>
      <c r="K9" s="8" t="s">
        <v>141</v>
      </c>
      <c r="L9" s="9">
        <v>-12000</v>
      </c>
      <c r="M9" s="9">
        <v>-1000</v>
      </c>
      <c r="N9" s="55">
        <v>0</v>
      </c>
      <c r="O9" s="21">
        <f t="shared" si="6"/>
        <v>29700</v>
      </c>
      <c r="P9" s="8"/>
      <c r="Q9" s="9"/>
      <c r="R9" s="9"/>
      <c r="S9" s="55"/>
      <c r="T9" s="21">
        <f t="shared" si="7"/>
        <v>34200</v>
      </c>
      <c r="U9" s="60">
        <f t="shared" si="0"/>
        <v>6.1</v>
      </c>
      <c r="V9" s="61">
        <f t="shared" si="1"/>
        <v>-5.3</v>
      </c>
      <c r="W9" s="62">
        <f t="shared" si="2"/>
        <v>-0.8</v>
      </c>
      <c r="Y9" s="8"/>
      <c r="Z9" s="41"/>
      <c r="AA9" s="32"/>
      <c r="AB9" s="32"/>
      <c r="AC9" s="32">
        <v>7</v>
      </c>
      <c r="AD9" s="36" t="s">
        <v>146</v>
      </c>
      <c r="AE9" s="47" t="s">
        <v>89</v>
      </c>
      <c r="AF9" s="48" t="s">
        <v>86</v>
      </c>
      <c r="AG9" s="48" t="s">
        <v>82</v>
      </c>
      <c r="AH9" s="48" t="s">
        <v>82</v>
      </c>
      <c r="AI9" s="48" t="s">
        <v>80</v>
      </c>
      <c r="AJ9" s="48" t="s">
        <v>80</v>
      </c>
      <c r="AK9" s="48" t="s">
        <v>80</v>
      </c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02F2EFD2-0861-4291-BB33-7C4E1C675CF0}">
      <formula1>$U$2:$W$2</formula1>
    </dataValidation>
    <dataValidation type="list" showInputMessage="1" showErrorMessage="1" sqref="K4:K30 P4:P30 F4:F30" xr:uid="{E38E4A95-3E8E-4CEC-86CD-9FD48D0E90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803CF-F94D-43E6-95CE-7F8E6314B41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144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144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145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-3</v>
      </c>
      <c r="V4" s="61">
        <f t="shared" ref="V4:V30" si="1">IF($O4="","",ROUND(($O4-$O$3)/1000,1))</f>
        <v>-5</v>
      </c>
      <c r="W4" s="62">
        <f t="shared" ref="W4:W30" si="2">IF($T4="","",ROUND(($T4-$T$3)/1000,1))</f>
        <v>8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146</v>
      </c>
      <c r="BU4" s="47" t="s">
        <v>143</v>
      </c>
      <c r="BV4" s="48" t="s">
        <v>83</v>
      </c>
      <c r="BW4" s="48" t="s">
        <v>84</v>
      </c>
      <c r="BX4" s="48" t="s">
        <v>80</v>
      </c>
      <c r="BY4" s="48" t="s">
        <v>81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148</v>
      </c>
      <c r="F5" s="8" t="s">
        <v>145</v>
      </c>
      <c r="G5" s="9">
        <v>5300</v>
      </c>
      <c r="H5" s="9"/>
      <c r="I5" s="55">
        <v>0</v>
      </c>
      <c r="J5" s="21">
        <f t="shared" ref="J5:J30" si="5">IF(COUNTA($F5,$K5,$P5)&gt;0,J4+SUM(G5:I5),"")</f>
        <v>37300</v>
      </c>
      <c r="K5" s="8" t="s">
        <v>144</v>
      </c>
      <c r="L5" s="9">
        <v>-2000</v>
      </c>
      <c r="M5" s="9"/>
      <c r="N5" s="55">
        <v>0</v>
      </c>
      <c r="O5" s="21">
        <f t="shared" ref="O5:O30" si="6">IF(COUNTA($F5,$K5,$P5)&gt;0,O4+SUM(L5:N5),"")</f>
        <v>28000</v>
      </c>
      <c r="P5" s="8" t="s">
        <v>144</v>
      </c>
      <c r="Q5" s="9">
        <v>-3300</v>
      </c>
      <c r="R5" s="9"/>
      <c r="S5" s="55">
        <v>0</v>
      </c>
      <c r="T5" s="21">
        <f t="shared" ref="T5:T30" si="7">IF(COUNTA($F5,$K5,$P5)&gt;0,T4+SUM(Q5:S5),"")</f>
        <v>39700</v>
      </c>
      <c r="U5" s="60">
        <f t="shared" si="0"/>
        <v>2.2999999999999998</v>
      </c>
      <c r="V5" s="61">
        <f t="shared" si="1"/>
        <v>-7</v>
      </c>
      <c r="W5" s="62">
        <f t="shared" si="2"/>
        <v>4.7</v>
      </c>
      <c r="Y5" s="8"/>
      <c r="Z5" s="41"/>
      <c r="AA5" s="32">
        <v>1</v>
      </c>
      <c r="AB5" s="32"/>
      <c r="AC5" s="32">
        <v>4</v>
      </c>
      <c r="AD5" s="36">
        <v>20</v>
      </c>
      <c r="AE5" s="47" t="s">
        <v>143</v>
      </c>
      <c r="AF5" s="48" t="s">
        <v>84</v>
      </c>
      <c r="AG5" s="48" t="s">
        <v>83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145</v>
      </c>
      <c r="G6" s="9">
        <v>48000</v>
      </c>
      <c r="H6" s="9"/>
      <c r="I6" s="55">
        <v>0</v>
      </c>
      <c r="J6" s="21">
        <f t="shared" si="5"/>
        <v>85300</v>
      </c>
      <c r="K6" s="8" t="s">
        <v>144</v>
      </c>
      <c r="L6" s="9">
        <v>-24000</v>
      </c>
      <c r="M6" s="9"/>
      <c r="N6" s="55">
        <v>0</v>
      </c>
      <c r="O6" s="21">
        <f t="shared" si="6"/>
        <v>4000</v>
      </c>
      <c r="P6" s="8" t="s">
        <v>144</v>
      </c>
      <c r="Q6" s="9">
        <v>-24000</v>
      </c>
      <c r="R6" s="9"/>
      <c r="S6" s="55">
        <v>0</v>
      </c>
      <c r="T6" s="21">
        <f t="shared" si="7"/>
        <v>15700</v>
      </c>
      <c r="U6" s="60">
        <f t="shared" si="0"/>
        <v>50.3</v>
      </c>
      <c r="V6" s="61">
        <f t="shared" si="1"/>
        <v>-31</v>
      </c>
      <c r="W6" s="62">
        <f t="shared" si="2"/>
        <v>-19.3</v>
      </c>
      <c r="Y6" s="8"/>
      <c r="Z6" s="41"/>
      <c r="AA6" s="32"/>
      <c r="AB6" s="32"/>
      <c r="AC6" s="32">
        <v>13</v>
      </c>
      <c r="AD6" s="36" t="s">
        <v>146</v>
      </c>
      <c r="AE6" s="47" t="s">
        <v>109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 t="s">
        <v>144</v>
      </c>
      <c r="G7" s="9">
        <v>-2500</v>
      </c>
      <c r="H7" s="9"/>
      <c r="I7" s="55">
        <v>-500</v>
      </c>
      <c r="J7" s="21">
        <f t="shared" si="5"/>
        <v>82300</v>
      </c>
      <c r="K7" s="8" t="s">
        <v>145</v>
      </c>
      <c r="L7" s="9">
        <v>4000</v>
      </c>
      <c r="M7" s="9"/>
      <c r="N7" s="55">
        <v>1000</v>
      </c>
      <c r="O7" s="21">
        <f t="shared" si="6"/>
        <v>9000</v>
      </c>
      <c r="P7" s="8" t="s">
        <v>144</v>
      </c>
      <c r="Q7" s="9">
        <v>-1500</v>
      </c>
      <c r="R7" s="9"/>
      <c r="S7" s="55">
        <v>-500</v>
      </c>
      <c r="T7" s="21">
        <f t="shared" si="7"/>
        <v>13700</v>
      </c>
      <c r="U7" s="60">
        <f t="shared" si="0"/>
        <v>47.3</v>
      </c>
      <c r="V7" s="61">
        <f t="shared" si="1"/>
        <v>-26</v>
      </c>
      <c r="W7" s="62">
        <f t="shared" si="2"/>
        <v>-21.3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3</v>
      </c>
      <c r="AY7" s="36">
        <v>30</v>
      </c>
      <c r="AZ7" s="47" t="s">
        <v>83</v>
      </c>
      <c r="BA7" s="48" t="s">
        <v>88</v>
      </c>
      <c r="BB7" s="48" t="s">
        <v>82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137</v>
      </c>
      <c r="F8" s="8" t="s">
        <v>144</v>
      </c>
      <c r="G8" s="9">
        <v>-4500</v>
      </c>
      <c r="H8" s="9"/>
      <c r="I8" s="55">
        <v>0</v>
      </c>
      <c r="J8" s="21">
        <f t="shared" si="5"/>
        <v>77800</v>
      </c>
      <c r="K8" s="8" t="s">
        <v>144</v>
      </c>
      <c r="L8" s="9">
        <v>-7500</v>
      </c>
      <c r="M8" s="9">
        <v>-1000</v>
      </c>
      <c r="N8" s="55">
        <v>0</v>
      </c>
      <c r="O8" s="21">
        <f t="shared" si="6"/>
        <v>500</v>
      </c>
      <c r="P8" s="8" t="s">
        <v>145</v>
      </c>
      <c r="Q8" s="9">
        <v>12000</v>
      </c>
      <c r="R8" s="9">
        <v>1000</v>
      </c>
      <c r="S8" s="55">
        <v>0</v>
      </c>
      <c r="T8" s="21">
        <f t="shared" si="7"/>
        <v>26700</v>
      </c>
      <c r="U8" s="60">
        <f t="shared" si="0"/>
        <v>42.8</v>
      </c>
      <c r="V8" s="61">
        <f t="shared" si="1"/>
        <v>-34.5</v>
      </c>
      <c r="W8" s="62">
        <f t="shared" si="2"/>
        <v>-8.3000000000000007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7</v>
      </c>
      <c r="BT8" s="36" t="s">
        <v>146</v>
      </c>
      <c r="BU8" s="47" t="s">
        <v>83</v>
      </c>
      <c r="BV8" s="48" t="s">
        <v>105</v>
      </c>
      <c r="BW8" s="48" t="s">
        <v>82</v>
      </c>
      <c r="BX8" s="48" t="s">
        <v>97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148</v>
      </c>
      <c r="F9" s="8" t="s">
        <v>141</v>
      </c>
      <c r="G9" s="9">
        <v>-2600</v>
      </c>
      <c r="H9" s="9">
        <v>-1000</v>
      </c>
      <c r="I9" s="55">
        <v>0</v>
      </c>
      <c r="J9" s="21">
        <f t="shared" si="5"/>
        <v>74200</v>
      </c>
      <c r="K9" s="8" t="s">
        <v>142</v>
      </c>
      <c r="L9" s="9">
        <v>2600</v>
      </c>
      <c r="M9" s="9">
        <v>1000</v>
      </c>
      <c r="N9" s="55">
        <v>0</v>
      </c>
      <c r="O9" s="21">
        <f t="shared" si="6"/>
        <v>4100</v>
      </c>
      <c r="P9" s="8"/>
      <c r="Q9" s="9"/>
      <c r="R9" s="9"/>
      <c r="S9" s="55"/>
      <c r="T9" s="21">
        <f t="shared" si="7"/>
        <v>26700</v>
      </c>
      <c r="U9" s="60">
        <f t="shared" si="0"/>
        <v>39.200000000000003</v>
      </c>
      <c r="V9" s="61">
        <f t="shared" si="1"/>
        <v>-30.9</v>
      </c>
      <c r="W9" s="62">
        <f t="shared" si="2"/>
        <v>-8.3000000000000007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2</v>
      </c>
      <c r="AY9" s="36">
        <v>40</v>
      </c>
      <c r="AZ9" s="47" t="s">
        <v>87</v>
      </c>
      <c r="BA9" s="48" t="s">
        <v>82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152</v>
      </c>
      <c r="G10" s="9">
        <v>1500</v>
      </c>
      <c r="H10" s="9"/>
      <c r="I10" s="55"/>
      <c r="J10" s="21">
        <f t="shared" si="5"/>
        <v>75700</v>
      </c>
      <c r="K10" s="8" t="s">
        <v>152</v>
      </c>
      <c r="L10" s="9">
        <v>-3000</v>
      </c>
      <c r="M10" s="9"/>
      <c r="N10" s="55"/>
      <c r="O10" s="21">
        <f t="shared" si="6"/>
        <v>1100</v>
      </c>
      <c r="P10" s="8" t="s">
        <v>152</v>
      </c>
      <c r="Q10" s="9">
        <v>1500</v>
      </c>
      <c r="R10" s="9">
        <v>-1000</v>
      </c>
      <c r="S10" s="55"/>
      <c r="T10" s="21">
        <f t="shared" si="7"/>
        <v>27200</v>
      </c>
      <c r="U10" s="60">
        <f t="shared" si="0"/>
        <v>40.700000000000003</v>
      </c>
      <c r="V10" s="61">
        <f t="shared" si="1"/>
        <v>-33.9</v>
      </c>
      <c r="W10" s="62">
        <f t="shared" si="2"/>
        <v>-7.8</v>
      </c>
      <c r="Y10" s="8" t="s">
        <v>150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151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150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1</v>
      </c>
      <c r="D11" s="18">
        <f t="shared" si="4"/>
        <v>1</v>
      </c>
      <c r="E11" s="4" t="s">
        <v>135</v>
      </c>
      <c r="F11" s="8" t="s">
        <v>142</v>
      </c>
      <c r="G11" s="9">
        <v>24000</v>
      </c>
      <c r="H11" s="9">
        <v>1000</v>
      </c>
      <c r="I11" s="55">
        <v>1000</v>
      </c>
      <c r="J11" s="21">
        <f t="shared" si="5"/>
        <v>101700</v>
      </c>
      <c r="K11" s="8" t="s">
        <v>141</v>
      </c>
      <c r="L11" s="9">
        <v>-24000</v>
      </c>
      <c r="M11" s="9"/>
      <c r="N11" s="55">
        <v>-1000</v>
      </c>
      <c r="O11" s="21">
        <f t="shared" si="6"/>
        <v>-23900</v>
      </c>
      <c r="P11" s="8"/>
      <c r="Q11" s="9"/>
      <c r="R11" s="9"/>
      <c r="S11" s="55"/>
      <c r="T11" s="21">
        <f t="shared" si="7"/>
        <v>27200</v>
      </c>
      <c r="U11" s="60">
        <f t="shared" si="0"/>
        <v>66.7</v>
      </c>
      <c r="V11" s="61">
        <f t="shared" si="1"/>
        <v>-58.9</v>
      </c>
      <c r="W11" s="62">
        <f t="shared" si="2"/>
        <v>-7.8</v>
      </c>
      <c r="Y11" s="8"/>
      <c r="Z11" s="41"/>
      <c r="AA11" s="32"/>
      <c r="AB11" s="32">
        <v>1</v>
      </c>
      <c r="AC11" s="32">
        <v>9</v>
      </c>
      <c r="AD11" s="36" t="s">
        <v>146</v>
      </c>
      <c r="AE11" s="47" t="s">
        <v>82</v>
      </c>
      <c r="AF11" s="48" t="s">
        <v>82</v>
      </c>
      <c r="AG11" s="48" t="s">
        <v>80</v>
      </c>
      <c r="AH11" s="48" t="s">
        <v>80</v>
      </c>
      <c r="AI11" s="48" t="s">
        <v>107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BA96C5BF-C030-41C1-B9E1-94CEA33A65C1}">
      <formula1>"ロン,ツモ,放銃,ツモ支払,流局,チョンボ"</formula1>
    </dataValidation>
    <dataValidation type="list" allowBlank="1" showInputMessage="1" showErrorMessage="1" sqref="E4:E30" xr:uid="{EDDAFB60-4A84-416A-B44C-476D94A9C3C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38CE0-33BC-4279-8847-90F430F293C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142</v>
      </c>
      <c r="G4" s="9">
        <v>2600</v>
      </c>
      <c r="H4" s="9"/>
      <c r="I4" s="55">
        <v>0</v>
      </c>
      <c r="J4" s="21">
        <f>IF(COUNTA($F4,$K4,$P4)&gt;0,J3+SUM(G4:I4),"")</f>
        <v>37600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-2600</v>
      </c>
      <c r="R4" s="9"/>
      <c r="S4" s="55">
        <v>0</v>
      </c>
      <c r="T4" s="21">
        <f>IF(COUNTA($F4,$K4,$P4)&gt;0,T3+SUM(Q4:S4),"")</f>
        <v>32400</v>
      </c>
      <c r="U4" s="60">
        <f t="shared" ref="U4:U30" si="0">IF($J4="","",ROUND(($J4-$J$3)/1000,1))</f>
        <v>2.6</v>
      </c>
      <c r="V4" s="61">
        <f t="shared" ref="V4:V30" si="1">IF($O4="","",ROUND(($O4-$O$3)/1000,1))</f>
        <v>0</v>
      </c>
      <c r="W4" s="62">
        <f t="shared" ref="W4:W30" si="2">IF($T4="","",ROUND(($T4-$T$3)/1000,1))</f>
        <v>-2.6</v>
      </c>
      <c r="Y4" s="8"/>
      <c r="Z4" s="41"/>
      <c r="AA4" s="32">
        <v>1</v>
      </c>
      <c r="AB4" s="32"/>
      <c r="AC4" s="32">
        <v>2</v>
      </c>
      <c r="AD4" s="36">
        <v>40</v>
      </c>
      <c r="AE4" s="47" t="s">
        <v>143</v>
      </c>
      <c r="AF4" s="48" t="s">
        <v>81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148</v>
      </c>
      <c r="F5" s="8" t="s">
        <v>141</v>
      </c>
      <c r="G5" s="9">
        <v>-12000</v>
      </c>
      <c r="H5" s="9"/>
      <c r="I5" s="55">
        <v>0</v>
      </c>
      <c r="J5" s="21">
        <f t="shared" ref="J5:J30" si="5">IF(COUNTA($F5,$K5,$P5)&gt;0,J4+SUM(G5:I5),"")</f>
        <v>25600</v>
      </c>
      <c r="K5" s="8"/>
      <c r="L5" s="9"/>
      <c r="M5" s="9"/>
      <c r="N5" s="55"/>
      <c r="O5" s="21">
        <f t="shared" ref="O5:O30" si="6">IF(COUNTA($F5,$K5,$P5)&gt;0,O4+SUM(L5:N5),"")</f>
        <v>35000</v>
      </c>
      <c r="P5" s="8" t="s">
        <v>142</v>
      </c>
      <c r="Q5" s="9">
        <v>12000</v>
      </c>
      <c r="R5" s="9"/>
      <c r="S5" s="55">
        <v>0</v>
      </c>
      <c r="T5" s="21">
        <f t="shared" ref="T5:T30" si="7">IF(COUNTA($F5,$K5,$P5)&gt;0,T4+SUM(Q5:S5),"")</f>
        <v>44400</v>
      </c>
      <c r="U5" s="60">
        <f t="shared" si="0"/>
        <v>-9.4</v>
      </c>
      <c r="V5" s="61">
        <f t="shared" si="1"/>
        <v>0</v>
      </c>
      <c r="W5" s="62">
        <f t="shared" si="2"/>
        <v>9.4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4</v>
      </c>
      <c r="BT5" s="36">
        <v>30</v>
      </c>
      <c r="BU5" s="47" t="s">
        <v>87</v>
      </c>
      <c r="BV5" s="48" t="s">
        <v>80</v>
      </c>
      <c r="BW5" s="48" t="s">
        <v>80</v>
      </c>
      <c r="BX5" s="48" t="s">
        <v>80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148</v>
      </c>
      <c r="F6" s="8"/>
      <c r="G6" s="9"/>
      <c r="H6" s="9"/>
      <c r="I6" s="55"/>
      <c r="J6" s="21">
        <f t="shared" si="5"/>
        <v>25600</v>
      </c>
      <c r="K6" s="8" t="s">
        <v>142</v>
      </c>
      <c r="L6" s="9">
        <v>12000</v>
      </c>
      <c r="M6" s="9"/>
      <c r="N6" s="55">
        <v>1000</v>
      </c>
      <c r="O6" s="21">
        <f t="shared" si="6"/>
        <v>48000</v>
      </c>
      <c r="P6" s="8" t="s">
        <v>141</v>
      </c>
      <c r="Q6" s="9">
        <v>-12000</v>
      </c>
      <c r="R6" s="9"/>
      <c r="S6" s="55">
        <v>-1000</v>
      </c>
      <c r="T6" s="21">
        <f t="shared" si="7"/>
        <v>31400</v>
      </c>
      <c r="U6" s="60">
        <f t="shared" si="0"/>
        <v>-9.4</v>
      </c>
      <c r="V6" s="61">
        <f t="shared" si="1"/>
        <v>13</v>
      </c>
      <c r="W6" s="62">
        <f t="shared" si="2"/>
        <v>-3.6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7</v>
      </c>
      <c r="AY6" s="36" t="s">
        <v>146</v>
      </c>
      <c r="AZ6" s="47" t="s">
        <v>143</v>
      </c>
      <c r="BA6" s="48" t="s">
        <v>147</v>
      </c>
      <c r="BB6" s="48" t="s">
        <v>97</v>
      </c>
      <c r="BC6" s="48" t="s">
        <v>99</v>
      </c>
      <c r="BD6" s="48" t="s">
        <v>82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135</v>
      </c>
      <c r="F7" s="8" t="s">
        <v>144</v>
      </c>
      <c r="G7" s="9">
        <v>-5000</v>
      </c>
      <c r="H7" s="9"/>
      <c r="I7" s="55">
        <v>0</v>
      </c>
      <c r="J7" s="21">
        <f t="shared" si="5"/>
        <v>20600</v>
      </c>
      <c r="K7" s="8" t="s">
        <v>145</v>
      </c>
      <c r="L7" s="9">
        <v>8000</v>
      </c>
      <c r="M7" s="9"/>
      <c r="N7" s="55">
        <v>0</v>
      </c>
      <c r="O7" s="21">
        <f t="shared" si="6"/>
        <v>56000</v>
      </c>
      <c r="P7" s="8" t="s">
        <v>144</v>
      </c>
      <c r="Q7" s="9">
        <v>-3000</v>
      </c>
      <c r="R7" s="9"/>
      <c r="S7" s="55">
        <v>0</v>
      </c>
      <c r="T7" s="21">
        <f t="shared" si="7"/>
        <v>28400</v>
      </c>
      <c r="U7" s="60">
        <f t="shared" si="0"/>
        <v>-14.4</v>
      </c>
      <c r="V7" s="61">
        <f t="shared" si="1"/>
        <v>21</v>
      </c>
      <c r="W7" s="62">
        <f t="shared" si="2"/>
        <v>-6.6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5</v>
      </c>
      <c r="AY7" s="36" t="s">
        <v>146</v>
      </c>
      <c r="AZ7" s="47" t="s">
        <v>87</v>
      </c>
      <c r="BA7" s="48" t="s">
        <v>82</v>
      </c>
      <c r="BB7" s="48" t="s">
        <v>80</v>
      </c>
      <c r="BC7" s="48" t="s">
        <v>80</v>
      </c>
      <c r="BD7" s="48" t="s">
        <v>80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137</v>
      </c>
      <c r="F8" s="8" t="s">
        <v>141</v>
      </c>
      <c r="G8" s="9">
        <v>-2900</v>
      </c>
      <c r="H8" s="9"/>
      <c r="I8" s="55">
        <v>0</v>
      </c>
      <c r="J8" s="21">
        <f t="shared" si="5"/>
        <v>17700</v>
      </c>
      <c r="K8" s="8" t="s">
        <v>142</v>
      </c>
      <c r="L8" s="9">
        <v>2900</v>
      </c>
      <c r="M8" s="9"/>
      <c r="N8" s="55">
        <v>0</v>
      </c>
      <c r="O8" s="21">
        <f t="shared" si="6"/>
        <v>58900</v>
      </c>
      <c r="P8" s="8"/>
      <c r="Q8" s="9"/>
      <c r="R8" s="9"/>
      <c r="S8" s="55"/>
      <c r="T8" s="21">
        <f t="shared" si="7"/>
        <v>28400</v>
      </c>
      <c r="U8" s="60">
        <f t="shared" si="0"/>
        <v>-17.3</v>
      </c>
      <c r="V8" s="61">
        <f t="shared" si="1"/>
        <v>23.9</v>
      </c>
      <c r="W8" s="62">
        <f t="shared" si="2"/>
        <v>-6.6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2</v>
      </c>
      <c r="AY8" s="36">
        <v>30</v>
      </c>
      <c r="AZ8" s="47" t="s">
        <v>87</v>
      </c>
      <c r="BA8" s="48" t="s">
        <v>82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137</v>
      </c>
      <c r="F9" s="8" t="s">
        <v>144</v>
      </c>
      <c r="G9" s="9">
        <v>-12000</v>
      </c>
      <c r="H9" s="9">
        <v>-1000</v>
      </c>
      <c r="I9" s="55">
        <v>-500</v>
      </c>
      <c r="J9" s="21">
        <f t="shared" si="5"/>
        <v>4200</v>
      </c>
      <c r="K9" s="8" t="s">
        <v>145</v>
      </c>
      <c r="L9" s="9">
        <v>24000</v>
      </c>
      <c r="M9" s="9">
        <v>2000</v>
      </c>
      <c r="N9" s="55">
        <v>1000</v>
      </c>
      <c r="O9" s="21">
        <f t="shared" si="6"/>
        <v>85900</v>
      </c>
      <c r="P9" s="8" t="s">
        <v>144</v>
      </c>
      <c r="Q9" s="9">
        <v>-12000</v>
      </c>
      <c r="R9" s="9">
        <v>-1000</v>
      </c>
      <c r="S9" s="55">
        <v>-500</v>
      </c>
      <c r="T9" s="21">
        <f t="shared" si="7"/>
        <v>14900</v>
      </c>
      <c r="U9" s="60">
        <f t="shared" si="0"/>
        <v>-30.8</v>
      </c>
      <c r="V9" s="61">
        <f t="shared" si="1"/>
        <v>50.9</v>
      </c>
      <c r="W9" s="62">
        <f t="shared" si="2"/>
        <v>-20.100000000000001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8</v>
      </c>
      <c r="AY9" s="36" t="s">
        <v>146</v>
      </c>
      <c r="AZ9" s="47" t="s">
        <v>143</v>
      </c>
      <c r="BA9" s="48" t="s">
        <v>83</v>
      </c>
      <c r="BB9" s="48" t="s">
        <v>80</v>
      </c>
      <c r="BC9" s="48" t="s">
        <v>81</v>
      </c>
      <c r="BD9" s="48" t="s">
        <v>82</v>
      </c>
      <c r="BE9" s="48" t="s">
        <v>93</v>
      </c>
      <c r="BF9" s="48" t="s">
        <v>82</v>
      </c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">
        <v>137</v>
      </c>
      <c r="F10" s="8" t="s">
        <v>142</v>
      </c>
      <c r="G10" s="9">
        <v>5200</v>
      </c>
      <c r="H10" s="9"/>
      <c r="I10" s="55">
        <v>2000</v>
      </c>
      <c r="J10" s="21">
        <f t="shared" si="5"/>
        <v>11400</v>
      </c>
      <c r="K10" s="8" t="s">
        <v>141</v>
      </c>
      <c r="L10" s="9">
        <v>-5200</v>
      </c>
      <c r="M10" s="9"/>
      <c r="N10" s="55">
        <v>-2000</v>
      </c>
      <c r="O10" s="21">
        <f t="shared" si="6"/>
        <v>78700</v>
      </c>
      <c r="P10" s="8"/>
      <c r="Q10" s="9"/>
      <c r="R10" s="9"/>
      <c r="S10" s="55"/>
      <c r="T10" s="21">
        <f t="shared" si="7"/>
        <v>14900</v>
      </c>
      <c r="U10" s="60">
        <f t="shared" si="0"/>
        <v>-23.6</v>
      </c>
      <c r="V10" s="61">
        <f t="shared" si="1"/>
        <v>43.7</v>
      </c>
      <c r="W10" s="62">
        <f t="shared" si="2"/>
        <v>-20.100000000000001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143</v>
      </c>
      <c r="AF10" s="48" t="s">
        <v>82</v>
      </c>
      <c r="AG10" s="48" t="s">
        <v>80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148</v>
      </c>
      <c r="F11" s="8" t="s">
        <v>152</v>
      </c>
      <c r="G11" s="9">
        <v>1500</v>
      </c>
      <c r="H11" s="9">
        <v>-1000</v>
      </c>
      <c r="I11" s="55"/>
      <c r="J11" s="21">
        <f t="shared" si="5"/>
        <v>11900</v>
      </c>
      <c r="K11" s="8" t="s">
        <v>152</v>
      </c>
      <c r="L11" s="9">
        <v>-3000</v>
      </c>
      <c r="M11" s="9"/>
      <c r="N11" s="55"/>
      <c r="O11" s="21">
        <f t="shared" si="6"/>
        <v>75700</v>
      </c>
      <c r="P11" s="8" t="s">
        <v>152</v>
      </c>
      <c r="Q11" s="9">
        <v>1500</v>
      </c>
      <c r="R11" s="9"/>
      <c r="S11" s="55"/>
      <c r="T11" s="21">
        <f t="shared" si="7"/>
        <v>16400</v>
      </c>
      <c r="U11" s="60">
        <f t="shared" si="0"/>
        <v>-23.1</v>
      </c>
      <c r="V11" s="61">
        <f t="shared" si="1"/>
        <v>40.700000000000003</v>
      </c>
      <c r="W11" s="62">
        <f t="shared" si="2"/>
        <v>-18.600000000000001</v>
      </c>
      <c r="Y11" s="8" t="s">
        <v>150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151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150</v>
      </c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1</v>
      </c>
      <c r="D12" s="18">
        <f t="shared" si="4"/>
        <v>1</v>
      </c>
      <c r="E12" s="4" t="s">
        <v>148</v>
      </c>
      <c r="F12" s="8" t="s">
        <v>152</v>
      </c>
      <c r="G12" s="9">
        <v>0</v>
      </c>
      <c r="H12" s="9"/>
      <c r="I12" s="55"/>
      <c r="J12" s="21">
        <f t="shared" si="5"/>
        <v>11900</v>
      </c>
      <c r="K12" s="8" t="s">
        <v>152</v>
      </c>
      <c r="L12" s="9">
        <v>0</v>
      </c>
      <c r="M12" s="9"/>
      <c r="N12" s="55"/>
      <c r="O12" s="21">
        <f t="shared" si="6"/>
        <v>75700</v>
      </c>
      <c r="P12" s="8" t="s">
        <v>152</v>
      </c>
      <c r="Q12" s="9">
        <v>0</v>
      </c>
      <c r="R12" s="9"/>
      <c r="S12" s="55"/>
      <c r="T12" s="21">
        <f t="shared" si="7"/>
        <v>16400</v>
      </c>
      <c r="U12" s="60">
        <f t="shared" si="0"/>
        <v>-23.1</v>
      </c>
      <c r="V12" s="61">
        <f t="shared" si="1"/>
        <v>40.700000000000003</v>
      </c>
      <c r="W12" s="62">
        <f t="shared" si="2"/>
        <v>-18.600000000000001</v>
      </c>
      <c r="Y12" s="8" t="s">
        <v>150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150</v>
      </c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150</v>
      </c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2</v>
      </c>
      <c r="D13" s="18">
        <f t="shared" si="4"/>
        <v>1</v>
      </c>
      <c r="E13" s="4" t="s">
        <v>148</v>
      </c>
      <c r="F13" s="8" t="s">
        <v>141</v>
      </c>
      <c r="G13" s="9">
        <v>-12000</v>
      </c>
      <c r="H13" s="9">
        <v>-1000</v>
      </c>
      <c r="I13" s="55">
        <v>-2000</v>
      </c>
      <c r="J13" s="21">
        <f t="shared" si="5"/>
        <v>-3100</v>
      </c>
      <c r="K13" s="8"/>
      <c r="L13" s="9"/>
      <c r="M13" s="9"/>
      <c r="N13" s="55"/>
      <c r="O13" s="21">
        <f t="shared" si="6"/>
        <v>75700</v>
      </c>
      <c r="P13" s="8" t="s">
        <v>142</v>
      </c>
      <c r="Q13" s="9">
        <v>12000</v>
      </c>
      <c r="R13" s="9">
        <v>2000</v>
      </c>
      <c r="S13" s="55">
        <v>2000</v>
      </c>
      <c r="T13" s="21">
        <f t="shared" si="7"/>
        <v>32400</v>
      </c>
      <c r="U13" s="60">
        <f t="shared" si="0"/>
        <v>-38.1</v>
      </c>
      <c r="V13" s="61">
        <f t="shared" si="1"/>
        <v>40.700000000000003</v>
      </c>
      <c r="W13" s="62">
        <f t="shared" si="2"/>
        <v>-2.6</v>
      </c>
      <c r="Y13" s="8"/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30</v>
      </c>
      <c r="BU13" s="47" t="s">
        <v>143</v>
      </c>
      <c r="BV13" s="48" t="s">
        <v>84</v>
      </c>
      <c r="BW13" s="48" t="s">
        <v>82</v>
      </c>
      <c r="BX13" s="48" t="s">
        <v>81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DCF8F6A5-1278-4769-98D2-45FFC069ADA8}">
      <formula1>$U$2:$W$2</formula1>
    </dataValidation>
    <dataValidation type="list" showInputMessage="1" showErrorMessage="1" sqref="K4:K30 P4:P30 F4:F30" xr:uid="{9EB71167-2779-415C-980A-152CB43E1B3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AAC81-FE36-4CFC-8B78-63BCECD5CB67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148</v>
      </c>
      <c r="F4" s="8" t="s">
        <v>145</v>
      </c>
      <c r="G4" s="9">
        <v>2800</v>
      </c>
      <c r="H4" s="9"/>
      <c r="I4" s="55">
        <v>0</v>
      </c>
      <c r="J4" s="21">
        <f>IF(COUNTA($F4,$K4,$P4)&gt;0,J3+SUM(G4:I4),"")</f>
        <v>37800</v>
      </c>
      <c r="K4" s="8" t="s">
        <v>144</v>
      </c>
      <c r="L4" s="9">
        <v>-1100</v>
      </c>
      <c r="M4" s="9"/>
      <c r="N4" s="55">
        <v>0</v>
      </c>
      <c r="O4" s="21">
        <f>IF(COUNTA($F4,$K4,$P4)&gt;0,O3+SUM(L4:N4),"")</f>
        <v>33900</v>
      </c>
      <c r="P4" s="8" t="s">
        <v>144</v>
      </c>
      <c r="Q4" s="9">
        <v>-1700</v>
      </c>
      <c r="R4" s="9"/>
      <c r="S4" s="55">
        <v>0</v>
      </c>
      <c r="T4" s="21">
        <f>IF(COUNTA($F4,$K4,$P4)&gt;0,T3+SUM(Q4:S4),"")</f>
        <v>33300</v>
      </c>
      <c r="U4" s="60">
        <f t="shared" ref="U4:U30" si="0">IF($J4="","",ROUND(($J4-$J$3)/1000,1))</f>
        <v>2.8</v>
      </c>
      <c r="V4" s="61">
        <f t="shared" ref="V4:V30" si="1">IF($O4="","",ROUND(($O4-$O$3)/1000,1))</f>
        <v>-1.1000000000000001</v>
      </c>
      <c r="W4" s="62">
        <f t="shared" ref="W4:W30" si="2">IF($T4="","",ROUND(($T4-$T$3)/1000,1))</f>
        <v>-1.7</v>
      </c>
      <c r="Y4" s="8"/>
      <c r="Z4" s="41"/>
      <c r="AA4" s="32">
        <v>1</v>
      </c>
      <c r="AB4" s="32"/>
      <c r="AC4" s="32">
        <v>3</v>
      </c>
      <c r="AD4" s="36">
        <v>20</v>
      </c>
      <c r="AE4" s="47" t="s">
        <v>143</v>
      </c>
      <c r="AF4" s="48" t="s">
        <v>84</v>
      </c>
      <c r="AG4" s="48" t="s">
        <v>83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142</v>
      </c>
      <c r="G5" s="9">
        <v>7700</v>
      </c>
      <c r="H5" s="9">
        <v>1000</v>
      </c>
      <c r="I5" s="55">
        <v>0</v>
      </c>
      <c r="J5" s="21">
        <f t="shared" ref="J5:J30" si="5">IF(COUNTA($F5,$K5,$P5)&gt;0,J4+SUM(G5:I5),"")</f>
        <v>46500</v>
      </c>
      <c r="K5" s="8" t="s">
        <v>141</v>
      </c>
      <c r="L5" s="9">
        <v>-7700</v>
      </c>
      <c r="M5" s="9">
        <v>-1000</v>
      </c>
      <c r="N5" s="55">
        <v>0</v>
      </c>
      <c r="O5" s="21">
        <f t="shared" ref="O5:O30" si="6">IF(COUNTA($F5,$K5,$P5)&gt;0,O4+SUM(L5:N5),"")</f>
        <v>25200</v>
      </c>
      <c r="P5" s="8"/>
      <c r="Q5" s="9"/>
      <c r="R5" s="9"/>
      <c r="S5" s="55"/>
      <c r="T5" s="21">
        <f t="shared" ref="T5:T30" si="7">IF(COUNTA($F5,$K5,$P5)&gt;0,T4+SUM(Q5:S5),"")</f>
        <v>33300</v>
      </c>
      <c r="U5" s="60">
        <f t="shared" si="0"/>
        <v>11.5</v>
      </c>
      <c r="V5" s="61">
        <f t="shared" si="1"/>
        <v>-9.8000000000000007</v>
      </c>
      <c r="W5" s="62">
        <f t="shared" si="2"/>
        <v>-1.7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143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135</v>
      </c>
      <c r="F6" s="8" t="s">
        <v>144</v>
      </c>
      <c r="G6" s="9">
        <v>-700</v>
      </c>
      <c r="H6" s="9">
        <v>-1000</v>
      </c>
      <c r="I6" s="55">
        <v>-500</v>
      </c>
      <c r="J6" s="21">
        <f t="shared" si="5"/>
        <v>44300</v>
      </c>
      <c r="K6" s="8" t="s">
        <v>144</v>
      </c>
      <c r="L6" s="9">
        <v>-500</v>
      </c>
      <c r="M6" s="9"/>
      <c r="N6" s="55">
        <v>-500</v>
      </c>
      <c r="O6" s="21">
        <f t="shared" si="6"/>
        <v>24200</v>
      </c>
      <c r="P6" s="8" t="s">
        <v>145</v>
      </c>
      <c r="Q6" s="9">
        <v>1200</v>
      </c>
      <c r="R6" s="9">
        <v>1000</v>
      </c>
      <c r="S6" s="55">
        <v>1000</v>
      </c>
      <c r="T6" s="21">
        <f t="shared" si="7"/>
        <v>36500</v>
      </c>
      <c r="U6" s="60">
        <f t="shared" si="0"/>
        <v>9.3000000000000007</v>
      </c>
      <c r="V6" s="61">
        <f t="shared" si="1"/>
        <v>-10.8</v>
      </c>
      <c r="W6" s="62">
        <f t="shared" si="2"/>
        <v>1.5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1</v>
      </c>
      <c r="BT6" s="36">
        <v>30</v>
      </c>
      <c r="BU6" s="47" t="s">
        <v>83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142</v>
      </c>
      <c r="G7" s="9">
        <v>5200</v>
      </c>
      <c r="H7" s="9"/>
      <c r="I7" s="55">
        <v>0</v>
      </c>
      <c r="J7" s="21">
        <f t="shared" si="5"/>
        <v>49500</v>
      </c>
      <c r="K7" s="8" t="s">
        <v>141</v>
      </c>
      <c r="L7" s="9">
        <v>-5200</v>
      </c>
      <c r="M7" s="9"/>
      <c r="N7" s="55">
        <v>0</v>
      </c>
      <c r="O7" s="21">
        <f t="shared" si="6"/>
        <v>19000</v>
      </c>
      <c r="P7" s="8"/>
      <c r="Q7" s="9"/>
      <c r="R7" s="9"/>
      <c r="S7" s="55"/>
      <c r="T7" s="21">
        <f t="shared" si="7"/>
        <v>36500</v>
      </c>
      <c r="U7" s="60">
        <f t="shared" si="0"/>
        <v>14.5</v>
      </c>
      <c r="V7" s="61">
        <f t="shared" si="1"/>
        <v>-16</v>
      </c>
      <c r="W7" s="62">
        <f t="shared" si="2"/>
        <v>1.5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143</v>
      </c>
      <c r="AF7" s="48" t="s">
        <v>147</v>
      </c>
      <c r="AG7" s="48" t="s">
        <v>87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148</v>
      </c>
      <c r="F8" s="8" t="s">
        <v>152</v>
      </c>
      <c r="G8" s="9">
        <v>1500</v>
      </c>
      <c r="H8" s="9">
        <v>-1000</v>
      </c>
      <c r="I8" s="55"/>
      <c r="J8" s="21">
        <f t="shared" si="5"/>
        <v>50000</v>
      </c>
      <c r="K8" s="8" t="s">
        <v>152</v>
      </c>
      <c r="L8" s="9">
        <v>1500</v>
      </c>
      <c r="M8" s="9"/>
      <c r="N8" s="55"/>
      <c r="O8" s="21">
        <f t="shared" si="6"/>
        <v>20500</v>
      </c>
      <c r="P8" s="8" t="s">
        <v>152</v>
      </c>
      <c r="Q8" s="9">
        <v>-3000</v>
      </c>
      <c r="R8" s="9"/>
      <c r="S8" s="55"/>
      <c r="T8" s="21">
        <f t="shared" si="7"/>
        <v>33500</v>
      </c>
      <c r="U8" s="60">
        <f t="shared" si="0"/>
        <v>15</v>
      </c>
      <c r="V8" s="61">
        <f t="shared" si="1"/>
        <v>-14.5</v>
      </c>
      <c r="W8" s="62">
        <f t="shared" si="2"/>
        <v>-1.5</v>
      </c>
      <c r="Y8" s="8" t="s">
        <v>150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150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151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1</v>
      </c>
      <c r="D9" s="18">
        <f t="shared" si="4"/>
        <v>1</v>
      </c>
      <c r="E9" s="4" t="s">
        <v>135</v>
      </c>
      <c r="F9" s="8" t="s">
        <v>142</v>
      </c>
      <c r="G9" s="9">
        <v>18000</v>
      </c>
      <c r="H9" s="9">
        <v>1000</v>
      </c>
      <c r="I9" s="55">
        <v>1000</v>
      </c>
      <c r="J9" s="21">
        <f t="shared" si="5"/>
        <v>70000</v>
      </c>
      <c r="K9" s="8" t="s">
        <v>141</v>
      </c>
      <c r="L9" s="9">
        <v>-18000</v>
      </c>
      <c r="M9" s="9"/>
      <c r="N9" s="55">
        <v>-1000</v>
      </c>
      <c r="O9" s="21">
        <f t="shared" si="6"/>
        <v>1500</v>
      </c>
      <c r="P9" s="8"/>
      <c r="Q9" s="9"/>
      <c r="R9" s="9"/>
      <c r="S9" s="55"/>
      <c r="T9" s="21">
        <f t="shared" si="7"/>
        <v>33500</v>
      </c>
      <c r="U9" s="60">
        <f t="shared" si="0"/>
        <v>35</v>
      </c>
      <c r="V9" s="61">
        <f t="shared" si="1"/>
        <v>-33.5</v>
      </c>
      <c r="W9" s="62">
        <f t="shared" si="2"/>
        <v>-1.5</v>
      </c>
      <c r="Y9" s="8"/>
      <c r="Z9" s="41"/>
      <c r="AA9" s="32">
        <v>1</v>
      </c>
      <c r="AB9" s="32"/>
      <c r="AC9" s="32">
        <v>6</v>
      </c>
      <c r="AD9" s="36" t="s">
        <v>146</v>
      </c>
      <c r="AE9" s="47" t="s">
        <v>143</v>
      </c>
      <c r="AF9" s="48" t="s">
        <v>102</v>
      </c>
      <c r="AG9" s="48" t="s">
        <v>105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">
        <v>135</v>
      </c>
      <c r="F10" s="8"/>
      <c r="G10" s="9"/>
      <c r="H10" s="9"/>
      <c r="I10" s="55"/>
      <c r="J10" s="21">
        <f t="shared" si="5"/>
        <v>70000</v>
      </c>
      <c r="K10" s="8" t="s">
        <v>142</v>
      </c>
      <c r="L10" s="9">
        <v>24000</v>
      </c>
      <c r="M10" s="9"/>
      <c r="N10" s="55">
        <v>2000</v>
      </c>
      <c r="O10" s="21">
        <f t="shared" si="6"/>
        <v>27500</v>
      </c>
      <c r="P10" s="8" t="s">
        <v>141</v>
      </c>
      <c r="Q10" s="9">
        <v>-24000</v>
      </c>
      <c r="R10" s="9"/>
      <c r="S10" s="55">
        <v>-2000</v>
      </c>
      <c r="T10" s="21">
        <f t="shared" si="7"/>
        <v>7500</v>
      </c>
      <c r="U10" s="60">
        <f t="shared" si="0"/>
        <v>35</v>
      </c>
      <c r="V10" s="61">
        <f t="shared" si="1"/>
        <v>-7.5</v>
      </c>
      <c r="W10" s="62">
        <f t="shared" si="2"/>
        <v>-27.5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11</v>
      </c>
      <c r="AY10" s="36" t="s">
        <v>146</v>
      </c>
      <c r="AZ10" s="47" t="s">
        <v>143</v>
      </c>
      <c r="BA10" s="48" t="s">
        <v>107</v>
      </c>
      <c r="BB10" s="48" t="s">
        <v>93</v>
      </c>
      <c r="BC10" s="48" t="s">
        <v>85</v>
      </c>
      <c r="BD10" s="48" t="s">
        <v>82</v>
      </c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141</v>
      </c>
      <c r="G11" s="9">
        <v>-12000</v>
      </c>
      <c r="H11" s="9"/>
      <c r="I11" s="55">
        <v>0</v>
      </c>
      <c r="J11" s="21">
        <f t="shared" si="5"/>
        <v>58000</v>
      </c>
      <c r="K11" s="8"/>
      <c r="L11" s="9"/>
      <c r="M11" s="9">
        <v>-1000</v>
      </c>
      <c r="N11" s="55"/>
      <c r="O11" s="21">
        <f t="shared" si="6"/>
        <v>26500</v>
      </c>
      <c r="P11" s="8" t="s">
        <v>142</v>
      </c>
      <c r="Q11" s="9">
        <v>12000</v>
      </c>
      <c r="R11" s="9">
        <v>1000</v>
      </c>
      <c r="S11" s="55">
        <v>0</v>
      </c>
      <c r="T11" s="21">
        <f t="shared" si="7"/>
        <v>20500</v>
      </c>
      <c r="U11" s="60">
        <f t="shared" si="0"/>
        <v>23</v>
      </c>
      <c r="V11" s="61">
        <f t="shared" si="1"/>
        <v>-8.5</v>
      </c>
      <c r="W11" s="62">
        <f t="shared" si="2"/>
        <v>-14.5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7</v>
      </c>
      <c r="BT11" s="36" t="s">
        <v>146</v>
      </c>
      <c r="BU11" s="47" t="s">
        <v>143</v>
      </c>
      <c r="BV11" s="48" t="s">
        <v>102</v>
      </c>
      <c r="BW11" s="48" t="s">
        <v>81</v>
      </c>
      <c r="BX11" s="48" t="s">
        <v>105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3F97610F-CE02-46F6-BAA0-8A9DE3B7932D}">
      <formula1>"ロン,ツモ,放銃,ツモ支払,流局,チョンボ"</formula1>
    </dataValidation>
    <dataValidation type="list" allowBlank="1" showInputMessage="1" showErrorMessage="1" sqref="E4:E30" xr:uid="{BD1A28E1-44D2-45A8-87C0-5D3342EBB1E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2019-02-17T11:49:24Z</dcterms:modified>
</cp:coreProperties>
</file>