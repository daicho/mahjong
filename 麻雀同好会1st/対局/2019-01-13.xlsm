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04F4A687-A7F4-4023-A05B-A7D6D240B292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3" r:id="rId7"/>
    <sheet name="Sheet8" sheetId="28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 s="1"/>
  <c r="T11" i="28"/>
  <c r="W11" i="28" s="1"/>
  <c r="O11" i="28"/>
  <c r="V11" i="28" s="1"/>
  <c r="J11" i="28"/>
  <c r="U11" i="28" s="1"/>
  <c r="D11" i="28"/>
  <c r="C11" i="28"/>
  <c r="B11" i="28"/>
  <c r="A11" i="28" s="1"/>
  <c r="D10" i="28"/>
  <c r="C10" i="28"/>
  <c r="D9" i="28"/>
  <c r="C9" i="28"/>
  <c r="D8" i="28"/>
  <c r="C8" i="28"/>
  <c r="D7" i="28"/>
  <c r="C7" i="28"/>
  <c r="D6" i="28"/>
  <c r="C6" i="28"/>
  <c r="B6" i="28"/>
  <c r="B7" i="28" s="1"/>
  <c r="J5" i="28"/>
  <c r="U5" i="28" s="1"/>
  <c r="D5" i="28"/>
  <c r="C5" i="28"/>
  <c r="B5" i="28"/>
  <c r="A5" i="28" s="1"/>
  <c r="T4" i="28"/>
  <c r="W4" i="28" s="1"/>
  <c r="O4" i="28"/>
  <c r="O5" i="28" s="1"/>
  <c r="J4" i="28"/>
  <c r="U4" i="28" s="1"/>
  <c r="W3" i="28"/>
  <c r="V3" i="28"/>
  <c r="U3" i="28"/>
  <c r="W2" i="28"/>
  <c r="V2" i="28"/>
  <c r="U2" i="28"/>
  <c r="BO1" i="28"/>
  <c r="AT1" i="28"/>
  <c r="Y1" i="28"/>
  <c r="T11" i="23"/>
  <c r="T4" i="23"/>
  <c r="T5" i="23" s="1"/>
  <c r="O5" i="23"/>
  <c r="V5" i="23" s="1"/>
  <c r="O4" i="23"/>
  <c r="J11" i="23"/>
  <c r="J4" i="23"/>
  <c r="J5" i="23" s="1"/>
  <c r="J6" i="23" s="1"/>
  <c r="J7" i="23" s="1"/>
  <c r="J8" i="23" s="1"/>
  <c r="J9" i="23" s="1"/>
  <c r="J10" i="23" s="1"/>
  <c r="J12" i="23"/>
  <c r="D10" i="23"/>
  <c r="C10" i="23"/>
  <c r="D9" i="23"/>
  <c r="C9" i="23"/>
  <c r="D8" i="23"/>
  <c r="C8" i="23"/>
  <c r="D7" i="23"/>
  <c r="C7" i="23"/>
  <c r="D6" i="23"/>
  <c r="D5" i="23"/>
  <c r="C5" i="23"/>
  <c r="C6" i="23" s="1"/>
  <c r="B5" i="23"/>
  <c r="B6" i="23" s="1"/>
  <c r="A5" i="23"/>
  <c r="W4" i="23"/>
  <c r="V4" i="23"/>
  <c r="W3" i="23"/>
  <c r="V3" i="23"/>
  <c r="U3" i="23"/>
  <c r="A6" i="28" l="1"/>
  <c r="V4" i="28"/>
  <c r="O6" i="28"/>
  <c r="V5" i="28"/>
  <c r="B8" i="28"/>
  <c r="A7" i="28"/>
  <c r="T5" i="28"/>
  <c r="J6" i="28"/>
  <c r="T6" i="23"/>
  <c r="W5" i="23"/>
  <c r="O6" i="23"/>
  <c r="U4" i="23"/>
  <c r="B7" i="23"/>
  <c r="A7" i="23" s="1"/>
  <c r="A6" i="23"/>
  <c r="W11" i="23"/>
  <c r="O11" i="23"/>
  <c r="V11" i="23" s="1"/>
  <c r="U11" i="23"/>
  <c r="D11" i="23"/>
  <c r="C11" i="23"/>
  <c r="B11" i="23"/>
  <c r="A11" i="23" s="1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U12" i="23"/>
  <c r="D12" i="23"/>
  <c r="C12" i="23"/>
  <c r="B12" i="23"/>
  <c r="A12" i="23"/>
  <c r="W2" i="23"/>
  <c r="V2" i="23"/>
  <c r="U2" i="23"/>
  <c r="BO1" i="23"/>
  <c r="AT1" i="23"/>
  <c r="Y1" i="23"/>
  <c r="J7" i="28" l="1"/>
  <c r="U6" i="28"/>
  <c r="B9" i="28"/>
  <c r="T6" i="28"/>
  <c r="W5" i="28"/>
  <c r="V6" i="28"/>
  <c r="O7" i="28"/>
  <c r="A8" i="28"/>
  <c r="W6" i="23"/>
  <c r="T7" i="23"/>
  <c r="O7" i="23"/>
  <c r="V6" i="23"/>
  <c r="U5" i="23"/>
  <c r="B8" i="23"/>
  <c r="A8" i="23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6" i="20"/>
  <c r="D15" i="20"/>
  <c r="C15" i="20"/>
  <c r="C16" i="20" s="1"/>
  <c r="D14" i="20"/>
  <c r="C14" i="20"/>
  <c r="D13" i="20"/>
  <c r="C13" i="20"/>
  <c r="D12" i="20"/>
  <c r="C12" i="20"/>
  <c r="D11" i="20"/>
  <c r="C11" i="20"/>
  <c r="D10" i="20"/>
  <c r="C10" i="20"/>
  <c r="D9" i="20"/>
  <c r="D8" i="20"/>
  <c r="D7" i="20"/>
  <c r="C7" i="20"/>
  <c r="C8" i="20" s="1"/>
  <c r="C9" i="20" s="1"/>
  <c r="D6" i="20"/>
  <c r="C6" i="20"/>
  <c r="B6" i="20"/>
  <c r="B7" i="20" s="1"/>
  <c r="T5" i="20"/>
  <c r="W5" i="20" s="1"/>
  <c r="D5" i="20"/>
  <c r="C5" i="20"/>
  <c r="B5" i="20"/>
  <c r="A5" i="20" s="1"/>
  <c r="T4" i="20"/>
  <c r="W4" i="20" s="1"/>
  <c r="O4" i="20"/>
  <c r="O5" i="20" s="1"/>
  <c r="J4" i="20"/>
  <c r="U4" i="20" s="1"/>
  <c r="W3" i="20"/>
  <c r="V3" i="20"/>
  <c r="U3" i="20"/>
  <c r="W2" i="20"/>
  <c r="V2" i="20"/>
  <c r="U2" i="20"/>
  <c r="BO1" i="20"/>
  <c r="AT1" i="20"/>
  <c r="Y1" i="20"/>
  <c r="O8" i="28" l="1"/>
  <c r="V7" i="28"/>
  <c r="B10" i="28"/>
  <c r="A10" i="28" s="1"/>
  <c r="A9" i="28"/>
  <c r="W6" i="28"/>
  <c r="T7" i="28"/>
  <c r="U7" i="28"/>
  <c r="J8" i="28"/>
  <c r="T8" i="23"/>
  <c r="W7" i="23"/>
  <c r="O8" i="23"/>
  <c r="V7" i="23"/>
  <c r="U6" i="23"/>
  <c r="B9" i="23"/>
  <c r="A9" i="23"/>
  <c r="A6" i="20"/>
  <c r="V4" i="20"/>
  <c r="O6" i="20"/>
  <c r="V5" i="20"/>
  <c r="B8" i="20"/>
  <c r="A8" i="20" s="1"/>
  <c r="J5" i="20"/>
  <c r="T6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W16" i="19" s="1"/>
  <c r="O16" i="19"/>
  <c r="V16" i="19" s="1"/>
  <c r="J16" i="19"/>
  <c r="U16" i="19" s="1"/>
  <c r="D16" i="19"/>
  <c r="C16" i="19"/>
  <c r="B16" i="19"/>
  <c r="A16" i="19" s="1"/>
  <c r="T15" i="19"/>
  <c r="W15" i="19" s="1"/>
  <c r="O15" i="19"/>
  <c r="V15" i="19" s="1"/>
  <c r="J15" i="19"/>
  <c r="U15" i="19" s="1"/>
  <c r="D15" i="19"/>
  <c r="C15" i="19"/>
  <c r="B15" i="19"/>
  <c r="A15" i="19" s="1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 s="1"/>
  <c r="T7" i="19"/>
  <c r="W7" i="19" s="1"/>
  <c r="O7" i="19"/>
  <c r="V7" i="19" s="1"/>
  <c r="J7" i="19"/>
  <c r="U7" i="19" s="1"/>
  <c r="D7" i="19"/>
  <c r="C7" i="19"/>
  <c r="B7" i="19"/>
  <c r="A7" i="19"/>
  <c r="D6" i="19"/>
  <c r="C6" i="19"/>
  <c r="O5" i="19"/>
  <c r="O6" i="19" s="1"/>
  <c r="V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W10" i="18" s="1"/>
  <c r="O10" i="18"/>
  <c r="V10" i="18" s="1"/>
  <c r="J10" i="18"/>
  <c r="U10" i="18" s="1"/>
  <c r="D10" i="18"/>
  <c r="D9" i="18"/>
  <c r="D8" i="18"/>
  <c r="C8" i="18"/>
  <c r="C9" i="18" s="1"/>
  <c r="C10" i="18" s="1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V4" i="18"/>
  <c r="T4" i="18"/>
  <c r="W4" i="18" s="1"/>
  <c r="O4" i="18"/>
  <c r="J4" i="18"/>
  <c r="U4" i="18" s="1"/>
  <c r="W3" i="18"/>
  <c r="V3" i="18"/>
  <c r="U3" i="18"/>
  <c r="W2" i="18"/>
  <c r="V2" i="18"/>
  <c r="U2" i="18"/>
  <c r="BO1" i="18"/>
  <c r="AT1" i="18"/>
  <c r="Y1" i="18"/>
  <c r="T8" i="28" l="1"/>
  <c r="W7" i="28"/>
  <c r="J9" i="28"/>
  <c r="U8" i="28"/>
  <c r="V8" i="28"/>
  <c r="O9" i="28"/>
  <c r="T9" i="23"/>
  <c r="W8" i="23"/>
  <c r="V8" i="23"/>
  <c r="O9" i="23"/>
  <c r="U7" i="23"/>
  <c r="B10" i="23"/>
  <c r="A10" i="23"/>
  <c r="B9" i="20"/>
  <c r="A9" i="20" s="1"/>
  <c r="W6" i="20"/>
  <c r="T7" i="20"/>
  <c r="U5" i="20"/>
  <c r="J6" i="20"/>
  <c r="O7" i="20"/>
  <c r="V6" i="20"/>
  <c r="A5" i="19"/>
  <c r="V5" i="19"/>
  <c r="T5" i="19"/>
  <c r="A6" i="19"/>
  <c r="J6" i="19"/>
  <c r="U6" i="19" s="1"/>
  <c r="V5" i="18"/>
  <c r="A5" i="18"/>
  <c r="B7" i="18"/>
  <c r="O7" i="18"/>
  <c r="V6" i="18"/>
  <c r="T5" i="18"/>
  <c r="J6" i="18"/>
  <c r="A6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D10" i="17"/>
  <c r="C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U9" i="28" l="1"/>
  <c r="J10" i="28"/>
  <c r="O10" i="28"/>
  <c r="V10" i="28" s="1"/>
  <c r="V9" i="28"/>
  <c r="W8" i="28"/>
  <c r="T9" i="28"/>
  <c r="W9" i="23"/>
  <c r="T10" i="23"/>
  <c r="V9" i="23"/>
  <c r="O10" i="23"/>
  <c r="U8" i="23"/>
  <c r="C11" i="17"/>
  <c r="O8" i="20"/>
  <c r="V7" i="20"/>
  <c r="W7" i="20"/>
  <c r="T8" i="20"/>
  <c r="U6" i="20"/>
  <c r="J7" i="20"/>
  <c r="B10" i="20"/>
  <c r="A10" i="20" s="1"/>
  <c r="W5" i="19"/>
  <c r="T6" i="19"/>
  <c r="W6" i="19" s="1"/>
  <c r="O8" i="18"/>
  <c r="V7" i="18"/>
  <c r="B8" i="18"/>
  <c r="A8" i="18" s="1"/>
  <c r="U6" i="18"/>
  <c r="J7" i="18"/>
  <c r="T6" i="18"/>
  <c r="W5" i="18"/>
  <c r="A7" i="18"/>
  <c r="A5" i="17"/>
  <c r="V5" i="17"/>
  <c r="B7" i="17"/>
  <c r="A7" i="17" s="1"/>
  <c r="V6" i="17"/>
  <c r="O7" i="17"/>
  <c r="T5" i="17"/>
  <c r="A6" i="17"/>
  <c r="J6" i="17"/>
  <c r="W30" i="16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" i="16"/>
  <c r="V3" i="16"/>
  <c r="U3" i="16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U10" i="28" l="1"/>
  <c r="T10" i="28"/>
  <c r="W9" i="28"/>
  <c r="W10" i="23"/>
  <c r="V10" i="23"/>
  <c r="U9" i="23"/>
  <c r="U10" i="23"/>
  <c r="W8" i="20"/>
  <c r="T9" i="20"/>
  <c r="B11" i="20"/>
  <c r="A11" i="20" s="1"/>
  <c r="U7" i="20"/>
  <c r="J8" i="20"/>
  <c r="O9" i="20"/>
  <c r="V8" i="20"/>
  <c r="W6" i="18"/>
  <c r="T7" i="18"/>
  <c r="B9" i="18"/>
  <c r="U7" i="18"/>
  <c r="J8" i="18"/>
  <c r="V8" i="18"/>
  <c r="O9" i="18"/>
  <c r="U6" i="17"/>
  <c r="J7" i="17"/>
  <c r="W5" i="17"/>
  <c r="T6" i="17"/>
  <c r="O8" i="17"/>
  <c r="V7" i="17"/>
  <c r="B8" i="17"/>
  <c r="A8" i="17" s="1"/>
  <c r="T30" i="16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T13" i="16"/>
  <c r="O13" i="16"/>
  <c r="J13" i="16"/>
  <c r="D13" i="16"/>
  <c r="C13" i="16"/>
  <c r="B13" i="16"/>
  <c r="A13" i="16" s="1"/>
  <c r="T12" i="16"/>
  <c r="O12" i="16"/>
  <c r="J12" i="16"/>
  <c r="D12" i="16"/>
  <c r="C12" i="16"/>
  <c r="B12" i="16"/>
  <c r="A12" i="16" s="1"/>
  <c r="T11" i="16"/>
  <c r="O11" i="16"/>
  <c r="J11" i="16"/>
  <c r="D11" i="16"/>
  <c r="C11" i="16"/>
  <c r="B11" i="16"/>
  <c r="A11" i="16" s="1"/>
  <c r="D10" i="16"/>
  <c r="C10" i="16"/>
  <c r="D8" i="16"/>
  <c r="D9" i="16" s="1"/>
  <c r="C8" i="16"/>
  <c r="C9" i="16" s="1"/>
  <c r="D7" i="16"/>
  <c r="C7" i="16"/>
  <c r="D6" i="16"/>
  <c r="C6" i="16"/>
  <c r="O5" i="16"/>
  <c r="O6" i="16" s="1"/>
  <c r="J5" i="16"/>
  <c r="D5" i="16"/>
  <c r="C5" i="16"/>
  <c r="B5" i="16"/>
  <c r="B6" i="16" s="1"/>
  <c r="T4" i="16"/>
  <c r="O4" i="16"/>
  <c r="J4" i="16"/>
  <c r="W2" i="16"/>
  <c r="V2" i="16"/>
  <c r="U2" i="16"/>
  <c r="BO1" i="16"/>
  <c r="AT1" i="16"/>
  <c r="Y1" i="16"/>
  <c r="W10" i="28" l="1"/>
  <c r="B12" i="20"/>
  <c r="U8" i="20"/>
  <c r="J9" i="20"/>
  <c r="W9" i="20"/>
  <c r="T10" i="20"/>
  <c r="O10" i="20"/>
  <c r="V9" i="20"/>
  <c r="V9" i="18"/>
  <c r="B10" i="18"/>
  <c r="A10" i="18"/>
  <c r="A9" i="18"/>
  <c r="U8" i="18"/>
  <c r="J9" i="18"/>
  <c r="T8" i="18"/>
  <c r="W7" i="18"/>
  <c r="U7" i="17"/>
  <c r="J8" i="17"/>
  <c r="W6" i="17"/>
  <c r="T7" i="17"/>
  <c r="B9" i="17"/>
  <c r="A9" i="17" s="1"/>
  <c r="V8" i="17"/>
  <c r="O9" i="17"/>
  <c r="A5" i="16"/>
  <c r="O7" i="16"/>
  <c r="B7" i="16"/>
  <c r="T5" i="16"/>
  <c r="J6" i="16"/>
  <c r="A6" i="16"/>
  <c r="B13" i="20" l="1"/>
  <c r="U9" i="20"/>
  <c r="J10" i="20"/>
  <c r="V10" i="20"/>
  <c r="O11" i="20"/>
  <c r="W10" i="20"/>
  <c r="T11" i="20"/>
  <c r="A12" i="20"/>
  <c r="A13" i="20" s="1"/>
  <c r="U9" i="18"/>
  <c r="W8" i="18"/>
  <c r="T9" i="18"/>
  <c r="O10" i="17"/>
  <c r="V9" i="17"/>
  <c r="T8" i="17"/>
  <c r="W7" i="17"/>
  <c r="B10" i="17"/>
  <c r="A10" i="17"/>
  <c r="U8" i="17"/>
  <c r="J9" i="17"/>
  <c r="T6" i="16"/>
  <c r="B8" i="16"/>
  <c r="J7" i="16"/>
  <c r="A7" i="16"/>
  <c r="O8" i="16"/>
  <c r="B5" i="1"/>
  <c r="A5" i="1" s="1"/>
  <c r="D6" i="1"/>
  <c r="C6" i="1"/>
  <c r="D5" i="1"/>
  <c r="C5" i="1"/>
  <c r="W11" i="20" l="1"/>
  <c r="T12" i="20"/>
  <c r="U10" i="20"/>
  <c r="J11" i="20"/>
  <c r="O12" i="20"/>
  <c r="V11" i="20"/>
  <c r="B14" i="20"/>
  <c r="A14" i="20" s="1"/>
  <c r="W9" i="18"/>
  <c r="U9" i="17"/>
  <c r="J10" i="17"/>
  <c r="W8" i="17"/>
  <c r="T9" i="17"/>
  <c r="B11" i="17"/>
  <c r="O11" i="17"/>
  <c r="V10" i="17"/>
  <c r="O9" i="16"/>
  <c r="J8" i="16"/>
  <c r="B9" i="16"/>
  <c r="T7" i="16"/>
  <c r="A8" i="16"/>
  <c r="B6" i="1"/>
  <c r="A6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8" i="1"/>
  <c r="C9" i="1" s="1"/>
  <c r="C7" i="1"/>
  <c r="U11" i="20" l="1"/>
  <c r="J12" i="20"/>
  <c r="B15" i="20"/>
  <c r="A15" i="20"/>
  <c r="W12" i="20"/>
  <c r="T13" i="20"/>
  <c r="V12" i="20"/>
  <c r="O13" i="20"/>
  <c r="W9" i="17"/>
  <c r="T10" i="17"/>
  <c r="O12" i="17"/>
  <c r="V12" i="17" s="1"/>
  <c r="V11" i="17"/>
  <c r="B12" i="17"/>
  <c r="A12" i="17" s="1"/>
  <c r="A11" i="17"/>
  <c r="U10" i="17"/>
  <c r="J11" i="17"/>
  <c r="A9" i="16"/>
  <c r="T8" i="16"/>
  <c r="J9" i="16"/>
  <c r="O10" i="16"/>
  <c r="B10" i="16"/>
  <c r="A10" i="16" s="1"/>
  <c r="Y1" i="1"/>
  <c r="B16" i="20" l="1"/>
  <c r="A16" i="20"/>
  <c r="W13" i="20"/>
  <c r="T14" i="20"/>
  <c r="U12" i="20"/>
  <c r="J13" i="20"/>
  <c r="O14" i="20"/>
  <c r="V13" i="20"/>
  <c r="W10" i="17"/>
  <c r="T11" i="17"/>
  <c r="U11" i="17"/>
  <c r="J12" i="17"/>
  <c r="U12" i="17" s="1"/>
  <c r="J10" i="16"/>
  <c r="T9" i="16"/>
  <c r="BO1" i="1"/>
  <c r="AT1" i="1"/>
  <c r="W14" i="20" l="1"/>
  <c r="T15" i="20"/>
  <c r="V14" i="20"/>
  <c r="O15" i="20"/>
  <c r="U13" i="20"/>
  <c r="J14" i="20"/>
  <c r="W11" i="17"/>
  <c r="T12" i="17"/>
  <c r="W12" i="17" s="1"/>
  <c r="T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O16" i="20" l="1"/>
  <c r="V16" i="20" s="1"/>
  <c r="V15" i="20"/>
  <c r="U14" i="20"/>
  <c r="J15" i="20"/>
  <c r="W15" i="20"/>
  <c r="T16" i="20"/>
  <c r="W16" i="20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U15" i="20" l="1"/>
  <c r="J16" i="20"/>
  <c r="U16" i="20" s="1"/>
  <c r="W2" i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A8" i="1" l="1"/>
  <c r="J6" i="1"/>
  <c r="T5" i="1"/>
  <c r="O6" i="1"/>
  <c r="B10" i="1"/>
  <c r="O7" i="1" l="1"/>
  <c r="O8" i="1" s="1"/>
  <c r="J7" i="1"/>
  <c r="J8" i="1" s="1"/>
  <c r="B11" i="1"/>
  <c r="A11" i="1" s="1"/>
  <c r="A10" i="1"/>
  <c r="T6" i="1"/>
  <c r="B12" i="1"/>
  <c r="A12" i="1" s="1"/>
  <c r="T7" i="1" l="1"/>
  <c r="J9" i="1"/>
  <c r="O9" i="1"/>
  <c r="B13" i="1"/>
  <c r="A13" i="1" s="1"/>
  <c r="T8" i="1" l="1"/>
  <c r="J10" i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<sst xmlns="http://schemas.openxmlformats.org/spreadsheetml/2006/main" count="1344" uniqueCount="163">
  <si>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</si>
  <si>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</si>
  <si>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</si>
  <si>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</si>
  <si>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</si>
  <si>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</si>
  <si>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</si>
  <si>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</si>
  <si>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</si>
  <si>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</si>
  <si>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</si>
  <si>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</si>
  <si>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</si>
  <si>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</si>
  <si>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</si>
  <si>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</si>
  <si>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</si>
  <si>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</si>
  <si>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</si>
  <si>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</si>
  <si>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</si>
  <si>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</si>
  <si>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</si>
  <si>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</si>
  <si>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</si>
  <si>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</si>
  <si>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</si>
  <si>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</si>
  <si>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</si>
  <si>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</si>
  <si>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</si>
  <si>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</si>
  <si>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</si>
  <si>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</si>
  <si>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</si>
  <si>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</si>
  <si>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</si>
  <si>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</si>
  <si>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</si>
  <si>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</si>
  <si>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</si>
  <si>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</si>
  <si>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</si>
  <si>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</si>
  <si>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</si>
  <si>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</si>
  <si>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</si>
  <si>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</si>
  <si>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</si>
  <si>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</si>
  <si>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</si>
  <si>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</si>
  <si>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</si>
  <si>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</si>
  <si>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</si>
  <si>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</si>
  <si>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</si>
  <si>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</si>
  <si>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</si>
  <si>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</si>
  <si>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</si>
  <si>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</si>
  <si>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</si>
  <si>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</si>
  <si>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</si>
  <si>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</si>
  <si>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</si>
  <si>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</si>
  <si>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</si>
  <si>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</si>
  <si>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</si>
  <si>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</si>
  <si>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</si>
  <si>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</si>
  <si>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</si>
  <si>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</si>
  <si>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</si>
  <si>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</si>
  <si>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</si>
  <si>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</si>
  <si>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</si>
  <si>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</si>
  <si>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</si>
  <si>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</si>
  <si>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</si>
  <si>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</si>
  <si>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</si>
  <si>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</si>
  <si>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</si>
  <si>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</si>
  <si>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</si>
  <si>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</si>
  <si>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</si>
  <si>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</si>
  <si>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</si>
  <si>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</si>
  <si>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</si>
  <si>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</si>
  <si>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</si>
  <si>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</si>
  <si>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</si>
  <si>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</si>
  <si>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</si>
  <si>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</si>
  <si>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</si>
  <si>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</si>
  <si>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</si>
  <si>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</si>
  <si>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</si>
  <si>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</si>
  <si>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</si>
  <si>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</si>
  <si>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</si>
  <si>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</si>
  <si>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</si>
  <si>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</si>
  <si>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</si>
  <si>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</si>
  <si>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</si>
  <si>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</si>
  <si>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</si>
  <si>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</si>
  <si>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</si>
  <si>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</si>
  <si>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</si>
  <si>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</si>
  <si>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</si>
  <si>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</si>
  <si>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</si>
  <si>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</si>
  <si>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</si>
  <si>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</si>
  <si>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</si>
  <si>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</si>
  <si>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</si>
  <si>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</si>
  <si>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</si>
  <si>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</si>
  <si>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</si>
  <si>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</si>
  <si>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</si>
  <si>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</t>
  </si>
  <si>
    <t>ツモ支払</t>
  </si>
  <si>
    <t>*</t>
  </si>
  <si>
    <t>01</t>
  </si>
  <si>
    <t>ロン</t>
  </si>
  <si>
    <t>放銃</t>
  </si>
  <si>
    <t>T</t>
  </si>
  <si>
    <t>N</t>
  </si>
  <si>
    <t>流局</t>
    <phoneticPr fontId="1"/>
  </si>
  <si>
    <t>02</t>
  </si>
  <si>
    <t>がくと</t>
  </si>
  <si>
    <t>がくと</t>
    <phoneticPr fontId="1"/>
  </si>
  <si>
    <t>あさひ</t>
  </si>
  <si>
    <t>あさひ</t>
    <phoneticPr fontId="1"/>
  </si>
  <si>
    <t>いっしー</t>
  </si>
  <si>
    <t>いっしー</t>
    <phoneticPr fontId="1"/>
  </si>
  <si>
    <t>ただ</t>
    <phoneticPr fontId="1"/>
  </si>
  <si>
    <t>たかの</t>
    <phoneticPr fontId="1"/>
  </si>
  <si>
    <t>まっつん</t>
    <phoneticPr fontId="1"/>
  </si>
  <si>
    <t>まっつん</t>
  </si>
  <si>
    <t>ただ</t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</si>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</sst>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136</v>
      </c>
      <c r="G1" s="104"/>
      <c r="H1" s="104"/>
      <c r="I1" s="113"/>
      <c r="J1" s="105"/>
      <c r="K1" s="102" t="s">
        <v>138</v>
      </c>
      <c r="L1" s="104"/>
      <c r="M1" s="104"/>
      <c r="N1" s="113"/>
      <c r="O1" s="105"/>
      <c r="P1" s="102" t="s">
        <v>140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だいち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りくと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れんたろう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142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142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0">
        <f t="shared" ref="U4:U30" si="0">IF($J4="","",ROUND(($J4-$J$3)/1000,1))</f>
        <v>12</v>
      </c>
      <c r="V4" s="61">
        <f t="shared" ref="V4:V30" si="1">IF($O4="","",ROUND(($O4-$O$3)/1000,1))</f>
        <v>-4.5</v>
      </c>
      <c r="W4" s="62">
        <f t="shared" ref="W4:W30" si="2">IF($T4="","",ROUND(($T4-$T$3)/1000,1))</f>
        <v>-7.5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83</v>
      </c>
      <c r="AG4" s="48" t="s">
        <v>81</v>
      </c>
      <c r="AH4" s="48" t="s">
        <v>82</v>
      </c>
      <c r="AI4" s="48" t="s">
        <v>82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3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4">IF(COUNTA($F5,$K5,$P5)&gt;0,J4+SUM(G5:I5),"")</f>
        <v>47000</v>
      </c>
      <c r="K5" s="8" t="s">
        <v>145</v>
      </c>
      <c r="L5" s="9">
        <v>3900</v>
      </c>
      <c r="M5" s="9"/>
      <c r="N5" s="55">
        <v>0</v>
      </c>
      <c r="O5" s="21">
        <f t="shared" ref="O5:O30" si="5">IF(COUNTA($F5,$K5,$P5)&gt;0,O4+SUM(L5:N5),"")</f>
        <v>34400</v>
      </c>
      <c r="P5" s="8" t="s">
        <v>146</v>
      </c>
      <c r="Q5" s="9">
        <v>-3900</v>
      </c>
      <c r="R5" s="9"/>
      <c r="S5" s="55">
        <v>0</v>
      </c>
      <c r="T5" s="21">
        <f t="shared" ref="T5:T30" si="6">IF(COUNTA($F5,$K5,$P5)&gt;0,T4+SUM(Q5:S5),"")</f>
        <v>23600</v>
      </c>
      <c r="U5" s="60">
        <f t="shared" si="0"/>
        <v>12</v>
      </c>
      <c r="V5" s="61">
        <f t="shared" si="1"/>
        <v>-0.6</v>
      </c>
      <c r="W5" s="62">
        <f t="shared" si="2"/>
        <v>-11.4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80</v>
      </c>
      <c r="BB5" s="48" t="s">
        <v>80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3</v>
      </c>
      <c r="C6" s="18">
        <f>IF($E6="","",IF(F5="チョンボ",C5,IF($E5=$E6,C5+1,0)))</f>
        <v>0</v>
      </c>
      <c r="D6" s="18">
        <f t="shared" si="3"/>
        <v>0</v>
      </c>
      <c r="E6" s="4" t="s">
        <v>137</v>
      </c>
      <c r="F6" s="8" t="s">
        <v>145</v>
      </c>
      <c r="G6" s="9">
        <v>8000</v>
      </c>
      <c r="H6" s="9"/>
      <c r="I6" s="55">
        <v>0</v>
      </c>
      <c r="J6" s="21">
        <f t="shared" si="4"/>
        <v>55000</v>
      </c>
      <c r="K6" s="8" t="s">
        <v>146</v>
      </c>
      <c r="L6" s="9">
        <v>-8000</v>
      </c>
      <c r="M6" s="9"/>
      <c r="N6" s="55">
        <v>0</v>
      </c>
      <c r="O6" s="21">
        <f t="shared" si="5"/>
        <v>26400</v>
      </c>
      <c r="P6" s="8"/>
      <c r="Q6" s="9"/>
      <c r="R6" s="9"/>
      <c r="S6" s="55"/>
      <c r="T6" s="21">
        <f t="shared" si="6"/>
        <v>23600</v>
      </c>
      <c r="U6" s="60">
        <f t="shared" si="0"/>
        <v>20</v>
      </c>
      <c r="V6" s="61">
        <f t="shared" si="1"/>
        <v>-8.6</v>
      </c>
      <c r="W6" s="62">
        <f t="shared" si="2"/>
        <v>-11.4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144</v>
      </c>
      <c r="AF6" s="48" t="s">
        <v>84</v>
      </c>
      <c r="AG6" s="48" t="s">
        <v>85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>南</v>
      </c>
      <c r="B7" s="18">
        <f t="shared" si="7"/>
        <v>1</v>
      </c>
      <c r="C7" s="18">
        <f t="shared" ref="C7:C30" si="9">IF($E7="","",IF(F6="チョンボ",C6,IF($E6=$E7,C6+1,0)))</f>
        <v>0</v>
      </c>
      <c r="D7" s="18">
        <f t="shared" si="3"/>
        <v>0</v>
      </c>
      <c r="E7" s="4" t="s">
        <v>139</v>
      </c>
      <c r="F7" s="8" t="s">
        <v>141</v>
      </c>
      <c r="G7" s="9">
        <v>8000</v>
      </c>
      <c r="H7" s="9"/>
      <c r="I7" s="55">
        <v>0</v>
      </c>
      <c r="J7" s="21">
        <f t="shared" si="4"/>
        <v>63000</v>
      </c>
      <c r="K7" s="8" t="s">
        <v>142</v>
      </c>
      <c r="L7" s="9">
        <v>-3000</v>
      </c>
      <c r="M7" s="9"/>
      <c r="N7" s="55">
        <v>0</v>
      </c>
      <c r="O7" s="21">
        <f t="shared" si="5"/>
        <v>23400</v>
      </c>
      <c r="P7" s="8" t="s">
        <v>142</v>
      </c>
      <c r="Q7" s="9">
        <v>-5000</v>
      </c>
      <c r="R7" s="9"/>
      <c r="S7" s="55">
        <v>0</v>
      </c>
      <c r="T7" s="21">
        <f t="shared" si="6"/>
        <v>18600</v>
      </c>
      <c r="U7" s="60">
        <f t="shared" si="0"/>
        <v>28</v>
      </c>
      <c r="V7" s="61">
        <f t="shared" si="1"/>
        <v>-11.6</v>
      </c>
      <c r="W7" s="62">
        <f t="shared" si="2"/>
        <v>-16.399999999999999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83</v>
      </c>
      <c r="AG7" s="48" t="s">
        <v>81</v>
      </c>
      <c r="AH7" s="48" t="s">
        <v>93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>南</v>
      </c>
      <c r="B8" s="18">
        <f t="shared" si="7"/>
        <v>2</v>
      </c>
      <c r="C8" s="18">
        <f t="shared" si="9"/>
        <v>0</v>
      </c>
      <c r="D8" s="18">
        <f t="shared" si="3"/>
        <v>0</v>
      </c>
      <c r="E8" s="4" t="s">
        <v>135</v>
      </c>
      <c r="F8" s="8" t="s">
        <v>149</v>
      </c>
      <c r="G8" s="9">
        <v>1500</v>
      </c>
      <c r="H8" s="9"/>
      <c r="I8" s="55"/>
      <c r="J8" s="21">
        <f t="shared" si="4"/>
        <v>64500</v>
      </c>
      <c r="K8" s="8" t="s">
        <v>149</v>
      </c>
      <c r="L8" s="9">
        <v>-3000</v>
      </c>
      <c r="M8" s="9"/>
      <c r="N8" s="55"/>
      <c r="O8" s="21">
        <f t="shared" si="5"/>
        <v>20400</v>
      </c>
      <c r="P8" s="8" t="s">
        <v>149</v>
      </c>
      <c r="Q8" s="9">
        <v>1500</v>
      </c>
      <c r="R8" s="9">
        <v>-1000</v>
      </c>
      <c r="S8" s="55"/>
      <c r="T8" s="21">
        <f t="shared" si="6"/>
        <v>19100</v>
      </c>
      <c r="U8" s="60">
        <f t="shared" si="0"/>
        <v>29.5</v>
      </c>
      <c r="V8" s="61">
        <f t="shared" si="1"/>
        <v>-14.6</v>
      </c>
      <c r="W8" s="62">
        <f t="shared" si="2"/>
        <v>-15.9</v>
      </c>
      <c r="Y8" s="8" t="s">
        <v>147</v>
      </c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147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>南</v>
      </c>
      <c r="B9" s="18">
        <f t="shared" si="7"/>
        <v>2</v>
      </c>
      <c r="C9" s="18">
        <f t="shared" si="9"/>
        <v>1</v>
      </c>
      <c r="D9" s="18">
        <f t="shared" si="3"/>
        <v>1</v>
      </c>
      <c r="E9" s="4" t="s">
        <v>135</v>
      </c>
      <c r="F9" s="8" t="s">
        <v>142</v>
      </c>
      <c r="G9" s="9">
        <v>-5000</v>
      </c>
      <c r="H9" s="9"/>
      <c r="I9" s="55">
        <v>-500</v>
      </c>
      <c r="J9" s="21">
        <f t="shared" si="4"/>
        <v>59000</v>
      </c>
      <c r="K9" s="8" t="s">
        <v>141</v>
      </c>
      <c r="L9" s="9">
        <v>8000</v>
      </c>
      <c r="M9" s="9">
        <v>1000</v>
      </c>
      <c r="N9" s="55">
        <v>1000</v>
      </c>
      <c r="O9" s="21">
        <f t="shared" si="5"/>
        <v>30400</v>
      </c>
      <c r="P9" s="8" t="s">
        <v>142</v>
      </c>
      <c r="Q9" s="9">
        <v>-3000</v>
      </c>
      <c r="R9" s="9"/>
      <c r="S9" s="55">
        <v>-500</v>
      </c>
      <c r="T9" s="21">
        <f t="shared" si="6"/>
        <v>15600</v>
      </c>
      <c r="U9" s="60">
        <f t="shared" si="0"/>
        <v>24</v>
      </c>
      <c r="V9" s="61">
        <f t="shared" si="1"/>
        <v>-4.5999999999999996</v>
      </c>
      <c r="W9" s="62">
        <f t="shared" si="2"/>
        <v>-19.399999999999999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143</v>
      </c>
      <c r="AZ9" s="47" t="s">
        <v>144</v>
      </c>
      <c r="BA9" s="48" t="s">
        <v>83</v>
      </c>
      <c r="BB9" s="48" t="s">
        <v>87</v>
      </c>
      <c r="BC9" s="48" t="s">
        <v>81</v>
      </c>
      <c r="BD9" s="48" t="s">
        <v>80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>南</v>
      </c>
      <c r="B10" s="18">
        <f t="shared" si="7"/>
        <v>3</v>
      </c>
      <c r="C10" s="18">
        <f t="shared" si="9"/>
        <v>0</v>
      </c>
      <c r="D10" s="18">
        <f t="shared" si="3"/>
        <v>0</v>
      </c>
      <c r="E10" s="4" t="s">
        <v>137</v>
      </c>
      <c r="F10" s="8" t="s">
        <v>142</v>
      </c>
      <c r="G10" s="9">
        <v>-4500</v>
      </c>
      <c r="H10" s="9"/>
      <c r="I10" s="55">
        <v>0</v>
      </c>
      <c r="J10" s="21">
        <f t="shared" si="4"/>
        <v>54500</v>
      </c>
      <c r="K10" s="8" t="s">
        <v>142</v>
      </c>
      <c r="L10" s="9">
        <v>-7500</v>
      </c>
      <c r="M10" s="9"/>
      <c r="N10" s="55">
        <v>0</v>
      </c>
      <c r="O10" s="21">
        <f t="shared" si="5"/>
        <v>22900</v>
      </c>
      <c r="P10" s="8" t="s">
        <v>141</v>
      </c>
      <c r="Q10" s="9">
        <v>12000</v>
      </c>
      <c r="R10" s="9"/>
      <c r="S10" s="55">
        <v>0</v>
      </c>
      <c r="T10" s="21">
        <f t="shared" si="6"/>
        <v>27600</v>
      </c>
      <c r="U10" s="60">
        <f t="shared" si="0"/>
        <v>19.5</v>
      </c>
      <c r="V10" s="61">
        <f t="shared" si="1"/>
        <v>-12.1</v>
      </c>
      <c r="W10" s="62">
        <f t="shared" si="2"/>
        <v>-7.4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6</v>
      </c>
      <c r="BT10" s="36" t="s">
        <v>143</v>
      </c>
      <c r="BU10" s="47" t="s">
        <v>144</v>
      </c>
      <c r="BV10" s="48" t="s">
        <v>83</v>
      </c>
      <c r="BW10" s="48" t="s">
        <v>93</v>
      </c>
      <c r="BX10" s="48" t="s">
        <v>82</v>
      </c>
      <c r="BY10" s="48" t="s">
        <v>81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/>
      </c>
      <c r="B11" s="18" t="str">
        <f t="shared" si="7"/>
        <v/>
      </c>
      <c r="C11" s="18" t="str">
        <f t="shared" si="9"/>
        <v/>
      </c>
      <c r="D11" s="18" t="str">
        <f t="shared" si="3"/>
        <v/>
      </c>
      <c r="E11" s="4"/>
      <c r="F11" s="8"/>
      <c r="G11" s="9"/>
      <c r="H11" s="9"/>
      <c r="I11" s="55"/>
      <c r="J11" s="21" t="str">
        <f t="shared" si="4"/>
        <v/>
      </c>
      <c r="K11" s="8"/>
      <c r="L11" s="9"/>
      <c r="M11" s="9"/>
      <c r="N11" s="55"/>
      <c r="O11" s="21" t="str">
        <f t="shared" si="5"/>
        <v/>
      </c>
      <c r="P11" s="8"/>
      <c r="Q11" s="9"/>
      <c r="R11" s="9"/>
      <c r="S11" s="55"/>
      <c r="T11" s="21" t="str">
        <f t="shared" si="6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/>
      </c>
      <c r="B12" s="18" t="str">
        <f t="shared" si="7"/>
        <v/>
      </c>
      <c r="C12" s="18" t="str">
        <f t="shared" si="9"/>
        <v/>
      </c>
      <c r="D12" s="18" t="str">
        <f t="shared" si="3"/>
        <v/>
      </c>
      <c r="E12" s="4"/>
      <c r="F12" s="8"/>
      <c r="G12" s="9"/>
      <c r="H12" s="9"/>
      <c r="I12" s="55"/>
      <c r="J12" s="21" t="str">
        <f t="shared" si="4"/>
        <v/>
      </c>
      <c r="K12" s="8"/>
      <c r="L12" s="9"/>
      <c r="M12" s="9"/>
      <c r="N12" s="55"/>
      <c r="O12" s="21" t="str">
        <f t="shared" si="5"/>
        <v/>
      </c>
      <c r="P12" s="8"/>
      <c r="Q12" s="9"/>
      <c r="R12" s="9"/>
      <c r="S12" s="55"/>
      <c r="T12" s="21" t="str">
        <f t="shared" si="6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/>
      </c>
      <c r="B13" s="18" t="str">
        <f t="shared" si="7"/>
        <v/>
      </c>
      <c r="C13" s="18" t="str">
        <f t="shared" si="9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/>
      </c>
      <c r="B14" s="18" t="str">
        <f t="shared" si="7"/>
        <v/>
      </c>
      <c r="C14" s="18" t="str">
        <f t="shared" si="9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/>
      </c>
      <c r="B15" s="18" t="str">
        <f t="shared" si="7"/>
        <v/>
      </c>
      <c r="C15" s="18" t="str">
        <f t="shared" si="9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/>
      </c>
      <c r="B16" s="18" t="str">
        <f t="shared" si="7"/>
        <v/>
      </c>
      <c r="C16" s="18" t="str">
        <f t="shared" si="9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E3EC-7313-4E18-BA93-625FF9DF5407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136</v>
      </c>
      <c r="G1" s="104"/>
      <c r="H1" s="104"/>
      <c r="I1" s="113"/>
      <c r="J1" s="105"/>
      <c r="K1" s="102" t="s">
        <v>138</v>
      </c>
      <c r="L1" s="104"/>
      <c r="M1" s="104"/>
      <c r="N1" s="113"/>
      <c r="O1" s="105"/>
      <c r="P1" s="102" t="s">
        <v>140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だいち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りくと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れんたろう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146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 t="shared" ref="U4:U30" si="0">IF($J4="","",ROUND(($J4-$J$3)/1000,1))</f>
        <v>0</v>
      </c>
      <c r="V4" s="61">
        <f t="shared" ref="V4:V30" si="1">IF($O4="","",ROUND(($O4-$O$3)/1000,1))</f>
        <v>8</v>
      </c>
      <c r="W4" s="62">
        <f t="shared" ref="W4:W30" si="2">IF($T4="","",ROUND(($T4-$T$3)/1000,1))</f>
        <v>-8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5</v>
      </c>
      <c r="AY4" s="36" t="s">
        <v>143</v>
      </c>
      <c r="AZ4" s="47" t="s">
        <v>105</v>
      </c>
      <c r="BA4" s="48" t="s">
        <v>80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3">IF($E5="","",IF(OR($F4="流局",$F4="チョンボ"),D4+($H4+$M4+$R4)/-1000,0))</f>
        <v>0</v>
      </c>
      <c r="E5" s="4" t="s">
        <v>137</v>
      </c>
      <c r="F5" s="8" t="s">
        <v>149</v>
      </c>
      <c r="G5" s="9">
        <v>-3000</v>
      </c>
      <c r="H5" s="9"/>
      <c r="I5" s="55"/>
      <c r="J5" s="21">
        <f t="shared" ref="J5:J30" si="4">IF(COUNTA($F5,$K5,$P5)&gt;0,J4+SUM(G5:I5),"")</f>
        <v>32000</v>
      </c>
      <c r="K5" s="8" t="s">
        <v>149</v>
      </c>
      <c r="L5" s="9">
        <v>1500</v>
      </c>
      <c r="M5" s="9"/>
      <c r="N5" s="55"/>
      <c r="O5" s="21">
        <f t="shared" ref="O5:O30" si="5">IF(COUNTA($F5,$K5,$P5)&gt;0,O4+SUM(L5:N5),"")</f>
        <v>44500</v>
      </c>
      <c r="P5" s="8" t="s">
        <v>149</v>
      </c>
      <c r="Q5" s="9">
        <v>1500</v>
      </c>
      <c r="R5" s="9">
        <v>-1000</v>
      </c>
      <c r="S5" s="55"/>
      <c r="T5" s="21">
        <f t="shared" ref="T5:T30" si="6">IF(COUNTA($F5,$K5,$P5)&gt;0,T4+SUM(Q5:S5),"")</f>
        <v>27500</v>
      </c>
      <c r="U5" s="60">
        <f t="shared" si="0"/>
        <v>-3</v>
      </c>
      <c r="V5" s="61">
        <f t="shared" si="1"/>
        <v>9.5</v>
      </c>
      <c r="W5" s="62">
        <f t="shared" si="2"/>
        <v>-7.5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2</v>
      </c>
      <c r="C6" s="18">
        <f>IF($E6="","",IF(F5="チョンボ",C5,IF($E5=$E6,C5+1,0)))</f>
        <v>1</v>
      </c>
      <c r="D6" s="18">
        <f t="shared" si="3"/>
        <v>1</v>
      </c>
      <c r="E6" s="4" t="s">
        <v>137</v>
      </c>
      <c r="F6" s="8"/>
      <c r="G6" s="9"/>
      <c r="H6" s="9"/>
      <c r="I6" s="55"/>
      <c r="J6" s="21">
        <f t="shared" si="4"/>
        <v>32000</v>
      </c>
      <c r="K6" s="8" t="s">
        <v>146</v>
      </c>
      <c r="L6" s="9">
        <v>-16000</v>
      </c>
      <c r="M6" s="9"/>
      <c r="N6" s="55">
        <v>-1000</v>
      </c>
      <c r="O6" s="21">
        <f t="shared" si="5"/>
        <v>27500</v>
      </c>
      <c r="P6" s="8" t="s">
        <v>145</v>
      </c>
      <c r="Q6" s="9">
        <v>16000</v>
      </c>
      <c r="R6" s="9">
        <v>1000</v>
      </c>
      <c r="S6" s="55">
        <v>1000</v>
      </c>
      <c r="T6" s="21">
        <f t="shared" si="6"/>
        <v>45500</v>
      </c>
      <c r="U6" s="60">
        <f t="shared" si="0"/>
        <v>-3</v>
      </c>
      <c r="V6" s="61">
        <f t="shared" si="1"/>
        <v>-7.5</v>
      </c>
      <c r="W6" s="62">
        <f t="shared" si="2"/>
        <v>10.5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8</v>
      </c>
      <c r="BT6" s="36" t="s">
        <v>143</v>
      </c>
      <c r="BU6" s="47" t="s">
        <v>105</v>
      </c>
      <c r="BV6" s="48" t="s">
        <v>102</v>
      </c>
      <c r="BW6" s="48" t="s">
        <v>80</v>
      </c>
      <c r="BX6" s="48" t="s">
        <v>80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>東</v>
      </c>
      <c r="B7" s="18">
        <f t="shared" si="7"/>
        <v>3</v>
      </c>
      <c r="C7" s="18">
        <f t="shared" ref="C7:C30" si="9">IF($E7="","",IF(F6="チョンボ",C6,IF($E6=$E7,C6+1,0)))</f>
        <v>0</v>
      </c>
      <c r="D7" s="18">
        <f t="shared" si="3"/>
        <v>0</v>
      </c>
      <c r="E7" s="4" t="s">
        <v>139</v>
      </c>
      <c r="F7" s="8" t="s">
        <v>146</v>
      </c>
      <c r="G7" s="9">
        <v>-12000</v>
      </c>
      <c r="H7" s="9"/>
      <c r="I7" s="55">
        <v>0</v>
      </c>
      <c r="J7" s="21">
        <f t="shared" si="4"/>
        <v>20000</v>
      </c>
      <c r="K7" s="8"/>
      <c r="L7" s="9"/>
      <c r="M7" s="9"/>
      <c r="N7" s="55"/>
      <c r="O7" s="21">
        <f t="shared" si="5"/>
        <v>27500</v>
      </c>
      <c r="P7" s="8" t="s">
        <v>145</v>
      </c>
      <c r="Q7" s="9">
        <v>12000</v>
      </c>
      <c r="R7" s="9"/>
      <c r="S7" s="55">
        <v>0</v>
      </c>
      <c r="T7" s="21">
        <f t="shared" si="6"/>
        <v>57500</v>
      </c>
      <c r="U7" s="60">
        <f t="shared" si="0"/>
        <v>-15</v>
      </c>
      <c r="V7" s="61">
        <f t="shared" si="1"/>
        <v>-7.5</v>
      </c>
      <c r="W7" s="62">
        <f t="shared" si="2"/>
        <v>22.5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143</v>
      </c>
      <c r="BU7" s="47" t="s">
        <v>144</v>
      </c>
      <c r="BV7" s="48" t="s">
        <v>150</v>
      </c>
      <c r="BW7" s="48" t="s">
        <v>85</v>
      </c>
      <c r="BX7" s="48" t="s">
        <v>82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>東</v>
      </c>
      <c r="B8" s="18">
        <f t="shared" si="7"/>
        <v>3</v>
      </c>
      <c r="C8" s="18">
        <f t="shared" si="9"/>
        <v>1</v>
      </c>
      <c r="D8" s="18">
        <f t="shared" si="3"/>
        <v>0</v>
      </c>
      <c r="E8" s="4" t="s">
        <v>139</v>
      </c>
      <c r="F8" s="8" t="s">
        <v>142</v>
      </c>
      <c r="G8" s="9">
        <v>-12000</v>
      </c>
      <c r="H8" s="9"/>
      <c r="I8" s="55">
        <v>-500</v>
      </c>
      <c r="J8" s="21">
        <f t="shared" si="4"/>
        <v>7500</v>
      </c>
      <c r="K8" s="8" t="s">
        <v>141</v>
      </c>
      <c r="L8" s="9">
        <v>32000</v>
      </c>
      <c r="M8" s="9">
        <v>1000</v>
      </c>
      <c r="N8" s="55">
        <v>1000</v>
      </c>
      <c r="O8" s="21">
        <f t="shared" si="5"/>
        <v>61500</v>
      </c>
      <c r="P8" s="8" t="s">
        <v>142</v>
      </c>
      <c r="Q8" s="9">
        <v>-20000</v>
      </c>
      <c r="R8" s="9">
        <v>-1000</v>
      </c>
      <c r="S8" s="55">
        <v>-500</v>
      </c>
      <c r="T8" s="21">
        <f t="shared" si="6"/>
        <v>36000</v>
      </c>
      <c r="U8" s="60">
        <f t="shared" si="0"/>
        <v>-27.5</v>
      </c>
      <c r="V8" s="61">
        <f t="shared" si="1"/>
        <v>26.5</v>
      </c>
      <c r="W8" s="62">
        <f t="shared" si="2"/>
        <v>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13</v>
      </c>
      <c r="AY8" s="36" t="s">
        <v>143</v>
      </c>
      <c r="AZ8" s="47" t="s">
        <v>107</v>
      </c>
      <c r="BA8" s="48" t="s">
        <v>99</v>
      </c>
      <c r="BB8" s="48" t="s">
        <v>97</v>
      </c>
      <c r="BC8" s="48" t="s">
        <v>82</v>
      </c>
      <c r="BD8" s="48" t="s">
        <v>80</v>
      </c>
      <c r="BE8" s="48" t="s">
        <v>80</v>
      </c>
      <c r="BF8" s="48" t="s">
        <v>80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>南</v>
      </c>
      <c r="B9" s="18">
        <f t="shared" si="7"/>
        <v>1</v>
      </c>
      <c r="C9" s="18">
        <f t="shared" si="9"/>
        <v>0</v>
      </c>
      <c r="D9" s="18">
        <f t="shared" si="3"/>
        <v>0</v>
      </c>
      <c r="E9" s="4" t="s">
        <v>135</v>
      </c>
      <c r="F9" s="8"/>
      <c r="G9" s="9"/>
      <c r="H9" s="9"/>
      <c r="I9" s="55"/>
      <c r="J9" s="21">
        <f t="shared" si="4"/>
        <v>7500</v>
      </c>
      <c r="K9" s="8" t="s">
        <v>145</v>
      </c>
      <c r="L9" s="9">
        <v>3900</v>
      </c>
      <c r="M9" s="9"/>
      <c r="N9" s="55">
        <v>0</v>
      </c>
      <c r="O9" s="21">
        <f t="shared" si="5"/>
        <v>65400</v>
      </c>
      <c r="P9" s="8" t="s">
        <v>146</v>
      </c>
      <c r="Q9" s="9">
        <v>-3900</v>
      </c>
      <c r="R9" s="9"/>
      <c r="S9" s="55">
        <v>0</v>
      </c>
      <c r="T9" s="21">
        <f t="shared" si="6"/>
        <v>32100</v>
      </c>
      <c r="U9" s="60">
        <f t="shared" si="0"/>
        <v>-27.5</v>
      </c>
      <c r="V9" s="61">
        <f t="shared" si="1"/>
        <v>30.4</v>
      </c>
      <c r="W9" s="62">
        <f t="shared" si="2"/>
        <v>-2.9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80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>南</v>
      </c>
      <c r="B10" s="18">
        <f t="shared" si="7"/>
        <v>2</v>
      </c>
      <c r="C10" s="18">
        <f t="shared" si="9"/>
        <v>0</v>
      </c>
      <c r="D10" s="18">
        <f t="shared" si="3"/>
        <v>0</v>
      </c>
      <c r="E10" s="4" t="s">
        <v>137</v>
      </c>
      <c r="F10" s="8" t="s">
        <v>146</v>
      </c>
      <c r="G10" s="9">
        <v>-3900</v>
      </c>
      <c r="H10" s="9">
        <v>-1000</v>
      </c>
      <c r="I10" s="55">
        <v>0</v>
      </c>
      <c r="J10" s="21">
        <f t="shared" si="4"/>
        <v>2600</v>
      </c>
      <c r="K10" s="8" t="s">
        <v>145</v>
      </c>
      <c r="L10" s="9">
        <v>3900</v>
      </c>
      <c r="M10" s="9">
        <v>2000</v>
      </c>
      <c r="N10" s="55">
        <v>0</v>
      </c>
      <c r="O10" s="21">
        <f t="shared" si="5"/>
        <v>71300</v>
      </c>
      <c r="P10" s="8"/>
      <c r="Q10" s="9"/>
      <c r="R10" s="9">
        <v>-1000</v>
      </c>
      <c r="S10" s="55"/>
      <c r="T10" s="21">
        <f t="shared" si="6"/>
        <v>31100</v>
      </c>
      <c r="U10" s="60">
        <f t="shared" si="0"/>
        <v>-32.4</v>
      </c>
      <c r="V10" s="61">
        <f t="shared" si="1"/>
        <v>36.299999999999997</v>
      </c>
      <c r="W10" s="62">
        <f t="shared" si="2"/>
        <v>-3.9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2</v>
      </c>
      <c r="AY10" s="36">
        <v>40</v>
      </c>
      <c r="AZ10" s="47" t="s">
        <v>144</v>
      </c>
      <c r="BA10" s="48" t="s">
        <v>87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>南</v>
      </c>
      <c r="B11" s="18">
        <f t="shared" si="7"/>
        <v>2</v>
      </c>
      <c r="C11" s="18">
        <f t="shared" si="9"/>
        <v>1</v>
      </c>
      <c r="D11" s="18">
        <f t="shared" si="3"/>
        <v>0</v>
      </c>
      <c r="E11" s="4" t="s">
        <v>137</v>
      </c>
      <c r="F11" s="8" t="s">
        <v>141</v>
      </c>
      <c r="G11" s="9">
        <v>16000</v>
      </c>
      <c r="H11" s="9">
        <v>1000</v>
      </c>
      <c r="I11" s="55">
        <v>1000</v>
      </c>
      <c r="J11" s="21">
        <f t="shared" si="4"/>
        <v>20600</v>
      </c>
      <c r="K11" s="8" t="s">
        <v>142</v>
      </c>
      <c r="L11" s="9">
        <v>-10000</v>
      </c>
      <c r="M11" s="9">
        <v>-1000</v>
      </c>
      <c r="N11" s="55">
        <v>-500</v>
      </c>
      <c r="O11" s="21">
        <f t="shared" si="5"/>
        <v>59800</v>
      </c>
      <c r="P11" s="8" t="s">
        <v>142</v>
      </c>
      <c r="Q11" s="9">
        <v>-6000</v>
      </c>
      <c r="R11" s="9"/>
      <c r="S11" s="55">
        <v>-500</v>
      </c>
      <c r="T11" s="21">
        <f t="shared" si="6"/>
        <v>24600</v>
      </c>
      <c r="U11" s="60">
        <f t="shared" si="0"/>
        <v>-14.4</v>
      </c>
      <c r="V11" s="61">
        <f t="shared" si="1"/>
        <v>24.8</v>
      </c>
      <c r="W11" s="62">
        <f t="shared" si="2"/>
        <v>-10.4</v>
      </c>
      <c r="Y11" s="8"/>
      <c r="Z11" s="41"/>
      <c r="AA11" s="32">
        <v>1</v>
      </c>
      <c r="AB11" s="32"/>
      <c r="AC11" s="32">
        <v>9</v>
      </c>
      <c r="AD11" s="36" t="s">
        <v>143</v>
      </c>
      <c r="AE11" s="47" t="s">
        <v>144</v>
      </c>
      <c r="AF11" s="48" t="s">
        <v>83</v>
      </c>
      <c r="AG11" s="48" t="s">
        <v>88</v>
      </c>
      <c r="AH11" s="48" t="s">
        <v>84</v>
      </c>
      <c r="AI11" s="48" t="s">
        <v>86</v>
      </c>
      <c r="AJ11" s="48" t="s">
        <v>82</v>
      </c>
      <c r="AK11" s="48" t="s">
        <v>80</v>
      </c>
      <c r="AL11" s="48" t="s">
        <v>81</v>
      </c>
      <c r="AM11" s="48" t="s">
        <v>81</v>
      </c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>南</v>
      </c>
      <c r="B12" s="18">
        <f t="shared" si="7"/>
        <v>3</v>
      </c>
      <c r="C12" s="18">
        <f t="shared" si="9"/>
        <v>0</v>
      </c>
      <c r="D12" s="18">
        <f t="shared" si="3"/>
        <v>0</v>
      </c>
      <c r="E12" s="4" t="s">
        <v>139</v>
      </c>
      <c r="F12" s="8" t="s">
        <v>145</v>
      </c>
      <c r="G12" s="9">
        <v>8000</v>
      </c>
      <c r="H12" s="9">
        <v>1000</v>
      </c>
      <c r="I12" s="55">
        <v>0</v>
      </c>
      <c r="J12" s="21">
        <f t="shared" si="4"/>
        <v>29600</v>
      </c>
      <c r="K12" s="8" t="s">
        <v>146</v>
      </c>
      <c r="L12" s="9">
        <v>-8000</v>
      </c>
      <c r="M12" s="9">
        <v>-1000</v>
      </c>
      <c r="N12" s="55">
        <v>0</v>
      </c>
      <c r="O12" s="21">
        <f t="shared" si="5"/>
        <v>50800</v>
      </c>
      <c r="P12" s="8"/>
      <c r="Q12" s="9"/>
      <c r="R12" s="9"/>
      <c r="S12" s="55"/>
      <c r="T12" s="21">
        <f t="shared" si="6"/>
        <v>24600</v>
      </c>
      <c r="U12" s="60">
        <f t="shared" si="0"/>
        <v>-5.4</v>
      </c>
      <c r="V12" s="61">
        <f t="shared" si="1"/>
        <v>15.8</v>
      </c>
      <c r="W12" s="62">
        <f t="shared" si="2"/>
        <v>-10.4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87</v>
      </c>
      <c r="AG12" s="48" t="s">
        <v>82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/>
      </c>
      <c r="B13" s="18" t="str">
        <f t="shared" si="7"/>
        <v/>
      </c>
      <c r="C13" s="18" t="str">
        <f t="shared" si="9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/>
      </c>
      <c r="B14" s="18" t="str">
        <f t="shared" si="7"/>
        <v/>
      </c>
      <c r="C14" s="18" t="str">
        <f t="shared" si="9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/>
      </c>
      <c r="B15" s="18" t="str">
        <f t="shared" si="7"/>
        <v/>
      </c>
      <c r="C15" s="18" t="str">
        <f t="shared" si="9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/>
      </c>
      <c r="B16" s="18" t="str">
        <f t="shared" si="7"/>
        <v/>
      </c>
      <c r="C16" s="18" t="str">
        <f t="shared" si="9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9BCED4AE-7472-40B0-A2BD-2A97C792319D}">
      <formula1>$U$2:$W$2</formula1>
    </dataValidation>
    <dataValidation type="list" showInputMessage="1" showErrorMessage="1" sqref="K4:K30 P4:P30 F4:F30" xr:uid="{8D79BBC4-81C3-4B77-8D58-AC0A8C2D4CD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B4E6-576D-48C4-890A-9843EA81AC51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136</v>
      </c>
      <c r="G1" s="104"/>
      <c r="H1" s="104"/>
      <c r="I1" s="113"/>
      <c r="J1" s="105"/>
      <c r="K1" s="102" t="s">
        <v>138</v>
      </c>
      <c r="L1" s="104"/>
      <c r="M1" s="104"/>
      <c r="N1" s="113"/>
      <c r="O1" s="105"/>
      <c r="P1" s="102" t="s">
        <v>140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だいち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りくと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れんたろう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146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0</v>
      </c>
      <c r="V4" s="61">
        <f t="shared" ref="V4:V30" si="1">IF($O4="","",ROUND(($O4-$O$3)/1000,1))</f>
        <v>12</v>
      </c>
      <c r="W4" s="62">
        <f t="shared" ref="W4:W30" si="2">IF($T4="","",ROUND(($T4-$T$3)/1000,1))</f>
        <v>-12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7</v>
      </c>
      <c r="AY4" s="36" t="s">
        <v>143</v>
      </c>
      <c r="AZ4" s="47" t="s">
        <v>82</v>
      </c>
      <c r="BA4" s="48" t="s">
        <v>82</v>
      </c>
      <c r="BB4" s="48" t="s">
        <v>99</v>
      </c>
      <c r="BC4" s="48" t="s">
        <v>80</v>
      </c>
      <c r="BD4" s="48" t="s">
        <v>80</v>
      </c>
      <c r="BE4" s="48" t="s">
        <v>87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3">IF($E5="","",IF(OR($F4="流局",$F4="チョンボ"),D4+($H4+$M4+$R4)/-1000,0))</f>
        <v>0</v>
      </c>
      <c r="E5" s="4" t="s">
        <v>137</v>
      </c>
      <c r="F5" s="8"/>
      <c r="G5" s="9"/>
      <c r="H5" s="9">
        <v>-1000</v>
      </c>
      <c r="I5" s="55"/>
      <c r="J5" s="21">
        <f t="shared" ref="J5:J30" si="4">IF(COUNTA($F5,$K5,$P5)&gt;0,J4+SUM(G5:I5),"")</f>
        <v>34000</v>
      </c>
      <c r="K5" s="8" t="s">
        <v>146</v>
      </c>
      <c r="L5" s="9">
        <v>-16000</v>
      </c>
      <c r="M5" s="9"/>
      <c r="N5" s="55">
        <v>0</v>
      </c>
      <c r="O5" s="21">
        <f t="shared" ref="O5:O30" si="5">IF(COUNTA($F5,$K5,$P5)&gt;0,O4+SUM(L5:N5),"")</f>
        <v>31000</v>
      </c>
      <c r="P5" s="8" t="s">
        <v>145</v>
      </c>
      <c r="Q5" s="9">
        <v>16000</v>
      </c>
      <c r="R5" s="9">
        <v>1000</v>
      </c>
      <c r="S5" s="55">
        <v>0</v>
      </c>
      <c r="T5" s="21">
        <f t="shared" ref="T5:T30" si="6">IF(COUNTA($F5,$K5,$P5)&gt;0,T4+SUM(Q5:S5),"")</f>
        <v>40000</v>
      </c>
      <c r="U5" s="60">
        <f t="shared" si="0"/>
        <v>-1</v>
      </c>
      <c r="V5" s="61">
        <f t="shared" si="1"/>
        <v>-4</v>
      </c>
      <c r="W5" s="62">
        <f t="shared" si="2"/>
        <v>5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8</v>
      </c>
      <c r="BT5" s="36" t="s">
        <v>143</v>
      </c>
      <c r="BU5" s="47" t="s">
        <v>144</v>
      </c>
      <c r="BV5" s="48" t="s">
        <v>87</v>
      </c>
      <c r="BW5" s="48" t="s">
        <v>82</v>
      </c>
      <c r="BX5" s="48" t="s">
        <v>82</v>
      </c>
      <c r="BY5" s="48" t="s">
        <v>82</v>
      </c>
      <c r="BZ5" s="48" t="s">
        <v>81</v>
      </c>
      <c r="CA5" s="48" t="s">
        <v>81</v>
      </c>
      <c r="CB5" s="48" t="s">
        <v>81</v>
      </c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3</v>
      </c>
      <c r="C6" s="18">
        <f>IF($E6="","",IF(F5="チョンボ",C5,IF($E5=$E6,C5+1,0)))</f>
        <v>0</v>
      </c>
      <c r="D6" s="18">
        <f t="shared" si="3"/>
        <v>0</v>
      </c>
      <c r="E6" s="4" t="s">
        <v>139</v>
      </c>
      <c r="F6" s="8" t="s">
        <v>142</v>
      </c>
      <c r="G6" s="9">
        <v>-3000</v>
      </c>
      <c r="H6" s="9"/>
      <c r="I6" s="55">
        <v>0</v>
      </c>
      <c r="J6" s="21">
        <f t="shared" si="4"/>
        <v>31000</v>
      </c>
      <c r="K6" s="8" t="s">
        <v>141</v>
      </c>
      <c r="L6" s="9">
        <v>8000</v>
      </c>
      <c r="M6" s="9"/>
      <c r="N6" s="55">
        <v>0</v>
      </c>
      <c r="O6" s="21">
        <f t="shared" si="5"/>
        <v>39000</v>
      </c>
      <c r="P6" s="8" t="s">
        <v>142</v>
      </c>
      <c r="Q6" s="9">
        <v>-5000</v>
      </c>
      <c r="R6" s="9"/>
      <c r="S6" s="55">
        <v>0</v>
      </c>
      <c r="T6" s="21">
        <f t="shared" si="6"/>
        <v>35000</v>
      </c>
      <c r="U6" s="60">
        <f t="shared" si="0"/>
        <v>-4</v>
      </c>
      <c r="V6" s="61">
        <f t="shared" si="1"/>
        <v>4</v>
      </c>
      <c r="W6" s="62">
        <f t="shared" si="2"/>
        <v>0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5</v>
      </c>
      <c r="AY6" s="36" t="s">
        <v>143</v>
      </c>
      <c r="AZ6" s="47" t="s">
        <v>83</v>
      </c>
      <c r="BA6" s="48" t="s">
        <v>86</v>
      </c>
      <c r="BB6" s="48" t="s">
        <v>82</v>
      </c>
      <c r="BC6" s="48" t="s">
        <v>82</v>
      </c>
      <c r="BD6" s="48" t="s">
        <v>82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>南</v>
      </c>
      <c r="B7" s="18">
        <f t="shared" si="7"/>
        <v>1</v>
      </c>
      <c r="C7" s="18">
        <f t="shared" ref="C7:C30" si="9">IF($E7="","",IF(F6="チョンボ",C6,IF($E6=$E7,C6+1,0)))</f>
        <v>0</v>
      </c>
      <c r="D7" s="18">
        <f t="shared" si="3"/>
        <v>0</v>
      </c>
      <c r="E7" s="4" t="s">
        <v>135</v>
      </c>
      <c r="F7" s="8" t="s">
        <v>145</v>
      </c>
      <c r="G7" s="9">
        <v>24000</v>
      </c>
      <c r="H7" s="9">
        <v>1000</v>
      </c>
      <c r="I7" s="55">
        <v>0</v>
      </c>
      <c r="J7" s="21">
        <f t="shared" si="4"/>
        <v>56000</v>
      </c>
      <c r="K7" s="8"/>
      <c r="L7" s="9"/>
      <c r="M7" s="9">
        <v>-1000</v>
      </c>
      <c r="N7" s="55"/>
      <c r="O7" s="21">
        <f t="shared" si="5"/>
        <v>38000</v>
      </c>
      <c r="P7" s="8" t="s">
        <v>146</v>
      </c>
      <c r="Q7" s="9">
        <v>-24000</v>
      </c>
      <c r="R7" s="9"/>
      <c r="S7" s="55">
        <v>0</v>
      </c>
      <c r="T7" s="21">
        <f t="shared" si="6"/>
        <v>11000</v>
      </c>
      <c r="U7" s="60">
        <f t="shared" si="0"/>
        <v>21</v>
      </c>
      <c r="V7" s="61">
        <f t="shared" si="1"/>
        <v>3</v>
      </c>
      <c r="W7" s="62">
        <f t="shared" si="2"/>
        <v>-24</v>
      </c>
      <c r="Y7" s="8"/>
      <c r="Z7" s="41"/>
      <c r="AA7" s="32"/>
      <c r="AB7" s="32">
        <v>1</v>
      </c>
      <c r="AC7" s="32">
        <v>8</v>
      </c>
      <c r="AD7" s="36" t="s">
        <v>143</v>
      </c>
      <c r="AE7" s="47" t="s">
        <v>105</v>
      </c>
      <c r="AF7" s="48" t="s">
        <v>87</v>
      </c>
      <c r="AG7" s="48" t="s">
        <v>87</v>
      </c>
      <c r="AH7" s="48" t="s">
        <v>82</v>
      </c>
      <c r="AI7" s="48" t="s">
        <v>82</v>
      </c>
      <c r="AJ7" s="48" t="s">
        <v>80</v>
      </c>
      <c r="AK7" s="48" t="s">
        <v>80</v>
      </c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>南</v>
      </c>
      <c r="B8" s="18">
        <f t="shared" si="7"/>
        <v>1</v>
      </c>
      <c r="C8" s="18">
        <f t="shared" si="9"/>
        <v>1</v>
      </c>
      <c r="D8" s="18">
        <f t="shared" si="3"/>
        <v>0</v>
      </c>
      <c r="E8" s="4" t="s">
        <v>135</v>
      </c>
      <c r="F8" s="8" t="s">
        <v>145</v>
      </c>
      <c r="G8" s="9">
        <v>18000</v>
      </c>
      <c r="H8" s="9">
        <v>1000</v>
      </c>
      <c r="I8" s="55">
        <v>1000</v>
      </c>
      <c r="J8" s="21">
        <f t="shared" si="4"/>
        <v>76000</v>
      </c>
      <c r="K8" s="8" t="s">
        <v>146</v>
      </c>
      <c r="L8" s="9">
        <v>-18000</v>
      </c>
      <c r="M8" s="9">
        <v>-1000</v>
      </c>
      <c r="N8" s="55">
        <v>-1000</v>
      </c>
      <c r="O8" s="21">
        <f t="shared" si="5"/>
        <v>18000</v>
      </c>
      <c r="P8" s="8"/>
      <c r="Q8" s="9"/>
      <c r="R8" s="9"/>
      <c r="S8" s="55"/>
      <c r="T8" s="21">
        <f t="shared" si="6"/>
        <v>11000</v>
      </c>
      <c r="U8" s="60">
        <f t="shared" si="0"/>
        <v>41</v>
      </c>
      <c r="V8" s="61">
        <f t="shared" si="1"/>
        <v>-17</v>
      </c>
      <c r="W8" s="62">
        <f t="shared" si="2"/>
        <v>-24</v>
      </c>
      <c r="Y8" s="8"/>
      <c r="Z8" s="41"/>
      <c r="AA8" s="32">
        <v>1</v>
      </c>
      <c r="AB8" s="32"/>
      <c r="AC8" s="32">
        <v>7</v>
      </c>
      <c r="AD8" s="36" t="s">
        <v>143</v>
      </c>
      <c r="AE8" s="47" t="s">
        <v>144</v>
      </c>
      <c r="AF8" s="48" t="s">
        <v>105</v>
      </c>
      <c r="AG8" s="48" t="s">
        <v>87</v>
      </c>
      <c r="AH8" s="48" t="s">
        <v>82</v>
      </c>
      <c r="AI8" s="48" t="s">
        <v>82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>南</v>
      </c>
      <c r="B9" s="18">
        <f t="shared" si="7"/>
        <v>1</v>
      </c>
      <c r="C9" s="18">
        <f t="shared" si="9"/>
        <v>2</v>
      </c>
      <c r="D9" s="18">
        <f t="shared" si="3"/>
        <v>0</v>
      </c>
      <c r="E9" s="4" t="s">
        <v>135</v>
      </c>
      <c r="F9" s="8" t="s">
        <v>145</v>
      </c>
      <c r="G9" s="9">
        <v>12000</v>
      </c>
      <c r="H9" s="9">
        <v>1000</v>
      </c>
      <c r="I9" s="55">
        <v>2000</v>
      </c>
      <c r="J9" s="21">
        <f t="shared" si="4"/>
        <v>91000</v>
      </c>
      <c r="K9" s="8"/>
      <c r="L9" s="9"/>
      <c r="M9" s="9">
        <v>-1000</v>
      </c>
      <c r="N9" s="55"/>
      <c r="O9" s="21">
        <f t="shared" si="5"/>
        <v>17000</v>
      </c>
      <c r="P9" s="8" t="s">
        <v>146</v>
      </c>
      <c r="Q9" s="9">
        <v>-12000</v>
      </c>
      <c r="R9" s="9"/>
      <c r="S9" s="55">
        <v>-2000</v>
      </c>
      <c r="T9" s="21">
        <f t="shared" si="6"/>
        <v>-3000</v>
      </c>
      <c r="U9" s="60">
        <f t="shared" si="0"/>
        <v>56</v>
      </c>
      <c r="V9" s="61">
        <f t="shared" si="1"/>
        <v>-18</v>
      </c>
      <c r="W9" s="62">
        <f t="shared" si="2"/>
        <v>-38</v>
      </c>
      <c r="Y9" s="8"/>
      <c r="Z9" s="41"/>
      <c r="AA9" s="32"/>
      <c r="AB9" s="32">
        <v>1</v>
      </c>
      <c r="AC9" s="32">
        <v>5</v>
      </c>
      <c r="AD9" s="36" t="s">
        <v>143</v>
      </c>
      <c r="AE9" s="47" t="s">
        <v>87</v>
      </c>
      <c r="AF9" s="48" t="s">
        <v>82</v>
      </c>
      <c r="AG9" s="48" t="s">
        <v>80</v>
      </c>
      <c r="AH9" s="48" t="s">
        <v>80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/>
      </c>
      <c r="B10" s="18" t="str">
        <f t="shared" si="7"/>
        <v/>
      </c>
      <c r="C10" s="18" t="str">
        <f t="shared" si="9"/>
        <v/>
      </c>
      <c r="D10" s="18" t="str">
        <f t="shared" si="3"/>
        <v/>
      </c>
      <c r="E10" s="4"/>
      <c r="F10" s="8"/>
      <c r="G10" s="9"/>
      <c r="H10" s="9"/>
      <c r="I10" s="55"/>
      <c r="J10" s="21" t="str">
        <f t="shared" si="4"/>
        <v/>
      </c>
      <c r="K10" s="8"/>
      <c r="L10" s="9"/>
      <c r="M10" s="9"/>
      <c r="N10" s="55"/>
      <c r="O10" s="21" t="str">
        <f t="shared" si="5"/>
        <v/>
      </c>
      <c r="P10" s="8"/>
      <c r="Q10" s="9"/>
      <c r="R10" s="9"/>
      <c r="S10" s="55"/>
      <c r="T10" s="21" t="str">
        <f t="shared" si="6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/>
      </c>
      <c r="B11" s="18" t="str">
        <f t="shared" si="7"/>
        <v/>
      </c>
      <c r="C11" s="18" t="str">
        <f t="shared" si="9"/>
        <v/>
      </c>
      <c r="D11" s="18" t="str">
        <f t="shared" si="3"/>
        <v/>
      </c>
      <c r="E11" s="4"/>
      <c r="F11" s="8"/>
      <c r="G11" s="9"/>
      <c r="H11" s="9"/>
      <c r="I11" s="55"/>
      <c r="J11" s="21" t="str">
        <f t="shared" si="4"/>
        <v/>
      </c>
      <c r="K11" s="8"/>
      <c r="L11" s="9"/>
      <c r="M11" s="9"/>
      <c r="N11" s="55"/>
      <c r="O11" s="21" t="str">
        <f t="shared" si="5"/>
        <v/>
      </c>
      <c r="P11" s="8"/>
      <c r="Q11" s="9"/>
      <c r="R11" s="9"/>
      <c r="S11" s="55"/>
      <c r="T11" s="21" t="str">
        <f t="shared" si="6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/>
      </c>
      <c r="B12" s="18" t="str">
        <f t="shared" si="7"/>
        <v/>
      </c>
      <c r="C12" s="18" t="str">
        <f t="shared" si="9"/>
        <v/>
      </c>
      <c r="D12" s="18" t="str">
        <f t="shared" si="3"/>
        <v/>
      </c>
      <c r="E12" s="4"/>
      <c r="F12" s="8"/>
      <c r="G12" s="9"/>
      <c r="H12" s="9"/>
      <c r="I12" s="55"/>
      <c r="J12" s="21" t="str">
        <f t="shared" si="4"/>
        <v/>
      </c>
      <c r="K12" s="8"/>
      <c r="L12" s="9"/>
      <c r="M12" s="9"/>
      <c r="N12" s="55"/>
      <c r="O12" s="21" t="str">
        <f t="shared" si="5"/>
        <v/>
      </c>
      <c r="P12" s="8"/>
      <c r="Q12" s="9"/>
      <c r="R12" s="9"/>
      <c r="S12" s="55"/>
      <c r="T12" s="21" t="str">
        <f t="shared" si="6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/>
      </c>
      <c r="B13" s="18" t="str">
        <f t="shared" si="7"/>
        <v/>
      </c>
      <c r="C13" s="18" t="str">
        <f t="shared" si="9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/>
      </c>
      <c r="B14" s="18" t="str">
        <f t="shared" si="7"/>
        <v/>
      </c>
      <c r="C14" s="18" t="str">
        <f t="shared" si="9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/>
      </c>
      <c r="B15" s="18" t="str">
        <f t="shared" si="7"/>
        <v/>
      </c>
      <c r="C15" s="18" t="str">
        <f t="shared" si="9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/>
      </c>
      <c r="B16" s="18" t="str">
        <f t="shared" si="7"/>
        <v/>
      </c>
      <c r="C16" s="18" t="str">
        <f t="shared" si="9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7870ED5B-4CC4-4D1E-BDCF-985B9E74BE13}">
      <formula1>"ロン,ツモ,放銃,ツモ支払,流局,チョンボ"</formula1>
    </dataValidation>
    <dataValidation type="list" allowBlank="1" showInputMessage="1" showErrorMessage="1" sqref="E4:E30" xr:uid="{A417BA12-CFE6-42B4-BD04-D5E06131542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9FD2-2807-4E61-AAE0-E8CA140F693F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154</v>
      </c>
      <c r="G1" s="104"/>
      <c r="H1" s="104"/>
      <c r="I1" s="113"/>
      <c r="J1" s="105"/>
      <c r="K1" s="102" t="s">
        <v>152</v>
      </c>
      <c r="L1" s="104"/>
      <c r="M1" s="104"/>
      <c r="N1" s="113"/>
      <c r="O1" s="105"/>
      <c r="P1" s="102" t="s">
        <v>156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あさひ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がくと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いっしー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あさひ</v>
      </c>
      <c r="V2" s="83" t="str">
        <f>$K$1</f>
        <v>がくと</v>
      </c>
      <c r="W2" s="16" t="str">
        <f>$P$1</f>
        <v>いっしー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145</v>
      </c>
      <c r="G4" s="9">
        <v>32000</v>
      </c>
      <c r="H4" s="9"/>
      <c r="I4" s="55">
        <v>0</v>
      </c>
      <c r="J4" s="21">
        <f>IF(COUNTA($F4,$K4,$P4)&gt;0,J3+SUM(G4:I4),"")</f>
        <v>67000</v>
      </c>
      <c r="K4" s="8" t="s">
        <v>146</v>
      </c>
      <c r="L4" s="9">
        <v>-32000</v>
      </c>
      <c r="M4" s="9"/>
      <c r="N4" s="55">
        <v>0</v>
      </c>
      <c r="O4" s="21">
        <f>IF(COUNTA($F4,$K4,$P4)&gt;0,O3+SUM(L4:N4),"")</f>
        <v>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32</v>
      </c>
      <c r="V4" s="61">
        <f t="shared" ref="V4:V30" si="1">IF($O4="","",ROUND(($O4-$O$3)/1000,1))</f>
        <v>-32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13</v>
      </c>
      <c r="AD4" s="36" t="s">
        <v>143</v>
      </c>
      <c r="AE4" s="47" t="s">
        <v>84</v>
      </c>
      <c r="AF4" s="48" t="s">
        <v>144</v>
      </c>
      <c r="AG4" s="48" t="s">
        <v>85</v>
      </c>
      <c r="AH4" s="48" t="s">
        <v>80</v>
      </c>
      <c r="AI4" s="48" t="s">
        <v>80</v>
      </c>
      <c r="AJ4" s="48" t="s">
        <v>81</v>
      </c>
      <c r="AK4" s="48" t="s">
        <v>81</v>
      </c>
      <c r="AL4" s="48" t="s">
        <v>107</v>
      </c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3">IF($E5="","",IF(OR($F4="流局",$F4="チョンボ"),D4+($H4+$M4+$R4)/-1000,0))</f>
        <v>0</v>
      </c>
      <c r="E5" s="4" t="s">
        <v>155</v>
      </c>
      <c r="F5" s="8"/>
      <c r="G5" s="9"/>
      <c r="H5" s="9">
        <v>-1000</v>
      </c>
      <c r="I5" s="55"/>
      <c r="J5" s="21">
        <f t="shared" ref="J5:J30" si="4">IF(COUNTA($F5,$K5,$P5)&gt;0,J4+SUM(G5:I5),"")</f>
        <v>66000</v>
      </c>
      <c r="K5" s="8" t="s">
        <v>145</v>
      </c>
      <c r="L5" s="9">
        <v>2000</v>
      </c>
      <c r="M5" s="9">
        <v>1000</v>
      </c>
      <c r="N5" s="55">
        <v>0</v>
      </c>
      <c r="O5" s="21">
        <f t="shared" ref="O5:O30" si="5">IF(COUNTA($F5,$K5,$P5)&gt;0,O4+SUM(L5:N5),"")</f>
        <v>6000</v>
      </c>
      <c r="P5" s="8" t="s">
        <v>146</v>
      </c>
      <c r="Q5" s="9">
        <v>-2000</v>
      </c>
      <c r="R5" s="9"/>
      <c r="S5" s="55">
        <v>0</v>
      </c>
      <c r="T5" s="21">
        <f t="shared" ref="T5:T30" si="6">IF(COUNTA($F5,$K5,$P5)&gt;0,T4+SUM(Q5:S5),"")</f>
        <v>33000</v>
      </c>
      <c r="U5" s="60">
        <f t="shared" si="0"/>
        <v>31</v>
      </c>
      <c r="V5" s="61">
        <f t="shared" si="1"/>
        <v>-29</v>
      </c>
      <c r="W5" s="62">
        <f t="shared" si="2"/>
        <v>-2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87</v>
      </c>
      <c r="BA5" s="48" t="s">
        <v>80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3</v>
      </c>
      <c r="C6" s="18">
        <f>IF($E6="","",IF(F5="チョンボ",C5,IF($E5=$E6,C5+1,0)))</f>
        <v>0</v>
      </c>
      <c r="D6" s="18">
        <f t="shared" si="3"/>
        <v>0</v>
      </c>
      <c r="E6" s="4" t="s">
        <v>153</v>
      </c>
      <c r="F6" s="8" t="s">
        <v>145</v>
      </c>
      <c r="G6" s="9">
        <v>12000</v>
      </c>
      <c r="H6" s="9"/>
      <c r="I6" s="55">
        <v>0</v>
      </c>
      <c r="J6" s="21">
        <f t="shared" si="4"/>
        <v>78000</v>
      </c>
      <c r="K6" s="8" t="s">
        <v>146</v>
      </c>
      <c r="L6" s="9">
        <v>-12000</v>
      </c>
      <c r="M6" s="9"/>
      <c r="N6" s="55">
        <v>0</v>
      </c>
      <c r="O6" s="21">
        <f t="shared" si="5"/>
        <v>-6000</v>
      </c>
      <c r="P6" s="8"/>
      <c r="Q6" s="9"/>
      <c r="R6" s="9"/>
      <c r="S6" s="55"/>
      <c r="T6" s="21">
        <f t="shared" si="6"/>
        <v>33000</v>
      </c>
      <c r="U6" s="60">
        <f t="shared" si="0"/>
        <v>43</v>
      </c>
      <c r="V6" s="61">
        <f t="shared" si="1"/>
        <v>-41</v>
      </c>
      <c r="W6" s="62">
        <f t="shared" si="2"/>
        <v>-2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144</v>
      </c>
      <c r="AF6" s="48" t="s">
        <v>82</v>
      </c>
      <c r="AG6" s="48" t="s">
        <v>82</v>
      </c>
      <c r="AH6" s="48" t="s">
        <v>84</v>
      </c>
      <c r="AI6" s="48" t="s">
        <v>85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/>
      </c>
      <c r="B7" s="18" t="str">
        <f t="shared" si="7"/>
        <v/>
      </c>
      <c r="C7" s="18" t="str">
        <f t="shared" ref="C7:C30" si="9">IF($E7="","",IF(F6="チョンボ",C6,IF($E6=$E7,C6+1,0)))</f>
        <v/>
      </c>
      <c r="D7" s="18" t="str">
        <f t="shared" si="3"/>
        <v/>
      </c>
      <c r="E7" s="4"/>
      <c r="F7" s="8"/>
      <c r="G7" s="9"/>
      <c r="H7" s="9"/>
      <c r="I7" s="55"/>
      <c r="J7" s="21" t="str">
        <f t="shared" si="4"/>
        <v/>
      </c>
      <c r="K7" s="8"/>
      <c r="L7" s="9"/>
      <c r="M7" s="9"/>
      <c r="N7" s="55"/>
      <c r="O7" s="21" t="str">
        <f t="shared" si="5"/>
        <v/>
      </c>
      <c r="P7" s="8"/>
      <c r="Q7" s="9"/>
      <c r="R7" s="9"/>
      <c r="S7" s="55"/>
      <c r="T7" s="21" t="str">
        <f t="shared" si="6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/>
      </c>
      <c r="B8" s="18" t="str">
        <f t="shared" si="7"/>
        <v/>
      </c>
      <c r="C8" s="18" t="str">
        <f t="shared" si="9"/>
        <v/>
      </c>
      <c r="D8" s="18" t="str">
        <f t="shared" si="3"/>
        <v/>
      </c>
      <c r="E8" s="4"/>
      <c r="F8" s="8"/>
      <c r="G8" s="9"/>
      <c r="H8" s="9"/>
      <c r="I8" s="55"/>
      <c r="J8" s="21" t="str">
        <f t="shared" si="4"/>
        <v/>
      </c>
      <c r="K8" s="8"/>
      <c r="L8" s="9"/>
      <c r="M8" s="9"/>
      <c r="N8" s="55"/>
      <c r="O8" s="21" t="str">
        <f t="shared" si="5"/>
        <v/>
      </c>
      <c r="P8" s="8"/>
      <c r="Q8" s="9"/>
      <c r="R8" s="9"/>
      <c r="S8" s="55"/>
      <c r="T8" s="21" t="str">
        <f t="shared" si="6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/>
      </c>
      <c r="B9" s="18" t="str">
        <f t="shared" si="7"/>
        <v/>
      </c>
      <c r="C9" s="18" t="str">
        <f t="shared" si="9"/>
        <v/>
      </c>
      <c r="D9" s="18" t="str">
        <f t="shared" si="3"/>
        <v/>
      </c>
      <c r="E9" s="4"/>
      <c r="F9" s="8"/>
      <c r="G9" s="9"/>
      <c r="H9" s="9"/>
      <c r="I9" s="55"/>
      <c r="J9" s="21" t="str">
        <f t="shared" si="4"/>
        <v/>
      </c>
      <c r="K9" s="8"/>
      <c r="L9" s="9"/>
      <c r="M9" s="9"/>
      <c r="N9" s="55"/>
      <c r="O9" s="21" t="str">
        <f t="shared" si="5"/>
        <v/>
      </c>
      <c r="P9" s="8"/>
      <c r="Q9" s="9"/>
      <c r="R9" s="9"/>
      <c r="S9" s="55"/>
      <c r="T9" s="21" t="str">
        <f t="shared" si="6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/>
      </c>
      <c r="B10" s="18" t="str">
        <f t="shared" si="7"/>
        <v/>
      </c>
      <c r="C10" s="18" t="str">
        <f t="shared" si="9"/>
        <v/>
      </c>
      <c r="D10" s="18" t="str">
        <f t="shared" si="3"/>
        <v/>
      </c>
      <c r="E10" s="4"/>
      <c r="F10" s="8"/>
      <c r="G10" s="9"/>
      <c r="H10" s="9"/>
      <c r="I10" s="55"/>
      <c r="J10" s="21" t="str">
        <f t="shared" si="4"/>
        <v/>
      </c>
      <c r="K10" s="8"/>
      <c r="L10" s="9"/>
      <c r="M10" s="9"/>
      <c r="N10" s="55"/>
      <c r="O10" s="21" t="str">
        <f t="shared" si="5"/>
        <v/>
      </c>
      <c r="P10" s="8"/>
      <c r="Q10" s="9"/>
      <c r="R10" s="9"/>
      <c r="S10" s="55"/>
      <c r="T10" s="21" t="str">
        <f t="shared" si="6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/>
      </c>
      <c r="B11" s="18" t="str">
        <f t="shared" si="7"/>
        <v/>
      </c>
      <c r="C11" s="18" t="str">
        <f t="shared" si="9"/>
        <v/>
      </c>
      <c r="D11" s="18" t="str">
        <f t="shared" si="3"/>
        <v/>
      </c>
      <c r="E11" s="4"/>
      <c r="F11" s="8"/>
      <c r="G11" s="9"/>
      <c r="H11" s="9"/>
      <c r="I11" s="55"/>
      <c r="J11" s="21" t="str">
        <f t="shared" si="4"/>
        <v/>
      </c>
      <c r="K11" s="8"/>
      <c r="L11" s="9"/>
      <c r="M11" s="9"/>
      <c r="N11" s="55"/>
      <c r="O11" s="21" t="str">
        <f t="shared" si="5"/>
        <v/>
      </c>
      <c r="P11" s="8"/>
      <c r="Q11" s="9"/>
      <c r="R11" s="9"/>
      <c r="S11" s="55"/>
      <c r="T11" s="21" t="str">
        <f t="shared" si="6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/>
      </c>
      <c r="B12" s="18" t="str">
        <f t="shared" si="7"/>
        <v/>
      </c>
      <c r="C12" s="18" t="str">
        <f t="shared" si="9"/>
        <v/>
      </c>
      <c r="D12" s="18" t="str">
        <f t="shared" si="3"/>
        <v/>
      </c>
      <c r="E12" s="4"/>
      <c r="F12" s="8"/>
      <c r="G12" s="9"/>
      <c r="H12" s="9"/>
      <c r="I12" s="55"/>
      <c r="J12" s="21" t="str">
        <f t="shared" si="4"/>
        <v/>
      </c>
      <c r="K12" s="8"/>
      <c r="L12" s="9"/>
      <c r="M12" s="9"/>
      <c r="N12" s="55"/>
      <c r="O12" s="21" t="str">
        <f t="shared" si="5"/>
        <v/>
      </c>
      <c r="P12" s="8"/>
      <c r="Q12" s="9"/>
      <c r="R12" s="9"/>
      <c r="S12" s="55"/>
      <c r="T12" s="21" t="str">
        <f t="shared" si="6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/>
      </c>
      <c r="B13" s="18" t="str">
        <f t="shared" si="7"/>
        <v/>
      </c>
      <c r="C13" s="18" t="str">
        <f t="shared" si="9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/>
      </c>
      <c r="B14" s="18" t="str">
        <f t="shared" si="7"/>
        <v/>
      </c>
      <c r="C14" s="18" t="str">
        <f t="shared" si="9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/>
      </c>
      <c r="B15" s="18" t="str">
        <f t="shared" si="7"/>
        <v/>
      </c>
      <c r="C15" s="18" t="str">
        <f t="shared" si="9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/>
      </c>
      <c r="B16" s="18" t="str">
        <f t="shared" si="7"/>
        <v/>
      </c>
      <c r="C16" s="18" t="str">
        <f t="shared" si="9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F049648C-7EC7-49E1-8D3D-06BCAFAEA06D}">
      <formula1>$U$2:$W$2</formula1>
    </dataValidation>
    <dataValidation type="list" showInputMessage="1" showErrorMessage="1" sqref="K4:K30 P4:P30 F4:F30" xr:uid="{907921C2-1D3D-4BED-ADF2-ECA67FFD35B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12FB0-579D-417C-8181-2D732EB8595B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154</v>
      </c>
      <c r="G1" s="104"/>
      <c r="H1" s="104"/>
      <c r="I1" s="113"/>
      <c r="J1" s="105"/>
      <c r="K1" s="102" t="s">
        <v>152</v>
      </c>
      <c r="L1" s="104"/>
      <c r="M1" s="104"/>
      <c r="N1" s="113"/>
      <c r="O1" s="105"/>
      <c r="P1" s="102" t="s">
        <v>156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あさひ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がくと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いっしー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あさひ</v>
      </c>
      <c r="V2" s="83" t="str">
        <f>$K$1</f>
        <v>がくと</v>
      </c>
      <c r="W2" s="16" t="str">
        <f>$P$1</f>
        <v>いっしー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142</v>
      </c>
      <c r="G4" s="9">
        <v>-9000</v>
      </c>
      <c r="H4" s="9"/>
      <c r="I4" s="55">
        <v>0</v>
      </c>
      <c r="J4" s="21">
        <f>IF(COUNTA($F4,$K4,$P4)&gt;0,J3+SUM(G4:I4),"")</f>
        <v>26000</v>
      </c>
      <c r="K4" s="8" t="s">
        <v>141</v>
      </c>
      <c r="L4" s="9">
        <v>18000</v>
      </c>
      <c r="M4" s="9">
        <v>1000</v>
      </c>
      <c r="N4" s="55">
        <v>0</v>
      </c>
      <c r="O4" s="21">
        <f>IF(COUNTA($F4,$K4,$P4)&gt;0,O3+SUM(L4:N4),"")</f>
        <v>54000</v>
      </c>
      <c r="P4" s="8" t="s">
        <v>142</v>
      </c>
      <c r="Q4" s="9">
        <v>-9000</v>
      </c>
      <c r="R4" s="9">
        <v>-1000</v>
      </c>
      <c r="S4" s="55">
        <v>0</v>
      </c>
      <c r="T4" s="21">
        <f>IF(COUNTA($F4,$K4,$P4)&gt;0,T3+SUM(Q4:S4),"")</f>
        <v>25000</v>
      </c>
      <c r="U4" s="60">
        <f t="shared" ref="U4:U30" si="0">IF($J4="","",ROUND(($J4-$J$3)/1000,1))</f>
        <v>-9</v>
      </c>
      <c r="V4" s="61">
        <f t="shared" ref="V4:V30" si="1">IF($O4="","",ROUND(($O4-$O$3)/1000,1))</f>
        <v>19</v>
      </c>
      <c r="W4" s="62">
        <f t="shared" ref="W4:W30" si="2">IF($T4="","",ROUND(($T4-$T$3)/1000,1))</f>
        <v>-10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6</v>
      </c>
      <c r="AY4" s="36" t="s">
        <v>143</v>
      </c>
      <c r="AZ4" s="47" t="s">
        <v>144</v>
      </c>
      <c r="BA4" s="48" t="s">
        <v>83</v>
      </c>
      <c r="BB4" s="48" t="s">
        <v>150</v>
      </c>
      <c r="BC4" s="48" t="s">
        <v>82</v>
      </c>
      <c r="BD4" s="48" t="s">
        <v>82</v>
      </c>
      <c r="BE4" s="48" t="s">
        <v>82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IF($E5="","",IF(F4="チョンボ",C4,IF($E4=$E5,C4+1,0)))</f>
        <v>1</v>
      </c>
      <c r="D5" s="18">
        <f t="shared" ref="D5:D30" si="3">IF($E5="","",IF(OR($F4="流局",$F4="チョンボ"),D4+($H4+$M4+$R4)/-1000,0))</f>
        <v>0</v>
      </c>
      <c r="E5" s="4" t="s">
        <v>151</v>
      </c>
      <c r="F5" s="8" t="s">
        <v>145</v>
      </c>
      <c r="G5" s="9">
        <v>5200</v>
      </c>
      <c r="H5" s="9"/>
      <c r="I5" s="55">
        <v>1000</v>
      </c>
      <c r="J5" s="21">
        <f t="shared" ref="J5:J30" si="4">IF(COUNTA($F5,$K5,$P5)&gt;0,J4+SUM(G5:I5),"")</f>
        <v>32200</v>
      </c>
      <c r="K5" s="8"/>
      <c r="L5" s="9"/>
      <c r="M5" s="9"/>
      <c r="N5" s="55"/>
      <c r="O5" s="21">
        <f t="shared" ref="O5:O30" si="5">IF(COUNTA($F5,$K5,$P5)&gt;0,O4+SUM(L5:N5),"")</f>
        <v>54000</v>
      </c>
      <c r="P5" s="8" t="s">
        <v>146</v>
      </c>
      <c r="Q5" s="9">
        <v>-5200</v>
      </c>
      <c r="R5" s="9"/>
      <c r="S5" s="55">
        <v>-1000</v>
      </c>
      <c r="T5" s="21">
        <f t="shared" ref="T5:T30" si="6">IF(COUNTA($F5,$K5,$P5)&gt;0,T4+SUM(Q5:S5),"")</f>
        <v>18800</v>
      </c>
      <c r="U5" s="60">
        <f t="shared" si="0"/>
        <v>-2.8</v>
      </c>
      <c r="V5" s="61">
        <f t="shared" si="1"/>
        <v>19</v>
      </c>
      <c r="W5" s="62">
        <f t="shared" si="2"/>
        <v>-16.2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144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2</v>
      </c>
      <c r="C6" s="18">
        <f>IF($E6="","",IF(F5="チョンボ",C5,IF($E5=$E6,C5+1,0)))</f>
        <v>0</v>
      </c>
      <c r="D6" s="18">
        <f t="shared" si="3"/>
        <v>0</v>
      </c>
      <c r="E6" s="4" t="s">
        <v>155</v>
      </c>
      <c r="F6" s="8" t="s">
        <v>149</v>
      </c>
      <c r="G6" s="9">
        <v>0</v>
      </c>
      <c r="H6" s="9"/>
      <c r="I6" s="55"/>
      <c r="J6" s="21">
        <f t="shared" si="4"/>
        <v>32200</v>
      </c>
      <c r="K6" s="8" t="s">
        <v>149</v>
      </c>
      <c r="L6" s="9">
        <v>0</v>
      </c>
      <c r="M6" s="9"/>
      <c r="N6" s="55"/>
      <c r="O6" s="21">
        <f t="shared" si="5"/>
        <v>54000</v>
      </c>
      <c r="P6" s="8" t="s">
        <v>149</v>
      </c>
      <c r="Q6" s="9">
        <v>0</v>
      </c>
      <c r="R6" s="9"/>
      <c r="S6" s="55"/>
      <c r="T6" s="21">
        <f t="shared" si="6"/>
        <v>18800</v>
      </c>
      <c r="U6" s="60">
        <f t="shared" si="0"/>
        <v>-2.8</v>
      </c>
      <c r="V6" s="61">
        <f t="shared" si="1"/>
        <v>19</v>
      </c>
      <c r="W6" s="62">
        <f t="shared" si="2"/>
        <v>-16.2</v>
      </c>
      <c r="Y6" s="8" t="s">
        <v>147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147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>東</v>
      </c>
      <c r="B7" s="18">
        <f t="shared" si="7"/>
        <v>2</v>
      </c>
      <c r="C7" s="18">
        <f t="shared" ref="C7:C30" si="9">IF($E7="","",IF(F6="チョンボ",C6,IF($E6=$E7,C6+1,0)))</f>
        <v>1</v>
      </c>
      <c r="D7" s="18">
        <f t="shared" si="3"/>
        <v>0</v>
      </c>
      <c r="E7" s="4" t="s">
        <v>155</v>
      </c>
      <c r="F7" s="8" t="s">
        <v>142</v>
      </c>
      <c r="G7" s="9">
        <v>-6000</v>
      </c>
      <c r="H7" s="9"/>
      <c r="I7" s="55">
        <v>-500</v>
      </c>
      <c r="J7" s="21">
        <f t="shared" si="4"/>
        <v>25700</v>
      </c>
      <c r="K7" s="8" t="s">
        <v>142</v>
      </c>
      <c r="L7" s="9">
        <v>-6000</v>
      </c>
      <c r="M7" s="9"/>
      <c r="N7" s="55">
        <v>-500</v>
      </c>
      <c r="O7" s="21">
        <f t="shared" si="5"/>
        <v>47500</v>
      </c>
      <c r="P7" s="8" t="s">
        <v>141</v>
      </c>
      <c r="Q7" s="9">
        <v>12000</v>
      </c>
      <c r="R7" s="9"/>
      <c r="S7" s="55">
        <v>1000</v>
      </c>
      <c r="T7" s="21">
        <f t="shared" si="6"/>
        <v>31800</v>
      </c>
      <c r="U7" s="60">
        <f t="shared" si="0"/>
        <v>-9.3000000000000007</v>
      </c>
      <c r="V7" s="61">
        <f t="shared" si="1"/>
        <v>12.5</v>
      </c>
      <c r="W7" s="62">
        <f t="shared" si="2"/>
        <v>-3.2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4</v>
      </c>
      <c r="BT7" s="36">
        <v>30</v>
      </c>
      <c r="BU7" s="47" t="s">
        <v>83</v>
      </c>
      <c r="BV7" s="48" t="s">
        <v>85</v>
      </c>
      <c r="BW7" s="48" t="s">
        <v>80</v>
      </c>
      <c r="BX7" s="48" t="s">
        <v>82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>東</v>
      </c>
      <c r="B8" s="18">
        <f t="shared" si="7"/>
        <v>2</v>
      </c>
      <c r="C8" s="18">
        <f t="shared" si="9"/>
        <v>2</v>
      </c>
      <c r="D8" s="18">
        <f t="shared" si="3"/>
        <v>0</v>
      </c>
      <c r="E8" s="4" t="s">
        <v>155</v>
      </c>
      <c r="F8" s="8" t="s">
        <v>142</v>
      </c>
      <c r="G8" s="9">
        <v>-9000</v>
      </c>
      <c r="H8" s="9"/>
      <c r="I8" s="55">
        <v>-1000</v>
      </c>
      <c r="J8" s="21">
        <f t="shared" si="4"/>
        <v>15700</v>
      </c>
      <c r="K8" s="8" t="s">
        <v>142</v>
      </c>
      <c r="L8" s="9">
        <v>-9000</v>
      </c>
      <c r="M8" s="9"/>
      <c r="N8" s="55">
        <v>-1000</v>
      </c>
      <c r="O8" s="21">
        <f t="shared" si="5"/>
        <v>37500</v>
      </c>
      <c r="P8" s="8" t="s">
        <v>141</v>
      </c>
      <c r="Q8" s="9">
        <v>18000</v>
      </c>
      <c r="R8" s="9"/>
      <c r="S8" s="55">
        <v>2000</v>
      </c>
      <c r="T8" s="21">
        <f t="shared" si="6"/>
        <v>51800</v>
      </c>
      <c r="U8" s="60">
        <f t="shared" si="0"/>
        <v>-19.3</v>
      </c>
      <c r="V8" s="61">
        <f t="shared" si="1"/>
        <v>2.5</v>
      </c>
      <c r="W8" s="62">
        <f t="shared" si="2"/>
        <v>16.8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6</v>
      </c>
      <c r="BT8" s="36" t="s">
        <v>143</v>
      </c>
      <c r="BU8" s="47" t="s">
        <v>144</v>
      </c>
      <c r="BV8" s="48" t="s">
        <v>83</v>
      </c>
      <c r="BW8" s="48" t="s">
        <v>150</v>
      </c>
      <c r="BX8" s="48" t="s">
        <v>81</v>
      </c>
      <c r="BY8" s="48" t="s">
        <v>81</v>
      </c>
      <c r="BZ8" s="48" t="s">
        <v>85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>東</v>
      </c>
      <c r="B9" s="18">
        <f t="shared" si="7"/>
        <v>2</v>
      </c>
      <c r="C9" s="18">
        <f t="shared" si="9"/>
        <v>3</v>
      </c>
      <c r="D9" s="18">
        <f t="shared" si="3"/>
        <v>0</v>
      </c>
      <c r="E9" s="4" t="s">
        <v>155</v>
      </c>
      <c r="F9" s="8" t="s">
        <v>146</v>
      </c>
      <c r="G9" s="9">
        <v>-5200</v>
      </c>
      <c r="H9" s="9">
        <v>-1000</v>
      </c>
      <c r="I9" s="55">
        <v>-3000</v>
      </c>
      <c r="J9" s="21">
        <f t="shared" si="4"/>
        <v>6500</v>
      </c>
      <c r="K9" s="8" t="s">
        <v>145</v>
      </c>
      <c r="L9" s="9">
        <v>5200</v>
      </c>
      <c r="M9" s="9">
        <v>1000</v>
      </c>
      <c r="N9" s="55">
        <v>3000</v>
      </c>
      <c r="O9" s="21">
        <f t="shared" si="5"/>
        <v>46700</v>
      </c>
      <c r="P9" s="8"/>
      <c r="Q9" s="9"/>
      <c r="R9" s="9"/>
      <c r="S9" s="55"/>
      <c r="T9" s="21">
        <f t="shared" si="6"/>
        <v>51800</v>
      </c>
      <c r="U9" s="60">
        <f t="shared" si="0"/>
        <v>-28.5</v>
      </c>
      <c r="V9" s="61">
        <f t="shared" si="1"/>
        <v>11.7</v>
      </c>
      <c r="W9" s="62">
        <f t="shared" si="2"/>
        <v>16.8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3</v>
      </c>
      <c r="AY9" s="36">
        <v>40</v>
      </c>
      <c r="AZ9" s="47" t="s">
        <v>144</v>
      </c>
      <c r="BA9" s="48" t="s">
        <v>150</v>
      </c>
      <c r="BB9" s="48" t="s">
        <v>81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>東</v>
      </c>
      <c r="B10" s="18">
        <f t="shared" si="7"/>
        <v>3</v>
      </c>
      <c r="C10" s="18">
        <f t="shared" si="9"/>
        <v>0</v>
      </c>
      <c r="D10" s="18">
        <f t="shared" si="3"/>
        <v>0</v>
      </c>
      <c r="E10" s="4" t="s">
        <v>153</v>
      </c>
      <c r="F10" s="8"/>
      <c r="G10" s="9"/>
      <c r="H10" s="9"/>
      <c r="I10" s="55"/>
      <c r="J10" s="21">
        <f t="shared" si="4"/>
        <v>6500</v>
      </c>
      <c r="K10" s="8" t="s">
        <v>146</v>
      </c>
      <c r="L10" s="9">
        <v>-12000</v>
      </c>
      <c r="M10" s="9"/>
      <c r="N10" s="55">
        <v>0</v>
      </c>
      <c r="O10" s="21">
        <f t="shared" si="5"/>
        <v>34700</v>
      </c>
      <c r="P10" s="8" t="s">
        <v>145</v>
      </c>
      <c r="Q10" s="9">
        <v>12000</v>
      </c>
      <c r="R10" s="9"/>
      <c r="S10" s="55">
        <v>0</v>
      </c>
      <c r="T10" s="21">
        <f t="shared" si="6"/>
        <v>63800</v>
      </c>
      <c r="U10" s="60">
        <f t="shared" si="0"/>
        <v>-28.5</v>
      </c>
      <c r="V10" s="61">
        <f t="shared" si="1"/>
        <v>-0.3</v>
      </c>
      <c r="W10" s="62">
        <f t="shared" si="2"/>
        <v>28.8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143</v>
      </c>
      <c r="BU10" s="47" t="s">
        <v>144</v>
      </c>
      <c r="BV10" s="48" t="s">
        <v>150</v>
      </c>
      <c r="BW10" s="48" t="s">
        <v>80</v>
      </c>
      <c r="BX10" s="48" t="s">
        <v>81</v>
      </c>
      <c r="BY10" s="48" t="s">
        <v>82</v>
      </c>
      <c r="BZ10" s="48" t="s">
        <v>93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>南</v>
      </c>
      <c r="B11" s="18">
        <f t="shared" si="7"/>
        <v>1</v>
      </c>
      <c r="C11" s="18">
        <f t="shared" si="9"/>
        <v>0</v>
      </c>
      <c r="D11" s="18">
        <f t="shared" si="3"/>
        <v>0</v>
      </c>
      <c r="E11" s="4" t="s">
        <v>151</v>
      </c>
      <c r="F11" s="8" t="s">
        <v>145</v>
      </c>
      <c r="G11" s="9">
        <v>8000</v>
      </c>
      <c r="H11" s="9"/>
      <c r="I11" s="55">
        <v>0</v>
      </c>
      <c r="J11" s="21">
        <f t="shared" si="4"/>
        <v>14500</v>
      </c>
      <c r="K11" s="8"/>
      <c r="L11" s="9"/>
      <c r="M11" s="9"/>
      <c r="N11" s="55"/>
      <c r="O11" s="21">
        <f t="shared" si="5"/>
        <v>34700</v>
      </c>
      <c r="P11" s="8" t="s">
        <v>146</v>
      </c>
      <c r="Q11" s="9">
        <v>-8000</v>
      </c>
      <c r="R11" s="9"/>
      <c r="S11" s="55">
        <v>0</v>
      </c>
      <c r="T11" s="21">
        <f t="shared" si="6"/>
        <v>55800</v>
      </c>
      <c r="U11" s="60">
        <f t="shared" si="0"/>
        <v>-20.5</v>
      </c>
      <c r="V11" s="61">
        <f t="shared" si="1"/>
        <v>-0.3</v>
      </c>
      <c r="W11" s="62">
        <f t="shared" si="2"/>
        <v>20.8</v>
      </c>
      <c r="Y11" s="8"/>
      <c r="Z11" s="41"/>
      <c r="AA11" s="32">
        <v>1</v>
      </c>
      <c r="AB11" s="32"/>
      <c r="AC11" s="32">
        <v>5</v>
      </c>
      <c r="AD11" s="36" t="s">
        <v>143</v>
      </c>
      <c r="AE11" s="47" t="s">
        <v>144</v>
      </c>
      <c r="AF11" s="48" t="s">
        <v>105</v>
      </c>
      <c r="AG11" s="48" t="s">
        <v>87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>南</v>
      </c>
      <c r="B12" s="18">
        <f t="shared" si="7"/>
        <v>2</v>
      </c>
      <c r="C12" s="18">
        <f t="shared" si="9"/>
        <v>0</v>
      </c>
      <c r="D12" s="18">
        <f t="shared" si="3"/>
        <v>0</v>
      </c>
      <c r="E12" s="4" t="s">
        <v>155</v>
      </c>
      <c r="F12" s="8"/>
      <c r="G12" s="9"/>
      <c r="H12" s="9"/>
      <c r="I12" s="55"/>
      <c r="J12" s="21">
        <f t="shared" si="4"/>
        <v>14500</v>
      </c>
      <c r="K12" s="8" t="s">
        <v>146</v>
      </c>
      <c r="L12" s="9">
        <v>-2900</v>
      </c>
      <c r="M12" s="9"/>
      <c r="N12" s="55">
        <v>0</v>
      </c>
      <c r="O12" s="21">
        <f t="shared" si="5"/>
        <v>31800</v>
      </c>
      <c r="P12" s="8" t="s">
        <v>145</v>
      </c>
      <c r="Q12" s="9">
        <v>2900</v>
      </c>
      <c r="R12" s="9"/>
      <c r="S12" s="55">
        <v>0</v>
      </c>
      <c r="T12" s="21">
        <f t="shared" si="6"/>
        <v>58700</v>
      </c>
      <c r="U12" s="60">
        <f t="shared" si="0"/>
        <v>-20.5</v>
      </c>
      <c r="V12" s="61">
        <f t="shared" si="1"/>
        <v>-3.2</v>
      </c>
      <c r="W12" s="62">
        <f t="shared" si="2"/>
        <v>23.7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2</v>
      </c>
      <c r="BT12" s="36">
        <v>30</v>
      </c>
      <c r="BU12" s="47" t="s">
        <v>87</v>
      </c>
      <c r="BV12" s="48" t="s">
        <v>82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>南</v>
      </c>
      <c r="B13" s="18">
        <f t="shared" si="7"/>
        <v>2</v>
      </c>
      <c r="C13" s="18">
        <f t="shared" si="9"/>
        <v>1</v>
      </c>
      <c r="D13" s="18">
        <f t="shared" si="3"/>
        <v>0</v>
      </c>
      <c r="E13" s="4" t="s">
        <v>155</v>
      </c>
      <c r="F13" s="8" t="s">
        <v>142</v>
      </c>
      <c r="G13" s="9">
        <v>-1500</v>
      </c>
      <c r="H13" s="9"/>
      <c r="I13" s="55">
        <v>-500</v>
      </c>
      <c r="J13" s="21">
        <f t="shared" si="4"/>
        <v>12500</v>
      </c>
      <c r="K13" s="8" t="s">
        <v>141</v>
      </c>
      <c r="L13" s="9">
        <v>4000</v>
      </c>
      <c r="M13" s="9">
        <v>1000</v>
      </c>
      <c r="N13" s="55">
        <v>1000</v>
      </c>
      <c r="O13" s="21">
        <f t="shared" si="5"/>
        <v>37800</v>
      </c>
      <c r="P13" s="8" t="s">
        <v>142</v>
      </c>
      <c r="Q13" s="9">
        <v>-2500</v>
      </c>
      <c r="R13" s="9">
        <v>-1000</v>
      </c>
      <c r="S13" s="55">
        <v>-500</v>
      </c>
      <c r="T13" s="21">
        <f t="shared" si="6"/>
        <v>54700</v>
      </c>
      <c r="U13" s="60">
        <f t="shared" si="0"/>
        <v>-22.5</v>
      </c>
      <c r="V13" s="61">
        <f t="shared" si="1"/>
        <v>2.8</v>
      </c>
      <c r="W13" s="62">
        <f t="shared" si="2"/>
        <v>19.7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3</v>
      </c>
      <c r="AY13" s="36">
        <v>30</v>
      </c>
      <c r="AZ13" s="47" t="s">
        <v>144</v>
      </c>
      <c r="BA13" s="48" t="s">
        <v>83</v>
      </c>
      <c r="BB13" s="48" t="s">
        <v>150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>南</v>
      </c>
      <c r="B14" s="18">
        <f t="shared" si="7"/>
        <v>3</v>
      </c>
      <c r="C14" s="18">
        <f t="shared" si="9"/>
        <v>0</v>
      </c>
      <c r="D14" s="18">
        <f t="shared" si="3"/>
        <v>0</v>
      </c>
      <c r="E14" s="4" t="s">
        <v>153</v>
      </c>
      <c r="F14" s="8" t="s">
        <v>149</v>
      </c>
      <c r="G14" s="9">
        <v>1500</v>
      </c>
      <c r="H14" s="9">
        <v>-1000</v>
      </c>
      <c r="I14" s="55"/>
      <c r="J14" s="21">
        <f t="shared" si="4"/>
        <v>13000</v>
      </c>
      <c r="K14" s="8" t="s">
        <v>149</v>
      </c>
      <c r="L14" s="9">
        <v>1500</v>
      </c>
      <c r="M14" s="9"/>
      <c r="N14" s="55"/>
      <c r="O14" s="21">
        <f t="shared" si="5"/>
        <v>39300</v>
      </c>
      <c r="P14" s="8" t="s">
        <v>149</v>
      </c>
      <c r="Q14" s="9">
        <v>-3000</v>
      </c>
      <c r="R14" s="9"/>
      <c r="S14" s="55"/>
      <c r="T14" s="21">
        <f t="shared" si="6"/>
        <v>51700</v>
      </c>
      <c r="U14" s="60">
        <f t="shared" si="0"/>
        <v>-22</v>
      </c>
      <c r="V14" s="61">
        <f t="shared" si="1"/>
        <v>4.3</v>
      </c>
      <c r="W14" s="62">
        <f t="shared" si="2"/>
        <v>16.7</v>
      </c>
      <c r="Y14" s="8" t="s">
        <v>147</v>
      </c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 t="s">
        <v>147</v>
      </c>
      <c r="AU14" s="41"/>
      <c r="AV14" s="32"/>
      <c r="AW14" s="32">
        <v>1</v>
      </c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 t="s">
        <v>148</v>
      </c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>南</v>
      </c>
      <c r="B15" s="18">
        <f t="shared" si="7"/>
        <v>3</v>
      </c>
      <c r="C15" s="18">
        <f t="shared" si="9"/>
        <v>1</v>
      </c>
      <c r="D15" s="18">
        <f t="shared" si="3"/>
        <v>1</v>
      </c>
      <c r="E15" s="4" t="s">
        <v>153</v>
      </c>
      <c r="F15" s="8" t="s">
        <v>141</v>
      </c>
      <c r="G15" s="9">
        <v>12000</v>
      </c>
      <c r="H15" s="9">
        <v>1000</v>
      </c>
      <c r="I15" s="55">
        <v>1000</v>
      </c>
      <c r="J15" s="21">
        <f t="shared" si="4"/>
        <v>27000</v>
      </c>
      <c r="K15" s="8" t="s">
        <v>142</v>
      </c>
      <c r="L15" s="9">
        <v>-6000</v>
      </c>
      <c r="M15" s="9"/>
      <c r="N15" s="55">
        <v>-500</v>
      </c>
      <c r="O15" s="21">
        <f t="shared" si="5"/>
        <v>32800</v>
      </c>
      <c r="P15" s="8" t="s">
        <v>142</v>
      </c>
      <c r="Q15" s="9">
        <v>-6000</v>
      </c>
      <c r="R15" s="9"/>
      <c r="S15" s="55">
        <v>-500</v>
      </c>
      <c r="T15" s="21">
        <f t="shared" si="6"/>
        <v>45200</v>
      </c>
      <c r="U15" s="60">
        <f t="shared" si="0"/>
        <v>-8</v>
      </c>
      <c r="V15" s="61">
        <f t="shared" si="1"/>
        <v>-2.2000000000000002</v>
      </c>
      <c r="W15" s="62">
        <f t="shared" si="2"/>
        <v>10.199999999999999</v>
      </c>
      <c r="Y15" s="8"/>
      <c r="Z15" s="41"/>
      <c r="AA15" s="32">
        <v>1</v>
      </c>
      <c r="AB15" s="32"/>
      <c r="AC15" s="32">
        <v>5</v>
      </c>
      <c r="AD15" s="36" t="s">
        <v>143</v>
      </c>
      <c r="AE15" s="47" t="s">
        <v>144</v>
      </c>
      <c r="AF15" s="48" t="s">
        <v>83</v>
      </c>
      <c r="AG15" s="48" t="s">
        <v>86</v>
      </c>
      <c r="AH15" s="48" t="s">
        <v>82</v>
      </c>
      <c r="AI15" s="48" t="s">
        <v>81</v>
      </c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>南</v>
      </c>
      <c r="B16" s="18">
        <f t="shared" si="7"/>
        <v>3</v>
      </c>
      <c r="C16" s="18">
        <f t="shared" si="9"/>
        <v>2</v>
      </c>
      <c r="D16" s="18">
        <f t="shared" si="3"/>
        <v>0</v>
      </c>
      <c r="E16" s="4" t="s">
        <v>153</v>
      </c>
      <c r="F16" s="8" t="s">
        <v>142</v>
      </c>
      <c r="G16" s="9">
        <v>-5000</v>
      </c>
      <c r="H16" s="9"/>
      <c r="I16" s="55">
        <v>-1000</v>
      </c>
      <c r="J16" s="21">
        <f t="shared" si="4"/>
        <v>21000</v>
      </c>
      <c r="K16" s="8" t="s">
        <v>142</v>
      </c>
      <c r="L16" s="9">
        <v>-3000</v>
      </c>
      <c r="M16" s="9">
        <v>-1000</v>
      </c>
      <c r="N16" s="55">
        <v>-1000</v>
      </c>
      <c r="O16" s="21">
        <f t="shared" si="5"/>
        <v>27800</v>
      </c>
      <c r="P16" s="8" t="s">
        <v>141</v>
      </c>
      <c r="Q16" s="9">
        <v>8000</v>
      </c>
      <c r="R16" s="9">
        <v>1000</v>
      </c>
      <c r="S16" s="55">
        <v>2000</v>
      </c>
      <c r="T16" s="21">
        <f t="shared" si="6"/>
        <v>56200</v>
      </c>
      <c r="U16" s="60">
        <f t="shared" si="0"/>
        <v>-14</v>
      </c>
      <c r="V16" s="61">
        <f t="shared" si="1"/>
        <v>-7.2</v>
      </c>
      <c r="W16" s="62">
        <f t="shared" si="2"/>
        <v>21.2</v>
      </c>
      <c r="Y16" s="8"/>
      <c r="Z16" s="41"/>
      <c r="AA16" s="32"/>
      <c r="AB16" s="32">
        <v>1</v>
      </c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>
        <v>1</v>
      </c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>
        <v>1</v>
      </c>
      <c r="BR16" s="32"/>
      <c r="BS16" s="32">
        <v>4</v>
      </c>
      <c r="BT16" s="36">
        <v>30</v>
      </c>
      <c r="BU16" s="47" t="s">
        <v>144</v>
      </c>
      <c r="BV16" s="48" t="s">
        <v>83</v>
      </c>
      <c r="BW16" s="48" t="s">
        <v>82</v>
      </c>
      <c r="BX16" s="48" t="s">
        <v>81</v>
      </c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EBADE5F3-420A-4704-978E-29F9FCA4DA30}">
      <formula1>"ロン,ツモ,放銃,ツモ支払,流局,チョンボ"</formula1>
    </dataValidation>
    <dataValidation type="list" allowBlank="1" showInputMessage="1" showErrorMessage="1" sqref="E4:E30" xr:uid="{A3CAEC4E-82EA-4D87-A1A3-DA7257B1E4F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85972-4EE9-43D2-AC3D-FA87CEED759E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157</v>
      </c>
      <c r="G1" s="104"/>
      <c r="H1" s="104"/>
      <c r="I1" s="113"/>
      <c r="J1" s="105"/>
      <c r="K1" s="102" t="s">
        <v>158</v>
      </c>
      <c r="L1" s="104"/>
      <c r="M1" s="104"/>
      <c r="N1" s="113"/>
      <c r="O1" s="105"/>
      <c r="P1" s="102" t="s">
        <v>159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ただ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たかの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まっつん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ただ</v>
      </c>
      <c r="V2" s="89" t="str">
        <f>$K$1</f>
        <v>たかの</v>
      </c>
      <c r="W2" s="16" t="str">
        <f>$P$1</f>
        <v>まっつん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160</v>
      </c>
      <c r="F4" s="8" t="s">
        <v>142</v>
      </c>
      <c r="G4" s="9">
        <v>-500</v>
      </c>
      <c r="H4" s="9">
        <v>-1000</v>
      </c>
      <c r="I4" s="55">
        <v>0</v>
      </c>
      <c r="J4" s="21">
        <f>IF(COUNTA($F4,$K4,$P4)&gt;0,J3+SUM(G4:I4),"")</f>
        <v>33500</v>
      </c>
      <c r="K4" s="8" t="s">
        <v>141</v>
      </c>
      <c r="L4" s="9">
        <v>1200</v>
      </c>
      <c r="M4" s="9">
        <v>1000</v>
      </c>
      <c r="N4" s="55">
        <v>0</v>
      </c>
      <c r="O4" s="21">
        <f>IF(COUNTA($F4,$K4,$P4)&gt;0,O3+SUM(L4:N4),"")</f>
        <v>37200</v>
      </c>
      <c r="P4" s="8" t="s">
        <v>142</v>
      </c>
      <c r="Q4" s="9">
        <v>-700</v>
      </c>
      <c r="R4" s="9"/>
      <c r="S4" s="55">
        <v>0</v>
      </c>
      <c r="T4" s="21">
        <f>IF(COUNTA($F4,$K4,$P4)&gt;0,T3+SUM(Q4:S4),"")</f>
        <v>34300</v>
      </c>
      <c r="U4" s="60">
        <f t="shared" ref="U4:U30" si="0">IF($J4="","",ROUND(($J4-$J$3)/1000,1))</f>
        <v>-1.5</v>
      </c>
      <c r="V4" s="61">
        <f t="shared" ref="V4:V30" si="1">IF($O4="","",ROUND(($O4-$O$3)/1000,1))</f>
        <v>2.2000000000000002</v>
      </c>
      <c r="W4" s="62">
        <f t="shared" ref="W4:W30" si="2">IF($T4="","",ROUND(($T4-$T$3)/1000,1))</f>
        <v>-0.7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1</v>
      </c>
      <c r="AY4" s="36">
        <v>30</v>
      </c>
      <c r="AZ4" s="47" t="s">
        <v>87</v>
      </c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3">IF($E5="","",IF(OR($F4="流局",$F4="チョンボ"),D4+($H4+$M4+$R4)/-1000,0))</f>
        <v>0</v>
      </c>
      <c r="E5" s="4" t="s">
        <v>161</v>
      </c>
      <c r="F5" s="8" t="s">
        <v>146</v>
      </c>
      <c r="G5" s="9">
        <v>-8000</v>
      </c>
      <c r="H5" s="9"/>
      <c r="I5" s="55">
        <v>0</v>
      </c>
      <c r="J5" s="21">
        <f t="shared" ref="J5:J30" si="4">IF(COUNTA($F5,$K5,$P5)&gt;0,J4+SUM(G5:I5),"")</f>
        <v>25500</v>
      </c>
      <c r="K5" s="8"/>
      <c r="L5" s="9"/>
      <c r="M5" s="9">
        <v>-1000</v>
      </c>
      <c r="N5" s="55"/>
      <c r="O5" s="21">
        <f t="shared" ref="O5:O30" si="5">IF(COUNTA($F5,$K5,$P5)&gt;0,O4+SUM(L5:N5),"")</f>
        <v>36200</v>
      </c>
      <c r="P5" s="8" t="s">
        <v>145</v>
      </c>
      <c r="Q5" s="9">
        <v>8000</v>
      </c>
      <c r="R5" s="9">
        <v>1000</v>
      </c>
      <c r="S5" s="55">
        <v>0</v>
      </c>
      <c r="T5" s="21">
        <f t="shared" ref="T5:T30" si="6">IF(COUNTA($F5,$K5,$P5)&gt;0,T4+SUM(Q5:S5),"")</f>
        <v>43300</v>
      </c>
      <c r="U5" s="60">
        <f t="shared" si="0"/>
        <v>-9.5</v>
      </c>
      <c r="V5" s="61">
        <f t="shared" si="1"/>
        <v>1.2</v>
      </c>
      <c r="W5" s="62">
        <f t="shared" si="2"/>
        <v>8.3000000000000007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5</v>
      </c>
      <c r="BT5" s="36" t="s">
        <v>143</v>
      </c>
      <c r="BU5" s="47" t="s">
        <v>82</v>
      </c>
      <c r="BV5" s="48" t="s">
        <v>82</v>
      </c>
      <c r="BW5" s="48" t="s">
        <v>82</v>
      </c>
      <c r="BX5" s="48" t="s">
        <v>87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3</v>
      </c>
      <c r="C6" s="18">
        <f>IF($E6="","",IF(F5="チョンボ",C5,IF($E5=$E6,C5+1,0)))</f>
        <v>0</v>
      </c>
      <c r="D6" s="18">
        <f t="shared" si="3"/>
        <v>0</v>
      </c>
      <c r="E6" s="4" t="s">
        <v>162</v>
      </c>
      <c r="F6" s="8" t="s">
        <v>142</v>
      </c>
      <c r="G6" s="9">
        <v>-1500</v>
      </c>
      <c r="H6" s="9"/>
      <c r="I6" s="55">
        <v>0</v>
      </c>
      <c r="J6" s="21">
        <f t="shared" si="4"/>
        <v>24000</v>
      </c>
      <c r="K6" s="8" t="s">
        <v>141</v>
      </c>
      <c r="L6" s="9">
        <v>3000</v>
      </c>
      <c r="M6" s="9"/>
      <c r="N6" s="55">
        <v>0</v>
      </c>
      <c r="O6" s="21">
        <f t="shared" si="5"/>
        <v>39200</v>
      </c>
      <c r="P6" s="8" t="s">
        <v>142</v>
      </c>
      <c r="Q6" s="9">
        <v>-1500</v>
      </c>
      <c r="R6" s="9"/>
      <c r="S6" s="55">
        <v>0</v>
      </c>
      <c r="T6" s="21">
        <f t="shared" si="6"/>
        <v>41800</v>
      </c>
      <c r="U6" s="60">
        <f t="shared" si="0"/>
        <v>-11</v>
      </c>
      <c r="V6" s="61">
        <f t="shared" si="1"/>
        <v>4.2</v>
      </c>
      <c r="W6" s="62">
        <f t="shared" si="2"/>
        <v>6.8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82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>東</v>
      </c>
      <c r="B7" s="18">
        <f t="shared" si="7"/>
        <v>3</v>
      </c>
      <c r="C7" s="18">
        <f t="shared" ref="C7:C30" si="9">IF($E7="","",IF(F6="チョンボ",C6,IF($E6=$E7,C6+1,0)))</f>
        <v>1</v>
      </c>
      <c r="D7" s="18">
        <f t="shared" si="3"/>
        <v>0</v>
      </c>
      <c r="E7" s="4" t="s">
        <v>162</v>
      </c>
      <c r="F7" s="8" t="s">
        <v>142</v>
      </c>
      <c r="G7" s="9">
        <v>-9000</v>
      </c>
      <c r="H7" s="9"/>
      <c r="I7" s="55">
        <v>-500</v>
      </c>
      <c r="J7" s="21">
        <f t="shared" si="4"/>
        <v>14500</v>
      </c>
      <c r="K7" s="8" t="s">
        <v>141</v>
      </c>
      <c r="L7" s="9">
        <v>18000</v>
      </c>
      <c r="M7" s="9"/>
      <c r="N7" s="55">
        <v>1000</v>
      </c>
      <c r="O7" s="21">
        <f t="shared" si="5"/>
        <v>58200</v>
      </c>
      <c r="P7" s="8" t="s">
        <v>142</v>
      </c>
      <c r="Q7" s="9">
        <v>-9000</v>
      </c>
      <c r="R7" s="9"/>
      <c r="S7" s="55">
        <v>-500</v>
      </c>
      <c r="T7" s="21">
        <f t="shared" si="6"/>
        <v>32300</v>
      </c>
      <c r="U7" s="60">
        <f t="shared" si="0"/>
        <v>-20.5</v>
      </c>
      <c r="V7" s="61">
        <f t="shared" si="1"/>
        <v>23.2</v>
      </c>
      <c r="W7" s="62">
        <f t="shared" si="2"/>
        <v>-2.7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143</v>
      </c>
      <c r="AZ7" s="47" t="s">
        <v>144</v>
      </c>
      <c r="BA7" s="48" t="s">
        <v>83</v>
      </c>
      <c r="BB7" s="48" t="s">
        <v>82</v>
      </c>
      <c r="BC7" s="48" t="s">
        <v>81</v>
      </c>
      <c r="BD7" s="48" t="s">
        <v>82</v>
      </c>
      <c r="BE7" s="48" t="s">
        <v>81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>東</v>
      </c>
      <c r="B8" s="18">
        <f t="shared" si="7"/>
        <v>3</v>
      </c>
      <c r="C8" s="18">
        <f t="shared" si="9"/>
        <v>2</v>
      </c>
      <c r="D8" s="18">
        <f t="shared" si="3"/>
        <v>0</v>
      </c>
      <c r="E8" s="4" t="s">
        <v>162</v>
      </c>
      <c r="F8" s="8" t="s">
        <v>146</v>
      </c>
      <c r="G8" s="9">
        <v>-12000</v>
      </c>
      <c r="H8" s="9"/>
      <c r="I8" s="55">
        <v>-2000</v>
      </c>
      <c r="J8" s="21">
        <f t="shared" si="4"/>
        <v>500</v>
      </c>
      <c r="K8" s="8" t="s">
        <v>145</v>
      </c>
      <c r="L8" s="9">
        <v>12000</v>
      </c>
      <c r="M8" s="9"/>
      <c r="N8" s="55">
        <v>2000</v>
      </c>
      <c r="O8" s="21">
        <f t="shared" si="5"/>
        <v>72200</v>
      </c>
      <c r="P8" s="8"/>
      <c r="Q8" s="9"/>
      <c r="R8" s="9"/>
      <c r="S8" s="55"/>
      <c r="T8" s="21">
        <f t="shared" si="6"/>
        <v>32300</v>
      </c>
      <c r="U8" s="60">
        <f t="shared" si="0"/>
        <v>-34.5</v>
      </c>
      <c r="V8" s="61">
        <f t="shared" si="1"/>
        <v>37.200000000000003</v>
      </c>
      <c r="W8" s="62">
        <f t="shared" si="2"/>
        <v>-2.7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144</v>
      </c>
      <c r="BA8" s="48" t="s">
        <v>82</v>
      </c>
      <c r="BB8" s="48" t="s">
        <v>82</v>
      </c>
      <c r="BC8" s="48" t="s">
        <v>84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>東</v>
      </c>
      <c r="B9" s="18">
        <f t="shared" si="7"/>
        <v>3</v>
      </c>
      <c r="C9" s="18">
        <f t="shared" si="9"/>
        <v>3</v>
      </c>
      <c r="D9" s="18">
        <f t="shared" si="3"/>
        <v>0</v>
      </c>
      <c r="E9" s="4" t="s">
        <v>162</v>
      </c>
      <c r="F9" s="8" t="s">
        <v>141</v>
      </c>
      <c r="G9" s="9">
        <v>2100</v>
      </c>
      <c r="H9" s="9"/>
      <c r="I9" s="55">
        <v>3000</v>
      </c>
      <c r="J9" s="21">
        <f t="shared" si="4"/>
        <v>5600</v>
      </c>
      <c r="K9" s="8" t="s">
        <v>142</v>
      </c>
      <c r="L9" s="9">
        <v>-1300</v>
      </c>
      <c r="M9" s="9"/>
      <c r="N9" s="55">
        <v>-1500</v>
      </c>
      <c r="O9" s="21">
        <f t="shared" si="5"/>
        <v>69400</v>
      </c>
      <c r="P9" s="8" t="s">
        <v>142</v>
      </c>
      <c r="Q9" s="9">
        <v>-800</v>
      </c>
      <c r="R9" s="9"/>
      <c r="S9" s="55">
        <v>-1500</v>
      </c>
      <c r="T9" s="21">
        <f t="shared" si="6"/>
        <v>30000</v>
      </c>
      <c r="U9" s="60">
        <f t="shared" si="0"/>
        <v>-29.4</v>
      </c>
      <c r="V9" s="61">
        <f t="shared" si="1"/>
        <v>34.4</v>
      </c>
      <c r="W9" s="62">
        <f t="shared" si="2"/>
        <v>-5</v>
      </c>
      <c r="Y9" s="8"/>
      <c r="Z9" s="41"/>
      <c r="AA9" s="32"/>
      <c r="AB9" s="32"/>
      <c r="AC9" s="32">
        <v>2</v>
      </c>
      <c r="AD9" s="36">
        <v>30</v>
      </c>
      <c r="AE9" s="47" t="s">
        <v>83</v>
      </c>
      <c r="AF9" s="48" t="s">
        <v>80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>南</v>
      </c>
      <c r="B10" s="18">
        <f t="shared" si="7"/>
        <v>1</v>
      </c>
      <c r="C10" s="18">
        <f t="shared" si="9"/>
        <v>0</v>
      </c>
      <c r="D10" s="18">
        <f t="shared" si="3"/>
        <v>0</v>
      </c>
      <c r="E10" s="4" t="s">
        <v>160</v>
      </c>
      <c r="F10" s="8" t="s">
        <v>146</v>
      </c>
      <c r="G10" s="9">
        <v>-18000</v>
      </c>
      <c r="H10" s="9">
        <v>-1000</v>
      </c>
      <c r="I10" s="55">
        <v>0</v>
      </c>
      <c r="J10" s="21">
        <f t="shared" si="4"/>
        <v>-13400</v>
      </c>
      <c r="K10" s="8"/>
      <c r="L10" s="9"/>
      <c r="M10" s="9">
        <v>-1000</v>
      </c>
      <c r="N10" s="55"/>
      <c r="O10" s="21">
        <f t="shared" si="5"/>
        <v>68400</v>
      </c>
      <c r="P10" s="8" t="s">
        <v>145</v>
      </c>
      <c r="Q10" s="9">
        <v>18000</v>
      </c>
      <c r="R10" s="9">
        <v>2000</v>
      </c>
      <c r="S10" s="55">
        <v>0</v>
      </c>
      <c r="T10" s="21">
        <f t="shared" si="6"/>
        <v>50000</v>
      </c>
      <c r="U10" s="60">
        <f t="shared" si="0"/>
        <v>-48.4</v>
      </c>
      <c r="V10" s="61">
        <f t="shared" si="1"/>
        <v>33.4</v>
      </c>
      <c r="W10" s="62">
        <f t="shared" si="2"/>
        <v>15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7</v>
      </c>
      <c r="BT10" s="36" t="s">
        <v>143</v>
      </c>
      <c r="BU10" s="47" t="s">
        <v>82</v>
      </c>
      <c r="BV10" s="48" t="s">
        <v>82</v>
      </c>
      <c r="BW10" s="48" t="s">
        <v>82</v>
      </c>
      <c r="BX10" s="48" t="s">
        <v>87</v>
      </c>
      <c r="BY10" s="48" t="s">
        <v>87</v>
      </c>
      <c r="BZ10" s="48" t="s">
        <v>80</v>
      </c>
      <c r="CA10" s="48" t="s">
        <v>80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/>
      </c>
      <c r="B11" s="18" t="str">
        <f t="shared" si="7"/>
        <v/>
      </c>
      <c r="C11" s="18" t="str">
        <f t="shared" si="9"/>
        <v/>
      </c>
      <c r="D11" s="18" t="str">
        <f t="shared" si="3"/>
        <v/>
      </c>
      <c r="E11" s="4"/>
      <c r="F11" s="8"/>
      <c r="G11" s="9"/>
      <c r="H11" s="9"/>
      <c r="I11" s="55"/>
      <c r="J11" s="21" t="str">
        <f t="shared" si="4"/>
        <v/>
      </c>
      <c r="K11" s="8"/>
      <c r="L11" s="9"/>
      <c r="M11" s="9"/>
      <c r="N11" s="55"/>
      <c r="O11" s="21" t="str">
        <f t="shared" si="5"/>
        <v/>
      </c>
      <c r="P11" s="8"/>
      <c r="Q11" s="9"/>
      <c r="R11" s="9"/>
      <c r="S11" s="55"/>
      <c r="T11" s="21" t="str">
        <f t="shared" si="6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/>
      </c>
      <c r="B12" s="18" t="str">
        <f t="shared" si="7"/>
        <v/>
      </c>
      <c r="C12" s="18" t="str">
        <f t="shared" si="9"/>
        <v/>
      </c>
      <c r="D12" s="18" t="str">
        <f t="shared" si="3"/>
        <v/>
      </c>
      <c r="E12" s="4"/>
      <c r="F12" s="8"/>
      <c r="G12" s="9"/>
      <c r="H12" s="9"/>
      <c r="I12" s="55"/>
      <c r="J12" s="21" t="str">
        <f t="shared" si="4"/>
        <v/>
      </c>
      <c r="K12" s="8"/>
      <c r="L12" s="9"/>
      <c r="M12" s="9"/>
      <c r="N12" s="55"/>
      <c r="O12" s="21" t="str">
        <f t="shared" si="5"/>
        <v/>
      </c>
      <c r="P12" s="8"/>
      <c r="Q12" s="9"/>
      <c r="R12" s="9"/>
      <c r="S12" s="55"/>
      <c r="T12" s="21" t="str">
        <f t="shared" si="6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/>
      </c>
      <c r="B13" s="18" t="str">
        <f t="shared" si="7"/>
        <v/>
      </c>
      <c r="C13" s="18" t="str">
        <f t="shared" si="9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/>
      </c>
      <c r="B14" s="18" t="str">
        <f t="shared" si="7"/>
        <v/>
      </c>
      <c r="C14" s="18" t="str">
        <f t="shared" si="9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/>
      </c>
      <c r="B15" s="18" t="str">
        <f t="shared" si="7"/>
        <v/>
      </c>
      <c r="C15" s="18" t="str">
        <f t="shared" si="9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/>
      </c>
      <c r="B16" s="18" t="str">
        <f t="shared" si="7"/>
        <v/>
      </c>
      <c r="C16" s="18" t="str">
        <f t="shared" si="9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EDF9A13B-25A2-41FA-9501-47C9E99BF7B4}">
      <formula1>$U$2:$W$2</formula1>
    </dataValidation>
    <dataValidation type="list" showInputMessage="1" showErrorMessage="1" sqref="K4:K30 P4:P30 F4:F30" xr:uid="{1B17DA6B-E3E0-481F-933F-815ACA0BE53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86BD4-0DBA-41C0-A854-FEE3C36DA29F}">
  <sheetPr codeName="Sheet15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157</v>
      </c>
      <c r="G1" s="104"/>
      <c r="H1" s="104"/>
      <c r="I1" s="113"/>
      <c r="J1" s="105"/>
      <c r="K1" s="102" t="s">
        <v>158</v>
      </c>
      <c r="L1" s="104"/>
      <c r="M1" s="104"/>
      <c r="N1" s="113"/>
      <c r="O1" s="105"/>
      <c r="P1" s="102" t="s">
        <v>159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ただ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たかの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まっつん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94" t="str">
        <f>$F$1</f>
        <v>ただ</v>
      </c>
      <c r="V2" s="95" t="str">
        <f>$K$1</f>
        <v>たかの</v>
      </c>
      <c r="W2" s="16" t="str">
        <f>$P$1</f>
        <v>まっつん</v>
      </c>
      <c r="Y2" s="90" t="s">
        <v>24</v>
      </c>
      <c r="Z2" s="91" t="s">
        <v>27</v>
      </c>
      <c r="AA2" s="92" t="s">
        <v>25</v>
      </c>
      <c r="AB2" s="92" t="s">
        <v>128</v>
      </c>
      <c r="AC2" s="92" t="s">
        <v>19</v>
      </c>
      <c r="AD2" s="93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90" t="s">
        <v>24</v>
      </c>
      <c r="AU2" s="91" t="s">
        <v>27</v>
      </c>
      <c r="AV2" s="92" t="s">
        <v>25</v>
      </c>
      <c r="AW2" s="92" t="s">
        <v>129</v>
      </c>
      <c r="AX2" s="92" t="s">
        <v>19</v>
      </c>
      <c r="AY2" s="93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90" t="s">
        <v>24</v>
      </c>
      <c r="BP2" s="91" t="s">
        <v>27</v>
      </c>
      <c r="BQ2" s="92" t="s">
        <v>25</v>
      </c>
      <c r="BR2" s="92" t="s">
        <v>129</v>
      </c>
      <c r="BS2" s="92" t="s">
        <v>19</v>
      </c>
      <c r="BT2" s="93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 t="shared" ref="U3:U10" si="0">IF($J3="","",ROUND(($J3-$J$3)/1000,1))</f>
        <v>0</v>
      </c>
      <c r="V3" s="58">
        <f t="shared" ref="V3:V10" si="1">IF($O3="","",ROUND(($O3-$O$3)/1000,1))</f>
        <v>0</v>
      </c>
      <c r="W3" s="59">
        <f t="shared" ref="W3:W10" si="2"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141</v>
      </c>
      <c r="G4" s="9">
        <v>12000</v>
      </c>
      <c r="H4" s="9">
        <v>1000</v>
      </c>
      <c r="I4" s="55">
        <v>0</v>
      </c>
      <c r="J4" s="21">
        <f t="shared" ref="J4:J11" si="3">IF(COUNTA($F4,$K4,$P4)&gt;0,J3+SUM(G4:I4),"")</f>
        <v>48000</v>
      </c>
      <c r="K4" s="8" t="s">
        <v>142</v>
      </c>
      <c r="L4" s="9">
        <v>-6000</v>
      </c>
      <c r="M4" s="9">
        <v>-1000</v>
      </c>
      <c r="N4" s="55">
        <v>0</v>
      </c>
      <c r="O4" s="21">
        <f t="shared" ref="O4:O10" si="4">IF(COUNTA($F4,$K4,$P4)&gt;0,O3+SUM(L4:N4),"")</f>
        <v>28000</v>
      </c>
      <c r="P4" s="8" t="s">
        <v>142</v>
      </c>
      <c r="Q4" s="9">
        <v>-6000</v>
      </c>
      <c r="R4" s="9"/>
      <c r="S4" s="55">
        <v>0</v>
      </c>
      <c r="T4" s="21">
        <f t="shared" ref="T4:T11" si="5">IF(COUNTA($F4,$K4,$P4)&gt;0,T3+SUM(Q4:S4),"")</f>
        <v>29000</v>
      </c>
      <c r="U4" s="60">
        <f t="shared" si="0"/>
        <v>13</v>
      </c>
      <c r="V4" s="61">
        <f t="shared" si="1"/>
        <v>-7</v>
      </c>
      <c r="W4" s="62">
        <f t="shared" si="2"/>
        <v>-6</v>
      </c>
      <c r="Y4" s="8"/>
      <c r="Z4" s="41"/>
      <c r="AA4" s="32">
        <v>1</v>
      </c>
      <c r="AB4" s="32"/>
      <c r="AC4" s="32">
        <v>5</v>
      </c>
      <c r="AD4" s="36" t="s">
        <v>143</v>
      </c>
      <c r="AE4" s="47" t="s">
        <v>144</v>
      </c>
      <c r="AF4" s="48" t="s">
        <v>84</v>
      </c>
      <c r="AG4" s="48" t="s">
        <v>81</v>
      </c>
      <c r="AH4" s="48" t="s">
        <v>81</v>
      </c>
      <c r="AI4" s="48" t="s">
        <v>82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10" si="6">IF($E5="","",IF(AND(B4=3,B5=1),_xlfn.SWITCH(A4,"東","南","南","西","西","北","北","東"),A4))</f>
        <v>東</v>
      </c>
      <c r="B5" s="18">
        <f t="shared" ref="B5:B10" si="7">IF($E5="","",IF($E4=$E5,B4,IF(B4=3,1,B4+1)))</f>
        <v>1</v>
      </c>
      <c r="C5" s="18">
        <f t="shared" ref="C5:C10" si="8">IF($E5="","",IF(F4="チョンボ",C4,IF($E4=$E5,C4+1,0)))</f>
        <v>1</v>
      </c>
      <c r="D5" s="18">
        <f t="shared" ref="D5:D10" si="9">IF($E5="","",IF(OR($F4="流局",$F4="チョンボ"),D4+($H4+$M4+$R4)/-1000,0))</f>
        <v>0</v>
      </c>
      <c r="E5" s="4" t="s">
        <v>161</v>
      </c>
      <c r="F5" s="8" t="s">
        <v>141</v>
      </c>
      <c r="G5" s="9">
        <v>12000</v>
      </c>
      <c r="H5" s="9">
        <v>1000</v>
      </c>
      <c r="I5" s="55">
        <v>1000</v>
      </c>
      <c r="J5" s="21">
        <f t="shared" si="3"/>
        <v>62000</v>
      </c>
      <c r="K5" s="8" t="s">
        <v>142</v>
      </c>
      <c r="L5" s="9">
        <v>-6000</v>
      </c>
      <c r="M5" s="9">
        <v>-1000</v>
      </c>
      <c r="N5" s="55">
        <v>-500</v>
      </c>
      <c r="O5" s="21">
        <f t="shared" si="4"/>
        <v>20500</v>
      </c>
      <c r="P5" s="8" t="s">
        <v>142</v>
      </c>
      <c r="Q5" s="9">
        <v>-6000</v>
      </c>
      <c r="R5" s="9"/>
      <c r="S5" s="55">
        <v>-500</v>
      </c>
      <c r="T5" s="21">
        <f t="shared" si="5"/>
        <v>22500</v>
      </c>
      <c r="U5" s="60">
        <f t="shared" si="0"/>
        <v>27</v>
      </c>
      <c r="V5" s="61">
        <f t="shared" si="1"/>
        <v>-14.5</v>
      </c>
      <c r="W5" s="62">
        <f t="shared" si="2"/>
        <v>-12.5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144</v>
      </c>
      <c r="AF5" s="48" t="s">
        <v>150</v>
      </c>
      <c r="AG5" s="48" t="s">
        <v>87</v>
      </c>
      <c r="AH5" s="48" t="s">
        <v>83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6"/>
        <v>東</v>
      </c>
      <c r="B6" s="18">
        <f t="shared" si="7"/>
        <v>1</v>
      </c>
      <c r="C6" s="18">
        <f t="shared" si="8"/>
        <v>2</v>
      </c>
      <c r="D6" s="18">
        <f t="shared" si="9"/>
        <v>0</v>
      </c>
      <c r="E6" s="4" t="s">
        <v>161</v>
      </c>
      <c r="F6" s="8"/>
      <c r="G6" s="9"/>
      <c r="H6" s="9"/>
      <c r="I6" s="55"/>
      <c r="J6" s="21">
        <f t="shared" si="3"/>
        <v>62000</v>
      </c>
      <c r="K6" s="8" t="s">
        <v>145</v>
      </c>
      <c r="L6" s="9">
        <v>1000</v>
      </c>
      <c r="M6" s="9"/>
      <c r="N6" s="55">
        <v>2000</v>
      </c>
      <c r="O6" s="21">
        <f t="shared" si="4"/>
        <v>23500</v>
      </c>
      <c r="P6" s="8" t="s">
        <v>146</v>
      </c>
      <c r="Q6" s="9">
        <v>-1000</v>
      </c>
      <c r="R6" s="9"/>
      <c r="S6" s="55">
        <v>-2000</v>
      </c>
      <c r="T6" s="21">
        <f t="shared" si="5"/>
        <v>19500</v>
      </c>
      <c r="U6" s="60">
        <f t="shared" si="0"/>
        <v>27</v>
      </c>
      <c r="V6" s="61">
        <f t="shared" si="1"/>
        <v>-11.5</v>
      </c>
      <c r="W6" s="62">
        <f t="shared" si="2"/>
        <v>-15.5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1</v>
      </c>
      <c r="AY6" s="36">
        <v>30</v>
      </c>
      <c r="AZ6" s="47" t="s">
        <v>87</v>
      </c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6"/>
        <v>東</v>
      </c>
      <c r="B7" s="18">
        <f t="shared" si="7"/>
        <v>2</v>
      </c>
      <c r="C7" s="18">
        <f t="shared" si="8"/>
        <v>0</v>
      </c>
      <c r="D7" s="18">
        <f t="shared" si="9"/>
        <v>0</v>
      </c>
      <c r="E7" s="4" t="s">
        <v>162</v>
      </c>
      <c r="F7" s="8" t="s">
        <v>145</v>
      </c>
      <c r="G7" s="9">
        <v>5200</v>
      </c>
      <c r="H7" s="9"/>
      <c r="I7" s="55">
        <v>0</v>
      </c>
      <c r="J7" s="21">
        <f t="shared" si="3"/>
        <v>67200</v>
      </c>
      <c r="K7" s="8"/>
      <c r="L7" s="9"/>
      <c r="M7" s="9"/>
      <c r="N7" s="55"/>
      <c r="O7" s="21">
        <f t="shared" si="4"/>
        <v>23500</v>
      </c>
      <c r="P7" s="8" t="s">
        <v>146</v>
      </c>
      <c r="Q7" s="9">
        <v>-5200</v>
      </c>
      <c r="R7" s="9"/>
      <c r="S7" s="55">
        <v>0</v>
      </c>
      <c r="T7" s="21">
        <f t="shared" si="5"/>
        <v>14300</v>
      </c>
      <c r="U7" s="60">
        <f t="shared" si="0"/>
        <v>32.200000000000003</v>
      </c>
      <c r="V7" s="61">
        <f t="shared" si="1"/>
        <v>-11.5</v>
      </c>
      <c r="W7" s="62">
        <f t="shared" si="2"/>
        <v>-20.7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144</v>
      </c>
      <c r="AF7" s="48" t="s">
        <v>87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6"/>
        <v>東</v>
      </c>
      <c r="B8" s="18">
        <f t="shared" si="7"/>
        <v>3</v>
      </c>
      <c r="C8" s="18">
        <f t="shared" si="8"/>
        <v>0</v>
      </c>
      <c r="D8" s="18">
        <f t="shared" si="9"/>
        <v>0</v>
      </c>
      <c r="E8" s="4" t="s">
        <v>160</v>
      </c>
      <c r="F8" s="8" t="s">
        <v>145</v>
      </c>
      <c r="G8" s="9">
        <v>2000</v>
      </c>
      <c r="H8" s="9"/>
      <c r="I8" s="55">
        <v>0</v>
      </c>
      <c r="J8" s="21">
        <f t="shared" si="3"/>
        <v>69200</v>
      </c>
      <c r="K8" s="8" t="s">
        <v>146</v>
      </c>
      <c r="L8" s="9">
        <v>-2000</v>
      </c>
      <c r="M8" s="9"/>
      <c r="N8" s="55">
        <v>0</v>
      </c>
      <c r="O8" s="21">
        <f t="shared" si="4"/>
        <v>21500</v>
      </c>
      <c r="P8" s="8"/>
      <c r="Q8" s="9"/>
      <c r="R8" s="9"/>
      <c r="S8" s="55"/>
      <c r="T8" s="21">
        <f t="shared" si="5"/>
        <v>14300</v>
      </c>
      <c r="U8" s="60">
        <f t="shared" si="0"/>
        <v>34.200000000000003</v>
      </c>
      <c r="V8" s="61">
        <f t="shared" si="1"/>
        <v>-13.5</v>
      </c>
      <c r="W8" s="62">
        <f t="shared" si="2"/>
        <v>-20.7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82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6"/>
        <v>南</v>
      </c>
      <c r="B9" s="18">
        <f t="shared" si="7"/>
        <v>1</v>
      </c>
      <c r="C9" s="18">
        <f t="shared" si="8"/>
        <v>0</v>
      </c>
      <c r="D9" s="18">
        <f t="shared" si="9"/>
        <v>0</v>
      </c>
      <c r="E9" s="4" t="s">
        <v>161</v>
      </c>
      <c r="F9" s="8" t="s">
        <v>142</v>
      </c>
      <c r="G9" s="9">
        <v>-1300</v>
      </c>
      <c r="H9" s="9"/>
      <c r="I9" s="55">
        <v>0</v>
      </c>
      <c r="J9" s="21">
        <f t="shared" si="3"/>
        <v>67900</v>
      </c>
      <c r="K9" s="8" t="s">
        <v>141</v>
      </c>
      <c r="L9" s="9">
        <v>2100</v>
      </c>
      <c r="M9" s="9"/>
      <c r="N9" s="55">
        <v>0</v>
      </c>
      <c r="O9" s="21">
        <f t="shared" si="4"/>
        <v>23600</v>
      </c>
      <c r="P9" s="8" t="s">
        <v>142</v>
      </c>
      <c r="Q9" s="9">
        <v>-800</v>
      </c>
      <c r="R9" s="9"/>
      <c r="S9" s="55">
        <v>0</v>
      </c>
      <c r="T9" s="21">
        <f t="shared" si="5"/>
        <v>13500</v>
      </c>
      <c r="U9" s="60">
        <f t="shared" si="0"/>
        <v>32.9</v>
      </c>
      <c r="V9" s="61">
        <f t="shared" si="1"/>
        <v>-11.4</v>
      </c>
      <c r="W9" s="62">
        <f t="shared" si="2"/>
        <v>-21.5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2</v>
      </c>
      <c r="AY9" s="36">
        <v>30</v>
      </c>
      <c r="AZ9" s="47" t="s">
        <v>87</v>
      </c>
      <c r="BA9" s="48" t="s">
        <v>87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6"/>
        <v>南</v>
      </c>
      <c r="B10" s="18">
        <f t="shared" si="7"/>
        <v>2</v>
      </c>
      <c r="C10" s="18">
        <f t="shared" si="8"/>
        <v>0</v>
      </c>
      <c r="D10" s="18">
        <f t="shared" si="9"/>
        <v>0</v>
      </c>
      <c r="E10" s="4" t="s">
        <v>162</v>
      </c>
      <c r="F10" s="8" t="s">
        <v>145</v>
      </c>
      <c r="G10" s="9">
        <v>12000</v>
      </c>
      <c r="H10" s="9"/>
      <c r="I10" s="55">
        <v>0</v>
      </c>
      <c r="J10" s="21">
        <f t="shared" si="3"/>
        <v>79900</v>
      </c>
      <c r="K10" s="8" t="s">
        <v>145</v>
      </c>
      <c r="L10" s="9">
        <v>5800</v>
      </c>
      <c r="M10" s="9"/>
      <c r="N10" s="55"/>
      <c r="O10" s="21">
        <f t="shared" si="4"/>
        <v>29400</v>
      </c>
      <c r="P10" s="8" t="s">
        <v>146</v>
      </c>
      <c r="Q10" s="9">
        <v>-17800</v>
      </c>
      <c r="R10" s="9"/>
      <c r="S10" s="55">
        <v>0</v>
      </c>
      <c r="T10" s="21">
        <f t="shared" si="5"/>
        <v>-4300</v>
      </c>
      <c r="U10" s="60">
        <f t="shared" si="0"/>
        <v>44.9</v>
      </c>
      <c r="V10" s="61">
        <f t="shared" si="1"/>
        <v>-5.6</v>
      </c>
      <c r="W10" s="62">
        <f t="shared" si="2"/>
        <v>-39.299999999999997</v>
      </c>
      <c r="Y10" s="8"/>
      <c r="Z10" s="41"/>
      <c r="AA10" s="32">
        <v>1</v>
      </c>
      <c r="AB10" s="32"/>
      <c r="AC10" s="32">
        <v>7</v>
      </c>
      <c r="AD10" s="36" t="s">
        <v>143</v>
      </c>
      <c r="AE10" s="47" t="s">
        <v>144</v>
      </c>
      <c r="AF10" s="48" t="s">
        <v>150</v>
      </c>
      <c r="AG10" s="48" t="s">
        <v>80</v>
      </c>
      <c r="AH10" s="48" t="s">
        <v>81</v>
      </c>
      <c r="AI10" s="48" t="s">
        <v>93</v>
      </c>
      <c r="AJ10" s="48" t="s">
        <v>84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3</v>
      </c>
      <c r="AY10" s="36">
        <v>30</v>
      </c>
      <c r="AZ10" s="47" t="s">
        <v>144</v>
      </c>
      <c r="BA10" s="48" t="s">
        <v>150</v>
      </c>
      <c r="BB10" s="48" t="s">
        <v>80</v>
      </c>
      <c r="BC10" s="48" t="s">
        <v>81</v>
      </c>
      <c r="BD10" s="48" t="s">
        <v>93</v>
      </c>
      <c r="BE10" s="48" t="s">
        <v>84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ref="A9:A11" si="10">IF($E11="","",IF(AND(B10=3,B11=1),_xlfn.SWITCH(A10,"東","南","南","西","西","北","北","東"),A10))</f>
        <v/>
      </c>
      <c r="B11" s="18" t="str">
        <f t="shared" ref="B9:B30" si="11">IF($E11="","",IF($E10=$E11,B10,IF(B10=3,1,B10+1)))</f>
        <v/>
      </c>
      <c r="C11" s="18" t="str">
        <f t="shared" ref="C9:C11" si="12">IF($E11="","",IF(F10="チョンボ",C10,IF($E10=$E11,C10+1,0)))</f>
        <v/>
      </c>
      <c r="D11" s="18" t="str">
        <f t="shared" ref="D9:D30" si="13">IF($E11="","",IF(OR($F10="流局",$F10="チョンボ"),D10+($H10+$M10+$R10)/-1000,0))</f>
        <v/>
      </c>
      <c r="E11" s="4"/>
      <c r="F11" s="8"/>
      <c r="G11" s="9"/>
      <c r="H11" s="9"/>
      <c r="I11" s="55"/>
      <c r="J11" s="21" t="str">
        <f t="shared" si="3"/>
        <v/>
      </c>
      <c r="K11" s="8"/>
      <c r="L11" s="9"/>
      <c r="M11" s="9"/>
      <c r="N11" s="55"/>
      <c r="O11" s="21" t="str">
        <f t="shared" ref="O9:O11" si="14">IF(COUNTA($F11,$K11,$P11)&gt;0,O10+SUM(L11:N11),"")</f>
        <v/>
      </c>
      <c r="P11" s="8"/>
      <c r="Q11" s="9"/>
      <c r="R11" s="9"/>
      <c r="S11" s="55"/>
      <c r="T11" s="21" t="str">
        <f t="shared" si="5"/>
        <v/>
      </c>
      <c r="U11" s="60" t="str">
        <f t="shared" ref="U9:U30" si="15">IF($J11="","",ROUND(($J11-$J$3)/1000,1))</f>
        <v/>
      </c>
      <c r="V11" s="61" t="str">
        <f t="shared" ref="V9:V30" si="16">IF($O11="","",ROUND(($O11-$O$3)/1000,1))</f>
        <v/>
      </c>
      <c r="W11" s="62" t="str">
        <f t="shared" ref="W9:W30" si="17">IF($T11="","",ROUND(($T11-$T$3)/1000,1))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ref="A12:A30" si="18">IF($E12="","",IF(AND(B11=3,B12=1),_xlfn.SWITCH(A11,"東","南","南","西","西","北","北","東"),A11))</f>
        <v/>
      </c>
      <c r="B12" s="18" t="str">
        <f t="shared" si="11"/>
        <v/>
      </c>
      <c r="C12" s="18" t="str">
        <f t="shared" ref="C12:C30" si="19">IF($E12="","",IF(F11="チョンボ",C11,IF($E11=$E12,C11+1,0)))</f>
        <v/>
      </c>
      <c r="D12" s="18" t="str">
        <f t="shared" si="13"/>
        <v/>
      </c>
      <c r="E12" s="4"/>
      <c r="F12" s="8"/>
      <c r="G12" s="9"/>
      <c r="H12" s="9"/>
      <c r="I12" s="55"/>
      <c r="J12" s="21" t="str">
        <f t="shared" ref="J12:J30" si="20">IF(COUNTA($F12,$K12,$P12)&gt;0,J11+SUM(G12:I12),"")</f>
        <v/>
      </c>
      <c r="K12" s="8"/>
      <c r="L12" s="9"/>
      <c r="M12" s="9"/>
      <c r="N12" s="55"/>
      <c r="O12" s="21" t="str">
        <f t="shared" ref="O12:O30" si="21">IF(COUNTA($F12,$K12,$P12)&gt;0,O11+SUM(L12:N12),"")</f>
        <v/>
      </c>
      <c r="P12" s="8"/>
      <c r="Q12" s="9"/>
      <c r="R12" s="9"/>
      <c r="S12" s="55"/>
      <c r="T12" s="21" t="str">
        <f t="shared" ref="T12:T30" si="22">IF(COUNTA($F12,$K12,$P12)&gt;0,T11+SUM(Q12:S12),"")</f>
        <v/>
      </c>
      <c r="U12" s="60" t="str">
        <f t="shared" si="15"/>
        <v/>
      </c>
      <c r="V12" s="61" t="str">
        <f t="shared" si="16"/>
        <v/>
      </c>
      <c r="W12" s="62" t="str">
        <f t="shared" si="17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8"/>
        <v/>
      </c>
      <c r="B13" s="18" t="str">
        <f t="shared" si="11"/>
        <v/>
      </c>
      <c r="C13" s="18" t="str">
        <f t="shared" si="19"/>
        <v/>
      </c>
      <c r="D13" s="18" t="str">
        <f t="shared" si="13"/>
        <v/>
      </c>
      <c r="E13" s="4"/>
      <c r="F13" s="8"/>
      <c r="G13" s="9"/>
      <c r="H13" s="9"/>
      <c r="I13" s="55"/>
      <c r="J13" s="21" t="str">
        <f t="shared" si="20"/>
        <v/>
      </c>
      <c r="K13" s="8"/>
      <c r="L13" s="9"/>
      <c r="M13" s="9"/>
      <c r="N13" s="55"/>
      <c r="O13" s="21" t="str">
        <f t="shared" si="21"/>
        <v/>
      </c>
      <c r="P13" s="8"/>
      <c r="Q13" s="9"/>
      <c r="R13" s="9"/>
      <c r="S13" s="55"/>
      <c r="T13" s="21" t="str">
        <f t="shared" si="22"/>
        <v/>
      </c>
      <c r="U13" s="60" t="str">
        <f t="shared" si="15"/>
        <v/>
      </c>
      <c r="V13" s="61" t="str">
        <f t="shared" si="16"/>
        <v/>
      </c>
      <c r="W13" s="62" t="str">
        <f t="shared" si="17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8"/>
        <v/>
      </c>
      <c r="B14" s="18" t="str">
        <f t="shared" si="11"/>
        <v/>
      </c>
      <c r="C14" s="18" t="str">
        <f t="shared" si="19"/>
        <v/>
      </c>
      <c r="D14" s="18" t="str">
        <f t="shared" si="13"/>
        <v/>
      </c>
      <c r="E14" s="4"/>
      <c r="F14" s="8"/>
      <c r="G14" s="9"/>
      <c r="H14" s="9"/>
      <c r="I14" s="55"/>
      <c r="J14" s="21" t="str">
        <f t="shared" si="20"/>
        <v/>
      </c>
      <c r="K14" s="8"/>
      <c r="L14" s="9"/>
      <c r="M14" s="9"/>
      <c r="N14" s="55"/>
      <c r="O14" s="21" t="str">
        <f t="shared" si="21"/>
        <v/>
      </c>
      <c r="P14" s="8"/>
      <c r="Q14" s="9"/>
      <c r="R14" s="9"/>
      <c r="S14" s="55"/>
      <c r="T14" s="21" t="str">
        <f t="shared" si="22"/>
        <v/>
      </c>
      <c r="U14" s="60" t="str">
        <f t="shared" si="15"/>
        <v/>
      </c>
      <c r="V14" s="61" t="str">
        <f t="shared" si="16"/>
        <v/>
      </c>
      <c r="W14" s="62" t="str">
        <f t="shared" si="17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8"/>
        <v/>
      </c>
      <c r="B15" s="18" t="str">
        <f t="shared" si="11"/>
        <v/>
      </c>
      <c r="C15" s="18" t="str">
        <f t="shared" si="19"/>
        <v/>
      </c>
      <c r="D15" s="18" t="str">
        <f t="shared" si="13"/>
        <v/>
      </c>
      <c r="E15" s="4"/>
      <c r="F15" s="8"/>
      <c r="G15" s="9"/>
      <c r="H15" s="9"/>
      <c r="I15" s="55"/>
      <c r="J15" s="21" t="str">
        <f t="shared" si="20"/>
        <v/>
      </c>
      <c r="K15" s="8"/>
      <c r="L15" s="9"/>
      <c r="M15" s="9"/>
      <c r="N15" s="55"/>
      <c r="O15" s="21" t="str">
        <f t="shared" si="21"/>
        <v/>
      </c>
      <c r="P15" s="8"/>
      <c r="Q15" s="9"/>
      <c r="R15" s="9"/>
      <c r="S15" s="55"/>
      <c r="T15" s="21" t="str">
        <f t="shared" si="22"/>
        <v/>
      </c>
      <c r="U15" s="60" t="str">
        <f t="shared" si="15"/>
        <v/>
      </c>
      <c r="V15" s="61" t="str">
        <f t="shared" si="16"/>
        <v/>
      </c>
      <c r="W15" s="62" t="str">
        <f t="shared" si="17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8"/>
        <v/>
      </c>
      <c r="B16" s="18" t="str">
        <f t="shared" si="11"/>
        <v/>
      </c>
      <c r="C16" s="18" t="str">
        <f t="shared" si="19"/>
        <v/>
      </c>
      <c r="D16" s="18" t="str">
        <f t="shared" si="13"/>
        <v/>
      </c>
      <c r="E16" s="4"/>
      <c r="F16" s="8"/>
      <c r="G16" s="9"/>
      <c r="H16" s="9"/>
      <c r="I16" s="55"/>
      <c r="J16" s="21" t="str">
        <f t="shared" si="20"/>
        <v/>
      </c>
      <c r="K16" s="8"/>
      <c r="L16" s="9"/>
      <c r="M16" s="9"/>
      <c r="N16" s="55"/>
      <c r="O16" s="21" t="str">
        <f t="shared" si="21"/>
        <v/>
      </c>
      <c r="P16" s="8"/>
      <c r="Q16" s="9"/>
      <c r="R16" s="9"/>
      <c r="S16" s="55"/>
      <c r="T16" s="21" t="str">
        <f t="shared" si="22"/>
        <v/>
      </c>
      <c r="U16" s="60" t="str">
        <f t="shared" si="15"/>
        <v/>
      </c>
      <c r="V16" s="61" t="str">
        <f t="shared" si="16"/>
        <v/>
      </c>
      <c r="W16" s="62" t="str">
        <f t="shared" si="17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8"/>
        <v/>
      </c>
      <c r="B17" s="18" t="str">
        <f t="shared" si="11"/>
        <v/>
      </c>
      <c r="C17" s="18" t="str">
        <f t="shared" si="19"/>
        <v/>
      </c>
      <c r="D17" s="18" t="str">
        <f t="shared" si="13"/>
        <v/>
      </c>
      <c r="E17" s="4"/>
      <c r="F17" s="8"/>
      <c r="G17" s="9"/>
      <c r="H17" s="9"/>
      <c r="I17" s="55"/>
      <c r="J17" s="21" t="str">
        <f t="shared" si="20"/>
        <v/>
      </c>
      <c r="K17" s="8"/>
      <c r="L17" s="9"/>
      <c r="M17" s="9"/>
      <c r="N17" s="55"/>
      <c r="O17" s="21" t="str">
        <f t="shared" si="21"/>
        <v/>
      </c>
      <c r="P17" s="8"/>
      <c r="Q17" s="9"/>
      <c r="R17" s="9"/>
      <c r="S17" s="55"/>
      <c r="T17" s="21" t="str">
        <f t="shared" si="22"/>
        <v/>
      </c>
      <c r="U17" s="60" t="str">
        <f t="shared" si="15"/>
        <v/>
      </c>
      <c r="V17" s="61" t="str">
        <f t="shared" si="16"/>
        <v/>
      </c>
      <c r="W17" s="62" t="str">
        <f t="shared" si="17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8"/>
        <v/>
      </c>
      <c r="B18" s="18" t="str">
        <f t="shared" si="11"/>
        <v/>
      </c>
      <c r="C18" s="18" t="str">
        <f t="shared" si="19"/>
        <v/>
      </c>
      <c r="D18" s="18" t="str">
        <f t="shared" si="13"/>
        <v/>
      </c>
      <c r="E18" s="4"/>
      <c r="F18" s="8"/>
      <c r="G18" s="9"/>
      <c r="H18" s="9"/>
      <c r="I18" s="55"/>
      <c r="J18" s="21" t="str">
        <f t="shared" si="20"/>
        <v/>
      </c>
      <c r="K18" s="8"/>
      <c r="L18" s="9"/>
      <c r="M18" s="9"/>
      <c r="N18" s="55"/>
      <c r="O18" s="21" t="str">
        <f t="shared" si="21"/>
        <v/>
      </c>
      <c r="P18" s="8"/>
      <c r="Q18" s="9"/>
      <c r="R18" s="9"/>
      <c r="S18" s="55"/>
      <c r="T18" s="21" t="str">
        <f t="shared" si="22"/>
        <v/>
      </c>
      <c r="U18" s="60" t="str">
        <f t="shared" si="15"/>
        <v/>
      </c>
      <c r="V18" s="61" t="str">
        <f t="shared" si="16"/>
        <v/>
      </c>
      <c r="W18" s="62" t="str">
        <f t="shared" si="17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8"/>
        <v/>
      </c>
      <c r="B19" s="18" t="str">
        <f t="shared" si="11"/>
        <v/>
      </c>
      <c r="C19" s="18" t="str">
        <f t="shared" si="19"/>
        <v/>
      </c>
      <c r="D19" s="18" t="str">
        <f t="shared" si="13"/>
        <v/>
      </c>
      <c r="E19" s="4"/>
      <c r="F19" s="8"/>
      <c r="G19" s="9"/>
      <c r="H19" s="9"/>
      <c r="I19" s="55"/>
      <c r="J19" s="21" t="str">
        <f t="shared" si="20"/>
        <v/>
      </c>
      <c r="K19" s="8"/>
      <c r="L19" s="9"/>
      <c r="M19" s="9"/>
      <c r="N19" s="55"/>
      <c r="O19" s="21" t="str">
        <f t="shared" si="21"/>
        <v/>
      </c>
      <c r="P19" s="8"/>
      <c r="Q19" s="9"/>
      <c r="R19" s="9"/>
      <c r="S19" s="55"/>
      <c r="T19" s="21" t="str">
        <f t="shared" si="22"/>
        <v/>
      </c>
      <c r="U19" s="60" t="str">
        <f t="shared" si="15"/>
        <v/>
      </c>
      <c r="V19" s="61" t="str">
        <f t="shared" si="16"/>
        <v/>
      </c>
      <c r="W19" s="62" t="str">
        <f t="shared" si="17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8"/>
        <v/>
      </c>
      <c r="B20" s="18" t="str">
        <f t="shared" si="11"/>
        <v/>
      </c>
      <c r="C20" s="18" t="str">
        <f t="shared" si="19"/>
        <v/>
      </c>
      <c r="D20" s="18" t="str">
        <f t="shared" si="13"/>
        <v/>
      </c>
      <c r="E20" s="4"/>
      <c r="F20" s="8"/>
      <c r="G20" s="9"/>
      <c r="H20" s="9"/>
      <c r="I20" s="55"/>
      <c r="J20" s="21" t="str">
        <f t="shared" si="20"/>
        <v/>
      </c>
      <c r="K20" s="8"/>
      <c r="L20" s="9"/>
      <c r="M20" s="9"/>
      <c r="N20" s="55"/>
      <c r="O20" s="21" t="str">
        <f t="shared" si="21"/>
        <v/>
      </c>
      <c r="P20" s="8"/>
      <c r="Q20" s="9"/>
      <c r="R20" s="9"/>
      <c r="S20" s="55"/>
      <c r="T20" s="21" t="str">
        <f t="shared" si="22"/>
        <v/>
      </c>
      <c r="U20" s="60" t="str">
        <f t="shared" si="15"/>
        <v/>
      </c>
      <c r="V20" s="61" t="str">
        <f t="shared" si="16"/>
        <v/>
      </c>
      <c r="W20" s="62" t="str">
        <f t="shared" si="17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8"/>
        <v/>
      </c>
      <c r="B21" s="18" t="str">
        <f t="shared" si="11"/>
        <v/>
      </c>
      <c r="C21" s="18" t="str">
        <f t="shared" si="19"/>
        <v/>
      </c>
      <c r="D21" s="18" t="str">
        <f t="shared" si="13"/>
        <v/>
      </c>
      <c r="E21" s="4"/>
      <c r="F21" s="8"/>
      <c r="G21" s="9"/>
      <c r="H21" s="9"/>
      <c r="I21" s="55"/>
      <c r="J21" s="21" t="str">
        <f t="shared" si="20"/>
        <v/>
      </c>
      <c r="K21" s="8"/>
      <c r="L21" s="9"/>
      <c r="M21" s="9"/>
      <c r="N21" s="55"/>
      <c r="O21" s="21" t="str">
        <f t="shared" si="21"/>
        <v/>
      </c>
      <c r="P21" s="8"/>
      <c r="Q21" s="9"/>
      <c r="R21" s="9"/>
      <c r="S21" s="55"/>
      <c r="T21" s="21" t="str">
        <f t="shared" si="22"/>
        <v/>
      </c>
      <c r="U21" s="60" t="str">
        <f t="shared" si="15"/>
        <v/>
      </c>
      <c r="V21" s="61" t="str">
        <f t="shared" si="16"/>
        <v/>
      </c>
      <c r="W21" s="62" t="str">
        <f t="shared" si="17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8"/>
        <v/>
      </c>
      <c r="B22" s="18" t="str">
        <f t="shared" si="11"/>
        <v/>
      </c>
      <c r="C22" s="18" t="str">
        <f t="shared" si="19"/>
        <v/>
      </c>
      <c r="D22" s="18" t="str">
        <f t="shared" si="13"/>
        <v/>
      </c>
      <c r="E22" s="4"/>
      <c r="F22" s="8"/>
      <c r="G22" s="9"/>
      <c r="H22" s="9"/>
      <c r="I22" s="55"/>
      <c r="J22" s="21" t="str">
        <f t="shared" si="20"/>
        <v/>
      </c>
      <c r="K22" s="8"/>
      <c r="L22" s="9"/>
      <c r="M22" s="9"/>
      <c r="N22" s="55"/>
      <c r="O22" s="21" t="str">
        <f t="shared" si="21"/>
        <v/>
      </c>
      <c r="P22" s="8"/>
      <c r="Q22" s="9"/>
      <c r="R22" s="9"/>
      <c r="S22" s="55"/>
      <c r="T22" s="21" t="str">
        <f t="shared" si="22"/>
        <v/>
      </c>
      <c r="U22" s="60" t="str">
        <f t="shared" si="15"/>
        <v/>
      </c>
      <c r="V22" s="61" t="str">
        <f t="shared" si="16"/>
        <v/>
      </c>
      <c r="W22" s="62" t="str">
        <f t="shared" si="17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8"/>
        <v/>
      </c>
      <c r="B23" s="18" t="str">
        <f t="shared" si="11"/>
        <v/>
      </c>
      <c r="C23" s="18" t="str">
        <f t="shared" si="19"/>
        <v/>
      </c>
      <c r="D23" s="18" t="str">
        <f t="shared" si="13"/>
        <v/>
      </c>
      <c r="E23" s="4"/>
      <c r="F23" s="8"/>
      <c r="G23" s="9"/>
      <c r="H23" s="9"/>
      <c r="I23" s="55"/>
      <c r="J23" s="21" t="str">
        <f t="shared" si="20"/>
        <v/>
      </c>
      <c r="K23" s="8"/>
      <c r="L23" s="9"/>
      <c r="M23" s="9"/>
      <c r="N23" s="55"/>
      <c r="O23" s="21" t="str">
        <f t="shared" si="21"/>
        <v/>
      </c>
      <c r="P23" s="8"/>
      <c r="Q23" s="9"/>
      <c r="R23" s="9"/>
      <c r="S23" s="55"/>
      <c r="T23" s="21" t="str">
        <f t="shared" si="22"/>
        <v/>
      </c>
      <c r="U23" s="60" t="str">
        <f t="shared" si="15"/>
        <v/>
      </c>
      <c r="V23" s="61" t="str">
        <f t="shared" si="16"/>
        <v/>
      </c>
      <c r="W23" s="62" t="str">
        <f t="shared" si="17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8"/>
        <v/>
      </c>
      <c r="B24" s="18" t="str">
        <f t="shared" si="11"/>
        <v/>
      </c>
      <c r="C24" s="18" t="str">
        <f t="shared" si="19"/>
        <v/>
      </c>
      <c r="D24" s="18" t="str">
        <f t="shared" si="13"/>
        <v/>
      </c>
      <c r="E24" s="4"/>
      <c r="F24" s="8"/>
      <c r="G24" s="9"/>
      <c r="H24" s="9"/>
      <c r="I24" s="55"/>
      <c r="J24" s="21" t="str">
        <f t="shared" si="20"/>
        <v/>
      </c>
      <c r="K24" s="8"/>
      <c r="L24" s="9"/>
      <c r="M24" s="9"/>
      <c r="N24" s="55"/>
      <c r="O24" s="21" t="str">
        <f t="shared" si="21"/>
        <v/>
      </c>
      <c r="P24" s="8"/>
      <c r="Q24" s="9"/>
      <c r="R24" s="9"/>
      <c r="S24" s="55"/>
      <c r="T24" s="21" t="str">
        <f t="shared" si="22"/>
        <v/>
      </c>
      <c r="U24" s="60" t="str">
        <f t="shared" si="15"/>
        <v/>
      </c>
      <c r="V24" s="61" t="str">
        <f t="shared" si="16"/>
        <v/>
      </c>
      <c r="W24" s="62" t="str">
        <f t="shared" si="17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8"/>
        <v/>
      </c>
      <c r="B25" s="18" t="str">
        <f t="shared" si="11"/>
        <v/>
      </c>
      <c r="C25" s="18" t="str">
        <f t="shared" si="19"/>
        <v/>
      </c>
      <c r="D25" s="18" t="str">
        <f t="shared" si="13"/>
        <v/>
      </c>
      <c r="E25" s="4"/>
      <c r="F25" s="8"/>
      <c r="G25" s="9"/>
      <c r="H25" s="9"/>
      <c r="I25" s="55"/>
      <c r="J25" s="21" t="str">
        <f t="shared" si="20"/>
        <v/>
      </c>
      <c r="K25" s="8"/>
      <c r="L25" s="9"/>
      <c r="M25" s="9"/>
      <c r="N25" s="55"/>
      <c r="O25" s="21" t="str">
        <f t="shared" si="21"/>
        <v/>
      </c>
      <c r="P25" s="8"/>
      <c r="Q25" s="9"/>
      <c r="R25" s="9"/>
      <c r="S25" s="55"/>
      <c r="T25" s="21" t="str">
        <f t="shared" si="22"/>
        <v/>
      </c>
      <c r="U25" s="60" t="str">
        <f t="shared" si="15"/>
        <v/>
      </c>
      <c r="V25" s="61" t="str">
        <f t="shared" si="16"/>
        <v/>
      </c>
      <c r="W25" s="62" t="str">
        <f t="shared" si="17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8"/>
        <v/>
      </c>
      <c r="B26" s="18" t="str">
        <f t="shared" si="11"/>
        <v/>
      </c>
      <c r="C26" s="18" t="str">
        <f t="shared" si="19"/>
        <v/>
      </c>
      <c r="D26" s="18" t="str">
        <f t="shared" si="13"/>
        <v/>
      </c>
      <c r="E26" s="4"/>
      <c r="F26" s="8"/>
      <c r="G26" s="9"/>
      <c r="H26" s="9"/>
      <c r="I26" s="55"/>
      <c r="J26" s="21" t="str">
        <f t="shared" si="20"/>
        <v/>
      </c>
      <c r="K26" s="8"/>
      <c r="L26" s="9"/>
      <c r="M26" s="9"/>
      <c r="N26" s="55"/>
      <c r="O26" s="21" t="str">
        <f t="shared" si="21"/>
        <v/>
      </c>
      <c r="P26" s="8"/>
      <c r="Q26" s="9"/>
      <c r="R26" s="9"/>
      <c r="S26" s="55"/>
      <c r="T26" s="21" t="str">
        <f t="shared" si="22"/>
        <v/>
      </c>
      <c r="U26" s="60" t="str">
        <f t="shared" si="15"/>
        <v/>
      </c>
      <c r="V26" s="61" t="str">
        <f t="shared" si="16"/>
        <v/>
      </c>
      <c r="W26" s="62" t="str">
        <f t="shared" si="17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8"/>
        <v/>
      </c>
      <c r="B27" s="18" t="str">
        <f t="shared" si="11"/>
        <v/>
      </c>
      <c r="C27" s="18" t="str">
        <f t="shared" si="19"/>
        <v/>
      </c>
      <c r="D27" s="18" t="str">
        <f t="shared" si="13"/>
        <v/>
      </c>
      <c r="E27" s="4"/>
      <c r="F27" s="8"/>
      <c r="G27" s="9"/>
      <c r="H27" s="9"/>
      <c r="I27" s="55"/>
      <c r="J27" s="21" t="str">
        <f t="shared" si="20"/>
        <v/>
      </c>
      <c r="K27" s="8"/>
      <c r="L27" s="9"/>
      <c r="M27" s="9"/>
      <c r="N27" s="55"/>
      <c r="O27" s="21" t="str">
        <f t="shared" si="21"/>
        <v/>
      </c>
      <c r="P27" s="8"/>
      <c r="Q27" s="9"/>
      <c r="R27" s="9"/>
      <c r="S27" s="55"/>
      <c r="T27" s="21" t="str">
        <f t="shared" si="22"/>
        <v/>
      </c>
      <c r="U27" s="60" t="str">
        <f t="shared" si="15"/>
        <v/>
      </c>
      <c r="V27" s="61" t="str">
        <f t="shared" si="16"/>
        <v/>
      </c>
      <c r="W27" s="62" t="str">
        <f t="shared" si="17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8"/>
        <v/>
      </c>
      <c r="B28" s="18" t="str">
        <f t="shared" si="11"/>
        <v/>
      </c>
      <c r="C28" s="18" t="str">
        <f t="shared" si="19"/>
        <v/>
      </c>
      <c r="D28" s="18" t="str">
        <f t="shared" si="13"/>
        <v/>
      </c>
      <c r="E28" s="4"/>
      <c r="F28" s="8"/>
      <c r="G28" s="9"/>
      <c r="H28" s="9"/>
      <c r="I28" s="55"/>
      <c r="J28" s="21" t="str">
        <f t="shared" si="20"/>
        <v/>
      </c>
      <c r="K28" s="8"/>
      <c r="L28" s="9"/>
      <c r="M28" s="9"/>
      <c r="N28" s="55"/>
      <c r="O28" s="21" t="str">
        <f t="shared" si="21"/>
        <v/>
      </c>
      <c r="P28" s="8"/>
      <c r="Q28" s="9"/>
      <c r="R28" s="9"/>
      <c r="S28" s="55"/>
      <c r="T28" s="21" t="str">
        <f t="shared" si="22"/>
        <v/>
      </c>
      <c r="U28" s="60" t="str">
        <f t="shared" si="15"/>
        <v/>
      </c>
      <c r="V28" s="61" t="str">
        <f t="shared" si="16"/>
        <v/>
      </c>
      <c r="W28" s="62" t="str">
        <f t="shared" si="17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8"/>
        <v/>
      </c>
      <c r="B29" s="18" t="str">
        <f t="shared" si="11"/>
        <v/>
      </c>
      <c r="C29" s="18" t="str">
        <f t="shared" si="19"/>
        <v/>
      </c>
      <c r="D29" s="18" t="str">
        <f t="shared" si="13"/>
        <v/>
      </c>
      <c r="E29" s="4"/>
      <c r="F29" s="8"/>
      <c r="G29" s="9"/>
      <c r="H29" s="9"/>
      <c r="I29" s="55"/>
      <c r="J29" s="21" t="str">
        <f t="shared" si="20"/>
        <v/>
      </c>
      <c r="K29" s="8"/>
      <c r="L29" s="9"/>
      <c r="M29" s="9"/>
      <c r="N29" s="55"/>
      <c r="O29" s="21" t="str">
        <f t="shared" si="21"/>
        <v/>
      </c>
      <c r="P29" s="8"/>
      <c r="Q29" s="9"/>
      <c r="R29" s="9"/>
      <c r="S29" s="55"/>
      <c r="T29" s="21" t="str">
        <f t="shared" si="22"/>
        <v/>
      </c>
      <c r="U29" s="60" t="str">
        <f t="shared" si="15"/>
        <v/>
      </c>
      <c r="V29" s="61" t="str">
        <f t="shared" si="16"/>
        <v/>
      </c>
      <c r="W29" s="62" t="str">
        <f t="shared" si="17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8"/>
        <v/>
      </c>
      <c r="B30" s="19" t="str">
        <f t="shared" si="11"/>
        <v/>
      </c>
      <c r="C30" s="19" t="str">
        <f t="shared" si="19"/>
        <v/>
      </c>
      <c r="D30" s="19" t="str">
        <f t="shared" si="13"/>
        <v/>
      </c>
      <c r="E30" s="5"/>
      <c r="F30" s="10"/>
      <c r="G30" s="11"/>
      <c r="H30" s="11"/>
      <c r="I30" s="56"/>
      <c r="J30" s="22" t="str">
        <f t="shared" si="20"/>
        <v/>
      </c>
      <c r="K30" s="10"/>
      <c r="L30" s="11"/>
      <c r="M30" s="11"/>
      <c r="N30" s="56"/>
      <c r="O30" s="22" t="str">
        <f t="shared" si="21"/>
        <v/>
      </c>
      <c r="P30" s="10"/>
      <c r="Q30" s="11"/>
      <c r="R30" s="11"/>
      <c r="S30" s="56"/>
      <c r="T30" s="22" t="str">
        <f t="shared" si="22"/>
        <v/>
      </c>
      <c r="U30" s="63" t="str">
        <f t="shared" si="15"/>
        <v/>
      </c>
      <c r="V30" s="64" t="str">
        <f t="shared" si="16"/>
        <v/>
      </c>
      <c r="W30" s="65" t="str">
        <f t="shared" si="17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3CDC5D30-60EF-4FA2-9B2E-81EC5F02C11D}">
      <formula1>"ロン,ツモ,放銃,ツモ支払,流局,チョンボ"</formula1>
    </dataValidation>
    <dataValidation type="list" allowBlank="1" showInputMessage="1" showErrorMessage="1" sqref="E4:E30" xr:uid="{47D0233E-4864-486D-BEF9-C8B9F859C1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36DE-750E-4C22-9BD6-F5505CA806A7}">
  <sheetPr codeName="Sheet16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7" t="s">
        <v>0</v>
      </c>
      <c r="B1" s="109" t="s">
        <v>2</v>
      </c>
      <c r="C1" s="109" t="s">
        <v>1</v>
      </c>
      <c r="D1" s="109" t="s">
        <v>22</v>
      </c>
      <c r="E1" s="111" t="s">
        <v>3</v>
      </c>
      <c r="F1" s="102" t="s">
        <v>136</v>
      </c>
      <c r="G1" s="104"/>
      <c r="H1" s="104"/>
      <c r="I1" s="113"/>
      <c r="J1" s="105"/>
      <c r="K1" s="102" t="s">
        <v>158</v>
      </c>
      <c r="L1" s="104"/>
      <c r="M1" s="104"/>
      <c r="N1" s="113"/>
      <c r="O1" s="105"/>
      <c r="P1" s="102" t="s">
        <v>157</v>
      </c>
      <c r="Q1" s="104"/>
      <c r="R1" s="104"/>
      <c r="S1" s="113"/>
      <c r="T1" s="105"/>
      <c r="U1" s="102" t="s">
        <v>6</v>
      </c>
      <c r="V1" s="104"/>
      <c r="W1" s="105"/>
      <c r="Y1" s="102" t="str">
        <f>F1</f>
        <v>だいち</v>
      </c>
      <c r="Z1" s="103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/>
      <c r="AT1" s="102" t="str">
        <f>K1</f>
        <v>たかの</v>
      </c>
      <c r="AU1" s="103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5"/>
      <c r="BO1" s="102" t="str">
        <f>P1</f>
        <v>ただ</v>
      </c>
      <c r="BP1" s="103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5"/>
    </row>
    <row r="2" spans="1:87" x14ac:dyDescent="0.4">
      <c r="A2" s="108"/>
      <c r="B2" s="110"/>
      <c r="C2" s="110"/>
      <c r="D2" s="110"/>
      <c r="E2" s="11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100" t="str">
        <f>$F$1</f>
        <v>だいち</v>
      </c>
      <c r="V2" s="101" t="str">
        <f>$K$1</f>
        <v>たかの</v>
      </c>
      <c r="W2" s="16" t="str">
        <f>$P$1</f>
        <v>ただ</v>
      </c>
      <c r="Y2" s="96" t="s">
        <v>24</v>
      </c>
      <c r="Z2" s="97" t="s">
        <v>27</v>
      </c>
      <c r="AA2" s="98" t="s">
        <v>25</v>
      </c>
      <c r="AB2" s="98" t="s">
        <v>128</v>
      </c>
      <c r="AC2" s="98" t="s">
        <v>19</v>
      </c>
      <c r="AD2" s="99" t="s">
        <v>20</v>
      </c>
      <c r="AE2" s="106" t="s">
        <v>21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96" t="s">
        <v>24</v>
      </c>
      <c r="AU2" s="97" t="s">
        <v>27</v>
      </c>
      <c r="AV2" s="98" t="s">
        <v>25</v>
      </c>
      <c r="AW2" s="98" t="s">
        <v>129</v>
      </c>
      <c r="AX2" s="98" t="s">
        <v>19</v>
      </c>
      <c r="AY2" s="99" t="s">
        <v>20</v>
      </c>
      <c r="AZ2" s="106" t="s">
        <v>21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96" t="s">
        <v>24</v>
      </c>
      <c r="BP2" s="97" t="s">
        <v>27</v>
      </c>
      <c r="BQ2" s="98" t="s">
        <v>25</v>
      </c>
      <c r="BR2" s="98" t="s">
        <v>129</v>
      </c>
      <c r="BS2" s="98" t="s">
        <v>19</v>
      </c>
      <c r="BT2" s="99" t="s">
        <v>20</v>
      </c>
      <c r="BU2" s="106" t="s">
        <v>21</v>
      </c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 t="shared" ref="U3:U30" si="0">IF($J3="","",ROUND(($J3-$J$3)/1000,1))</f>
        <v>0</v>
      </c>
      <c r="V3" s="58">
        <f t="shared" ref="V3:V30" si="1">IF($O3="","",ROUND(($O3-$O$3)/1000,1))</f>
        <v>0</v>
      </c>
      <c r="W3" s="59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162</v>
      </c>
      <c r="F4" s="8" t="s">
        <v>142</v>
      </c>
      <c r="G4" s="9">
        <v>-4500</v>
      </c>
      <c r="H4" s="9"/>
      <c r="I4" s="55">
        <v>0</v>
      </c>
      <c r="J4" s="21">
        <f t="shared" ref="J4:J30" si="3">IF(COUNTA($F4,$K4,$P4)&gt;0,J3+SUM(G4:I4),"")</f>
        <v>30500</v>
      </c>
      <c r="K4" s="8" t="s">
        <v>142</v>
      </c>
      <c r="L4" s="9">
        <v>-7500</v>
      </c>
      <c r="M4" s="9"/>
      <c r="N4" s="55">
        <v>0</v>
      </c>
      <c r="O4" s="21">
        <f t="shared" ref="O4:O30" si="4">IF(COUNTA($F4,$K4,$P4)&gt;0,O3+SUM(L4:N4),"")</f>
        <v>27500</v>
      </c>
      <c r="P4" s="8" t="s">
        <v>141</v>
      </c>
      <c r="Q4" s="9">
        <v>12000</v>
      </c>
      <c r="R4" s="9"/>
      <c r="S4" s="55">
        <v>0</v>
      </c>
      <c r="T4" s="21">
        <f t="shared" ref="T4:T30" si="5">IF(COUNTA($F4,$K4,$P4)&gt;0,T3+SUM(Q4:S4),"")</f>
        <v>47000</v>
      </c>
      <c r="U4" s="60">
        <f t="shared" si="0"/>
        <v>-4.5</v>
      </c>
      <c r="V4" s="61">
        <f t="shared" si="1"/>
        <v>-7.5</v>
      </c>
      <c r="W4" s="62">
        <f t="shared" si="2"/>
        <v>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7</v>
      </c>
      <c r="BT4" s="36" t="s">
        <v>143</v>
      </c>
      <c r="BU4" s="47" t="s">
        <v>144</v>
      </c>
      <c r="BV4" s="48" t="s">
        <v>83</v>
      </c>
      <c r="BW4" s="48" t="s">
        <v>150</v>
      </c>
      <c r="BX4" s="48" t="s">
        <v>84</v>
      </c>
      <c r="BY4" s="48" t="s">
        <v>82</v>
      </c>
      <c r="BZ4" s="48" t="s">
        <v>82</v>
      </c>
      <c r="CA4" s="48" t="s">
        <v>80</v>
      </c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IF($E5="","",IF(F4="チョンボ",C4,IF($E4=$E5,C4+1,0)))</f>
        <v>0</v>
      </c>
      <c r="D5" s="18">
        <f t="shared" ref="D5:D30" si="9">IF($E5="","",IF(OR($F4="流局",$F4="チョンボ"),D4+($H4+$M4+$R4)/-1000,0))</f>
        <v>0</v>
      </c>
      <c r="E5" s="4" t="s">
        <v>161</v>
      </c>
      <c r="F5" s="8" t="s">
        <v>145</v>
      </c>
      <c r="G5" s="9">
        <v>2600</v>
      </c>
      <c r="H5" s="9"/>
      <c r="I5" s="55">
        <v>0</v>
      </c>
      <c r="J5" s="21">
        <f t="shared" si="3"/>
        <v>33100</v>
      </c>
      <c r="K5" s="8"/>
      <c r="L5" s="9"/>
      <c r="M5" s="9"/>
      <c r="N5" s="55"/>
      <c r="O5" s="21">
        <f t="shared" si="4"/>
        <v>27500</v>
      </c>
      <c r="P5" s="8" t="s">
        <v>146</v>
      </c>
      <c r="Q5" s="9">
        <v>-2600</v>
      </c>
      <c r="R5" s="9"/>
      <c r="S5" s="55">
        <v>0</v>
      </c>
      <c r="T5" s="21">
        <f t="shared" si="5"/>
        <v>44400</v>
      </c>
      <c r="U5" s="60">
        <f t="shared" si="0"/>
        <v>-1.9</v>
      </c>
      <c r="V5" s="61">
        <f t="shared" si="1"/>
        <v>-7.5</v>
      </c>
      <c r="W5" s="62">
        <f t="shared" si="2"/>
        <v>9.4</v>
      </c>
      <c r="Y5" s="8"/>
      <c r="Z5" s="41"/>
      <c r="AA5" s="32"/>
      <c r="AB5" s="32"/>
      <c r="AC5" s="32">
        <v>2</v>
      </c>
      <c r="AD5" s="36">
        <v>40</v>
      </c>
      <c r="AE5" s="47" t="s">
        <v>87</v>
      </c>
      <c r="AF5" s="48" t="s">
        <v>82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135</v>
      </c>
      <c r="F6" s="8" t="s">
        <v>146</v>
      </c>
      <c r="G6" s="9">
        <v>-8000</v>
      </c>
      <c r="H6" s="9"/>
      <c r="I6" s="55">
        <v>0</v>
      </c>
      <c r="J6" s="21">
        <f t="shared" si="3"/>
        <v>25100</v>
      </c>
      <c r="K6" s="8"/>
      <c r="L6" s="9"/>
      <c r="M6" s="9"/>
      <c r="N6" s="55"/>
      <c r="O6" s="21">
        <f t="shared" si="4"/>
        <v>27500</v>
      </c>
      <c r="P6" s="8" t="s">
        <v>145</v>
      </c>
      <c r="Q6" s="9">
        <v>8000</v>
      </c>
      <c r="R6" s="9"/>
      <c r="S6" s="55">
        <v>0</v>
      </c>
      <c r="T6" s="21">
        <f t="shared" si="5"/>
        <v>52400</v>
      </c>
      <c r="U6" s="60">
        <f t="shared" si="0"/>
        <v>-9.9</v>
      </c>
      <c r="V6" s="61">
        <f t="shared" si="1"/>
        <v>-7.5</v>
      </c>
      <c r="W6" s="62">
        <f t="shared" si="2"/>
        <v>17.399999999999999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30</v>
      </c>
      <c r="BU6" s="47" t="s">
        <v>144</v>
      </c>
      <c r="BV6" s="48" t="s">
        <v>150</v>
      </c>
      <c r="BW6" s="48" t="s">
        <v>84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6"/>
        <v>南</v>
      </c>
      <c r="B7" s="18">
        <f t="shared" si="7"/>
        <v>1</v>
      </c>
      <c r="C7" s="18">
        <f t="shared" si="8"/>
        <v>0</v>
      </c>
      <c r="D7" s="18">
        <f t="shared" si="9"/>
        <v>0</v>
      </c>
      <c r="E7" s="4" t="s">
        <v>162</v>
      </c>
      <c r="F7" s="8" t="s">
        <v>142</v>
      </c>
      <c r="G7" s="9">
        <v>-4500</v>
      </c>
      <c r="H7" s="9"/>
      <c r="I7" s="55">
        <v>0</v>
      </c>
      <c r="J7" s="21">
        <f t="shared" si="3"/>
        <v>20600</v>
      </c>
      <c r="K7" s="8" t="s">
        <v>142</v>
      </c>
      <c r="L7" s="9">
        <v>-7500</v>
      </c>
      <c r="M7" s="9"/>
      <c r="N7" s="55">
        <v>0</v>
      </c>
      <c r="O7" s="21">
        <f t="shared" si="4"/>
        <v>20000</v>
      </c>
      <c r="P7" s="8" t="s">
        <v>141</v>
      </c>
      <c r="Q7" s="9">
        <v>12000</v>
      </c>
      <c r="R7" s="9"/>
      <c r="S7" s="55">
        <v>0</v>
      </c>
      <c r="T7" s="21">
        <f t="shared" si="5"/>
        <v>64400</v>
      </c>
      <c r="U7" s="60">
        <f t="shared" si="0"/>
        <v>-14.4</v>
      </c>
      <c r="V7" s="61">
        <f t="shared" si="1"/>
        <v>-15</v>
      </c>
      <c r="W7" s="62">
        <f t="shared" si="2"/>
        <v>29.4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143</v>
      </c>
      <c r="BU7" s="47" t="s">
        <v>144</v>
      </c>
      <c r="BV7" s="48" t="s">
        <v>83</v>
      </c>
      <c r="BW7" s="48" t="s">
        <v>82</v>
      </c>
      <c r="BX7" s="48" t="s">
        <v>82</v>
      </c>
      <c r="BY7" s="48" t="s">
        <v>82</v>
      </c>
      <c r="BZ7" s="48" t="s">
        <v>81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6"/>
        <v>南</v>
      </c>
      <c r="B8" s="18">
        <f t="shared" si="7"/>
        <v>2</v>
      </c>
      <c r="C8" s="18">
        <f t="shared" si="8"/>
        <v>0</v>
      </c>
      <c r="D8" s="18">
        <f t="shared" si="9"/>
        <v>0</v>
      </c>
      <c r="E8" s="4" t="s">
        <v>161</v>
      </c>
      <c r="F8" s="8" t="s">
        <v>145</v>
      </c>
      <c r="G8" s="9">
        <v>12000</v>
      </c>
      <c r="H8" s="9">
        <v>1000</v>
      </c>
      <c r="I8" s="55">
        <v>0</v>
      </c>
      <c r="J8" s="21">
        <f t="shared" si="3"/>
        <v>33600</v>
      </c>
      <c r="K8" s="8" t="s">
        <v>146</v>
      </c>
      <c r="L8" s="9">
        <v>-12000</v>
      </c>
      <c r="M8" s="9"/>
      <c r="N8" s="55">
        <v>0</v>
      </c>
      <c r="O8" s="21">
        <f t="shared" si="4"/>
        <v>8000</v>
      </c>
      <c r="P8" s="8"/>
      <c r="Q8" s="9"/>
      <c r="R8" s="9">
        <v>-1000</v>
      </c>
      <c r="S8" s="55"/>
      <c r="T8" s="21">
        <f t="shared" si="5"/>
        <v>63400</v>
      </c>
      <c r="U8" s="60">
        <f t="shared" si="0"/>
        <v>-1.4</v>
      </c>
      <c r="V8" s="61">
        <f t="shared" si="1"/>
        <v>-27</v>
      </c>
      <c r="W8" s="62">
        <f t="shared" si="2"/>
        <v>28.4</v>
      </c>
      <c r="Y8" s="8"/>
      <c r="Z8" s="41"/>
      <c r="AA8" s="32"/>
      <c r="AB8" s="32">
        <v>1</v>
      </c>
      <c r="AC8" s="32">
        <v>6</v>
      </c>
      <c r="AD8" s="36" t="s">
        <v>143</v>
      </c>
      <c r="AE8" s="47" t="s">
        <v>101</v>
      </c>
      <c r="AF8" s="48" t="s">
        <v>99</v>
      </c>
      <c r="AG8" s="48" t="s">
        <v>82</v>
      </c>
      <c r="AH8" s="48" t="s">
        <v>82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6"/>
        <v>南</v>
      </c>
      <c r="B9" s="18">
        <f t="shared" si="7"/>
        <v>3</v>
      </c>
      <c r="C9" s="18">
        <f t="shared" si="8"/>
        <v>0</v>
      </c>
      <c r="D9" s="18">
        <f t="shared" si="9"/>
        <v>0</v>
      </c>
      <c r="E9" s="4" t="s">
        <v>135</v>
      </c>
      <c r="F9" s="8" t="s">
        <v>149</v>
      </c>
      <c r="G9" s="9">
        <v>3000</v>
      </c>
      <c r="H9" s="9">
        <v>-1000</v>
      </c>
      <c r="I9" s="55"/>
      <c r="J9" s="21">
        <f t="shared" si="3"/>
        <v>35600</v>
      </c>
      <c r="K9" s="8" t="s">
        <v>149</v>
      </c>
      <c r="L9" s="9">
        <v>-1500</v>
      </c>
      <c r="M9" s="9"/>
      <c r="N9" s="55"/>
      <c r="O9" s="21">
        <f t="shared" si="4"/>
        <v>6500</v>
      </c>
      <c r="P9" s="8" t="s">
        <v>149</v>
      </c>
      <c r="Q9" s="9">
        <v>-1500</v>
      </c>
      <c r="R9" s="9"/>
      <c r="S9" s="55"/>
      <c r="T9" s="21">
        <f t="shared" si="5"/>
        <v>61900</v>
      </c>
      <c r="U9" s="60">
        <f t="shared" si="0"/>
        <v>0.6</v>
      </c>
      <c r="V9" s="61">
        <f t="shared" si="1"/>
        <v>-28.5</v>
      </c>
      <c r="W9" s="62">
        <f t="shared" si="2"/>
        <v>26.9</v>
      </c>
      <c r="Y9" s="8" t="s">
        <v>147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148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6"/>
        <v>南</v>
      </c>
      <c r="B10" s="18">
        <f t="shared" si="7"/>
        <v>3</v>
      </c>
      <c r="C10" s="18">
        <f t="shared" si="8"/>
        <v>1</v>
      </c>
      <c r="D10" s="18">
        <f t="shared" si="9"/>
        <v>1</v>
      </c>
      <c r="E10" s="4" t="s">
        <v>135</v>
      </c>
      <c r="F10" s="8" t="s">
        <v>149</v>
      </c>
      <c r="G10" s="9">
        <v>1500</v>
      </c>
      <c r="H10" s="9">
        <v>-1000</v>
      </c>
      <c r="I10" s="55"/>
      <c r="J10" s="21">
        <f t="shared" si="3"/>
        <v>36100</v>
      </c>
      <c r="K10" s="8" t="s">
        <v>149</v>
      </c>
      <c r="L10" s="9">
        <v>1500</v>
      </c>
      <c r="M10" s="9"/>
      <c r="N10" s="55"/>
      <c r="O10" s="21">
        <f t="shared" si="4"/>
        <v>8000</v>
      </c>
      <c r="P10" s="8" t="s">
        <v>149</v>
      </c>
      <c r="Q10" s="9">
        <v>-3000</v>
      </c>
      <c r="R10" s="9"/>
      <c r="S10" s="55"/>
      <c r="T10" s="21">
        <f t="shared" si="5"/>
        <v>58900</v>
      </c>
      <c r="U10" s="60">
        <f t="shared" si="0"/>
        <v>1.1000000000000001</v>
      </c>
      <c r="V10" s="61">
        <f t="shared" si="1"/>
        <v>-27</v>
      </c>
      <c r="W10" s="62">
        <f t="shared" si="2"/>
        <v>23.9</v>
      </c>
      <c r="Y10" s="8" t="s">
        <v>147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147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148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6"/>
        <v>南</v>
      </c>
      <c r="B11" s="18">
        <f t="shared" si="7"/>
        <v>3</v>
      </c>
      <c r="C11" s="18">
        <f t="shared" si="8"/>
        <v>2</v>
      </c>
      <c r="D11" s="18">
        <f t="shared" si="9"/>
        <v>2</v>
      </c>
      <c r="E11" s="4" t="s">
        <v>135</v>
      </c>
      <c r="F11" s="8" t="s">
        <v>145</v>
      </c>
      <c r="G11" s="9">
        <v>12000</v>
      </c>
      <c r="H11" s="9">
        <v>2000</v>
      </c>
      <c r="I11" s="55">
        <v>2000</v>
      </c>
      <c r="J11" s="21">
        <f t="shared" si="3"/>
        <v>52100</v>
      </c>
      <c r="K11" s="8"/>
      <c r="L11" s="9"/>
      <c r="M11" s="9"/>
      <c r="N11" s="55"/>
      <c r="O11" s="21">
        <f t="shared" si="4"/>
        <v>8000</v>
      </c>
      <c r="P11" s="8" t="s">
        <v>146</v>
      </c>
      <c r="Q11" s="9">
        <v>-12000</v>
      </c>
      <c r="R11" s="9"/>
      <c r="S11" s="55">
        <v>-2000</v>
      </c>
      <c r="T11" s="21">
        <f t="shared" si="5"/>
        <v>44900</v>
      </c>
      <c r="U11" s="60">
        <f t="shared" si="0"/>
        <v>17.100000000000001</v>
      </c>
      <c r="V11" s="61">
        <f t="shared" si="1"/>
        <v>-27</v>
      </c>
      <c r="W11" s="62">
        <f t="shared" si="2"/>
        <v>9.9</v>
      </c>
      <c r="Y11" s="8"/>
      <c r="Z11" s="41"/>
      <c r="AA11" s="32">
        <v>1</v>
      </c>
      <c r="AB11" s="32"/>
      <c r="AC11" s="32">
        <v>4</v>
      </c>
      <c r="AD11" s="36">
        <v>40</v>
      </c>
      <c r="AE11" s="47" t="s">
        <v>144</v>
      </c>
      <c r="AF11" s="48" t="s">
        <v>82</v>
      </c>
      <c r="AG11" s="48" t="s">
        <v>82</v>
      </c>
      <c r="AH11" s="48" t="s">
        <v>80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55"/>
      <c r="J12" s="21" t="str">
        <f t="shared" si="3"/>
        <v/>
      </c>
      <c r="K12" s="8"/>
      <c r="L12" s="9"/>
      <c r="M12" s="9"/>
      <c r="N12" s="55"/>
      <c r="O12" s="21" t="str">
        <f t="shared" si="4"/>
        <v/>
      </c>
      <c r="P12" s="8"/>
      <c r="Q12" s="9"/>
      <c r="R12" s="9"/>
      <c r="S12" s="55"/>
      <c r="T12" s="21" t="str">
        <f t="shared" si="5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55"/>
      <c r="J13" s="21" t="str">
        <f t="shared" si="3"/>
        <v/>
      </c>
      <c r="K13" s="8"/>
      <c r="L13" s="9"/>
      <c r="M13" s="9"/>
      <c r="N13" s="55"/>
      <c r="O13" s="21" t="str">
        <f t="shared" si="4"/>
        <v/>
      </c>
      <c r="P13" s="8"/>
      <c r="Q13" s="9"/>
      <c r="R13" s="9"/>
      <c r="S13" s="55"/>
      <c r="T13" s="21" t="str">
        <f t="shared" si="5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55"/>
      <c r="J14" s="21" t="str">
        <f t="shared" si="3"/>
        <v/>
      </c>
      <c r="K14" s="8"/>
      <c r="L14" s="9"/>
      <c r="M14" s="9"/>
      <c r="N14" s="55"/>
      <c r="O14" s="21" t="str">
        <f t="shared" si="4"/>
        <v/>
      </c>
      <c r="P14" s="8"/>
      <c r="Q14" s="9"/>
      <c r="R14" s="9"/>
      <c r="S14" s="55"/>
      <c r="T14" s="21" t="str">
        <f t="shared" si="5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55"/>
      <c r="J15" s="21" t="str">
        <f t="shared" si="3"/>
        <v/>
      </c>
      <c r="K15" s="8"/>
      <c r="L15" s="9"/>
      <c r="M15" s="9"/>
      <c r="N15" s="55"/>
      <c r="O15" s="21" t="str">
        <f t="shared" si="4"/>
        <v/>
      </c>
      <c r="P15" s="8"/>
      <c r="Q15" s="9"/>
      <c r="R15" s="9"/>
      <c r="S15" s="55"/>
      <c r="T15" s="21" t="str">
        <f t="shared" si="5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55"/>
      <c r="J16" s="21" t="str">
        <f t="shared" si="3"/>
        <v/>
      </c>
      <c r="K16" s="8"/>
      <c r="L16" s="9"/>
      <c r="M16" s="9"/>
      <c r="N16" s="55"/>
      <c r="O16" s="21" t="str">
        <f t="shared" si="4"/>
        <v/>
      </c>
      <c r="P16" s="8"/>
      <c r="Q16" s="9"/>
      <c r="R16" s="9"/>
      <c r="S16" s="55"/>
      <c r="T16" s="21" t="str">
        <f t="shared" si="5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55"/>
      <c r="J17" s="21" t="str">
        <f t="shared" si="3"/>
        <v/>
      </c>
      <c r="K17" s="8"/>
      <c r="L17" s="9"/>
      <c r="M17" s="9"/>
      <c r="N17" s="55"/>
      <c r="O17" s="21" t="str">
        <f t="shared" si="4"/>
        <v/>
      </c>
      <c r="P17" s="8"/>
      <c r="Q17" s="9"/>
      <c r="R17" s="9"/>
      <c r="S17" s="55"/>
      <c r="T17" s="21" t="str">
        <f t="shared" si="5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55"/>
      <c r="J18" s="21" t="str">
        <f t="shared" si="3"/>
        <v/>
      </c>
      <c r="K18" s="8"/>
      <c r="L18" s="9"/>
      <c r="M18" s="9"/>
      <c r="N18" s="55"/>
      <c r="O18" s="21" t="str">
        <f t="shared" si="4"/>
        <v/>
      </c>
      <c r="P18" s="8"/>
      <c r="Q18" s="9"/>
      <c r="R18" s="9"/>
      <c r="S18" s="55"/>
      <c r="T18" s="21" t="str">
        <f t="shared" si="5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55"/>
      <c r="J19" s="21" t="str">
        <f t="shared" si="3"/>
        <v/>
      </c>
      <c r="K19" s="8"/>
      <c r="L19" s="9"/>
      <c r="M19" s="9"/>
      <c r="N19" s="55"/>
      <c r="O19" s="21" t="str">
        <f t="shared" si="4"/>
        <v/>
      </c>
      <c r="P19" s="8"/>
      <c r="Q19" s="9"/>
      <c r="R19" s="9"/>
      <c r="S19" s="55"/>
      <c r="T19" s="21" t="str">
        <f t="shared" si="5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55"/>
      <c r="J20" s="21" t="str">
        <f t="shared" si="3"/>
        <v/>
      </c>
      <c r="K20" s="8"/>
      <c r="L20" s="9"/>
      <c r="M20" s="9"/>
      <c r="N20" s="55"/>
      <c r="O20" s="21" t="str">
        <f t="shared" si="4"/>
        <v/>
      </c>
      <c r="P20" s="8"/>
      <c r="Q20" s="9"/>
      <c r="R20" s="9"/>
      <c r="S20" s="55"/>
      <c r="T20" s="21" t="str">
        <f t="shared" si="5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55"/>
      <c r="J21" s="21" t="str">
        <f t="shared" si="3"/>
        <v/>
      </c>
      <c r="K21" s="8"/>
      <c r="L21" s="9"/>
      <c r="M21" s="9"/>
      <c r="N21" s="55"/>
      <c r="O21" s="21" t="str">
        <f t="shared" si="4"/>
        <v/>
      </c>
      <c r="P21" s="8"/>
      <c r="Q21" s="9"/>
      <c r="R21" s="9"/>
      <c r="S21" s="55"/>
      <c r="T21" s="21" t="str">
        <f t="shared" si="5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55"/>
      <c r="J22" s="21" t="str">
        <f t="shared" si="3"/>
        <v/>
      </c>
      <c r="K22" s="8"/>
      <c r="L22" s="9"/>
      <c r="M22" s="9"/>
      <c r="N22" s="55"/>
      <c r="O22" s="21" t="str">
        <f t="shared" si="4"/>
        <v/>
      </c>
      <c r="P22" s="8"/>
      <c r="Q22" s="9"/>
      <c r="R22" s="9"/>
      <c r="S22" s="55"/>
      <c r="T22" s="21" t="str">
        <f t="shared" si="5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55"/>
      <c r="J23" s="21" t="str">
        <f t="shared" si="3"/>
        <v/>
      </c>
      <c r="K23" s="8"/>
      <c r="L23" s="9"/>
      <c r="M23" s="9"/>
      <c r="N23" s="55"/>
      <c r="O23" s="21" t="str">
        <f t="shared" si="4"/>
        <v/>
      </c>
      <c r="P23" s="8"/>
      <c r="Q23" s="9"/>
      <c r="R23" s="9"/>
      <c r="S23" s="55"/>
      <c r="T23" s="21" t="str">
        <f t="shared" si="5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55"/>
      <c r="J24" s="21" t="str">
        <f t="shared" si="3"/>
        <v/>
      </c>
      <c r="K24" s="8"/>
      <c r="L24" s="9"/>
      <c r="M24" s="9"/>
      <c r="N24" s="55"/>
      <c r="O24" s="21" t="str">
        <f t="shared" si="4"/>
        <v/>
      </c>
      <c r="P24" s="8"/>
      <c r="Q24" s="9"/>
      <c r="R24" s="9"/>
      <c r="S24" s="55"/>
      <c r="T24" s="21" t="str">
        <f t="shared" si="5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55"/>
      <c r="J25" s="21" t="str">
        <f t="shared" si="3"/>
        <v/>
      </c>
      <c r="K25" s="8"/>
      <c r="L25" s="9"/>
      <c r="M25" s="9"/>
      <c r="N25" s="55"/>
      <c r="O25" s="21" t="str">
        <f t="shared" si="4"/>
        <v/>
      </c>
      <c r="P25" s="8"/>
      <c r="Q25" s="9"/>
      <c r="R25" s="9"/>
      <c r="S25" s="55"/>
      <c r="T25" s="21" t="str">
        <f t="shared" si="5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55"/>
      <c r="J26" s="21" t="str">
        <f t="shared" si="3"/>
        <v/>
      </c>
      <c r="K26" s="8"/>
      <c r="L26" s="9"/>
      <c r="M26" s="9"/>
      <c r="N26" s="55"/>
      <c r="O26" s="21" t="str">
        <f t="shared" si="4"/>
        <v/>
      </c>
      <c r="P26" s="8"/>
      <c r="Q26" s="9"/>
      <c r="R26" s="9"/>
      <c r="S26" s="55"/>
      <c r="T26" s="21" t="str">
        <f t="shared" si="5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55"/>
      <c r="J27" s="21" t="str">
        <f t="shared" si="3"/>
        <v/>
      </c>
      <c r="K27" s="8"/>
      <c r="L27" s="9"/>
      <c r="M27" s="9"/>
      <c r="N27" s="55"/>
      <c r="O27" s="21" t="str">
        <f t="shared" si="4"/>
        <v/>
      </c>
      <c r="P27" s="8"/>
      <c r="Q27" s="9"/>
      <c r="R27" s="9"/>
      <c r="S27" s="55"/>
      <c r="T27" s="21" t="str">
        <f t="shared" si="5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55"/>
      <c r="J28" s="21" t="str">
        <f t="shared" si="3"/>
        <v/>
      </c>
      <c r="K28" s="8"/>
      <c r="L28" s="9"/>
      <c r="M28" s="9"/>
      <c r="N28" s="55"/>
      <c r="O28" s="21" t="str">
        <f t="shared" si="4"/>
        <v/>
      </c>
      <c r="P28" s="8"/>
      <c r="Q28" s="9"/>
      <c r="R28" s="9"/>
      <c r="S28" s="55"/>
      <c r="T28" s="21" t="str">
        <f t="shared" si="5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55"/>
      <c r="J29" s="21" t="str">
        <f t="shared" si="3"/>
        <v/>
      </c>
      <c r="K29" s="8"/>
      <c r="L29" s="9"/>
      <c r="M29" s="9"/>
      <c r="N29" s="55"/>
      <c r="O29" s="21" t="str">
        <f t="shared" si="4"/>
        <v/>
      </c>
      <c r="P29" s="8"/>
      <c r="Q29" s="9"/>
      <c r="R29" s="9"/>
      <c r="S29" s="55"/>
      <c r="T29" s="21" t="str">
        <f t="shared" si="5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56"/>
      <c r="J30" s="22" t="str">
        <f t="shared" si="3"/>
        <v/>
      </c>
      <c r="K30" s="10"/>
      <c r="L30" s="11"/>
      <c r="M30" s="11"/>
      <c r="N30" s="56"/>
      <c r="O30" s="22" t="str">
        <f t="shared" si="4"/>
        <v/>
      </c>
      <c r="P30" s="10"/>
      <c r="Q30" s="11"/>
      <c r="R30" s="11"/>
      <c r="S30" s="56"/>
      <c r="T30" s="22" t="str">
        <f t="shared" si="5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88D76154-412D-48CD-8FAC-847B94B32C79}">
      <formula1>$U$2:$W$2</formula1>
    </dataValidation>
    <dataValidation type="list" showInputMessage="1" showErrorMessage="1" sqref="K4:K30 P4:P30 F4:F30" xr:uid="{95D1465A-B3A5-4949-ACC2-2B9AE317177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2019-01-13T18:39:15Z</dcterms:modified>
</cp:coreProperties>
</file>