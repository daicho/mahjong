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110BF39-7927-470E-813E-0C19C2119F0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9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W16" i="19" s="1"/>
  <c r="O16" i="19"/>
  <c r="V16" i="19" s="1"/>
  <c r="J16" i="19"/>
  <c r="U16" i="19" s="1"/>
  <c r="D16" i="19"/>
  <c r="C16" i="19"/>
  <c r="B16" i="19"/>
  <c r="A16" i="19" s="1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2" i="19"/>
  <c r="D13" i="19" s="1"/>
  <c r="C12" i="19"/>
  <c r="C13" i="19" s="1"/>
  <c r="D11" i="19"/>
  <c r="D10" i="19"/>
  <c r="D9" i="19"/>
  <c r="D8" i="19"/>
  <c r="C8" i="19"/>
  <c r="C9" i="19" s="1"/>
  <c r="C10" i="19" s="1"/>
  <c r="C11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O30" i="17"/>
  <c r="V30" i="17" s="1"/>
  <c r="O29" i="17"/>
  <c r="O28" i="17"/>
  <c r="O27" i="17"/>
  <c r="V27" i="17" s="1"/>
  <c r="O26" i="17"/>
  <c r="V26" i="17" s="1"/>
  <c r="O25" i="17"/>
  <c r="O24" i="17"/>
  <c r="V24" i="17" s="1"/>
  <c r="O23" i="17"/>
  <c r="V23" i="17" s="1"/>
  <c r="O22" i="17"/>
  <c r="V22" i="17" s="1"/>
  <c r="O21" i="17"/>
  <c r="O20" i="17"/>
  <c r="V20" i="17" s="1"/>
  <c r="O19" i="17"/>
  <c r="V19" i="17" s="1"/>
  <c r="O18" i="17"/>
  <c r="V18" i="17" s="1"/>
  <c r="O17" i="17"/>
  <c r="O16" i="17"/>
  <c r="V16" i="17" s="1"/>
  <c r="O15" i="17"/>
  <c r="V15" i="17" s="1"/>
  <c r="O14" i="17"/>
  <c r="V14" i="17" s="1"/>
  <c r="O13" i="17"/>
  <c r="O12" i="17"/>
  <c r="V12" i="17" s="1"/>
  <c r="O11" i="17"/>
  <c r="O10" i="17"/>
  <c r="O9" i="17"/>
  <c r="O8" i="17"/>
  <c r="O7" i="17"/>
  <c r="O4" i="17"/>
  <c r="O5" i="17" s="1"/>
  <c r="O6" i="17" s="1"/>
  <c r="T4" i="17"/>
  <c r="T5" i="17" s="1"/>
  <c r="T6" i="17" s="1"/>
  <c r="T30" i="17"/>
  <c r="W30" i="17" s="1"/>
  <c r="T29" i="17"/>
  <c r="T28" i="17"/>
  <c r="W28" i="17" s="1"/>
  <c r="T27" i="17"/>
  <c r="W27" i="17" s="1"/>
  <c r="T26" i="17"/>
  <c r="W26" i="17" s="1"/>
  <c r="T25" i="17"/>
  <c r="W25" i="17" s="1"/>
  <c r="T24" i="17"/>
  <c r="W24" i="17" s="1"/>
  <c r="T23" i="17"/>
  <c r="W23" i="17" s="1"/>
  <c r="T22" i="17"/>
  <c r="W22" i="17" s="1"/>
  <c r="T21" i="17"/>
  <c r="W21" i="17" s="1"/>
  <c r="T20" i="17"/>
  <c r="W20" i="17" s="1"/>
  <c r="T19" i="17"/>
  <c r="W19" i="17" s="1"/>
  <c r="T18" i="17"/>
  <c r="W18" i="17" s="1"/>
  <c r="T17" i="17"/>
  <c r="W17" i="17" s="1"/>
  <c r="T16" i="17"/>
  <c r="W16" i="17" s="1"/>
  <c r="T15" i="17"/>
  <c r="W15" i="17" s="1"/>
  <c r="T14" i="17"/>
  <c r="W14" i="17" s="1"/>
  <c r="T13" i="17"/>
  <c r="W13" i="17" s="1"/>
  <c r="T12" i="17"/>
  <c r="W12" i="17" s="1"/>
  <c r="T11" i="17"/>
  <c r="T10" i="17"/>
  <c r="T9" i="17"/>
  <c r="T8" i="17"/>
  <c r="T7" i="17"/>
  <c r="J30" i="17"/>
  <c r="U30" i="17" s="1"/>
  <c r="D30" i="17"/>
  <c r="C30" i="17"/>
  <c r="B30" i="17"/>
  <c r="A30" i="17"/>
  <c r="W29" i="17"/>
  <c r="V29" i="17"/>
  <c r="J29" i="17"/>
  <c r="U29" i="17" s="1"/>
  <c r="D29" i="17"/>
  <c r="C29" i="17"/>
  <c r="B29" i="17"/>
  <c r="A29" i="17"/>
  <c r="V28" i="17"/>
  <c r="J28" i="17"/>
  <c r="U28" i="17" s="1"/>
  <c r="D28" i="17"/>
  <c r="C28" i="17"/>
  <c r="B28" i="17"/>
  <c r="A28" i="17"/>
  <c r="J27" i="17"/>
  <c r="U27" i="17" s="1"/>
  <c r="D27" i="17"/>
  <c r="C27" i="17"/>
  <c r="B27" i="17"/>
  <c r="A27" i="17"/>
  <c r="J26" i="17"/>
  <c r="U26" i="17" s="1"/>
  <c r="D26" i="17"/>
  <c r="C26" i="17"/>
  <c r="B26" i="17"/>
  <c r="A26" i="17"/>
  <c r="V25" i="17"/>
  <c r="J25" i="17"/>
  <c r="U25" i="17" s="1"/>
  <c r="D25" i="17"/>
  <c r="C25" i="17"/>
  <c r="B25" i="17"/>
  <c r="A25" i="17"/>
  <c r="J24" i="17"/>
  <c r="U24" i="17" s="1"/>
  <c r="D24" i="17"/>
  <c r="C24" i="17"/>
  <c r="B24" i="17"/>
  <c r="A24" i="17"/>
  <c r="J23" i="17"/>
  <c r="U23" i="17" s="1"/>
  <c r="D23" i="17"/>
  <c r="C23" i="17"/>
  <c r="B23" i="17"/>
  <c r="A23" i="17"/>
  <c r="J22" i="17"/>
  <c r="U22" i="17" s="1"/>
  <c r="D22" i="17"/>
  <c r="C22" i="17"/>
  <c r="B22" i="17"/>
  <c r="A22" i="17"/>
  <c r="V21" i="17"/>
  <c r="J21" i="17"/>
  <c r="U21" i="17" s="1"/>
  <c r="D21" i="17"/>
  <c r="C21" i="17"/>
  <c r="B21" i="17"/>
  <c r="A21" i="17"/>
  <c r="J20" i="17"/>
  <c r="U20" i="17" s="1"/>
  <c r="D20" i="17"/>
  <c r="C20" i="17"/>
  <c r="B20" i="17"/>
  <c r="A20" i="17"/>
  <c r="J19" i="17"/>
  <c r="U19" i="17" s="1"/>
  <c r="D19" i="17"/>
  <c r="C19" i="17"/>
  <c r="B19" i="17"/>
  <c r="A19" i="17"/>
  <c r="J18" i="17"/>
  <c r="U18" i="17" s="1"/>
  <c r="D18" i="17"/>
  <c r="C18" i="17"/>
  <c r="B18" i="17"/>
  <c r="A18" i="17"/>
  <c r="V17" i="17"/>
  <c r="J17" i="17"/>
  <c r="U17" i="17" s="1"/>
  <c r="D17" i="17"/>
  <c r="C17" i="17"/>
  <c r="B17" i="17"/>
  <c r="A17" i="17"/>
  <c r="J16" i="17"/>
  <c r="U16" i="17" s="1"/>
  <c r="D16" i="17"/>
  <c r="C16" i="17"/>
  <c r="B16" i="17"/>
  <c r="A16" i="17"/>
  <c r="J15" i="17"/>
  <c r="U15" i="17" s="1"/>
  <c r="D15" i="17"/>
  <c r="C15" i="17"/>
  <c r="B15" i="17"/>
  <c r="A15" i="17" s="1"/>
  <c r="J14" i="17"/>
  <c r="U14" i="17" s="1"/>
  <c r="D14" i="17"/>
  <c r="C14" i="17"/>
  <c r="B14" i="17"/>
  <c r="A14" i="17" s="1"/>
  <c r="V13" i="17"/>
  <c r="J13" i="17"/>
  <c r="U13" i="17" s="1"/>
  <c r="D13" i="17"/>
  <c r="C13" i="17"/>
  <c r="B13" i="17"/>
  <c r="A13" i="17"/>
  <c r="J12" i="17"/>
  <c r="U12" i="17" s="1"/>
  <c r="D12" i="17"/>
  <c r="C12" i="17"/>
  <c r="B12" i="17"/>
  <c r="A12" i="17" s="1"/>
  <c r="D11" i="17"/>
  <c r="C11" i="17"/>
  <c r="D10" i="17"/>
  <c r="C10" i="17"/>
  <c r="D9" i="17"/>
  <c r="D8" i="17"/>
  <c r="C8" i="17"/>
  <c r="C9" i="17" s="1"/>
  <c r="D7" i="17"/>
  <c r="D6" i="17"/>
  <c r="C6" i="17"/>
  <c r="C7" i="17" s="1"/>
  <c r="D5" i="17"/>
  <c r="C5" i="17"/>
  <c r="B5" i="17"/>
  <c r="B6" i="17" s="1"/>
  <c r="V4" i="17"/>
  <c r="J4" i="17"/>
  <c r="U4" i="17" s="1"/>
  <c r="W3" i="17"/>
  <c r="V3" i="17"/>
  <c r="U3" i="17"/>
  <c r="W2" i="17"/>
  <c r="V2" i="17"/>
  <c r="U2" i="17"/>
  <c r="BO1" i="17"/>
  <c r="AT1" i="17"/>
  <c r="Y1" i="17"/>
  <c r="A5" i="19" l="1"/>
  <c r="V5" i="19"/>
  <c r="O7" i="19"/>
  <c r="V6" i="19"/>
  <c r="B7" i="19"/>
  <c r="A7" i="19" s="1"/>
  <c r="T5" i="19"/>
  <c r="A6" i="19"/>
  <c r="J6" i="19"/>
  <c r="W4" i="17"/>
  <c r="J5" i="17"/>
  <c r="U5" i="17" s="1"/>
  <c r="A5" i="17"/>
  <c r="V5" i="17"/>
  <c r="V6" i="17"/>
  <c r="B7" i="17"/>
  <c r="A7" i="17" s="1"/>
  <c r="A6" i="17"/>
  <c r="B8" i="19" l="1"/>
  <c r="A8" i="19" s="1"/>
  <c r="U6" i="19"/>
  <c r="J7" i="19"/>
  <c r="W5" i="19"/>
  <c r="T6" i="19"/>
  <c r="O8" i="19"/>
  <c r="V7" i="19"/>
  <c r="J6" i="17"/>
  <c r="J7" i="17"/>
  <c r="U6" i="17"/>
  <c r="V7" i="17"/>
  <c r="B8" i="17"/>
  <c r="A8" i="17" s="1"/>
  <c r="W5" i="17"/>
  <c r="U7" i="19" l="1"/>
  <c r="J8" i="19"/>
  <c r="V8" i="19"/>
  <c r="O9" i="19"/>
  <c r="W6" i="19"/>
  <c r="T7" i="19"/>
  <c r="B9" i="19"/>
  <c r="A9" i="19" s="1"/>
  <c r="W6" i="17"/>
  <c r="V8" i="17"/>
  <c r="B9" i="17"/>
  <c r="A9" i="17" s="1"/>
  <c r="U7" i="17"/>
  <c r="J8" i="17"/>
  <c r="O10" i="19" l="1"/>
  <c r="V9" i="19"/>
  <c r="B10" i="19"/>
  <c r="A10" i="19" s="1"/>
  <c r="W7" i="19"/>
  <c r="T8" i="19"/>
  <c r="U8" i="19"/>
  <c r="J9" i="19"/>
  <c r="V9" i="17"/>
  <c r="J9" i="17"/>
  <c r="U8" i="17"/>
  <c r="W7" i="17"/>
  <c r="B10" i="17"/>
  <c r="A10" i="17" s="1"/>
  <c r="V10" i="19" l="1"/>
  <c r="O11" i="19"/>
  <c r="U9" i="19"/>
  <c r="J10" i="19"/>
  <c r="B11" i="19"/>
  <c r="W8" i="19"/>
  <c r="T9" i="19"/>
  <c r="U9" i="17"/>
  <c r="J10" i="17"/>
  <c r="B11" i="17"/>
  <c r="A11" i="17" s="1"/>
  <c r="W8" i="17"/>
  <c r="V10" i="17"/>
  <c r="V11" i="17"/>
  <c r="U10" i="19" l="1"/>
  <c r="J11" i="19"/>
  <c r="W9" i="19"/>
  <c r="T10" i="19"/>
  <c r="B12" i="19"/>
  <c r="A12" i="19" s="1"/>
  <c r="O12" i="19"/>
  <c r="V11" i="19"/>
  <c r="A11" i="19"/>
  <c r="W9" i="17"/>
  <c r="J11" i="17"/>
  <c r="U11" i="17" s="1"/>
  <c r="U10" i="17"/>
  <c r="V12" i="19" l="1"/>
  <c r="O13" i="19"/>
  <c r="W10" i="19"/>
  <c r="T11" i="19"/>
  <c r="U11" i="19"/>
  <c r="J12" i="19"/>
  <c r="B13" i="19"/>
  <c r="W10" i="17"/>
  <c r="W11" i="17"/>
  <c r="B14" i="19" l="1"/>
  <c r="A14" i="19" s="1"/>
  <c r="A13" i="19"/>
  <c r="U12" i="19"/>
  <c r="J13" i="19"/>
  <c r="O14" i="19"/>
  <c r="V14" i="19" s="1"/>
  <c r="V13" i="19"/>
  <c r="T12" i="19"/>
  <c r="W11" i="19"/>
  <c r="W12" i="19" l="1"/>
  <c r="T13" i="19"/>
  <c r="U13" i="19"/>
  <c r="J14" i="19"/>
  <c r="U14" i="19" s="1"/>
  <c r="W13" i="19" l="1"/>
  <c r="T14" i="19"/>
  <c r="W14" i="19" s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D12" i="16"/>
  <c r="C12" i="16"/>
  <c r="D11" i="16"/>
  <c r="C11" i="16"/>
  <c r="D10" i="16"/>
  <c r="C10" i="16"/>
  <c r="D8" i="16"/>
  <c r="D9" i="16" s="1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V6" i="16"/>
  <c r="O7" i="16"/>
  <c r="B7" i="16"/>
  <c r="A7" i="16"/>
  <c r="T5" i="16"/>
  <c r="A6" i="16"/>
  <c r="J6" i="16"/>
  <c r="B8" i="16" l="1"/>
  <c r="A8" i="16" s="1"/>
  <c r="U6" i="16"/>
  <c r="J7" i="16"/>
  <c r="O8" i="16"/>
  <c r="V7" i="16"/>
  <c r="W5" i="16"/>
  <c r="T6" i="16"/>
  <c r="W6" i="16" l="1"/>
  <c r="T7" i="16"/>
  <c r="U7" i="16"/>
  <c r="J8" i="16"/>
  <c r="V8" i="16"/>
  <c r="O9" i="16"/>
  <c r="B9" i="16"/>
  <c r="A9" i="16" s="1"/>
  <c r="B10" i="16" l="1"/>
  <c r="A10" i="16" s="1"/>
  <c r="O10" i="16"/>
  <c r="V9" i="16"/>
  <c r="W7" i="16"/>
  <c r="T8" i="16"/>
  <c r="U8" i="16"/>
  <c r="J9" i="16"/>
  <c r="V10" i="16" l="1"/>
  <c r="O11" i="16"/>
  <c r="U9" i="16"/>
  <c r="J10" i="16"/>
  <c r="W8" i="16"/>
  <c r="T9" i="16"/>
  <c r="B11" i="16"/>
  <c r="B12" i="16" l="1"/>
  <c r="A12" i="16" s="1"/>
  <c r="A11" i="16"/>
  <c r="U10" i="16"/>
  <c r="J11" i="16"/>
  <c r="W9" i="16"/>
  <c r="T10" i="16"/>
  <c r="O12" i="16"/>
  <c r="V12" i="16" s="1"/>
  <c r="V11" i="16"/>
  <c r="W10" i="16" l="1"/>
  <c r="T11" i="16"/>
  <c r="U11" i="16"/>
  <c r="J12" i="16"/>
  <c r="U12" i="16" s="1"/>
  <c r="W11" i="16" l="1"/>
  <c r="T12" i="16"/>
  <c r="W12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<sst xmlns="http://schemas.openxmlformats.org/spreadsheetml/2006/main" count="943" uniqueCount="155">
  <si>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</si>
  <si>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</si>
  <si>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</si>
  <si>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</si>
  <si>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</si>
  <si>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</si>
  <si>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</si>
  <si>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</si>
  <si>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</si>
  <si>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</si>
  <si>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</si>
  <si>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</si>
  <si>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</si>
  <si>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</si>
  <si>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</si>
  <si>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</si>
  <si>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</si>
  <si>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</si>
  <si>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</si>
  <si>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</si>
  <si>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</si>
  <si>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</si>
  <si>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</si>
  <si>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</si>
  <si>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</si>
  <si>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</si>
  <si>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</si>
  <si>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</si>
  <si>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</si>
  <si>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</si>
  <si>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</si>
  <si>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</si>
  <si>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</si>
  <si>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</si>
  <si>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</si>
  <si>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</si>
  <si>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</si>
  <si>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</si>
  <si>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</si>
  <si>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</si>
  <si>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</si>
  <si>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</si>
  <si>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</si>
  <si>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</si>
  <si>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</si>
  <si>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</si>
  <si>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</si>
  <si>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</si>
  <si>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</si>
  <si>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</si>
  <si>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</si>
  <si>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</si>
  <si>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</si>
  <si>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</si>
  <si>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</si>
  <si>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</si>
  <si>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</si>
  <si>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</si>
  <si>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</si>
  <si>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</si>
  <si>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</si>
  <si>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</si>
  <si>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</si>
  <si>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</si>
  <si>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</si>
  <si>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</si>
  <si>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</si>
  <si>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</si>
  <si>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</si>
  <si>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</si>
  <si>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</si>
  <si>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</si>
  <si>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</si>
  <si>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</si>
  <si>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</si>
  <si>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</si>
  <si>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</si>
  <si>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</si>
  <si>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</si>
  <si>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</si>
  <si>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</si>
  <si>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</si>
  <si>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</si>
  <si>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</si>
  <si>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</si>
  <si>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</si>
  <si>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</si>
  <si>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</si>
  <si>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</si>
  <si>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</si>
  <si>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</si>
  <si>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</si>
  <si>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</si>
  <si>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</si>
  <si>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</si>
  <si>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</si>
  <si>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</si>
  <si>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</si>
  <si>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</si>
  <si>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</si>
  <si>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</si>
  <si>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</si>
  <si>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</si>
  <si>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</si>
  <si>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</si>
  <si>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</si>
  <si>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</si>
  <si>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</si>
  <si>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</si>
  <si>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</si>
  <si>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</si>
  <si>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</si>
  <si>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</si>
  <si>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</si>
  <si>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</si>
  <si>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</si>
  <si>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</si>
  <si>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</si>
  <si>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</si>
  <si>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</si>
  <si>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</si>
  <si>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</si>
  <si>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</si>
  <si>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</si>
  <si>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</si>
  <si>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</si>
  <si>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</si>
  <si>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</si>
  <si>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</si>
  <si>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</si>
  <si>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</si>
  <si>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</si>
  <si>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</si>
  <si>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</si>
  <si>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</si>
  <si>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</si>
  <si>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</si>
  <si>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</si>
  <si>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</si>
  <si>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</si>
  <si>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</si>
  <si>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</si>
  <si>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</si>
  <si>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</si>
  <si>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</si>
  <si>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T</t>
  </si>
  <si>
    <t>N</t>
  </si>
  <si>
    <t>流局</t>
    <phoneticPr fontId="1"/>
  </si>
  <si>
    <t>ロン</t>
  </si>
  <si>
    <t>放銃</t>
  </si>
  <si>
    <t>02</t>
  </si>
  <si>
    <t>やがさき</t>
  </si>
  <si>
    <t>やがさき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</si>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</sst>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24000</v>
      </c>
      <c r="H4" s="9"/>
      <c r="I4" s="55">
        <v>0</v>
      </c>
      <c r="J4" s="21">
        <f>IF(COUNTA($F4,$K4,$P4)&gt;0,J3+SUM(G4:I4),"")</f>
        <v>59000</v>
      </c>
      <c r="K4" s="8" t="s">
        <v>142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24</v>
      </c>
      <c r="V4" s="61">
        <f t="shared" ref="V4:V30" si="1">IF($O4="","",ROUND(($O4-$O$3)/1000,1))</f>
        <v>-12</v>
      </c>
      <c r="W4" s="62">
        <f t="shared" ref="W4:W30" si="2">IF($T4="","",ROUND(($T4-$T$3)/1000,1))</f>
        <v>-12</v>
      </c>
      <c r="Y4" s="8"/>
      <c r="Z4" s="41"/>
      <c r="AA4" s="32">
        <v>1</v>
      </c>
      <c r="AB4" s="32"/>
      <c r="AC4" s="32">
        <v>8</v>
      </c>
      <c r="AD4" s="36" t="s">
        <v>143</v>
      </c>
      <c r="AE4" s="47" t="s">
        <v>144</v>
      </c>
      <c r="AF4" s="48" t="s">
        <v>83</v>
      </c>
      <c r="AG4" s="48" t="s">
        <v>87</v>
      </c>
      <c r="AH4" s="48" t="s">
        <v>82</v>
      </c>
      <c r="AI4" s="48" t="s">
        <v>80</v>
      </c>
      <c r="AJ4" s="48" t="s">
        <v>81</v>
      </c>
      <c r="AK4" s="48" t="s">
        <v>81</v>
      </c>
      <c r="AL4" s="48" t="s">
        <v>81</v>
      </c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141</v>
      </c>
      <c r="G5" s="9">
        <v>12000</v>
      </c>
      <c r="H5" s="9"/>
      <c r="I5" s="55">
        <v>1000</v>
      </c>
      <c r="J5" s="21">
        <f t="shared" ref="J5:J30" si="6">IF(COUNTA($F5,$K5,$P5)&gt;0,J4+SUM(G5:I5),"")</f>
        <v>72000</v>
      </c>
      <c r="K5" s="8" t="s">
        <v>142</v>
      </c>
      <c r="L5" s="9">
        <v>-6000</v>
      </c>
      <c r="M5" s="9"/>
      <c r="N5" s="55">
        <v>-500</v>
      </c>
      <c r="O5" s="21">
        <f t="shared" ref="O5:O30" si="7">IF(COUNTA($F5,$K5,$P5)&gt;0,O4+SUM(L5:N5),"")</f>
        <v>16500</v>
      </c>
      <c r="P5" s="8" t="s">
        <v>142</v>
      </c>
      <c r="Q5" s="9">
        <v>-6000</v>
      </c>
      <c r="R5" s="9"/>
      <c r="S5" s="55">
        <v>-500</v>
      </c>
      <c r="T5" s="21">
        <f t="shared" ref="T5:T30" si="8">IF(COUNTA($F5,$K5,$P5)&gt;0,T4+SUM(Q5:S5),"")</f>
        <v>16500</v>
      </c>
      <c r="U5" s="60">
        <f t="shared" si="0"/>
        <v>37</v>
      </c>
      <c r="V5" s="61">
        <f t="shared" si="1"/>
        <v>-18.5</v>
      </c>
      <c r="W5" s="62">
        <f t="shared" si="2"/>
        <v>-18.5</v>
      </c>
      <c r="Y5" s="8"/>
      <c r="Z5" s="41"/>
      <c r="AA5" s="32"/>
      <c r="AB5" s="32">
        <v>1</v>
      </c>
      <c r="AC5" s="32">
        <v>4</v>
      </c>
      <c r="AD5" s="36">
        <v>30</v>
      </c>
      <c r="AE5" s="47" t="s">
        <v>87</v>
      </c>
      <c r="AF5" s="48" t="s">
        <v>87</v>
      </c>
      <c r="AG5" s="48" t="s">
        <v>105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142</v>
      </c>
      <c r="G6" s="9">
        <v>-700</v>
      </c>
      <c r="H6" s="9"/>
      <c r="I6" s="55">
        <v>-1000</v>
      </c>
      <c r="J6" s="21">
        <f t="shared" si="6"/>
        <v>70300</v>
      </c>
      <c r="K6" s="8" t="s">
        <v>141</v>
      </c>
      <c r="L6" s="9">
        <v>1200</v>
      </c>
      <c r="M6" s="9">
        <v>1000</v>
      </c>
      <c r="N6" s="55">
        <v>2000</v>
      </c>
      <c r="O6" s="21">
        <f t="shared" si="7"/>
        <v>20700</v>
      </c>
      <c r="P6" s="8" t="s">
        <v>142</v>
      </c>
      <c r="Q6" s="9">
        <v>-500</v>
      </c>
      <c r="R6" s="9">
        <v>-1000</v>
      </c>
      <c r="S6" s="55">
        <v>-1000</v>
      </c>
      <c r="T6" s="21">
        <f t="shared" si="8"/>
        <v>14000</v>
      </c>
      <c r="U6" s="60">
        <f t="shared" si="0"/>
        <v>35.299999999999997</v>
      </c>
      <c r="V6" s="61">
        <f t="shared" si="1"/>
        <v>-14.3</v>
      </c>
      <c r="W6" s="62">
        <f t="shared" si="2"/>
        <v>-21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1</v>
      </c>
      <c r="AY6" s="36">
        <v>30</v>
      </c>
      <c r="AZ6" s="47" t="s">
        <v>87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142</v>
      </c>
      <c r="G7" s="9">
        <v>-3000</v>
      </c>
      <c r="H7" s="9"/>
      <c r="I7" s="55">
        <v>0</v>
      </c>
      <c r="J7" s="21">
        <f t="shared" si="6"/>
        <v>67300</v>
      </c>
      <c r="K7" s="8" t="s">
        <v>142</v>
      </c>
      <c r="L7" s="9">
        <v>-5000</v>
      </c>
      <c r="M7" s="9"/>
      <c r="N7" s="55">
        <v>0</v>
      </c>
      <c r="O7" s="21">
        <f t="shared" si="7"/>
        <v>15700</v>
      </c>
      <c r="P7" s="8" t="s">
        <v>141</v>
      </c>
      <c r="Q7" s="9">
        <v>8000</v>
      </c>
      <c r="R7" s="9"/>
      <c r="S7" s="55">
        <v>0</v>
      </c>
      <c r="T7" s="21">
        <f t="shared" si="8"/>
        <v>22000</v>
      </c>
      <c r="U7" s="60">
        <f t="shared" si="0"/>
        <v>32.299999999999997</v>
      </c>
      <c r="V7" s="61">
        <f t="shared" si="1"/>
        <v>-19.3</v>
      </c>
      <c r="W7" s="62">
        <f t="shared" si="2"/>
        <v>-13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30</v>
      </c>
      <c r="BU7" s="47" t="s">
        <v>144</v>
      </c>
      <c r="BV7" s="48" t="s">
        <v>83</v>
      </c>
      <c r="BW7" s="48" t="s">
        <v>82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147</v>
      </c>
      <c r="G8" s="9">
        <v>1500</v>
      </c>
      <c r="H8" s="9"/>
      <c r="I8" s="55"/>
      <c r="J8" s="21">
        <f t="shared" si="6"/>
        <v>68800</v>
      </c>
      <c r="K8" s="8" t="s">
        <v>147</v>
      </c>
      <c r="L8" s="9">
        <v>-3000</v>
      </c>
      <c r="M8" s="9"/>
      <c r="N8" s="55"/>
      <c r="O8" s="21">
        <f t="shared" si="7"/>
        <v>12700</v>
      </c>
      <c r="P8" s="8" t="s">
        <v>147</v>
      </c>
      <c r="Q8" s="9">
        <v>1500</v>
      </c>
      <c r="R8" s="9">
        <v>-1000</v>
      </c>
      <c r="S8" s="55"/>
      <c r="T8" s="21">
        <f t="shared" si="8"/>
        <v>22500</v>
      </c>
      <c r="U8" s="60">
        <f t="shared" si="0"/>
        <v>33.799999999999997</v>
      </c>
      <c r="V8" s="61">
        <f t="shared" si="1"/>
        <v>-22.3</v>
      </c>
      <c r="W8" s="62">
        <f t="shared" si="2"/>
        <v>-12.5</v>
      </c>
      <c r="Y8" s="8" t="s">
        <v>145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1</v>
      </c>
      <c r="E9" s="4" t="s">
        <v>139</v>
      </c>
      <c r="F9" s="8" t="s">
        <v>142</v>
      </c>
      <c r="G9" s="9">
        <v>-3000</v>
      </c>
      <c r="H9" s="9"/>
      <c r="I9" s="55">
        <v>-500</v>
      </c>
      <c r="J9" s="21">
        <f t="shared" si="6"/>
        <v>65300</v>
      </c>
      <c r="K9" s="8" t="s">
        <v>141</v>
      </c>
      <c r="L9" s="9">
        <v>8000</v>
      </c>
      <c r="M9" s="9">
        <v>1000</v>
      </c>
      <c r="N9" s="55">
        <v>1000</v>
      </c>
      <c r="O9" s="21">
        <f t="shared" si="7"/>
        <v>22700</v>
      </c>
      <c r="P9" s="8" t="s">
        <v>142</v>
      </c>
      <c r="Q9" s="9">
        <v>-5000</v>
      </c>
      <c r="R9" s="9"/>
      <c r="S9" s="55">
        <v>-500</v>
      </c>
      <c r="T9" s="21">
        <f t="shared" si="8"/>
        <v>17000</v>
      </c>
      <c r="U9" s="60">
        <f t="shared" si="0"/>
        <v>30.3</v>
      </c>
      <c r="V9" s="61">
        <f t="shared" si="1"/>
        <v>-12.3</v>
      </c>
      <c r="W9" s="62">
        <f t="shared" si="2"/>
        <v>-18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143</v>
      </c>
      <c r="AZ9" s="47" t="s">
        <v>83</v>
      </c>
      <c r="BA9" s="48" t="s">
        <v>93</v>
      </c>
      <c r="BB9" s="48" t="s">
        <v>80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1</v>
      </c>
      <c r="C10" s="18">
        <f t="shared" si="11"/>
        <v>0</v>
      </c>
      <c r="D10" s="18">
        <f t="shared" si="5"/>
        <v>0</v>
      </c>
      <c r="E10" s="4" t="s">
        <v>135</v>
      </c>
      <c r="F10" s="8" t="s">
        <v>142</v>
      </c>
      <c r="G10" s="9">
        <v>-1300</v>
      </c>
      <c r="H10" s="9">
        <v>-1000</v>
      </c>
      <c r="I10" s="55">
        <v>0</v>
      </c>
      <c r="J10" s="21">
        <f t="shared" si="6"/>
        <v>63000</v>
      </c>
      <c r="K10" s="8" t="s">
        <v>142</v>
      </c>
      <c r="L10" s="9">
        <v>-800</v>
      </c>
      <c r="M10" s="9"/>
      <c r="N10" s="55">
        <v>0</v>
      </c>
      <c r="O10" s="21">
        <f t="shared" si="7"/>
        <v>21900</v>
      </c>
      <c r="P10" s="8" t="s">
        <v>141</v>
      </c>
      <c r="Q10" s="9">
        <v>2100</v>
      </c>
      <c r="R10" s="9">
        <v>1000</v>
      </c>
      <c r="S10" s="55">
        <v>0</v>
      </c>
      <c r="T10" s="21">
        <f t="shared" si="8"/>
        <v>20100</v>
      </c>
      <c r="U10" s="60">
        <f t="shared" si="0"/>
        <v>28</v>
      </c>
      <c r="V10" s="61">
        <f t="shared" si="1"/>
        <v>-13.1</v>
      </c>
      <c r="W10" s="62">
        <f t="shared" si="2"/>
        <v>-14.9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2</v>
      </c>
      <c r="BT10" s="36">
        <v>30</v>
      </c>
      <c r="BU10" s="47" t="s">
        <v>144</v>
      </c>
      <c r="BV10" s="48" t="s">
        <v>83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2</v>
      </c>
      <c r="C11" s="18">
        <f t="shared" si="11"/>
        <v>0</v>
      </c>
      <c r="D11" s="18">
        <f t="shared" si="5"/>
        <v>0</v>
      </c>
      <c r="E11" s="4" t="s">
        <v>137</v>
      </c>
      <c r="F11" s="8" t="s">
        <v>142</v>
      </c>
      <c r="G11" s="9">
        <v>-4500</v>
      </c>
      <c r="H11" s="9"/>
      <c r="I11" s="55">
        <v>0</v>
      </c>
      <c r="J11" s="21">
        <f t="shared" si="6"/>
        <v>58500</v>
      </c>
      <c r="K11" s="8" t="s">
        <v>142</v>
      </c>
      <c r="L11" s="9">
        <v>-7500</v>
      </c>
      <c r="M11" s="9"/>
      <c r="N11" s="55">
        <v>0</v>
      </c>
      <c r="O11" s="21">
        <f t="shared" si="7"/>
        <v>14400</v>
      </c>
      <c r="P11" s="8" t="s">
        <v>141</v>
      </c>
      <c r="Q11" s="9">
        <v>12000</v>
      </c>
      <c r="R11" s="9"/>
      <c r="S11" s="55">
        <v>0</v>
      </c>
      <c r="T11" s="21">
        <f t="shared" si="8"/>
        <v>32100</v>
      </c>
      <c r="U11" s="60">
        <f t="shared" si="0"/>
        <v>23.5</v>
      </c>
      <c r="V11" s="61">
        <f t="shared" si="1"/>
        <v>-20.6</v>
      </c>
      <c r="W11" s="62">
        <f t="shared" si="2"/>
        <v>-2.9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143</v>
      </c>
      <c r="BU11" s="47" t="s">
        <v>105</v>
      </c>
      <c r="BV11" s="48" t="s">
        <v>87</v>
      </c>
      <c r="BW11" s="48" t="s">
        <v>87</v>
      </c>
      <c r="BX11" s="48" t="s">
        <v>80</v>
      </c>
      <c r="BY11" s="48" t="s">
        <v>80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0</v>
      </c>
      <c r="D12" s="18">
        <f t="shared" si="5"/>
        <v>0</v>
      </c>
      <c r="E12" s="4" t="s">
        <v>139</v>
      </c>
      <c r="F12" s="8" t="s">
        <v>148</v>
      </c>
      <c r="G12" s="9">
        <v>8000</v>
      </c>
      <c r="H12" s="9">
        <v>1000</v>
      </c>
      <c r="I12" s="55">
        <v>0</v>
      </c>
      <c r="J12" s="21">
        <f t="shared" si="6"/>
        <v>67500</v>
      </c>
      <c r="K12" s="8"/>
      <c r="L12" s="9"/>
      <c r="M12" s="9"/>
      <c r="N12" s="55"/>
      <c r="O12" s="21">
        <f t="shared" si="7"/>
        <v>14400</v>
      </c>
      <c r="P12" s="8" t="s">
        <v>149</v>
      </c>
      <c r="Q12" s="9">
        <v>-8000</v>
      </c>
      <c r="R12" s="9">
        <v>-1000</v>
      </c>
      <c r="S12" s="55">
        <v>0</v>
      </c>
      <c r="T12" s="21">
        <f t="shared" si="8"/>
        <v>23100</v>
      </c>
      <c r="U12" s="60">
        <f t="shared" si="0"/>
        <v>32.5</v>
      </c>
      <c r="V12" s="61">
        <f t="shared" si="1"/>
        <v>-20.6</v>
      </c>
      <c r="W12" s="62">
        <f t="shared" si="2"/>
        <v>-11.9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150</v>
      </c>
      <c r="AG12" s="48" t="s">
        <v>80</v>
      </c>
      <c r="AH12" s="48" t="s">
        <v>82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A0E37-B95F-41E3-B57F-73E3157A917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-2000</v>
      </c>
      <c r="M4" s="9"/>
      <c r="N4" s="55">
        <v>0</v>
      </c>
      <c r="O4" s="21">
        <f>IF(COUNTA($F4,$K4,$P4)&gt;0,O3+SUM(L4:N4),"")</f>
        <v>33000</v>
      </c>
      <c r="P4" s="8" t="s">
        <v>148</v>
      </c>
      <c r="Q4" s="9">
        <v>2000</v>
      </c>
      <c r="R4" s="9"/>
      <c r="S4" s="55">
        <v>0</v>
      </c>
      <c r="T4" s="21">
        <f>IF(COUNTA($F4,$K4,$P4)&gt;0,T3+SUM(Q4:S4),"")</f>
        <v>37000</v>
      </c>
      <c r="U4" s="60">
        <f t="shared" ref="U4:U30" si="0">IF($J4="","",ROUND(($J4-$J$3)/1000,1))</f>
        <v>0</v>
      </c>
      <c r="V4" s="61">
        <f t="shared" ref="V4:V30" si="1">IF($O4="","",ROUND(($O4-$O$3)/1000,1))</f>
        <v>-2</v>
      </c>
      <c r="W4" s="62">
        <f t="shared" ref="W4:W30" si="2">IF($T4="","",ROUND(($T4-$T$3)/1000,1))</f>
        <v>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105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149</v>
      </c>
      <c r="G5" s="9">
        <v>-3900</v>
      </c>
      <c r="H5" s="9"/>
      <c r="I5" s="55">
        <v>0</v>
      </c>
      <c r="J5" s="21">
        <f t="shared" ref="J5:J30" si="6">IF(COUNTA($F5,$K5,$P5)&gt;0,J4+SUM(G5:I5),"")</f>
        <v>31100</v>
      </c>
      <c r="K5" s="8" t="s">
        <v>148</v>
      </c>
      <c r="L5" s="9">
        <v>3900</v>
      </c>
      <c r="M5" s="9"/>
      <c r="N5" s="55">
        <v>0</v>
      </c>
      <c r="O5" s="21">
        <f t="shared" ref="O5:O30" si="7">IF(COUNTA($F5,$K5,$P5)&gt;0,O4+SUM(L5:N5),"")</f>
        <v>36900</v>
      </c>
      <c r="P5" s="8"/>
      <c r="Q5" s="9"/>
      <c r="R5" s="9"/>
      <c r="S5" s="55"/>
      <c r="T5" s="21">
        <f t="shared" ref="T5:T30" si="8">IF(COUNTA($F5,$K5,$P5)&gt;0,T4+SUM(Q5:S5),"")</f>
        <v>37000</v>
      </c>
      <c r="U5" s="60">
        <f t="shared" si="0"/>
        <v>-3.9</v>
      </c>
      <c r="V5" s="61">
        <f t="shared" si="1"/>
        <v>1.9</v>
      </c>
      <c r="W5" s="62">
        <f t="shared" si="2"/>
        <v>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3</v>
      </c>
      <c r="AY5" s="36">
        <v>30</v>
      </c>
      <c r="AZ5" s="47" t="s">
        <v>87</v>
      </c>
      <c r="BA5" s="48" t="s">
        <v>82</v>
      </c>
      <c r="BB5" s="48" t="s">
        <v>80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12000</v>
      </c>
      <c r="H6" s="9"/>
      <c r="I6" s="55">
        <v>0</v>
      </c>
      <c r="J6" s="21">
        <f t="shared" si="6"/>
        <v>43100</v>
      </c>
      <c r="K6" s="8" t="s">
        <v>142</v>
      </c>
      <c r="L6" s="9">
        <v>-6000</v>
      </c>
      <c r="M6" s="9"/>
      <c r="N6" s="55">
        <v>0</v>
      </c>
      <c r="O6" s="21">
        <f t="shared" si="7"/>
        <v>30900</v>
      </c>
      <c r="P6" s="8" t="s">
        <v>142</v>
      </c>
      <c r="Q6" s="9">
        <v>-6000</v>
      </c>
      <c r="R6" s="9"/>
      <c r="S6" s="55">
        <v>0</v>
      </c>
      <c r="T6" s="21">
        <f t="shared" si="8"/>
        <v>31000</v>
      </c>
      <c r="U6" s="60">
        <f t="shared" si="0"/>
        <v>8.1</v>
      </c>
      <c r="V6" s="61">
        <f t="shared" si="1"/>
        <v>-4.0999999999999996</v>
      </c>
      <c r="W6" s="62">
        <f t="shared" si="2"/>
        <v>-4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144</v>
      </c>
      <c r="AF6" s="48" t="s">
        <v>83</v>
      </c>
      <c r="AG6" s="48" t="s">
        <v>150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149</v>
      </c>
      <c r="G7" s="9">
        <v>-8000</v>
      </c>
      <c r="H7" s="9"/>
      <c r="I7" s="55">
        <v>-1000</v>
      </c>
      <c r="J7" s="21">
        <f t="shared" si="6"/>
        <v>34100</v>
      </c>
      <c r="K7" s="8" t="s">
        <v>148</v>
      </c>
      <c r="L7" s="9">
        <v>8000</v>
      </c>
      <c r="M7" s="9">
        <v>1000</v>
      </c>
      <c r="N7" s="55">
        <v>1000</v>
      </c>
      <c r="O7" s="21">
        <f t="shared" si="7"/>
        <v>40900</v>
      </c>
      <c r="P7" s="8"/>
      <c r="Q7" s="9"/>
      <c r="R7" s="9">
        <v>-1000</v>
      </c>
      <c r="S7" s="55"/>
      <c r="T7" s="21">
        <f t="shared" si="8"/>
        <v>30000</v>
      </c>
      <c r="U7" s="60">
        <f t="shared" si="0"/>
        <v>-0.9</v>
      </c>
      <c r="V7" s="61">
        <f t="shared" si="1"/>
        <v>5.9</v>
      </c>
      <c r="W7" s="62">
        <f t="shared" si="2"/>
        <v>-5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5</v>
      </c>
      <c r="AY7" s="36" t="s">
        <v>143</v>
      </c>
      <c r="AZ7" s="47" t="s">
        <v>99</v>
      </c>
      <c r="BA7" s="48" t="s">
        <v>87</v>
      </c>
      <c r="BB7" s="48" t="s">
        <v>87</v>
      </c>
      <c r="BC7" s="48" t="s">
        <v>82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 t="s">
        <v>149</v>
      </c>
      <c r="G8" s="9">
        <v>-12000</v>
      </c>
      <c r="H8" s="9"/>
      <c r="I8" s="55">
        <v>0</v>
      </c>
      <c r="J8" s="21">
        <f t="shared" si="6"/>
        <v>22100</v>
      </c>
      <c r="K8" s="8" t="s">
        <v>148</v>
      </c>
      <c r="L8" s="9">
        <v>12000</v>
      </c>
      <c r="M8" s="9"/>
      <c r="N8" s="55">
        <v>0</v>
      </c>
      <c r="O8" s="21">
        <f t="shared" si="7"/>
        <v>52900</v>
      </c>
      <c r="P8" s="8"/>
      <c r="Q8" s="9"/>
      <c r="R8" s="9"/>
      <c r="S8" s="55"/>
      <c r="T8" s="21">
        <f t="shared" si="8"/>
        <v>30000</v>
      </c>
      <c r="U8" s="60">
        <f t="shared" si="0"/>
        <v>-12.9</v>
      </c>
      <c r="V8" s="61">
        <f t="shared" si="1"/>
        <v>17.899999999999999</v>
      </c>
      <c r="W8" s="62">
        <f t="shared" si="2"/>
        <v>-5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143</v>
      </c>
      <c r="AZ8" s="47" t="s">
        <v>99</v>
      </c>
      <c r="BA8" s="48" t="s">
        <v>87</v>
      </c>
      <c r="BB8" s="48" t="s">
        <v>87</v>
      </c>
      <c r="BC8" s="48" t="s">
        <v>82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137</v>
      </c>
      <c r="F9" s="8" t="s">
        <v>148</v>
      </c>
      <c r="G9" s="9">
        <v>8000</v>
      </c>
      <c r="H9" s="9">
        <v>1000</v>
      </c>
      <c r="I9" s="55">
        <v>1000</v>
      </c>
      <c r="J9" s="21">
        <f t="shared" si="6"/>
        <v>32100</v>
      </c>
      <c r="K9" s="8" t="s">
        <v>149</v>
      </c>
      <c r="L9" s="9">
        <v>-8000</v>
      </c>
      <c r="M9" s="9"/>
      <c r="N9" s="55">
        <v>-1000</v>
      </c>
      <c r="O9" s="21">
        <f t="shared" si="7"/>
        <v>43900</v>
      </c>
      <c r="P9" s="8"/>
      <c r="Q9" s="9"/>
      <c r="R9" s="9">
        <v>-1000</v>
      </c>
      <c r="S9" s="55"/>
      <c r="T9" s="21">
        <f t="shared" si="8"/>
        <v>29000</v>
      </c>
      <c r="U9" s="60">
        <f t="shared" si="0"/>
        <v>-2.9</v>
      </c>
      <c r="V9" s="61">
        <f t="shared" si="1"/>
        <v>8.9</v>
      </c>
      <c r="W9" s="62">
        <f t="shared" si="2"/>
        <v>-6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87</v>
      </c>
      <c r="AF9" s="48" t="s">
        <v>82</v>
      </c>
      <c r="AG9" s="48" t="s">
        <v>105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141</v>
      </c>
      <c r="G10" s="9">
        <v>16000</v>
      </c>
      <c r="H10" s="9"/>
      <c r="I10" s="55">
        <v>0</v>
      </c>
      <c r="J10" s="21">
        <f t="shared" si="6"/>
        <v>48100</v>
      </c>
      <c r="K10" s="8" t="s">
        <v>142</v>
      </c>
      <c r="L10" s="9">
        <v>-6000</v>
      </c>
      <c r="M10" s="9"/>
      <c r="N10" s="55">
        <v>0</v>
      </c>
      <c r="O10" s="21">
        <f t="shared" si="7"/>
        <v>37900</v>
      </c>
      <c r="P10" s="8" t="s">
        <v>142</v>
      </c>
      <c r="Q10" s="9">
        <v>-10000</v>
      </c>
      <c r="R10" s="9"/>
      <c r="S10" s="55">
        <v>0</v>
      </c>
      <c r="T10" s="21">
        <f t="shared" si="8"/>
        <v>19000</v>
      </c>
      <c r="U10" s="60">
        <f t="shared" si="0"/>
        <v>13.1</v>
      </c>
      <c r="V10" s="61">
        <f t="shared" si="1"/>
        <v>2.9</v>
      </c>
      <c r="W10" s="62">
        <f t="shared" si="2"/>
        <v>-16</v>
      </c>
      <c r="Y10" s="8"/>
      <c r="Z10" s="41"/>
      <c r="AA10" s="32">
        <v>1</v>
      </c>
      <c r="AB10" s="32"/>
      <c r="AC10" s="32">
        <v>8</v>
      </c>
      <c r="AD10" s="36" t="s">
        <v>143</v>
      </c>
      <c r="AE10" s="47" t="s">
        <v>144</v>
      </c>
      <c r="AF10" s="48" t="s">
        <v>83</v>
      </c>
      <c r="AG10" s="48" t="s">
        <v>82</v>
      </c>
      <c r="AH10" s="48" t="s">
        <v>82</v>
      </c>
      <c r="AI10" s="48" t="s">
        <v>81</v>
      </c>
      <c r="AJ10" s="48" t="s">
        <v>81</v>
      </c>
      <c r="AK10" s="48" t="s">
        <v>81</v>
      </c>
      <c r="AL10" s="48" t="s">
        <v>81</v>
      </c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141</v>
      </c>
      <c r="G11" s="9">
        <v>3000</v>
      </c>
      <c r="H11" s="9">
        <v>1000</v>
      </c>
      <c r="I11" s="55">
        <v>0</v>
      </c>
      <c r="J11" s="21">
        <f t="shared" si="6"/>
        <v>52100</v>
      </c>
      <c r="K11" s="8" t="s">
        <v>142</v>
      </c>
      <c r="L11" s="9">
        <v>-1500</v>
      </c>
      <c r="M11" s="9">
        <v>-1000</v>
      </c>
      <c r="N11" s="55">
        <v>0</v>
      </c>
      <c r="O11" s="21">
        <f t="shared" si="7"/>
        <v>35400</v>
      </c>
      <c r="P11" s="8" t="s">
        <v>142</v>
      </c>
      <c r="Q11" s="9">
        <v>-1500</v>
      </c>
      <c r="R11" s="9"/>
      <c r="S11" s="55">
        <v>0</v>
      </c>
      <c r="T11" s="21">
        <f t="shared" si="8"/>
        <v>17500</v>
      </c>
      <c r="U11" s="60">
        <f t="shared" si="0"/>
        <v>17.100000000000001</v>
      </c>
      <c r="V11" s="61">
        <f t="shared" si="1"/>
        <v>0.4</v>
      </c>
      <c r="W11" s="62">
        <f t="shared" si="2"/>
        <v>-17.5</v>
      </c>
      <c r="Y11" s="8"/>
      <c r="Z11" s="41"/>
      <c r="AA11" s="32"/>
      <c r="AB11" s="32">
        <v>1</v>
      </c>
      <c r="AC11" s="32">
        <v>2</v>
      </c>
      <c r="AD11" s="36">
        <v>30</v>
      </c>
      <c r="AE11" s="47" t="s">
        <v>87</v>
      </c>
      <c r="AF11" s="48" t="s">
        <v>87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ECB69962-DC96-42F4-B856-DBBC8DB05189}">
      <formula1>$U$2:$W$2</formula1>
    </dataValidation>
    <dataValidation type="list" showInputMessage="1" showErrorMessage="1" sqref="K4:K30 P4:P30 F4:F30" xr:uid="{4E01ABF6-65CA-459A-9D4F-9658EDE6D45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F923D-01E5-42D6-A609-8F81487382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/>
      <c r="G4" s="9"/>
      <c r="H4" s="9"/>
      <c r="I4" s="55"/>
      <c r="J4" s="21">
        <f>IF(COUNTA($F4,$K4,$P4)&gt;0,J3+SUM(G4:I4),"")</f>
        <v>35000</v>
      </c>
      <c r="K4" s="8" t="s">
        <v>149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148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0</v>
      </c>
      <c r="V4" s="61">
        <f t="shared" ref="V4:V30" si="1">IF($O4="","",ROUND(($O4-$O$3)/1000,1))</f>
        <v>-8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143</v>
      </c>
      <c r="AZ4" s="47" t="s">
        <v>144</v>
      </c>
      <c r="BA4" s="48" t="s">
        <v>84</v>
      </c>
      <c r="BB4" s="48" t="s">
        <v>82</v>
      </c>
      <c r="BC4" s="48" t="s">
        <v>82</v>
      </c>
      <c r="BD4" s="48" t="s">
        <v>81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152</v>
      </c>
      <c r="F5" s="8" t="s">
        <v>141</v>
      </c>
      <c r="G5" s="9">
        <v>12000</v>
      </c>
      <c r="H5" s="9"/>
      <c r="I5" s="55">
        <v>0</v>
      </c>
      <c r="J5" s="21">
        <f t="shared" ref="J5:J30" si="6">IF(COUNTA($F5,$K5,$P5)&gt;0,J4+SUM(G5:I5),"")</f>
        <v>47000</v>
      </c>
      <c r="K5" s="8" t="s">
        <v>142</v>
      </c>
      <c r="L5" s="9">
        <v>-6000</v>
      </c>
      <c r="M5" s="9"/>
      <c r="N5" s="55">
        <v>0</v>
      </c>
      <c r="O5" s="21">
        <f t="shared" ref="O5:O30" si="7">IF(COUNTA($F5,$K5,$P5)&gt;0,O4+SUM(L5:N5),"")</f>
        <v>21000</v>
      </c>
      <c r="P5" s="8" t="s">
        <v>142</v>
      </c>
      <c r="Q5" s="9">
        <v>-6000</v>
      </c>
      <c r="R5" s="9"/>
      <c r="S5" s="55">
        <v>0</v>
      </c>
      <c r="T5" s="21">
        <f t="shared" ref="T5:T30" si="8">IF(COUNTA($F5,$K5,$P5)&gt;0,T4+SUM(Q5:S5),"")</f>
        <v>37000</v>
      </c>
      <c r="U5" s="60">
        <f t="shared" si="0"/>
        <v>12</v>
      </c>
      <c r="V5" s="61">
        <f t="shared" si="1"/>
        <v>-14</v>
      </c>
      <c r="W5" s="62">
        <f t="shared" si="2"/>
        <v>2</v>
      </c>
      <c r="Y5" s="8"/>
      <c r="Z5" s="41"/>
      <c r="AA5" s="32"/>
      <c r="AB5" s="32">
        <v>1</v>
      </c>
      <c r="AC5" s="32">
        <v>5</v>
      </c>
      <c r="AD5" s="36" t="s">
        <v>143</v>
      </c>
      <c r="AE5" s="47" t="s">
        <v>87</v>
      </c>
      <c r="AF5" s="48" t="s">
        <v>82</v>
      </c>
      <c r="AG5" s="48" t="s">
        <v>80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149</v>
      </c>
      <c r="G6" s="9">
        <v>-8000</v>
      </c>
      <c r="H6" s="9"/>
      <c r="I6" s="55">
        <v>0</v>
      </c>
      <c r="J6" s="21">
        <f t="shared" si="6"/>
        <v>39000</v>
      </c>
      <c r="K6" s="8" t="s">
        <v>148</v>
      </c>
      <c r="L6" s="9">
        <v>8000</v>
      </c>
      <c r="M6" s="9">
        <v>1000</v>
      </c>
      <c r="N6" s="55">
        <v>0</v>
      </c>
      <c r="O6" s="21">
        <f t="shared" si="7"/>
        <v>30000</v>
      </c>
      <c r="P6" s="8"/>
      <c r="Q6" s="9"/>
      <c r="R6" s="9">
        <v>-1000</v>
      </c>
      <c r="S6" s="55"/>
      <c r="T6" s="21">
        <f t="shared" si="8"/>
        <v>36000</v>
      </c>
      <c r="U6" s="60">
        <f t="shared" si="0"/>
        <v>4</v>
      </c>
      <c r="V6" s="61">
        <f t="shared" si="1"/>
        <v>-5</v>
      </c>
      <c r="W6" s="62">
        <f t="shared" si="2"/>
        <v>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144</v>
      </c>
      <c r="BV6" s="48" t="s">
        <v>82</v>
      </c>
      <c r="BW6" s="48" t="s">
        <v>80</v>
      </c>
      <c r="BX6" s="48" t="s">
        <v>81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153</v>
      </c>
      <c r="F7" s="8" t="s">
        <v>147</v>
      </c>
      <c r="G7" s="9">
        <v>-1500</v>
      </c>
      <c r="H7" s="9"/>
      <c r="I7" s="55"/>
      <c r="J7" s="21">
        <f t="shared" si="6"/>
        <v>37500</v>
      </c>
      <c r="K7" s="8" t="s">
        <v>147</v>
      </c>
      <c r="L7" s="9">
        <v>3000</v>
      </c>
      <c r="M7" s="9">
        <v>-1000</v>
      </c>
      <c r="N7" s="55"/>
      <c r="O7" s="21">
        <f t="shared" si="7"/>
        <v>32000</v>
      </c>
      <c r="P7" s="8" t="s">
        <v>147</v>
      </c>
      <c r="Q7" s="9">
        <v>-1500</v>
      </c>
      <c r="R7" s="9">
        <v>-1000</v>
      </c>
      <c r="S7" s="55"/>
      <c r="T7" s="21">
        <f t="shared" si="8"/>
        <v>33500</v>
      </c>
      <c r="U7" s="60">
        <f t="shared" si="0"/>
        <v>2.5</v>
      </c>
      <c r="V7" s="61">
        <f t="shared" si="1"/>
        <v>-3</v>
      </c>
      <c r="W7" s="62">
        <f t="shared" si="2"/>
        <v>-1.5</v>
      </c>
      <c r="Y7" s="8" t="s">
        <v>146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145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2</v>
      </c>
      <c r="E8" s="4" t="s">
        <v>153</v>
      </c>
      <c r="F8" s="8" t="s">
        <v>142</v>
      </c>
      <c r="G8" s="9">
        <v>-3000</v>
      </c>
      <c r="H8" s="9"/>
      <c r="I8" s="55">
        <v>-500</v>
      </c>
      <c r="J8" s="21">
        <f t="shared" si="6"/>
        <v>34000</v>
      </c>
      <c r="K8" s="8" t="s">
        <v>141</v>
      </c>
      <c r="L8" s="9">
        <v>6000</v>
      </c>
      <c r="M8" s="9">
        <v>2000</v>
      </c>
      <c r="N8" s="55">
        <v>1000</v>
      </c>
      <c r="O8" s="21">
        <f t="shared" si="7"/>
        <v>41000</v>
      </c>
      <c r="P8" s="8" t="s">
        <v>142</v>
      </c>
      <c r="Q8" s="9">
        <v>-3000</v>
      </c>
      <c r="R8" s="9"/>
      <c r="S8" s="55">
        <v>-500</v>
      </c>
      <c r="T8" s="21">
        <f t="shared" si="8"/>
        <v>30000</v>
      </c>
      <c r="U8" s="60">
        <f t="shared" si="0"/>
        <v>-1</v>
      </c>
      <c r="V8" s="61">
        <f t="shared" si="1"/>
        <v>6</v>
      </c>
      <c r="W8" s="62">
        <f t="shared" si="2"/>
        <v>-5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30</v>
      </c>
      <c r="AZ8" s="47" t="s">
        <v>83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2</v>
      </c>
      <c r="D9" s="18">
        <f t="shared" si="5"/>
        <v>0</v>
      </c>
      <c r="E9" s="4" t="s">
        <v>153</v>
      </c>
      <c r="F9" s="8"/>
      <c r="G9" s="9"/>
      <c r="H9" s="9"/>
      <c r="I9" s="55"/>
      <c r="J9" s="21">
        <f t="shared" si="6"/>
        <v>34000</v>
      </c>
      <c r="K9" s="8" t="s">
        <v>148</v>
      </c>
      <c r="L9" s="9">
        <v>5800</v>
      </c>
      <c r="M9" s="9">
        <v>1000</v>
      </c>
      <c r="N9" s="55">
        <v>2000</v>
      </c>
      <c r="O9" s="21">
        <f t="shared" si="7"/>
        <v>49800</v>
      </c>
      <c r="P9" s="8" t="s">
        <v>149</v>
      </c>
      <c r="Q9" s="9">
        <v>-5800</v>
      </c>
      <c r="R9" s="9">
        <v>-1000</v>
      </c>
      <c r="S9" s="55">
        <v>-2000</v>
      </c>
      <c r="T9" s="21">
        <f t="shared" si="8"/>
        <v>21200</v>
      </c>
      <c r="U9" s="60">
        <f t="shared" si="0"/>
        <v>-1</v>
      </c>
      <c r="V9" s="61">
        <f t="shared" si="1"/>
        <v>14.8</v>
      </c>
      <c r="W9" s="62">
        <f t="shared" si="2"/>
        <v>-13.8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80</v>
      </c>
      <c r="BB9" s="48" t="s">
        <v>80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3</v>
      </c>
      <c r="D10" s="18">
        <f t="shared" si="5"/>
        <v>0</v>
      </c>
      <c r="E10" s="4" t="s">
        <v>153</v>
      </c>
      <c r="F10" s="8" t="s">
        <v>149</v>
      </c>
      <c r="G10" s="9">
        <v>-12000</v>
      </c>
      <c r="H10" s="9">
        <v>-1000</v>
      </c>
      <c r="I10" s="55">
        <v>-3000</v>
      </c>
      <c r="J10" s="21">
        <f t="shared" si="6"/>
        <v>18000</v>
      </c>
      <c r="K10" s="8" t="s">
        <v>148</v>
      </c>
      <c r="L10" s="9">
        <v>12000</v>
      </c>
      <c r="M10" s="9">
        <v>1000</v>
      </c>
      <c r="N10" s="55">
        <v>3000</v>
      </c>
      <c r="O10" s="21">
        <f t="shared" si="7"/>
        <v>65800</v>
      </c>
      <c r="P10" s="8"/>
      <c r="Q10" s="9"/>
      <c r="R10" s="9"/>
      <c r="S10" s="55"/>
      <c r="T10" s="21">
        <f t="shared" si="8"/>
        <v>21200</v>
      </c>
      <c r="U10" s="60">
        <f t="shared" si="0"/>
        <v>-17</v>
      </c>
      <c r="V10" s="61">
        <f t="shared" si="1"/>
        <v>30.8</v>
      </c>
      <c r="W10" s="62">
        <f t="shared" si="2"/>
        <v>-13.8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143</v>
      </c>
      <c r="AZ10" s="47" t="s">
        <v>144</v>
      </c>
      <c r="BA10" s="48" t="s">
        <v>150</v>
      </c>
      <c r="BB10" s="48" t="s">
        <v>85</v>
      </c>
      <c r="BC10" s="48" t="s">
        <v>81</v>
      </c>
      <c r="BD10" s="48" t="s">
        <v>84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4</v>
      </c>
      <c r="D11" s="18">
        <f t="shared" si="5"/>
        <v>0</v>
      </c>
      <c r="E11" s="4" t="s">
        <v>153</v>
      </c>
      <c r="F11" s="8" t="s">
        <v>149</v>
      </c>
      <c r="G11" s="9">
        <v>-5200</v>
      </c>
      <c r="H11" s="9">
        <v>-1000</v>
      </c>
      <c r="I11" s="55">
        <v>-4000</v>
      </c>
      <c r="J11" s="21">
        <f t="shared" si="6"/>
        <v>7800</v>
      </c>
      <c r="K11" s="8"/>
      <c r="L11" s="9"/>
      <c r="M11" s="9"/>
      <c r="N11" s="55"/>
      <c r="O11" s="21">
        <f t="shared" si="7"/>
        <v>65800</v>
      </c>
      <c r="P11" s="8" t="s">
        <v>148</v>
      </c>
      <c r="Q11" s="9">
        <v>5200</v>
      </c>
      <c r="R11" s="9">
        <v>1000</v>
      </c>
      <c r="S11" s="55">
        <v>4000</v>
      </c>
      <c r="T11" s="21">
        <f t="shared" si="8"/>
        <v>31400</v>
      </c>
      <c r="U11" s="60">
        <f t="shared" si="0"/>
        <v>-27.2</v>
      </c>
      <c r="V11" s="61">
        <f t="shared" si="1"/>
        <v>30.8</v>
      </c>
      <c r="W11" s="62">
        <f t="shared" si="2"/>
        <v>-3.6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144</v>
      </c>
      <c r="BV11" s="48" t="s">
        <v>82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151</v>
      </c>
      <c r="F12" s="8" t="s">
        <v>147</v>
      </c>
      <c r="G12" s="9">
        <v>1500</v>
      </c>
      <c r="H12" s="9">
        <v>-1000</v>
      </c>
      <c r="I12" s="55"/>
      <c r="J12" s="21">
        <f t="shared" si="6"/>
        <v>8300</v>
      </c>
      <c r="K12" s="8" t="s">
        <v>147</v>
      </c>
      <c r="L12" s="9">
        <v>-3000</v>
      </c>
      <c r="M12" s="9"/>
      <c r="N12" s="55"/>
      <c r="O12" s="21">
        <f t="shared" si="7"/>
        <v>62800</v>
      </c>
      <c r="P12" s="8" t="s">
        <v>147</v>
      </c>
      <c r="Q12" s="9">
        <v>1500</v>
      </c>
      <c r="R12" s="9">
        <v>-1000</v>
      </c>
      <c r="S12" s="55"/>
      <c r="T12" s="21">
        <f t="shared" si="8"/>
        <v>31900</v>
      </c>
      <c r="U12" s="60">
        <f t="shared" si="0"/>
        <v>-26.7</v>
      </c>
      <c r="V12" s="61">
        <f t="shared" si="1"/>
        <v>27.8</v>
      </c>
      <c r="W12" s="62">
        <f t="shared" si="2"/>
        <v>-3.1</v>
      </c>
      <c r="Y12" s="8" t="s">
        <v>145</v>
      </c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146</v>
      </c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145</v>
      </c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1</v>
      </c>
      <c r="D13" s="18">
        <f t="shared" si="5"/>
        <v>2</v>
      </c>
      <c r="E13" s="4" t="s">
        <v>151</v>
      </c>
      <c r="F13" s="8" t="s">
        <v>141</v>
      </c>
      <c r="G13" s="9">
        <v>12000</v>
      </c>
      <c r="H13" s="9">
        <v>2000</v>
      </c>
      <c r="I13" s="55">
        <v>1000</v>
      </c>
      <c r="J13" s="21">
        <f t="shared" si="6"/>
        <v>23300</v>
      </c>
      <c r="K13" s="8" t="s">
        <v>142</v>
      </c>
      <c r="L13" s="9">
        <v>-4500</v>
      </c>
      <c r="M13" s="9"/>
      <c r="N13" s="55">
        <v>-500</v>
      </c>
      <c r="O13" s="21">
        <f t="shared" si="7"/>
        <v>57800</v>
      </c>
      <c r="P13" s="8" t="s">
        <v>142</v>
      </c>
      <c r="Q13" s="9">
        <v>-7500</v>
      </c>
      <c r="R13" s="9"/>
      <c r="S13" s="55">
        <v>-500</v>
      </c>
      <c r="T13" s="21">
        <f t="shared" si="8"/>
        <v>23900</v>
      </c>
      <c r="U13" s="60">
        <f t="shared" si="0"/>
        <v>-11.7</v>
      </c>
      <c r="V13" s="61">
        <f t="shared" si="1"/>
        <v>22.8</v>
      </c>
      <c r="W13" s="62">
        <f t="shared" si="2"/>
        <v>-11.1</v>
      </c>
      <c r="Y13" s="8"/>
      <c r="Z13" s="41"/>
      <c r="AA13" s="32">
        <v>1</v>
      </c>
      <c r="AB13" s="32"/>
      <c r="AC13" s="32">
        <v>7</v>
      </c>
      <c r="AD13" s="36" t="s">
        <v>143</v>
      </c>
      <c r="AE13" s="47" t="s">
        <v>144</v>
      </c>
      <c r="AF13" s="48" t="s">
        <v>83</v>
      </c>
      <c r="AG13" s="48" t="s">
        <v>150</v>
      </c>
      <c r="AH13" s="48" t="s">
        <v>86</v>
      </c>
      <c r="AI13" s="48" t="s">
        <v>85</v>
      </c>
      <c r="AJ13" s="48" t="s">
        <v>80</v>
      </c>
      <c r="AK13" s="48" t="s">
        <v>80</v>
      </c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135</v>
      </c>
      <c r="F14" s="8" t="s">
        <v>141</v>
      </c>
      <c r="G14" s="9">
        <v>24000</v>
      </c>
      <c r="H14" s="9"/>
      <c r="I14" s="55">
        <v>0</v>
      </c>
      <c r="J14" s="21">
        <f t="shared" si="6"/>
        <v>47300</v>
      </c>
      <c r="K14" s="8" t="s">
        <v>142</v>
      </c>
      <c r="L14" s="9">
        <v>-12000</v>
      </c>
      <c r="M14" s="9"/>
      <c r="N14" s="55">
        <v>0</v>
      </c>
      <c r="O14" s="21">
        <f t="shared" si="7"/>
        <v>45800</v>
      </c>
      <c r="P14" s="8" t="s">
        <v>142</v>
      </c>
      <c r="Q14" s="9">
        <v>-12000</v>
      </c>
      <c r="R14" s="9"/>
      <c r="S14" s="55">
        <v>0</v>
      </c>
      <c r="T14" s="21">
        <f t="shared" si="8"/>
        <v>11900</v>
      </c>
      <c r="U14" s="60">
        <f t="shared" si="0"/>
        <v>12.3</v>
      </c>
      <c r="V14" s="61">
        <f t="shared" si="1"/>
        <v>10.8</v>
      </c>
      <c r="W14" s="62">
        <f t="shared" si="2"/>
        <v>-23.1</v>
      </c>
      <c r="Y14" s="8"/>
      <c r="Z14" s="41"/>
      <c r="AA14" s="32"/>
      <c r="AB14" s="32">
        <v>1</v>
      </c>
      <c r="AC14" s="32">
        <v>9</v>
      </c>
      <c r="AD14" s="36" t="s">
        <v>143</v>
      </c>
      <c r="AE14" s="47" t="s">
        <v>105</v>
      </c>
      <c r="AF14" s="48" t="s">
        <v>87</v>
      </c>
      <c r="AG14" s="48" t="s">
        <v>82</v>
      </c>
      <c r="AH14" s="48" t="s">
        <v>82</v>
      </c>
      <c r="AI14" s="48" t="s">
        <v>80</v>
      </c>
      <c r="AJ14" s="48" t="s">
        <v>80</v>
      </c>
      <c r="AK14" s="48" t="s">
        <v>80</v>
      </c>
      <c r="AL14" s="48" t="s">
        <v>80</v>
      </c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">
    <cfRule type="expression" dxfId="19" priority="11">
      <formula>IF(G4&lt;&gt;"",SUM($G4:$I4,$L4:$N4,$Q4:$S4)-$D4*1000+$D5*1000)</formula>
    </cfRule>
  </conditionalFormatting>
  <conditionalFormatting sqref="F1:G1 I1:J1">
    <cfRule type="duplicateValues" dxfId="18" priority="10"/>
  </conditionalFormatting>
  <conditionalFormatting sqref="H1">
    <cfRule type="duplicateValues" dxfId="17" priority="9"/>
  </conditionalFormatting>
  <conditionalFormatting sqref="Q4:Q30">
    <cfRule type="expression" dxfId="14" priority="6">
      <formula>IF(Q4&lt;&gt;"",SUM($G4:$I4,$L4:$N4,$Q4:$S4)-$D4*1000+$D5*1000)</formula>
    </cfRule>
  </conditionalFormatting>
  <conditionalFormatting sqref="P1:Q1 S1:T1">
    <cfRule type="duplicateValues" dxfId="13" priority="5"/>
  </conditionalFormatting>
  <conditionalFormatting sqref="R1">
    <cfRule type="duplicateValues" dxfId="12" priority="4"/>
  </conditionalFormatting>
  <conditionalFormatting sqref="L4:L30">
    <cfRule type="expression" dxfId="11" priority="3">
      <formula>IF(L4&lt;&gt;"",SUM($G4:$I4,$L4:$N4,$Q4:$S4)-$D4*1000+$D5*1000)</formula>
    </cfRule>
  </conditionalFormatting>
  <conditionalFormatting sqref="N1:O1 K1:L1">
    <cfRule type="duplicateValues" dxfId="10" priority="2"/>
  </conditionalFormatting>
  <conditionalFormatting sqref="M1">
    <cfRule type="duplicateValues" dxfId="9" priority="1"/>
  </conditionalFormatting>
  <dataValidations count="2">
    <dataValidation type="list" showInputMessage="1" showErrorMessage="1" sqref="P4:P30 F4:F30 K4:K30" xr:uid="{18DE61F2-41EB-42D0-AE52-24717CADEE49}">
      <formula1>"ロン,ツモ,放銃,ツモ支払,流局,チョンボ"</formula1>
    </dataValidation>
    <dataValidation type="list" allowBlank="1" showInputMessage="1" showErrorMessage="1" sqref="E4:E30" xr:uid="{D6432F4E-6927-4668-B4D3-3F71F44B2E0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716D-026A-415D-A5E7-F998E030EAD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やがさき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やがさき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147</v>
      </c>
      <c r="G4" s="9">
        <v>-3000</v>
      </c>
      <c r="H4" s="9"/>
      <c r="I4" s="55"/>
      <c r="J4" s="21">
        <f>IF(COUNTA($F4,$K4,$P4)&gt;0,J3+SUM(G4:I4),"")</f>
        <v>32000</v>
      </c>
      <c r="K4" s="8" t="s">
        <v>147</v>
      </c>
      <c r="L4" s="9">
        <v>1500</v>
      </c>
      <c r="M4" s="9"/>
      <c r="N4" s="55"/>
      <c r="O4" s="21">
        <f>IF(COUNTA($F4,$K4,$P4)&gt;0,O3+SUM(L4:N4),"")</f>
        <v>36500</v>
      </c>
      <c r="P4" s="8" t="s">
        <v>147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 t="shared" ref="U4:U30" si="0">IF($J4="","",ROUND(($J4-$J$3)/1000,1))</f>
        <v>-3</v>
      </c>
      <c r="V4" s="61">
        <f t="shared" ref="V4:V30" si="1">IF($O4="","",ROUND(($O4-$O$3)/1000,1))</f>
        <v>1.5</v>
      </c>
      <c r="W4" s="62">
        <f t="shared" ref="W4:W30" si="2">IF($T4="","",ROUND(($T4-$T$3)/1000,1))</f>
        <v>0.5</v>
      </c>
      <c r="Y4" s="8" t="s">
        <v>146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153</v>
      </c>
      <c r="F5" s="8" t="s">
        <v>148</v>
      </c>
      <c r="G5" s="9">
        <v>16000</v>
      </c>
      <c r="H5" s="9">
        <v>2000</v>
      </c>
      <c r="I5" s="55">
        <v>1000</v>
      </c>
      <c r="J5" s="21">
        <f t="shared" ref="J5:J30" si="6">IF(COUNTA($F5,$K5,$P5)&gt;0,J4+SUM(G5:I5),"")</f>
        <v>51000</v>
      </c>
      <c r="K5" s="8"/>
      <c r="L5" s="9"/>
      <c r="M5" s="9"/>
      <c r="N5" s="55"/>
      <c r="O5" s="21">
        <f t="shared" ref="O5:O30" si="7">IF(COUNTA($F5,$K5,$P5)&gt;0,O4+SUM(L5:N5),"")</f>
        <v>36500</v>
      </c>
      <c r="P5" s="8" t="s">
        <v>149</v>
      </c>
      <c r="Q5" s="9">
        <v>-16000</v>
      </c>
      <c r="R5" s="9">
        <v>-1000</v>
      </c>
      <c r="S5" s="55">
        <v>-1000</v>
      </c>
      <c r="T5" s="21">
        <f t="shared" ref="T5:T30" si="8">IF(COUNTA($F5,$K5,$P5)&gt;0,T4+SUM(Q5:S5),"")</f>
        <v>17500</v>
      </c>
      <c r="U5" s="60">
        <f t="shared" si="0"/>
        <v>16</v>
      </c>
      <c r="V5" s="61">
        <f t="shared" si="1"/>
        <v>1.5</v>
      </c>
      <c r="W5" s="62">
        <f t="shared" si="2"/>
        <v>-17.5</v>
      </c>
      <c r="Y5" s="8"/>
      <c r="Z5" s="41"/>
      <c r="AA5" s="32"/>
      <c r="AB5" s="32">
        <v>1</v>
      </c>
      <c r="AC5" s="32">
        <v>8</v>
      </c>
      <c r="AD5" s="36" t="s">
        <v>143</v>
      </c>
      <c r="AE5" s="47" t="s">
        <v>105</v>
      </c>
      <c r="AF5" s="48" t="s">
        <v>99</v>
      </c>
      <c r="AG5" s="48" t="s">
        <v>87</v>
      </c>
      <c r="AH5" s="48" t="s">
        <v>82</v>
      </c>
      <c r="AI5" s="48" t="s">
        <v>80</v>
      </c>
      <c r="AJ5" s="48" t="s">
        <v>80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151</v>
      </c>
      <c r="F6" s="8"/>
      <c r="G6" s="9"/>
      <c r="H6" s="9"/>
      <c r="I6" s="55"/>
      <c r="J6" s="21">
        <f t="shared" si="6"/>
        <v>51000</v>
      </c>
      <c r="K6" s="8" t="s">
        <v>149</v>
      </c>
      <c r="L6" s="9">
        <v>-24000</v>
      </c>
      <c r="M6" s="9">
        <v>-1000</v>
      </c>
      <c r="N6" s="55">
        <v>0</v>
      </c>
      <c r="O6" s="21">
        <f t="shared" si="7"/>
        <v>11500</v>
      </c>
      <c r="P6" s="8" t="s">
        <v>148</v>
      </c>
      <c r="Q6" s="9">
        <v>24000</v>
      </c>
      <c r="R6" s="9">
        <v>1000</v>
      </c>
      <c r="S6" s="55">
        <v>0</v>
      </c>
      <c r="T6" s="21">
        <f t="shared" si="8"/>
        <v>42500</v>
      </c>
      <c r="U6" s="60">
        <f t="shared" si="0"/>
        <v>16</v>
      </c>
      <c r="V6" s="61">
        <f t="shared" si="1"/>
        <v>-23.5</v>
      </c>
      <c r="W6" s="62">
        <f t="shared" si="2"/>
        <v>7.5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143</v>
      </c>
      <c r="BU6" s="47" t="s">
        <v>144</v>
      </c>
      <c r="BV6" s="48" t="s">
        <v>150</v>
      </c>
      <c r="BW6" s="48" t="s">
        <v>84</v>
      </c>
      <c r="BX6" s="48" t="s">
        <v>85</v>
      </c>
      <c r="BY6" s="48" t="s">
        <v>82</v>
      </c>
      <c r="BZ6" s="48" t="s">
        <v>80</v>
      </c>
      <c r="CA6" s="48" t="s">
        <v>80</v>
      </c>
      <c r="CB6" s="48" t="s">
        <v>86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151</v>
      </c>
      <c r="F7" s="8"/>
      <c r="G7" s="9"/>
      <c r="H7" s="9"/>
      <c r="I7" s="55"/>
      <c r="J7" s="21">
        <f t="shared" si="6"/>
        <v>51000</v>
      </c>
      <c r="K7" s="8" t="s">
        <v>148</v>
      </c>
      <c r="L7" s="9">
        <v>12000</v>
      </c>
      <c r="M7" s="9">
        <v>1000</v>
      </c>
      <c r="N7" s="55">
        <v>1000</v>
      </c>
      <c r="O7" s="21">
        <f t="shared" si="7"/>
        <v>25500</v>
      </c>
      <c r="P7" s="8" t="s">
        <v>149</v>
      </c>
      <c r="Q7" s="9">
        <v>-12000</v>
      </c>
      <c r="R7" s="9">
        <v>-1000</v>
      </c>
      <c r="S7" s="55">
        <v>-1000</v>
      </c>
      <c r="T7" s="21">
        <f t="shared" si="8"/>
        <v>28500</v>
      </c>
      <c r="U7" s="60">
        <f t="shared" si="0"/>
        <v>16</v>
      </c>
      <c r="V7" s="61">
        <f t="shared" si="1"/>
        <v>-9.5</v>
      </c>
      <c r="W7" s="62">
        <f t="shared" si="2"/>
        <v>-6.5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7</v>
      </c>
      <c r="AY7" s="36" t="s">
        <v>143</v>
      </c>
      <c r="AZ7" s="47" t="s">
        <v>144</v>
      </c>
      <c r="BA7" s="48" t="s">
        <v>97</v>
      </c>
      <c r="BB7" s="48" t="s">
        <v>82</v>
      </c>
      <c r="BC7" s="48" t="s">
        <v>81</v>
      </c>
      <c r="BD7" s="48" t="s">
        <v>81</v>
      </c>
      <c r="BE7" s="48" t="s">
        <v>81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147</v>
      </c>
      <c r="G8" s="9">
        <v>3000</v>
      </c>
      <c r="H8" s="9">
        <v>-1000</v>
      </c>
      <c r="I8" s="55"/>
      <c r="J8" s="21">
        <f t="shared" si="6"/>
        <v>53000</v>
      </c>
      <c r="K8" s="8" t="s">
        <v>147</v>
      </c>
      <c r="L8" s="9">
        <v>-1500</v>
      </c>
      <c r="M8" s="9"/>
      <c r="N8" s="55"/>
      <c r="O8" s="21">
        <f t="shared" si="7"/>
        <v>24000</v>
      </c>
      <c r="P8" s="8" t="s">
        <v>147</v>
      </c>
      <c r="Q8" s="9">
        <v>-1500</v>
      </c>
      <c r="R8" s="9"/>
      <c r="S8" s="55"/>
      <c r="T8" s="21">
        <f t="shared" si="8"/>
        <v>27000</v>
      </c>
      <c r="U8" s="60">
        <f t="shared" si="0"/>
        <v>18</v>
      </c>
      <c r="V8" s="61">
        <f t="shared" si="1"/>
        <v>-11</v>
      </c>
      <c r="W8" s="62">
        <f t="shared" si="2"/>
        <v>-8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146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1</v>
      </c>
      <c r="D9" s="18">
        <f t="shared" si="5"/>
        <v>1</v>
      </c>
      <c r="E9" s="4" t="s">
        <v>135</v>
      </c>
      <c r="F9" s="8" t="s">
        <v>148</v>
      </c>
      <c r="G9" s="9">
        <v>1500</v>
      </c>
      <c r="H9" s="9">
        <v>1000</v>
      </c>
      <c r="I9" s="55">
        <v>1000</v>
      </c>
      <c r="J9" s="21">
        <f t="shared" si="6"/>
        <v>56500</v>
      </c>
      <c r="K9" s="8"/>
      <c r="L9" s="9"/>
      <c r="M9" s="9"/>
      <c r="N9" s="55"/>
      <c r="O9" s="21">
        <f t="shared" si="7"/>
        <v>24000</v>
      </c>
      <c r="P9" s="8" t="s">
        <v>149</v>
      </c>
      <c r="Q9" s="9">
        <v>-1500</v>
      </c>
      <c r="R9" s="9"/>
      <c r="S9" s="55">
        <v>-1000</v>
      </c>
      <c r="T9" s="21">
        <f t="shared" si="8"/>
        <v>24500</v>
      </c>
      <c r="U9" s="60">
        <f t="shared" si="0"/>
        <v>21.5</v>
      </c>
      <c r="V9" s="61">
        <f t="shared" si="1"/>
        <v>-11</v>
      </c>
      <c r="W9" s="62">
        <f t="shared" si="2"/>
        <v>-10.5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2</v>
      </c>
      <c r="D10" s="18">
        <f t="shared" si="5"/>
        <v>0</v>
      </c>
      <c r="E10" s="4" t="s">
        <v>135</v>
      </c>
      <c r="F10" s="8" t="s">
        <v>142</v>
      </c>
      <c r="G10" s="9">
        <v>-700</v>
      </c>
      <c r="H10" s="9"/>
      <c r="I10" s="55">
        <v>-1000</v>
      </c>
      <c r="J10" s="21">
        <f t="shared" si="6"/>
        <v>54800</v>
      </c>
      <c r="K10" s="8" t="s">
        <v>141</v>
      </c>
      <c r="L10" s="9">
        <v>1200</v>
      </c>
      <c r="M10" s="9">
        <v>1000</v>
      </c>
      <c r="N10" s="55">
        <v>2000</v>
      </c>
      <c r="O10" s="21">
        <f t="shared" si="7"/>
        <v>28200</v>
      </c>
      <c r="P10" s="8" t="s">
        <v>142</v>
      </c>
      <c r="Q10" s="9">
        <v>-500</v>
      </c>
      <c r="R10" s="9">
        <v>-1000</v>
      </c>
      <c r="S10" s="55">
        <v>-1000</v>
      </c>
      <c r="T10" s="21">
        <f t="shared" si="8"/>
        <v>22000</v>
      </c>
      <c r="U10" s="60">
        <f t="shared" si="0"/>
        <v>19.8</v>
      </c>
      <c r="V10" s="61">
        <f t="shared" si="1"/>
        <v>-6.8</v>
      </c>
      <c r="W10" s="62">
        <f t="shared" si="2"/>
        <v>-13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1</v>
      </c>
      <c r="AY10" s="36">
        <v>30</v>
      </c>
      <c r="AZ10" s="47" t="s">
        <v>83</v>
      </c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153</v>
      </c>
      <c r="F11" s="8" t="s">
        <v>142</v>
      </c>
      <c r="G11" s="9">
        <v>-3000</v>
      </c>
      <c r="H11" s="9"/>
      <c r="I11" s="55">
        <v>0</v>
      </c>
      <c r="J11" s="21">
        <f t="shared" si="6"/>
        <v>51800</v>
      </c>
      <c r="K11" s="8" t="s">
        <v>141</v>
      </c>
      <c r="L11" s="9">
        <v>6000</v>
      </c>
      <c r="M11" s="9"/>
      <c r="N11" s="55">
        <v>0</v>
      </c>
      <c r="O11" s="21">
        <f t="shared" si="7"/>
        <v>34200</v>
      </c>
      <c r="P11" s="8" t="s">
        <v>142</v>
      </c>
      <c r="Q11" s="9">
        <v>-3000</v>
      </c>
      <c r="R11" s="9"/>
      <c r="S11" s="55">
        <v>0</v>
      </c>
      <c r="T11" s="21">
        <f t="shared" si="8"/>
        <v>19000</v>
      </c>
      <c r="U11" s="60">
        <f t="shared" si="0"/>
        <v>16.8</v>
      </c>
      <c r="V11" s="61">
        <f t="shared" si="1"/>
        <v>-0.8</v>
      </c>
      <c r="W11" s="62">
        <f t="shared" si="2"/>
        <v>-16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3</v>
      </c>
      <c r="AY11" s="36">
        <v>30</v>
      </c>
      <c r="AZ11" s="47" t="s">
        <v>144</v>
      </c>
      <c r="BA11" s="48" t="s">
        <v>150</v>
      </c>
      <c r="BB11" s="48" t="s">
        <v>83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1</v>
      </c>
      <c r="C12" s="18">
        <f t="shared" si="4"/>
        <v>1</v>
      </c>
      <c r="D12" s="18">
        <f t="shared" si="5"/>
        <v>0</v>
      </c>
      <c r="E12" s="4" t="s">
        <v>153</v>
      </c>
      <c r="F12" s="8" t="s">
        <v>142</v>
      </c>
      <c r="G12" s="9">
        <v>-6000</v>
      </c>
      <c r="H12" s="9"/>
      <c r="I12" s="55">
        <v>-500</v>
      </c>
      <c r="J12" s="21">
        <f t="shared" si="6"/>
        <v>45300</v>
      </c>
      <c r="K12" s="8" t="s">
        <v>141</v>
      </c>
      <c r="L12" s="9">
        <v>12000</v>
      </c>
      <c r="M12" s="9"/>
      <c r="N12" s="55">
        <v>1000</v>
      </c>
      <c r="O12" s="21">
        <f t="shared" si="7"/>
        <v>47200</v>
      </c>
      <c r="P12" s="8" t="s">
        <v>142</v>
      </c>
      <c r="Q12" s="9">
        <v>-6000</v>
      </c>
      <c r="R12" s="9"/>
      <c r="S12" s="55">
        <v>-500</v>
      </c>
      <c r="T12" s="21">
        <f t="shared" si="8"/>
        <v>12500</v>
      </c>
      <c r="U12" s="60">
        <f t="shared" si="0"/>
        <v>10.3</v>
      </c>
      <c r="V12" s="61">
        <f t="shared" si="1"/>
        <v>12.2</v>
      </c>
      <c r="W12" s="62">
        <f t="shared" si="2"/>
        <v>-22.5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143</v>
      </c>
      <c r="AZ12" s="47" t="s">
        <v>144</v>
      </c>
      <c r="BA12" s="48" t="s">
        <v>83</v>
      </c>
      <c r="BB12" s="48" t="s">
        <v>150</v>
      </c>
      <c r="BC12" s="48" t="s">
        <v>82</v>
      </c>
      <c r="BD12" s="48" t="s">
        <v>80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1</v>
      </c>
      <c r="C13" s="18">
        <f t="shared" si="4"/>
        <v>2</v>
      </c>
      <c r="D13" s="18">
        <f t="shared" si="5"/>
        <v>0</v>
      </c>
      <c r="E13" s="4" t="s">
        <v>153</v>
      </c>
      <c r="F13" s="8"/>
      <c r="G13" s="9"/>
      <c r="H13" s="9"/>
      <c r="I13" s="55"/>
      <c r="J13" s="21">
        <f t="shared" si="6"/>
        <v>45300</v>
      </c>
      <c r="K13" s="8" t="s">
        <v>149</v>
      </c>
      <c r="L13" s="9">
        <v>-2600</v>
      </c>
      <c r="M13" s="9">
        <v>-1000</v>
      </c>
      <c r="N13" s="55">
        <v>-2000</v>
      </c>
      <c r="O13" s="21">
        <f t="shared" si="7"/>
        <v>41600</v>
      </c>
      <c r="P13" s="8" t="s">
        <v>148</v>
      </c>
      <c r="Q13" s="9">
        <v>2600</v>
      </c>
      <c r="R13" s="9">
        <v>1000</v>
      </c>
      <c r="S13" s="55">
        <v>2000</v>
      </c>
      <c r="T13" s="21">
        <f t="shared" si="8"/>
        <v>18100</v>
      </c>
      <c r="U13" s="60">
        <f t="shared" si="0"/>
        <v>10.3</v>
      </c>
      <c r="V13" s="61">
        <f t="shared" si="1"/>
        <v>6.6</v>
      </c>
      <c r="W13" s="62">
        <f t="shared" si="2"/>
        <v>-16.899999999999999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2</v>
      </c>
      <c r="BT13" s="36">
        <v>40</v>
      </c>
      <c r="BU13" s="47" t="s">
        <v>144</v>
      </c>
      <c r="BV13" s="48" t="s">
        <v>150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2</v>
      </c>
      <c r="C14" s="18">
        <f t="shared" si="4"/>
        <v>0</v>
      </c>
      <c r="D14" s="18">
        <f t="shared" si="5"/>
        <v>0</v>
      </c>
      <c r="E14" s="4" t="s">
        <v>151</v>
      </c>
      <c r="F14" s="8" t="s">
        <v>142</v>
      </c>
      <c r="G14" s="9">
        <v>-9000</v>
      </c>
      <c r="H14" s="9"/>
      <c r="I14" s="55">
        <v>0</v>
      </c>
      <c r="J14" s="21">
        <f t="shared" si="6"/>
        <v>36300</v>
      </c>
      <c r="K14" s="8" t="s">
        <v>142</v>
      </c>
      <c r="L14" s="9">
        <v>-9000</v>
      </c>
      <c r="M14" s="9"/>
      <c r="N14" s="55">
        <v>0</v>
      </c>
      <c r="O14" s="21">
        <f t="shared" si="7"/>
        <v>32600</v>
      </c>
      <c r="P14" s="8" t="s">
        <v>141</v>
      </c>
      <c r="Q14" s="9">
        <v>18000</v>
      </c>
      <c r="R14" s="9"/>
      <c r="S14" s="55">
        <v>0</v>
      </c>
      <c r="T14" s="21">
        <f t="shared" si="8"/>
        <v>36100</v>
      </c>
      <c r="U14" s="60">
        <f t="shared" si="0"/>
        <v>1.3</v>
      </c>
      <c r="V14" s="61">
        <f t="shared" si="1"/>
        <v>-2.4</v>
      </c>
      <c r="W14" s="62">
        <f t="shared" si="2"/>
        <v>1.1000000000000001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6</v>
      </c>
      <c r="BT14" s="36" t="s">
        <v>143</v>
      </c>
      <c r="BU14" s="47" t="s">
        <v>144</v>
      </c>
      <c r="BV14" s="48" t="s">
        <v>83</v>
      </c>
      <c r="BW14" s="48" t="s">
        <v>81</v>
      </c>
      <c r="BX14" s="48" t="s">
        <v>81</v>
      </c>
      <c r="BY14" s="48" t="s">
        <v>82</v>
      </c>
      <c r="BZ14" s="48" t="s">
        <v>82</v>
      </c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2</v>
      </c>
      <c r="C15" s="18">
        <f t="shared" si="4"/>
        <v>1</v>
      </c>
      <c r="D15" s="18">
        <f t="shared" si="5"/>
        <v>0</v>
      </c>
      <c r="E15" s="4" t="s">
        <v>151</v>
      </c>
      <c r="F15" s="8" t="s">
        <v>141</v>
      </c>
      <c r="G15" s="9">
        <v>8000</v>
      </c>
      <c r="H15" s="9"/>
      <c r="I15" s="55">
        <v>1000</v>
      </c>
      <c r="J15" s="21">
        <f t="shared" si="6"/>
        <v>45300</v>
      </c>
      <c r="K15" s="8" t="s">
        <v>142</v>
      </c>
      <c r="L15" s="9">
        <v>-3000</v>
      </c>
      <c r="M15" s="9"/>
      <c r="N15" s="55">
        <v>-500</v>
      </c>
      <c r="O15" s="21">
        <f t="shared" si="7"/>
        <v>29100</v>
      </c>
      <c r="P15" s="8" t="s">
        <v>142</v>
      </c>
      <c r="Q15" s="9">
        <v>-5000</v>
      </c>
      <c r="R15" s="9"/>
      <c r="S15" s="55">
        <v>-500</v>
      </c>
      <c r="T15" s="21">
        <f t="shared" si="8"/>
        <v>30600</v>
      </c>
      <c r="U15" s="60">
        <f t="shared" si="0"/>
        <v>10.3</v>
      </c>
      <c r="V15" s="61">
        <f t="shared" si="1"/>
        <v>-5.9</v>
      </c>
      <c r="W15" s="62">
        <f t="shared" si="2"/>
        <v>-4.4000000000000004</v>
      </c>
      <c r="Y15" s="8"/>
      <c r="Z15" s="41"/>
      <c r="AA15" s="32"/>
      <c r="AB15" s="32">
        <v>1</v>
      </c>
      <c r="AC15" s="32">
        <v>5</v>
      </c>
      <c r="AD15" s="36" t="s">
        <v>143</v>
      </c>
      <c r="AE15" s="47" t="s">
        <v>87</v>
      </c>
      <c r="AF15" s="48" t="s">
        <v>87</v>
      </c>
      <c r="AG15" s="48" t="s">
        <v>82</v>
      </c>
      <c r="AH15" s="48" t="s">
        <v>80</v>
      </c>
      <c r="AI15" s="48" t="s">
        <v>80</v>
      </c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9"/>
        <v>3</v>
      </c>
      <c r="C16" s="18">
        <f t="shared" si="4"/>
        <v>0</v>
      </c>
      <c r="D16" s="18">
        <f t="shared" si="5"/>
        <v>0</v>
      </c>
      <c r="E16" s="4" t="s">
        <v>135</v>
      </c>
      <c r="F16" s="8" t="s">
        <v>141</v>
      </c>
      <c r="G16" s="9">
        <v>12000</v>
      </c>
      <c r="H16" s="9">
        <v>2000</v>
      </c>
      <c r="I16" s="55">
        <v>0</v>
      </c>
      <c r="J16" s="21">
        <f t="shared" si="6"/>
        <v>59300</v>
      </c>
      <c r="K16" s="8" t="s">
        <v>142</v>
      </c>
      <c r="L16" s="9">
        <v>-6000</v>
      </c>
      <c r="M16" s="9">
        <v>-1000</v>
      </c>
      <c r="N16" s="55">
        <v>0</v>
      </c>
      <c r="O16" s="21">
        <f t="shared" si="7"/>
        <v>22100</v>
      </c>
      <c r="P16" s="8" t="s">
        <v>142</v>
      </c>
      <c r="Q16" s="9">
        <v>-6000</v>
      </c>
      <c r="R16" s="9">
        <v>-1000</v>
      </c>
      <c r="S16" s="55">
        <v>0</v>
      </c>
      <c r="T16" s="21">
        <f t="shared" si="8"/>
        <v>23600</v>
      </c>
      <c r="U16" s="60">
        <f t="shared" si="0"/>
        <v>24.3</v>
      </c>
      <c r="V16" s="61">
        <f t="shared" si="1"/>
        <v>-12.9</v>
      </c>
      <c r="W16" s="62">
        <f t="shared" si="2"/>
        <v>-11.4</v>
      </c>
      <c r="Y16" s="8"/>
      <c r="Z16" s="41"/>
      <c r="AA16" s="32"/>
      <c r="AB16" s="32">
        <v>1</v>
      </c>
      <c r="AC16" s="32">
        <v>4</v>
      </c>
      <c r="AD16" s="36">
        <v>30</v>
      </c>
      <c r="AE16" s="47" t="s">
        <v>87</v>
      </c>
      <c r="AF16" s="48" t="s">
        <v>82</v>
      </c>
      <c r="AG16" s="48" t="s">
        <v>82</v>
      </c>
      <c r="AH16" s="48" t="s">
        <v>80</v>
      </c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>
        <v>1</v>
      </c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>
        <v>1</v>
      </c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">
    <cfRule type="expression" dxfId="8" priority="9">
      <formula>IF(G4&lt;&gt;"",SUM($G4:$I4,$L4:$N4,$Q4:$S4)-$D4*1000+$D5*1000)</formula>
    </cfRule>
  </conditionalFormatting>
  <conditionalFormatting sqref="F1:G1 I1:J1">
    <cfRule type="duplicateValues" dxfId="7" priority="8"/>
  </conditionalFormatting>
  <conditionalFormatting sqref="H1">
    <cfRule type="duplicateValues" dxfId="6" priority="7"/>
  </conditionalFormatting>
  <conditionalFormatting sqref="Q4:Q30">
    <cfRule type="expression" dxfId="5" priority="6">
      <formula>IF(Q4&lt;&gt;"",SUM($G4:$I4,$L4:$N4,$Q4:$S4)-$D4*1000+$D5*1000)</formula>
    </cfRule>
  </conditionalFormatting>
  <conditionalFormatting sqref="P1:Q1 S1:T1">
    <cfRule type="duplicateValues" dxfId="4" priority="5"/>
  </conditionalFormatting>
  <conditionalFormatting sqref="R1">
    <cfRule type="duplicateValues" dxfId="3" priority="4"/>
  </conditionalFormatting>
  <conditionalFormatting sqref="L4:L30">
    <cfRule type="expression" dxfId="2" priority="3">
      <formula>IF(L4&lt;&gt;"",SUM($G4:$I4,$L4:$N4,$Q4:$S4)-$D4*1000+$D5*1000)</formula>
    </cfRule>
  </conditionalFormatting>
  <conditionalFormatting sqref="N1:O1 K1:L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39B1C21-8E41-4529-8846-0DA76A7BE78A}">
      <formula1>$U$2:$W$2</formula1>
    </dataValidation>
    <dataValidation type="list" showInputMessage="1" showErrorMessage="1" sqref="P4:P30 F4:F30 K4:K30" xr:uid="{89A1CF67-BCA7-40F7-9933-6C8949F104B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2019-01-26T17:32:14Z</dcterms:modified>
</cp:coreProperties>
</file>