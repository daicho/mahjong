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72CB6645-1A66-4F4B-9E65-01146923CD8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D13" i="17"/>
  <c r="C13" i="17"/>
  <c r="D12" i="17"/>
  <c r="C12" i="17"/>
  <c r="D11" i="17"/>
  <c r="C11" i="17"/>
  <c r="D10" i="17"/>
  <c r="D9" i="17"/>
  <c r="D8" i="17"/>
  <c r="C8" i="17"/>
  <c r="C9" i="17" s="1"/>
  <c r="C10" i="17" s="1"/>
  <c r="D7" i="17"/>
  <c r="C7" i="17"/>
  <c r="D6" i="17"/>
  <c r="C6" i="17"/>
  <c r="B6" i="17"/>
  <c r="A6" i="17" s="1"/>
  <c r="J5" i="17"/>
  <c r="J6" i="17" s="1"/>
  <c r="D5" i="17"/>
  <c r="C5" i="17"/>
  <c r="B5" i="17"/>
  <c r="A5" i="17" s="1"/>
  <c r="T4" i="17"/>
  <c r="T5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U5" i="17" l="1"/>
  <c r="W4" i="17"/>
  <c r="W5" i="17"/>
  <c r="T6" i="17"/>
  <c r="U6" i="17"/>
  <c r="J7" i="17"/>
  <c r="O5" i="17"/>
  <c r="B7" i="17"/>
  <c r="A7" i="17" s="1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D12" i="16"/>
  <c r="C12" i="16"/>
  <c r="D10" i="16"/>
  <c r="D11" i="16" s="1"/>
  <c r="C10" i="16"/>
  <c r="C11" i="16" s="1"/>
  <c r="D9" i="16"/>
  <c r="C9" i="16"/>
  <c r="D8" i="16"/>
  <c r="D7" i="16"/>
  <c r="D6" i="16"/>
  <c r="C6" i="16"/>
  <c r="C7" i="16" s="1"/>
  <c r="C8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B8" i="17" l="1"/>
  <c r="T7" i="17"/>
  <c r="W6" i="17"/>
  <c r="J8" i="17"/>
  <c r="U7" i="17"/>
  <c r="V5" i="17"/>
  <c r="O6" i="17"/>
  <c r="A5" i="16"/>
  <c r="V5" i="16"/>
  <c r="B7" i="16"/>
  <c r="A7" i="16" s="1"/>
  <c r="V6" i="16"/>
  <c r="O7" i="16"/>
  <c r="T5" i="16"/>
  <c r="A6" i="16"/>
  <c r="J6" i="16"/>
  <c r="W7" i="17" l="1"/>
  <c r="T8" i="17"/>
  <c r="V6" i="17"/>
  <c r="O7" i="17"/>
  <c r="B9" i="17"/>
  <c r="A9" i="17" s="1"/>
  <c r="U8" i="17"/>
  <c r="J9" i="17"/>
  <c r="A8" i="17"/>
  <c r="W5" i="16"/>
  <c r="T6" i="16"/>
  <c r="O8" i="16"/>
  <c r="V7" i="16"/>
  <c r="J7" i="16"/>
  <c r="U6" i="16"/>
  <c r="B8" i="16"/>
  <c r="A8" i="16" s="1"/>
  <c r="J10" i="17" l="1"/>
  <c r="U9" i="17"/>
  <c r="V7" i="17"/>
  <c r="O8" i="17"/>
  <c r="T9" i="17"/>
  <c r="W8" i="17"/>
  <c r="B10" i="17"/>
  <c r="W6" i="16"/>
  <c r="T7" i="16"/>
  <c r="U7" i="16"/>
  <c r="J8" i="16"/>
  <c r="B9" i="16"/>
  <c r="V8" i="16"/>
  <c r="O9" i="16"/>
  <c r="B11" i="17" l="1"/>
  <c r="A11" i="17" s="1"/>
  <c r="V8" i="17"/>
  <c r="O9" i="17"/>
  <c r="A10" i="17"/>
  <c r="W9" i="17"/>
  <c r="T10" i="17"/>
  <c r="U10" i="17"/>
  <c r="J11" i="17"/>
  <c r="B10" i="16"/>
  <c r="A10" i="16" s="1"/>
  <c r="T8" i="16"/>
  <c r="W7" i="16"/>
  <c r="A9" i="16"/>
  <c r="O10" i="16"/>
  <c r="V9" i="16"/>
  <c r="J9" i="16"/>
  <c r="U8" i="16"/>
  <c r="O10" i="17" l="1"/>
  <c r="V9" i="17"/>
  <c r="W10" i="17"/>
  <c r="T11" i="17"/>
  <c r="U11" i="17"/>
  <c r="J12" i="17"/>
  <c r="B12" i="17"/>
  <c r="A12" i="17"/>
  <c r="V10" i="16"/>
  <c r="O11" i="16"/>
  <c r="B11" i="16"/>
  <c r="U9" i="16"/>
  <c r="J10" i="16"/>
  <c r="W8" i="16"/>
  <c r="T9" i="16"/>
  <c r="W11" i="17" l="1"/>
  <c r="T12" i="17"/>
  <c r="B13" i="17"/>
  <c r="A13" i="17"/>
  <c r="U12" i="17"/>
  <c r="J13" i="17"/>
  <c r="U13" i="17" s="1"/>
  <c r="V10" i="17"/>
  <c r="O11" i="17"/>
  <c r="T10" i="16"/>
  <c r="W9" i="16"/>
  <c r="B12" i="16"/>
  <c r="A11" i="16"/>
  <c r="J11" i="16"/>
  <c r="U10" i="16"/>
  <c r="O12" i="16"/>
  <c r="V12" i="16" s="1"/>
  <c r="V11" i="16"/>
  <c r="O12" i="17" l="1"/>
  <c r="V11" i="17"/>
  <c r="W12" i="17"/>
  <c r="T13" i="17"/>
  <c r="W13" i="17" s="1"/>
  <c r="A12" i="16"/>
  <c r="W10" i="16"/>
  <c r="T11" i="16"/>
  <c r="U11" i="16"/>
  <c r="J12" i="16"/>
  <c r="U12" i="16" s="1"/>
  <c r="V12" i="17" l="1"/>
  <c r="O13" i="17"/>
  <c r="V13" i="17" s="1"/>
  <c r="T12" i="16"/>
  <c r="W12" i="16" s="1"/>
  <c r="W11" i="16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<sst xmlns="http://schemas.openxmlformats.org/spreadsheetml/2006/main" count="772" uniqueCount="154">
  <si>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</si>
  <si>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</si>
  <si>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</si>
  <si>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</si>
  <si>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</si>
  <si>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</si>
  <si>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</si>
  <si>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</si>
  <si>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</si>
  <si>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</si>
  <si>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</si>
  <si>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</si>
  <si>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</si>
  <si>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</si>
  <si>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</si>
  <si>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</si>
  <si>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</si>
  <si>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</si>
  <si>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</si>
  <si>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</si>
  <si>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</si>
  <si>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</si>
  <si>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</si>
  <si>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</si>
  <si>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</si>
  <si>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</si>
  <si>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</si>
  <si>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</si>
  <si>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</si>
  <si>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</si>
  <si>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</si>
  <si>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</si>
  <si>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</si>
  <si>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</si>
  <si>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</si>
  <si>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</si>
  <si>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</si>
  <si>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</si>
  <si>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</si>
  <si>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</si>
  <si>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</si>
  <si>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</si>
  <si>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</si>
  <si>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</si>
  <si>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</si>
  <si>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</si>
  <si>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</si>
  <si>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</si>
  <si>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</si>
  <si>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</si>
  <si>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</si>
  <si>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</si>
  <si>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</si>
  <si>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</si>
  <si>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</si>
  <si>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</si>
  <si>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</si>
  <si>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</si>
  <si>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</si>
  <si>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</si>
  <si>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</si>
  <si>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</si>
  <si>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</si>
  <si>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</si>
  <si>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</si>
  <si>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</si>
  <si>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</si>
  <si>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</si>
  <si>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</si>
  <si>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</si>
  <si>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</si>
  <si>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</si>
  <si>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</si>
  <si>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</si>
  <si>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</si>
  <si>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</si>
  <si>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</si>
  <si>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</si>
  <si>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</si>
  <si>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</si>
  <si>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</si>
  <si>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</si>
  <si>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</si>
  <si>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</si>
  <si>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</si>
  <si>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</si>
  <si>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</si>
  <si>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</si>
  <si>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</si>
  <si>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</si>
  <si>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</si>
  <si>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</si>
  <si>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</si>
  <si>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</si>
  <si>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</si>
  <si>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</si>
  <si>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</si>
  <si>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</si>
  <si>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</si>
  <si>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</si>
  <si>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</si>
  <si>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</si>
  <si>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</si>
  <si>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</si>
  <si>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</si>
  <si>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</si>
  <si>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</si>
  <si>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</si>
  <si>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</si>
  <si>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</si>
  <si>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</si>
  <si>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</si>
  <si>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</si>
  <si>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</si>
  <si>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</si>
  <si>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</si>
  <si>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</si>
  <si>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</si>
  <si>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</si>
  <si>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</si>
  <si>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</si>
  <si>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</si>
  <si>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</si>
  <si>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</si>
  <si>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</si>
  <si>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</si>
  <si>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</si>
  <si>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</si>
  <si>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</si>
  <si>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</si>
  <si>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</si>
  <si>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</si>
  <si>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</si>
  <si>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</si>
  <si>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</si>
  <si>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</si>
  <si>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</si>
  <si>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</si>
  <si>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</si>
  <si>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</si>
  <si>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</si>
  <si>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</si>
  <si>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</si>
  <si>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</si>
  <si>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</si>
  <si>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02</t>
  </si>
  <si>
    <t>ツモ支払</t>
  </si>
  <si>
    <t>ツモ</t>
  </si>
  <si>
    <t>T</t>
  </si>
  <si>
    <t>N</t>
  </si>
  <si>
    <t>流局</t>
    <phoneticPr fontId="1"/>
  </si>
  <si>
    <t>流局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</si>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</sst>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142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 t="shared" ref="U4:U30" si="0">IF($J4="","",ROUND(($J4-$J$3)/1000,1))</f>
        <v>0</v>
      </c>
      <c r="V4" s="61">
        <f t="shared" ref="V4:V30" si="1">IF($O4="","",ROUND(($O4-$O$3)/1000,1))</f>
        <v>18</v>
      </c>
      <c r="W4" s="62">
        <f t="shared" ref="W4:W30" si="2">IF($T4="","",ROUND(($T4-$T$3)/1000,1))</f>
        <v>-18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143</v>
      </c>
      <c r="AZ4" s="47" t="s">
        <v>144</v>
      </c>
      <c r="BA4" s="48" t="s">
        <v>145</v>
      </c>
      <c r="BB4" s="48" t="s">
        <v>82</v>
      </c>
      <c r="BC4" s="48" t="s">
        <v>82</v>
      </c>
      <c r="BD4" s="48" t="s">
        <v>82</v>
      </c>
      <c r="BE4" s="48" t="s">
        <v>82</v>
      </c>
      <c r="BF4" s="48" t="s">
        <v>84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142</v>
      </c>
      <c r="G5" s="9">
        <v>-2000</v>
      </c>
      <c r="H5" s="9"/>
      <c r="I5" s="55">
        <v>-1000</v>
      </c>
      <c r="J5" s="21">
        <f t="shared" ref="J5:J30" si="5">IF(COUNTA($F5,$K5,$P5)&gt;0,J4+SUM(G5:I5),"")</f>
        <v>32000</v>
      </c>
      <c r="K5" s="8"/>
      <c r="L5" s="9"/>
      <c r="M5" s="9"/>
      <c r="N5" s="55"/>
      <c r="O5" s="21">
        <f t="shared" ref="O5:O30" si="6">IF(COUNTA($F5,$K5,$P5)&gt;0,O4+SUM(L5:N5),"")</f>
        <v>53000</v>
      </c>
      <c r="P5" s="8" t="s">
        <v>141</v>
      </c>
      <c r="Q5" s="9">
        <v>2000</v>
      </c>
      <c r="R5" s="9"/>
      <c r="S5" s="55">
        <v>1000</v>
      </c>
      <c r="T5" s="21">
        <f t="shared" ref="T5:T30" si="7">IF(COUNTA($F5,$K5,$P5)&gt;0,T4+SUM(Q5:S5),"")</f>
        <v>20000</v>
      </c>
      <c r="U5" s="60">
        <f t="shared" si="0"/>
        <v>-3</v>
      </c>
      <c r="V5" s="61">
        <f t="shared" si="1"/>
        <v>18</v>
      </c>
      <c r="W5" s="62">
        <f t="shared" si="2"/>
        <v>-15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146</v>
      </c>
      <c r="G6" s="9">
        <v>-9000</v>
      </c>
      <c r="H6" s="9"/>
      <c r="I6" s="55">
        <v>0</v>
      </c>
      <c r="J6" s="21">
        <f t="shared" si="5"/>
        <v>23000</v>
      </c>
      <c r="K6" s="8" t="s">
        <v>146</v>
      </c>
      <c r="L6" s="9">
        <v>-9000</v>
      </c>
      <c r="M6" s="9"/>
      <c r="N6" s="55">
        <v>0</v>
      </c>
      <c r="O6" s="21">
        <f t="shared" si="6"/>
        <v>44000</v>
      </c>
      <c r="P6" s="8" t="s">
        <v>147</v>
      </c>
      <c r="Q6" s="9">
        <v>18000</v>
      </c>
      <c r="R6" s="9"/>
      <c r="S6" s="55">
        <v>0</v>
      </c>
      <c r="T6" s="21">
        <f t="shared" si="7"/>
        <v>38000</v>
      </c>
      <c r="U6" s="60">
        <f t="shared" si="0"/>
        <v>-12</v>
      </c>
      <c r="V6" s="61">
        <f t="shared" si="1"/>
        <v>9</v>
      </c>
      <c r="W6" s="62">
        <f t="shared" si="2"/>
        <v>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143</v>
      </c>
      <c r="BU6" s="47" t="s">
        <v>144</v>
      </c>
      <c r="BV6" s="48" t="s">
        <v>83</v>
      </c>
      <c r="BW6" s="48" t="s">
        <v>85</v>
      </c>
      <c r="BX6" s="48" t="s">
        <v>82</v>
      </c>
      <c r="BY6" s="48" t="s">
        <v>82</v>
      </c>
      <c r="BZ6" s="48" t="s">
        <v>81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139</v>
      </c>
      <c r="F7" s="8" t="s">
        <v>142</v>
      </c>
      <c r="G7" s="9">
        <v>-7700</v>
      </c>
      <c r="H7" s="9">
        <v>-1000</v>
      </c>
      <c r="I7" s="55">
        <v>-1000</v>
      </c>
      <c r="J7" s="21">
        <f t="shared" si="5"/>
        <v>13300</v>
      </c>
      <c r="K7" s="8"/>
      <c r="L7" s="9"/>
      <c r="M7" s="9"/>
      <c r="N7" s="55"/>
      <c r="O7" s="21">
        <f t="shared" si="6"/>
        <v>44000</v>
      </c>
      <c r="P7" s="8" t="s">
        <v>141</v>
      </c>
      <c r="Q7" s="9">
        <v>7700</v>
      </c>
      <c r="R7" s="9">
        <v>1000</v>
      </c>
      <c r="S7" s="55">
        <v>1000</v>
      </c>
      <c r="T7" s="21">
        <f t="shared" si="7"/>
        <v>47700</v>
      </c>
      <c r="U7" s="60">
        <f t="shared" si="0"/>
        <v>-21.7</v>
      </c>
      <c r="V7" s="61">
        <f t="shared" si="1"/>
        <v>9</v>
      </c>
      <c r="W7" s="62">
        <f t="shared" si="2"/>
        <v>12.7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40</v>
      </c>
      <c r="BU7" s="47" t="s">
        <v>87</v>
      </c>
      <c r="BV7" s="48" t="s">
        <v>82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139</v>
      </c>
      <c r="F8" s="8" t="s">
        <v>141</v>
      </c>
      <c r="G8" s="9">
        <v>16000</v>
      </c>
      <c r="H8" s="9"/>
      <c r="I8" s="55">
        <v>2000</v>
      </c>
      <c r="J8" s="21">
        <f t="shared" si="5"/>
        <v>31300</v>
      </c>
      <c r="K8" s="8" t="s">
        <v>142</v>
      </c>
      <c r="L8" s="9">
        <v>-16000</v>
      </c>
      <c r="M8" s="9"/>
      <c r="N8" s="55">
        <v>-2000</v>
      </c>
      <c r="O8" s="21">
        <f t="shared" si="6"/>
        <v>26000</v>
      </c>
      <c r="P8" s="8"/>
      <c r="Q8" s="9"/>
      <c r="R8" s="9"/>
      <c r="S8" s="55"/>
      <c r="T8" s="21">
        <f t="shared" si="7"/>
        <v>47700</v>
      </c>
      <c r="U8" s="60">
        <f t="shared" si="0"/>
        <v>-3.7</v>
      </c>
      <c r="V8" s="61">
        <f t="shared" si="1"/>
        <v>-9</v>
      </c>
      <c r="W8" s="62">
        <f t="shared" si="2"/>
        <v>12.7</v>
      </c>
      <c r="Y8" s="8"/>
      <c r="Z8" s="41"/>
      <c r="AA8" s="32"/>
      <c r="AB8" s="32">
        <v>1</v>
      </c>
      <c r="AC8" s="32">
        <v>8</v>
      </c>
      <c r="AD8" s="36" t="s">
        <v>143</v>
      </c>
      <c r="AE8" s="47" t="s">
        <v>105</v>
      </c>
      <c r="AF8" s="48" t="s">
        <v>87</v>
      </c>
      <c r="AG8" s="48" t="s">
        <v>82</v>
      </c>
      <c r="AH8" s="48" t="s">
        <v>82</v>
      </c>
      <c r="AI8" s="48" t="s">
        <v>80</v>
      </c>
      <c r="AJ8" s="48" t="s">
        <v>80</v>
      </c>
      <c r="AK8" s="48" t="s">
        <v>80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/>
      <c r="G9" s="9"/>
      <c r="H9" s="9"/>
      <c r="I9" s="55"/>
      <c r="J9" s="21">
        <f t="shared" si="5"/>
        <v>31300</v>
      </c>
      <c r="K9" s="8" t="s">
        <v>141</v>
      </c>
      <c r="L9" s="9">
        <v>2600</v>
      </c>
      <c r="M9" s="9"/>
      <c r="N9" s="55">
        <v>0</v>
      </c>
      <c r="O9" s="21">
        <f t="shared" si="6"/>
        <v>28600</v>
      </c>
      <c r="P9" s="8" t="s">
        <v>142</v>
      </c>
      <c r="Q9" s="9">
        <v>-2600</v>
      </c>
      <c r="R9" s="9"/>
      <c r="S9" s="55">
        <v>0</v>
      </c>
      <c r="T9" s="21">
        <f t="shared" si="7"/>
        <v>45100</v>
      </c>
      <c r="U9" s="60">
        <f t="shared" si="0"/>
        <v>-3.7</v>
      </c>
      <c r="V9" s="61">
        <f t="shared" si="1"/>
        <v>-6.4</v>
      </c>
      <c r="W9" s="62">
        <f t="shared" si="2"/>
        <v>10.1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87</v>
      </c>
      <c r="BA9" s="48" t="s">
        <v>80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150</v>
      </c>
      <c r="G10" s="9">
        <v>3000</v>
      </c>
      <c r="H10" s="9">
        <v>-1000</v>
      </c>
      <c r="I10" s="55"/>
      <c r="J10" s="21">
        <f t="shared" si="5"/>
        <v>33300</v>
      </c>
      <c r="K10" s="8" t="s">
        <v>150</v>
      </c>
      <c r="L10" s="9">
        <v>-1500</v>
      </c>
      <c r="M10" s="9"/>
      <c r="N10" s="55"/>
      <c r="O10" s="21">
        <f t="shared" si="6"/>
        <v>27100</v>
      </c>
      <c r="P10" s="8" t="s">
        <v>150</v>
      </c>
      <c r="Q10" s="9">
        <v>-1500</v>
      </c>
      <c r="R10" s="9"/>
      <c r="S10" s="55"/>
      <c r="T10" s="21">
        <f t="shared" si="7"/>
        <v>43600</v>
      </c>
      <c r="U10" s="60">
        <f t="shared" si="0"/>
        <v>-1.7</v>
      </c>
      <c r="V10" s="61">
        <f t="shared" si="1"/>
        <v>-7.9</v>
      </c>
      <c r="W10" s="62">
        <f t="shared" si="2"/>
        <v>8.6</v>
      </c>
      <c r="Y10" s="8" t="s">
        <v>148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149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149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1</v>
      </c>
      <c r="D11" s="18">
        <f t="shared" si="4"/>
        <v>1</v>
      </c>
      <c r="E11" s="4" t="s">
        <v>139</v>
      </c>
      <c r="F11" s="8" t="s">
        <v>141</v>
      </c>
      <c r="G11" s="9">
        <v>8000</v>
      </c>
      <c r="H11" s="9">
        <v>1000</v>
      </c>
      <c r="I11" s="55">
        <v>1000</v>
      </c>
      <c r="J11" s="21">
        <f t="shared" si="5"/>
        <v>43300</v>
      </c>
      <c r="K11" s="8" t="s">
        <v>142</v>
      </c>
      <c r="L11" s="9">
        <v>-8000</v>
      </c>
      <c r="M11" s="9"/>
      <c r="N11" s="55">
        <v>-1000</v>
      </c>
      <c r="O11" s="21">
        <f t="shared" si="6"/>
        <v>18100</v>
      </c>
      <c r="P11" s="8"/>
      <c r="Q11" s="9"/>
      <c r="R11" s="9"/>
      <c r="S11" s="55"/>
      <c r="T11" s="21">
        <f t="shared" si="7"/>
        <v>43600</v>
      </c>
      <c r="U11" s="60">
        <f t="shared" si="0"/>
        <v>8.3000000000000007</v>
      </c>
      <c r="V11" s="61">
        <f t="shared" si="1"/>
        <v>-16.899999999999999</v>
      </c>
      <c r="W11" s="62">
        <f t="shared" si="2"/>
        <v>8.6</v>
      </c>
      <c r="Y11" s="8"/>
      <c r="Z11" s="41"/>
      <c r="AA11" s="32">
        <v>1</v>
      </c>
      <c r="AB11" s="32"/>
      <c r="AC11" s="32">
        <v>5</v>
      </c>
      <c r="AD11" s="36" t="s">
        <v>143</v>
      </c>
      <c r="AE11" s="47" t="s">
        <v>144</v>
      </c>
      <c r="AF11" s="48" t="s">
        <v>87</v>
      </c>
      <c r="AG11" s="48" t="s">
        <v>82</v>
      </c>
      <c r="AH11" s="48" t="s">
        <v>82</v>
      </c>
      <c r="AI11" s="48" t="s">
        <v>82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142</v>
      </c>
      <c r="G12" s="9">
        <v>-8000</v>
      </c>
      <c r="H12" s="9"/>
      <c r="I12" s="55">
        <v>0</v>
      </c>
      <c r="J12" s="21">
        <f t="shared" si="5"/>
        <v>35300</v>
      </c>
      <c r="K12" s="8"/>
      <c r="L12" s="9"/>
      <c r="M12" s="9"/>
      <c r="N12" s="55"/>
      <c r="O12" s="21">
        <f t="shared" si="6"/>
        <v>18100</v>
      </c>
      <c r="P12" s="8" t="s">
        <v>141</v>
      </c>
      <c r="Q12" s="9">
        <v>8000</v>
      </c>
      <c r="R12" s="9"/>
      <c r="S12" s="55">
        <v>0</v>
      </c>
      <c r="T12" s="21">
        <f t="shared" si="7"/>
        <v>51600</v>
      </c>
      <c r="U12" s="60">
        <f t="shared" si="0"/>
        <v>0.3</v>
      </c>
      <c r="V12" s="61">
        <f t="shared" si="1"/>
        <v>-16.899999999999999</v>
      </c>
      <c r="W12" s="62">
        <f t="shared" si="2"/>
        <v>16.600000000000001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30</v>
      </c>
      <c r="BU12" s="47" t="s">
        <v>144</v>
      </c>
      <c r="BV12" s="48" t="s">
        <v>84</v>
      </c>
      <c r="BW12" s="48" t="s">
        <v>80</v>
      </c>
      <c r="BX12" s="48" t="s">
        <v>80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1999-5B1D-4A1D-A477-09D649BF10F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151</v>
      </c>
      <c r="G4" s="9">
        <v>1500</v>
      </c>
      <c r="H4" s="9"/>
      <c r="I4" s="55"/>
      <c r="J4" s="21">
        <f>IF(COUNTA($F4,$K4,$P4)&gt;0,J3+SUM(G4:I4),"")</f>
        <v>36500</v>
      </c>
      <c r="K4" s="8" t="s">
        <v>151</v>
      </c>
      <c r="L4" s="9">
        <v>1500</v>
      </c>
      <c r="M4" s="9"/>
      <c r="N4" s="55"/>
      <c r="O4" s="21">
        <f>IF(COUNTA($F4,$K4,$P4)&gt;0,O3+SUM(L4:N4),"")</f>
        <v>36500</v>
      </c>
      <c r="P4" s="8" t="s">
        <v>151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1.5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148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146</v>
      </c>
      <c r="G5" s="9">
        <v>-5000</v>
      </c>
      <c r="H5" s="9"/>
      <c r="I5" s="55">
        <v>-500</v>
      </c>
      <c r="J5" s="21">
        <f t="shared" ref="J5:J30" si="5">IF(COUNTA($F5,$K5,$P5)&gt;0,J4+SUM(G5:I5),"")</f>
        <v>31000</v>
      </c>
      <c r="K5" s="8" t="s">
        <v>146</v>
      </c>
      <c r="L5" s="9">
        <v>-3000</v>
      </c>
      <c r="M5" s="9">
        <v>-1000</v>
      </c>
      <c r="N5" s="55">
        <v>-500</v>
      </c>
      <c r="O5" s="21">
        <f t="shared" ref="O5:O30" si="6">IF(COUNTA($F5,$K5,$P5)&gt;0,O4+SUM(L5:N5),"")</f>
        <v>32000</v>
      </c>
      <c r="P5" s="8" t="s">
        <v>147</v>
      </c>
      <c r="Q5" s="9">
        <v>8000</v>
      </c>
      <c r="R5" s="9">
        <v>1000</v>
      </c>
      <c r="S5" s="55">
        <v>1000</v>
      </c>
      <c r="T5" s="21">
        <f t="shared" ref="T5:T30" si="7">IF(COUNTA($F5,$K5,$P5)&gt;0,T4+SUM(Q5:S5),"")</f>
        <v>42000</v>
      </c>
      <c r="U5" s="60">
        <f t="shared" si="0"/>
        <v>-4</v>
      </c>
      <c r="V5" s="61">
        <f t="shared" si="1"/>
        <v>-3</v>
      </c>
      <c r="W5" s="62">
        <f t="shared" si="2"/>
        <v>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143</v>
      </c>
      <c r="BU5" s="47" t="s">
        <v>144</v>
      </c>
      <c r="BV5" s="48" t="s">
        <v>83</v>
      </c>
      <c r="BW5" s="48" t="s">
        <v>84</v>
      </c>
      <c r="BX5" s="48" t="s">
        <v>82</v>
      </c>
      <c r="BY5" s="48" t="s">
        <v>81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141</v>
      </c>
      <c r="G6" s="9">
        <v>12000</v>
      </c>
      <c r="H6" s="9"/>
      <c r="I6" s="55">
        <v>0</v>
      </c>
      <c r="J6" s="21">
        <f t="shared" si="5"/>
        <v>43000</v>
      </c>
      <c r="K6" s="8"/>
      <c r="L6" s="9"/>
      <c r="M6" s="9"/>
      <c r="N6" s="55"/>
      <c r="O6" s="21">
        <f t="shared" si="6"/>
        <v>32000</v>
      </c>
      <c r="P6" s="8" t="s">
        <v>142</v>
      </c>
      <c r="Q6" s="9">
        <v>-12000</v>
      </c>
      <c r="R6" s="9"/>
      <c r="S6" s="55">
        <v>0</v>
      </c>
      <c r="T6" s="21">
        <f t="shared" si="7"/>
        <v>30000</v>
      </c>
      <c r="U6" s="60">
        <f t="shared" si="0"/>
        <v>8</v>
      </c>
      <c r="V6" s="61">
        <f t="shared" si="1"/>
        <v>-3</v>
      </c>
      <c r="W6" s="62">
        <f t="shared" si="2"/>
        <v>-5</v>
      </c>
      <c r="Y6" s="8"/>
      <c r="Z6" s="41"/>
      <c r="AA6" s="32">
        <v>1</v>
      </c>
      <c r="AB6" s="32"/>
      <c r="AC6" s="32">
        <v>7</v>
      </c>
      <c r="AD6" s="36" t="s">
        <v>143</v>
      </c>
      <c r="AE6" s="47" t="s">
        <v>144</v>
      </c>
      <c r="AF6" s="48" t="s">
        <v>105</v>
      </c>
      <c r="AG6" s="48" t="s">
        <v>87</v>
      </c>
      <c r="AH6" s="48" t="s">
        <v>82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146</v>
      </c>
      <c r="G7" s="9">
        <v>-12000</v>
      </c>
      <c r="H7" s="9"/>
      <c r="I7" s="55">
        <v>0</v>
      </c>
      <c r="J7" s="21">
        <f t="shared" si="5"/>
        <v>31000</v>
      </c>
      <c r="K7" s="8" t="s">
        <v>146</v>
      </c>
      <c r="L7" s="9">
        <v>-12000</v>
      </c>
      <c r="M7" s="9"/>
      <c r="N7" s="55">
        <v>0</v>
      </c>
      <c r="O7" s="21">
        <f t="shared" si="6"/>
        <v>20000</v>
      </c>
      <c r="P7" s="8" t="s">
        <v>147</v>
      </c>
      <c r="Q7" s="9">
        <v>24000</v>
      </c>
      <c r="R7" s="9"/>
      <c r="S7" s="55">
        <v>0</v>
      </c>
      <c r="T7" s="21">
        <f t="shared" si="7"/>
        <v>54000</v>
      </c>
      <c r="U7" s="60">
        <f t="shared" si="0"/>
        <v>-4</v>
      </c>
      <c r="V7" s="61">
        <f t="shared" si="1"/>
        <v>-15</v>
      </c>
      <c r="W7" s="62">
        <f t="shared" si="2"/>
        <v>19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10</v>
      </c>
      <c r="BT7" s="36" t="s">
        <v>143</v>
      </c>
      <c r="BU7" s="47" t="s">
        <v>82</v>
      </c>
      <c r="BV7" s="48" t="s">
        <v>82</v>
      </c>
      <c r="BW7" s="48" t="s">
        <v>82</v>
      </c>
      <c r="BX7" s="48" t="s">
        <v>80</v>
      </c>
      <c r="BY7" s="48" t="s">
        <v>80</v>
      </c>
      <c r="BZ7" s="48" t="s">
        <v>80</v>
      </c>
      <c r="CA7" s="48" t="s">
        <v>87</v>
      </c>
      <c r="CB7" s="48" t="s">
        <v>87</v>
      </c>
      <c r="CC7" s="48" t="s">
        <v>144</v>
      </c>
      <c r="CD7" s="48" t="s">
        <v>83</v>
      </c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146</v>
      </c>
      <c r="G8" s="9">
        <v>-3900</v>
      </c>
      <c r="H8" s="9"/>
      <c r="I8" s="55">
        <v>-500</v>
      </c>
      <c r="J8" s="21">
        <f t="shared" si="5"/>
        <v>26600</v>
      </c>
      <c r="K8" s="8" t="s">
        <v>146</v>
      </c>
      <c r="L8" s="9">
        <v>-3900</v>
      </c>
      <c r="M8" s="9"/>
      <c r="N8" s="55">
        <v>-500</v>
      </c>
      <c r="O8" s="21">
        <f t="shared" si="6"/>
        <v>15600</v>
      </c>
      <c r="P8" s="8" t="s">
        <v>147</v>
      </c>
      <c r="Q8" s="9">
        <v>7800</v>
      </c>
      <c r="R8" s="9"/>
      <c r="S8" s="55">
        <v>1000</v>
      </c>
      <c r="T8" s="21">
        <f t="shared" si="7"/>
        <v>62800</v>
      </c>
      <c r="U8" s="60">
        <f t="shared" si="0"/>
        <v>-8.4</v>
      </c>
      <c r="V8" s="61">
        <f t="shared" si="1"/>
        <v>-19.399999999999999</v>
      </c>
      <c r="W8" s="62">
        <f t="shared" si="2"/>
        <v>27.8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20</v>
      </c>
      <c r="BU8" s="47" t="s">
        <v>144</v>
      </c>
      <c r="BV8" s="48" t="s">
        <v>83</v>
      </c>
      <c r="BW8" s="48" t="s">
        <v>84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139</v>
      </c>
      <c r="F9" s="8"/>
      <c r="G9" s="9"/>
      <c r="H9" s="9"/>
      <c r="I9" s="55"/>
      <c r="J9" s="21">
        <f t="shared" si="5"/>
        <v>26600</v>
      </c>
      <c r="K9" s="8" t="s">
        <v>142</v>
      </c>
      <c r="L9" s="9">
        <v>-12000</v>
      </c>
      <c r="M9" s="9"/>
      <c r="N9" s="55">
        <v>-2000</v>
      </c>
      <c r="O9" s="21">
        <f t="shared" si="6"/>
        <v>1600</v>
      </c>
      <c r="P9" s="8" t="s">
        <v>141</v>
      </c>
      <c r="Q9" s="9">
        <v>12000</v>
      </c>
      <c r="R9" s="9"/>
      <c r="S9" s="55">
        <v>2000</v>
      </c>
      <c r="T9" s="21">
        <f t="shared" si="7"/>
        <v>76800</v>
      </c>
      <c r="U9" s="60">
        <f t="shared" si="0"/>
        <v>-8.4</v>
      </c>
      <c r="V9" s="61">
        <f t="shared" si="1"/>
        <v>-33.4</v>
      </c>
      <c r="W9" s="62">
        <f t="shared" si="2"/>
        <v>41.8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143</v>
      </c>
      <c r="BU9" s="47" t="s">
        <v>144</v>
      </c>
      <c r="BV9" s="48" t="s">
        <v>145</v>
      </c>
      <c r="BW9" s="48" t="s">
        <v>87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3</v>
      </c>
      <c r="D10" s="18">
        <f t="shared" si="4"/>
        <v>0</v>
      </c>
      <c r="E10" s="4" t="s">
        <v>139</v>
      </c>
      <c r="F10" s="8" t="s">
        <v>141</v>
      </c>
      <c r="G10" s="9">
        <v>1000</v>
      </c>
      <c r="H10" s="9"/>
      <c r="I10" s="55">
        <v>3000</v>
      </c>
      <c r="J10" s="21">
        <f t="shared" si="5"/>
        <v>30600</v>
      </c>
      <c r="K10" s="8"/>
      <c r="L10" s="9"/>
      <c r="M10" s="9"/>
      <c r="N10" s="55"/>
      <c r="O10" s="21">
        <f t="shared" si="6"/>
        <v>1600</v>
      </c>
      <c r="P10" s="8" t="s">
        <v>142</v>
      </c>
      <c r="Q10" s="9">
        <v>-1000</v>
      </c>
      <c r="R10" s="9"/>
      <c r="S10" s="55">
        <v>-3000</v>
      </c>
      <c r="T10" s="21">
        <f t="shared" si="7"/>
        <v>72800</v>
      </c>
      <c r="U10" s="60">
        <f t="shared" si="0"/>
        <v>-4.4000000000000004</v>
      </c>
      <c r="V10" s="61">
        <f t="shared" si="1"/>
        <v>-33.4</v>
      </c>
      <c r="W10" s="62">
        <f t="shared" si="2"/>
        <v>37.799999999999997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146</v>
      </c>
      <c r="G11" s="9">
        <v>-7500</v>
      </c>
      <c r="H11" s="9"/>
      <c r="I11" s="55">
        <v>0</v>
      </c>
      <c r="J11" s="21">
        <f t="shared" si="5"/>
        <v>23100</v>
      </c>
      <c r="K11" s="8" t="s">
        <v>147</v>
      </c>
      <c r="L11" s="9">
        <v>12000</v>
      </c>
      <c r="M11" s="9"/>
      <c r="N11" s="55">
        <v>0</v>
      </c>
      <c r="O11" s="21">
        <f t="shared" si="6"/>
        <v>13600</v>
      </c>
      <c r="P11" s="8" t="s">
        <v>146</v>
      </c>
      <c r="Q11" s="9">
        <v>-4500</v>
      </c>
      <c r="R11" s="9"/>
      <c r="S11" s="55">
        <v>0</v>
      </c>
      <c r="T11" s="21">
        <f t="shared" si="7"/>
        <v>68300</v>
      </c>
      <c r="U11" s="60">
        <f t="shared" si="0"/>
        <v>-11.9</v>
      </c>
      <c r="V11" s="61">
        <f t="shared" si="1"/>
        <v>-21.4</v>
      </c>
      <c r="W11" s="62">
        <f t="shared" si="2"/>
        <v>33.299999999999997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7</v>
      </c>
      <c r="AY11" s="36" t="s">
        <v>143</v>
      </c>
      <c r="AZ11" s="47" t="s">
        <v>144</v>
      </c>
      <c r="BA11" s="48" t="s">
        <v>83</v>
      </c>
      <c r="BB11" s="48" t="s">
        <v>84</v>
      </c>
      <c r="BC11" s="48" t="s">
        <v>86</v>
      </c>
      <c r="BD11" s="48" t="s">
        <v>81</v>
      </c>
      <c r="BE11" s="48" t="s">
        <v>81</v>
      </c>
      <c r="BF11" s="48" t="s">
        <v>82</v>
      </c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137</v>
      </c>
      <c r="F12" s="8" t="s">
        <v>141</v>
      </c>
      <c r="G12" s="9">
        <v>8000</v>
      </c>
      <c r="H12" s="9"/>
      <c r="I12" s="55">
        <v>0</v>
      </c>
      <c r="J12" s="21">
        <f t="shared" si="5"/>
        <v>31100</v>
      </c>
      <c r="K12" s="8" t="s">
        <v>142</v>
      </c>
      <c r="L12" s="9">
        <v>-8000</v>
      </c>
      <c r="M12" s="9"/>
      <c r="N12" s="55">
        <v>0</v>
      </c>
      <c r="O12" s="21">
        <f t="shared" si="6"/>
        <v>5600</v>
      </c>
      <c r="P12" s="8"/>
      <c r="Q12" s="9"/>
      <c r="R12" s="9"/>
      <c r="S12" s="55"/>
      <c r="T12" s="21">
        <f t="shared" si="7"/>
        <v>68300</v>
      </c>
      <c r="U12" s="60">
        <f t="shared" si="0"/>
        <v>-3.9</v>
      </c>
      <c r="V12" s="61">
        <f t="shared" si="1"/>
        <v>-29.4</v>
      </c>
      <c r="W12" s="62">
        <f t="shared" si="2"/>
        <v>33.299999999999997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80</v>
      </c>
      <c r="AG12" s="48" t="s">
        <v>80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139</v>
      </c>
      <c r="F13" s="8" t="s">
        <v>146</v>
      </c>
      <c r="G13" s="9">
        <v>-1500</v>
      </c>
      <c r="H13" s="9"/>
      <c r="I13" s="55">
        <v>0</v>
      </c>
      <c r="J13" s="21">
        <f t="shared" si="5"/>
        <v>29600</v>
      </c>
      <c r="K13" s="8" t="s">
        <v>147</v>
      </c>
      <c r="L13" s="9">
        <v>4000</v>
      </c>
      <c r="M13" s="9"/>
      <c r="N13" s="55">
        <v>0</v>
      </c>
      <c r="O13" s="21">
        <f t="shared" si="6"/>
        <v>9600</v>
      </c>
      <c r="P13" s="8" t="s">
        <v>146</v>
      </c>
      <c r="Q13" s="9">
        <v>-2500</v>
      </c>
      <c r="R13" s="9"/>
      <c r="S13" s="55">
        <v>0</v>
      </c>
      <c r="T13" s="21">
        <f t="shared" si="7"/>
        <v>65800</v>
      </c>
      <c r="U13" s="60">
        <f t="shared" si="0"/>
        <v>-5.4</v>
      </c>
      <c r="V13" s="61">
        <f t="shared" si="1"/>
        <v>-25.4</v>
      </c>
      <c r="W13" s="62">
        <f t="shared" si="2"/>
        <v>30.8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3</v>
      </c>
      <c r="AY13" s="36">
        <v>30</v>
      </c>
      <c r="AZ13" s="47" t="s">
        <v>83</v>
      </c>
      <c r="BA13" s="48" t="s">
        <v>87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94306BA-5CBF-492B-9DB3-4C183125A78D}">
      <formula1>$U$2:$W$2</formula1>
    </dataValidation>
    <dataValidation type="list" showInputMessage="1" showErrorMessage="1" sqref="K4:K30 P4:P30 F4:F30" xr:uid="{3D75E9C5-2324-4B0D-9F80-07A07A0E7A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BDBB-6178-47E5-96A5-F799850B1A1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142</v>
      </c>
      <c r="G4" s="9">
        <v>-3200</v>
      </c>
      <c r="H4" s="9"/>
      <c r="I4" s="55">
        <v>0</v>
      </c>
      <c r="J4" s="21">
        <f>IF(COUNTA($F4,$K4,$P4)&gt;0,J3+SUM(G4:I4),"")</f>
        <v>31800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3200</v>
      </c>
      <c r="R4" s="9"/>
      <c r="S4" s="55">
        <v>0</v>
      </c>
      <c r="T4" s="21">
        <f>IF(COUNTA($F4,$K4,$P4)&gt;0,T3+SUM(Q4:S4),"")</f>
        <v>38200</v>
      </c>
      <c r="U4" s="60">
        <f t="shared" ref="U4:U30" si="0">IF($J4="","",ROUND(($J4-$J$3)/1000,1))</f>
        <v>-3.2</v>
      </c>
      <c r="V4" s="61">
        <f t="shared" ref="V4:V30" si="1">IF($O4="","",ROUND(($O4-$O$3)/1000,1))</f>
        <v>0</v>
      </c>
      <c r="W4" s="62">
        <f t="shared" ref="W4:W30" si="2">IF($T4="","",ROUND(($T4-$T$3)/1000,1))</f>
        <v>3.2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25</v>
      </c>
      <c r="BU4" s="47" t="s">
        <v>82</v>
      </c>
      <c r="BV4" s="48" t="s">
        <v>102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142</v>
      </c>
      <c r="G5" s="9">
        <v>-12000</v>
      </c>
      <c r="H5" s="9"/>
      <c r="I5" s="55">
        <v>0</v>
      </c>
      <c r="J5" s="21">
        <f t="shared" ref="J5:J30" si="5">IF(COUNTA($F5,$K5,$P5)&gt;0,J4+SUM(G5:I5),"")</f>
        <v>19800</v>
      </c>
      <c r="K5" s="8" t="s">
        <v>141</v>
      </c>
      <c r="L5" s="9">
        <v>12000</v>
      </c>
      <c r="M5" s="9"/>
      <c r="N5" s="55">
        <v>0</v>
      </c>
      <c r="O5" s="21">
        <f t="shared" ref="O5:O30" si="6">IF(COUNTA($F5,$K5,$P5)&gt;0,O4+SUM(L5:N5),"")</f>
        <v>47000</v>
      </c>
      <c r="P5" s="8"/>
      <c r="Q5" s="9"/>
      <c r="R5" s="9"/>
      <c r="S5" s="55"/>
      <c r="T5" s="21">
        <f t="shared" ref="T5:T30" si="7">IF(COUNTA($F5,$K5,$P5)&gt;0,T4+SUM(Q5:S5),"")</f>
        <v>38200</v>
      </c>
      <c r="U5" s="60">
        <f t="shared" si="0"/>
        <v>-15.2</v>
      </c>
      <c r="V5" s="61">
        <f t="shared" si="1"/>
        <v>12</v>
      </c>
      <c r="W5" s="62">
        <f t="shared" si="2"/>
        <v>3.2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144</v>
      </c>
      <c r="BA5" s="48" t="s">
        <v>82</v>
      </c>
      <c r="BB5" s="48" t="s">
        <v>82</v>
      </c>
      <c r="BC5" s="48" t="s">
        <v>86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152</v>
      </c>
      <c r="F6" s="8" t="s">
        <v>146</v>
      </c>
      <c r="G6" s="9">
        <v>-3000</v>
      </c>
      <c r="H6" s="9"/>
      <c r="I6" s="55">
        <v>-500</v>
      </c>
      <c r="J6" s="21">
        <f t="shared" si="5"/>
        <v>16300</v>
      </c>
      <c r="K6" s="8" t="s">
        <v>147</v>
      </c>
      <c r="L6" s="9">
        <v>6000</v>
      </c>
      <c r="M6" s="9"/>
      <c r="N6" s="55">
        <v>1000</v>
      </c>
      <c r="O6" s="21">
        <f t="shared" si="6"/>
        <v>54000</v>
      </c>
      <c r="P6" s="8" t="s">
        <v>146</v>
      </c>
      <c r="Q6" s="9">
        <v>-3000</v>
      </c>
      <c r="R6" s="9"/>
      <c r="S6" s="55">
        <v>-500</v>
      </c>
      <c r="T6" s="21">
        <f t="shared" si="7"/>
        <v>34700</v>
      </c>
      <c r="U6" s="60">
        <f t="shared" si="0"/>
        <v>-18.7</v>
      </c>
      <c r="V6" s="61">
        <f t="shared" si="1"/>
        <v>19</v>
      </c>
      <c r="W6" s="62">
        <f t="shared" si="2"/>
        <v>-0.3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144</v>
      </c>
      <c r="BA6" s="48" t="s">
        <v>83</v>
      </c>
      <c r="BB6" s="48" t="s">
        <v>81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152</v>
      </c>
      <c r="F7" s="8" t="s">
        <v>147</v>
      </c>
      <c r="G7" s="9">
        <v>8000</v>
      </c>
      <c r="H7" s="9"/>
      <c r="I7" s="55">
        <v>2000</v>
      </c>
      <c r="J7" s="21">
        <f t="shared" si="5"/>
        <v>26300</v>
      </c>
      <c r="K7" s="8" t="s">
        <v>146</v>
      </c>
      <c r="L7" s="9">
        <v>-5000</v>
      </c>
      <c r="M7" s="9"/>
      <c r="N7" s="55">
        <v>-1000</v>
      </c>
      <c r="O7" s="21">
        <f t="shared" si="6"/>
        <v>48000</v>
      </c>
      <c r="P7" s="8" t="s">
        <v>146</v>
      </c>
      <c r="Q7" s="9">
        <v>-3000</v>
      </c>
      <c r="R7" s="9"/>
      <c r="S7" s="55">
        <v>-1000</v>
      </c>
      <c r="T7" s="21">
        <f t="shared" si="7"/>
        <v>30700</v>
      </c>
      <c r="U7" s="60">
        <f t="shared" si="0"/>
        <v>-8.6999999999999993</v>
      </c>
      <c r="V7" s="61">
        <f t="shared" si="1"/>
        <v>13</v>
      </c>
      <c r="W7" s="62">
        <f t="shared" si="2"/>
        <v>-4.3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83</v>
      </c>
      <c r="AG7" s="48" t="s">
        <v>145</v>
      </c>
      <c r="AH7" s="48" t="s">
        <v>84</v>
      </c>
      <c r="AI7" s="48" t="s">
        <v>85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146</v>
      </c>
      <c r="G8" s="9">
        <v>-24000</v>
      </c>
      <c r="H8" s="9"/>
      <c r="I8" s="55">
        <v>0</v>
      </c>
      <c r="J8" s="21">
        <f t="shared" si="5"/>
        <v>2300</v>
      </c>
      <c r="K8" s="8" t="s">
        <v>146</v>
      </c>
      <c r="L8" s="9">
        <v>-24000</v>
      </c>
      <c r="M8" s="9"/>
      <c r="N8" s="55">
        <v>0</v>
      </c>
      <c r="O8" s="21">
        <f t="shared" si="6"/>
        <v>24000</v>
      </c>
      <c r="P8" s="8" t="s">
        <v>147</v>
      </c>
      <c r="Q8" s="9">
        <v>48000</v>
      </c>
      <c r="R8" s="9"/>
      <c r="S8" s="55">
        <v>0</v>
      </c>
      <c r="T8" s="21">
        <f t="shared" si="7"/>
        <v>78700</v>
      </c>
      <c r="U8" s="60">
        <f t="shared" si="0"/>
        <v>-32.700000000000003</v>
      </c>
      <c r="V8" s="61">
        <f t="shared" si="1"/>
        <v>-11</v>
      </c>
      <c r="W8" s="62">
        <f t="shared" si="2"/>
        <v>43.7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13</v>
      </c>
      <c r="BT8" s="36" t="s">
        <v>143</v>
      </c>
      <c r="BU8" s="47" t="s">
        <v>109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146</v>
      </c>
      <c r="G9" s="9">
        <v>-9000</v>
      </c>
      <c r="H9" s="9">
        <v>-1000</v>
      </c>
      <c r="I9" s="55">
        <v>-500</v>
      </c>
      <c r="J9" s="21">
        <f t="shared" si="5"/>
        <v>-8200</v>
      </c>
      <c r="K9" s="8" t="s">
        <v>146</v>
      </c>
      <c r="L9" s="9">
        <v>-9000</v>
      </c>
      <c r="M9" s="9"/>
      <c r="N9" s="55">
        <v>-500</v>
      </c>
      <c r="O9" s="21">
        <f t="shared" si="6"/>
        <v>14500</v>
      </c>
      <c r="P9" s="8" t="s">
        <v>147</v>
      </c>
      <c r="Q9" s="9">
        <v>18000</v>
      </c>
      <c r="R9" s="9">
        <v>1000</v>
      </c>
      <c r="S9" s="55">
        <v>1000</v>
      </c>
      <c r="T9" s="21">
        <f t="shared" si="7"/>
        <v>98700</v>
      </c>
      <c r="U9" s="60">
        <f t="shared" si="0"/>
        <v>-43.2</v>
      </c>
      <c r="V9" s="61">
        <f t="shared" si="1"/>
        <v>-20.5</v>
      </c>
      <c r="W9" s="62">
        <f t="shared" si="2"/>
        <v>63.7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143</v>
      </c>
      <c r="BU9" s="47" t="s">
        <v>144</v>
      </c>
      <c r="BV9" s="48" t="s">
        <v>83</v>
      </c>
      <c r="BW9" s="48" t="s">
        <v>84</v>
      </c>
      <c r="BX9" s="48" t="s">
        <v>81</v>
      </c>
      <c r="BY9" s="48" t="s">
        <v>82</v>
      </c>
      <c r="BZ9" s="48" t="s">
        <v>82</v>
      </c>
      <c r="CA9" s="48" t="s">
        <v>82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1AC4E19-E1DF-4ED6-8420-DD00C966CDDA}">
      <formula1>"ロン,ツモ,放銃,ツモ支払,流局,チョンボ"</formula1>
    </dataValidation>
    <dataValidation type="list" allowBlank="1" showInputMessage="1" showErrorMessage="1" sqref="E4:E30" xr:uid="{0DA92162-3158-4041-89DF-7EE7B952CF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2019-02-10T10:03:19Z</dcterms:modified>
</cp:coreProperties>
</file>