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1st\対局\"/>
    </mc:Choice>
  </mc:AlternateContent>
  <xr:revisionPtr revIDLastSave="0" documentId="13_ncr:1_{59477DB0-ED47-42D6-9FFA-4F6C5E303FC8}" xr6:coauthVersionLast="45" xr6:coauthVersionMax="45" xr10:uidLastSave="{00000000-0000-0000-0000-000000000000}"/>
  <bookViews>
    <workbookView xWindow="-108" yWindow="-108" windowWidth="23256" windowHeight="12720" xr2:uid="{4CDB34E1-560F-4998-ABAB-D6F7F2862621}"/>
  </bookViews>
  <sheets>
    <sheet name="Sheet1" sheetId="1" r:id="rId1"/>
    <sheet name="Sheet2" sheetId="16" r:id="rId2"/>
    <sheet name="Sheet3" sheetId="17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/>
  <c r="D11" i="17"/>
  <c r="C11" i="17"/>
  <c r="D10" i="17"/>
  <c r="C10" i="17"/>
  <c r="D9" i="17"/>
  <c r="C9" i="17"/>
  <c r="D7" i="17"/>
  <c r="D8" i="17" s="1"/>
  <c r="D6" i="17"/>
  <c r="C6" i="17"/>
  <c r="C7" i="17" s="1"/>
  <c r="C8" i="17" s="1"/>
  <c r="D5" i="17"/>
  <c r="C5" i="17"/>
  <c r="B5" i="17"/>
  <c r="B6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D11" i="16"/>
  <c r="C11" i="16"/>
  <c r="D10" i="16"/>
  <c r="C10" i="16"/>
  <c r="D9" i="16"/>
  <c r="D8" i="16"/>
  <c r="C8" i="16"/>
  <c r="C9" i="16" s="1"/>
  <c r="D6" i="16"/>
  <c r="D7" i="16" s="1"/>
  <c r="C6" i="16"/>
  <c r="C7" i="16" s="1"/>
  <c r="D5" i="16"/>
  <c r="C5" i="16"/>
  <c r="B5" i="16"/>
  <c r="B6" i="16" s="1"/>
  <c r="T4" i="16"/>
  <c r="W4" i="16" s="1"/>
  <c r="O4" i="16"/>
  <c r="O5" i="16" s="1"/>
  <c r="J4" i="16"/>
  <c r="U4" i="16" s="1"/>
  <c r="W3" i="16"/>
  <c r="V3" i="16"/>
  <c r="U3" i="16"/>
  <c r="W2" i="16"/>
  <c r="V2" i="16"/>
  <c r="U2" i="16"/>
  <c r="BO1" i="16"/>
  <c r="AT1" i="16"/>
  <c r="Y1" i="16"/>
  <c r="A5" i="17" l="1"/>
  <c r="A5" i="16"/>
  <c r="J5" i="17"/>
  <c r="U5" i="17" s="1"/>
  <c r="J5" i="16"/>
  <c r="U5" i="16" s="1"/>
  <c r="O5" i="17"/>
  <c r="O6" i="17" s="1"/>
  <c r="V6" i="17" s="1"/>
  <c r="B7" i="17"/>
  <c r="A7" i="17" s="1"/>
  <c r="T5" i="17"/>
  <c r="A6" i="17"/>
  <c r="J6" i="17"/>
  <c r="V4" i="16"/>
  <c r="O6" i="16"/>
  <c r="V5" i="16"/>
  <c r="B7" i="16"/>
  <c r="T5" i="16"/>
  <c r="A6" i="16"/>
  <c r="J6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6" i="1"/>
  <c r="C7" i="1" s="1"/>
  <c r="C5" i="1"/>
  <c r="O7" i="17" l="1"/>
  <c r="O8" i="17" s="1"/>
  <c r="V5" i="17"/>
  <c r="B8" i="17"/>
  <c r="A8" i="17" s="1"/>
  <c r="U6" i="17"/>
  <c r="J7" i="17"/>
  <c r="W5" i="17"/>
  <c r="T6" i="17"/>
  <c r="B8" i="16"/>
  <c r="J7" i="16"/>
  <c r="U6" i="16"/>
  <c r="A7" i="16"/>
  <c r="T6" i="16"/>
  <c r="W5" i="16"/>
  <c r="V6" i="16"/>
  <c r="O7" i="16"/>
  <c r="W3" i="1"/>
  <c r="V3" i="1"/>
  <c r="U3" i="1"/>
  <c r="V7" i="17" l="1"/>
  <c r="A8" i="16"/>
  <c r="V8" i="17"/>
  <c r="O9" i="17"/>
  <c r="W6" i="17"/>
  <c r="T7" i="17"/>
  <c r="U7" i="17"/>
  <c r="J8" i="17"/>
  <c r="B9" i="17"/>
  <c r="A9" i="17"/>
  <c r="U7" i="16"/>
  <c r="J8" i="16"/>
  <c r="W6" i="16"/>
  <c r="T7" i="16"/>
  <c r="O8" i="16"/>
  <c r="V7" i="16"/>
  <c r="B9" i="16"/>
  <c r="A9" i="16" s="1"/>
  <c r="B5" i="1"/>
  <c r="A5" i="1" s="1"/>
  <c r="D6" i="1"/>
  <c r="D5" i="1"/>
  <c r="B6" i="1" l="1"/>
  <c r="A6" i="1" s="1"/>
  <c r="B10" i="17"/>
  <c r="A10" i="17" s="1"/>
  <c r="U8" i="17"/>
  <c r="J9" i="17"/>
  <c r="O10" i="17"/>
  <c r="V9" i="17"/>
  <c r="W7" i="17"/>
  <c r="T8" i="17"/>
  <c r="T8" i="16"/>
  <c r="W7" i="16"/>
  <c r="B10" i="16"/>
  <c r="A10" i="16" s="1"/>
  <c r="U8" i="16"/>
  <c r="J9" i="16"/>
  <c r="V8" i="16"/>
  <c r="O9" i="16"/>
  <c r="Y1" i="1"/>
  <c r="U9" i="17" l="1"/>
  <c r="J10" i="17"/>
  <c r="W8" i="17"/>
  <c r="T9" i="17"/>
  <c r="V10" i="17"/>
  <c r="O11" i="17"/>
  <c r="V11" i="17" s="1"/>
  <c r="B11" i="17"/>
  <c r="A11" i="17" s="1"/>
  <c r="B11" i="16"/>
  <c r="A11" i="16" s="1"/>
  <c r="O10" i="16"/>
  <c r="V9" i="16"/>
  <c r="U9" i="16"/>
  <c r="J10" i="16"/>
  <c r="W8" i="16"/>
  <c r="T9" i="16"/>
  <c r="BO1" i="1"/>
  <c r="AT1" i="1"/>
  <c r="U10" i="17" l="1"/>
  <c r="J11" i="17"/>
  <c r="U11" i="17" s="1"/>
  <c r="W9" i="17"/>
  <c r="T10" i="17"/>
  <c r="V10" i="16"/>
  <c r="O11" i="16"/>
  <c r="V11" i="16" s="1"/>
  <c r="W9" i="16"/>
  <c r="T10" i="16"/>
  <c r="J11" i="16"/>
  <c r="U11" i="16" s="1"/>
  <c r="U10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W10" i="17" l="1"/>
  <c r="T11" i="17"/>
  <c r="W11" i="17" s="1"/>
  <c r="W10" i="16"/>
  <c r="T11" i="16"/>
  <c r="W11" i="16" s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7" i="1"/>
  <c r="J5" i="1"/>
  <c r="U5" i="1" s="1"/>
  <c r="B9" i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A8" i="1" l="1"/>
  <c r="A9" i="1" s="1"/>
  <c r="J6" i="1"/>
  <c r="T5" i="1"/>
  <c r="W5" i="1" s="1"/>
  <c r="O6" i="1"/>
  <c r="B10" i="1"/>
  <c r="O7" i="1" l="1"/>
  <c r="V7" i="1" s="1"/>
  <c r="V6" i="1"/>
  <c r="J7" i="1"/>
  <c r="U7" i="1" s="1"/>
  <c r="U6" i="1"/>
  <c r="B11" i="1"/>
  <c r="A10" i="1"/>
  <c r="T6" i="1"/>
  <c r="B12" i="1"/>
  <c r="A12" i="1" s="1"/>
  <c r="O8" i="1" l="1"/>
  <c r="V8" i="1" s="1"/>
  <c r="J8" i="1"/>
  <c r="U8" i="1" s="1"/>
  <c r="A11" i="1"/>
  <c r="T7" i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<sst xmlns="http://schemas.openxmlformats.org/spreadsheetml/2006/main" count="756" uniqueCount="156">
  <si>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</si>
  <si>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</si>
  <si>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</si>
  <si>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</si>
  <si>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</si>
  <si>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</si>
  <si>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</si>
  <si>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</si>
  <si>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</si>
  <si>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</si>
  <si>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</si>
  <si>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</si>
  <si>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</si>
  <si>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</si>
  <si>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</si>
  <si>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</si>
  <si>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</si>
  <si>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</si>
  <si>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</si>
  <si>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</si>
  <si>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</si>
  <si>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</si>
  <si>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</si>
  <si>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</si>
  <si>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</si>
  <si>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</si>
  <si>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</si>
  <si>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</si>
  <si>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</si>
  <si>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</si>
  <si>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</si>
  <si>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</si>
  <si>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</si>
  <si>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</si>
  <si>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</si>
  <si>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</si>
  <si>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</si>
  <si>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</si>
  <si>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</si>
  <si>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</si>
  <si>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</si>
  <si>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</si>
  <si>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</si>
  <si>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</si>
  <si>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</si>
  <si>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</si>
  <si>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</si>
  <si>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</si>
  <si>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</si>
  <si>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</si>
  <si>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</si>
  <si>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</si>
  <si>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</si>
  <si>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</si>
  <si>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</si>
  <si>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</si>
  <si>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</si>
  <si>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</si>
  <si>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</si>
  <si>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</si>
  <si>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</si>
  <si>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</si>
  <si>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</si>
  <si>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</si>
  <si>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</si>
  <si>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</si>
  <si>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</si>
  <si>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</si>
  <si>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</si>
  <si>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</si>
  <si>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</si>
  <si>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</si>
  <si>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</si>
  <si>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</si>
  <si>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</si>
  <si>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</si>
  <si>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</si>
  <si>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</si>
  <si>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</si>
  <si>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</si>
  <si>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</si>
  <si>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</si>
  <si>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</si>
  <si>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</si>
  <si>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</si>
  <si>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</si>
  <si>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</si>
  <si>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</si>
  <si>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</si>
  <si>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</si>
  <si>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</si>
  <si>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</si>
  <si>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</si>
  <si>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</si>
  <si>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</si>
  <si>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</si>
  <si>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</si>
  <si>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</si>
  <si>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</si>
  <si>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</si>
  <si>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</si>
  <si>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</si>
  <si>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</si>
  <si>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</si>
  <si>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</si>
  <si>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</si>
  <si>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</si>
  <si>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</si>
  <si>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</si>
  <si>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</si>
  <si>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</si>
  <si>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</si>
  <si>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</si>
  <si>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</si>
  <si>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</si>
  <si>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</si>
  <si>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</si>
  <si>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</si>
  <si>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</si>
  <si>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</si>
  <si>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</si>
  <si>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</si>
  <si>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</si>
  <si>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</si>
  <si>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</si>
  <si>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</si>
  <si>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</si>
  <si>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</si>
  <si>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</si>
  <si>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</si>
  <si>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</si>
  <si>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</si>
  <si>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</si>
  <si>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</si>
  <si>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</si>
  <si>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</si>
  <si>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</si>
  <si>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たかの</t>
  </si>
  <si>
    <t>たかの</t>
    <phoneticPr fontId="1"/>
  </si>
  <si>
    <t>れんたろう</t>
  </si>
  <si>
    <t>れんたろう</t>
    <phoneticPr fontId="1"/>
  </si>
  <si>
    <t>ツモ</t>
  </si>
  <si>
    <t>ツモ支払</t>
  </si>
  <si>
    <t>01</t>
  </si>
  <si>
    <t>N</t>
  </si>
  <si>
    <t>T</t>
  </si>
  <si>
    <t>流局</t>
    <phoneticPr fontId="1"/>
  </si>
  <si>
    <t>放銃</t>
  </si>
  <si>
    <t>ロン</t>
  </si>
  <si>
    <t>*</t>
  </si>
  <si>
    <t>02</t>
  </si>
  <si>
    <t>やがさき</t>
  </si>
  <si>
    <t>やがさき</t>
    <phoneticPr fontId="1"/>
  </si>
  <si>
    <t>ただ</t>
  </si>
  <si>
    <t>ただ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</si>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</sst>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たかの</v>
      </c>
      <c r="W2" s="16" t="str">
        <f>$P$1</f>
        <v>れんたろう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5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141</v>
      </c>
      <c r="G4" s="9">
        <v>4000</v>
      </c>
      <c r="H4" s="9"/>
      <c r="I4" s="55">
        <v>0</v>
      </c>
      <c r="J4" s="21">
        <f>IF(COUNTA($F4,$K4,$P4)&gt;0,J3+SUM(G4:I4),"")</f>
        <v>39000</v>
      </c>
      <c r="K4" s="8" t="s">
        <v>142</v>
      </c>
      <c r="L4" s="9">
        <v>-1500</v>
      </c>
      <c r="M4" s="9"/>
      <c r="N4" s="55">
        <v>0</v>
      </c>
      <c r="O4" s="21">
        <f>IF(COUNTA($F4,$K4,$P4)&gt;0,O3+SUM(L4:N4),"")</f>
        <v>33500</v>
      </c>
      <c r="P4" s="8" t="s">
        <v>142</v>
      </c>
      <c r="Q4" s="9">
        <v>-2500</v>
      </c>
      <c r="R4" s="9"/>
      <c r="S4" s="55">
        <v>0</v>
      </c>
      <c r="T4" s="21">
        <f>IF(COUNTA($F4,$K4,$P4)&gt;0,T3+SUM(Q4:S4),"")</f>
        <v>32500</v>
      </c>
      <c r="U4" s="60">
        <f t="shared" ref="U4:U30" si="0">IF($J4="","",ROUND(($J4-$J$3)/1000,1))</f>
        <v>4</v>
      </c>
      <c r="V4" s="61">
        <f t="shared" ref="V4:V30" si="1">IF($O4="","",ROUND(($O4-$O$3)/1000,1))</f>
        <v>-1.5</v>
      </c>
      <c r="W4" s="62">
        <f t="shared" ref="W4:W30" si="2">IF($T4="","",ROUND(($T4-$T$3)/1000,1))</f>
        <v>-2.5</v>
      </c>
      <c r="Y4" s="8"/>
      <c r="Z4" s="41"/>
      <c r="AA4" s="32"/>
      <c r="AB4" s="32"/>
      <c r="AC4" s="32">
        <v>3</v>
      </c>
      <c r="AD4" s="36">
        <v>30</v>
      </c>
      <c r="AE4" s="47" t="s">
        <v>83</v>
      </c>
      <c r="AF4" s="48" t="s">
        <v>87</v>
      </c>
      <c r="AG4" s="48" t="s">
        <v>82</v>
      </c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5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135</v>
      </c>
      <c r="F5" s="8" t="s">
        <v>141</v>
      </c>
      <c r="G5" s="9">
        <v>7800</v>
      </c>
      <c r="H5" s="9">
        <v>1000</v>
      </c>
      <c r="I5" s="55">
        <v>0</v>
      </c>
      <c r="J5" s="21">
        <f t="shared" ref="J5:J30" si="5">IF(COUNTA($F5,$K5,$P5)&gt;0,J4+SUM(G5:I5),"")</f>
        <v>47800</v>
      </c>
      <c r="K5" s="8" t="s">
        <v>142</v>
      </c>
      <c r="L5" s="9">
        <v>-3900</v>
      </c>
      <c r="M5" s="9"/>
      <c r="N5" s="55">
        <v>0</v>
      </c>
      <c r="O5" s="21">
        <f t="shared" ref="O5:O30" si="6">IF(COUNTA($F5,$K5,$P5)&gt;0,O4+SUM(L5:N5),"")</f>
        <v>29600</v>
      </c>
      <c r="P5" s="8" t="s">
        <v>142</v>
      </c>
      <c r="Q5" s="9">
        <v>-3900</v>
      </c>
      <c r="R5" s="9">
        <v>-1000</v>
      </c>
      <c r="S5" s="55">
        <v>0</v>
      </c>
      <c r="T5" s="21">
        <f t="shared" ref="T5:T30" si="7">IF(COUNTA($F5,$K5,$P5)&gt;0,T4+SUM(Q5:S5),"")</f>
        <v>27600</v>
      </c>
      <c r="U5" s="60">
        <f t="shared" si="0"/>
        <v>12.8</v>
      </c>
      <c r="V5" s="61">
        <f t="shared" si="1"/>
        <v>-5.4</v>
      </c>
      <c r="W5" s="62">
        <f t="shared" si="2"/>
        <v>-7.4</v>
      </c>
      <c r="Y5" s="8"/>
      <c r="Z5" s="41"/>
      <c r="AA5" s="32">
        <v>1</v>
      </c>
      <c r="AB5" s="32"/>
      <c r="AC5" s="32">
        <v>4</v>
      </c>
      <c r="AD5" s="36">
        <v>20</v>
      </c>
      <c r="AE5" s="47" t="s">
        <v>143</v>
      </c>
      <c r="AF5" s="48" t="s">
        <v>83</v>
      </c>
      <c r="AG5" s="48" t="s">
        <v>84</v>
      </c>
      <c r="AH5" s="48" t="s">
        <v>82</v>
      </c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5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135</v>
      </c>
      <c r="F6" s="8" t="s">
        <v>146</v>
      </c>
      <c r="G6" s="9">
        <v>-1500</v>
      </c>
      <c r="H6" s="9"/>
      <c r="I6" s="55"/>
      <c r="J6" s="21">
        <f t="shared" si="5"/>
        <v>46300</v>
      </c>
      <c r="K6" s="8" t="s">
        <v>146</v>
      </c>
      <c r="L6" s="9">
        <v>-1500</v>
      </c>
      <c r="M6" s="9"/>
      <c r="N6" s="55"/>
      <c r="O6" s="21">
        <f t="shared" si="6"/>
        <v>28100</v>
      </c>
      <c r="P6" s="8" t="s">
        <v>146</v>
      </c>
      <c r="Q6" s="9">
        <v>3000</v>
      </c>
      <c r="R6" s="9">
        <v>-1000</v>
      </c>
      <c r="S6" s="55"/>
      <c r="T6" s="21">
        <f t="shared" si="7"/>
        <v>29600</v>
      </c>
      <c r="U6" s="60">
        <f t="shared" si="0"/>
        <v>11.3</v>
      </c>
      <c r="V6" s="61">
        <f t="shared" si="1"/>
        <v>-6.9</v>
      </c>
      <c r="W6" s="62">
        <f t="shared" si="2"/>
        <v>-5.4</v>
      </c>
      <c r="Y6" s="8" t="s">
        <v>144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144</v>
      </c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145</v>
      </c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5">
      <c r="A7" s="13" t="str">
        <f t="shared" ref="A7:A30" si="10">IF($E7="","",IF(AND(B6=3,B7=1),_xlfn.SWITCH(A6,"東","南","南","西","西","北","北","東"),A6))</f>
        <v>東</v>
      </c>
      <c r="B7" s="18">
        <f t="shared" si="8"/>
        <v>3</v>
      </c>
      <c r="C7" s="18">
        <f t="shared" si="9"/>
        <v>2</v>
      </c>
      <c r="D7" s="18">
        <f t="shared" si="4"/>
        <v>1</v>
      </c>
      <c r="E7" s="4" t="s">
        <v>137</v>
      </c>
      <c r="F7" s="8" t="s">
        <v>147</v>
      </c>
      <c r="G7" s="9">
        <v>-12000</v>
      </c>
      <c r="H7" s="9"/>
      <c r="I7" s="55">
        <v>-2000</v>
      </c>
      <c r="J7" s="21">
        <f t="shared" si="5"/>
        <v>32300</v>
      </c>
      <c r="K7" s="8"/>
      <c r="L7" s="9"/>
      <c r="M7" s="9"/>
      <c r="N7" s="55"/>
      <c r="O7" s="21">
        <f t="shared" si="6"/>
        <v>28100</v>
      </c>
      <c r="P7" s="8" t="s">
        <v>148</v>
      </c>
      <c r="Q7" s="9">
        <v>12000</v>
      </c>
      <c r="R7" s="9">
        <v>1000</v>
      </c>
      <c r="S7" s="55">
        <v>2000</v>
      </c>
      <c r="T7" s="21">
        <f t="shared" si="7"/>
        <v>44600</v>
      </c>
      <c r="U7" s="60">
        <f t="shared" si="0"/>
        <v>-2.7</v>
      </c>
      <c r="V7" s="61">
        <f t="shared" si="1"/>
        <v>-6.9</v>
      </c>
      <c r="W7" s="62">
        <f t="shared" si="2"/>
        <v>9.6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7</v>
      </c>
      <c r="BT7" s="36" t="s">
        <v>149</v>
      </c>
      <c r="BU7" s="47" t="s">
        <v>143</v>
      </c>
      <c r="BV7" s="48" t="s">
        <v>150</v>
      </c>
      <c r="BW7" s="48" t="s">
        <v>102</v>
      </c>
      <c r="BX7" s="48" t="s">
        <v>105</v>
      </c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5">
      <c r="A8" s="13" t="str">
        <f t="shared" si="10"/>
        <v>南</v>
      </c>
      <c r="B8" s="18">
        <f t="shared" si="8"/>
        <v>1</v>
      </c>
      <c r="C8" s="18">
        <f t="shared" si="9"/>
        <v>0</v>
      </c>
      <c r="D8" s="18">
        <f t="shared" si="4"/>
        <v>0</v>
      </c>
      <c r="E8" s="4" t="s">
        <v>139</v>
      </c>
      <c r="F8" s="8"/>
      <c r="G8" s="9"/>
      <c r="H8" s="9"/>
      <c r="I8" s="55"/>
      <c r="J8" s="21">
        <f t="shared" si="5"/>
        <v>32300</v>
      </c>
      <c r="K8" s="8" t="s">
        <v>147</v>
      </c>
      <c r="L8" s="9">
        <v>-12000</v>
      </c>
      <c r="M8" s="9"/>
      <c r="N8" s="55">
        <v>0</v>
      </c>
      <c r="O8" s="21">
        <f t="shared" si="6"/>
        <v>16100</v>
      </c>
      <c r="P8" s="8" t="s">
        <v>148</v>
      </c>
      <c r="Q8" s="9">
        <v>12000</v>
      </c>
      <c r="R8" s="9"/>
      <c r="S8" s="55">
        <v>0</v>
      </c>
      <c r="T8" s="21">
        <f t="shared" si="7"/>
        <v>56600</v>
      </c>
      <c r="U8" s="60">
        <f t="shared" si="0"/>
        <v>-2.7</v>
      </c>
      <c r="V8" s="61">
        <f t="shared" si="1"/>
        <v>-18.899999999999999</v>
      </c>
      <c r="W8" s="62">
        <f t="shared" si="2"/>
        <v>21.6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4</v>
      </c>
      <c r="BT8" s="36">
        <v>40</v>
      </c>
      <c r="BU8" s="47" t="s">
        <v>143</v>
      </c>
      <c r="BV8" s="48" t="s">
        <v>87</v>
      </c>
      <c r="BW8" s="48" t="s">
        <v>80</v>
      </c>
      <c r="BX8" s="48" t="s">
        <v>81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5">
      <c r="A9" s="13" t="str">
        <f t="shared" si="10"/>
        <v>南</v>
      </c>
      <c r="B9" s="18">
        <f t="shared" si="8"/>
        <v>1</v>
      </c>
      <c r="C9" s="18">
        <f t="shared" si="9"/>
        <v>1</v>
      </c>
      <c r="D9" s="18">
        <f t="shared" si="4"/>
        <v>0</v>
      </c>
      <c r="E9" s="4" t="s">
        <v>139</v>
      </c>
      <c r="F9" s="8" t="s">
        <v>148</v>
      </c>
      <c r="G9" s="9">
        <v>5200</v>
      </c>
      <c r="H9" s="9">
        <v>1000</v>
      </c>
      <c r="I9" s="55">
        <v>1000</v>
      </c>
      <c r="J9" s="21">
        <f t="shared" si="5"/>
        <v>39500</v>
      </c>
      <c r="K9" s="8" t="s">
        <v>147</v>
      </c>
      <c r="L9" s="9">
        <v>-5200</v>
      </c>
      <c r="M9" s="9"/>
      <c r="N9" s="55">
        <v>-1000</v>
      </c>
      <c r="O9" s="21">
        <f t="shared" si="6"/>
        <v>9900</v>
      </c>
      <c r="P9" s="8"/>
      <c r="Q9" s="9"/>
      <c r="R9" s="9">
        <v>-1000</v>
      </c>
      <c r="S9" s="55"/>
      <c r="T9" s="21">
        <f t="shared" si="7"/>
        <v>55600</v>
      </c>
      <c r="U9" s="60">
        <f t="shared" si="0"/>
        <v>4.5</v>
      </c>
      <c r="V9" s="61">
        <f t="shared" si="1"/>
        <v>-25.1</v>
      </c>
      <c r="W9" s="62">
        <f t="shared" si="2"/>
        <v>20.6</v>
      </c>
      <c r="Y9" s="8"/>
      <c r="Z9" s="41"/>
      <c r="AA9" s="32">
        <v>1</v>
      </c>
      <c r="AB9" s="32"/>
      <c r="AC9" s="32">
        <v>3</v>
      </c>
      <c r="AD9" s="36">
        <v>40</v>
      </c>
      <c r="AE9" s="47" t="s">
        <v>143</v>
      </c>
      <c r="AF9" s="48" t="s">
        <v>150</v>
      </c>
      <c r="AG9" s="48" t="s">
        <v>82</v>
      </c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5">
      <c r="A10" s="13" t="str">
        <f t="shared" si="10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135</v>
      </c>
      <c r="F10" s="8" t="s">
        <v>142</v>
      </c>
      <c r="G10" s="9">
        <v>-5000</v>
      </c>
      <c r="H10" s="9"/>
      <c r="I10" s="55">
        <v>0</v>
      </c>
      <c r="J10" s="21">
        <f t="shared" si="5"/>
        <v>34500</v>
      </c>
      <c r="K10" s="8" t="s">
        <v>141</v>
      </c>
      <c r="L10" s="9">
        <v>8000</v>
      </c>
      <c r="M10" s="9"/>
      <c r="N10" s="55">
        <v>0</v>
      </c>
      <c r="O10" s="21">
        <f t="shared" si="6"/>
        <v>17900</v>
      </c>
      <c r="P10" s="8" t="s">
        <v>142</v>
      </c>
      <c r="Q10" s="9">
        <v>-3000</v>
      </c>
      <c r="R10" s="9"/>
      <c r="S10" s="55">
        <v>0</v>
      </c>
      <c r="T10" s="21">
        <f t="shared" si="7"/>
        <v>52600</v>
      </c>
      <c r="U10" s="60">
        <f t="shared" si="0"/>
        <v>-0.5</v>
      </c>
      <c r="V10" s="61">
        <f t="shared" si="1"/>
        <v>-17.100000000000001</v>
      </c>
      <c r="W10" s="62">
        <f t="shared" si="2"/>
        <v>17.600000000000001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>
        <v>5</v>
      </c>
      <c r="AY10" s="36" t="s">
        <v>149</v>
      </c>
      <c r="AZ10" s="47" t="s">
        <v>80</v>
      </c>
      <c r="BA10" s="48" t="s">
        <v>80</v>
      </c>
      <c r="BB10" s="48" t="s">
        <v>80</v>
      </c>
      <c r="BC10" s="48" t="s">
        <v>105</v>
      </c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5">
      <c r="A11" s="13" t="str">
        <f t="shared" si="10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137</v>
      </c>
      <c r="F11" s="8" t="s">
        <v>148</v>
      </c>
      <c r="G11" s="9">
        <v>8000</v>
      </c>
      <c r="H11" s="9"/>
      <c r="I11" s="55">
        <v>0</v>
      </c>
      <c r="J11" s="21">
        <f t="shared" si="5"/>
        <v>42500</v>
      </c>
      <c r="K11" s="8" t="s">
        <v>147</v>
      </c>
      <c r="L11" s="9">
        <v>-8000</v>
      </c>
      <c r="M11" s="9"/>
      <c r="N11" s="55">
        <v>0</v>
      </c>
      <c r="O11" s="21">
        <f t="shared" si="6"/>
        <v>9900</v>
      </c>
      <c r="P11" s="8"/>
      <c r="Q11" s="9"/>
      <c r="R11" s="9"/>
      <c r="S11" s="55"/>
      <c r="T11" s="21">
        <f t="shared" si="7"/>
        <v>52600</v>
      </c>
      <c r="U11" s="60">
        <f t="shared" si="0"/>
        <v>7.5</v>
      </c>
      <c r="V11" s="61">
        <f t="shared" si="1"/>
        <v>-25.1</v>
      </c>
      <c r="W11" s="62">
        <f t="shared" si="2"/>
        <v>17.600000000000001</v>
      </c>
      <c r="Y11" s="8"/>
      <c r="Z11" s="41"/>
      <c r="AA11" s="32"/>
      <c r="AB11" s="32">
        <v>1</v>
      </c>
      <c r="AC11" s="32">
        <v>4</v>
      </c>
      <c r="AD11" s="36">
        <v>30</v>
      </c>
      <c r="AE11" s="47" t="s">
        <v>105</v>
      </c>
      <c r="AF11" s="48" t="s">
        <v>99</v>
      </c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5">
      <c r="A12" s="13" t="str">
        <f t="shared" si="10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5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5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5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5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5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5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5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5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5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5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5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5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5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5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5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5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5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5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7109-C93B-4860-832C-7EB3176D2CC0}">
  <sheetPr codeName="Sheet10">
    <pageSetUpPr fitToPage="1"/>
  </sheetPr>
  <dimension ref="A1:CI30"/>
  <sheetViews>
    <sheetView zoomScaleNormal="100" workbookViewId="0">
      <selection activeCell="M12" sqref="M1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152</v>
      </c>
      <c r="G1" s="74"/>
      <c r="H1" s="74"/>
      <c r="I1" s="83"/>
      <c r="J1" s="75"/>
      <c r="K1" s="72" t="s">
        <v>154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やがさき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やがさき</v>
      </c>
      <c r="V2" s="71" t="str">
        <f>$K$1</f>
        <v>ただ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5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142</v>
      </c>
      <c r="G4" s="9">
        <v>-3000</v>
      </c>
      <c r="H4" s="9"/>
      <c r="I4" s="55">
        <v>0</v>
      </c>
      <c r="J4" s="21">
        <f>IF(COUNTA($F4,$K4,$P4)&gt;0,J3+SUM(G4:I4),"")</f>
        <v>32000</v>
      </c>
      <c r="K4" s="8" t="s">
        <v>142</v>
      </c>
      <c r="L4" s="9">
        <v>-3000</v>
      </c>
      <c r="M4" s="9"/>
      <c r="N4" s="55">
        <v>0</v>
      </c>
      <c r="O4" s="21">
        <f>IF(COUNTA($F4,$K4,$P4)&gt;0,O3+SUM(L4:N4),"")</f>
        <v>32000</v>
      </c>
      <c r="P4" s="8" t="s">
        <v>141</v>
      </c>
      <c r="Q4" s="9">
        <v>6000</v>
      </c>
      <c r="R4" s="9"/>
      <c r="S4" s="55">
        <v>0</v>
      </c>
      <c r="T4" s="21">
        <f>IF(COUNTA($F4,$K4,$P4)&gt;0,T3+SUM(Q4:S4),"")</f>
        <v>41000</v>
      </c>
      <c r="U4" s="60">
        <f t="shared" ref="U4:U30" si="0">IF($J4="","",ROUND(($J4-$J$3)/1000,1))</f>
        <v>-3</v>
      </c>
      <c r="V4" s="61">
        <f t="shared" ref="V4:V30" si="1">IF($O4="","",ROUND(($O4-$O$3)/1000,1))</f>
        <v>-3</v>
      </c>
      <c r="W4" s="62">
        <f t="shared" ref="W4:W30" si="2">IF($T4="","",ROUND(($T4-$T$3)/1000,1))</f>
        <v>6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3</v>
      </c>
      <c r="BT4" s="36">
        <v>30</v>
      </c>
      <c r="BU4" s="47" t="s">
        <v>83</v>
      </c>
      <c r="BV4" s="48" t="s">
        <v>82</v>
      </c>
      <c r="BW4" s="48" t="s">
        <v>80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5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4">IF($E5="","",IF(OR($F4="流局",$F4="チョンボ"),D4+($H4+$M4+$R4)/-1000,0))</f>
        <v>0</v>
      </c>
      <c r="E5" s="4" t="s">
        <v>139</v>
      </c>
      <c r="F5" s="8" t="s">
        <v>147</v>
      </c>
      <c r="G5" s="9">
        <v>-2600</v>
      </c>
      <c r="H5" s="9"/>
      <c r="I5" s="55">
        <v>-1000</v>
      </c>
      <c r="J5" s="21">
        <f t="shared" ref="J5:J30" si="5">IF(COUNTA($F5,$K5,$P5)&gt;0,J4+SUM(G5:I5),"")</f>
        <v>28400</v>
      </c>
      <c r="K5" s="8" t="s">
        <v>148</v>
      </c>
      <c r="L5" s="9">
        <v>2600</v>
      </c>
      <c r="M5" s="9"/>
      <c r="N5" s="55">
        <v>1000</v>
      </c>
      <c r="O5" s="21">
        <f t="shared" ref="O5:O30" si="6">IF(COUNTA($F5,$K5,$P5)&gt;0,O4+SUM(L5:N5),"")</f>
        <v>35600</v>
      </c>
      <c r="P5" s="8"/>
      <c r="Q5" s="9"/>
      <c r="R5" s="9"/>
      <c r="S5" s="55"/>
      <c r="T5" s="21">
        <f t="shared" ref="T5:T30" si="7">IF(COUNTA($F5,$K5,$P5)&gt;0,T4+SUM(Q5:S5),"")</f>
        <v>41000</v>
      </c>
      <c r="U5" s="60">
        <f t="shared" si="0"/>
        <v>-6.6</v>
      </c>
      <c r="V5" s="61">
        <f t="shared" si="1"/>
        <v>0.6</v>
      </c>
      <c r="W5" s="62">
        <f t="shared" si="2"/>
        <v>6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>
        <v>2</v>
      </c>
      <c r="AY5" s="36">
        <v>40</v>
      </c>
      <c r="AZ5" s="47" t="s">
        <v>87</v>
      </c>
      <c r="BA5" s="48" t="s">
        <v>82</v>
      </c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5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151</v>
      </c>
      <c r="F6" s="8" t="s">
        <v>148</v>
      </c>
      <c r="G6" s="9">
        <v>12000</v>
      </c>
      <c r="H6" s="9">
        <v>1000</v>
      </c>
      <c r="I6" s="55">
        <v>0</v>
      </c>
      <c r="J6" s="21">
        <f t="shared" si="5"/>
        <v>41400</v>
      </c>
      <c r="K6" s="8"/>
      <c r="L6" s="9"/>
      <c r="M6" s="9"/>
      <c r="N6" s="55"/>
      <c r="O6" s="21">
        <f t="shared" si="6"/>
        <v>35600</v>
      </c>
      <c r="P6" s="8" t="s">
        <v>147</v>
      </c>
      <c r="Q6" s="9">
        <v>-12000</v>
      </c>
      <c r="R6" s="9">
        <v>-1000</v>
      </c>
      <c r="S6" s="55">
        <v>0</v>
      </c>
      <c r="T6" s="21">
        <f t="shared" si="7"/>
        <v>28000</v>
      </c>
      <c r="U6" s="60">
        <f t="shared" si="0"/>
        <v>6.4</v>
      </c>
      <c r="V6" s="61">
        <f t="shared" si="1"/>
        <v>0.6</v>
      </c>
      <c r="W6" s="62">
        <f t="shared" si="2"/>
        <v>-7</v>
      </c>
      <c r="Y6" s="8"/>
      <c r="Z6" s="41"/>
      <c r="AA6" s="32"/>
      <c r="AB6" s="32">
        <v>1</v>
      </c>
      <c r="AC6" s="32">
        <v>4</v>
      </c>
      <c r="AD6" s="36">
        <v>30</v>
      </c>
      <c r="AE6" s="47" t="s">
        <v>87</v>
      </c>
      <c r="AF6" s="48" t="s">
        <v>105</v>
      </c>
      <c r="AG6" s="48" t="s">
        <v>87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5">
      <c r="A7" s="13" t="str">
        <f t="shared" si="3"/>
        <v>東</v>
      </c>
      <c r="B7" s="18">
        <f t="shared" si="8"/>
        <v>2</v>
      </c>
      <c r="C7" s="18">
        <f t="shared" si="9"/>
        <v>1</v>
      </c>
      <c r="D7" s="18">
        <f t="shared" si="4"/>
        <v>0</v>
      </c>
      <c r="E7" s="4" t="s">
        <v>151</v>
      </c>
      <c r="F7" s="8" t="s">
        <v>147</v>
      </c>
      <c r="G7" s="9">
        <v>-12000</v>
      </c>
      <c r="H7" s="9">
        <v>-1000</v>
      </c>
      <c r="I7" s="55">
        <v>-1000</v>
      </c>
      <c r="J7" s="21">
        <f t="shared" si="5"/>
        <v>27400</v>
      </c>
      <c r="K7" s="8" t="s">
        <v>148</v>
      </c>
      <c r="L7" s="9">
        <v>12000</v>
      </c>
      <c r="M7" s="9">
        <v>1000</v>
      </c>
      <c r="N7" s="55">
        <v>1000</v>
      </c>
      <c r="O7" s="21">
        <f t="shared" si="6"/>
        <v>49600</v>
      </c>
      <c r="P7" s="8"/>
      <c r="Q7" s="9"/>
      <c r="R7" s="9"/>
      <c r="S7" s="55"/>
      <c r="T7" s="21">
        <f t="shared" si="7"/>
        <v>28000</v>
      </c>
      <c r="U7" s="60">
        <f t="shared" si="0"/>
        <v>-7.6</v>
      </c>
      <c r="V7" s="61">
        <f t="shared" si="1"/>
        <v>14.6</v>
      </c>
      <c r="W7" s="62">
        <f t="shared" si="2"/>
        <v>-7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>
        <v>7</v>
      </c>
      <c r="AY7" s="36" t="s">
        <v>149</v>
      </c>
      <c r="AZ7" s="47" t="s">
        <v>105</v>
      </c>
      <c r="BA7" s="48" t="s">
        <v>87</v>
      </c>
      <c r="BB7" s="48" t="s">
        <v>80</v>
      </c>
      <c r="BC7" s="48" t="s">
        <v>80</v>
      </c>
      <c r="BD7" s="48" t="s">
        <v>80</v>
      </c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5">
      <c r="A8" s="13" t="str">
        <f t="shared" si="3"/>
        <v>東</v>
      </c>
      <c r="B8" s="18">
        <f t="shared" si="8"/>
        <v>3</v>
      </c>
      <c r="C8" s="18">
        <f t="shared" si="9"/>
        <v>0</v>
      </c>
      <c r="D8" s="18">
        <f t="shared" si="4"/>
        <v>0</v>
      </c>
      <c r="E8" s="4" t="s">
        <v>153</v>
      </c>
      <c r="F8" s="8"/>
      <c r="G8" s="9"/>
      <c r="H8" s="9"/>
      <c r="I8" s="55"/>
      <c r="J8" s="21">
        <f t="shared" si="5"/>
        <v>27400</v>
      </c>
      <c r="K8" s="8" t="s">
        <v>147</v>
      </c>
      <c r="L8" s="9">
        <v>-8000</v>
      </c>
      <c r="M8" s="9"/>
      <c r="N8" s="55">
        <v>0</v>
      </c>
      <c r="O8" s="21">
        <f t="shared" si="6"/>
        <v>41600</v>
      </c>
      <c r="P8" s="8" t="s">
        <v>148</v>
      </c>
      <c r="Q8" s="9">
        <v>8000</v>
      </c>
      <c r="R8" s="9"/>
      <c r="S8" s="55">
        <v>0</v>
      </c>
      <c r="T8" s="21">
        <f t="shared" si="7"/>
        <v>36000</v>
      </c>
      <c r="U8" s="60">
        <f t="shared" si="0"/>
        <v>-7.6</v>
      </c>
      <c r="V8" s="61">
        <f t="shared" si="1"/>
        <v>6.6</v>
      </c>
      <c r="W8" s="62">
        <f t="shared" si="2"/>
        <v>1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5</v>
      </c>
      <c r="BT8" s="36" t="s">
        <v>149</v>
      </c>
      <c r="BU8" s="47" t="s">
        <v>143</v>
      </c>
      <c r="BV8" s="48" t="s">
        <v>84</v>
      </c>
      <c r="BW8" s="48" t="s">
        <v>82</v>
      </c>
      <c r="BX8" s="48" t="s">
        <v>82</v>
      </c>
      <c r="BY8" s="48" t="s">
        <v>81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5">
      <c r="A9" s="13" t="str">
        <f t="shared" si="3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139</v>
      </c>
      <c r="F9" s="8" t="s">
        <v>142</v>
      </c>
      <c r="G9" s="9">
        <v>-3000</v>
      </c>
      <c r="H9" s="9"/>
      <c r="I9" s="55">
        <v>0</v>
      </c>
      <c r="J9" s="21">
        <f t="shared" si="5"/>
        <v>24400</v>
      </c>
      <c r="K9" s="8" t="s">
        <v>141</v>
      </c>
      <c r="L9" s="9">
        <v>8000</v>
      </c>
      <c r="M9" s="9"/>
      <c r="N9" s="55">
        <v>0</v>
      </c>
      <c r="O9" s="21">
        <f t="shared" si="6"/>
        <v>49600</v>
      </c>
      <c r="P9" s="8" t="s">
        <v>142</v>
      </c>
      <c r="Q9" s="9">
        <v>-5000</v>
      </c>
      <c r="R9" s="9"/>
      <c r="S9" s="55">
        <v>0</v>
      </c>
      <c r="T9" s="21">
        <f t="shared" si="7"/>
        <v>31000</v>
      </c>
      <c r="U9" s="60">
        <f t="shared" si="0"/>
        <v>-10.6</v>
      </c>
      <c r="V9" s="61">
        <f t="shared" si="1"/>
        <v>14.6</v>
      </c>
      <c r="W9" s="62">
        <f t="shared" si="2"/>
        <v>-4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5</v>
      </c>
      <c r="AY9" s="36" t="s">
        <v>149</v>
      </c>
      <c r="AZ9" s="47" t="s">
        <v>87</v>
      </c>
      <c r="BA9" s="48" t="s">
        <v>80</v>
      </c>
      <c r="BB9" s="48" t="s">
        <v>80</v>
      </c>
      <c r="BC9" s="48" t="s">
        <v>82</v>
      </c>
      <c r="BD9" s="48" t="s">
        <v>82</v>
      </c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5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151</v>
      </c>
      <c r="F10" s="8" t="s">
        <v>142</v>
      </c>
      <c r="G10" s="9">
        <v>-7500</v>
      </c>
      <c r="H10" s="9"/>
      <c r="I10" s="55">
        <v>0</v>
      </c>
      <c r="J10" s="21">
        <f t="shared" si="5"/>
        <v>16900</v>
      </c>
      <c r="K10" s="8" t="s">
        <v>141</v>
      </c>
      <c r="L10" s="9">
        <v>12000</v>
      </c>
      <c r="M10" s="9">
        <v>1000</v>
      </c>
      <c r="N10" s="55">
        <v>0</v>
      </c>
      <c r="O10" s="21">
        <f t="shared" si="6"/>
        <v>62600</v>
      </c>
      <c r="P10" s="8" t="s">
        <v>142</v>
      </c>
      <c r="Q10" s="9">
        <v>-4500</v>
      </c>
      <c r="R10" s="9">
        <v>-1000</v>
      </c>
      <c r="S10" s="55">
        <v>0</v>
      </c>
      <c r="T10" s="21">
        <f t="shared" si="7"/>
        <v>25500</v>
      </c>
      <c r="U10" s="60">
        <f t="shared" si="0"/>
        <v>-18.100000000000001</v>
      </c>
      <c r="V10" s="61">
        <f t="shared" si="1"/>
        <v>27.6</v>
      </c>
      <c r="W10" s="62">
        <f t="shared" si="2"/>
        <v>-9.5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6</v>
      </c>
      <c r="AY10" s="36" t="s">
        <v>149</v>
      </c>
      <c r="AZ10" s="47" t="s">
        <v>143</v>
      </c>
      <c r="BA10" s="48" t="s">
        <v>83</v>
      </c>
      <c r="BB10" s="48" t="s">
        <v>82</v>
      </c>
      <c r="BC10" s="48" t="s">
        <v>81</v>
      </c>
      <c r="BD10" s="48" t="s">
        <v>81</v>
      </c>
      <c r="BE10" s="48" t="s">
        <v>81</v>
      </c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5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153</v>
      </c>
      <c r="F11" s="8" t="s">
        <v>155</v>
      </c>
      <c r="G11" s="9">
        <v>1500</v>
      </c>
      <c r="H11" s="9">
        <v>-1000</v>
      </c>
      <c r="I11" s="55"/>
      <c r="J11" s="21">
        <f t="shared" si="5"/>
        <v>17400</v>
      </c>
      <c r="K11" s="8" t="s">
        <v>155</v>
      </c>
      <c r="L11" s="9">
        <v>-3000</v>
      </c>
      <c r="M11" s="9">
        <v>1000</v>
      </c>
      <c r="N11" s="55"/>
      <c r="O11" s="21">
        <f t="shared" si="6"/>
        <v>60600</v>
      </c>
      <c r="P11" s="8" t="s">
        <v>155</v>
      </c>
      <c r="Q11" s="9">
        <v>1500</v>
      </c>
      <c r="R11" s="9"/>
      <c r="S11" s="55"/>
      <c r="T11" s="21">
        <f t="shared" si="7"/>
        <v>27000</v>
      </c>
      <c r="U11" s="60">
        <f t="shared" si="0"/>
        <v>-17.600000000000001</v>
      </c>
      <c r="V11" s="61">
        <f t="shared" si="1"/>
        <v>25.6</v>
      </c>
      <c r="W11" s="62">
        <f t="shared" si="2"/>
        <v>-8</v>
      </c>
      <c r="Y11" s="8" t="s">
        <v>145</v>
      </c>
      <c r="Z11" s="41"/>
      <c r="AA11" s="32">
        <v>1</v>
      </c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 t="s">
        <v>144</v>
      </c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 t="s">
        <v>145</v>
      </c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5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5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5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5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5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5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5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5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5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5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5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5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5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5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5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5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5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5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5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80045333-FEE9-4441-905B-013074557D18}">
      <formula1>$U$2:$W$2</formula1>
    </dataValidation>
    <dataValidation type="list" showInputMessage="1" showErrorMessage="1" sqref="K4:K30 P4:P30 F4:F30" xr:uid="{88EF0A04-863B-4CF7-ADA0-6D8647B9C52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858C0-A1AA-4276-BE15-7D2DDD5C45CB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140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たかの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たかの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5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147</v>
      </c>
      <c r="G4" s="9">
        <v>-2600</v>
      </c>
      <c r="H4" s="9">
        <v>-1000</v>
      </c>
      <c r="I4" s="55">
        <v>0</v>
      </c>
      <c r="J4" s="21">
        <f>IF(COUNTA($F4,$K4,$P4)&gt;0,J3+SUM(G4:I4),"")</f>
        <v>31400</v>
      </c>
      <c r="K4" s="8"/>
      <c r="L4" s="9"/>
      <c r="M4" s="9"/>
      <c r="N4" s="55"/>
      <c r="O4" s="21">
        <f>IF(COUNTA($F4,$K4,$P4)&gt;0,O3+SUM(L4:N4),"")</f>
        <v>35000</v>
      </c>
      <c r="P4" s="8" t="s">
        <v>148</v>
      </c>
      <c r="Q4" s="9">
        <v>2600</v>
      </c>
      <c r="R4" s="9">
        <v>1000</v>
      </c>
      <c r="S4" s="55">
        <v>0</v>
      </c>
      <c r="T4" s="21">
        <f>IF(COUNTA($F4,$K4,$P4)&gt;0,T3+SUM(Q4:S4),"")</f>
        <v>38600</v>
      </c>
      <c r="U4" s="60">
        <f t="shared" ref="U4:U30" si="0">IF($J4="","",ROUND(($J4-$J$3)/1000,1))</f>
        <v>-3.6</v>
      </c>
      <c r="V4" s="61">
        <f t="shared" ref="V4:V30" si="1">IF($O4="","",ROUND(($O4-$O$3)/1000,1))</f>
        <v>0</v>
      </c>
      <c r="W4" s="62">
        <f t="shared" ref="W4:W30" si="2">IF($T4="","",ROUND(($T4-$T$3)/1000,1))</f>
        <v>3.6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2</v>
      </c>
      <c r="BT4" s="36">
        <v>40</v>
      </c>
      <c r="BU4" s="47" t="s">
        <v>143</v>
      </c>
      <c r="BV4" s="48" t="s">
        <v>82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5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139</v>
      </c>
      <c r="F5" s="8"/>
      <c r="G5" s="9"/>
      <c r="H5" s="9"/>
      <c r="I5" s="55"/>
      <c r="J5" s="21">
        <f t="shared" ref="J5:J30" si="5">IF(COUNTA($F5,$K5,$P5)&gt;0,J4+SUM(G5:I5),"")</f>
        <v>31400</v>
      </c>
      <c r="K5" s="8" t="s">
        <v>148</v>
      </c>
      <c r="L5" s="9">
        <v>8000</v>
      </c>
      <c r="M5" s="9"/>
      <c r="N5" s="55">
        <v>0</v>
      </c>
      <c r="O5" s="21">
        <f t="shared" ref="O5:O30" si="6">IF(COUNTA($F5,$K5,$P5)&gt;0,O4+SUM(L5:N5),"")</f>
        <v>43000</v>
      </c>
      <c r="P5" s="8" t="s">
        <v>147</v>
      </c>
      <c r="Q5" s="9">
        <v>-8000</v>
      </c>
      <c r="R5" s="9"/>
      <c r="S5" s="55">
        <v>0</v>
      </c>
      <c r="T5" s="21">
        <f t="shared" ref="T5:T30" si="7">IF(COUNTA($F5,$K5,$P5)&gt;0,T4+SUM(Q5:S5),"")</f>
        <v>30600</v>
      </c>
      <c r="U5" s="60">
        <f t="shared" si="0"/>
        <v>-3.6</v>
      </c>
      <c r="V5" s="61">
        <f t="shared" si="1"/>
        <v>8</v>
      </c>
      <c r="W5" s="62">
        <f t="shared" si="2"/>
        <v>-4.4000000000000004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4</v>
      </c>
      <c r="AY5" s="36">
        <v>40</v>
      </c>
      <c r="AZ5" s="47" t="s">
        <v>143</v>
      </c>
      <c r="BA5" s="48" t="s">
        <v>80</v>
      </c>
      <c r="BB5" s="48" t="s">
        <v>81</v>
      </c>
      <c r="BC5" s="48" t="s">
        <v>82</v>
      </c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5">
      <c r="A6" s="13" t="str">
        <f t="shared" si="3"/>
        <v>東</v>
      </c>
      <c r="B6" s="18">
        <f t="shared" ref="B6:B30" si="8">IF($E6="","",IF($E5=$E6,B5,IF(B5=3,1,B5+1)))</f>
        <v>3</v>
      </c>
      <c r="C6" s="18">
        <f t="shared" ref="C6:C30" si="9">IF($E6="","",IF($F5="チョンボ",C5,IF(OR($E5=$E6,$F5="流局"),C5+1,0)))</f>
        <v>0</v>
      </c>
      <c r="D6" s="18">
        <f t="shared" si="4"/>
        <v>0</v>
      </c>
      <c r="E6" s="4" t="s">
        <v>135</v>
      </c>
      <c r="F6" s="8" t="s">
        <v>148</v>
      </c>
      <c r="G6" s="9">
        <v>24000</v>
      </c>
      <c r="H6" s="9"/>
      <c r="I6" s="55">
        <v>0</v>
      </c>
      <c r="J6" s="21">
        <f t="shared" si="5"/>
        <v>55400</v>
      </c>
      <c r="K6" s="8" t="s">
        <v>147</v>
      </c>
      <c r="L6" s="9">
        <v>-24000</v>
      </c>
      <c r="M6" s="9"/>
      <c r="N6" s="55">
        <v>0</v>
      </c>
      <c r="O6" s="21">
        <f t="shared" si="6"/>
        <v>19000</v>
      </c>
      <c r="P6" s="8"/>
      <c r="Q6" s="9"/>
      <c r="R6" s="9"/>
      <c r="S6" s="55"/>
      <c r="T6" s="21">
        <f t="shared" si="7"/>
        <v>30600</v>
      </c>
      <c r="U6" s="60">
        <f t="shared" si="0"/>
        <v>20.399999999999999</v>
      </c>
      <c r="V6" s="61">
        <f t="shared" si="1"/>
        <v>-16</v>
      </c>
      <c r="W6" s="62">
        <f t="shared" si="2"/>
        <v>-4.4000000000000004</v>
      </c>
      <c r="Y6" s="8"/>
      <c r="Z6" s="41"/>
      <c r="AA6" s="32">
        <v>1</v>
      </c>
      <c r="AB6" s="32"/>
      <c r="AC6" s="32">
        <v>8</v>
      </c>
      <c r="AD6" s="36" t="s">
        <v>149</v>
      </c>
      <c r="AE6" s="47" t="s">
        <v>143</v>
      </c>
      <c r="AF6" s="48" t="s">
        <v>150</v>
      </c>
      <c r="AG6" s="48" t="s">
        <v>87</v>
      </c>
      <c r="AH6" s="48" t="s">
        <v>87</v>
      </c>
      <c r="AI6" s="48" t="s">
        <v>82</v>
      </c>
      <c r="AJ6" s="48" t="s">
        <v>85</v>
      </c>
      <c r="AK6" s="48" t="s">
        <v>80</v>
      </c>
      <c r="AL6" s="48" t="s">
        <v>80</v>
      </c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5">
      <c r="A7" s="13" t="str">
        <f t="shared" si="3"/>
        <v>東</v>
      </c>
      <c r="B7" s="18">
        <f t="shared" si="8"/>
        <v>3</v>
      </c>
      <c r="C7" s="18">
        <f t="shared" si="9"/>
        <v>1</v>
      </c>
      <c r="D7" s="18">
        <f t="shared" si="4"/>
        <v>0</v>
      </c>
      <c r="E7" s="4" t="s">
        <v>135</v>
      </c>
      <c r="F7" s="8" t="s">
        <v>155</v>
      </c>
      <c r="G7" s="9">
        <v>3000</v>
      </c>
      <c r="H7" s="9">
        <v>-1000</v>
      </c>
      <c r="I7" s="55"/>
      <c r="J7" s="21">
        <f t="shared" si="5"/>
        <v>57400</v>
      </c>
      <c r="K7" s="8" t="s">
        <v>155</v>
      </c>
      <c r="L7" s="9">
        <v>-1500</v>
      </c>
      <c r="M7" s="9"/>
      <c r="N7" s="55"/>
      <c r="O7" s="21">
        <f t="shared" si="6"/>
        <v>17500</v>
      </c>
      <c r="P7" s="8" t="s">
        <v>155</v>
      </c>
      <c r="Q7" s="9">
        <v>-1500</v>
      </c>
      <c r="R7" s="9"/>
      <c r="S7" s="55"/>
      <c r="T7" s="21">
        <f t="shared" si="7"/>
        <v>29100</v>
      </c>
      <c r="U7" s="60">
        <f t="shared" si="0"/>
        <v>22.4</v>
      </c>
      <c r="V7" s="61">
        <f t="shared" si="1"/>
        <v>-17.5</v>
      </c>
      <c r="W7" s="62">
        <f t="shared" si="2"/>
        <v>-5.9</v>
      </c>
      <c r="Y7" s="8" t="s">
        <v>145</v>
      </c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144</v>
      </c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144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5">
      <c r="A8" s="13" t="str">
        <f t="shared" si="3"/>
        <v>東</v>
      </c>
      <c r="B8" s="18">
        <f t="shared" si="8"/>
        <v>3</v>
      </c>
      <c r="C8" s="18">
        <f t="shared" si="9"/>
        <v>2</v>
      </c>
      <c r="D8" s="18">
        <f t="shared" si="4"/>
        <v>1</v>
      </c>
      <c r="E8" s="4" t="s">
        <v>135</v>
      </c>
      <c r="F8" s="8" t="s">
        <v>142</v>
      </c>
      <c r="G8" s="9">
        <v>-5000</v>
      </c>
      <c r="H8" s="9"/>
      <c r="I8" s="55">
        <v>-1000</v>
      </c>
      <c r="J8" s="21">
        <f t="shared" si="5"/>
        <v>51400</v>
      </c>
      <c r="K8" s="8" t="s">
        <v>141</v>
      </c>
      <c r="L8" s="9">
        <v>8000</v>
      </c>
      <c r="M8" s="9">
        <v>1000</v>
      </c>
      <c r="N8" s="55">
        <v>2000</v>
      </c>
      <c r="O8" s="21">
        <f t="shared" si="6"/>
        <v>28500</v>
      </c>
      <c r="P8" s="8" t="s">
        <v>142</v>
      </c>
      <c r="Q8" s="9">
        <v>-3000</v>
      </c>
      <c r="R8" s="9"/>
      <c r="S8" s="55">
        <v>-1000</v>
      </c>
      <c r="T8" s="21">
        <f t="shared" si="7"/>
        <v>25100</v>
      </c>
      <c r="U8" s="60">
        <f t="shared" si="0"/>
        <v>16.399999999999999</v>
      </c>
      <c r="V8" s="61">
        <f t="shared" si="1"/>
        <v>-6.5</v>
      </c>
      <c r="W8" s="62">
        <f t="shared" si="2"/>
        <v>-9.9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5</v>
      </c>
      <c r="AY8" s="36" t="s">
        <v>149</v>
      </c>
      <c r="AZ8" s="47" t="s">
        <v>143</v>
      </c>
      <c r="BA8" s="48" t="s">
        <v>83</v>
      </c>
      <c r="BB8" s="48" t="s">
        <v>82</v>
      </c>
      <c r="BC8" s="48" t="s">
        <v>82</v>
      </c>
      <c r="BD8" s="48" t="s">
        <v>81</v>
      </c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5">
      <c r="A9" s="13" t="str">
        <f t="shared" si="3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137</v>
      </c>
      <c r="F9" s="8" t="s">
        <v>142</v>
      </c>
      <c r="G9" s="9">
        <v>-9000</v>
      </c>
      <c r="H9" s="9"/>
      <c r="I9" s="55">
        <v>0</v>
      </c>
      <c r="J9" s="21">
        <f t="shared" si="5"/>
        <v>42400</v>
      </c>
      <c r="K9" s="8" t="s">
        <v>142</v>
      </c>
      <c r="L9" s="9">
        <v>-15000</v>
      </c>
      <c r="M9" s="9">
        <v>-1000</v>
      </c>
      <c r="N9" s="55">
        <v>0</v>
      </c>
      <c r="O9" s="21">
        <f t="shared" si="6"/>
        <v>12500</v>
      </c>
      <c r="P9" s="8" t="s">
        <v>141</v>
      </c>
      <c r="Q9" s="9">
        <v>24000</v>
      </c>
      <c r="R9" s="9">
        <v>1000</v>
      </c>
      <c r="S9" s="55">
        <v>0</v>
      </c>
      <c r="T9" s="21">
        <f t="shared" si="7"/>
        <v>50100</v>
      </c>
      <c r="U9" s="60">
        <f t="shared" si="0"/>
        <v>7.4</v>
      </c>
      <c r="V9" s="61">
        <f t="shared" si="1"/>
        <v>-22.5</v>
      </c>
      <c r="W9" s="62">
        <f t="shared" si="2"/>
        <v>15.1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>
        <v>12</v>
      </c>
      <c r="BT9" s="36" t="s">
        <v>149</v>
      </c>
      <c r="BU9" s="47" t="s">
        <v>107</v>
      </c>
      <c r="BV9" s="48" t="s">
        <v>80</v>
      </c>
      <c r="BW9" s="48" t="s">
        <v>80</v>
      </c>
      <c r="BX9" s="48" t="s">
        <v>80</v>
      </c>
      <c r="BY9" s="48" t="s">
        <v>80</v>
      </c>
      <c r="BZ9" s="48" t="s">
        <v>82</v>
      </c>
      <c r="CA9" s="48" t="s">
        <v>82</v>
      </c>
      <c r="CB9" s="48"/>
      <c r="CC9" s="48"/>
      <c r="CD9" s="48"/>
      <c r="CE9" s="48"/>
      <c r="CF9" s="48"/>
      <c r="CG9" s="48"/>
      <c r="CH9" s="48"/>
      <c r="CI9" s="49"/>
    </row>
    <row r="10" spans="1:87" x14ac:dyDescent="0.45">
      <c r="A10" s="13" t="str">
        <f t="shared" si="3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139</v>
      </c>
      <c r="F10" s="8" t="s">
        <v>142</v>
      </c>
      <c r="G10" s="9">
        <v>-4500</v>
      </c>
      <c r="H10" s="9"/>
      <c r="I10" s="55">
        <v>0</v>
      </c>
      <c r="J10" s="21">
        <f t="shared" si="5"/>
        <v>37900</v>
      </c>
      <c r="K10" s="8" t="s">
        <v>141</v>
      </c>
      <c r="L10" s="9">
        <v>12000</v>
      </c>
      <c r="M10" s="9"/>
      <c r="N10" s="55">
        <v>0</v>
      </c>
      <c r="O10" s="21">
        <f t="shared" si="6"/>
        <v>24500</v>
      </c>
      <c r="P10" s="8" t="s">
        <v>142</v>
      </c>
      <c r="Q10" s="9">
        <v>-7500</v>
      </c>
      <c r="R10" s="9"/>
      <c r="S10" s="55">
        <v>0</v>
      </c>
      <c r="T10" s="21">
        <f t="shared" si="7"/>
        <v>42600</v>
      </c>
      <c r="U10" s="60">
        <f t="shared" si="0"/>
        <v>2.9</v>
      </c>
      <c r="V10" s="61">
        <f t="shared" si="1"/>
        <v>-10.5</v>
      </c>
      <c r="W10" s="62">
        <f t="shared" si="2"/>
        <v>7.6</v>
      </c>
      <c r="Y10" s="8"/>
      <c r="Z10" s="41"/>
      <c r="AA10" s="32"/>
      <c r="AB10" s="32">
        <v>1</v>
      </c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7</v>
      </c>
      <c r="AY10" s="36" t="s">
        <v>149</v>
      </c>
      <c r="AZ10" s="47" t="s">
        <v>143</v>
      </c>
      <c r="BA10" s="48" t="s">
        <v>83</v>
      </c>
      <c r="BB10" s="48" t="s">
        <v>80</v>
      </c>
      <c r="BC10" s="48" t="s">
        <v>80</v>
      </c>
      <c r="BD10" s="48" t="s">
        <v>80</v>
      </c>
      <c r="BE10" s="48" t="s">
        <v>80</v>
      </c>
      <c r="BF10" s="48" t="s">
        <v>86</v>
      </c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5">
      <c r="A11" s="13" t="str">
        <f t="shared" si="3"/>
        <v>南</v>
      </c>
      <c r="B11" s="18">
        <f t="shared" si="8"/>
        <v>3</v>
      </c>
      <c r="C11" s="18">
        <f t="shared" si="9"/>
        <v>0</v>
      </c>
      <c r="D11" s="18">
        <f t="shared" si="4"/>
        <v>0</v>
      </c>
      <c r="E11" s="4" t="s">
        <v>135</v>
      </c>
      <c r="F11" s="8" t="s">
        <v>148</v>
      </c>
      <c r="G11" s="9">
        <v>2900</v>
      </c>
      <c r="H11" s="9">
        <v>2000</v>
      </c>
      <c r="I11" s="55">
        <v>0</v>
      </c>
      <c r="J11" s="21">
        <f t="shared" si="5"/>
        <v>42800</v>
      </c>
      <c r="K11" s="8" t="s">
        <v>147</v>
      </c>
      <c r="L11" s="9">
        <v>-2900</v>
      </c>
      <c r="M11" s="9">
        <v>-1000</v>
      </c>
      <c r="N11" s="55">
        <v>0</v>
      </c>
      <c r="O11" s="21">
        <f t="shared" si="6"/>
        <v>20600</v>
      </c>
      <c r="P11" s="8"/>
      <c r="Q11" s="9"/>
      <c r="R11" s="9">
        <v>-1000</v>
      </c>
      <c r="S11" s="55"/>
      <c r="T11" s="21">
        <f t="shared" si="7"/>
        <v>41600</v>
      </c>
      <c r="U11" s="60">
        <f t="shared" si="0"/>
        <v>7.8</v>
      </c>
      <c r="V11" s="61">
        <f t="shared" si="1"/>
        <v>-14.4</v>
      </c>
      <c r="W11" s="62">
        <f t="shared" si="2"/>
        <v>6.6</v>
      </c>
      <c r="Y11" s="8"/>
      <c r="Z11" s="41"/>
      <c r="AA11" s="32">
        <v>1</v>
      </c>
      <c r="AB11" s="32"/>
      <c r="AC11" s="32">
        <v>2</v>
      </c>
      <c r="AD11" s="36">
        <v>30</v>
      </c>
      <c r="AE11" s="47" t="s">
        <v>143</v>
      </c>
      <c r="AF11" s="48" t="s">
        <v>84</v>
      </c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5">
      <c r="A12" s="13" t="str">
        <f t="shared" si="3"/>
        <v/>
      </c>
      <c r="B12" s="18" t="str">
        <f t="shared" si="8"/>
        <v/>
      </c>
      <c r="C12" s="18" t="str">
        <f t="shared" si="9"/>
        <v/>
      </c>
      <c r="D12" s="18" t="str">
        <f t="shared" si="4"/>
        <v/>
      </c>
      <c r="E12" s="4"/>
      <c r="F12" s="8"/>
      <c r="G12" s="9"/>
      <c r="H12" s="9"/>
      <c r="I12" s="55"/>
      <c r="J12" s="21" t="str">
        <f t="shared" si="5"/>
        <v/>
      </c>
      <c r="K12" s="8"/>
      <c r="L12" s="9"/>
      <c r="M12" s="9"/>
      <c r="N12" s="55"/>
      <c r="O12" s="21" t="str">
        <f t="shared" si="6"/>
        <v/>
      </c>
      <c r="P12" s="8"/>
      <c r="Q12" s="9"/>
      <c r="R12" s="9"/>
      <c r="S12" s="55"/>
      <c r="T12" s="21" t="str">
        <f t="shared" si="7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5">
      <c r="A13" s="13" t="str">
        <f t="shared" si="3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5">
      <c r="A14" s="13" t="str">
        <f t="shared" si="3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5">
      <c r="A15" s="13" t="str">
        <f t="shared" si="3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5">
      <c r="A16" s="13" t="str">
        <f t="shared" si="3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5">
      <c r="A17" s="13" t="str">
        <f t="shared" si="3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5">
      <c r="A18" s="13" t="str">
        <f t="shared" si="3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5">
      <c r="A19" s="13" t="str">
        <f t="shared" si="3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5">
      <c r="A20" s="13" t="str">
        <f t="shared" si="3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5">
      <c r="A21" s="13" t="str">
        <f t="shared" si="3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5">
      <c r="A22" s="13" t="str">
        <f t="shared" si="3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5">
      <c r="A23" s="13" t="str">
        <f t="shared" si="3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5">
      <c r="A24" s="13" t="str">
        <f t="shared" si="3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5">
      <c r="A25" s="13" t="str">
        <f t="shared" si="3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5">
      <c r="A26" s="13" t="str">
        <f t="shared" si="3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5">
      <c r="A27" s="13" t="str">
        <f t="shared" si="3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5">
      <c r="A28" s="13" t="str">
        <f t="shared" si="3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5">
      <c r="A29" s="13" t="str">
        <f t="shared" si="3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5">
      <c r="A30" s="14" t="str">
        <f t="shared" si="3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305026D0-3C3A-46C2-99EF-39DF4CFBD0CC}">
      <formula1>"ロン,ツモ,放銃,ツモ支払,流局,チョンボ"</formula1>
    </dataValidation>
    <dataValidation type="list" allowBlank="1" showInputMessage="1" showErrorMessage="1" sqref="E4:E30" xr:uid="{9B42DE40-38CE-48A7-A6B5-E060447DFF2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" x14ac:dyDescent="0.45"/>
  <cols>
    <col min="1" max="1" width="9" style="43" customWidth="1"/>
    <col min="2" max="2" width="19.19921875" style="15" bestFit="1" customWidth="1"/>
    <col min="3" max="4" width="6.5" style="15" customWidth="1"/>
  </cols>
  <sheetData>
    <row r="1" spans="1:4" x14ac:dyDescent="0.45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5">
      <c r="A2" s="43" t="s">
        <v>78</v>
      </c>
      <c r="B2" s="15" t="s">
        <v>133</v>
      </c>
      <c r="C2" s="15">
        <v>1</v>
      </c>
    </row>
    <row r="3" spans="1:4" x14ac:dyDescent="0.45">
      <c r="A3" s="43" t="s">
        <v>79</v>
      </c>
      <c r="B3" s="15" t="s">
        <v>32</v>
      </c>
      <c r="C3" s="15">
        <v>1</v>
      </c>
    </row>
    <row r="4" spans="1:4" x14ac:dyDescent="0.45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5">
      <c r="A5" s="43" t="s">
        <v>81</v>
      </c>
      <c r="B5" s="15" t="s">
        <v>34</v>
      </c>
      <c r="C5" s="15">
        <v>1</v>
      </c>
    </row>
    <row r="6" spans="1:4" x14ac:dyDescent="0.45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5">
      <c r="A7" s="43" t="s">
        <v>83</v>
      </c>
      <c r="B7" s="15" t="s">
        <v>36</v>
      </c>
      <c r="C7" s="15">
        <v>1</v>
      </c>
    </row>
    <row r="8" spans="1:4" x14ac:dyDescent="0.45">
      <c r="A8" s="43" t="s">
        <v>84</v>
      </c>
      <c r="B8" s="15" t="s">
        <v>37</v>
      </c>
      <c r="C8" s="15">
        <v>1</v>
      </c>
    </row>
    <row r="9" spans="1:4" x14ac:dyDescent="0.45">
      <c r="A9" s="43" t="s">
        <v>85</v>
      </c>
      <c r="B9" s="15" t="s">
        <v>38</v>
      </c>
      <c r="C9" s="15">
        <v>1</v>
      </c>
    </row>
    <row r="10" spans="1:4" x14ac:dyDescent="0.45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5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5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5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5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5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5">
      <c r="A16" s="43" t="s">
        <v>92</v>
      </c>
      <c r="B16" s="15" t="s">
        <v>44</v>
      </c>
      <c r="C16" s="15">
        <v>2</v>
      </c>
    </row>
    <row r="17" spans="1:4" x14ac:dyDescent="0.45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5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5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5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5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5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5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5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5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5">
      <c r="A26" s="43" t="s">
        <v>102</v>
      </c>
      <c r="B26" s="15" t="s">
        <v>53</v>
      </c>
      <c r="C26" s="15">
        <v>2</v>
      </c>
    </row>
    <row r="27" spans="1:4" x14ac:dyDescent="0.45">
      <c r="A27" s="43" t="s">
        <v>103</v>
      </c>
      <c r="B27" s="15" t="s">
        <v>54</v>
      </c>
      <c r="C27" s="15">
        <v>3</v>
      </c>
    </row>
    <row r="28" spans="1:4" x14ac:dyDescent="0.45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5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5">
      <c r="A30" s="43" t="s">
        <v>106</v>
      </c>
      <c r="B30" s="15" t="s">
        <v>56</v>
      </c>
      <c r="C30" s="15">
        <v>5</v>
      </c>
    </row>
    <row r="31" spans="1:4" x14ac:dyDescent="0.45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5">
      <c r="A32" s="43" t="s">
        <v>108</v>
      </c>
      <c r="B32" s="15" t="s">
        <v>58</v>
      </c>
      <c r="C32" s="15">
        <v>13</v>
      </c>
    </row>
    <row r="33" spans="1:4" x14ac:dyDescent="0.45">
      <c r="A33" s="43" t="s">
        <v>109</v>
      </c>
      <c r="B33" s="15" t="s">
        <v>59</v>
      </c>
      <c r="C33" s="15">
        <v>13</v>
      </c>
    </row>
    <row r="34" spans="1:4" x14ac:dyDescent="0.45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5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5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5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5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5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5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5">
      <c r="A41" s="43" t="s">
        <v>117</v>
      </c>
      <c r="B41" s="15" t="s">
        <v>67</v>
      </c>
      <c r="C41" s="15">
        <v>13</v>
      </c>
    </row>
    <row r="42" spans="1:4" x14ac:dyDescent="0.45">
      <c r="A42" s="43" t="s">
        <v>118</v>
      </c>
      <c r="B42" s="15" t="s">
        <v>68</v>
      </c>
      <c r="C42" s="15">
        <v>13</v>
      </c>
    </row>
    <row r="43" spans="1:4" x14ac:dyDescent="0.45">
      <c r="A43" s="43" t="s">
        <v>119</v>
      </c>
      <c r="B43" s="15" t="s">
        <v>69</v>
      </c>
      <c r="C43" s="15">
        <v>13</v>
      </c>
    </row>
    <row r="44" spans="1:4" x14ac:dyDescent="0.45">
      <c r="A44" s="43" t="s">
        <v>120</v>
      </c>
      <c r="B44" s="15" t="s">
        <v>70</v>
      </c>
      <c r="C44" s="15">
        <v>13</v>
      </c>
    </row>
    <row r="45" spans="1:4" x14ac:dyDescent="0.45">
      <c r="A45" s="43" t="s">
        <v>121</v>
      </c>
      <c r="B45" s="15" t="s">
        <v>71</v>
      </c>
      <c r="C45" s="15">
        <v>26</v>
      </c>
    </row>
    <row r="46" spans="1:4" x14ac:dyDescent="0.45">
      <c r="A46" s="43" t="s">
        <v>122</v>
      </c>
      <c r="B46" s="15" t="s">
        <v>72</v>
      </c>
      <c r="C46" s="15">
        <v>26</v>
      </c>
    </row>
    <row r="47" spans="1:4" x14ac:dyDescent="0.45">
      <c r="A47" s="43" t="s">
        <v>123</v>
      </c>
      <c r="B47" s="15" t="s">
        <v>73</v>
      </c>
      <c r="C47" s="15">
        <v>26</v>
      </c>
    </row>
    <row r="48" spans="1:4" x14ac:dyDescent="0.45">
      <c r="A48" s="43" t="s">
        <v>124</v>
      </c>
      <c r="B48" s="15" t="s">
        <v>74</v>
      </c>
      <c r="C48" s="15">
        <v>13</v>
      </c>
    </row>
    <row r="49" spans="1:3" x14ac:dyDescent="0.45">
      <c r="A49" s="43" t="s">
        <v>125</v>
      </c>
      <c r="B49" s="15" t="s">
        <v>75</v>
      </c>
      <c r="C49" s="15">
        <v>13</v>
      </c>
    </row>
    <row r="50" spans="1:3" x14ac:dyDescent="0.45">
      <c r="A50" s="43" t="s">
        <v>126</v>
      </c>
      <c r="B50" s="15" t="s">
        <v>76</v>
      </c>
      <c r="C50" s="15">
        <v>13</v>
      </c>
    </row>
    <row r="51" spans="1:3" x14ac:dyDescent="0.45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" max="12" width="9" style="38"/>
    <col min="13" max="13" width="9" style="38" customWidth="1"/>
    <col min="14" max="16384" width="9" style="38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5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5">
      <c r="A3" s="15">
        <v>20</v>
      </c>
      <c r="E3" s="38">
        <v>3900</v>
      </c>
      <c r="F3" s="38">
        <v>7700</v>
      </c>
    </row>
    <row r="4" spans="1:13" x14ac:dyDescent="0.45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5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5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5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5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5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5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5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5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5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8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5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5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5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5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5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5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5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5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5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5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5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5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8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5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5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5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5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5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5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5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5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5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5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5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5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8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5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5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5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5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5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5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5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5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5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5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5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5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8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5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5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5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5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5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5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5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5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5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5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5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5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8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5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5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5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5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5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5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5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5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5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5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5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5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8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5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5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5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5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5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5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5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5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5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5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5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5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2020-11-10T05:19:24Z</dcterms:modified>
</cp:coreProperties>
</file>