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A346D3CF-CE70-4DB1-B2D8-923851F2BE40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C9" i="17"/>
  <c r="D8" i="17"/>
  <c r="C8" i="17"/>
  <c r="D7" i="17"/>
  <c r="D6" i="17"/>
  <c r="C6" i="17"/>
  <c r="C7" i="17" s="1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D8" i="16"/>
  <c r="C8" i="16"/>
  <c r="C9" i="16" s="1"/>
  <c r="D6" i="16"/>
  <c r="D7" i="16" s="1"/>
  <c r="C6" i="16"/>
  <c r="C7" i="16" s="1"/>
  <c r="J5" i="16"/>
  <c r="U5" i="16" s="1"/>
  <c r="D5" i="16"/>
  <c r="C5" i="16"/>
  <c r="B5" i="16"/>
  <c r="B6" i="16" s="1"/>
  <c r="A5" i="16"/>
  <c r="T4" i="16"/>
  <c r="W4" i="16" s="1"/>
  <c r="O4" i="16"/>
  <c r="O5" i="16" s="1"/>
  <c r="J4" i="16"/>
  <c r="U4" i="16" s="1"/>
  <c r="W3" i="16"/>
  <c r="V3" i="16"/>
  <c r="U3" i="16"/>
  <c r="W2" i="16"/>
  <c r="V2" i="16"/>
  <c r="U2" i="16"/>
  <c r="BO1" i="16"/>
  <c r="AT1" i="16"/>
  <c r="Y1" i="16"/>
  <c r="V5" i="17" l="1"/>
  <c r="V6" i="17"/>
  <c r="O7" i="17"/>
  <c r="B7" i="17"/>
  <c r="A7" i="17" s="1"/>
  <c r="T5" i="17"/>
  <c r="A6" i="17"/>
  <c r="J6" i="17"/>
  <c r="V4" i="16"/>
  <c r="O6" i="16"/>
  <c r="V5" i="16"/>
  <c r="B7" i="16"/>
  <c r="T5" i="16"/>
  <c r="A6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8" i="17" l="1"/>
  <c r="A8" i="17" s="1"/>
  <c r="O8" i="17"/>
  <c r="V7" i="17"/>
  <c r="U6" i="17"/>
  <c r="J7" i="17"/>
  <c r="W5" i="17"/>
  <c r="T6" i="17"/>
  <c r="B8" i="16"/>
  <c r="A8" i="16" s="1"/>
  <c r="J7" i="16"/>
  <c r="U6" i="16"/>
  <c r="A7" i="16"/>
  <c r="T6" i="16"/>
  <c r="W5" i="16"/>
  <c r="V6" i="16"/>
  <c r="O7" i="16"/>
  <c r="W3" i="1"/>
  <c r="V3" i="1"/>
  <c r="U3" i="1"/>
  <c r="V8" i="17" l="1"/>
  <c r="O9" i="17"/>
  <c r="W6" i="17"/>
  <c r="T7" i="17"/>
  <c r="U7" i="17"/>
  <c r="J8" i="17"/>
  <c r="B9" i="17"/>
  <c r="A9" i="17"/>
  <c r="U7" i="16"/>
  <c r="J8" i="16"/>
  <c r="W6" i="16"/>
  <c r="T7" i="16"/>
  <c r="O8" i="16"/>
  <c r="V7" i="16"/>
  <c r="B9" i="16"/>
  <c r="A9" i="16" s="1"/>
  <c r="B5" i="1"/>
  <c r="A5" i="1" s="1"/>
  <c r="D6" i="1"/>
  <c r="B6" i="1"/>
  <c r="A6" i="1" s="1"/>
  <c r="D5" i="1"/>
  <c r="B10" i="17" l="1"/>
  <c r="A10" i="17" s="1"/>
  <c r="U8" i="17"/>
  <c r="J9" i="17"/>
  <c r="O10" i="17"/>
  <c r="V9" i="17"/>
  <c r="W7" i="17"/>
  <c r="T8" i="17"/>
  <c r="T8" i="16"/>
  <c r="W7" i="16"/>
  <c r="B10" i="16"/>
  <c r="A10" i="16" s="1"/>
  <c r="U8" i="16"/>
  <c r="J9" i="16"/>
  <c r="V8" i="16"/>
  <c r="O9" i="16"/>
  <c r="Y1" i="1"/>
  <c r="U9" i="17" l="1"/>
  <c r="J10" i="17"/>
  <c r="W8" i="17"/>
  <c r="T9" i="17"/>
  <c r="V10" i="17"/>
  <c r="O11" i="17"/>
  <c r="V11" i="17" s="1"/>
  <c r="B11" i="17"/>
  <c r="A11" i="17" s="1"/>
  <c r="B11" i="16"/>
  <c r="A11" i="16" s="1"/>
  <c r="O10" i="16"/>
  <c r="V9" i="16"/>
  <c r="U9" i="16"/>
  <c r="J10" i="16"/>
  <c r="W8" i="16"/>
  <c r="T9" i="16"/>
  <c r="BO1" i="1"/>
  <c r="AT1" i="1"/>
  <c r="U10" i="17" l="1"/>
  <c r="J11" i="17"/>
  <c r="U11" i="17" s="1"/>
  <c r="W9" i="17"/>
  <c r="T10" i="17"/>
  <c r="V10" i="16"/>
  <c r="O11" i="16"/>
  <c r="V11" i="16" s="1"/>
  <c r="W9" i="16"/>
  <c r="T10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7" l="1"/>
  <c r="T11" i="17"/>
  <c r="W11" i="17" s="1"/>
  <c r="W10" i="16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<sst xmlns="http://schemas.openxmlformats.org/spreadsheetml/2006/main" count="756" uniqueCount="156">
  <si>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</si>
  <si>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</si>
  <si>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</si>
  <si>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</si>
  <si>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</si>
  <si>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</si>
  <si>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</si>
  <si>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</si>
  <si>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</si>
  <si>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</si>
  <si>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</si>
  <si>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</si>
  <si>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</si>
  <si>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</si>
  <si>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</si>
  <si>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</si>
  <si>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</si>
  <si>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</si>
  <si>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</si>
  <si>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</si>
  <si>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</si>
  <si>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</si>
  <si>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</si>
  <si>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</si>
  <si>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</si>
  <si>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</si>
  <si>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</si>
  <si>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</si>
  <si>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</si>
  <si>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</si>
  <si>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</si>
  <si>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</si>
  <si>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</si>
  <si>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</si>
  <si>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</si>
  <si>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</si>
  <si>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</si>
  <si>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</si>
  <si>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</si>
  <si>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</si>
  <si>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</si>
  <si>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</si>
  <si>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</si>
  <si>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</si>
  <si>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</si>
  <si>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</si>
  <si>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</si>
  <si>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</si>
  <si>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</si>
  <si>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</si>
  <si>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</si>
  <si>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</si>
  <si>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</si>
  <si>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</si>
  <si>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</si>
  <si>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</si>
  <si>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</si>
  <si>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</si>
  <si>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</si>
  <si>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</si>
  <si>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</si>
  <si>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</si>
  <si>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</si>
  <si>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</si>
  <si>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</si>
  <si>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</si>
  <si>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</si>
  <si>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</si>
  <si>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</si>
  <si>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</si>
  <si>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</si>
  <si>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</si>
  <si>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</si>
  <si>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</si>
  <si>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</si>
  <si>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</si>
  <si>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</si>
  <si>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</si>
  <si>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</si>
  <si>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</si>
  <si>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</si>
  <si>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</si>
  <si>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</si>
  <si>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</si>
  <si>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</si>
  <si>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</si>
  <si>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</si>
  <si>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</si>
  <si>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</si>
  <si>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</si>
  <si>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</si>
  <si>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</si>
  <si>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</si>
  <si>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</si>
  <si>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</si>
  <si>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</si>
  <si>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</si>
  <si>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</si>
  <si>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</si>
  <si>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</si>
  <si>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</si>
  <si>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</si>
  <si>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</si>
  <si>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</si>
  <si>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</si>
  <si>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</si>
  <si>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</si>
  <si>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</si>
  <si>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</si>
  <si>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</si>
  <si>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</si>
  <si>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</si>
  <si>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</si>
  <si>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</si>
  <si>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</si>
  <si>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</si>
  <si>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</si>
  <si>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</si>
  <si>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</si>
  <si>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</si>
  <si>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</si>
  <si>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</si>
  <si>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</si>
  <si>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</si>
  <si>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</si>
  <si>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</si>
  <si>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</si>
  <si>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</si>
  <si>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</si>
  <si>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</si>
  <si>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</si>
  <si>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</si>
  <si>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</si>
  <si>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</si>
  <si>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</si>
  <si>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</si>
  <si>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</si>
  <si>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</si>
  <si>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</si>
  <si>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れんたろう</t>
  </si>
  <si>
    <t>れんたろう</t>
    <phoneticPr fontId="1"/>
  </si>
  <si>
    <t>ツモ</t>
  </si>
  <si>
    <t>ツモ支払</t>
  </si>
  <si>
    <t>01</t>
  </si>
  <si>
    <t>N</t>
  </si>
  <si>
    <t>T</t>
  </si>
  <si>
    <t>流局</t>
    <phoneticPr fontId="1"/>
  </si>
  <si>
    <t>放銃</t>
  </si>
  <si>
    <t>ロン</t>
  </si>
  <si>
    <t>*</t>
  </si>
  <si>
    <t>02</t>
  </si>
  <si>
    <t>やがさき</t>
  </si>
  <si>
    <t>やがさき</t>
    <phoneticPr fontId="1"/>
  </si>
  <si>
    <t>ただ</t>
  </si>
  <si>
    <t>ただ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</si>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</sst>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4000</v>
      </c>
      <c r="H4" s="9"/>
      <c r="I4" s="55">
        <v>0</v>
      </c>
      <c r="J4" s="21">
        <f>IF(COUNTA($F4,$K4,$P4)&gt;0,J3+SUM(G4:I4),"")</f>
        <v>39000</v>
      </c>
      <c r="K4" s="8" t="s">
        <v>142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142</v>
      </c>
      <c r="Q4" s="9">
        <v>-2500</v>
      </c>
      <c r="R4" s="9"/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4</v>
      </c>
      <c r="V4" s="61">
        <f t="shared" ref="V4:V30" si="1">IF($O4="","",ROUND(($O4-$O$3)/1000,1))</f>
        <v>-1.5</v>
      </c>
      <c r="W4" s="62">
        <f t="shared" ref="W4:W30" si="2">IF($T4="","",ROUND(($T4-$T$3)/1000,1))</f>
        <v>-2.5</v>
      </c>
      <c r="Y4" s="8"/>
      <c r="Z4" s="41"/>
      <c r="AA4" s="32"/>
      <c r="AB4" s="32"/>
      <c r="AC4" s="32">
        <v>3</v>
      </c>
      <c r="AD4" s="36">
        <v>30</v>
      </c>
      <c r="AE4" s="47" t="s">
        <v>83</v>
      </c>
      <c r="AF4" s="48" t="s">
        <v>87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7800</v>
      </c>
      <c r="H5" s="9">
        <v>1000</v>
      </c>
      <c r="I5" s="55">
        <v>0</v>
      </c>
      <c r="J5" s="21">
        <f t="shared" ref="J5:J30" si="5">IF(COUNTA($F5,$K5,$P5)&gt;0,J4+SUM(G5:I5),"")</f>
        <v>47800</v>
      </c>
      <c r="K5" s="8" t="s">
        <v>142</v>
      </c>
      <c r="L5" s="9">
        <v>-3900</v>
      </c>
      <c r="M5" s="9"/>
      <c r="N5" s="55">
        <v>0</v>
      </c>
      <c r="O5" s="21">
        <f t="shared" ref="O5:O30" si="6">IF(COUNTA($F5,$K5,$P5)&gt;0,O4+SUM(L5:N5),"")</f>
        <v>29600</v>
      </c>
      <c r="P5" s="8" t="s">
        <v>142</v>
      </c>
      <c r="Q5" s="9">
        <v>-3900</v>
      </c>
      <c r="R5" s="9">
        <v>-1000</v>
      </c>
      <c r="S5" s="55">
        <v>0</v>
      </c>
      <c r="T5" s="21">
        <f t="shared" ref="T5:T30" si="7">IF(COUNTA($F5,$K5,$P5)&gt;0,T4+SUM(Q5:S5),"")</f>
        <v>27600</v>
      </c>
      <c r="U5" s="60">
        <f t="shared" si="0"/>
        <v>12.8</v>
      </c>
      <c r="V5" s="61">
        <f t="shared" si="1"/>
        <v>-5.4</v>
      </c>
      <c r="W5" s="62">
        <f t="shared" si="2"/>
        <v>-7.4</v>
      </c>
      <c r="Y5" s="8"/>
      <c r="Z5" s="41"/>
      <c r="AA5" s="32">
        <v>1</v>
      </c>
      <c r="AB5" s="32"/>
      <c r="AC5" s="32">
        <v>4</v>
      </c>
      <c r="AD5" s="36">
        <v>20</v>
      </c>
      <c r="AE5" s="47" t="s">
        <v>143</v>
      </c>
      <c r="AF5" s="48" t="s">
        <v>83</v>
      </c>
      <c r="AG5" s="48" t="s">
        <v>84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 t="s">
        <v>146</v>
      </c>
      <c r="G6" s="9">
        <v>-1500</v>
      </c>
      <c r="H6" s="9"/>
      <c r="I6" s="55"/>
      <c r="J6" s="21">
        <f t="shared" si="5"/>
        <v>46300</v>
      </c>
      <c r="K6" s="8" t="s">
        <v>146</v>
      </c>
      <c r="L6" s="9">
        <v>-1500</v>
      </c>
      <c r="M6" s="9"/>
      <c r="N6" s="55"/>
      <c r="O6" s="21">
        <f t="shared" si="6"/>
        <v>28100</v>
      </c>
      <c r="P6" s="8" t="s">
        <v>146</v>
      </c>
      <c r="Q6" s="9">
        <v>3000</v>
      </c>
      <c r="R6" s="9">
        <v>-1000</v>
      </c>
      <c r="S6" s="55"/>
      <c r="T6" s="21">
        <f t="shared" si="7"/>
        <v>29600</v>
      </c>
      <c r="U6" s="60">
        <f t="shared" si="0"/>
        <v>11.3</v>
      </c>
      <c r="V6" s="61">
        <f t="shared" si="1"/>
        <v>-6.9</v>
      </c>
      <c r="W6" s="62">
        <f t="shared" si="2"/>
        <v>-5.4</v>
      </c>
      <c r="Y6" s="8" t="s">
        <v>144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144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2</v>
      </c>
      <c r="D7" s="18">
        <f t="shared" si="4"/>
        <v>1</v>
      </c>
      <c r="E7" s="4" t="s">
        <v>137</v>
      </c>
      <c r="F7" s="8" t="s">
        <v>147</v>
      </c>
      <c r="G7" s="9">
        <v>-12000</v>
      </c>
      <c r="H7" s="9"/>
      <c r="I7" s="55">
        <v>-2000</v>
      </c>
      <c r="J7" s="21">
        <f t="shared" si="5"/>
        <v>32300</v>
      </c>
      <c r="K7" s="8"/>
      <c r="L7" s="9"/>
      <c r="M7" s="9"/>
      <c r="N7" s="55"/>
      <c r="O7" s="21">
        <f t="shared" si="6"/>
        <v>28100</v>
      </c>
      <c r="P7" s="8" t="s">
        <v>148</v>
      </c>
      <c r="Q7" s="9">
        <v>12000</v>
      </c>
      <c r="R7" s="9">
        <v>1000</v>
      </c>
      <c r="S7" s="55">
        <v>2000</v>
      </c>
      <c r="T7" s="21">
        <f t="shared" si="7"/>
        <v>44600</v>
      </c>
      <c r="U7" s="60">
        <f t="shared" si="0"/>
        <v>-2.7</v>
      </c>
      <c r="V7" s="61">
        <f t="shared" si="1"/>
        <v>-6.9</v>
      </c>
      <c r="W7" s="62">
        <f t="shared" si="2"/>
        <v>9.6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149</v>
      </c>
      <c r="BU7" s="47" t="s">
        <v>143</v>
      </c>
      <c r="BV7" s="48" t="s">
        <v>150</v>
      </c>
      <c r="BW7" s="48" t="s">
        <v>102</v>
      </c>
      <c r="BX7" s="48" t="s">
        <v>105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/>
      <c r="G8" s="9"/>
      <c r="H8" s="9"/>
      <c r="I8" s="55"/>
      <c r="J8" s="21">
        <f t="shared" si="5"/>
        <v>32300</v>
      </c>
      <c r="K8" s="8" t="s">
        <v>147</v>
      </c>
      <c r="L8" s="9">
        <v>-12000</v>
      </c>
      <c r="M8" s="9"/>
      <c r="N8" s="55">
        <v>0</v>
      </c>
      <c r="O8" s="21">
        <f t="shared" si="6"/>
        <v>16100</v>
      </c>
      <c r="P8" s="8" t="s">
        <v>148</v>
      </c>
      <c r="Q8" s="9">
        <v>12000</v>
      </c>
      <c r="R8" s="9"/>
      <c r="S8" s="55">
        <v>0</v>
      </c>
      <c r="T8" s="21">
        <f t="shared" si="7"/>
        <v>56600</v>
      </c>
      <c r="U8" s="60">
        <f t="shared" si="0"/>
        <v>-2.7</v>
      </c>
      <c r="V8" s="61">
        <f t="shared" si="1"/>
        <v>-18.899999999999999</v>
      </c>
      <c r="W8" s="62">
        <f t="shared" si="2"/>
        <v>21.6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143</v>
      </c>
      <c r="BV8" s="48" t="s">
        <v>87</v>
      </c>
      <c r="BW8" s="48" t="s">
        <v>80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148</v>
      </c>
      <c r="G9" s="9">
        <v>5200</v>
      </c>
      <c r="H9" s="9">
        <v>1000</v>
      </c>
      <c r="I9" s="55">
        <v>1000</v>
      </c>
      <c r="J9" s="21">
        <f t="shared" si="5"/>
        <v>39500</v>
      </c>
      <c r="K9" s="8" t="s">
        <v>147</v>
      </c>
      <c r="L9" s="9">
        <v>-5200</v>
      </c>
      <c r="M9" s="9"/>
      <c r="N9" s="55">
        <v>-1000</v>
      </c>
      <c r="O9" s="21">
        <f t="shared" si="6"/>
        <v>9900</v>
      </c>
      <c r="P9" s="8"/>
      <c r="Q9" s="9"/>
      <c r="R9" s="9">
        <v>-1000</v>
      </c>
      <c r="S9" s="55"/>
      <c r="T9" s="21">
        <f t="shared" si="7"/>
        <v>55600</v>
      </c>
      <c r="U9" s="60">
        <f t="shared" si="0"/>
        <v>4.5</v>
      </c>
      <c r="V9" s="61">
        <f t="shared" si="1"/>
        <v>-25.1</v>
      </c>
      <c r="W9" s="62">
        <f t="shared" si="2"/>
        <v>20.6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143</v>
      </c>
      <c r="AF9" s="48" t="s">
        <v>150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142</v>
      </c>
      <c r="G10" s="9">
        <v>-5000</v>
      </c>
      <c r="H10" s="9"/>
      <c r="I10" s="55">
        <v>0</v>
      </c>
      <c r="J10" s="21">
        <f t="shared" si="5"/>
        <v>34500</v>
      </c>
      <c r="K10" s="8" t="s">
        <v>141</v>
      </c>
      <c r="L10" s="9">
        <v>8000</v>
      </c>
      <c r="M10" s="9"/>
      <c r="N10" s="55">
        <v>0</v>
      </c>
      <c r="O10" s="21">
        <f t="shared" si="6"/>
        <v>17900</v>
      </c>
      <c r="P10" s="8" t="s">
        <v>142</v>
      </c>
      <c r="Q10" s="9">
        <v>-3000</v>
      </c>
      <c r="R10" s="9"/>
      <c r="S10" s="55">
        <v>0</v>
      </c>
      <c r="T10" s="21">
        <f t="shared" si="7"/>
        <v>52600</v>
      </c>
      <c r="U10" s="60">
        <f t="shared" si="0"/>
        <v>-0.5</v>
      </c>
      <c r="V10" s="61">
        <f t="shared" si="1"/>
        <v>-17.100000000000001</v>
      </c>
      <c r="W10" s="62">
        <f t="shared" si="2"/>
        <v>17.600000000000001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5</v>
      </c>
      <c r="AY10" s="36" t="s">
        <v>149</v>
      </c>
      <c r="AZ10" s="47" t="s">
        <v>80</v>
      </c>
      <c r="BA10" s="48" t="s">
        <v>80</v>
      </c>
      <c r="BB10" s="48" t="s">
        <v>80</v>
      </c>
      <c r="BC10" s="48" t="s">
        <v>105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148</v>
      </c>
      <c r="G11" s="9">
        <v>8000</v>
      </c>
      <c r="H11" s="9"/>
      <c r="I11" s="55">
        <v>0</v>
      </c>
      <c r="J11" s="21">
        <f t="shared" si="5"/>
        <v>42500</v>
      </c>
      <c r="K11" s="8" t="s">
        <v>147</v>
      </c>
      <c r="L11" s="9">
        <v>-8000</v>
      </c>
      <c r="M11" s="9"/>
      <c r="N11" s="55">
        <v>0</v>
      </c>
      <c r="O11" s="21">
        <f t="shared" si="6"/>
        <v>9900</v>
      </c>
      <c r="P11" s="8"/>
      <c r="Q11" s="9"/>
      <c r="R11" s="9"/>
      <c r="S11" s="55"/>
      <c r="T11" s="21">
        <f t="shared" si="7"/>
        <v>52600</v>
      </c>
      <c r="U11" s="60">
        <f t="shared" si="0"/>
        <v>7.5</v>
      </c>
      <c r="V11" s="61">
        <f t="shared" si="1"/>
        <v>-25.1</v>
      </c>
      <c r="W11" s="62">
        <f t="shared" si="2"/>
        <v>17.600000000000001</v>
      </c>
      <c r="Y11" s="8"/>
      <c r="Z11" s="41"/>
      <c r="AA11" s="32"/>
      <c r="AB11" s="32">
        <v>1</v>
      </c>
      <c r="AC11" s="32">
        <v>4</v>
      </c>
      <c r="AD11" s="36">
        <v>30</v>
      </c>
      <c r="AE11" s="47" t="s">
        <v>105</v>
      </c>
      <c r="AF11" s="48" t="s">
        <v>99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109-C93B-4860-832C-7EB3176D2CC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154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やがさき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やがさき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142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141</v>
      </c>
      <c r="Q4" s="9">
        <v>6000</v>
      </c>
      <c r="R4" s="9"/>
      <c r="S4" s="55">
        <v>0</v>
      </c>
      <c r="T4" s="21">
        <f>IF(COUNTA($F4,$K4,$P4)&gt;0,T3+SUM(Q4:S4),"")</f>
        <v>41000</v>
      </c>
      <c r="U4" s="60">
        <f t="shared" ref="U4:U30" si="0">IF($J4="","",ROUND(($J4-$J$3)/1000,1))</f>
        <v>-3</v>
      </c>
      <c r="V4" s="61">
        <f t="shared" ref="V4:V30" si="1">IF($O4="","",ROUND(($O4-$O$3)/1000,1))</f>
        <v>-3</v>
      </c>
      <c r="W4" s="62">
        <f t="shared" ref="W4:W30" si="2">IF($T4="","",ROUND(($T4-$T$3)/1000,1))</f>
        <v>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83</v>
      </c>
      <c r="BV4" s="48" t="s">
        <v>82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147</v>
      </c>
      <c r="G5" s="9">
        <v>-2600</v>
      </c>
      <c r="H5" s="9"/>
      <c r="I5" s="55">
        <v>-1000</v>
      </c>
      <c r="J5" s="21">
        <f t="shared" ref="J5:J30" si="5">IF(COUNTA($F5,$K5,$P5)&gt;0,J4+SUM(G5:I5),"")</f>
        <v>28400</v>
      </c>
      <c r="K5" s="8" t="s">
        <v>148</v>
      </c>
      <c r="L5" s="9">
        <v>2600</v>
      </c>
      <c r="M5" s="9"/>
      <c r="N5" s="55">
        <v>1000</v>
      </c>
      <c r="O5" s="21">
        <f t="shared" ref="O5:O30" si="6">IF(COUNTA($F5,$K5,$P5)&gt;0,O4+SUM(L5:N5),"")</f>
        <v>35600</v>
      </c>
      <c r="P5" s="8"/>
      <c r="Q5" s="9"/>
      <c r="R5" s="9"/>
      <c r="S5" s="55"/>
      <c r="T5" s="21">
        <f t="shared" ref="T5:T30" si="7">IF(COUNTA($F5,$K5,$P5)&gt;0,T4+SUM(Q5:S5),"")</f>
        <v>41000</v>
      </c>
      <c r="U5" s="60">
        <f t="shared" si="0"/>
        <v>-6.6</v>
      </c>
      <c r="V5" s="61">
        <f t="shared" si="1"/>
        <v>0.6</v>
      </c>
      <c r="W5" s="62">
        <f t="shared" si="2"/>
        <v>6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2</v>
      </c>
      <c r="AY5" s="36">
        <v>40</v>
      </c>
      <c r="AZ5" s="47" t="s">
        <v>87</v>
      </c>
      <c r="BA5" s="48" t="s">
        <v>82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 t="s">
        <v>148</v>
      </c>
      <c r="G6" s="9">
        <v>12000</v>
      </c>
      <c r="H6" s="9">
        <v>1000</v>
      </c>
      <c r="I6" s="55">
        <v>0</v>
      </c>
      <c r="J6" s="21">
        <f t="shared" si="5"/>
        <v>41400</v>
      </c>
      <c r="K6" s="8"/>
      <c r="L6" s="9"/>
      <c r="M6" s="9"/>
      <c r="N6" s="55"/>
      <c r="O6" s="21">
        <f t="shared" si="6"/>
        <v>35600</v>
      </c>
      <c r="P6" s="8" t="s">
        <v>147</v>
      </c>
      <c r="Q6" s="9">
        <v>-12000</v>
      </c>
      <c r="R6" s="9">
        <v>-1000</v>
      </c>
      <c r="S6" s="55">
        <v>0</v>
      </c>
      <c r="T6" s="21">
        <f t="shared" si="7"/>
        <v>28000</v>
      </c>
      <c r="U6" s="60">
        <f t="shared" si="0"/>
        <v>6.4</v>
      </c>
      <c r="V6" s="61">
        <f t="shared" si="1"/>
        <v>0.6</v>
      </c>
      <c r="W6" s="62">
        <f t="shared" si="2"/>
        <v>-7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105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151</v>
      </c>
      <c r="F7" s="8" t="s">
        <v>147</v>
      </c>
      <c r="G7" s="9">
        <v>-12000</v>
      </c>
      <c r="H7" s="9">
        <v>-1000</v>
      </c>
      <c r="I7" s="55">
        <v>-1000</v>
      </c>
      <c r="J7" s="21">
        <f t="shared" si="5"/>
        <v>27400</v>
      </c>
      <c r="K7" s="8" t="s">
        <v>148</v>
      </c>
      <c r="L7" s="9">
        <v>12000</v>
      </c>
      <c r="M7" s="9">
        <v>1000</v>
      </c>
      <c r="N7" s="55">
        <v>1000</v>
      </c>
      <c r="O7" s="21">
        <f t="shared" si="6"/>
        <v>49600</v>
      </c>
      <c r="P7" s="8"/>
      <c r="Q7" s="9"/>
      <c r="R7" s="9"/>
      <c r="S7" s="55"/>
      <c r="T7" s="21">
        <f t="shared" si="7"/>
        <v>28000</v>
      </c>
      <c r="U7" s="60">
        <f t="shared" si="0"/>
        <v>-7.6</v>
      </c>
      <c r="V7" s="61">
        <f t="shared" si="1"/>
        <v>14.6</v>
      </c>
      <c r="W7" s="62">
        <f t="shared" si="2"/>
        <v>-7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7</v>
      </c>
      <c r="AY7" s="36" t="s">
        <v>149</v>
      </c>
      <c r="AZ7" s="47" t="s">
        <v>105</v>
      </c>
      <c r="BA7" s="48" t="s">
        <v>87</v>
      </c>
      <c r="BB7" s="48" t="s">
        <v>80</v>
      </c>
      <c r="BC7" s="48" t="s">
        <v>80</v>
      </c>
      <c r="BD7" s="48" t="s">
        <v>80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153</v>
      </c>
      <c r="F8" s="8"/>
      <c r="G8" s="9"/>
      <c r="H8" s="9"/>
      <c r="I8" s="55"/>
      <c r="J8" s="21">
        <f t="shared" si="5"/>
        <v>27400</v>
      </c>
      <c r="K8" s="8" t="s">
        <v>147</v>
      </c>
      <c r="L8" s="9">
        <v>-8000</v>
      </c>
      <c r="M8" s="9"/>
      <c r="N8" s="55">
        <v>0</v>
      </c>
      <c r="O8" s="21">
        <f t="shared" si="6"/>
        <v>41600</v>
      </c>
      <c r="P8" s="8" t="s">
        <v>148</v>
      </c>
      <c r="Q8" s="9">
        <v>8000</v>
      </c>
      <c r="R8" s="9"/>
      <c r="S8" s="55">
        <v>0</v>
      </c>
      <c r="T8" s="21">
        <f t="shared" si="7"/>
        <v>36000</v>
      </c>
      <c r="U8" s="60">
        <f t="shared" si="0"/>
        <v>-7.6</v>
      </c>
      <c r="V8" s="61">
        <f t="shared" si="1"/>
        <v>6.6</v>
      </c>
      <c r="W8" s="62">
        <f t="shared" si="2"/>
        <v>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149</v>
      </c>
      <c r="BU8" s="47" t="s">
        <v>143</v>
      </c>
      <c r="BV8" s="48" t="s">
        <v>84</v>
      </c>
      <c r="BW8" s="48" t="s">
        <v>82</v>
      </c>
      <c r="BX8" s="48" t="s">
        <v>82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142</v>
      </c>
      <c r="G9" s="9">
        <v>-3000</v>
      </c>
      <c r="H9" s="9"/>
      <c r="I9" s="55">
        <v>0</v>
      </c>
      <c r="J9" s="21">
        <f t="shared" si="5"/>
        <v>24400</v>
      </c>
      <c r="K9" s="8" t="s">
        <v>141</v>
      </c>
      <c r="L9" s="9">
        <v>8000</v>
      </c>
      <c r="M9" s="9"/>
      <c r="N9" s="55">
        <v>0</v>
      </c>
      <c r="O9" s="21">
        <f t="shared" si="6"/>
        <v>49600</v>
      </c>
      <c r="P9" s="8" t="s">
        <v>142</v>
      </c>
      <c r="Q9" s="9">
        <v>-5000</v>
      </c>
      <c r="R9" s="9"/>
      <c r="S9" s="55">
        <v>0</v>
      </c>
      <c r="T9" s="21">
        <f t="shared" si="7"/>
        <v>31000</v>
      </c>
      <c r="U9" s="60">
        <f t="shared" si="0"/>
        <v>-10.6</v>
      </c>
      <c r="V9" s="61">
        <f t="shared" si="1"/>
        <v>14.6</v>
      </c>
      <c r="W9" s="62">
        <f t="shared" si="2"/>
        <v>-4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149</v>
      </c>
      <c r="AZ9" s="47" t="s">
        <v>87</v>
      </c>
      <c r="BA9" s="48" t="s">
        <v>80</v>
      </c>
      <c r="BB9" s="48" t="s">
        <v>80</v>
      </c>
      <c r="BC9" s="48" t="s">
        <v>82</v>
      </c>
      <c r="BD9" s="48" t="s">
        <v>82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151</v>
      </c>
      <c r="F10" s="8" t="s">
        <v>142</v>
      </c>
      <c r="G10" s="9">
        <v>-7500</v>
      </c>
      <c r="H10" s="9"/>
      <c r="I10" s="55">
        <v>0</v>
      </c>
      <c r="J10" s="21">
        <f t="shared" si="5"/>
        <v>16900</v>
      </c>
      <c r="K10" s="8" t="s">
        <v>141</v>
      </c>
      <c r="L10" s="9">
        <v>12000</v>
      </c>
      <c r="M10" s="9">
        <v>1000</v>
      </c>
      <c r="N10" s="55">
        <v>0</v>
      </c>
      <c r="O10" s="21">
        <f t="shared" si="6"/>
        <v>62600</v>
      </c>
      <c r="P10" s="8" t="s">
        <v>142</v>
      </c>
      <c r="Q10" s="9">
        <v>-4500</v>
      </c>
      <c r="R10" s="9">
        <v>-1000</v>
      </c>
      <c r="S10" s="55">
        <v>0</v>
      </c>
      <c r="T10" s="21">
        <f t="shared" si="7"/>
        <v>25500</v>
      </c>
      <c r="U10" s="60">
        <f t="shared" si="0"/>
        <v>-18.100000000000001</v>
      </c>
      <c r="V10" s="61">
        <f t="shared" si="1"/>
        <v>27.6</v>
      </c>
      <c r="W10" s="62">
        <f t="shared" si="2"/>
        <v>-9.5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149</v>
      </c>
      <c r="AZ10" s="47" t="s">
        <v>143</v>
      </c>
      <c r="BA10" s="48" t="s">
        <v>83</v>
      </c>
      <c r="BB10" s="48" t="s">
        <v>82</v>
      </c>
      <c r="BC10" s="48" t="s">
        <v>81</v>
      </c>
      <c r="BD10" s="48" t="s">
        <v>81</v>
      </c>
      <c r="BE10" s="48" t="s">
        <v>81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153</v>
      </c>
      <c r="F11" s="8" t="s">
        <v>155</v>
      </c>
      <c r="G11" s="9">
        <v>1500</v>
      </c>
      <c r="H11" s="9">
        <v>-1000</v>
      </c>
      <c r="I11" s="55"/>
      <c r="J11" s="21">
        <f t="shared" si="5"/>
        <v>17400</v>
      </c>
      <c r="K11" s="8" t="s">
        <v>155</v>
      </c>
      <c r="L11" s="9">
        <v>-3000</v>
      </c>
      <c r="M11" s="9"/>
      <c r="N11" s="55"/>
      <c r="O11" s="21">
        <f t="shared" si="6"/>
        <v>59600</v>
      </c>
      <c r="P11" s="8" t="s">
        <v>155</v>
      </c>
      <c r="Q11" s="9">
        <v>1500</v>
      </c>
      <c r="R11" s="9"/>
      <c r="S11" s="55"/>
      <c r="T11" s="21">
        <f t="shared" si="7"/>
        <v>27000</v>
      </c>
      <c r="U11" s="60">
        <f t="shared" si="0"/>
        <v>-17.600000000000001</v>
      </c>
      <c r="V11" s="61">
        <f t="shared" si="1"/>
        <v>24.6</v>
      </c>
      <c r="W11" s="62">
        <f t="shared" si="2"/>
        <v>-8</v>
      </c>
      <c r="Y11" s="8" t="s">
        <v>145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144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0045333-FEE9-4441-905B-013074557D18}">
      <formula1>$U$2:$W$2</formula1>
    </dataValidation>
    <dataValidation type="list" showInputMessage="1" showErrorMessage="1" sqref="K4:K30 P4:P30 F4:F30" xr:uid="{88EF0A04-863B-4CF7-ADA0-6D8647B9C52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858C0-A1AA-4276-BE15-7D2DDD5C45C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147</v>
      </c>
      <c r="G4" s="9">
        <v>-2600</v>
      </c>
      <c r="H4" s="9">
        <v>-1000</v>
      </c>
      <c r="I4" s="55">
        <v>0</v>
      </c>
      <c r="J4" s="21">
        <f>IF(COUNTA($F4,$K4,$P4)&gt;0,J3+SUM(G4:I4),"")</f>
        <v>31400</v>
      </c>
      <c r="K4" s="8"/>
      <c r="L4" s="9"/>
      <c r="M4" s="9"/>
      <c r="N4" s="55"/>
      <c r="O4" s="21">
        <f>IF(COUNTA($F4,$K4,$P4)&gt;0,O3+SUM(L4:N4),"")</f>
        <v>35000</v>
      </c>
      <c r="P4" s="8" t="s">
        <v>148</v>
      </c>
      <c r="Q4" s="9">
        <v>2600</v>
      </c>
      <c r="R4" s="9">
        <v>1000</v>
      </c>
      <c r="S4" s="55">
        <v>0</v>
      </c>
      <c r="T4" s="21">
        <f>IF(COUNTA($F4,$K4,$P4)&gt;0,T3+SUM(Q4:S4),"")</f>
        <v>38600</v>
      </c>
      <c r="U4" s="60">
        <f t="shared" ref="U4:U30" si="0">IF($J4="","",ROUND(($J4-$J$3)/1000,1))</f>
        <v>-3.6</v>
      </c>
      <c r="V4" s="61">
        <f t="shared" ref="V4:V30" si="1">IF($O4="","",ROUND(($O4-$O$3)/1000,1))</f>
        <v>0</v>
      </c>
      <c r="W4" s="62">
        <f t="shared" ref="W4:W30" si="2">IF($T4="","",ROUND(($T4-$T$3)/1000,1))</f>
        <v>3.6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5">IF(COUNTA($F5,$K5,$P5)&gt;0,J4+SUM(G5:I5),"")</f>
        <v>31400</v>
      </c>
      <c r="K5" s="8" t="s">
        <v>148</v>
      </c>
      <c r="L5" s="9">
        <v>8000</v>
      </c>
      <c r="M5" s="9"/>
      <c r="N5" s="55">
        <v>0</v>
      </c>
      <c r="O5" s="21">
        <f t="shared" ref="O5:O30" si="6">IF(COUNTA($F5,$K5,$P5)&gt;0,O4+SUM(L5:N5),"")</f>
        <v>43000</v>
      </c>
      <c r="P5" s="8" t="s">
        <v>147</v>
      </c>
      <c r="Q5" s="9">
        <v>-8000</v>
      </c>
      <c r="R5" s="9"/>
      <c r="S5" s="55">
        <v>0</v>
      </c>
      <c r="T5" s="21">
        <f t="shared" ref="T5:T30" si="7">IF(COUNTA($F5,$K5,$P5)&gt;0,T4+SUM(Q5:S5),"")</f>
        <v>30600</v>
      </c>
      <c r="U5" s="60">
        <f t="shared" si="0"/>
        <v>-3.6</v>
      </c>
      <c r="V5" s="61">
        <f t="shared" si="1"/>
        <v>8</v>
      </c>
      <c r="W5" s="62">
        <f t="shared" si="2"/>
        <v>-4.4000000000000004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143</v>
      </c>
      <c r="BA5" s="48" t="s">
        <v>80</v>
      </c>
      <c r="BB5" s="48" t="s">
        <v>81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148</v>
      </c>
      <c r="G6" s="9">
        <v>24000</v>
      </c>
      <c r="H6" s="9"/>
      <c r="I6" s="55">
        <v>0</v>
      </c>
      <c r="J6" s="21">
        <f t="shared" si="5"/>
        <v>55400</v>
      </c>
      <c r="K6" s="8" t="s">
        <v>147</v>
      </c>
      <c r="L6" s="9">
        <v>-24000</v>
      </c>
      <c r="M6" s="9"/>
      <c r="N6" s="55">
        <v>0</v>
      </c>
      <c r="O6" s="21">
        <f t="shared" si="6"/>
        <v>19000</v>
      </c>
      <c r="P6" s="8"/>
      <c r="Q6" s="9"/>
      <c r="R6" s="9"/>
      <c r="S6" s="55"/>
      <c r="T6" s="21">
        <f t="shared" si="7"/>
        <v>30600</v>
      </c>
      <c r="U6" s="60">
        <f t="shared" si="0"/>
        <v>20.399999999999999</v>
      </c>
      <c r="V6" s="61">
        <f t="shared" si="1"/>
        <v>-16</v>
      </c>
      <c r="W6" s="62">
        <f t="shared" si="2"/>
        <v>-4.4000000000000004</v>
      </c>
      <c r="Y6" s="8"/>
      <c r="Z6" s="41"/>
      <c r="AA6" s="32">
        <v>1</v>
      </c>
      <c r="AB6" s="32"/>
      <c r="AC6" s="32">
        <v>8</v>
      </c>
      <c r="AD6" s="36" t="s">
        <v>149</v>
      </c>
      <c r="AE6" s="47" t="s">
        <v>143</v>
      </c>
      <c r="AF6" s="48" t="s">
        <v>150</v>
      </c>
      <c r="AG6" s="48" t="s">
        <v>87</v>
      </c>
      <c r="AH6" s="48" t="s">
        <v>87</v>
      </c>
      <c r="AI6" s="48" t="s">
        <v>82</v>
      </c>
      <c r="AJ6" s="48" t="s">
        <v>85</v>
      </c>
      <c r="AK6" s="48" t="s">
        <v>80</v>
      </c>
      <c r="AL6" s="48" t="s">
        <v>80</v>
      </c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155</v>
      </c>
      <c r="G7" s="9">
        <v>3000</v>
      </c>
      <c r="H7" s="9">
        <v>-1000</v>
      </c>
      <c r="I7" s="55"/>
      <c r="J7" s="21">
        <f t="shared" si="5"/>
        <v>57400</v>
      </c>
      <c r="K7" s="8" t="s">
        <v>155</v>
      </c>
      <c r="L7" s="9">
        <v>-1500</v>
      </c>
      <c r="M7" s="9"/>
      <c r="N7" s="55"/>
      <c r="O7" s="21">
        <f t="shared" si="6"/>
        <v>17500</v>
      </c>
      <c r="P7" s="8" t="s">
        <v>155</v>
      </c>
      <c r="Q7" s="9">
        <v>-1500</v>
      </c>
      <c r="R7" s="9"/>
      <c r="S7" s="55"/>
      <c r="T7" s="21">
        <f t="shared" si="7"/>
        <v>29100</v>
      </c>
      <c r="U7" s="60">
        <f t="shared" si="0"/>
        <v>22.4</v>
      </c>
      <c r="V7" s="61">
        <f t="shared" si="1"/>
        <v>-17.5</v>
      </c>
      <c r="W7" s="62">
        <f t="shared" si="2"/>
        <v>-5.9</v>
      </c>
      <c r="Y7" s="8" t="s">
        <v>145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144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144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2</v>
      </c>
      <c r="D8" s="18">
        <f t="shared" si="4"/>
        <v>1</v>
      </c>
      <c r="E8" s="4" t="s">
        <v>135</v>
      </c>
      <c r="F8" s="8" t="s">
        <v>142</v>
      </c>
      <c r="G8" s="9">
        <v>-5000</v>
      </c>
      <c r="H8" s="9"/>
      <c r="I8" s="55">
        <v>-1000</v>
      </c>
      <c r="J8" s="21">
        <f t="shared" si="5"/>
        <v>51400</v>
      </c>
      <c r="K8" s="8" t="s">
        <v>141</v>
      </c>
      <c r="L8" s="9">
        <v>8000</v>
      </c>
      <c r="M8" s="9">
        <v>1000</v>
      </c>
      <c r="N8" s="55">
        <v>2000</v>
      </c>
      <c r="O8" s="21">
        <f t="shared" si="6"/>
        <v>28500</v>
      </c>
      <c r="P8" s="8" t="s">
        <v>142</v>
      </c>
      <c r="Q8" s="9">
        <v>-3000</v>
      </c>
      <c r="R8" s="9"/>
      <c r="S8" s="55">
        <v>-1000</v>
      </c>
      <c r="T8" s="21">
        <f t="shared" si="7"/>
        <v>25100</v>
      </c>
      <c r="U8" s="60">
        <f t="shared" si="0"/>
        <v>16.399999999999999</v>
      </c>
      <c r="V8" s="61">
        <f t="shared" si="1"/>
        <v>-6.5</v>
      </c>
      <c r="W8" s="62">
        <f t="shared" si="2"/>
        <v>-9.9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149</v>
      </c>
      <c r="AZ8" s="47" t="s">
        <v>143</v>
      </c>
      <c r="BA8" s="48" t="s">
        <v>83</v>
      </c>
      <c r="BB8" s="48" t="s">
        <v>82</v>
      </c>
      <c r="BC8" s="48" t="s">
        <v>82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142</v>
      </c>
      <c r="G9" s="9">
        <v>-9000</v>
      </c>
      <c r="H9" s="9"/>
      <c r="I9" s="55">
        <v>0</v>
      </c>
      <c r="J9" s="21">
        <f t="shared" si="5"/>
        <v>42400</v>
      </c>
      <c r="K9" s="8" t="s">
        <v>142</v>
      </c>
      <c r="L9" s="9">
        <v>-15000</v>
      </c>
      <c r="M9" s="9">
        <v>-1000</v>
      </c>
      <c r="N9" s="55">
        <v>0</v>
      </c>
      <c r="O9" s="21">
        <f t="shared" si="6"/>
        <v>12500</v>
      </c>
      <c r="P9" s="8" t="s">
        <v>141</v>
      </c>
      <c r="Q9" s="9">
        <v>24000</v>
      </c>
      <c r="R9" s="9">
        <v>1000</v>
      </c>
      <c r="S9" s="55">
        <v>0</v>
      </c>
      <c r="T9" s="21">
        <f t="shared" si="7"/>
        <v>50100</v>
      </c>
      <c r="U9" s="60">
        <f t="shared" si="0"/>
        <v>7.4</v>
      </c>
      <c r="V9" s="61">
        <f t="shared" si="1"/>
        <v>-22.5</v>
      </c>
      <c r="W9" s="62">
        <f t="shared" si="2"/>
        <v>15.1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12</v>
      </c>
      <c r="BT9" s="36" t="s">
        <v>149</v>
      </c>
      <c r="BU9" s="47" t="s">
        <v>107</v>
      </c>
      <c r="BV9" s="48" t="s">
        <v>80</v>
      </c>
      <c r="BW9" s="48" t="s">
        <v>80</v>
      </c>
      <c r="BX9" s="48" t="s">
        <v>80</v>
      </c>
      <c r="BY9" s="48" t="s">
        <v>80</v>
      </c>
      <c r="BZ9" s="48" t="s">
        <v>82</v>
      </c>
      <c r="CA9" s="48" t="s">
        <v>82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142</v>
      </c>
      <c r="G10" s="9">
        <v>-4500</v>
      </c>
      <c r="H10" s="9"/>
      <c r="I10" s="55">
        <v>0</v>
      </c>
      <c r="J10" s="21">
        <f t="shared" si="5"/>
        <v>37900</v>
      </c>
      <c r="K10" s="8" t="s">
        <v>141</v>
      </c>
      <c r="L10" s="9">
        <v>12000</v>
      </c>
      <c r="M10" s="9"/>
      <c r="N10" s="55">
        <v>0</v>
      </c>
      <c r="O10" s="21">
        <f t="shared" si="6"/>
        <v>24500</v>
      </c>
      <c r="P10" s="8" t="s">
        <v>142</v>
      </c>
      <c r="Q10" s="9">
        <v>-7500</v>
      </c>
      <c r="R10" s="9"/>
      <c r="S10" s="55">
        <v>0</v>
      </c>
      <c r="T10" s="21">
        <f t="shared" si="7"/>
        <v>42600</v>
      </c>
      <c r="U10" s="60">
        <f t="shared" si="0"/>
        <v>2.9</v>
      </c>
      <c r="V10" s="61">
        <f t="shared" si="1"/>
        <v>-10.5</v>
      </c>
      <c r="W10" s="62">
        <f t="shared" si="2"/>
        <v>7.6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7</v>
      </c>
      <c r="AY10" s="36" t="s">
        <v>149</v>
      </c>
      <c r="AZ10" s="47" t="s">
        <v>143</v>
      </c>
      <c r="BA10" s="48" t="s">
        <v>83</v>
      </c>
      <c r="BB10" s="48" t="s">
        <v>80</v>
      </c>
      <c r="BC10" s="48" t="s">
        <v>80</v>
      </c>
      <c r="BD10" s="48" t="s">
        <v>80</v>
      </c>
      <c r="BE10" s="48" t="s">
        <v>80</v>
      </c>
      <c r="BF10" s="48" t="s">
        <v>86</v>
      </c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148</v>
      </c>
      <c r="G11" s="9">
        <v>2900</v>
      </c>
      <c r="H11" s="9">
        <v>2000</v>
      </c>
      <c r="I11" s="55">
        <v>0</v>
      </c>
      <c r="J11" s="21">
        <f t="shared" si="5"/>
        <v>42800</v>
      </c>
      <c r="K11" s="8" t="s">
        <v>147</v>
      </c>
      <c r="L11" s="9">
        <v>-2900</v>
      </c>
      <c r="M11" s="9">
        <v>-1000</v>
      </c>
      <c r="N11" s="55">
        <v>0</v>
      </c>
      <c r="O11" s="21">
        <f t="shared" si="6"/>
        <v>20600</v>
      </c>
      <c r="P11" s="8"/>
      <c r="Q11" s="9"/>
      <c r="R11" s="9">
        <v>-1000</v>
      </c>
      <c r="S11" s="55"/>
      <c r="T11" s="21">
        <f t="shared" si="7"/>
        <v>41600</v>
      </c>
      <c r="U11" s="60">
        <f t="shared" si="0"/>
        <v>7.8</v>
      </c>
      <c r="V11" s="61">
        <f t="shared" si="1"/>
        <v>-14.4</v>
      </c>
      <c r="W11" s="62">
        <f t="shared" si="2"/>
        <v>6.6</v>
      </c>
      <c r="Y11" s="8"/>
      <c r="Z11" s="41"/>
      <c r="AA11" s="32">
        <v>1</v>
      </c>
      <c r="AB11" s="32"/>
      <c r="AC11" s="32">
        <v>2</v>
      </c>
      <c r="AD11" s="36">
        <v>30</v>
      </c>
      <c r="AE11" s="47" t="s">
        <v>143</v>
      </c>
      <c r="AF11" s="48" t="s">
        <v>84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05026D0-3C3A-46C2-99EF-39DF4CFBD0CC}">
      <formula1>"ロン,ツモ,放銃,ツモ支払,流局,チョンボ"</formula1>
    </dataValidation>
    <dataValidation type="list" allowBlank="1" showInputMessage="1" showErrorMessage="1" sqref="E4:E30" xr:uid="{9B42DE40-38CE-48A7-A6B5-E060447DFF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2019-02-20T17:03:04Z</dcterms:modified>
</cp:coreProperties>
</file>