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7C54A8C0-F7C2-47DF-A1BE-B180ADC5161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Sheet3" sheetId="18" r:id="rId3"/>
    <sheet name="Sheet4" sheetId="19" r:id="rId4"/>
    <sheet name="Sheet5" sheetId="20" r:id="rId5"/>
    <sheet name="Sheet6" sheetId="21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W15" i="21" s="1"/>
  <c r="O15" i="21"/>
  <c r="V15" i="21" s="1"/>
  <c r="J15" i="21"/>
  <c r="U15" i="21" s="1"/>
  <c r="D15" i="21"/>
  <c r="C15" i="21"/>
  <c r="B15" i="21"/>
  <c r="A15" i="21" s="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T10" i="21"/>
  <c r="W10" i="21" s="1"/>
  <c r="O10" i="21"/>
  <c r="V10" i="21" s="1"/>
  <c r="J10" i="21"/>
  <c r="U10" i="21" s="1"/>
  <c r="D10" i="21"/>
  <c r="C10" i="21"/>
  <c r="B10" i="21"/>
  <c r="A10" i="21" s="1"/>
  <c r="T9" i="21"/>
  <c r="W9" i="21" s="1"/>
  <c r="O9" i="21"/>
  <c r="V9" i="21" s="1"/>
  <c r="J9" i="21"/>
  <c r="U9" i="21" s="1"/>
  <c r="D9" i="21"/>
  <c r="C9" i="21"/>
  <c r="B9" i="21"/>
  <c r="A9" i="21" s="1"/>
  <c r="D8" i="21"/>
  <c r="C8" i="21"/>
  <c r="D7" i="21"/>
  <c r="C7" i="21"/>
  <c r="D6" i="21"/>
  <c r="J5" i="21"/>
  <c r="U5" i="21" s="1"/>
  <c r="D5" i="21"/>
  <c r="C5" i="21"/>
  <c r="C6" i="21" s="1"/>
  <c r="B5" i="21"/>
  <c r="B6" i="21" s="1"/>
  <c r="A5" i="2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C12" i="20"/>
  <c r="D11" i="20"/>
  <c r="C11" i="20"/>
  <c r="D10" i="20"/>
  <c r="D9" i="20"/>
  <c r="C8" i="20"/>
  <c r="C9" i="20" s="1"/>
  <c r="C10" i="20" s="1"/>
  <c r="D7" i="20"/>
  <c r="D8" i="20" s="1"/>
  <c r="C7" i="20"/>
  <c r="D6" i="20"/>
  <c r="O5" i="20"/>
  <c r="O6" i="20" s="1"/>
  <c r="D5" i="20"/>
  <c r="C5" i="20"/>
  <c r="C6" i="20" s="1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D14" i="19"/>
  <c r="C14" i="19"/>
  <c r="D13" i="19"/>
  <c r="C13" i="19"/>
  <c r="D12" i="19"/>
  <c r="D11" i="19"/>
  <c r="C11" i="19"/>
  <c r="C12" i="19" s="1"/>
  <c r="D10" i="19"/>
  <c r="D9" i="19"/>
  <c r="D8" i="19"/>
  <c r="D7" i="19"/>
  <c r="O5" i="19"/>
  <c r="O6" i="19" s="1"/>
  <c r="D5" i="19"/>
  <c r="D6" i="19" s="1"/>
  <c r="C5" i="19"/>
  <c r="C6" i="19" s="1"/>
  <c r="C7" i="19" s="1"/>
  <c r="C8" i="19" s="1"/>
  <c r="C9" i="19" s="1"/>
  <c r="C10" i="19" s="1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 s="1"/>
  <c r="D13" i="18"/>
  <c r="C13" i="18"/>
  <c r="D11" i="18"/>
  <c r="D12" i="18" s="1"/>
  <c r="C11" i="18"/>
  <c r="C12" i="18" s="1"/>
  <c r="D9" i="18"/>
  <c r="D10" i="18" s="1"/>
  <c r="D8" i="18"/>
  <c r="C8" i="18"/>
  <c r="C9" i="18" s="1"/>
  <c r="C10" i="18" s="1"/>
  <c r="D7" i="18"/>
  <c r="D6" i="18"/>
  <c r="C6" i="18"/>
  <c r="C7" i="18" s="1"/>
  <c r="D5" i="18"/>
  <c r="C5" i="18"/>
  <c r="B5" i="18"/>
  <c r="B6" i="18" s="1"/>
  <c r="B7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/>
  <c r="T10" i="17"/>
  <c r="W10" i="17" s="1"/>
  <c r="O10" i="17"/>
  <c r="V10" i="17" s="1"/>
  <c r="J10" i="17"/>
  <c r="U10" i="17" s="1"/>
  <c r="D10" i="17"/>
  <c r="C10" i="17"/>
  <c r="B10" i="17"/>
  <c r="A10" i="17"/>
  <c r="D9" i="17"/>
  <c r="C9" i="17"/>
  <c r="D8" i="17"/>
  <c r="C8" i="17"/>
  <c r="D7" i="17"/>
  <c r="C7" i="17"/>
  <c r="D6" i="17"/>
  <c r="J5" i="17"/>
  <c r="U5" i="17" s="1"/>
  <c r="D5" i="17"/>
  <c r="C5" i="17"/>
  <c r="C6" i="17" s="1"/>
  <c r="B5" i="17"/>
  <c r="B6" i="17" s="1"/>
  <c r="U4" i="17"/>
  <c r="T4" i="17"/>
  <c r="W4" i="17" s="1"/>
  <c r="O4" i="17"/>
  <c r="V4" i="17" s="1"/>
  <c r="J4" i="17"/>
  <c r="W3" i="17"/>
  <c r="V3" i="17"/>
  <c r="U3" i="17"/>
  <c r="W2" i="17"/>
  <c r="V2" i="17"/>
  <c r="U2" i="17"/>
  <c r="BO1" i="17"/>
  <c r="AT1" i="17"/>
  <c r="Y1" i="17"/>
  <c r="B8" i="18" l="1"/>
  <c r="O5" i="18"/>
  <c r="O6" i="18" s="1"/>
  <c r="A5" i="19"/>
  <c r="A6" i="19" s="1"/>
  <c r="J5" i="19"/>
  <c r="U5" i="19" s="1"/>
  <c r="A5" i="20"/>
  <c r="J5" i="20"/>
  <c r="U5" i="20" s="1"/>
  <c r="O5" i="17"/>
  <c r="O6" i="17" s="1"/>
  <c r="A5" i="18"/>
  <c r="J5" i="18"/>
  <c r="U5" i="18" s="1"/>
  <c r="O5" i="21"/>
  <c r="O6" i="21" s="1"/>
  <c r="V5" i="21"/>
  <c r="B7" i="21"/>
  <c r="O7" i="21"/>
  <c r="T5" i="21"/>
  <c r="A6" i="21"/>
  <c r="J6" i="21"/>
  <c r="V5" i="20"/>
  <c r="B7" i="20"/>
  <c r="V6" i="20"/>
  <c r="O7" i="20"/>
  <c r="T5" i="20"/>
  <c r="A6" i="20"/>
  <c r="J6" i="20"/>
  <c r="V5" i="19"/>
  <c r="B7" i="19"/>
  <c r="V6" i="19"/>
  <c r="O7" i="19"/>
  <c r="T5" i="19"/>
  <c r="J6" i="19"/>
  <c r="V5" i="18"/>
  <c r="T5" i="18"/>
  <c r="A6" i="18"/>
  <c r="A7" i="18" s="1"/>
  <c r="J6" i="18"/>
  <c r="A5" i="17"/>
  <c r="B7" i="17"/>
  <c r="A7" i="17" s="1"/>
  <c r="V6" i="17"/>
  <c r="O7" i="17"/>
  <c r="T5" i="17"/>
  <c r="A6" i="17"/>
  <c r="J6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V6" i="21" l="1"/>
  <c r="V6" i="18"/>
  <c r="O7" i="18"/>
  <c r="U6" i="18"/>
  <c r="J7" i="18"/>
  <c r="V5" i="17"/>
  <c r="A8" i="18"/>
  <c r="B9" i="18"/>
  <c r="U6" i="21"/>
  <c r="J7" i="21"/>
  <c r="B8" i="21"/>
  <c r="A8" i="21" s="1"/>
  <c r="O8" i="21"/>
  <c r="V7" i="21"/>
  <c r="A7" i="21"/>
  <c r="W5" i="21"/>
  <c r="T6" i="21"/>
  <c r="A7" i="20"/>
  <c r="O8" i="20"/>
  <c r="V7" i="20"/>
  <c r="U6" i="20"/>
  <c r="J7" i="20"/>
  <c r="W5" i="20"/>
  <c r="T6" i="20"/>
  <c r="B8" i="20"/>
  <c r="A7" i="19"/>
  <c r="O8" i="19"/>
  <c r="V7" i="19"/>
  <c r="U6" i="19"/>
  <c r="J7" i="19"/>
  <c r="W5" i="19"/>
  <c r="T6" i="19"/>
  <c r="B8" i="19"/>
  <c r="W5" i="18"/>
  <c r="T6" i="18"/>
  <c r="T6" i="17"/>
  <c r="W5" i="17"/>
  <c r="O8" i="17"/>
  <c r="V7" i="17"/>
  <c r="U6" i="17"/>
  <c r="J7" i="17"/>
  <c r="B8" i="17"/>
  <c r="A8" i="17" s="1"/>
  <c r="W3" i="1"/>
  <c r="V3" i="1"/>
  <c r="U3" i="1"/>
  <c r="V8" i="21" l="1"/>
  <c r="U7" i="18"/>
  <c r="J8" i="18"/>
  <c r="A9" i="18"/>
  <c r="A10" i="18"/>
  <c r="B10" i="18"/>
  <c r="B11" i="18" s="1"/>
  <c r="V7" i="18"/>
  <c r="O8" i="18"/>
  <c r="W6" i="18"/>
  <c r="T7" i="18"/>
  <c r="W6" i="21"/>
  <c r="T7" i="21"/>
  <c r="U7" i="21"/>
  <c r="J8" i="21"/>
  <c r="U7" i="20"/>
  <c r="J8" i="20"/>
  <c r="B9" i="20"/>
  <c r="W6" i="20"/>
  <c r="T7" i="20"/>
  <c r="A8" i="20"/>
  <c r="V8" i="20"/>
  <c r="O9" i="20"/>
  <c r="B9" i="19"/>
  <c r="W6" i="19"/>
  <c r="T7" i="19"/>
  <c r="V8" i="19"/>
  <c r="O9" i="19"/>
  <c r="A8" i="19"/>
  <c r="U7" i="19"/>
  <c r="J8" i="19"/>
  <c r="V8" i="17"/>
  <c r="O9" i="17"/>
  <c r="V9" i="17" s="1"/>
  <c r="B9" i="17"/>
  <c r="A9" i="17"/>
  <c r="U7" i="17"/>
  <c r="J8" i="17"/>
  <c r="W6" i="17"/>
  <c r="T7" i="17"/>
  <c r="B5" i="1"/>
  <c r="A5" i="1" s="1"/>
  <c r="D6" i="1"/>
  <c r="B6" i="1"/>
  <c r="A6" i="1" s="1"/>
  <c r="D5" i="1"/>
  <c r="U8" i="21" l="1"/>
  <c r="V8" i="18"/>
  <c r="O9" i="18"/>
  <c r="U8" i="18"/>
  <c r="J9" i="18"/>
  <c r="W7" i="18"/>
  <c r="T8" i="18"/>
  <c r="A11" i="18"/>
  <c r="B12" i="18"/>
  <c r="W7" i="21"/>
  <c r="T8" i="21"/>
  <c r="A9" i="20"/>
  <c r="B10" i="20"/>
  <c r="A10" i="20" s="1"/>
  <c r="T8" i="20"/>
  <c r="W7" i="20"/>
  <c r="J9" i="20"/>
  <c r="U8" i="20"/>
  <c r="O10" i="20"/>
  <c r="V9" i="20"/>
  <c r="J9" i="19"/>
  <c r="U8" i="19"/>
  <c r="B10" i="19"/>
  <c r="A10" i="19" s="1"/>
  <c r="W7" i="19"/>
  <c r="T8" i="19"/>
  <c r="O10" i="19"/>
  <c r="V9" i="19"/>
  <c r="A9" i="19"/>
  <c r="W7" i="17"/>
  <c r="T8" i="17"/>
  <c r="U8" i="17"/>
  <c r="J9" i="17"/>
  <c r="U9" i="17" s="1"/>
  <c r="Y1" i="1"/>
  <c r="W8" i="21" l="1"/>
  <c r="U9" i="18"/>
  <c r="J10" i="18"/>
  <c r="A12" i="18"/>
  <c r="B13" i="18"/>
  <c r="A13" i="18" s="1"/>
  <c r="W8" i="18"/>
  <c r="T9" i="18"/>
  <c r="V9" i="18"/>
  <c r="O10" i="18"/>
  <c r="W8" i="20"/>
  <c r="T9" i="20"/>
  <c r="V10" i="20"/>
  <c r="O11" i="20"/>
  <c r="U9" i="20"/>
  <c r="J10" i="20"/>
  <c r="B11" i="20"/>
  <c r="O11" i="19"/>
  <c r="V10" i="19"/>
  <c r="W8" i="19"/>
  <c r="T9" i="19"/>
  <c r="U9" i="19"/>
  <c r="J10" i="19"/>
  <c r="B11" i="19"/>
  <c r="A11" i="19" s="1"/>
  <c r="W8" i="17"/>
  <c r="T9" i="17"/>
  <c r="W9" i="17" s="1"/>
  <c r="BO1" i="1"/>
  <c r="AT1" i="1"/>
  <c r="V10" i="18" l="1"/>
  <c r="O11" i="18"/>
  <c r="W9" i="18"/>
  <c r="T10" i="18"/>
  <c r="U10" i="18"/>
  <c r="J11" i="18"/>
  <c r="B12" i="20"/>
  <c r="A12" i="20" s="1"/>
  <c r="A11" i="20"/>
  <c r="J11" i="20"/>
  <c r="U10" i="20"/>
  <c r="T10" i="20"/>
  <c r="W9" i="20"/>
  <c r="O12" i="20"/>
  <c r="V11" i="20"/>
  <c r="U10" i="19"/>
  <c r="J11" i="19"/>
  <c r="O12" i="19"/>
  <c r="V11" i="19"/>
  <c r="W9" i="19"/>
  <c r="T10" i="19"/>
  <c r="B12" i="19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8" l="1"/>
  <c r="T11" i="18"/>
  <c r="U11" i="18"/>
  <c r="J12" i="18"/>
  <c r="V11" i="18"/>
  <c r="O12" i="18"/>
  <c r="V12" i="20"/>
  <c r="O13" i="20"/>
  <c r="U11" i="20"/>
  <c r="J12" i="20"/>
  <c r="W10" i="20"/>
  <c r="T11" i="20"/>
  <c r="B13" i="20"/>
  <c r="A13" i="20" s="1"/>
  <c r="B13" i="19"/>
  <c r="W10" i="19"/>
  <c r="T11" i="19"/>
  <c r="U11" i="19"/>
  <c r="J12" i="19"/>
  <c r="A12" i="19"/>
  <c r="O13" i="19"/>
  <c r="V12" i="19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V13" i="19" l="1"/>
  <c r="O14" i="19"/>
  <c r="V14" i="19" s="1"/>
  <c r="U12" i="18"/>
  <c r="J13" i="18"/>
  <c r="U13" i="18" s="1"/>
  <c r="A13" i="19"/>
  <c r="B14" i="19"/>
  <c r="A14" i="19" s="1"/>
  <c r="V12" i="18"/>
  <c r="O13" i="18"/>
  <c r="V13" i="18" s="1"/>
  <c r="W11" i="18"/>
  <c r="T12" i="18"/>
  <c r="J13" i="20"/>
  <c r="U12" i="20"/>
  <c r="T12" i="20"/>
  <c r="W11" i="20"/>
  <c r="O14" i="20"/>
  <c r="V14" i="20" s="1"/>
  <c r="V13" i="20"/>
  <c r="B14" i="20"/>
  <c r="A14" i="20" s="1"/>
  <c r="W11" i="19"/>
  <c r="T12" i="19"/>
  <c r="J13" i="19"/>
  <c r="U12" i="19"/>
  <c r="W2" i="1"/>
  <c r="V2" i="1"/>
  <c r="U2" i="1"/>
  <c r="U13" i="19" l="1"/>
  <c r="J14" i="19"/>
  <c r="U14" i="19" s="1"/>
  <c r="W12" i="18"/>
  <c r="T13" i="18"/>
  <c r="W13" i="18" s="1"/>
  <c r="W12" i="20"/>
  <c r="T13" i="20"/>
  <c r="U13" i="20"/>
  <c r="J14" i="20"/>
  <c r="U14" i="20" s="1"/>
  <c r="W12" i="19"/>
  <c r="T13" i="19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W13" i="19" l="1"/>
  <c r="T14" i="19"/>
  <c r="W14" i="19" s="1"/>
  <c r="T14" i="20"/>
  <c r="W14" i="20" s="1"/>
  <c r="W13" i="20"/>
  <c r="B8" i="1"/>
  <c r="A7" i="1"/>
  <c r="J5" i="1"/>
  <c r="U5" i="1" s="1"/>
  <c r="B9" i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A9" i="1" s="1"/>
  <c r="J6" i="1"/>
  <c r="T5" i="1"/>
  <c r="W5" i="1" s="1"/>
  <c r="O6" i="1"/>
  <c r="B10" i="1"/>
  <c r="O7" i="1" l="1"/>
  <c r="V7" i="1" s="1"/>
  <c r="V6" i="1"/>
  <c r="J7" i="1"/>
  <c r="U7" i="1" s="1"/>
  <c r="U6" i="1"/>
  <c r="B11" i="1"/>
  <c r="A11" i="1" s="1"/>
  <c r="A10" i="1"/>
  <c r="O8" i="1"/>
  <c r="V8" i="1" s="1"/>
  <c r="T6" i="1"/>
  <c r="B12" i="1"/>
  <c r="A12" i="1" s="1"/>
  <c r="J8" i="1" l="1"/>
  <c r="U8" i="1" s="1"/>
  <c r="T7" i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<sst xmlns="http://schemas.openxmlformats.org/spreadsheetml/2006/main" count="1115" uniqueCount="158">
  <si>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</si>
  <si>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</si>
  <si>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</si>
  <si>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</si>
  <si>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</si>
  <si>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</si>
  <si>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</si>
  <si>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</si>
  <si>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</si>
  <si>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</si>
  <si>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</si>
  <si>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</si>
  <si>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</si>
  <si>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</si>
  <si>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</si>
  <si>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</si>
  <si>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</si>
  <si>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</si>
  <si>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</si>
  <si>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</si>
  <si>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</si>
  <si>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</si>
  <si>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</si>
  <si>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</si>
  <si>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</si>
  <si>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</si>
  <si>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</si>
  <si>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</si>
  <si>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</si>
  <si>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</si>
  <si>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</si>
  <si>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</si>
  <si>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</si>
  <si>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</si>
  <si>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</si>
  <si>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</si>
  <si>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</si>
  <si>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</si>
  <si>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</si>
  <si>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</si>
  <si>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</si>
  <si>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</si>
  <si>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</si>
  <si>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</si>
  <si>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</si>
  <si>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</si>
  <si>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</si>
  <si>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</si>
  <si>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</si>
  <si>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</si>
  <si>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</si>
  <si>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</si>
  <si>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</si>
  <si>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</si>
  <si>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</si>
  <si>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</si>
  <si>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</si>
  <si>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</si>
  <si>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</si>
  <si>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</si>
  <si>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</si>
  <si>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</si>
  <si>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</si>
  <si>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</si>
  <si>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</si>
  <si>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</si>
  <si>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</si>
  <si>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</si>
  <si>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</si>
  <si>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</si>
  <si>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</si>
  <si>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</si>
  <si>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</si>
  <si>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</si>
  <si>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</si>
  <si>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</si>
  <si>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</si>
  <si>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</si>
  <si>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</si>
  <si>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</si>
  <si>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</si>
  <si>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</si>
  <si>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</si>
  <si>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</si>
  <si>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</si>
  <si>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</si>
  <si>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</si>
  <si>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</si>
  <si>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</si>
  <si>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</si>
  <si>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</si>
  <si>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</si>
  <si>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</si>
  <si>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</si>
  <si>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</si>
  <si>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</si>
  <si>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</si>
  <si>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</si>
  <si>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</si>
  <si>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</si>
  <si>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</si>
  <si>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</si>
  <si>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</si>
  <si>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</si>
  <si>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</si>
  <si>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</si>
  <si>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</si>
  <si>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</si>
  <si>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</si>
  <si>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</si>
  <si>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</si>
  <si>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</si>
  <si>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</si>
  <si>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</si>
  <si>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</si>
  <si>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</si>
  <si>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</si>
  <si>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</si>
  <si>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</si>
  <si>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</si>
  <si>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</si>
  <si>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</si>
  <si>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</si>
  <si>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</si>
  <si>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</si>
  <si>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</si>
  <si>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</si>
  <si>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</si>
  <si>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</si>
  <si>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</si>
  <si>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</si>
  <si>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</si>
  <si>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</si>
  <si>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</si>
  <si>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</si>
  <si>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</si>
  <si>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</si>
  <si>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だいち</t>
  </si>
  <si>
    <t>だいち</t>
    <phoneticPr fontId="1"/>
  </si>
  <si>
    <t>たかの</t>
  </si>
  <si>
    <t>たかの</t>
    <phoneticPr fontId="1"/>
  </si>
  <si>
    <t>まっつん</t>
  </si>
  <si>
    <t>まっつん</t>
    <phoneticPr fontId="1"/>
  </si>
  <si>
    <t>ロン</t>
  </si>
  <si>
    <t>放銃</t>
  </si>
  <si>
    <t>*</t>
  </si>
  <si>
    <t>01</t>
  </si>
  <si>
    <t>ツモ支払</t>
  </si>
  <si>
    <t>ツモ</t>
  </si>
  <si>
    <t>ただ</t>
  </si>
  <si>
    <t>ただ</t>
    <phoneticPr fontId="1"/>
  </si>
  <si>
    <t>T</t>
  </si>
  <si>
    <t>N</t>
  </si>
  <si>
    <t>流局</t>
    <phoneticPr fontId="1"/>
  </si>
  <si>
    <t>02</t>
  </si>
  <si>
    <t>れんたろう</t>
  </si>
  <si>
    <t>れんたろう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</si>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</sst>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まっつん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144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12</v>
      </c>
      <c r="V4" s="61">
        <f t="shared" ref="V4:V30" si="1">IF($O4="","",ROUND(($O4-$O$3)/1000,1))</f>
        <v>0</v>
      </c>
      <c r="W4" s="62">
        <f t="shared" ref="W4:W30" si="2">IF($T4="","",ROUND(($T4-$T$3)/1000,1))</f>
        <v>-12</v>
      </c>
      <c r="Y4" s="8"/>
      <c r="Z4" s="41"/>
      <c r="AA4" s="32">
        <v>1</v>
      </c>
      <c r="AB4" s="32"/>
      <c r="AC4" s="32">
        <v>6</v>
      </c>
      <c r="AD4" s="36" t="s">
        <v>145</v>
      </c>
      <c r="AE4" s="47" t="s">
        <v>146</v>
      </c>
      <c r="AF4" s="48" t="s">
        <v>87</v>
      </c>
      <c r="AG4" s="48" t="s">
        <v>82</v>
      </c>
      <c r="AH4" s="48" t="s">
        <v>80</v>
      </c>
      <c r="AI4" s="48" t="s">
        <v>81</v>
      </c>
      <c r="AJ4" s="48" t="s">
        <v>80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3">IF($E5="","",IF(OR($F4="流局",$F4="チョンボ"),D4+($H4+$M4+$R4)/-1000,0))</f>
        <v>0</v>
      </c>
      <c r="E5" s="4" t="s">
        <v>141</v>
      </c>
      <c r="F5" s="8" t="s">
        <v>144</v>
      </c>
      <c r="G5" s="9">
        <v>-8000</v>
      </c>
      <c r="H5" s="9"/>
      <c r="I5" s="55">
        <v>0</v>
      </c>
      <c r="J5" s="21">
        <f t="shared" ref="J5:J30" si="4">IF(COUNTA($F5,$K5,$P5)&gt;0,J4+SUM(G5:I5),"")</f>
        <v>39000</v>
      </c>
      <c r="K5" s="8" t="s">
        <v>143</v>
      </c>
      <c r="L5" s="9">
        <v>8000</v>
      </c>
      <c r="M5" s="9"/>
      <c r="N5" s="55">
        <v>0</v>
      </c>
      <c r="O5" s="21">
        <f t="shared" ref="O5:O30" si="5">IF(COUNTA($F5,$K5,$P5)&gt;0,O4+SUM(L5:N5),"")</f>
        <v>43000</v>
      </c>
      <c r="P5" s="8"/>
      <c r="Q5" s="9"/>
      <c r="R5" s="9"/>
      <c r="S5" s="55"/>
      <c r="T5" s="21">
        <f t="shared" ref="T5:T30" si="6">IF(COUNTA($F5,$K5,$P5)&gt;0,T4+SUM(Q5:S5),"")</f>
        <v>23000</v>
      </c>
      <c r="U5" s="60">
        <f t="shared" si="0"/>
        <v>4</v>
      </c>
      <c r="V5" s="61">
        <f t="shared" si="1"/>
        <v>8</v>
      </c>
      <c r="W5" s="62">
        <f t="shared" si="2"/>
        <v>-12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5</v>
      </c>
      <c r="AY5" s="36" t="s">
        <v>145</v>
      </c>
      <c r="AZ5" s="47" t="s">
        <v>102</v>
      </c>
      <c r="BA5" s="48" t="s">
        <v>82</v>
      </c>
      <c r="BB5" s="48" t="s">
        <v>80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7">IF($E6="","",IF($E5=$E6,B5,IF(B5=3,1,B5+1)))</f>
        <v>3</v>
      </c>
      <c r="C6" s="18">
        <f t="shared" ref="C6:C30" si="8">IF($E6="","",IF($F5="チョンボ",C5,IF(OR($E5=$E6,$F5="流局"),C5+1,0)))</f>
        <v>0</v>
      </c>
      <c r="D6" s="18">
        <f t="shared" si="3"/>
        <v>0</v>
      </c>
      <c r="E6" s="4" t="s">
        <v>137</v>
      </c>
      <c r="F6" s="8" t="s">
        <v>147</v>
      </c>
      <c r="G6" s="9">
        <v>-1300</v>
      </c>
      <c r="H6" s="9"/>
      <c r="I6" s="55">
        <v>0</v>
      </c>
      <c r="J6" s="21">
        <f t="shared" si="4"/>
        <v>37700</v>
      </c>
      <c r="K6" s="8" t="s">
        <v>148</v>
      </c>
      <c r="L6" s="9">
        <v>2100</v>
      </c>
      <c r="M6" s="9"/>
      <c r="N6" s="55">
        <v>0</v>
      </c>
      <c r="O6" s="21">
        <f t="shared" si="5"/>
        <v>45100</v>
      </c>
      <c r="P6" s="8" t="s">
        <v>147</v>
      </c>
      <c r="Q6" s="9">
        <v>-800</v>
      </c>
      <c r="R6" s="9"/>
      <c r="S6" s="55">
        <v>0</v>
      </c>
      <c r="T6" s="21">
        <f t="shared" si="6"/>
        <v>22200</v>
      </c>
      <c r="U6" s="60">
        <f t="shared" si="0"/>
        <v>2.7</v>
      </c>
      <c r="V6" s="61">
        <f t="shared" si="1"/>
        <v>10.1</v>
      </c>
      <c r="W6" s="62">
        <f t="shared" si="2"/>
        <v>-12.8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2</v>
      </c>
      <c r="AY6" s="36">
        <v>30</v>
      </c>
      <c r="AZ6" s="47" t="s">
        <v>83</v>
      </c>
      <c r="BA6" s="48" t="s">
        <v>82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9">IF($E7="","",IF(AND(B6=3,B7=1),_xlfn.SWITCH(A6,"東","南","南","西","西","北","北","東"),A6))</f>
        <v>南</v>
      </c>
      <c r="B7" s="18">
        <f t="shared" si="7"/>
        <v>1</v>
      </c>
      <c r="C7" s="18">
        <f t="shared" si="8"/>
        <v>0</v>
      </c>
      <c r="D7" s="18">
        <f t="shared" si="3"/>
        <v>0</v>
      </c>
      <c r="E7" s="4" t="s">
        <v>139</v>
      </c>
      <c r="F7" s="8" t="s">
        <v>148</v>
      </c>
      <c r="G7" s="9">
        <v>12000</v>
      </c>
      <c r="H7" s="9">
        <v>1000</v>
      </c>
      <c r="I7" s="55">
        <v>0</v>
      </c>
      <c r="J7" s="21">
        <f t="shared" si="4"/>
        <v>50700</v>
      </c>
      <c r="K7" s="8" t="s">
        <v>147</v>
      </c>
      <c r="L7" s="9">
        <v>-7500</v>
      </c>
      <c r="M7" s="9">
        <v>-1000</v>
      </c>
      <c r="N7" s="55">
        <v>0</v>
      </c>
      <c r="O7" s="21">
        <f t="shared" si="5"/>
        <v>36600</v>
      </c>
      <c r="P7" s="8" t="s">
        <v>147</v>
      </c>
      <c r="Q7" s="9">
        <v>-4500</v>
      </c>
      <c r="R7" s="9"/>
      <c r="S7" s="55">
        <v>0</v>
      </c>
      <c r="T7" s="21">
        <f t="shared" si="6"/>
        <v>17700</v>
      </c>
      <c r="U7" s="60">
        <f t="shared" si="0"/>
        <v>15.7</v>
      </c>
      <c r="V7" s="61">
        <f t="shared" si="1"/>
        <v>1.6</v>
      </c>
      <c r="W7" s="62">
        <f t="shared" si="2"/>
        <v>-17.3</v>
      </c>
      <c r="Y7" s="8"/>
      <c r="Z7" s="41"/>
      <c r="AA7" s="32">
        <v>1</v>
      </c>
      <c r="AB7" s="32"/>
      <c r="AC7" s="32">
        <v>6</v>
      </c>
      <c r="AD7" s="36" t="s">
        <v>145</v>
      </c>
      <c r="AE7" s="47" t="s">
        <v>146</v>
      </c>
      <c r="AF7" s="48" t="s">
        <v>83</v>
      </c>
      <c r="AG7" s="48" t="s">
        <v>82</v>
      </c>
      <c r="AH7" s="48" t="s">
        <v>82</v>
      </c>
      <c r="AI7" s="48" t="s">
        <v>80</v>
      </c>
      <c r="AJ7" s="48" t="s">
        <v>80</v>
      </c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9"/>
        <v>南</v>
      </c>
      <c r="B8" s="18">
        <f t="shared" si="7"/>
        <v>2</v>
      </c>
      <c r="C8" s="18">
        <f t="shared" si="8"/>
        <v>0</v>
      </c>
      <c r="D8" s="18">
        <f t="shared" si="3"/>
        <v>0</v>
      </c>
      <c r="E8" s="4" t="s">
        <v>141</v>
      </c>
      <c r="F8" s="8"/>
      <c r="G8" s="9"/>
      <c r="H8" s="9"/>
      <c r="I8" s="55"/>
      <c r="J8" s="21">
        <f t="shared" si="4"/>
        <v>50700</v>
      </c>
      <c r="K8" s="8" t="s">
        <v>143</v>
      </c>
      <c r="L8" s="9">
        <v>2600</v>
      </c>
      <c r="M8" s="9"/>
      <c r="N8" s="55">
        <v>0</v>
      </c>
      <c r="O8" s="21">
        <f t="shared" si="5"/>
        <v>39200</v>
      </c>
      <c r="P8" s="8" t="s">
        <v>144</v>
      </c>
      <c r="Q8" s="9">
        <v>-2600</v>
      </c>
      <c r="R8" s="9"/>
      <c r="S8" s="55">
        <v>0</v>
      </c>
      <c r="T8" s="21">
        <f t="shared" si="6"/>
        <v>15100</v>
      </c>
      <c r="U8" s="60">
        <f t="shared" si="0"/>
        <v>15.7</v>
      </c>
      <c r="V8" s="61">
        <f t="shared" si="1"/>
        <v>4.2</v>
      </c>
      <c r="W8" s="62">
        <f t="shared" si="2"/>
        <v>-19.899999999999999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2</v>
      </c>
      <c r="AY8" s="36">
        <v>40</v>
      </c>
      <c r="AZ8" s="47" t="s">
        <v>146</v>
      </c>
      <c r="BA8" s="48" t="s">
        <v>80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9"/>
        <v>南</v>
      </c>
      <c r="B9" s="18">
        <f t="shared" si="7"/>
        <v>3</v>
      </c>
      <c r="C9" s="18">
        <f t="shared" si="8"/>
        <v>0</v>
      </c>
      <c r="D9" s="18">
        <f t="shared" si="3"/>
        <v>0</v>
      </c>
      <c r="E9" s="4" t="s">
        <v>137</v>
      </c>
      <c r="F9" s="8" t="s">
        <v>148</v>
      </c>
      <c r="G9" s="9">
        <v>12000</v>
      </c>
      <c r="H9" s="9"/>
      <c r="I9" s="55">
        <v>0</v>
      </c>
      <c r="J9" s="21">
        <f t="shared" si="4"/>
        <v>62700</v>
      </c>
      <c r="K9" s="8" t="s">
        <v>147</v>
      </c>
      <c r="L9" s="9">
        <v>-6000</v>
      </c>
      <c r="M9" s="9"/>
      <c r="N9" s="55">
        <v>0</v>
      </c>
      <c r="O9" s="21">
        <f t="shared" si="5"/>
        <v>33200</v>
      </c>
      <c r="P9" s="8" t="s">
        <v>147</v>
      </c>
      <c r="Q9" s="9">
        <v>-6000</v>
      </c>
      <c r="R9" s="9"/>
      <c r="S9" s="55">
        <v>0</v>
      </c>
      <c r="T9" s="21">
        <f t="shared" si="6"/>
        <v>9100</v>
      </c>
      <c r="U9" s="60">
        <f t="shared" si="0"/>
        <v>27.7</v>
      </c>
      <c r="V9" s="61">
        <f t="shared" si="1"/>
        <v>-1.8</v>
      </c>
      <c r="W9" s="62">
        <f t="shared" si="2"/>
        <v>-25.9</v>
      </c>
      <c r="Y9" s="8"/>
      <c r="Z9" s="41"/>
      <c r="AA9" s="32">
        <v>1</v>
      </c>
      <c r="AB9" s="32"/>
      <c r="AC9" s="32">
        <v>5</v>
      </c>
      <c r="AD9" s="36" t="s">
        <v>145</v>
      </c>
      <c r="AE9" s="47" t="s">
        <v>146</v>
      </c>
      <c r="AF9" s="48" t="s">
        <v>83</v>
      </c>
      <c r="AG9" s="48" t="s">
        <v>84</v>
      </c>
      <c r="AH9" s="48" t="s">
        <v>82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9"/>
        <v/>
      </c>
      <c r="B10" s="18" t="str">
        <f t="shared" si="7"/>
        <v/>
      </c>
      <c r="C10" s="18" t="str">
        <f t="shared" si="8"/>
        <v/>
      </c>
      <c r="D10" s="18" t="str">
        <f t="shared" si="3"/>
        <v/>
      </c>
      <c r="E10" s="4"/>
      <c r="F10" s="8"/>
      <c r="G10" s="9"/>
      <c r="H10" s="9"/>
      <c r="I10" s="55"/>
      <c r="J10" s="21" t="str">
        <f t="shared" si="4"/>
        <v/>
      </c>
      <c r="K10" s="8"/>
      <c r="L10" s="9"/>
      <c r="M10" s="9"/>
      <c r="N10" s="55"/>
      <c r="O10" s="21" t="str">
        <f t="shared" si="5"/>
        <v/>
      </c>
      <c r="P10" s="8"/>
      <c r="Q10" s="9"/>
      <c r="R10" s="9"/>
      <c r="S10" s="55"/>
      <c r="T10" s="21" t="str">
        <f t="shared" si="6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9"/>
        <v/>
      </c>
      <c r="B11" s="18" t="str">
        <f t="shared" si="7"/>
        <v/>
      </c>
      <c r="C11" s="18" t="str">
        <f t="shared" si="8"/>
        <v/>
      </c>
      <c r="D11" s="18" t="str">
        <f t="shared" si="3"/>
        <v/>
      </c>
      <c r="E11" s="4"/>
      <c r="F11" s="8"/>
      <c r="G11" s="9"/>
      <c r="H11" s="9"/>
      <c r="I11" s="55"/>
      <c r="J11" s="21" t="str">
        <f t="shared" si="4"/>
        <v/>
      </c>
      <c r="K11" s="8"/>
      <c r="L11" s="9"/>
      <c r="M11" s="9"/>
      <c r="N11" s="55"/>
      <c r="O11" s="21" t="str">
        <f t="shared" si="5"/>
        <v/>
      </c>
      <c r="P11" s="8"/>
      <c r="Q11" s="9"/>
      <c r="R11" s="9"/>
      <c r="S11" s="55"/>
      <c r="T11" s="21" t="str">
        <f t="shared" si="6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9"/>
        <v/>
      </c>
      <c r="B12" s="18" t="str">
        <f t="shared" si="7"/>
        <v/>
      </c>
      <c r="C12" s="18" t="str">
        <f t="shared" si="8"/>
        <v/>
      </c>
      <c r="D12" s="18" t="str">
        <f t="shared" si="3"/>
        <v/>
      </c>
      <c r="E12" s="4"/>
      <c r="F12" s="8"/>
      <c r="G12" s="9"/>
      <c r="H12" s="9"/>
      <c r="I12" s="55"/>
      <c r="J12" s="21" t="str">
        <f t="shared" si="4"/>
        <v/>
      </c>
      <c r="K12" s="8"/>
      <c r="L12" s="9"/>
      <c r="M12" s="9"/>
      <c r="N12" s="55"/>
      <c r="O12" s="21" t="str">
        <f t="shared" si="5"/>
        <v/>
      </c>
      <c r="P12" s="8"/>
      <c r="Q12" s="9"/>
      <c r="R12" s="9"/>
      <c r="S12" s="55"/>
      <c r="T12" s="21" t="str">
        <f t="shared" si="6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9"/>
        <v/>
      </c>
      <c r="B13" s="18" t="str">
        <f t="shared" si="7"/>
        <v/>
      </c>
      <c r="C13" s="18" t="str">
        <f t="shared" si="8"/>
        <v/>
      </c>
      <c r="D13" s="18" t="str">
        <f t="shared" si="3"/>
        <v/>
      </c>
      <c r="E13" s="4"/>
      <c r="F13" s="8"/>
      <c r="G13" s="9"/>
      <c r="H13" s="9"/>
      <c r="I13" s="55"/>
      <c r="J13" s="21" t="str">
        <f t="shared" si="4"/>
        <v/>
      </c>
      <c r="K13" s="8"/>
      <c r="L13" s="9"/>
      <c r="M13" s="9"/>
      <c r="N13" s="55"/>
      <c r="O13" s="21" t="str">
        <f t="shared" si="5"/>
        <v/>
      </c>
      <c r="P13" s="8"/>
      <c r="Q13" s="9"/>
      <c r="R13" s="9"/>
      <c r="S13" s="55"/>
      <c r="T13" s="21" t="str">
        <f t="shared" si="6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9"/>
        <v/>
      </c>
      <c r="B14" s="18" t="str">
        <f t="shared" si="7"/>
        <v/>
      </c>
      <c r="C14" s="18" t="str">
        <f t="shared" si="8"/>
        <v/>
      </c>
      <c r="D14" s="18" t="str">
        <f t="shared" si="3"/>
        <v/>
      </c>
      <c r="E14" s="4"/>
      <c r="F14" s="8"/>
      <c r="G14" s="9"/>
      <c r="H14" s="9"/>
      <c r="I14" s="55"/>
      <c r="J14" s="21" t="str">
        <f t="shared" si="4"/>
        <v/>
      </c>
      <c r="K14" s="8"/>
      <c r="L14" s="9"/>
      <c r="M14" s="9"/>
      <c r="N14" s="55"/>
      <c r="O14" s="21" t="str">
        <f t="shared" si="5"/>
        <v/>
      </c>
      <c r="P14" s="8"/>
      <c r="Q14" s="9"/>
      <c r="R14" s="9"/>
      <c r="S14" s="55"/>
      <c r="T14" s="21" t="str">
        <f t="shared" si="6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9"/>
        <v/>
      </c>
      <c r="B15" s="18" t="str">
        <f t="shared" si="7"/>
        <v/>
      </c>
      <c r="C15" s="18" t="str">
        <f t="shared" si="8"/>
        <v/>
      </c>
      <c r="D15" s="18" t="str">
        <f t="shared" si="3"/>
        <v/>
      </c>
      <c r="E15" s="4"/>
      <c r="F15" s="8"/>
      <c r="G15" s="9"/>
      <c r="H15" s="9"/>
      <c r="I15" s="55"/>
      <c r="J15" s="21" t="str">
        <f t="shared" si="4"/>
        <v/>
      </c>
      <c r="K15" s="8"/>
      <c r="L15" s="9"/>
      <c r="M15" s="9"/>
      <c r="N15" s="55"/>
      <c r="O15" s="21" t="str">
        <f t="shared" si="5"/>
        <v/>
      </c>
      <c r="P15" s="8"/>
      <c r="Q15" s="9"/>
      <c r="R15" s="9"/>
      <c r="S15" s="55"/>
      <c r="T15" s="21" t="str">
        <f t="shared" si="6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9"/>
        <v/>
      </c>
      <c r="B16" s="18" t="str">
        <f t="shared" si="7"/>
        <v/>
      </c>
      <c r="C16" s="18" t="str">
        <f t="shared" si="8"/>
        <v/>
      </c>
      <c r="D16" s="18" t="str">
        <f t="shared" si="3"/>
        <v/>
      </c>
      <c r="E16" s="4"/>
      <c r="F16" s="8"/>
      <c r="G16" s="9"/>
      <c r="H16" s="9"/>
      <c r="I16" s="55"/>
      <c r="J16" s="21" t="str">
        <f t="shared" si="4"/>
        <v/>
      </c>
      <c r="K16" s="8"/>
      <c r="L16" s="9"/>
      <c r="M16" s="9"/>
      <c r="N16" s="55"/>
      <c r="O16" s="21" t="str">
        <f t="shared" si="5"/>
        <v/>
      </c>
      <c r="P16" s="8"/>
      <c r="Q16" s="9"/>
      <c r="R16" s="9"/>
      <c r="S16" s="55"/>
      <c r="T16" s="21" t="str">
        <f t="shared" si="6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9"/>
        <v/>
      </c>
      <c r="B17" s="18" t="str">
        <f t="shared" si="7"/>
        <v/>
      </c>
      <c r="C17" s="18" t="str">
        <f t="shared" si="8"/>
        <v/>
      </c>
      <c r="D17" s="18" t="str">
        <f t="shared" si="3"/>
        <v/>
      </c>
      <c r="E17" s="4"/>
      <c r="F17" s="8"/>
      <c r="G17" s="9"/>
      <c r="H17" s="9"/>
      <c r="I17" s="55"/>
      <c r="J17" s="21" t="str">
        <f t="shared" si="4"/>
        <v/>
      </c>
      <c r="K17" s="8"/>
      <c r="L17" s="9"/>
      <c r="M17" s="9"/>
      <c r="N17" s="55"/>
      <c r="O17" s="21" t="str">
        <f t="shared" si="5"/>
        <v/>
      </c>
      <c r="P17" s="8"/>
      <c r="Q17" s="9"/>
      <c r="R17" s="9"/>
      <c r="S17" s="55"/>
      <c r="T17" s="21" t="str">
        <f t="shared" si="6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9"/>
        <v/>
      </c>
      <c r="B18" s="18" t="str">
        <f t="shared" si="7"/>
        <v/>
      </c>
      <c r="C18" s="18" t="str">
        <f t="shared" si="8"/>
        <v/>
      </c>
      <c r="D18" s="18" t="str">
        <f t="shared" si="3"/>
        <v/>
      </c>
      <c r="E18" s="4"/>
      <c r="F18" s="8"/>
      <c r="G18" s="9"/>
      <c r="H18" s="9"/>
      <c r="I18" s="55"/>
      <c r="J18" s="21" t="str">
        <f t="shared" si="4"/>
        <v/>
      </c>
      <c r="K18" s="8"/>
      <c r="L18" s="9"/>
      <c r="M18" s="9"/>
      <c r="N18" s="55"/>
      <c r="O18" s="21" t="str">
        <f t="shared" si="5"/>
        <v/>
      </c>
      <c r="P18" s="8"/>
      <c r="Q18" s="9"/>
      <c r="R18" s="9"/>
      <c r="S18" s="55"/>
      <c r="T18" s="21" t="str">
        <f t="shared" si="6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9"/>
        <v/>
      </c>
      <c r="B19" s="18" t="str">
        <f t="shared" si="7"/>
        <v/>
      </c>
      <c r="C19" s="18" t="str">
        <f t="shared" si="8"/>
        <v/>
      </c>
      <c r="D19" s="18" t="str">
        <f t="shared" si="3"/>
        <v/>
      </c>
      <c r="E19" s="4"/>
      <c r="F19" s="8"/>
      <c r="G19" s="9"/>
      <c r="H19" s="9"/>
      <c r="I19" s="55"/>
      <c r="J19" s="21" t="str">
        <f t="shared" si="4"/>
        <v/>
      </c>
      <c r="K19" s="8"/>
      <c r="L19" s="9"/>
      <c r="M19" s="9"/>
      <c r="N19" s="55"/>
      <c r="O19" s="21" t="str">
        <f t="shared" si="5"/>
        <v/>
      </c>
      <c r="P19" s="8"/>
      <c r="Q19" s="9"/>
      <c r="R19" s="9"/>
      <c r="S19" s="55"/>
      <c r="T19" s="21" t="str">
        <f t="shared" si="6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9"/>
        <v/>
      </c>
      <c r="B20" s="18" t="str">
        <f t="shared" si="7"/>
        <v/>
      </c>
      <c r="C20" s="18" t="str">
        <f t="shared" si="8"/>
        <v/>
      </c>
      <c r="D20" s="18" t="str">
        <f t="shared" si="3"/>
        <v/>
      </c>
      <c r="E20" s="4"/>
      <c r="F20" s="8"/>
      <c r="G20" s="9"/>
      <c r="H20" s="9"/>
      <c r="I20" s="55"/>
      <c r="J20" s="21" t="str">
        <f t="shared" si="4"/>
        <v/>
      </c>
      <c r="K20" s="8"/>
      <c r="L20" s="9"/>
      <c r="M20" s="9"/>
      <c r="N20" s="55"/>
      <c r="O20" s="21" t="str">
        <f t="shared" si="5"/>
        <v/>
      </c>
      <c r="P20" s="8"/>
      <c r="Q20" s="9"/>
      <c r="R20" s="9"/>
      <c r="S20" s="55"/>
      <c r="T20" s="21" t="str">
        <f t="shared" si="6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9"/>
        <v/>
      </c>
      <c r="B21" s="18" t="str">
        <f t="shared" si="7"/>
        <v/>
      </c>
      <c r="C21" s="18" t="str">
        <f t="shared" si="8"/>
        <v/>
      </c>
      <c r="D21" s="18" t="str">
        <f t="shared" si="3"/>
        <v/>
      </c>
      <c r="E21" s="4"/>
      <c r="F21" s="8"/>
      <c r="G21" s="9"/>
      <c r="H21" s="9"/>
      <c r="I21" s="55"/>
      <c r="J21" s="21" t="str">
        <f t="shared" si="4"/>
        <v/>
      </c>
      <c r="K21" s="8"/>
      <c r="L21" s="9"/>
      <c r="M21" s="9"/>
      <c r="N21" s="55"/>
      <c r="O21" s="21" t="str">
        <f t="shared" si="5"/>
        <v/>
      </c>
      <c r="P21" s="8"/>
      <c r="Q21" s="9"/>
      <c r="R21" s="9"/>
      <c r="S21" s="55"/>
      <c r="T21" s="21" t="str">
        <f t="shared" si="6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9"/>
        <v/>
      </c>
      <c r="B22" s="18" t="str">
        <f t="shared" si="7"/>
        <v/>
      </c>
      <c r="C22" s="18" t="str">
        <f t="shared" si="8"/>
        <v/>
      </c>
      <c r="D22" s="18" t="str">
        <f t="shared" si="3"/>
        <v/>
      </c>
      <c r="E22" s="4"/>
      <c r="F22" s="8"/>
      <c r="G22" s="9"/>
      <c r="H22" s="9"/>
      <c r="I22" s="55"/>
      <c r="J22" s="21" t="str">
        <f t="shared" si="4"/>
        <v/>
      </c>
      <c r="K22" s="8"/>
      <c r="L22" s="9"/>
      <c r="M22" s="9"/>
      <c r="N22" s="55"/>
      <c r="O22" s="21" t="str">
        <f t="shared" si="5"/>
        <v/>
      </c>
      <c r="P22" s="8"/>
      <c r="Q22" s="9"/>
      <c r="R22" s="9"/>
      <c r="S22" s="55"/>
      <c r="T22" s="21" t="str">
        <f t="shared" si="6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9"/>
        <v/>
      </c>
      <c r="B23" s="18" t="str">
        <f t="shared" si="7"/>
        <v/>
      </c>
      <c r="C23" s="18" t="str">
        <f t="shared" si="8"/>
        <v/>
      </c>
      <c r="D23" s="18" t="str">
        <f t="shared" si="3"/>
        <v/>
      </c>
      <c r="E23" s="4"/>
      <c r="F23" s="8"/>
      <c r="G23" s="9"/>
      <c r="H23" s="9"/>
      <c r="I23" s="55"/>
      <c r="J23" s="21" t="str">
        <f t="shared" si="4"/>
        <v/>
      </c>
      <c r="K23" s="8"/>
      <c r="L23" s="9"/>
      <c r="M23" s="9"/>
      <c r="N23" s="55"/>
      <c r="O23" s="21" t="str">
        <f t="shared" si="5"/>
        <v/>
      </c>
      <c r="P23" s="8"/>
      <c r="Q23" s="9"/>
      <c r="R23" s="9"/>
      <c r="S23" s="55"/>
      <c r="T23" s="21" t="str">
        <f t="shared" si="6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9"/>
        <v/>
      </c>
      <c r="B24" s="18" t="str">
        <f t="shared" si="7"/>
        <v/>
      </c>
      <c r="C24" s="18" t="str">
        <f t="shared" si="8"/>
        <v/>
      </c>
      <c r="D24" s="18" t="str">
        <f t="shared" si="3"/>
        <v/>
      </c>
      <c r="E24" s="4"/>
      <c r="F24" s="8"/>
      <c r="G24" s="9"/>
      <c r="H24" s="9"/>
      <c r="I24" s="55"/>
      <c r="J24" s="21" t="str">
        <f t="shared" si="4"/>
        <v/>
      </c>
      <c r="K24" s="8"/>
      <c r="L24" s="9"/>
      <c r="M24" s="9"/>
      <c r="N24" s="55"/>
      <c r="O24" s="21" t="str">
        <f t="shared" si="5"/>
        <v/>
      </c>
      <c r="P24" s="8"/>
      <c r="Q24" s="9"/>
      <c r="R24" s="9"/>
      <c r="S24" s="55"/>
      <c r="T24" s="21" t="str">
        <f t="shared" si="6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9"/>
        <v/>
      </c>
      <c r="B25" s="18" t="str">
        <f t="shared" si="7"/>
        <v/>
      </c>
      <c r="C25" s="18" t="str">
        <f t="shared" si="8"/>
        <v/>
      </c>
      <c r="D25" s="18" t="str">
        <f t="shared" si="3"/>
        <v/>
      </c>
      <c r="E25" s="4"/>
      <c r="F25" s="8"/>
      <c r="G25" s="9"/>
      <c r="H25" s="9"/>
      <c r="I25" s="55"/>
      <c r="J25" s="21" t="str">
        <f t="shared" si="4"/>
        <v/>
      </c>
      <c r="K25" s="8"/>
      <c r="L25" s="9"/>
      <c r="M25" s="9"/>
      <c r="N25" s="55"/>
      <c r="O25" s="21" t="str">
        <f t="shared" si="5"/>
        <v/>
      </c>
      <c r="P25" s="8"/>
      <c r="Q25" s="9"/>
      <c r="R25" s="9"/>
      <c r="S25" s="55"/>
      <c r="T25" s="21" t="str">
        <f t="shared" si="6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9"/>
        <v/>
      </c>
      <c r="B26" s="18" t="str">
        <f t="shared" si="7"/>
        <v/>
      </c>
      <c r="C26" s="18" t="str">
        <f t="shared" si="8"/>
        <v/>
      </c>
      <c r="D26" s="18" t="str">
        <f t="shared" si="3"/>
        <v/>
      </c>
      <c r="E26" s="4"/>
      <c r="F26" s="8"/>
      <c r="G26" s="9"/>
      <c r="H26" s="9"/>
      <c r="I26" s="55"/>
      <c r="J26" s="21" t="str">
        <f t="shared" si="4"/>
        <v/>
      </c>
      <c r="K26" s="8"/>
      <c r="L26" s="9"/>
      <c r="M26" s="9"/>
      <c r="N26" s="55"/>
      <c r="O26" s="21" t="str">
        <f t="shared" si="5"/>
        <v/>
      </c>
      <c r="P26" s="8"/>
      <c r="Q26" s="9"/>
      <c r="R26" s="9"/>
      <c r="S26" s="55"/>
      <c r="T26" s="21" t="str">
        <f t="shared" si="6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9"/>
        <v/>
      </c>
      <c r="B27" s="18" t="str">
        <f t="shared" si="7"/>
        <v/>
      </c>
      <c r="C27" s="18" t="str">
        <f t="shared" si="8"/>
        <v/>
      </c>
      <c r="D27" s="18" t="str">
        <f t="shared" si="3"/>
        <v/>
      </c>
      <c r="E27" s="4"/>
      <c r="F27" s="8"/>
      <c r="G27" s="9"/>
      <c r="H27" s="9"/>
      <c r="I27" s="55"/>
      <c r="J27" s="21" t="str">
        <f t="shared" si="4"/>
        <v/>
      </c>
      <c r="K27" s="8"/>
      <c r="L27" s="9"/>
      <c r="M27" s="9"/>
      <c r="N27" s="55"/>
      <c r="O27" s="21" t="str">
        <f t="shared" si="5"/>
        <v/>
      </c>
      <c r="P27" s="8"/>
      <c r="Q27" s="9"/>
      <c r="R27" s="9"/>
      <c r="S27" s="55"/>
      <c r="T27" s="21" t="str">
        <f t="shared" si="6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9"/>
        <v/>
      </c>
      <c r="B28" s="18" t="str">
        <f t="shared" si="7"/>
        <v/>
      </c>
      <c r="C28" s="18" t="str">
        <f t="shared" si="8"/>
        <v/>
      </c>
      <c r="D28" s="18" t="str">
        <f t="shared" si="3"/>
        <v/>
      </c>
      <c r="E28" s="4"/>
      <c r="F28" s="8"/>
      <c r="G28" s="9"/>
      <c r="H28" s="9"/>
      <c r="I28" s="55"/>
      <c r="J28" s="21" t="str">
        <f t="shared" si="4"/>
        <v/>
      </c>
      <c r="K28" s="8"/>
      <c r="L28" s="9"/>
      <c r="M28" s="9"/>
      <c r="N28" s="55"/>
      <c r="O28" s="21" t="str">
        <f t="shared" si="5"/>
        <v/>
      </c>
      <c r="P28" s="8"/>
      <c r="Q28" s="9"/>
      <c r="R28" s="9"/>
      <c r="S28" s="55"/>
      <c r="T28" s="21" t="str">
        <f t="shared" si="6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9"/>
        <v/>
      </c>
      <c r="B29" s="18" t="str">
        <f t="shared" si="7"/>
        <v/>
      </c>
      <c r="C29" s="18" t="str">
        <f t="shared" si="8"/>
        <v/>
      </c>
      <c r="D29" s="18" t="str">
        <f t="shared" si="3"/>
        <v/>
      </c>
      <c r="E29" s="4"/>
      <c r="F29" s="8"/>
      <c r="G29" s="9"/>
      <c r="H29" s="9"/>
      <c r="I29" s="55"/>
      <c r="J29" s="21" t="str">
        <f t="shared" si="4"/>
        <v/>
      </c>
      <c r="K29" s="8"/>
      <c r="L29" s="9"/>
      <c r="M29" s="9"/>
      <c r="N29" s="55"/>
      <c r="O29" s="21" t="str">
        <f t="shared" si="5"/>
        <v/>
      </c>
      <c r="P29" s="8"/>
      <c r="Q29" s="9"/>
      <c r="R29" s="9"/>
      <c r="S29" s="55"/>
      <c r="T29" s="21" t="str">
        <f t="shared" si="6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9"/>
        <v/>
      </c>
      <c r="B30" s="19" t="str">
        <f t="shared" si="7"/>
        <v/>
      </c>
      <c r="C30" s="19" t="str">
        <f t="shared" si="8"/>
        <v/>
      </c>
      <c r="D30" s="19" t="str">
        <f t="shared" si="3"/>
        <v/>
      </c>
      <c r="E30" s="5"/>
      <c r="F30" s="10"/>
      <c r="G30" s="11"/>
      <c r="H30" s="11"/>
      <c r="I30" s="56"/>
      <c r="J30" s="22" t="str">
        <f t="shared" si="4"/>
        <v/>
      </c>
      <c r="K30" s="10"/>
      <c r="L30" s="11"/>
      <c r="M30" s="11"/>
      <c r="N30" s="56"/>
      <c r="O30" s="22" t="str">
        <f t="shared" si="5"/>
        <v/>
      </c>
      <c r="P30" s="10"/>
      <c r="Q30" s="11"/>
      <c r="R30" s="11"/>
      <c r="S30" s="56"/>
      <c r="T30" s="22" t="str">
        <f t="shared" si="6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E29A3-9621-4261-8ED5-179C375FFC34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150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143</v>
      </c>
      <c r="L4" s="9">
        <v>24000</v>
      </c>
      <c r="M4" s="9">
        <v>1000</v>
      </c>
      <c r="N4" s="55">
        <v>0</v>
      </c>
      <c r="O4" s="21">
        <f>IF(COUNTA($F4,$K4,$P4)&gt;0,O3+SUM(L4:N4),"")</f>
        <v>60000</v>
      </c>
      <c r="P4" s="8" t="s">
        <v>144</v>
      </c>
      <c r="Q4" s="9">
        <v>-24000</v>
      </c>
      <c r="R4" s="9">
        <v>-1000</v>
      </c>
      <c r="S4" s="55">
        <v>0</v>
      </c>
      <c r="T4" s="21">
        <f>IF(COUNTA($F4,$K4,$P4)&gt;0,T3+SUM(Q4:S4),"")</f>
        <v>10000</v>
      </c>
      <c r="U4" s="60">
        <f t="shared" ref="U4:U30" si="0">IF($J4="","",ROUND(($J4-$J$3)/1000,1))</f>
        <v>0</v>
      </c>
      <c r="V4" s="61">
        <f t="shared" ref="V4:V30" si="1">IF($O4="","",ROUND(($O4-$O$3)/1000,1))</f>
        <v>25</v>
      </c>
      <c r="W4" s="62">
        <f t="shared" ref="W4:W30" si="2">IF($T4="","",ROUND(($T4-$T$3)/1000,1))</f>
        <v>-25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8</v>
      </c>
      <c r="AY4" s="36" t="s">
        <v>145</v>
      </c>
      <c r="AZ4" s="47" t="s">
        <v>87</v>
      </c>
      <c r="BA4" s="48" t="s">
        <v>87</v>
      </c>
      <c r="BB4" s="48" t="s">
        <v>82</v>
      </c>
      <c r="BC4" s="48" t="s">
        <v>82</v>
      </c>
      <c r="BD4" s="48" t="s">
        <v>82</v>
      </c>
      <c r="BE4" s="48" t="s">
        <v>80</v>
      </c>
      <c r="BF4" s="48" t="s">
        <v>80</v>
      </c>
      <c r="BG4" s="48" t="s">
        <v>80</v>
      </c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147</v>
      </c>
      <c r="G5" s="9">
        <v>-6000</v>
      </c>
      <c r="H5" s="9"/>
      <c r="I5" s="55">
        <v>-500</v>
      </c>
      <c r="J5" s="21">
        <f t="shared" ref="J5:J30" si="5">IF(COUNTA($F5,$K5,$P5)&gt;0,J4+SUM(G5:I5),"")</f>
        <v>28500</v>
      </c>
      <c r="K5" s="8" t="s">
        <v>148</v>
      </c>
      <c r="L5" s="9">
        <v>12000</v>
      </c>
      <c r="M5" s="9"/>
      <c r="N5" s="55">
        <v>1000</v>
      </c>
      <c r="O5" s="21">
        <f t="shared" ref="O5:O30" si="6">IF(COUNTA($F5,$K5,$P5)&gt;0,O4+SUM(L5:N5),"")</f>
        <v>73000</v>
      </c>
      <c r="P5" s="8" t="s">
        <v>147</v>
      </c>
      <c r="Q5" s="9">
        <v>-6000</v>
      </c>
      <c r="R5" s="9"/>
      <c r="S5" s="55">
        <v>-500</v>
      </c>
      <c r="T5" s="21">
        <f t="shared" ref="T5:T30" si="7">IF(COUNTA($F5,$K5,$P5)&gt;0,T4+SUM(Q5:S5),"")</f>
        <v>3500</v>
      </c>
      <c r="U5" s="60">
        <f t="shared" si="0"/>
        <v>-6.5</v>
      </c>
      <c r="V5" s="61">
        <f t="shared" si="1"/>
        <v>38</v>
      </c>
      <c r="W5" s="62">
        <f t="shared" si="2"/>
        <v>-31.5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5</v>
      </c>
      <c r="AY5" s="36" t="s">
        <v>145</v>
      </c>
      <c r="AZ5" s="47" t="s">
        <v>146</v>
      </c>
      <c r="BA5" s="48" t="s">
        <v>93</v>
      </c>
      <c r="BB5" s="48" t="s">
        <v>80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139</v>
      </c>
      <c r="F6" s="8" t="s">
        <v>143</v>
      </c>
      <c r="G6" s="9">
        <v>12000</v>
      </c>
      <c r="H6" s="9"/>
      <c r="I6" s="55">
        <v>2000</v>
      </c>
      <c r="J6" s="21">
        <f t="shared" si="5"/>
        <v>42500</v>
      </c>
      <c r="K6" s="8"/>
      <c r="L6" s="9"/>
      <c r="M6" s="9"/>
      <c r="N6" s="55"/>
      <c r="O6" s="21">
        <f t="shared" si="6"/>
        <v>73000</v>
      </c>
      <c r="P6" s="8" t="s">
        <v>144</v>
      </c>
      <c r="Q6" s="9">
        <v>-12000</v>
      </c>
      <c r="R6" s="9"/>
      <c r="S6" s="55">
        <v>-2000</v>
      </c>
      <c r="T6" s="21">
        <f t="shared" si="7"/>
        <v>-10500</v>
      </c>
      <c r="U6" s="60">
        <f t="shared" si="0"/>
        <v>7.5</v>
      </c>
      <c r="V6" s="61">
        <f t="shared" si="1"/>
        <v>38</v>
      </c>
      <c r="W6" s="62">
        <f t="shared" si="2"/>
        <v>-45.5</v>
      </c>
      <c r="Y6" s="8"/>
      <c r="Z6" s="41"/>
      <c r="AA6" s="32"/>
      <c r="AB6" s="32">
        <v>1</v>
      </c>
      <c r="AC6" s="32">
        <v>7</v>
      </c>
      <c r="AD6" s="36" t="s">
        <v>145</v>
      </c>
      <c r="AE6" s="47" t="s">
        <v>105</v>
      </c>
      <c r="AF6" s="48" t="s">
        <v>87</v>
      </c>
      <c r="AG6" s="48" t="s">
        <v>87</v>
      </c>
      <c r="AH6" s="48" t="s">
        <v>99</v>
      </c>
      <c r="AI6" s="48" t="s">
        <v>82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4D0758B1-83D5-43F1-BE7D-5EA48233E9C0}">
      <formula1>$U$2:$W$2</formula1>
    </dataValidation>
    <dataValidation type="list" showInputMessage="1" showErrorMessage="1" sqref="K4:K30 P4:P30 F4:F30" xr:uid="{14CFB77A-9756-4B79-A19F-2A2592BE37D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7412A-377C-44C4-A4FB-D1C2388B4F0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150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147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 t="s">
        <v>147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148</v>
      </c>
      <c r="Q4" s="9">
        <v>24000</v>
      </c>
      <c r="R4" s="9"/>
      <c r="S4" s="55">
        <v>0</v>
      </c>
      <c r="T4" s="21">
        <f>IF(COUNTA($F4,$K4,$P4)&gt;0,T3+SUM(Q4:S4),"")</f>
        <v>59000</v>
      </c>
      <c r="U4" s="60">
        <f t="shared" ref="U4:U30" si="0">IF($J4="","",ROUND(($J4-$J$3)/1000,1))</f>
        <v>-12</v>
      </c>
      <c r="V4" s="61">
        <f t="shared" ref="V4:V30" si="1">IF($O4="","",ROUND(($O4-$O$3)/1000,1))</f>
        <v>-12</v>
      </c>
      <c r="W4" s="62">
        <f t="shared" ref="W4:W30" si="2">IF($T4="","",ROUND(($T4-$T$3)/1000,1))</f>
        <v>24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9</v>
      </c>
      <c r="BT4" s="36" t="s">
        <v>145</v>
      </c>
      <c r="BU4" s="47" t="s">
        <v>146</v>
      </c>
      <c r="BV4" s="48" t="s">
        <v>83</v>
      </c>
      <c r="BW4" s="48" t="s">
        <v>87</v>
      </c>
      <c r="BX4" s="48" t="s">
        <v>87</v>
      </c>
      <c r="BY4" s="48" t="s">
        <v>80</v>
      </c>
      <c r="BZ4" s="48" t="s">
        <v>80</v>
      </c>
      <c r="CA4" s="48" t="s">
        <v>80</v>
      </c>
      <c r="CB4" s="48" t="s">
        <v>97</v>
      </c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141</v>
      </c>
      <c r="F5" s="8"/>
      <c r="G5" s="9"/>
      <c r="H5" s="9"/>
      <c r="I5" s="55"/>
      <c r="J5" s="21">
        <f t="shared" ref="J5:J30" si="5">IF(COUNTA($F5,$K5,$P5)&gt;0,J4+SUM(G5:I5),"")</f>
        <v>23000</v>
      </c>
      <c r="K5" s="8" t="s">
        <v>143</v>
      </c>
      <c r="L5" s="9">
        <v>3900</v>
      </c>
      <c r="M5" s="9"/>
      <c r="N5" s="55">
        <v>1000</v>
      </c>
      <c r="O5" s="21">
        <f t="shared" ref="O5:O30" si="6">IF(COUNTA($F5,$K5,$P5)&gt;0,O4+SUM(L5:N5),"")</f>
        <v>27900</v>
      </c>
      <c r="P5" s="8" t="s">
        <v>144</v>
      </c>
      <c r="Q5" s="9">
        <v>-3900</v>
      </c>
      <c r="R5" s="9"/>
      <c r="S5" s="55">
        <v>-1000</v>
      </c>
      <c r="T5" s="21">
        <f t="shared" ref="T5:T30" si="7">IF(COUNTA($F5,$K5,$P5)&gt;0,T4+SUM(Q5:S5),"")</f>
        <v>54100</v>
      </c>
      <c r="U5" s="60">
        <f t="shared" si="0"/>
        <v>-12</v>
      </c>
      <c r="V5" s="61">
        <f t="shared" si="1"/>
        <v>-7.1</v>
      </c>
      <c r="W5" s="62">
        <f t="shared" si="2"/>
        <v>19.100000000000001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87</v>
      </c>
      <c r="BA5" s="48" t="s">
        <v>105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148</v>
      </c>
      <c r="G6" s="9">
        <v>24000</v>
      </c>
      <c r="H6" s="9"/>
      <c r="I6" s="55">
        <v>0</v>
      </c>
      <c r="J6" s="21">
        <f t="shared" si="5"/>
        <v>47000</v>
      </c>
      <c r="K6" s="8" t="s">
        <v>147</v>
      </c>
      <c r="L6" s="9">
        <v>-12000</v>
      </c>
      <c r="M6" s="9"/>
      <c r="N6" s="55">
        <v>0</v>
      </c>
      <c r="O6" s="21">
        <f t="shared" si="6"/>
        <v>15900</v>
      </c>
      <c r="P6" s="8" t="s">
        <v>147</v>
      </c>
      <c r="Q6" s="9">
        <v>-12000</v>
      </c>
      <c r="R6" s="9"/>
      <c r="S6" s="55">
        <v>0</v>
      </c>
      <c r="T6" s="21">
        <f t="shared" si="7"/>
        <v>42100</v>
      </c>
      <c r="U6" s="60">
        <f t="shared" si="0"/>
        <v>12</v>
      </c>
      <c r="V6" s="61">
        <f t="shared" si="1"/>
        <v>-19.100000000000001</v>
      </c>
      <c r="W6" s="62">
        <f t="shared" si="2"/>
        <v>7.1</v>
      </c>
      <c r="Y6" s="8"/>
      <c r="Z6" s="41"/>
      <c r="AA6" s="32">
        <v>1</v>
      </c>
      <c r="AB6" s="32"/>
      <c r="AC6" s="32">
        <v>10</v>
      </c>
      <c r="AD6" s="36" t="s">
        <v>145</v>
      </c>
      <c r="AE6" s="47" t="s">
        <v>146</v>
      </c>
      <c r="AF6" s="48" t="s">
        <v>84</v>
      </c>
      <c r="AG6" s="48" t="s">
        <v>83</v>
      </c>
      <c r="AH6" s="48" t="s">
        <v>85</v>
      </c>
      <c r="AI6" s="48" t="s">
        <v>82</v>
      </c>
      <c r="AJ6" s="48" t="s">
        <v>82</v>
      </c>
      <c r="AK6" s="48" t="s">
        <v>80</v>
      </c>
      <c r="AL6" s="48" t="s">
        <v>80</v>
      </c>
      <c r="AM6" s="48" t="s">
        <v>81</v>
      </c>
      <c r="AN6" s="48" t="s">
        <v>81</v>
      </c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137</v>
      </c>
      <c r="F7" s="8" t="s">
        <v>147</v>
      </c>
      <c r="G7" s="9">
        <v>-2500</v>
      </c>
      <c r="H7" s="9"/>
      <c r="I7" s="55">
        <v>-500</v>
      </c>
      <c r="J7" s="21">
        <f t="shared" si="5"/>
        <v>44000</v>
      </c>
      <c r="K7" s="8" t="s">
        <v>148</v>
      </c>
      <c r="L7" s="9">
        <v>4000</v>
      </c>
      <c r="M7" s="9"/>
      <c r="N7" s="55">
        <v>1000</v>
      </c>
      <c r="O7" s="21">
        <f t="shared" si="6"/>
        <v>20900</v>
      </c>
      <c r="P7" s="8" t="s">
        <v>147</v>
      </c>
      <c r="Q7" s="9">
        <v>-1500</v>
      </c>
      <c r="R7" s="9"/>
      <c r="S7" s="55">
        <v>-500</v>
      </c>
      <c r="T7" s="21">
        <f t="shared" si="7"/>
        <v>40100</v>
      </c>
      <c r="U7" s="60">
        <f t="shared" si="0"/>
        <v>9</v>
      </c>
      <c r="V7" s="61">
        <f t="shared" si="1"/>
        <v>-14.1</v>
      </c>
      <c r="W7" s="62">
        <f t="shared" si="2"/>
        <v>5.0999999999999996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3</v>
      </c>
      <c r="AY7" s="36">
        <v>30</v>
      </c>
      <c r="AZ7" s="47" t="s">
        <v>83</v>
      </c>
      <c r="BA7" s="48" t="s">
        <v>86</v>
      </c>
      <c r="BB7" s="48" t="s">
        <v>82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149</v>
      </c>
      <c r="F8" s="8"/>
      <c r="G8" s="9"/>
      <c r="H8" s="9"/>
      <c r="I8" s="55"/>
      <c r="J8" s="21">
        <f t="shared" si="5"/>
        <v>44000</v>
      </c>
      <c r="K8" s="8" t="s">
        <v>143</v>
      </c>
      <c r="L8" s="9">
        <v>18000</v>
      </c>
      <c r="M8" s="9"/>
      <c r="N8" s="55">
        <v>0</v>
      </c>
      <c r="O8" s="21">
        <f t="shared" si="6"/>
        <v>38900</v>
      </c>
      <c r="P8" s="8" t="s">
        <v>144</v>
      </c>
      <c r="Q8" s="9">
        <v>-18000</v>
      </c>
      <c r="R8" s="9"/>
      <c r="S8" s="55">
        <v>0</v>
      </c>
      <c r="T8" s="21">
        <f t="shared" si="7"/>
        <v>22100</v>
      </c>
      <c r="U8" s="60">
        <f t="shared" si="0"/>
        <v>9</v>
      </c>
      <c r="V8" s="61">
        <f t="shared" si="1"/>
        <v>3.9</v>
      </c>
      <c r="W8" s="62">
        <f t="shared" si="2"/>
        <v>-12.9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145</v>
      </c>
      <c r="AZ8" s="47" t="s">
        <v>146</v>
      </c>
      <c r="BA8" s="48" t="s">
        <v>99</v>
      </c>
      <c r="BB8" s="48" t="s">
        <v>97</v>
      </c>
      <c r="BC8" s="48" t="s">
        <v>87</v>
      </c>
      <c r="BD8" s="48" t="s">
        <v>82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1</v>
      </c>
      <c r="D9" s="18">
        <f t="shared" si="4"/>
        <v>0</v>
      </c>
      <c r="E9" s="4" t="s">
        <v>149</v>
      </c>
      <c r="F9" s="8" t="s">
        <v>153</v>
      </c>
      <c r="G9" s="9">
        <v>1500</v>
      </c>
      <c r="H9" s="9">
        <v>-1000</v>
      </c>
      <c r="I9" s="55"/>
      <c r="J9" s="21">
        <f t="shared" si="5"/>
        <v>44500</v>
      </c>
      <c r="K9" s="8" t="s">
        <v>153</v>
      </c>
      <c r="L9" s="9">
        <v>-3000</v>
      </c>
      <c r="M9" s="9"/>
      <c r="N9" s="55"/>
      <c r="O9" s="21">
        <f t="shared" si="6"/>
        <v>35900</v>
      </c>
      <c r="P9" s="8" t="s">
        <v>153</v>
      </c>
      <c r="Q9" s="9">
        <v>1500</v>
      </c>
      <c r="R9" s="9"/>
      <c r="S9" s="55"/>
      <c r="T9" s="21">
        <f t="shared" si="7"/>
        <v>23600</v>
      </c>
      <c r="U9" s="60">
        <f t="shared" si="0"/>
        <v>9.5</v>
      </c>
      <c r="V9" s="61">
        <f t="shared" si="1"/>
        <v>0.9</v>
      </c>
      <c r="W9" s="62">
        <f t="shared" si="2"/>
        <v>-11.4</v>
      </c>
      <c r="Y9" s="8" t="s">
        <v>151</v>
      </c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151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2</v>
      </c>
      <c r="D10" s="18">
        <f t="shared" si="4"/>
        <v>1</v>
      </c>
      <c r="E10" s="4" t="s">
        <v>141</v>
      </c>
      <c r="F10" s="8" t="s">
        <v>148</v>
      </c>
      <c r="G10" s="9">
        <v>12000</v>
      </c>
      <c r="H10" s="9">
        <v>1000</v>
      </c>
      <c r="I10" s="55">
        <v>2000</v>
      </c>
      <c r="J10" s="21">
        <f t="shared" si="5"/>
        <v>59500</v>
      </c>
      <c r="K10" s="8" t="s">
        <v>147</v>
      </c>
      <c r="L10" s="9">
        <v>-4500</v>
      </c>
      <c r="M10" s="9"/>
      <c r="N10" s="55">
        <v>-1000</v>
      </c>
      <c r="O10" s="21">
        <f t="shared" si="6"/>
        <v>30400</v>
      </c>
      <c r="P10" s="8" t="s">
        <v>147</v>
      </c>
      <c r="Q10" s="9">
        <v>-7500</v>
      </c>
      <c r="R10" s="9"/>
      <c r="S10" s="55">
        <v>-1000</v>
      </c>
      <c r="T10" s="21">
        <f t="shared" si="7"/>
        <v>15100</v>
      </c>
      <c r="U10" s="60">
        <f t="shared" si="0"/>
        <v>24.5</v>
      </c>
      <c r="V10" s="61">
        <f t="shared" si="1"/>
        <v>-4.5999999999999996</v>
      </c>
      <c r="W10" s="62">
        <f t="shared" si="2"/>
        <v>-19.899999999999999</v>
      </c>
      <c r="Y10" s="8"/>
      <c r="Z10" s="41"/>
      <c r="AA10" s="32">
        <v>1</v>
      </c>
      <c r="AB10" s="32"/>
      <c r="AC10" s="32">
        <v>7</v>
      </c>
      <c r="AD10" s="36" t="s">
        <v>145</v>
      </c>
      <c r="AE10" s="47" t="s">
        <v>146</v>
      </c>
      <c r="AF10" s="48" t="s">
        <v>83</v>
      </c>
      <c r="AG10" s="48" t="s">
        <v>102</v>
      </c>
      <c r="AH10" s="48" t="s">
        <v>82</v>
      </c>
      <c r="AI10" s="48" t="s">
        <v>80</v>
      </c>
      <c r="AJ10" s="48" t="s">
        <v>80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153</v>
      </c>
      <c r="G11" s="9">
        <v>0</v>
      </c>
      <c r="H11" s="9"/>
      <c r="I11" s="55"/>
      <c r="J11" s="21">
        <f t="shared" si="5"/>
        <v>59500</v>
      </c>
      <c r="K11" s="8" t="s">
        <v>153</v>
      </c>
      <c r="L11" s="9">
        <v>0</v>
      </c>
      <c r="M11" s="9"/>
      <c r="N11" s="55"/>
      <c r="O11" s="21">
        <f t="shared" si="6"/>
        <v>30400</v>
      </c>
      <c r="P11" s="8" t="s">
        <v>153</v>
      </c>
      <c r="Q11" s="9">
        <v>0</v>
      </c>
      <c r="R11" s="9"/>
      <c r="S11" s="55"/>
      <c r="T11" s="21">
        <f t="shared" si="7"/>
        <v>15100</v>
      </c>
      <c r="U11" s="60">
        <f t="shared" si="0"/>
        <v>24.5</v>
      </c>
      <c r="V11" s="61">
        <f t="shared" si="1"/>
        <v>-4.5999999999999996</v>
      </c>
      <c r="W11" s="62">
        <f t="shared" si="2"/>
        <v>-19.899999999999999</v>
      </c>
      <c r="Y11" s="8" t="s">
        <v>151</v>
      </c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151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151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1</v>
      </c>
      <c r="D12" s="18">
        <f t="shared" si="4"/>
        <v>0</v>
      </c>
      <c r="E12" s="4" t="s">
        <v>137</v>
      </c>
      <c r="F12" s="8" t="s">
        <v>144</v>
      </c>
      <c r="G12" s="9">
        <v>-8000</v>
      </c>
      <c r="H12" s="9"/>
      <c r="I12" s="55">
        <v>-1000</v>
      </c>
      <c r="J12" s="21">
        <f t="shared" si="5"/>
        <v>50500</v>
      </c>
      <c r="K12" s="8" t="s">
        <v>143</v>
      </c>
      <c r="L12" s="9">
        <v>8000</v>
      </c>
      <c r="M12" s="9"/>
      <c r="N12" s="55">
        <v>1000</v>
      </c>
      <c r="O12" s="21">
        <f t="shared" si="6"/>
        <v>39400</v>
      </c>
      <c r="P12" s="8"/>
      <c r="Q12" s="9"/>
      <c r="R12" s="9"/>
      <c r="S12" s="55"/>
      <c r="T12" s="21">
        <f t="shared" si="7"/>
        <v>15100</v>
      </c>
      <c r="U12" s="60">
        <f t="shared" si="0"/>
        <v>15.5</v>
      </c>
      <c r="V12" s="61">
        <f t="shared" si="1"/>
        <v>4.4000000000000004</v>
      </c>
      <c r="W12" s="62">
        <f t="shared" si="2"/>
        <v>-19.899999999999999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30</v>
      </c>
      <c r="AZ12" s="47" t="s">
        <v>87</v>
      </c>
      <c r="BA12" s="48" t="s">
        <v>87</v>
      </c>
      <c r="BB12" s="48" t="s">
        <v>87</v>
      </c>
      <c r="BC12" s="48" t="s">
        <v>82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149</v>
      </c>
      <c r="F13" s="8" t="s">
        <v>148</v>
      </c>
      <c r="G13" s="9">
        <v>16000</v>
      </c>
      <c r="H13" s="9"/>
      <c r="I13" s="55">
        <v>0</v>
      </c>
      <c r="J13" s="21">
        <f t="shared" si="5"/>
        <v>66500</v>
      </c>
      <c r="K13" s="8" t="s">
        <v>147</v>
      </c>
      <c r="L13" s="9">
        <v>-10000</v>
      </c>
      <c r="M13" s="9"/>
      <c r="N13" s="55">
        <v>0</v>
      </c>
      <c r="O13" s="21">
        <f t="shared" si="6"/>
        <v>29400</v>
      </c>
      <c r="P13" s="8" t="s">
        <v>147</v>
      </c>
      <c r="Q13" s="9">
        <v>-6000</v>
      </c>
      <c r="R13" s="9"/>
      <c r="S13" s="55">
        <v>0</v>
      </c>
      <c r="T13" s="21">
        <f t="shared" si="7"/>
        <v>9100</v>
      </c>
      <c r="U13" s="60">
        <f t="shared" si="0"/>
        <v>31.5</v>
      </c>
      <c r="V13" s="61">
        <f t="shared" si="1"/>
        <v>-5.6</v>
      </c>
      <c r="W13" s="62">
        <f t="shared" si="2"/>
        <v>-25.9</v>
      </c>
      <c r="Y13" s="8"/>
      <c r="Z13" s="41"/>
      <c r="AA13" s="32"/>
      <c r="AB13" s="32"/>
      <c r="AC13" s="32">
        <v>8</v>
      </c>
      <c r="AD13" s="36" t="s">
        <v>145</v>
      </c>
      <c r="AE13" s="47" t="s">
        <v>105</v>
      </c>
      <c r="AF13" s="48" t="s">
        <v>83</v>
      </c>
      <c r="AG13" s="48" t="s">
        <v>102</v>
      </c>
      <c r="AH13" s="48" t="s">
        <v>82</v>
      </c>
      <c r="AI13" s="48" t="s">
        <v>82</v>
      </c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A8AA496A-1188-4274-A2A8-BB991619D309}">
      <formula1>"ロン,ツモ,放銃,ツモ支払,流局,チョンボ"</formula1>
    </dataValidation>
    <dataValidation type="list" allowBlank="1" showInputMessage="1" showErrorMessage="1" sqref="E4:E30" xr:uid="{86988C7B-FD1E-48FA-9040-4220AEC009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06163-71E7-4D9B-9B3B-D6AA9A604FE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150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たかの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たかの</v>
      </c>
      <c r="V2" s="71" t="str">
        <f>$K$1</f>
        <v>ただ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149</v>
      </c>
      <c r="F4" s="8" t="s">
        <v>147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147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148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-3</v>
      </c>
      <c r="V4" s="61">
        <f t="shared" ref="V4:V30" si="1">IF($O4="","",ROUND(($O4-$O$3)/1000,1))</f>
        <v>-5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145</v>
      </c>
      <c r="BU4" s="47" t="s">
        <v>146</v>
      </c>
      <c r="BV4" s="48" t="s">
        <v>83</v>
      </c>
      <c r="BW4" s="48" t="s">
        <v>102</v>
      </c>
      <c r="BX4" s="48" t="s">
        <v>82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153</v>
      </c>
      <c r="G5" s="9">
        <v>0</v>
      </c>
      <c r="H5" s="9">
        <v>-1000</v>
      </c>
      <c r="I5" s="55"/>
      <c r="J5" s="21">
        <f t="shared" ref="J5:J30" si="5">IF(COUNTA($F5,$K5,$P5)&gt;0,J4+SUM(G5:I5),"")</f>
        <v>31000</v>
      </c>
      <c r="K5" s="8" t="s">
        <v>153</v>
      </c>
      <c r="L5" s="9">
        <v>0</v>
      </c>
      <c r="M5" s="9"/>
      <c r="N5" s="55"/>
      <c r="O5" s="21">
        <f t="shared" ref="O5:O30" si="6">IF(COUNTA($F5,$K5,$P5)&gt;0,O4+SUM(L5:N5),"")</f>
        <v>30000</v>
      </c>
      <c r="P5" s="8" t="s">
        <v>153</v>
      </c>
      <c r="Q5" s="9">
        <v>0</v>
      </c>
      <c r="R5" s="9"/>
      <c r="S5" s="55"/>
      <c r="T5" s="21">
        <f t="shared" ref="T5:T30" si="7">IF(COUNTA($F5,$K5,$P5)&gt;0,T4+SUM(Q5:S5),"")</f>
        <v>43000</v>
      </c>
      <c r="U5" s="60">
        <f t="shared" si="0"/>
        <v>-4</v>
      </c>
      <c r="V5" s="61">
        <f t="shared" si="1"/>
        <v>-5</v>
      </c>
      <c r="W5" s="62">
        <f t="shared" si="2"/>
        <v>8</v>
      </c>
      <c r="Y5" s="8" t="s">
        <v>151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151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151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">
        <v>141</v>
      </c>
      <c r="F6" s="8" t="s">
        <v>144</v>
      </c>
      <c r="G6" s="9">
        <v>-3900</v>
      </c>
      <c r="H6" s="9"/>
      <c r="I6" s="55">
        <v>-1000</v>
      </c>
      <c r="J6" s="21">
        <f t="shared" si="5"/>
        <v>26100</v>
      </c>
      <c r="K6" s="8" t="s">
        <v>143</v>
      </c>
      <c r="L6" s="9">
        <v>3900</v>
      </c>
      <c r="M6" s="9">
        <v>1000</v>
      </c>
      <c r="N6" s="55">
        <v>1000</v>
      </c>
      <c r="O6" s="21">
        <f t="shared" si="6"/>
        <v>35900</v>
      </c>
      <c r="P6" s="8"/>
      <c r="Q6" s="9"/>
      <c r="R6" s="9"/>
      <c r="S6" s="55"/>
      <c r="T6" s="21">
        <f t="shared" si="7"/>
        <v>43000</v>
      </c>
      <c r="U6" s="60">
        <f t="shared" si="0"/>
        <v>-8.9</v>
      </c>
      <c r="V6" s="61">
        <f t="shared" si="1"/>
        <v>0.9</v>
      </c>
      <c r="W6" s="62">
        <f t="shared" si="2"/>
        <v>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30</v>
      </c>
      <c r="AZ6" s="47" t="s">
        <v>146</v>
      </c>
      <c r="BA6" s="48" t="s">
        <v>154</v>
      </c>
      <c r="BB6" s="48" t="s">
        <v>84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148</v>
      </c>
      <c r="G7" s="9">
        <v>24000</v>
      </c>
      <c r="H7" s="9">
        <v>1000</v>
      </c>
      <c r="I7" s="55">
        <v>0</v>
      </c>
      <c r="J7" s="21">
        <f t="shared" si="5"/>
        <v>51100</v>
      </c>
      <c r="K7" s="8" t="s">
        <v>147</v>
      </c>
      <c r="L7" s="9">
        <v>-12000</v>
      </c>
      <c r="M7" s="9"/>
      <c r="N7" s="55">
        <v>0</v>
      </c>
      <c r="O7" s="21">
        <f t="shared" si="6"/>
        <v>23900</v>
      </c>
      <c r="P7" s="8" t="s">
        <v>147</v>
      </c>
      <c r="Q7" s="9">
        <v>-12000</v>
      </c>
      <c r="R7" s="9">
        <v>-1000</v>
      </c>
      <c r="S7" s="55">
        <v>0</v>
      </c>
      <c r="T7" s="21">
        <f t="shared" si="7"/>
        <v>30000</v>
      </c>
      <c r="U7" s="60">
        <f t="shared" si="0"/>
        <v>16.100000000000001</v>
      </c>
      <c r="V7" s="61">
        <f t="shared" si="1"/>
        <v>-11.1</v>
      </c>
      <c r="W7" s="62">
        <f t="shared" si="2"/>
        <v>-5</v>
      </c>
      <c r="Y7" s="8"/>
      <c r="Z7" s="41"/>
      <c r="AA7" s="32">
        <v>1</v>
      </c>
      <c r="AB7" s="32"/>
      <c r="AC7" s="32">
        <v>8</v>
      </c>
      <c r="AD7" s="36" t="s">
        <v>145</v>
      </c>
      <c r="AE7" s="47" t="s">
        <v>146</v>
      </c>
      <c r="AF7" s="48" t="s">
        <v>83</v>
      </c>
      <c r="AG7" s="48" t="s">
        <v>154</v>
      </c>
      <c r="AH7" s="48" t="s">
        <v>82</v>
      </c>
      <c r="AI7" s="48" t="s">
        <v>82</v>
      </c>
      <c r="AJ7" s="48" t="s">
        <v>82</v>
      </c>
      <c r="AK7" s="48" t="s">
        <v>80</v>
      </c>
      <c r="AL7" s="48" t="s">
        <v>80</v>
      </c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143</v>
      </c>
      <c r="G8" s="9">
        <v>2900</v>
      </c>
      <c r="H8" s="9"/>
      <c r="I8" s="55">
        <v>1000</v>
      </c>
      <c r="J8" s="21">
        <f t="shared" si="5"/>
        <v>55000</v>
      </c>
      <c r="K8" s="8" t="s">
        <v>144</v>
      </c>
      <c r="L8" s="9">
        <v>-2900</v>
      </c>
      <c r="M8" s="9"/>
      <c r="N8" s="55">
        <v>-1000</v>
      </c>
      <c r="O8" s="21">
        <f t="shared" si="6"/>
        <v>20000</v>
      </c>
      <c r="P8" s="8"/>
      <c r="Q8" s="9"/>
      <c r="R8" s="9"/>
      <c r="S8" s="55"/>
      <c r="T8" s="21">
        <f t="shared" si="7"/>
        <v>30000</v>
      </c>
      <c r="U8" s="60">
        <f t="shared" si="0"/>
        <v>20</v>
      </c>
      <c r="V8" s="61">
        <f t="shared" si="1"/>
        <v>-15</v>
      </c>
      <c r="W8" s="62">
        <f t="shared" si="2"/>
        <v>-5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82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139</v>
      </c>
      <c r="F9" s="8" t="s">
        <v>148</v>
      </c>
      <c r="G9" s="9">
        <v>7800</v>
      </c>
      <c r="H9" s="9"/>
      <c r="I9" s="55">
        <v>2000</v>
      </c>
      <c r="J9" s="21">
        <f t="shared" si="5"/>
        <v>64800</v>
      </c>
      <c r="K9" s="8" t="s">
        <v>147</v>
      </c>
      <c r="L9" s="9">
        <v>-3900</v>
      </c>
      <c r="M9" s="9"/>
      <c r="N9" s="55">
        <v>-1000</v>
      </c>
      <c r="O9" s="21">
        <f t="shared" si="6"/>
        <v>15100</v>
      </c>
      <c r="P9" s="8" t="s">
        <v>147</v>
      </c>
      <c r="Q9" s="9">
        <v>-3900</v>
      </c>
      <c r="R9" s="9"/>
      <c r="S9" s="55">
        <v>-1000</v>
      </c>
      <c r="T9" s="21">
        <f t="shared" si="7"/>
        <v>25100</v>
      </c>
      <c r="U9" s="60">
        <f t="shared" si="0"/>
        <v>29.8</v>
      </c>
      <c r="V9" s="61">
        <f t="shared" si="1"/>
        <v>-19.899999999999999</v>
      </c>
      <c r="W9" s="62">
        <f t="shared" si="2"/>
        <v>-9.9</v>
      </c>
      <c r="Y9" s="8"/>
      <c r="Z9" s="41"/>
      <c r="AA9" s="32"/>
      <c r="AB9" s="32"/>
      <c r="AC9" s="32">
        <v>4</v>
      </c>
      <c r="AD9" s="36">
        <v>20</v>
      </c>
      <c r="AE9" s="47" t="s">
        <v>83</v>
      </c>
      <c r="AF9" s="48" t="s">
        <v>84</v>
      </c>
      <c r="AG9" s="48" t="s">
        <v>82</v>
      </c>
      <c r="AH9" s="48" t="s">
        <v>80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3</v>
      </c>
      <c r="D10" s="18">
        <f t="shared" si="4"/>
        <v>0</v>
      </c>
      <c r="E10" s="4" t="s">
        <v>139</v>
      </c>
      <c r="F10" s="8"/>
      <c r="G10" s="9"/>
      <c r="H10" s="9"/>
      <c r="I10" s="55"/>
      <c r="J10" s="21">
        <f t="shared" si="5"/>
        <v>64800</v>
      </c>
      <c r="K10" s="8" t="s">
        <v>144</v>
      </c>
      <c r="L10" s="9">
        <v>-1600</v>
      </c>
      <c r="M10" s="9"/>
      <c r="N10" s="55">
        <v>-3000</v>
      </c>
      <c r="O10" s="21">
        <f t="shared" si="6"/>
        <v>10500</v>
      </c>
      <c r="P10" s="8" t="s">
        <v>143</v>
      </c>
      <c r="Q10" s="9">
        <v>1600</v>
      </c>
      <c r="R10" s="9"/>
      <c r="S10" s="55">
        <v>3000</v>
      </c>
      <c r="T10" s="21">
        <f t="shared" si="7"/>
        <v>29700</v>
      </c>
      <c r="U10" s="60">
        <f t="shared" si="0"/>
        <v>29.8</v>
      </c>
      <c r="V10" s="61">
        <f t="shared" si="1"/>
        <v>-24.5</v>
      </c>
      <c r="W10" s="62">
        <f t="shared" si="2"/>
        <v>-5.3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2</v>
      </c>
      <c r="BT10" s="36">
        <v>25</v>
      </c>
      <c r="BU10" s="47" t="s">
        <v>102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0</v>
      </c>
      <c r="D11" s="18">
        <f t="shared" si="4"/>
        <v>0</v>
      </c>
      <c r="E11" s="4" t="s">
        <v>149</v>
      </c>
      <c r="F11" s="8" t="s">
        <v>147</v>
      </c>
      <c r="G11" s="9">
        <v>-12000</v>
      </c>
      <c r="H11" s="9"/>
      <c r="I11" s="55">
        <v>0</v>
      </c>
      <c r="J11" s="21">
        <f t="shared" si="5"/>
        <v>52800</v>
      </c>
      <c r="K11" s="8" t="s">
        <v>148</v>
      </c>
      <c r="L11" s="9">
        <v>24000</v>
      </c>
      <c r="M11" s="9"/>
      <c r="N11" s="55">
        <v>0</v>
      </c>
      <c r="O11" s="21">
        <f t="shared" si="6"/>
        <v>34500</v>
      </c>
      <c r="P11" s="8" t="s">
        <v>147</v>
      </c>
      <c r="Q11" s="9">
        <v>-12000</v>
      </c>
      <c r="R11" s="9"/>
      <c r="S11" s="55">
        <v>0</v>
      </c>
      <c r="T11" s="21">
        <f t="shared" si="7"/>
        <v>17700</v>
      </c>
      <c r="U11" s="60">
        <f t="shared" si="0"/>
        <v>17.8</v>
      </c>
      <c r="V11" s="61">
        <f t="shared" si="1"/>
        <v>-0.5</v>
      </c>
      <c r="W11" s="62">
        <f t="shared" si="2"/>
        <v>-17.3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8</v>
      </c>
      <c r="AY11" s="36" t="s">
        <v>145</v>
      </c>
      <c r="AZ11" s="47" t="s">
        <v>146</v>
      </c>
      <c r="BA11" s="48" t="s">
        <v>83</v>
      </c>
      <c r="BB11" s="48" t="s">
        <v>86</v>
      </c>
      <c r="BC11" s="48" t="s">
        <v>82</v>
      </c>
      <c r="BD11" s="48" t="s">
        <v>80</v>
      </c>
      <c r="BE11" s="48" t="s">
        <v>80</v>
      </c>
      <c r="BF11" s="48" t="s">
        <v>80</v>
      </c>
      <c r="BG11" s="48" t="s">
        <v>80</v>
      </c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1</v>
      </c>
      <c r="D12" s="18">
        <f t="shared" si="4"/>
        <v>0</v>
      </c>
      <c r="E12" s="4" t="s">
        <v>149</v>
      </c>
      <c r="F12" s="8" t="s">
        <v>143</v>
      </c>
      <c r="G12" s="9">
        <v>8000</v>
      </c>
      <c r="H12" s="9"/>
      <c r="I12" s="55">
        <v>1000</v>
      </c>
      <c r="J12" s="21">
        <f t="shared" si="5"/>
        <v>61800</v>
      </c>
      <c r="K12" s="8"/>
      <c r="L12" s="9"/>
      <c r="M12" s="9"/>
      <c r="N12" s="55"/>
      <c r="O12" s="21">
        <f t="shared" si="6"/>
        <v>34500</v>
      </c>
      <c r="P12" s="8" t="s">
        <v>144</v>
      </c>
      <c r="Q12" s="9">
        <v>-8000</v>
      </c>
      <c r="R12" s="9"/>
      <c r="S12" s="55">
        <v>-1000</v>
      </c>
      <c r="T12" s="21">
        <f t="shared" si="7"/>
        <v>8700</v>
      </c>
      <c r="U12" s="60">
        <f t="shared" si="0"/>
        <v>26.8</v>
      </c>
      <c r="V12" s="61">
        <f t="shared" si="1"/>
        <v>-0.5</v>
      </c>
      <c r="W12" s="62">
        <f t="shared" si="2"/>
        <v>-26.3</v>
      </c>
      <c r="Y12" s="8"/>
      <c r="Z12" s="41"/>
      <c r="AA12" s="32"/>
      <c r="AB12" s="32">
        <v>1</v>
      </c>
      <c r="AC12" s="32">
        <v>4</v>
      </c>
      <c r="AD12" s="36">
        <v>30</v>
      </c>
      <c r="AE12" s="47" t="s">
        <v>105</v>
      </c>
      <c r="AF12" s="48" t="s">
        <v>87</v>
      </c>
      <c r="AG12" s="48" t="s">
        <v>82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0</v>
      </c>
      <c r="D13" s="18">
        <f t="shared" si="4"/>
        <v>0</v>
      </c>
      <c r="E13" s="4" t="s">
        <v>141</v>
      </c>
      <c r="F13" s="8" t="s">
        <v>143</v>
      </c>
      <c r="G13" s="9">
        <v>8000</v>
      </c>
      <c r="H13" s="9"/>
      <c r="I13" s="55">
        <v>0</v>
      </c>
      <c r="J13" s="21">
        <f t="shared" si="5"/>
        <v>69800</v>
      </c>
      <c r="K13" s="8" t="s">
        <v>144</v>
      </c>
      <c r="L13" s="9">
        <v>-8000</v>
      </c>
      <c r="M13" s="9"/>
      <c r="N13" s="55">
        <v>0</v>
      </c>
      <c r="O13" s="21">
        <f t="shared" si="6"/>
        <v>26500</v>
      </c>
      <c r="P13" s="8"/>
      <c r="Q13" s="9"/>
      <c r="R13" s="9"/>
      <c r="S13" s="55"/>
      <c r="T13" s="21">
        <f t="shared" si="7"/>
        <v>8700</v>
      </c>
      <c r="U13" s="60">
        <f t="shared" si="0"/>
        <v>34.799999999999997</v>
      </c>
      <c r="V13" s="61">
        <f t="shared" si="1"/>
        <v>-8.5</v>
      </c>
      <c r="W13" s="62">
        <f t="shared" si="2"/>
        <v>-26.3</v>
      </c>
      <c r="Y13" s="8"/>
      <c r="Z13" s="41"/>
      <c r="AA13" s="32"/>
      <c r="AB13" s="32">
        <v>1</v>
      </c>
      <c r="AC13" s="32">
        <v>4</v>
      </c>
      <c r="AD13" s="36">
        <v>30</v>
      </c>
      <c r="AE13" s="47" t="s">
        <v>105</v>
      </c>
      <c r="AF13" s="48" t="s">
        <v>87</v>
      </c>
      <c r="AG13" s="48" t="s">
        <v>82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">
        <v>139</v>
      </c>
      <c r="F14" s="8" t="s">
        <v>143</v>
      </c>
      <c r="G14" s="9">
        <v>12000</v>
      </c>
      <c r="H14" s="9"/>
      <c r="I14" s="55">
        <v>0</v>
      </c>
      <c r="J14" s="21">
        <f t="shared" si="5"/>
        <v>81800</v>
      </c>
      <c r="K14" s="8" t="s">
        <v>144</v>
      </c>
      <c r="L14" s="9">
        <v>-12000</v>
      </c>
      <c r="M14" s="9"/>
      <c r="N14" s="55">
        <v>0</v>
      </c>
      <c r="O14" s="21">
        <f t="shared" si="6"/>
        <v>14500</v>
      </c>
      <c r="P14" s="8"/>
      <c r="Q14" s="9"/>
      <c r="R14" s="9"/>
      <c r="S14" s="55"/>
      <c r="T14" s="21">
        <f t="shared" si="7"/>
        <v>8700</v>
      </c>
      <c r="U14" s="60">
        <f t="shared" si="0"/>
        <v>46.8</v>
      </c>
      <c r="V14" s="61">
        <f t="shared" si="1"/>
        <v>-20.5</v>
      </c>
      <c r="W14" s="62">
        <f t="shared" si="2"/>
        <v>-26.3</v>
      </c>
      <c r="Y14" s="8"/>
      <c r="Z14" s="41"/>
      <c r="AA14" s="32">
        <v>1</v>
      </c>
      <c r="AB14" s="32"/>
      <c r="AC14" s="32">
        <v>4</v>
      </c>
      <c r="AD14" s="36">
        <v>40</v>
      </c>
      <c r="AE14" s="47" t="s">
        <v>146</v>
      </c>
      <c r="AF14" s="48" t="s">
        <v>154</v>
      </c>
      <c r="AG14" s="48" t="s">
        <v>85</v>
      </c>
      <c r="AH14" s="48" t="s">
        <v>82</v>
      </c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1F94B28-FBF9-428C-851B-A391961BE1B4}">
      <formula1>$U$2:$W$2</formula1>
    </dataValidation>
    <dataValidation type="list" showInputMessage="1" showErrorMessage="1" sqref="K4:K30 P4:P30 F4:F30" xr:uid="{940625D5-F584-4F63-BCCD-616BFA6BA3B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01BC0-8753-4FD2-885E-8EBA1275F87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156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16000</v>
      </c>
      <c r="H4" s="9">
        <v>1000</v>
      </c>
      <c r="I4" s="55">
        <v>0</v>
      </c>
      <c r="J4" s="21">
        <f>IF(COUNTA($F4,$K4,$P4)&gt;0,J3+SUM(G4:I4),"")</f>
        <v>52000</v>
      </c>
      <c r="K4" s="8" t="s">
        <v>144</v>
      </c>
      <c r="L4" s="9">
        <v>-16000</v>
      </c>
      <c r="M4" s="9">
        <v>-1000</v>
      </c>
      <c r="N4" s="55">
        <v>0</v>
      </c>
      <c r="O4" s="21">
        <f>IF(COUNTA($F4,$K4,$P4)&gt;0,O3+SUM(L4:N4),"")</f>
        <v>18000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17</v>
      </c>
      <c r="V4" s="61">
        <f t="shared" ref="V4:V30" si="1">IF($O4="","",ROUND(($O4-$O$3)/1000,1))</f>
        <v>-17</v>
      </c>
      <c r="W4" s="62">
        <f t="shared" ref="W4:W30" si="2">IF($T4="","",ROUND(($T4-$T$3)/1000,1))</f>
        <v>0</v>
      </c>
      <c r="Y4" s="8"/>
      <c r="Z4" s="41"/>
      <c r="AA4" s="32"/>
      <c r="AB4" s="32"/>
      <c r="AC4" s="32">
        <v>8</v>
      </c>
      <c r="AD4" s="36" t="s">
        <v>145</v>
      </c>
      <c r="AE4" s="47" t="s">
        <v>99</v>
      </c>
      <c r="AF4" s="48" t="s">
        <v>87</v>
      </c>
      <c r="AG4" s="48" t="s">
        <v>82</v>
      </c>
      <c r="AH4" s="48" t="s">
        <v>82</v>
      </c>
      <c r="AI4" s="48" t="s">
        <v>80</v>
      </c>
      <c r="AJ4" s="48" t="s">
        <v>80</v>
      </c>
      <c r="AK4" s="48" t="s">
        <v>80</v>
      </c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155</v>
      </c>
      <c r="F5" s="8" t="s">
        <v>147</v>
      </c>
      <c r="G5" s="9">
        <v>-12000</v>
      </c>
      <c r="H5" s="9"/>
      <c r="I5" s="55">
        <v>0</v>
      </c>
      <c r="J5" s="21">
        <f t="shared" ref="J5:J30" si="5">IF(COUNTA($F5,$K5,$P5)&gt;0,J4+SUM(G5:I5),"")</f>
        <v>40000</v>
      </c>
      <c r="K5" s="8" t="s">
        <v>147</v>
      </c>
      <c r="L5" s="9">
        <v>-12000</v>
      </c>
      <c r="M5" s="9"/>
      <c r="N5" s="55">
        <v>0</v>
      </c>
      <c r="O5" s="21">
        <f t="shared" ref="O5:O30" si="6">IF(COUNTA($F5,$K5,$P5)&gt;0,O4+SUM(L5:N5),"")</f>
        <v>6000</v>
      </c>
      <c r="P5" s="8" t="s">
        <v>148</v>
      </c>
      <c r="Q5" s="9">
        <v>24000</v>
      </c>
      <c r="R5" s="9"/>
      <c r="S5" s="55">
        <v>0</v>
      </c>
      <c r="T5" s="21">
        <f t="shared" ref="T5:T30" si="7">IF(COUNTA($F5,$K5,$P5)&gt;0,T4+SUM(Q5:S5),"")</f>
        <v>59000</v>
      </c>
      <c r="U5" s="60">
        <f t="shared" si="0"/>
        <v>5</v>
      </c>
      <c r="V5" s="61">
        <f t="shared" si="1"/>
        <v>-29</v>
      </c>
      <c r="W5" s="62">
        <f t="shared" si="2"/>
        <v>24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8</v>
      </c>
      <c r="BT5" s="36" t="s">
        <v>145</v>
      </c>
      <c r="BU5" s="47" t="s">
        <v>146</v>
      </c>
      <c r="BV5" s="48" t="s">
        <v>83</v>
      </c>
      <c r="BW5" s="48" t="s">
        <v>84</v>
      </c>
      <c r="BX5" s="48" t="s">
        <v>85</v>
      </c>
      <c r="BY5" s="48" t="s">
        <v>82</v>
      </c>
      <c r="BZ5" s="48" t="s">
        <v>82</v>
      </c>
      <c r="CA5" s="48" t="s">
        <v>82</v>
      </c>
      <c r="CB5" s="48" t="s">
        <v>80</v>
      </c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155</v>
      </c>
      <c r="F6" s="8" t="s">
        <v>147</v>
      </c>
      <c r="G6" s="9">
        <v>-3000</v>
      </c>
      <c r="H6" s="9">
        <v>-1000</v>
      </c>
      <c r="I6" s="55">
        <v>-500</v>
      </c>
      <c r="J6" s="21">
        <f t="shared" si="5"/>
        <v>35500</v>
      </c>
      <c r="K6" s="8" t="s">
        <v>148</v>
      </c>
      <c r="L6" s="9">
        <v>8000</v>
      </c>
      <c r="M6" s="9">
        <v>1000</v>
      </c>
      <c r="N6" s="55">
        <v>1000</v>
      </c>
      <c r="O6" s="21">
        <f t="shared" si="6"/>
        <v>16000</v>
      </c>
      <c r="P6" s="8" t="s">
        <v>147</v>
      </c>
      <c r="Q6" s="9">
        <v>-5000</v>
      </c>
      <c r="R6" s="9"/>
      <c r="S6" s="55">
        <v>-500</v>
      </c>
      <c r="T6" s="21">
        <f t="shared" si="7"/>
        <v>53500</v>
      </c>
      <c r="U6" s="60">
        <f t="shared" si="0"/>
        <v>0.5</v>
      </c>
      <c r="V6" s="61">
        <f t="shared" si="1"/>
        <v>-19</v>
      </c>
      <c r="W6" s="62">
        <f t="shared" si="2"/>
        <v>18.5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145</v>
      </c>
      <c r="AZ6" s="47" t="s">
        <v>146</v>
      </c>
      <c r="BA6" s="48" t="s">
        <v>83</v>
      </c>
      <c r="BB6" s="48" t="s">
        <v>84</v>
      </c>
      <c r="BC6" s="48" t="s">
        <v>80</v>
      </c>
      <c r="BD6" s="48" t="s">
        <v>81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153</v>
      </c>
      <c r="G7" s="9">
        <v>3000</v>
      </c>
      <c r="H7" s="9"/>
      <c r="I7" s="55"/>
      <c r="J7" s="21">
        <f t="shared" si="5"/>
        <v>38500</v>
      </c>
      <c r="K7" s="8" t="s">
        <v>153</v>
      </c>
      <c r="L7" s="9">
        <v>-1500</v>
      </c>
      <c r="M7" s="9"/>
      <c r="N7" s="55"/>
      <c r="O7" s="21">
        <f t="shared" si="6"/>
        <v>14500</v>
      </c>
      <c r="P7" s="8" t="s">
        <v>153</v>
      </c>
      <c r="Q7" s="9">
        <v>-1500</v>
      </c>
      <c r="R7" s="9"/>
      <c r="S7" s="55"/>
      <c r="T7" s="21">
        <f t="shared" si="7"/>
        <v>52000</v>
      </c>
      <c r="U7" s="60">
        <f t="shared" si="0"/>
        <v>3.5</v>
      </c>
      <c r="V7" s="61">
        <f t="shared" si="1"/>
        <v>-20.5</v>
      </c>
      <c r="W7" s="62">
        <f t="shared" si="2"/>
        <v>17</v>
      </c>
      <c r="Y7" s="8" t="s">
        <v>151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152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152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137</v>
      </c>
      <c r="F8" s="8" t="s">
        <v>148</v>
      </c>
      <c r="G8" s="9">
        <v>48000</v>
      </c>
      <c r="H8" s="9"/>
      <c r="I8" s="55">
        <v>1000</v>
      </c>
      <c r="J8" s="21">
        <f t="shared" si="5"/>
        <v>87500</v>
      </c>
      <c r="K8" s="8" t="s">
        <v>147</v>
      </c>
      <c r="L8" s="9">
        <v>-24000</v>
      </c>
      <c r="M8" s="9"/>
      <c r="N8" s="55">
        <v>-500</v>
      </c>
      <c r="O8" s="21">
        <f t="shared" si="6"/>
        <v>-10000</v>
      </c>
      <c r="P8" s="8" t="s">
        <v>147</v>
      </c>
      <c r="Q8" s="9">
        <v>-24000</v>
      </c>
      <c r="R8" s="9"/>
      <c r="S8" s="55">
        <v>-500</v>
      </c>
      <c r="T8" s="21">
        <f t="shared" si="7"/>
        <v>27500</v>
      </c>
      <c r="U8" s="60">
        <f t="shared" si="0"/>
        <v>52.5</v>
      </c>
      <c r="V8" s="61">
        <f t="shared" si="1"/>
        <v>-45</v>
      </c>
      <c r="W8" s="62">
        <f t="shared" si="2"/>
        <v>-7.5</v>
      </c>
      <c r="Y8" s="8"/>
      <c r="Z8" s="41"/>
      <c r="AA8" s="32">
        <v>1</v>
      </c>
      <c r="AB8" s="32"/>
      <c r="AC8" s="32">
        <v>14</v>
      </c>
      <c r="AD8" s="36" t="s">
        <v>145</v>
      </c>
      <c r="AE8" s="47" t="s">
        <v>146</v>
      </c>
      <c r="AF8" s="48" t="s">
        <v>83</v>
      </c>
      <c r="AG8" s="48" t="s">
        <v>105</v>
      </c>
      <c r="AH8" s="48" t="s">
        <v>87</v>
      </c>
      <c r="AI8" s="48" t="s">
        <v>87</v>
      </c>
      <c r="AJ8" s="48" t="s">
        <v>80</v>
      </c>
      <c r="AK8" s="48" t="s">
        <v>80</v>
      </c>
      <c r="AL8" s="48" t="s">
        <v>80</v>
      </c>
      <c r="AM8" s="48" t="s">
        <v>81</v>
      </c>
      <c r="AN8" s="48" t="s">
        <v>81</v>
      </c>
      <c r="AO8" s="48" t="s">
        <v>81</v>
      </c>
      <c r="AP8" s="48" t="s">
        <v>81</v>
      </c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3A593210-9DA3-4121-93E6-63FED50DB688}">
      <formula1>"ロン,ツモ,放銃,ツモ支払,流局,チョンボ"</formula1>
    </dataValidation>
    <dataValidation type="list" allowBlank="1" showInputMessage="1" showErrorMessage="1" sqref="E4:E30" xr:uid="{9943A6AC-21FC-4647-B581-907D8000D1B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58C16-535A-4B64-9E85-A994A71D2592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156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147</v>
      </c>
      <c r="G4" s="9">
        <v>-9000</v>
      </c>
      <c r="H4" s="9"/>
      <c r="I4" s="55">
        <v>0</v>
      </c>
      <c r="J4" s="21">
        <f>IF(COUNTA($F4,$K4,$P4)&gt;0,J3+SUM(G4:I4),"")</f>
        <v>26000</v>
      </c>
      <c r="K4" s="8" t="s">
        <v>147</v>
      </c>
      <c r="L4" s="9">
        <v>-9000</v>
      </c>
      <c r="M4" s="9"/>
      <c r="N4" s="55">
        <v>0</v>
      </c>
      <c r="O4" s="21">
        <f>IF(COUNTA($F4,$K4,$P4)&gt;0,O3+SUM(L4:N4),"")</f>
        <v>26000</v>
      </c>
      <c r="P4" s="8" t="s">
        <v>148</v>
      </c>
      <c r="Q4" s="9">
        <v>18000</v>
      </c>
      <c r="R4" s="9"/>
      <c r="S4" s="55">
        <v>0</v>
      </c>
      <c r="T4" s="21">
        <f>IF(COUNTA($F4,$K4,$P4)&gt;0,T3+SUM(Q4:S4),"")</f>
        <v>53000</v>
      </c>
      <c r="U4" s="60">
        <f t="shared" ref="U4:U30" si="0">IF($J4="","",ROUND(($J4-$J$3)/1000,1))</f>
        <v>-9</v>
      </c>
      <c r="V4" s="61">
        <f t="shared" ref="V4:V30" si="1">IF($O4="","",ROUND(($O4-$O$3)/1000,1))</f>
        <v>-9</v>
      </c>
      <c r="W4" s="62">
        <f t="shared" ref="W4:W30" si="2">IF($T4="","",ROUND(($T4-$T$3)/1000,1))</f>
        <v>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7</v>
      </c>
      <c r="BT4" s="36" t="s">
        <v>145</v>
      </c>
      <c r="BU4" s="47" t="s">
        <v>83</v>
      </c>
      <c r="BV4" s="48" t="s">
        <v>146</v>
      </c>
      <c r="BW4" s="48" t="s">
        <v>154</v>
      </c>
      <c r="BX4" s="48" t="s">
        <v>86</v>
      </c>
      <c r="BY4" s="48" t="s">
        <v>80</v>
      </c>
      <c r="BZ4" s="48" t="s">
        <v>81</v>
      </c>
      <c r="CA4" s="48" t="s">
        <v>82</v>
      </c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155</v>
      </c>
      <c r="F5" s="8" t="s">
        <v>144</v>
      </c>
      <c r="G5" s="9">
        <v>-12000</v>
      </c>
      <c r="H5" s="9"/>
      <c r="I5" s="55">
        <v>-1000</v>
      </c>
      <c r="J5" s="21">
        <f t="shared" ref="J5:J30" si="5">IF(COUNTA($F5,$K5,$P5)&gt;0,J4+SUM(G5:I5),"")</f>
        <v>13000</v>
      </c>
      <c r="K5" s="8"/>
      <c r="L5" s="9"/>
      <c r="M5" s="9"/>
      <c r="N5" s="55"/>
      <c r="O5" s="21">
        <f t="shared" ref="O5:O30" si="6">IF(COUNTA($F5,$K5,$P5)&gt;0,O4+SUM(L5:N5),"")</f>
        <v>26000</v>
      </c>
      <c r="P5" s="8" t="s">
        <v>143</v>
      </c>
      <c r="Q5" s="9">
        <v>12000</v>
      </c>
      <c r="R5" s="9"/>
      <c r="S5" s="55">
        <v>1000</v>
      </c>
      <c r="T5" s="21">
        <f t="shared" ref="T5:T30" si="7">IF(COUNTA($F5,$K5,$P5)&gt;0,T4+SUM(Q5:S5),"")</f>
        <v>66000</v>
      </c>
      <c r="U5" s="60">
        <f t="shared" si="0"/>
        <v>-22</v>
      </c>
      <c r="V5" s="61">
        <f t="shared" si="1"/>
        <v>-9</v>
      </c>
      <c r="W5" s="62">
        <f t="shared" si="2"/>
        <v>31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4</v>
      </c>
      <c r="BT5" s="36">
        <v>40</v>
      </c>
      <c r="BU5" s="47" t="s">
        <v>146</v>
      </c>
      <c r="BV5" s="48" t="s">
        <v>87</v>
      </c>
      <c r="BW5" s="48" t="s">
        <v>82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155</v>
      </c>
      <c r="F6" s="8" t="s">
        <v>144</v>
      </c>
      <c r="G6" s="9">
        <v>-8000</v>
      </c>
      <c r="H6" s="9"/>
      <c r="I6" s="55">
        <v>-2000</v>
      </c>
      <c r="J6" s="21">
        <f t="shared" si="5"/>
        <v>3000</v>
      </c>
      <c r="K6" s="8" t="s">
        <v>143</v>
      </c>
      <c r="L6" s="9">
        <v>8000</v>
      </c>
      <c r="M6" s="9"/>
      <c r="N6" s="55">
        <v>2000</v>
      </c>
      <c r="O6" s="21">
        <f t="shared" si="6"/>
        <v>36000</v>
      </c>
      <c r="P6" s="8"/>
      <c r="Q6" s="9"/>
      <c r="R6" s="9"/>
      <c r="S6" s="55"/>
      <c r="T6" s="21">
        <f t="shared" si="7"/>
        <v>66000</v>
      </c>
      <c r="U6" s="60">
        <f t="shared" si="0"/>
        <v>-32</v>
      </c>
      <c r="V6" s="61">
        <f t="shared" si="1"/>
        <v>1</v>
      </c>
      <c r="W6" s="62">
        <f t="shared" si="2"/>
        <v>31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146</v>
      </c>
      <c r="BA6" s="48" t="s">
        <v>82</v>
      </c>
      <c r="BB6" s="48" t="s">
        <v>81</v>
      </c>
      <c r="BC6" s="48" t="s">
        <v>81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148</v>
      </c>
      <c r="G7" s="9">
        <v>18000</v>
      </c>
      <c r="H7" s="9">
        <v>2000</v>
      </c>
      <c r="I7" s="55">
        <v>0</v>
      </c>
      <c r="J7" s="21">
        <f t="shared" si="5"/>
        <v>23000</v>
      </c>
      <c r="K7" s="8" t="s">
        <v>147</v>
      </c>
      <c r="L7" s="9">
        <v>-9000</v>
      </c>
      <c r="M7" s="9">
        <v>-1000</v>
      </c>
      <c r="N7" s="55">
        <v>0</v>
      </c>
      <c r="O7" s="21">
        <f t="shared" si="6"/>
        <v>26000</v>
      </c>
      <c r="P7" s="8" t="s">
        <v>147</v>
      </c>
      <c r="Q7" s="9">
        <v>-9000</v>
      </c>
      <c r="R7" s="9">
        <v>-1000</v>
      </c>
      <c r="S7" s="55">
        <v>0</v>
      </c>
      <c r="T7" s="21">
        <f t="shared" si="7"/>
        <v>56000</v>
      </c>
      <c r="U7" s="60">
        <f t="shared" si="0"/>
        <v>-12</v>
      </c>
      <c r="V7" s="61">
        <f t="shared" si="1"/>
        <v>-9</v>
      </c>
      <c r="W7" s="62">
        <f t="shared" si="2"/>
        <v>21</v>
      </c>
      <c r="Y7" s="8"/>
      <c r="Z7" s="41"/>
      <c r="AA7" s="32">
        <v>1</v>
      </c>
      <c r="AB7" s="32"/>
      <c r="AC7" s="32">
        <v>6</v>
      </c>
      <c r="AD7" s="36" t="s">
        <v>145</v>
      </c>
      <c r="AE7" s="47" t="s">
        <v>146</v>
      </c>
      <c r="AF7" s="48" t="s">
        <v>83</v>
      </c>
      <c r="AG7" s="48" t="s">
        <v>154</v>
      </c>
      <c r="AH7" s="48" t="s">
        <v>82</v>
      </c>
      <c r="AI7" s="48" t="s">
        <v>82</v>
      </c>
      <c r="AJ7" s="48" t="s">
        <v>87</v>
      </c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1</v>
      </c>
      <c r="D8" s="18">
        <f t="shared" si="4"/>
        <v>0</v>
      </c>
      <c r="E8" s="4" t="s">
        <v>137</v>
      </c>
      <c r="F8" s="8" t="s">
        <v>147</v>
      </c>
      <c r="G8" s="9">
        <v>-5000</v>
      </c>
      <c r="H8" s="9"/>
      <c r="I8" s="55">
        <v>-500</v>
      </c>
      <c r="J8" s="21">
        <f t="shared" si="5"/>
        <v>17500</v>
      </c>
      <c r="K8" s="8" t="s">
        <v>148</v>
      </c>
      <c r="L8" s="9">
        <v>8000</v>
      </c>
      <c r="M8" s="9"/>
      <c r="N8" s="55">
        <v>1000</v>
      </c>
      <c r="O8" s="21">
        <f t="shared" si="6"/>
        <v>35000</v>
      </c>
      <c r="P8" s="8" t="s">
        <v>147</v>
      </c>
      <c r="Q8" s="9">
        <v>-3000</v>
      </c>
      <c r="R8" s="9"/>
      <c r="S8" s="55">
        <v>-500</v>
      </c>
      <c r="T8" s="21">
        <f t="shared" si="7"/>
        <v>52500</v>
      </c>
      <c r="U8" s="60">
        <f t="shared" si="0"/>
        <v>-17.5</v>
      </c>
      <c r="V8" s="61">
        <f t="shared" si="1"/>
        <v>0</v>
      </c>
      <c r="W8" s="62">
        <f t="shared" si="2"/>
        <v>17.5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146</v>
      </c>
      <c r="BA8" s="48" t="s">
        <v>83</v>
      </c>
      <c r="BB8" s="48" t="s">
        <v>154</v>
      </c>
      <c r="BC8" s="48" t="s">
        <v>85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143</v>
      </c>
      <c r="G9" s="9">
        <v>8000</v>
      </c>
      <c r="H9" s="9"/>
      <c r="I9" s="55">
        <v>0</v>
      </c>
      <c r="J9" s="21">
        <f t="shared" si="5"/>
        <v>25500</v>
      </c>
      <c r="K9" s="8" t="s">
        <v>144</v>
      </c>
      <c r="L9" s="9">
        <v>-8000</v>
      </c>
      <c r="M9" s="9"/>
      <c r="N9" s="55">
        <v>0</v>
      </c>
      <c r="O9" s="21">
        <f t="shared" si="6"/>
        <v>27000</v>
      </c>
      <c r="P9" s="8"/>
      <c r="Q9" s="9"/>
      <c r="R9" s="9"/>
      <c r="S9" s="55"/>
      <c r="T9" s="21">
        <f t="shared" si="7"/>
        <v>52500</v>
      </c>
      <c r="U9" s="60">
        <f t="shared" si="0"/>
        <v>-9.5</v>
      </c>
      <c r="V9" s="61">
        <f t="shared" si="1"/>
        <v>-8</v>
      </c>
      <c r="W9" s="62">
        <f t="shared" si="2"/>
        <v>17.5</v>
      </c>
      <c r="Y9" s="8"/>
      <c r="Z9" s="41"/>
      <c r="AA9" s="32"/>
      <c r="AB9" s="32">
        <v>1</v>
      </c>
      <c r="AC9" s="32">
        <v>4</v>
      </c>
      <c r="AD9" s="36">
        <v>30</v>
      </c>
      <c r="AE9" s="47" t="s">
        <v>105</v>
      </c>
      <c r="AF9" s="48" t="s">
        <v>87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155</v>
      </c>
      <c r="F10" s="8"/>
      <c r="G10" s="9"/>
      <c r="H10" s="9"/>
      <c r="I10" s="55"/>
      <c r="J10" s="21">
        <f t="shared" si="5"/>
        <v>25500</v>
      </c>
      <c r="K10" s="8" t="s">
        <v>144</v>
      </c>
      <c r="L10" s="9">
        <v>-12000</v>
      </c>
      <c r="M10" s="9"/>
      <c r="N10" s="55">
        <v>0</v>
      </c>
      <c r="O10" s="21">
        <f t="shared" si="6"/>
        <v>15000</v>
      </c>
      <c r="P10" s="8" t="s">
        <v>143</v>
      </c>
      <c r="Q10" s="9">
        <v>12000</v>
      </c>
      <c r="R10" s="9"/>
      <c r="S10" s="55">
        <v>0</v>
      </c>
      <c r="T10" s="21">
        <f t="shared" si="7"/>
        <v>64500</v>
      </c>
      <c r="U10" s="60">
        <f t="shared" si="0"/>
        <v>-9.5</v>
      </c>
      <c r="V10" s="61">
        <f t="shared" si="1"/>
        <v>-20</v>
      </c>
      <c r="W10" s="62">
        <f t="shared" si="2"/>
        <v>29.5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5</v>
      </c>
      <c r="BT10" s="36" t="s">
        <v>145</v>
      </c>
      <c r="BU10" s="47" t="s">
        <v>146</v>
      </c>
      <c r="BV10" s="48" t="s">
        <v>154</v>
      </c>
      <c r="BW10" s="48" t="s">
        <v>87</v>
      </c>
      <c r="BX10" s="48" t="s">
        <v>80</v>
      </c>
      <c r="BY10" s="48" t="s">
        <v>80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1</v>
      </c>
      <c r="D11" s="18">
        <f t="shared" si="4"/>
        <v>0</v>
      </c>
      <c r="E11" s="4" t="s">
        <v>155</v>
      </c>
      <c r="F11" s="8" t="s">
        <v>147</v>
      </c>
      <c r="G11" s="9">
        <v>-6000</v>
      </c>
      <c r="H11" s="9"/>
      <c r="I11" s="55">
        <v>-500</v>
      </c>
      <c r="J11" s="21">
        <f t="shared" si="5"/>
        <v>19000</v>
      </c>
      <c r="K11" s="8" t="s">
        <v>147</v>
      </c>
      <c r="L11" s="9">
        <v>-6000</v>
      </c>
      <c r="M11" s="9"/>
      <c r="N11" s="55">
        <v>-500</v>
      </c>
      <c r="O11" s="21">
        <f t="shared" si="6"/>
        <v>8500</v>
      </c>
      <c r="P11" s="8" t="s">
        <v>148</v>
      </c>
      <c r="Q11" s="9">
        <v>12000</v>
      </c>
      <c r="R11" s="9"/>
      <c r="S11" s="55">
        <v>1000</v>
      </c>
      <c r="T11" s="21">
        <f t="shared" si="7"/>
        <v>77500</v>
      </c>
      <c r="U11" s="60">
        <f t="shared" si="0"/>
        <v>-16</v>
      </c>
      <c r="V11" s="61">
        <f t="shared" si="1"/>
        <v>-26.5</v>
      </c>
      <c r="W11" s="62">
        <f t="shared" si="2"/>
        <v>42.5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146</v>
      </c>
      <c r="BV11" s="48" t="s">
        <v>83</v>
      </c>
      <c r="BW11" s="48" t="s">
        <v>81</v>
      </c>
      <c r="BX11" s="48" t="s">
        <v>81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2</v>
      </c>
      <c r="D12" s="18">
        <f t="shared" si="4"/>
        <v>0</v>
      </c>
      <c r="E12" s="4" t="s">
        <v>155</v>
      </c>
      <c r="F12" s="8" t="s">
        <v>157</v>
      </c>
      <c r="G12" s="9">
        <v>-1500</v>
      </c>
      <c r="H12" s="9"/>
      <c r="I12" s="55"/>
      <c r="J12" s="21">
        <f t="shared" si="5"/>
        <v>17500</v>
      </c>
      <c r="K12" s="8" t="s">
        <v>157</v>
      </c>
      <c r="L12" s="9">
        <v>3000</v>
      </c>
      <c r="M12" s="9">
        <v>-1000</v>
      </c>
      <c r="N12" s="55"/>
      <c r="O12" s="21">
        <f t="shared" si="6"/>
        <v>10500</v>
      </c>
      <c r="P12" s="8" t="s">
        <v>157</v>
      </c>
      <c r="Q12" s="9">
        <v>-1500</v>
      </c>
      <c r="R12" s="9"/>
      <c r="S12" s="55"/>
      <c r="T12" s="21">
        <f t="shared" si="7"/>
        <v>76000</v>
      </c>
      <c r="U12" s="60">
        <f t="shared" si="0"/>
        <v>-17.5</v>
      </c>
      <c r="V12" s="61">
        <f t="shared" si="1"/>
        <v>-24.5</v>
      </c>
      <c r="W12" s="62">
        <f t="shared" si="2"/>
        <v>41</v>
      </c>
      <c r="Y12" s="8" t="s">
        <v>152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151</v>
      </c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152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3</v>
      </c>
      <c r="D13" s="18">
        <f t="shared" si="4"/>
        <v>1</v>
      </c>
      <c r="E13" s="4" t="s">
        <v>137</v>
      </c>
      <c r="F13" s="8" t="s">
        <v>147</v>
      </c>
      <c r="G13" s="9">
        <v>-700</v>
      </c>
      <c r="H13" s="9"/>
      <c r="I13" s="55">
        <v>-1500</v>
      </c>
      <c r="J13" s="21">
        <f t="shared" si="5"/>
        <v>15300</v>
      </c>
      <c r="K13" s="8" t="s">
        <v>147</v>
      </c>
      <c r="L13" s="9">
        <v>-500</v>
      </c>
      <c r="M13" s="9"/>
      <c r="N13" s="55">
        <v>-1500</v>
      </c>
      <c r="O13" s="21">
        <f t="shared" si="6"/>
        <v>8500</v>
      </c>
      <c r="P13" s="8" t="s">
        <v>148</v>
      </c>
      <c r="Q13" s="9">
        <v>1200</v>
      </c>
      <c r="R13" s="9">
        <v>1000</v>
      </c>
      <c r="S13" s="55">
        <v>3000</v>
      </c>
      <c r="T13" s="21">
        <f t="shared" si="7"/>
        <v>81200</v>
      </c>
      <c r="U13" s="60">
        <f t="shared" si="0"/>
        <v>-19.7</v>
      </c>
      <c r="V13" s="61">
        <f t="shared" si="1"/>
        <v>-26.5</v>
      </c>
      <c r="W13" s="62">
        <f t="shared" si="2"/>
        <v>46.2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>
        <v>1</v>
      </c>
      <c r="BT13" s="36">
        <v>30</v>
      </c>
      <c r="BU13" s="47" t="s">
        <v>87</v>
      </c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">
        <v>139</v>
      </c>
      <c r="F14" s="8" t="s">
        <v>157</v>
      </c>
      <c r="G14" s="9">
        <v>-1500</v>
      </c>
      <c r="H14" s="9"/>
      <c r="I14" s="55"/>
      <c r="J14" s="21">
        <f t="shared" si="5"/>
        <v>13800</v>
      </c>
      <c r="K14" s="8" t="s">
        <v>157</v>
      </c>
      <c r="L14" s="9">
        <v>3000</v>
      </c>
      <c r="M14" s="9">
        <v>-1000</v>
      </c>
      <c r="N14" s="55"/>
      <c r="O14" s="21">
        <f t="shared" si="6"/>
        <v>10500</v>
      </c>
      <c r="P14" s="8" t="s">
        <v>157</v>
      </c>
      <c r="Q14" s="9">
        <v>-1500</v>
      </c>
      <c r="R14" s="9"/>
      <c r="S14" s="55"/>
      <c r="T14" s="21">
        <f t="shared" si="7"/>
        <v>79700</v>
      </c>
      <c r="U14" s="60">
        <f t="shared" si="0"/>
        <v>-21.2</v>
      </c>
      <c r="V14" s="61">
        <f t="shared" si="1"/>
        <v>-24.5</v>
      </c>
      <c r="W14" s="62">
        <f t="shared" si="2"/>
        <v>44.7</v>
      </c>
      <c r="Y14" s="8" t="s">
        <v>152</v>
      </c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 t="s">
        <v>151</v>
      </c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 t="s">
        <v>152</v>
      </c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8"/>
        <v>3</v>
      </c>
      <c r="C15" s="18">
        <f t="shared" si="9"/>
        <v>1</v>
      </c>
      <c r="D15" s="18">
        <f t="shared" si="4"/>
        <v>1</v>
      </c>
      <c r="E15" s="4" t="s">
        <v>139</v>
      </c>
      <c r="F15" s="8" t="s">
        <v>143</v>
      </c>
      <c r="G15" s="9">
        <v>12000</v>
      </c>
      <c r="H15" s="9">
        <v>2000</v>
      </c>
      <c r="I15" s="55">
        <v>1000</v>
      </c>
      <c r="J15" s="21">
        <f t="shared" si="5"/>
        <v>28800</v>
      </c>
      <c r="K15" s="8" t="s">
        <v>144</v>
      </c>
      <c r="L15" s="9">
        <v>-12000</v>
      </c>
      <c r="M15" s="9">
        <v>-1000</v>
      </c>
      <c r="N15" s="55">
        <v>-1000</v>
      </c>
      <c r="O15" s="21">
        <f t="shared" si="6"/>
        <v>-3500</v>
      </c>
      <c r="P15" s="8"/>
      <c r="Q15" s="9"/>
      <c r="R15" s="9"/>
      <c r="S15" s="55"/>
      <c r="T15" s="21">
        <f t="shared" si="7"/>
        <v>79700</v>
      </c>
      <c r="U15" s="60">
        <f t="shared" si="0"/>
        <v>-6.2</v>
      </c>
      <c r="V15" s="61">
        <f t="shared" si="1"/>
        <v>-38.5</v>
      </c>
      <c r="W15" s="62">
        <f t="shared" si="2"/>
        <v>44.7</v>
      </c>
      <c r="Y15" s="8"/>
      <c r="Z15" s="41"/>
      <c r="AA15" s="32">
        <v>1</v>
      </c>
      <c r="AB15" s="32"/>
      <c r="AC15" s="32">
        <v>7</v>
      </c>
      <c r="AD15" s="36" t="s">
        <v>145</v>
      </c>
      <c r="AE15" s="47" t="s">
        <v>146</v>
      </c>
      <c r="AF15" s="48" t="s">
        <v>102</v>
      </c>
      <c r="AG15" s="48" t="s">
        <v>82</v>
      </c>
      <c r="AH15" s="48" t="s">
        <v>82</v>
      </c>
      <c r="AI15" s="48" t="s">
        <v>81</v>
      </c>
      <c r="AJ15" s="48" t="s">
        <v>81</v>
      </c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>
        <v>1</v>
      </c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F4ED2CC-9CEF-4643-AFD0-6D7C3582A49C}">
      <formula1>$U$2:$W$2</formula1>
    </dataValidation>
    <dataValidation type="list" showInputMessage="1" showErrorMessage="1" sqref="K4:K30 P4:P30 F4:F30" xr:uid="{65354FFB-9F95-4E83-BED6-699F2912C30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  <row r="52" spans="1:3" x14ac:dyDescent="0.4">
      <c r="A52" s="43" t="s">
        <v>135</v>
      </c>
      <c r="B52" s="15" t="s">
        <v>136</v>
      </c>
      <c r="C52" s="15">
        <v>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2019-02-22T18:16:52Z</dcterms:modified>
</cp:coreProperties>
</file>