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7DA972A4-5652-4A7D-8679-414A33F17D57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T15" i="17"/>
  <c r="W15" i="17" s="1"/>
  <c r="O15" i="17"/>
  <c r="V15" i="17" s="1"/>
  <c r="J15" i="17"/>
  <c r="U15" i="17" s="1"/>
  <c r="D15" i="17"/>
  <c r="C15" i="17"/>
  <c r="B15" i="17"/>
  <c r="A15" i="17" s="1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B12" i="17"/>
  <c r="A12" i="17" s="1"/>
  <c r="D11" i="17"/>
  <c r="D10" i="17"/>
  <c r="C10" i="17"/>
  <c r="C11" i="17" s="1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 s="1"/>
  <c r="D9" i="16"/>
  <c r="C9" i="16"/>
  <c r="D8" i="16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7" l="1"/>
  <c r="V5" i="17"/>
  <c r="V6" i="17"/>
  <c r="O7" i="17"/>
  <c r="B7" i="17"/>
  <c r="A7" i="17" s="1"/>
  <c r="T5" i="17"/>
  <c r="A6" i="17"/>
  <c r="J6" i="17"/>
  <c r="A5" i="16"/>
  <c r="V5" i="16"/>
  <c r="V6" i="16"/>
  <c r="O7" i="16"/>
  <c r="B7" i="16"/>
  <c r="A7" i="16" s="1"/>
  <c r="A6" i="16"/>
  <c r="T5" i="16"/>
  <c r="J6" i="16"/>
  <c r="U6" i="17" l="1"/>
  <c r="J7" i="17"/>
  <c r="O8" i="17"/>
  <c r="V7" i="17"/>
  <c r="B8" i="17"/>
  <c r="A8" i="17" s="1"/>
  <c r="W5" i="17"/>
  <c r="T6" i="17"/>
  <c r="U6" i="16"/>
  <c r="J7" i="16"/>
  <c r="T6" i="16"/>
  <c r="W5" i="16"/>
  <c r="O8" i="16"/>
  <c r="V7" i="16"/>
  <c r="B8" i="16"/>
  <c r="O9" i="17" l="1"/>
  <c r="V8" i="17"/>
  <c r="W6" i="17"/>
  <c r="T7" i="17"/>
  <c r="U7" i="17"/>
  <c r="J8" i="17"/>
  <c r="B9" i="17"/>
  <c r="A9" i="17" s="1"/>
  <c r="B9" i="16"/>
  <c r="A9" i="16" s="1"/>
  <c r="A8" i="16"/>
  <c r="W6" i="16"/>
  <c r="T7" i="16"/>
  <c r="U7" i="16"/>
  <c r="J8" i="16"/>
  <c r="V8" i="16"/>
  <c r="O9" i="16"/>
  <c r="V9" i="16" s="1"/>
  <c r="B10" i="17" l="1"/>
  <c r="A10" i="17" s="1"/>
  <c r="W7" i="17"/>
  <c r="T8" i="17"/>
  <c r="J9" i="17"/>
  <c r="U8" i="17"/>
  <c r="O10" i="17"/>
  <c r="V9" i="17"/>
  <c r="U8" i="16"/>
  <c r="J9" i="16"/>
  <c r="U9" i="16" s="1"/>
  <c r="W7" i="16"/>
  <c r="T8" i="16"/>
  <c r="W8" i="17" l="1"/>
  <c r="T9" i="17"/>
  <c r="U9" i="17"/>
  <c r="J10" i="17"/>
  <c r="O11" i="17"/>
  <c r="V11" i="17" s="1"/>
  <c r="V10" i="17"/>
  <c r="B11" i="17"/>
  <c r="A11" i="17" s="1"/>
  <c r="W8" i="16"/>
  <c r="T9" i="16"/>
  <c r="W9" i="16" s="1"/>
  <c r="U10" i="17" l="1"/>
  <c r="J11" i="17"/>
  <c r="U11" i="17" s="1"/>
  <c r="W9" i="17"/>
  <c r="T10" i="17"/>
  <c r="W10" i="17" l="1"/>
  <c r="T11" i="17"/>
  <c r="W11" i="17" s="1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<sst xmlns="http://schemas.openxmlformats.org/spreadsheetml/2006/main" count="767" uniqueCount="153">
  <si>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</si>
  <si>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</si>
  <si>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</si>
  <si>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</si>
  <si>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</si>
  <si>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</si>
  <si>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</si>
  <si>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</si>
  <si>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</si>
  <si>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</si>
  <si>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</si>
  <si>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</si>
  <si>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</si>
  <si>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</si>
  <si>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</si>
  <si>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</si>
  <si>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</si>
  <si>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</si>
  <si>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</si>
  <si>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</si>
  <si>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</si>
  <si>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</si>
  <si>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</si>
  <si>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</si>
  <si>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</si>
  <si>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</si>
  <si>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</si>
  <si>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</si>
  <si>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</si>
  <si>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</si>
  <si>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</si>
  <si>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</si>
  <si>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</si>
  <si>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</si>
  <si>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</si>
  <si>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</si>
  <si>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</si>
  <si>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</si>
  <si>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</si>
  <si>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</si>
  <si>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</si>
  <si>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</si>
  <si>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</si>
  <si>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</si>
  <si>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</si>
  <si>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</si>
  <si>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</si>
  <si>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</si>
  <si>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</si>
  <si>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</si>
  <si>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</si>
  <si>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</si>
  <si>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</si>
  <si>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</si>
  <si>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</si>
  <si>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</si>
  <si>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</si>
  <si>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</si>
  <si>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</si>
  <si>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</si>
  <si>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</si>
  <si>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</si>
  <si>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</si>
  <si>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</si>
  <si>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</si>
  <si>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</si>
  <si>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</si>
  <si>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</si>
  <si>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</si>
  <si>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</si>
  <si>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</si>
  <si>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</si>
  <si>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</si>
  <si>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</si>
  <si>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</si>
  <si>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</si>
  <si>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</si>
  <si>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</si>
  <si>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</si>
  <si>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</si>
  <si>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</si>
  <si>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</si>
  <si>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</si>
  <si>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</si>
  <si>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</si>
  <si>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</si>
  <si>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</si>
  <si>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</si>
  <si>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</si>
  <si>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</si>
  <si>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</si>
  <si>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</si>
  <si>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</si>
  <si>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</si>
  <si>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</si>
  <si>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</si>
  <si>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</si>
  <si>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</si>
  <si>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</si>
  <si>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</si>
  <si>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</si>
  <si>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</si>
  <si>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</si>
  <si>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</si>
  <si>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</si>
  <si>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</si>
  <si>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</si>
  <si>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</si>
  <si>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</si>
  <si>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</si>
  <si>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</si>
  <si>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</si>
  <si>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</si>
  <si>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</si>
  <si>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</si>
  <si>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</si>
  <si>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</si>
  <si>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</si>
  <si>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</si>
  <si>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</si>
  <si>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</si>
  <si>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</si>
  <si>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</si>
  <si>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</si>
  <si>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</si>
  <si>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</si>
  <si>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</si>
  <si>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</si>
  <si>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</si>
  <si>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</si>
  <si>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</si>
  <si>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</si>
  <si>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</si>
  <si>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</si>
  <si>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</si>
  <si>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</si>
  <si>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</si>
  <si>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りくと</t>
  </si>
  <si>
    <t>りくと</t>
    <phoneticPr fontId="1"/>
  </si>
  <si>
    <t>ただ</t>
  </si>
  <si>
    <t>ただ</t>
    <phoneticPr fontId="1"/>
  </si>
  <si>
    <t>放銃</t>
  </si>
  <si>
    <t>ロン</t>
  </si>
  <si>
    <t>01</t>
  </si>
  <si>
    <t>ツモ支払</t>
  </si>
  <si>
    <t>ツモ</t>
  </si>
  <si>
    <t>*</t>
  </si>
  <si>
    <t>02</t>
  </si>
  <si>
    <t>れんたろう</t>
  </si>
  <si>
    <t>れんたろう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</si>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</sst>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ただ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40</v>
      </c>
      <c r="BU4" s="47" t="s">
        <v>143</v>
      </c>
      <c r="BV4" s="48" t="s">
        <v>82</v>
      </c>
      <c r="BW4" s="48" t="s">
        <v>82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141</v>
      </c>
      <c r="G5" s="9">
        <v>-1000</v>
      </c>
      <c r="H5" s="9"/>
      <c r="I5" s="55">
        <v>0</v>
      </c>
      <c r="J5" s="21">
        <f t="shared" ref="J5:J30" si="6">IF(COUNTA($F5,$K5,$P5)&gt;0,J4+SUM(G5:I5),"")</f>
        <v>26000</v>
      </c>
      <c r="K5" s="8"/>
      <c r="L5" s="9"/>
      <c r="M5" s="9"/>
      <c r="N5" s="55"/>
      <c r="O5" s="21">
        <f t="shared" ref="O5:O30" si="7">IF(COUNTA($F5,$K5,$P5)&gt;0,O4+SUM(L5:N5),"")</f>
        <v>35000</v>
      </c>
      <c r="P5" s="8" t="s">
        <v>142</v>
      </c>
      <c r="Q5" s="9">
        <v>1000</v>
      </c>
      <c r="R5" s="9"/>
      <c r="S5" s="55">
        <v>0</v>
      </c>
      <c r="T5" s="21">
        <f t="shared" ref="T5:T30" si="8">IF(COUNTA($F5,$K5,$P5)&gt;0,T4+SUM(Q5:S5),"")</f>
        <v>44000</v>
      </c>
      <c r="U5" s="60">
        <f t="shared" si="0"/>
        <v>-9</v>
      </c>
      <c r="V5" s="61">
        <f t="shared" si="1"/>
        <v>0</v>
      </c>
      <c r="W5" s="62">
        <f t="shared" si="2"/>
        <v>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</v>
      </c>
      <c r="BT5" s="36">
        <v>30</v>
      </c>
      <c r="BU5" s="47" t="s">
        <v>87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144</v>
      </c>
      <c r="G6" s="9">
        <v>-6000</v>
      </c>
      <c r="H6" s="9"/>
      <c r="I6" s="55">
        <v>0</v>
      </c>
      <c r="J6" s="21">
        <f t="shared" si="6"/>
        <v>20000</v>
      </c>
      <c r="K6" s="8" t="s">
        <v>145</v>
      </c>
      <c r="L6" s="9">
        <v>16000</v>
      </c>
      <c r="M6" s="9"/>
      <c r="N6" s="55">
        <v>0</v>
      </c>
      <c r="O6" s="21">
        <f t="shared" si="7"/>
        <v>51000</v>
      </c>
      <c r="P6" s="8" t="s">
        <v>144</v>
      </c>
      <c r="Q6" s="9">
        <v>-10000</v>
      </c>
      <c r="R6" s="9"/>
      <c r="S6" s="55">
        <v>0</v>
      </c>
      <c r="T6" s="21">
        <f t="shared" si="8"/>
        <v>34000</v>
      </c>
      <c r="U6" s="60">
        <f t="shared" si="0"/>
        <v>-15</v>
      </c>
      <c r="V6" s="61">
        <f t="shared" si="1"/>
        <v>16</v>
      </c>
      <c r="W6" s="62">
        <f t="shared" si="2"/>
        <v>-1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8</v>
      </c>
      <c r="AY6" s="36" t="s">
        <v>146</v>
      </c>
      <c r="AZ6" s="47" t="s">
        <v>143</v>
      </c>
      <c r="BA6" s="48" t="s">
        <v>83</v>
      </c>
      <c r="BB6" s="48" t="s">
        <v>85</v>
      </c>
      <c r="BC6" s="48" t="s">
        <v>80</v>
      </c>
      <c r="BD6" s="48" t="s">
        <v>80</v>
      </c>
      <c r="BE6" s="48" t="s">
        <v>82</v>
      </c>
      <c r="BF6" s="48" t="s">
        <v>82</v>
      </c>
      <c r="BG6" s="48" t="s">
        <v>82</v>
      </c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9"/>
        <v>1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20000</v>
      </c>
      <c r="K7" s="8" t="s">
        <v>141</v>
      </c>
      <c r="L7" s="9">
        <v>-1000</v>
      </c>
      <c r="M7" s="9"/>
      <c r="N7" s="55">
        <v>0</v>
      </c>
      <c r="O7" s="21">
        <f t="shared" si="7"/>
        <v>50000</v>
      </c>
      <c r="P7" s="8" t="s">
        <v>142</v>
      </c>
      <c r="Q7" s="9">
        <v>1000</v>
      </c>
      <c r="R7" s="9"/>
      <c r="S7" s="55">
        <v>0</v>
      </c>
      <c r="T7" s="21">
        <f t="shared" si="8"/>
        <v>35000</v>
      </c>
      <c r="U7" s="60">
        <f t="shared" si="0"/>
        <v>-15</v>
      </c>
      <c r="V7" s="61">
        <f t="shared" si="1"/>
        <v>15</v>
      </c>
      <c r="W7" s="62">
        <f t="shared" si="2"/>
        <v>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1</v>
      </c>
      <c r="BT7" s="36">
        <v>30</v>
      </c>
      <c r="BU7" s="47" t="s">
        <v>87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2</v>
      </c>
      <c r="C8" s="18">
        <f t="shared" si="11"/>
        <v>0</v>
      </c>
      <c r="D8" s="18">
        <f t="shared" si="5"/>
        <v>0</v>
      </c>
      <c r="E8" s="4" t="s">
        <v>137</v>
      </c>
      <c r="F8" s="8"/>
      <c r="G8" s="9"/>
      <c r="H8" s="9">
        <v>-1000</v>
      </c>
      <c r="I8" s="55"/>
      <c r="J8" s="21">
        <f t="shared" si="6"/>
        <v>19000</v>
      </c>
      <c r="K8" s="8" t="s">
        <v>141</v>
      </c>
      <c r="L8" s="9">
        <v>-8000</v>
      </c>
      <c r="M8" s="9"/>
      <c r="N8" s="55">
        <v>0</v>
      </c>
      <c r="O8" s="21">
        <f t="shared" si="7"/>
        <v>42000</v>
      </c>
      <c r="P8" s="8" t="s">
        <v>142</v>
      </c>
      <c r="Q8" s="9">
        <v>8000</v>
      </c>
      <c r="R8" s="9">
        <v>1000</v>
      </c>
      <c r="S8" s="55">
        <v>0</v>
      </c>
      <c r="T8" s="21">
        <f t="shared" si="8"/>
        <v>44000</v>
      </c>
      <c r="U8" s="60">
        <f t="shared" si="0"/>
        <v>-16</v>
      </c>
      <c r="V8" s="61">
        <f t="shared" si="1"/>
        <v>7</v>
      </c>
      <c r="W8" s="62">
        <f t="shared" si="2"/>
        <v>9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146</v>
      </c>
      <c r="BU8" s="47" t="s">
        <v>143</v>
      </c>
      <c r="BV8" s="48" t="s">
        <v>80</v>
      </c>
      <c r="BW8" s="48" t="s">
        <v>80</v>
      </c>
      <c r="BX8" s="48" t="s">
        <v>82</v>
      </c>
      <c r="BY8" s="48" t="s">
        <v>82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3</v>
      </c>
      <c r="C9" s="18">
        <f t="shared" si="11"/>
        <v>0</v>
      </c>
      <c r="D9" s="18">
        <f t="shared" si="5"/>
        <v>0</v>
      </c>
      <c r="E9" s="4" t="s">
        <v>139</v>
      </c>
      <c r="F9" s="8" t="s">
        <v>145</v>
      </c>
      <c r="G9" s="9">
        <v>2800</v>
      </c>
      <c r="H9" s="9">
        <v>1000</v>
      </c>
      <c r="I9" s="55">
        <v>0</v>
      </c>
      <c r="J9" s="21">
        <f t="shared" si="6"/>
        <v>22800</v>
      </c>
      <c r="K9" s="8" t="s">
        <v>144</v>
      </c>
      <c r="L9" s="9">
        <v>-1100</v>
      </c>
      <c r="M9" s="9">
        <v>-1000</v>
      </c>
      <c r="N9" s="55">
        <v>0</v>
      </c>
      <c r="O9" s="21">
        <f t="shared" si="7"/>
        <v>39900</v>
      </c>
      <c r="P9" s="8" t="s">
        <v>144</v>
      </c>
      <c r="Q9" s="9">
        <v>-1700</v>
      </c>
      <c r="R9" s="9"/>
      <c r="S9" s="55">
        <v>0</v>
      </c>
      <c r="T9" s="21">
        <f t="shared" si="8"/>
        <v>42300</v>
      </c>
      <c r="U9" s="60">
        <f t="shared" si="0"/>
        <v>-12.2</v>
      </c>
      <c r="V9" s="61">
        <f t="shared" si="1"/>
        <v>4.9000000000000004</v>
      </c>
      <c r="W9" s="62">
        <f t="shared" si="2"/>
        <v>7.3</v>
      </c>
      <c r="Y9" s="8"/>
      <c r="Z9" s="41"/>
      <c r="AA9" s="32"/>
      <c r="AB9" s="32"/>
      <c r="AC9" s="32">
        <v>3</v>
      </c>
      <c r="AD9" s="36">
        <v>20</v>
      </c>
      <c r="AE9" s="47" t="s">
        <v>83</v>
      </c>
      <c r="AF9" s="48" t="s">
        <v>84</v>
      </c>
      <c r="AG9" s="48" t="s">
        <v>80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9"/>
        <v/>
      </c>
      <c r="C10" s="18" t="str">
        <f t="shared" si="11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43291-F107-4F79-BAE2-2A24D35F70CF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142</v>
      </c>
      <c r="L4" s="9">
        <v>12000</v>
      </c>
      <c r="M4" s="9">
        <v>1000</v>
      </c>
      <c r="N4" s="55">
        <v>0</v>
      </c>
      <c r="O4" s="21">
        <f>IF(COUNTA($F4,$K4,$P4)&gt;0,O3+SUM(L4:N4),"")</f>
        <v>48000</v>
      </c>
      <c r="P4" s="8" t="s">
        <v>141</v>
      </c>
      <c r="Q4" s="9">
        <v>-12000</v>
      </c>
      <c r="R4" s="9">
        <v>-1000</v>
      </c>
      <c r="S4" s="55">
        <v>0</v>
      </c>
      <c r="T4" s="21">
        <f>IF(COUNTA($F4,$K4,$P4)&gt;0,T3+SUM(Q4:S4),"")</f>
        <v>22000</v>
      </c>
      <c r="U4" s="60">
        <f t="shared" ref="U4:U30" si="0">IF($J4="","",ROUND(($J4-$J$3)/1000,1))</f>
        <v>0</v>
      </c>
      <c r="V4" s="61">
        <f t="shared" ref="V4:V30" si="1">IF($O4="","",ROUND(($O4-$O$3)/1000,1))</f>
        <v>13</v>
      </c>
      <c r="W4" s="62">
        <f t="shared" ref="W4:W30" si="2">IF($T4="","",ROUND(($T4-$T$3)/1000,1))</f>
        <v>-13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40</v>
      </c>
      <c r="AZ4" s="47" t="s">
        <v>143</v>
      </c>
      <c r="BA4" s="48" t="s">
        <v>147</v>
      </c>
      <c r="BB4" s="48" t="s">
        <v>87</v>
      </c>
      <c r="BC4" s="48" t="s">
        <v>87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145</v>
      </c>
      <c r="G5" s="9">
        <v>12000</v>
      </c>
      <c r="H5" s="9"/>
      <c r="I5" s="55">
        <v>1000</v>
      </c>
      <c r="J5" s="21">
        <f t="shared" ref="J5:J30" si="6">IF(COUNTA($F5,$K5,$P5)&gt;0,J4+SUM(G5:I5),"")</f>
        <v>48000</v>
      </c>
      <c r="K5" s="8" t="s">
        <v>144</v>
      </c>
      <c r="L5" s="9">
        <v>-7500</v>
      </c>
      <c r="M5" s="9"/>
      <c r="N5" s="55">
        <v>-500</v>
      </c>
      <c r="O5" s="21">
        <f t="shared" ref="O5:O30" si="7">IF(COUNTA($F5,$K5,$P5)&gt;0,O4+SUM(L5:N5),"")</f>
        <v>40000</v>
      </c>
      <c r="P5" s="8" t="s">
        <v>144</v>
      </c>
      <c r="Q5" s="9">
        <v>-4500</v>
      </c>
      <c r="R5" s="9"/>
      <c r="S5" s="55">
        <v>-500</v>
      </c>
      <c r="T5" s="21">
        <f t="shared" ref="T5:T30" si="8">IF(COUNTA($F5,$K5,$P5)&gt;0,T4+SUM(Q5:S5),"")</f>
        <v>17000</v>
      </c>
      <c r="U5" s="60">
        <f t="shared" si="0"/>
        <v>13</v>
      </c>
      <c r="V5" s="61">
        <f t="shared" si="1"/>
        <v>5</v>
      </c>
      <c r="W5" s="62">
        <f t="shared" si="2"/>
        <v>-18</v>
      </c>
      <c r="Y5" s="8"/>
      <c r="Z5" s="41"/>
      <c r="AA5" s="32">
        <v>1</v>
      </c>
      <c r="AB5" s="32"/>
      <c r="AC5" s="32">
        <v>7</v>
      </c>
      <c r="AD5" s="36" t="s">
        <v>146</v>
      </c>
      <c r="AE5" s="47" t="s">
        <v>143</v>
      </c>
      <c r="AF5" s="48" t="s">
        <v>83</v>
      </c>
      <c r="AG5" s="48" t="s">
        <v>105</v>
      </c>
      <c r="AH5" s="48" t="s">
        <v>82</v>
      </c>
      <c r="AI5" s="48" t="s">
        <v>87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139</v>
      </c>
      <c r="F6" s="8" t="s">
        <v>144</v>
      </c>
      <c r="G6" s="9">
        <v>-6000</v>
      </c>
      <c r="H6" s="9">
        <v>-1000</v>
      </c>
      <c r="I6" s="55">
        <v>0</v>
      </c>
      <c r="J6" s="21">
        <f t="shared" si="6"/>
        <v>41000</v>
      </c>
      <c r="K6" s="8" t="s">
        <v>145</v>
      </c>
      <c r="L6" s="9">
        <v>16000</v>
      </c>
      <c r="M6" s="9">
        <v>1000</v>
      </c>
      <c r="N6" s="55">
        <v>0</v>
      </c>
      <c r="O6" s="21">
        <f t="shared" si="7"/>
        <v>57000</v>
      </c>
      <c r="P6" s="8" t="s">
        <v>144</v>
      </c>
      <c r="Q6" s="9">
        <v>-10000</v>
      </c>
      <c r="R6" s="9"/>
      <c r="S6" s="55">
        <v>0</v>
      </c>
      <c r="T6" s="21">
        <f t="shared" si="8"/>
        <v>7000</v>
      </c>
      <c r="U6" s="60">
        <f t="shared" si="0"/>
        <v>6</v>
      </c>
      <c r="V6" s="61">
        <f t="shared" si="1"/>
        <v>22</v>
      </c>
      <c r="W6" s="62">
        <f t="shared" si="2"/>
        <v>-28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9</v>
      </c>
      <c r="AY6" s="36" t="s">
        <v>146</v>
      </c>
      <c r="AZ6" s="47" t="s">
        <v>105</v>
      </c>
      <c r="BA6" s="48" t="s">
        <v>87</v>
      </c>
      <c r="BB6" s="48" t="s">
        <v>87</v>
      </c>
      <c r="BC6" s="48" t="s">
        <v>99</v>
      </c>
      <c r="BD6" s="48" t="s">
        <v>80</v>
      </c>
      <c r="BE6" s="48" t="s">
        <v>80</v>
      </c>
      <c r="BF6" s="48" t="s">
        <v>80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144</v>
      </c>
      <c r="G7" s="9">
        <v>-7500</v>
      </c>
      <c r="H7" s="9"/>
      <c r="I7" s="55">
        <v>0</v>
      </c>
      <c r="J7" s="21">
        <f t="shared" si="6"/>
        <v>33500</v>
      </c>
      <c r="K7" s="8" t="s">
        <v>144</v>
      </c>
      <c r="L7" s="9">
        <v>-4500</v>
      </c>
      <c r="M7" s="9"/>
      <c r="N7" s="55">
        <v>0</v>
      </c>
      <c r="O7" s="21">
        <f t="shared" si="7"/>
        <v>52500</v>
      </c>
      <c r="P7" s="8" t="s">
        <v>145</v>
      </c>
      <c r="Q7" s="9">
        <v>12000</v>
      </c>
      <c r="R7" s="9"/>
      <c r="S7" s="55">
        <v>0</v>
      </c>
      <c r="T7" s="21">
        <f t="shared" si="8"/>
        <v>19000</v>
      </c>
      <c r="U7" s="60">
        <f t="shared" si="0"/>
        <v>-1.5</v>
      </c>
      <c r="V7" s="61">
        <f t="shared" si="1"/>
        <v>17.5</v>
      </c>
      <c r="W7" s="62">
        <f t="shared" si="2"/>
        <v>-16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146</v>
      </c>
      <c r="BU7" s="47" t="s">
        <v>105</v>
      </c>
      <c r="BV7" s="48" t="s">
        <v>87</v>
      </c>
      <c r="BW7" s="48" t="s">
        <v>87</v>
      </c>
      <c r="BX7" s="48" t="s">
        <v>80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137</v>
      </c>
      <c r="F8" s="8"/>
      <c r="G8" s="9"/>
      <c r="H8" s="9"/>
      <c r="I8" s="55"/>
      <c r="J8" s="21">
        <f t="shared" si="6"/>
        <v>33500</v>
      </c>
      <c r="K8" s="8" t="s">
        <v>141</v>
      </c>
      <c r="L8" s="9">
        <v>-8000</v>
      </c>
      <c r="M8" s="9"/>
      <c r="N8" s="55">
        <v>0</v>
      </c>
      <c r="O8" s="21">
        <f t="shared" si="7"/>
        <v>44500</v>
      </c>
      <c r="P8" s="8" t="s">
        <v>142</v>
      </c>
      <c r="Q8" s="9">
        <v>8000</v>
      </c>
      <c r="R8" s="9"/>
      <c r="S8" s="55">
        <v>0</v>
      </c>
      <c r="T8" s="21">
        <f t="shared" si="8"/>
        <v>27000</v>
      </c>
      <c r="U8" s="60">
        <f t="shared" si="0"/>
        <v>-1.5</v>
      </c>
      <c r="V8" s="61">
        <f t="shared" si="1"/>
        <v>9.5</v>
      </c>
      <c r="W8" s="62">
        <f t="shared" si="2"/>
        <v>-8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143</v>
      </c>
      <c r="BV8" s="48" t="s">
        <v>147</v>
      </c>
      <c r="BW8" s="48" t="s">
        <v>82</v>
      </c>
      <c r="BX8" s="48" t="s">
        <v>82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139</v>
      </c>
      <c r="F9" s="8"/>
      <c r="G9" s="9"/>
      <c r="H9" s="9">
        <v>-1000</v>
      </c>
      <c r="I9" s="55"/>
      <c r="J9" s="21">
        <f t="shared" si="6"/>
        <v>32500</v>
      </c>
      <c r="K9" s="8" t="s">
        <v>142</v>
      </c>
      <c r="L9" s="9">
        <v>2600</v>
      </c>
      <c r="M9" s="9">
        <v>1000</v>
      </c>
      <c r="N9" s="55">
        <v>0</v>
      </c>
      <c r="O9" s="21">
        <f t="shared" si="7"/>
        <v>48100</v>
      </c>
      <c r="P9" s="8" t="s">
        <v>141</v>
      </c>
      <c r="Q9" s="9">
        <v>-2600</v>
      </c>
      <c r="R9" s="9"/>
      <c r="S9" s="55">
        <v>0</v>
      </c>
      <c r="T9" s="21">
        <f t="shared" si="8"/>
        <v>24400</v>
      </c>
      <c r="U9" s="60">
        <f t="shared" si="0"/>
        <v>-2.5</v>
      </c>
      <c r="V9" s="61">
        <f t="shared" si="1"/>
        <v>13.1</v>
      </c>
      <c r="W9" s="62">
        <f t="shared" si="2"/>
        <v>-10.6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2</v>
      </c>
      <c r="AY9" s="36">
        <v>40</v>
      </c>
      <c r="AZ9" s="47" t="s">
        <v>143</v>
      </c>
      <c r="BA9" s="48" t="s">
        <v>147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145</v>
      </c>
      <c r="G10" s="9">
        <v>6000</v>
      </c>
      <c r="H10" s="9"/>
      <c r="I10" s="55">
        <v>0</v>
      </c>
      <c r="J10" s="21">
        <f t="shared" si="6"/>
        <v>38500</v>
      </c>
      <c r="K10" s="8" t="s">
        <v>144</v>
      </c>
      <c r="L10" s="9">
        <v>-3000</v>
      </c>
      <c r="M10" s="9"/>
      <c r="N10" s="55">
        <v>0</v>
      </c>
      <c r="O10" s="21">
        <f t="shared" si="7"/>
        <v>45100</v>
      </c>
      <c r="P10" s="8" t="s">
        <v>144</v>
      </c>
      <c r="Q10" s="9">
        <v>-3000</v>
      </c>
      <c r="R10" s="9"/>
      <c r="S10" s="55">
        <v>0</v>
      </c>
      <c r="T10" s="21">
        <f t="shared" si="8"/>
        <v>21400</v>
      </c>
      <c r="U10" s="60">
        <f t="shared" si="0"/>
        <v>3.5</v>
      </c>
      <c r="V10" s="61">
        <f t="shared" si="1"/>
        <v>10.1</v>
      </c>
      <c r="W10" s="62">
        <f t="shared" si="2"/>
        <v>-13.6</v>
      </c>
      <c r="Y10" s="8"/>
      <c r="Z10" s="41"/>
      <c r="AA10" s="32"/>
      <c r="AB10" s="32">
        <v>1</v>
      </c>
      <c r="AC10" s="32">
        <v>3</v>
      </c>
      <c r="AD10" s="36">
        <v>30</v>
      </c>
      <c r="AE10" s="47" t="s">
        <v>90</v>
      </c>
      <c r="AF10" s="48" t="s">
        <v>82</v>
      </c>
      <c r="AG10" s="48" t="s">
        <v>87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144</v>
      </c>
      <c r="G11" s="9">
        <v>-5000</v>
      </c>
      <c r="H11" s="9"/>
      <c r="I11" s="55">
        <v>-500</v>
      </c>
      <c r="J11" s="21">
        <f t="shared" si="6"/>
        <v>33000</v>
      </c>
      <c r="K11" s="8" t="s">
        <v>144</v>
      </c>
      <c r="L11" s="9">
        <v>-3000</v>
      </c>
      <c r="M11" s="9"/>
      <c r="N11" s="55">
        <v>-500</v>
      </c>
      <c r="O11" s="21">
        <f t="shared" si="7"/>
        <v>41600</v>
      </c>
      <c r="P11" s="8" t="s">
        <v>145</v>
      </c>
      <c r="Q11" s="9">
        <v>8000</v>
      </c>
      <c r="R11" s="9"/>
      <c r="S11" s="55">
        <v>1000</v>
      </c>
      <c r="T11" s="21">
        <f t="shared" si="8"/>
        <v>30400</v>
      </c>
      <c r="U11" s="60">
        <f t="shared" si="0"/>
        <v>-2</v>
      </c>
      <c r="V11" s="61">
        <f t="shared" si="1"/>
        <v>6.6</v>
      </c>
      <c r="W11" s="62">
        <f t="shared" si="2"/>
        <v>-4.5999999999999996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143</v>
      </c>
      <c r="BV11" s="48" t="s">
        <v>83</v>
      </c>
      <c r="BW11" s="48" t="s">
        <v>147</v>
      </c>
      <c r="BX11" s="48" t="s">
        <v>82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F6F23ABC-2414-42EC-A5DC-5182C4DF003D}">
      <formula1>$U$2:$W$2</formula1>
    </dataValidation>
    <dataValidation type="list" showInputMessage="1" showErrorMessage="1" sqref="K4:K30 P4:P30 F4:F30" xr:uid="{430AE940-5C19-490B-949E-BADCACB3CDB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2F71A-39A0-4845-89F8-B6AACA892892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144</v>
      </c>
      <c r="G4" s="9">
        <v>-3000</v>
      </c>
      <c r="H4" s="9">
        <v>-1000</v>
      </c>
      <c r="I4" s="55">
        <v>0</v>
      </c>
      <c r="J4" s="21">
        <f>IF(COUNTA($F4,$K4,$P4)&gt;0,J3+SUM(G4:I4),"")</f>
        <v>31000</v>
      </c>
      <c r="K4" s="8" t="s">
        <v>145</v>
      </c>
      <c r="L4" s="9">
        <v>6000</v>
      </c>
      <c r="M4" s="9">
        <v>1000</v>
      </c>
      <c r="N4" s="55">
        <v>0</v>
      </c>
      <c r="O4" s="21">
        <f>IF(COUNTA($F4,$K4,$P4)&gt;0,O3+SUM(L4:N4),"")</f>
        <v>42000</v>
      </c>
      <c r="P4" s="8" t="s">
        <v>144</v>
      </c>
      <c r="Q4" s="9">
        <v>-3000</v>
      </c>
      <c r="R4" s="9"/>
      <c r="S4" s="55">
        <v>0</v>
      </c>
      <c r="T4" s="21">
        <f>IF(COUNTA($F4,$K4,$P4)&gt;0,T3+SUM(Q4:S4),"")</f>
        <v>32000</v>
      </c>
      <c r="U4" s="60">
        <f t="shared" ref="U4:U30" si="0">IF($J4="","",ROUND(($J4-$J$3)/1000,1))</f>
        <v>-4</v>
      </c>
      <c r="V4" s="61">
        <f t="shared" ref="V4:V30" si="1">IF($O4="","",ROUND(($O4-$O$3)/1000,1))</f>
        <v>7</v>
      </c>
      <c r="W4" s="62">
        <f t="shared" ref="W4:W30" si="2">IF($T4="","",ROUND(($T4-$T$3)/1000,1))</f>
        <v>-3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30</v>
      </c>
      <c r="AZ4" s="47" t="s">
        <v>143</v>
      </c>
      <c r="BA4" s="48" t="s">
        <v>83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137</v>
      </c>
      <c r="F5" s="8" t="s">
        <v>144</v>
      </c>
      <c r="G5" s="9">
        <v>-3900</v>
      </c>
      <c r="H5" s="9"/>
      <c r="I5" s="55">
        <v>-500</v>
      </c>
      <c r="J5" s="21">
        <f t="shared" ref="J5:J30" si="6">IF(COUNTA($F5,$K5,$P5)&gt;0,J4+SUM(G5:I5),"")</f>
        <v>26600</v>
      </c>
      <c r="K5" s="8" t="s">
        <v>145</v>
      </c>
      <c r="L5" s="9">
        <v>7800</v>
      </c>
      <c r="M5" s="9"/>
      <c r="N5" s="55">
        <v>1000</v>
      </c>
      <c r="O5" s="21">
        <f t="shared" ref="O5:O30" si="7">IF(COUNTA($F5,$K5,$P5)&gt;0,O4+SUM(L5:N5),"")</f>
        <v>50800</v>
      </c>
      <c r="P5" s="8" t="s">
        <v>144</v>
      </c>
      <c r="Q5" s="9">
        <v>-3900</v>
      </c>
      <c r="R5" s="9"/>
      <c r="S5" s="55">
        <v>-500</v>
      </c>
      <c r="T5" s="21">
        <f t="shared" ref="T5:T30" si="8">IF(COUNTA($F5,$K5,$P5)&gt;0,T4+SUM(Q5:S5),"")</f>
        <v>27600</v>
      </c>
      <c r="U5" s="60">
        <f t="shared" si="0"/>
        <v>-8.4</v>
      </c>
      <c r="V5" s="61">
        <f t="shared" si="1"/>
        <v>15.8</v>
      </c>
      <c r="W5" s="62">
        <f t="shared" si="2"/>
        <v>-7.4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20</v>
      </c>
      <c r="AZ5" s="47" t="s">
        <v>143</v>
      </c>
      <c r="BA5" s="48" t="s">
        <v>83</v>
      </c>
      <c r="BB5" s="48" t="s">
        <v>84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1</v>
      </c>
      <c r="C6" s="18">
        <f t="shared" si="4"/>
        <v>2</v>
      </c>
      <c r="D6" s="18">
        <f t="shared" si="5"/>
        <v>0</v>
      </c>
      <c r="E6" s="4" t="s">
        <v>137</v>
      </c>
      <c r="F6" s="8"/>
      <c r="G6" s="9"/>
      <c r="H6" s="9"/>
      <c r="I6" s="55"/>
      <c r="J6" s="21">
        <f t="shared" si="6"/>
        <v>26600</v>
      </c>
      <c r="K6" s="8" t="s">
        <v>141</v>
      </c>
      <c r="L6" s="9">
        <v>-8000</v>
      </c>
      <c r="M6" s="9"/>
      <c r="N6" s="55">
        <v>-2000</v>
      </c>
      <c r="O6" s="21">
        <f t="shared" si="7"/>
        <v>40800</v>
      </c>
      <c r="P6" s="8" t="s">
        <v>142</v>
      </c>
      <c r="Q6" s="9">
        <v>8000</v>
      </c>
      <c r="R6" s="9"/>
      <c r="S6" s="55">
        <v>2000</v>
      </c>
      <c r="T6" s="21">
        <f t="shared" si="8"/>
        <v>37600</v>
      </c>
      <c r="U6" s="60">
        <f t="shared" si="0"/>
        <v>-8.4</v>
      </c>
      <c r="V6" s="61">
        <f t="shared" si="1"/>
        <v>5.8</v>
      </c>
      <c r="W6" s="62">
        <f t="shared" si="2"/>
        <v>2.6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30</v>
      </c>
      <c r="BU6" s="47" t="s">
        <v>143</v>
      </c>
      <c r="BV6" s="48" t="s">
        <v>147</v>
      </c>
      <c r="BW6" s="48" t="s">
        <v>84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0</v>
      </c>
      <c r="D7" s="18">
        <f t="shared" si="5"/>
        <v>0</v>
      </c>
      <c r="E7" s="4" t="s">
        <v>148</v>
      </c>
      <c r="F7" s="8" t="s">
        <v>141</v>
      </c>
      <c r="G7" s="9">
        <v>-3900</v>
      </c>
      <c r="H7" s="9"/>
      <c r="I7" s="55">
        <v>0</v>
      </c>
      <c r="J7" s="21">
        <f t="shared" si="6"/>
        <v>22700</v>
      </c>
      <c r="K7" s="8"/>
      <c r="L7" s="9"/>
      <c r="M7" s="9"/>
      <c r="N7" s="55"/>
      <c r="O7" s="21">
        <f t="shared" si="7"/>
        <v>40800</v>
      </c>
      <c r="P7" s="8" t="s">
        <v>142</v>
      </c>
      <c r="Q7" s="9">
        <v>3900</v>
      </c>
      <c r="R7" s="9"/>
      <c r="S7" s="55">
        <v>0</v>
      </c>
      <c r="T7" s="21">
        <f t="shared" si="8"/>
        <v>41500</v>
      </c>
      <c r="U7" s="60">
        <f t="shared" si="0"/>
        <v>-12.3</v>
      </c>
      <c r="V7" s="61">
        <f t="shared" si="1"/>
        <v>5.8</v>
      </c>
      <c r="W7" s="62">
        <f t="shared" si="2"/>
        <v>6.5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2</v>
      </c>
      <c r="BT7" s="36">
        <v>40</v>
      </c>
      <c r="BU7" s="47" t="s">
        <v>143</v>
      </c>
      <c r="BV7" s="48" t="s">
        <v>82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1</v>
      </c>
      <c r="D8" s="18">
        <f t="shared" si="5"/>
        <v>0</v>
      </c>
      <c r="E8" s="4" t="s">
        <v>148</v>
      </c>
      <c r="F8" s="8" t="s">
        <v>152</v>
      </c>
      <c r="G8" s="9">
        <v>-1500</v>
      </c>
      <c r="H8" s="9"/>
      <c r="I8" s="55"/>
      <c r="J8" s="21">
        <f t="shared" si="6"/>
        <v>21200</v>
      </c>
      <c r="K8" s="8" t="s">
        <v>152</v>
      </c>
      <c r="L8" s="9">
        <v>-1500</v>
      </c>
      <c r="M8" s="9"/>
      <c r="N8" s="55"/>
      <c r="O8" s="21">
        <f t="shared" si="7"/>
        <v>39300</v>
      </c>
      <c r="P8" s="8" t="s">
        <v>152</v>
      </c>
      <c r="Q8" s="9">
        <v>3000</v>
      </c>
      <c r="R8" s="9">
        <v>-1000</v>
      </c>
      <c r="S8" s="55"/>
      <c r="T8" s="21">
        <f t="shared" si="8"/>
        <v>43500</v>
      </c>
      <c r="U8" s="60">
        <f t="shared" si="0"/>
        <v>-13.8</v>
      </c>
      <c r="V8" s="61">
        <f t="shared" si="1"/>
        <v>4.3</v>
      </c>
      <c r="W8" s="62">
        <f t="shared" si="2"/>
        <v>8.5</v>
      </c>
      <c r="Y8" s="8" t="s">
        <v>150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150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151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2</v>
      </c>
      <c r="D9" s="18">
        <f t="shared" si="5"/>
        <v>1</v>
      </c>
      <c r="E9" s="4" t="s">
        <v>148</v>
      </c>
      <c r="F9" s="8" t="s">
        <v>141</v>
      </c>
      <c r="G9" s="9">
        <v>-7700</v>
      </c>
      <c r="H9" s="9"/>
      <c r="I9" s="55">
        <v>-2000</v>
      </c>
      <c r="J9" s="21">
        <f t="shared" si="6"/>
        <v>11500</v>
      </c>
      <c r="K9" s="8"/>
      <c r="L9" s="9"/>
      <c r="M9" s="9"/>
      <c r="N9" s="55"/>
      <c r="O9" s="21">
        <f t="shared" si="7"/>
        <v>39300</v>
      </c>
      <c r="P9" s="8" t="s">
        <v>142</v>
      </c>
      <c r="Q9" s="9">
        <v>7700</v>
      </c>
      <c r="R9" s="9">
        <v>1000</v>
      </c>
      <c r="S9" s="55">
        <v>2000</v>
      </c>
      <c r="T9" s="21">
        <f t="shared" si="8"/>
        <v>54200</v>
      </c>
      <c r="U9" s="60">
        <f t="shared" si="0"/>
        <v>-23.5</v>
      </c>
      <c r="V9" s="61">
        <f t="shared" si="1"/>
        <v>4.3</v>
      </c>
      <c r="W9" s="62">
        <f t="shared" si="2"/>
        <v>19.2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3</v>
      </c>
      <c r="BT9" s="36">
        <v>40</v>
      </c>
      <c r="BU9" s="47" t="s">
        <v>143</v>
      </c>
      <c r="BV9" s="48" t="s">
        <v>82</v>
      </c>
      <c r="BW9" s="48" t="s">
        <v>82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2</v>
      </c>
      <c r="C10" s="18">
        <f t="shared" si="4"/>
        <v>3</v>
      </c>
      <c r="D10" s="18">
        <f t="shared" si="5"/>
        <v>0</v>
      </c>
      <c r="E10" s="4" t="s">
        <v>148</v>
      </c>
      <c r="F10" s="8" t="s">
        <v>142</v>
      </c>
      <c r="G10" s="9">
        <v>6400</v>
      </c>
      <c r="H10" s="9"/>
      <c r="I10" s="55">
        <v>3000</v>
      </c>
      <c r="J10" s="21">
        <f t="shared" si="6"/>
        <v>20900</v>
      </c>
      <c r="K10" s="8"/>
      <c r="L10" s="9"/>
      <c r="M10" s="9"/>
      <c r="N10" s="55"/>
      <c r="O10" s="21">
        <f t="shared" si="7"/>
        <v>39300</v>
      </c>
      <c r="P10" s="8" t="s">
        <v>141</v>
      </c>
      <c r="Q10" s="9">
        <v>-6400</v>
      </c>
      <c r="R10" s="9"/>
      <c r="S10" s="55">
        <v>-3000</v>
      </c>
      <c r="T10" s="21">
        <f t="shared" si="8"/>
        <v>44800</v>
      </c>
      <c r="U10" s="60">
        <f t="shared" si="0"/>
        <v>-14.1</v>
      </c>
      <c r="V10" s="61">
        <f t="shared" si="1"/>
        <v>4.3</v>
      </c>
      <c r="W10" s="62">
        <f t="shared" si="2"/>
        <v>9.8000000000000007</v>
      </c>
      <c r="Y10" s="8"/>
      <c r="Z10" s="41"/>
      <c r="AA10" s="32"/>
      <c r="AB10" s="32"/>
      <c r="AC10" s="32">
        <v>4</v>
      </c>
      <c r="AD10" s="36">
        <v>25</v>
      </c>
      <c r="AE10" s="47" t="s">
        <v>102</v>
      </c>
      <c r="AF10" s="48" t="s">
        <v>82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144</v>
      </c>
      <c r="G11" s="9">
        <v>-7500</v>
      </c>
      <c r="H11" s="9"/>
      <c r="I11" s="55">
        <v>0</v>
      </c>
      <c r="J11" s="21">
        <f t="shared" si="6"/>
        <v>13400</v>
      </c>
      <c r="K11" s="8" t="s">
        <v>144</v>
      </c>
      <c r="L11" s="9">
        <v>-4500</v>
      </c>
      <c r="M11" s="9"/>
      <c r="N11" s="55">
        <v>0</v>
      </c>
      <c r="O11" s="21">
        <f t="shared" si="7"/>
        <v>34800</v>
      </c>
      <c r="P11" s="8" t="s">
        <v>145</v>
      </c>
      <c r="Q11" s="9">
        <v>12000</v>
      </c>
      <c r="R11" s="9"/>
      <c r="S11" s="55">
        <v>0</v>
      </c>
      <c r="T11" s="21">
        <f t="shared" si="8"/>
        <v>56800</v>
      </c>
      <c r="U11" s="60">
        <f t="shared" si="0"/>
        <v>-21.6</v>
      </c>
      <c r="V11" s="61">
        <f t="shared" si="1"/>
        <v>-0.2</v>
      </c>
      <c r="W11" s="62">
        <f t="shared" si="2"/>
        <v>21.8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6</v>
      </c>
      <c r="BT11" s="36" t="s">
        <v>146</v>
      </c>
      <c r="BU11" s="47" t="s">
        <v>87</v>
      </c>
      <c r="BV11" s="48" t="s">
        <v>80</v>
      </c>
      <c r="BW11" s="48" t="s">
        <v>80</v>
      </c>
      <c r="BX11" s="48" t="s">
        <v>80</v>
      </c>
      <c r="BY11" s="48" t="s">
        <v>143</v>
      </c>
      <c r="BZ11" s="48" t="s">
        <v>83</v>
      </c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1</v>
      </c>
      <c r="C12" s="18">
        <f t="shared" si="4"/>
        <v>0</v>
      </c>
      <c r="D12" s="18">
        <f t="shared" si="5"/>
        <v>0</v>
      </c>
      <c r="E12" s="4" t="s">
        <v>137</v>
      </c>
      <c r="F12" s="8"/>
      <c r="G12" s="9"/>
      <c r="H12" s="9"/>
      <c r="I12" s="55"/>
      <c r="J12" s="21">
        <f t="shared" si="6"/>
        <v>13400</v>
      </c>
      <c r="K12" s="8" t="s">
        <v>141</v>
      </c>
      <c r="L12" s="9">
        <v>-8000</v>
      </c>
      <c r="M12" s="9"/>
      <c r="N12" s="55">
        <v>0</v>
      </c>
      <c r="O12" s="21">
        <f t="shared" si="7"/>
        <v>26800</v>
      </c>
      <c r="P12" s="8" t="s">
        <v>142</v>
      </c>
      <c r="Q12" s="9">
        <v>8000</v>
      </c>
      <c r="R12" s="9"/>
      <c r="S12" s="55">
        <v>0</v>
      </c>
      <c r="T12" s="21">
        <f t="shared" si="8"/>
        <v>64800</v>
      </c>
      <c r="U12" s="60">
        <f t="shared" si="0"/>
        <v>-21.6</v>
      </c>
      <c r="V12" s="61">
        <f t="shared" si="1"/>
        <v>-8.1999999999999993</v>
      </c>
      <c r="W12" s="62">
        <f t="shared" si="2"/>
        <v>29.8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40</v>
      </c>
      <c r="BU12" s="47" t="s">
        <v>143</v>
      </c>
      <c r="BV12" s="48" t="s">
        <v>80</v>
      </c>
      <c r="BW12" s="48" t="s">
        <v>80</v>
      </c>
      <c r="BX12" s="48" t="s">
        <v>82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0</v>
      </c>
      <c r="D13" s="18">
        <f t="shared" si="5"/>
        <v>0</v>
      </c>
      <c r="E13" s="4" t="s">
        <v>148</v>
      </c>
      <c r="F13" s="8" t="s">
        <v>144</v>
      </c>
      <c r="G13" s="9">
        <v>-9000</v>
      </c>
      <c r="H13" s="9"/>
      <c r="I13" s="55">
        <v>0</v>
      </c>
      <c r="J13" s="21">
        <f t="shared" si="6"/>
        <v>4400</v>
      </c>
      <c r="K13" s="8" t="s">
        <v>144</v>
      </c>
      <c r="L13" s="9">
        <v>-9000</v>
      </c>
      <c r="M13" s="9"/>
      <c r="N13" s="55">
        <v>0</v>
      </c>
      <c r="O13" s="21">
        <f t="shared" si="7"/>
        <v>17800</v>
      </c>
      <c r="P13" s="8" t="s">
        <v>145</v>
      </c>
      <c r="Q13" s="9">
        <v>18000</v>
      </c>
      <c r="R13" s="9"/>
      <c r="S13" s="55">
        <v>0</v>
      </c>
      <c r="T13" s="21">
        <f t="shared" si="8"/>
        <v>82800</v>
      </c>
      <c r="U13" s="60">
        <f t="shared" si="0"/>
        <v>-30.6</v>
      </c>
      <c r="V13" s="61">
        <f t="shared" si="1"/>
        <v>-17.2</v>
      </c>
      <c r="W13" s="62">
        <f t="shared" si="2"/>
        <v>47.8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6</v>
      </c>
      <c r="BT13" s="36" t="s">
        <v>146</v>
      </c>
      <c r="BU13" s="47" t="s">
        <v>143</v>
      </c>
      <c r="BV13" s="48" t="s">
        <v>83</v>
      </c>
      <c r="BW13" s="48" t="s">
        <v>87</v>
      </c>
      <c r="BX13" s="48" t="s">
        <v>81</v>
      </c>
      <c r="BY13" s="48" t="s">
        <v>81</v>
      </c>
      <c r="BZ13" s="48" t="s">
        <v>81</v>
      </c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2</v>
      </c>
      <c r="C14" s="18">
        <f t="shared" si="4"/>
        <v>1</v>
      </c>
      <c r="D14" s="18">
        <f t="shared" si="5"/>
        <v>0</v>
      </c>
      <c r="E14" s="4" t="s">
        <v>148</v>
      </c>
      <c r="F14" s="8"/>
      <c r="G14" s="9"/>
      <c r="H14" s="9"/>
      <c r="I14" s="55"/>
      <c r="J14" s="21">
        <f t="shared" si="6"/>
        <v>4400</v>
      </c>
      <c r="K14" s="8" t="s">
        <v>141</v>
      </c>
      <c r="L14" s="9">
        <v>-7700</v>
      </c>
      <c r="M14" s="9"/>
      <c r="N14" s="55">
        <v>-1000</v>
      </c>
      <c r="O14" s="21">
        <f t="shared" si="7"/>
        <v>9100</v>
      </c>
      <c r="P14" s="8" t="s">
        <v>142</v>
      </c>
      <c r="Q14" s="9">
        <v>7700</v>
      </c>
      <c r="R14" s="9"/>
      <c r="S14" s="55">
        <v>1000</v>
      </c>
      <c r="T14" s="21">
        <f t="shared" si="8"/>
        <v>91500</v>
      </c>
      <c r="U14" s="60">
        <f t="shared" si="0"/>
        <v>-30.6</v>
      </c>
      <c r="V14" s="61">
        <f t="shared" si="1"/>
        <v>-25.9</v>
      </c>
      <c r="W14" s="62">
        <f t="shared" si="2"/>
        <v>56.5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3</v>
      </c>
      <c r="BT14" s="36">
        <v>40</v>
      </c>
      <c r="BU14" s="47" t="s">
        <v>143</v>
      </c>
      <c r="BV14" s="48" t="s">
        <v>82</v>
      </c>
      <c r="BW14" s="48" t="s">
        <v>85</v>
      </c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>南</v>
      </c>
      <c r="B15" s="18">
        <f t="shared" si="9"/>
        <v>2</v>
      </c>
      <c r="C15" s="18">
        <f t="shared" si="4"/>
        <v>2</v>
      </c>
      <c r="D15" s="18">
        <f t="shared" si="5"/>
        <v>0</v>
      </c>
      <c r="E15" s="4" t="s">
        <v>148</v>
      </c>
      <c r="F15" s="8" t="s">
        <v>144</v>
      </c>
      <c r="G15" s="9">
        <v>-9000</v>
      </c>
      <c r="H15" s="9"/>
      <c r="I15" s="55">
        <v>-1000</v>
      </c>
      <c r="J15" s="21">
        <f t="shared" si="6"/>
        <v>-5600</v>
      </c>
      <c r="K15" s="8" t="s">
        <v>144</v>
      </c>
      <c r="L15" s="9">
        <v>-9000</v>
      </c>
      <c r="M15" s="9"/>
      <c r="N15" s="55">
        <v>-1000</v>
      </c>
      <c r="O15" s="21">
        <f t="shared" si="7"/>
        <v>-900</v>
      </c>
      <c r="P15" s="8" t="s">
        <v>145</v>
      </c>
      <c r="Q15" s="9">
        <v>18000</v>
      </c>
      <c r="R15" s="9"/>
      <c r="S15" s="55">
        <v>2000</v>
      </c>
      <c r="T15" s="21">
        <f t="shared" si="8"/>
        <v>111500</v>
      </c>
      <c r="U15" s="60">
        <f t="shared" si="0"/>
        <v>-40.6</v>
      </c>
      <c r="V15" s="61">
        <f t="shared" si="1"/>
        <v>-35.9</v>
      </c>
      <c r="W15" s="62">
        <f t="shared" si="2"/>
        <v>76.5</v>
      </c>
      <c r="Y15" s="8"/>
      <c r="Z15" s="41"/>
      <c r="AA15" s="32"/>
      <c r="AB15" s="32">
        <v>1</v>
      </c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>
        <v>1</v>
      </c>
      <c r="BR15" s="32"/>
      <c r="BS15" s="32">
        <v>6</v>
      </c>
      <c r="BT15" s="36" t="s">
        <v>146</v>
      </c>
      <c r="BU15" s="47" t="s">
        <v>143</v>
      </c>
      <c r="BV15" s="48" t="s">
        <v>83</v>
      </c>
      <c r="BW15" s="48" t="s">
        <v>85</v>
      </c>
      <c r="BX15" s="48" t="s">
        <v>86</v>
      </c>
      <c r="BY15" s="48" t="s">
        <v>82</v>
      </c>
      <c r="BZ15" s="48" t="s">
        <v>80</v>
      </c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FE462462-723C-410C-88DC-90F37EA9ECA2}">
      <formula1>"ロン,ツモ,放銃,ツモ支払,流局,チョンボ"</formula1>
    </dataValidation>
    <dataValidation type="list" allowBlank="1" showInputMessage="1" showErrorMessage="1" sqref="E4:E30" xr:uid="{65E378FD-A63F-404C-B0F4-71D7F51F53F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2019-01-27T12:50:42Z</dcterms:modified>
</cp:coreProperties>
</file>