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1st\対局\"/>
    </mc:Choice>
  </mc:AlternateContent>
  <xr:revisionPtr revIDLastSave="0" documentId="13_ncr:1_{0B4BCC64-E1E0-47CD-B9CD-59729144EF5E}" xr6:coauthVersionLast="41" xr6:coauthVersionMax="41" xr10:uidLastSave="{00000000-0000-0000-0000-000000000000}"/>
  <bookViews>
    <workbookView xWindow="390" yWindow="3705" windowWidth="21600" windowHeight="11835" activeTab="3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Sheet5" sheetId="19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D14" i="19"/>
  <c r="C14" i="19"/>
  <c r="D13" i="19"/>
  <c r="C13" i="19"/>
  <c r="D12" i="19"/>
  <c r="D11" i="19"/>
  <c r="C11" i="19"/>
  <c r="C12" i="19" s="1"/>
  <c r="D10" i="19"/>
  <c r="C10" i="19"/>
  <c r="D9" i="19"/>
  <c r="D8" i="19"/>
  <c r="D7" i="19"/>
  <c r="D6" i="19"/>
  <c r="C6" i="19"/>
  <c r="C7" i="19" s="1"/>
  <c r="C8" i="19" s="1"/>
  <c r="C9" i="19" s="1"/>
  <c r="D5" i="19"/>
  <c r="C5" i="19"/>
  <c r="B5" i="19"/>
  <c r="B6" i="19" s="1"/>
  <c r="T4" i="19"/>
  <c r="W4" i="19" s="1"/>
  <c r="O4" i="19"/>
  <c r="V4" i="19" s="1"/>
  <c r="J4" i="19"/>
  <c r="U4" i="19" s="1"/>
  <c r="W3" i="19"/>
  <c r="V3" i="19"/>
  <c r="U3" i="19"/>
  <c r="W2" i="19"/>
  <c r="V2" i="19"/>
  <c r="U2" i="19"/>
  <c r="BO1" i="19"/>
  <c r="AT1" i="19"/>
  <c r="Y1" i="19"/>
  <c r="T30" i="18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 s="1"/>
  <c r="D14" i="18"/>
  <c r="C14" i="18"/>
  <c r="D13" i="18"/>
  <c r="C13" i="18"/>
  <c r="D12" i="18"/>
  <c r="C12" i="18"/>
  <c r="D11" i="18"/>
  <c r="C11" i="18"/>
  <c r="D10" i="18"/>
  <c r="C10" i="18"/>
  <c r="D9" i="18"/>
  <c r="C9" i="18"/>
  <c r="D8" i="18"/>
  <c r="D7" i="18"/>
  <c r="C6" i="18"/>
  <c r="C7" i="18" s="1"/>
  <c r="C8" i="18" s="1"/>
  <c r="O5" i="18"/>
  <c r="O6" i="18" s="1"/>
  <c r="D5" i="18"/>
  <c r="D6" i="18" s="1"/>
  <c r="C5" i="18"/>
  <c r="B5" i="18"/>
  <c r="B6" i="18" s="1"/>
  <c r="T4" i="18"/>
  <c r="W4" i="18" s="1"/>
  <c r="O4" i="18"/>
  <c r="V4" i="18" s="1"/>
  <c r="J4" i="18"/>
  <c r="U4" i="18" s="1"/>
  <c r="W3" i="18"/>
  <c r="V3" i="18"/>
  <c r="U3" i="18"/>
  <c r="W2" i="18"/>
  <c r="V2" i="18"/>
  <c r="U2" i="18"/>
  <c r="BO1" i="18"/>
  <c r="AT1" i="18"/>
  <c r="Y1" i="18"/>
  <c r="T30" i="17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D12" i="17"/>
  <c r="C12" i="17"/>
  <c r="D11" i="17"/>
  <c r="C11" i="17"/>
  <c r="D10" i="17"/>
  <c r="C10" i="17"/>
  <c r="D9" i="17"/>
  <c r="C9" i="17"/>
  <c r="D8" i="17"/>
  <c r="D7" i="17"/>
  <c r="D6" i="17"/>
  <c r="D5" i="17"/>
  <c r="C5" i="17"/>
  <c r="C6" i="17" s="1"/>
  <c r="C7" i="17" s="1"/>
  <c r="C8" i="17" s="1"/>
  <c r="B5" i="17"/>
  <c r="B6" i="17" s="1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 s="1"/>
  <c r="D12" i="16"/>
  <c r="C12" i="16"/>
  <c r="D11" i="16"/>
  <c r="C11" i="16"/>
  <c r="D10" i="16"/>
  <c r="D9" i="16"/>
  <c r="D8" i="16"/>
  <c r="D7" i="16"/>
  <c r="C7" i="16"/>
  <c r="C8" i="16" s="1"/>
  <c r="C9" i="16" s="1"/>
  <c r="C10" i="16" s="1"/>
  <c r="D6" i="16"/>
  <c r="C6" i="16"/>
  <c r="D5" i="16"/>
  <c r="C5" i="16"/>
  <c r="B5" i="16"/>
  <c r="B6" i="16" s="1"/>
  <c r="B7" i="16" s="1"/>
  <c r="A5" i="16"/>
  <c r="T4" i="16"/>
  <c r="T5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J5" i="17" l="1"/>
  <c r="U5" i="17" s="1"/>
  <c r="A5" i="18"/>
  <c r="J5" i="16"/>
  <c r="J6" i="16" s="1"/>
  <c r="O5" i="17"/>
  <c r="O6" i="17" s="1"/>
  <c r="O7" i="17" s="1"/>
  <c r="J5" i="19"/>
  <c r="U5" i="19" s="1"/>
  <c r="J5" i="18"/>
  <c r="U5" i="18" s="1"/>
  <c r="O5" i="19"/>
  <c r="O6" i="19" s="1"/>
  <c r="V6" i="19" s="1"/>
  <c r="A5" i="19"/>
  <c r="A6" i="19" s="1"/>
  <c r="B7" i="19"/>
  <c r="T5" i="19"/>
  <c r="J6" i="19"/>
  <c r="V5" i="18"/>
  <c r="B7" i="18"/>
  <c r="V6" i="18"/>
  <c r="O7" i="18"/>
  <c r="T5" i="18"/>
  <c r="A6" i="18"/>
  <c r="J6" i="18"/>
  <c r="A5" i="17"/>
  <c r="A6" i="17" s="1"/>
  <c r="V5" i="17"/>
  <c r="B7" i="17"/>
  <c r="V6" i="17"/>
  <c r="T5" i="17"/>
  <c r="J6" i="17"/>
  <c r="A6" i="16"/>
  <c r="A7" i="16" s="1"/>
  <c r="U5" i="16"/>
  <c r="W4" i="16"/>
  <c r="W5" i="16"/>
  <c r="T6" i="16"/>
  <c r="B8" i="16"/>
  <c r="U6" i="16"/>
  <c r="J7" i="16"/>
  <c r="O5" i="16"/>
  <c r="O7" i="19" l="1"/>
  <c r="V5" i="19"/>
  <c r="A7" i="19"/>
  <c r="O8" i="19"/>
  <c r="V7" i="19"/>
  <c r="U6" i="19"/>
  <c r="J7" i="19"/>
  <c r="W5" i="19"/>
  <c r="T6" i="19"/>
  <c r="B8" i="19"/>
  <c r="A8" i="19" s="1"/>
  <c r="O8" i="18"/>
  <c r="V7" i="18"/>
  <c r="B8" i="18"/>
  <c r="U6" i="18"/>
  <c r="J7" i="18"/>
  <c r="W5" i="18"/>
  <c r="T6" i="18"/>
  <c r="A7" i="18"/>
  <c r="U6" i="17"/>
  <c r="J7" i="17"/>
  <c r="B8" i="17"/>
  <c r="A8" i="17" s="1"/>
  <c r="O8" i="17"/>
  <c r="V7" i="17"/>
  <c r="T6" i="17"/>
  <c r="W5" i="17"/>
  <c r="A7" i="17"/>
  <c r="A8" i="16"/>
  <c r="B9" i="16"/>
  <c r="A9" i="16" s="1"/>
  <c r="J8" i="16"/>
  <c r="U7" i="16"/>
  <c r="T7" i="16"/>
  <c r="W6" i="16"/>
  <c r="V5" i="16"/>
  <c r="O6" i="16"/>
  <c r="A8" i="18" l="1"/>
  <c r="U7" i="19"/>
  <c r="J8" i="19"/>
  <c r="B9" i="19"/>
  <c r="W6" i="19"/>
  <c r="T7" i="19"/>
  <c r="V8" i="19"/>
  <c r="O9" i="19"/>
  <c r="W6" i="18"/>
  <c r="T7" i="18"/>
  <c r="B9" i="18"/>
  <c r="U7" i="18"/>
  <c r="J8" i="18"/>
  <c r="V8" i="18"/>
  <c r="O9" i="18"/>
  <c r="B9" i="17"/>
  <c r="W6" i="17"/>
  <c r="T7" i="17"/>
  <c r="U7" i="17"/>
  <c r="J8" i="17"/>
  <c r="V8" i="17"/>
  <c r="O9" i="17"/>
  <c r="V6" i="16"/>
  <c r="O7" i="16"/>
  <c r="U8" i="16"/>
  <c r="J9" i="16"/>
  <c r="W7" i="16"/>
  <c r="T8" i="16"/>
  <c r="B10" i="16"/>
  <c r="B10" i="19" l="1"/>
  <c r="A10" i="19" s="1"/>
  <c r="A9" i="19"/>
  <c r="U8" i="19"/>
  <c r="J9" i="19"/>
  <c r="O10" i="19"/>
  <c r="V9" i="19"/>
  <c r="W7" i="19"/>
  <c r="T8" i="19"/>
  <c r="B10" i="18"/>
  <c r="A9" i="18"/>
  <c r="J9" i="18"/>
  <c r="U8" i="18"/>
  <c r="T8" i="18"/>
  <c r="W7" i="18"/>
  <c r="O10" i="18"/>
  <c r="V9" i="18"/>
  <c r="B10" i="17"/>
  <c r="O10" i="17"/>
  <c r="V9" i="17"/>
  <c r="T8" i="17"/>
  <c r="W7" i="17"/>
  <c r="J9" i="17"/>
  <c r="U8" i="17"/>
  <c r="A9" i="17"/>
  <c r="J10" i="16"/>
  <c r="U9" i="16"/>
  <c r="B11" i="16"/>
  <c r="T9" i="16"/>
  <c r="W8" i="16"/>
  <c r="O8" i="16"/>
  <c r="V7" i="16"/>
  <c r="A10" i="16"/>
  <c r="A11" i="16" l="1"/>
  <c r="B12" i="16"/>
  <c r="A12" i="16" s="1"/>
  <c r="A10" i="17"/>
  <c r="V10" i="19"/>
  <c r="O11" i="19"/>
  <c r="W8" i="19"/>
  <c r="T9" i="19"/>
  <c r="U9" i="19"/>
  <c r="J10" i="19"/>
  <c r="B11" i="19"/>
  <c r="A10" i="18"/>
  <c r="W8" i="18"/>
  <c r="T9" i="18"/>
  <c r="V10" i="18"/>
  <c r="O11" i="18"/>
  <c r="U9" i="18"/>
  <c r="J10" i="18"/>
  <c r="B11" i="18"/>
  <c r="U9" i="17"/>
  <c r="J10" i="17"/>
  <c r="O11" i="17"/>
  <c r="V10" i="17"/>
  <c r="W8" i="17"/>
  <c r="T9" i="17"/>
  <c r="B11" i="17"/>
  <c r="V8" i="16"/>
  <c r="O9" i="16"/>
  <c r="W9" i="16"/>
  <c r="T10" i="16"/>
  <c r="U10" i="16"/>
  <c r="J11" i="16"/>
  <c r="U11" i="16" l="1"/>
  <c r="J12" i="16"/>
  <c r="U12" i="16" s="1"/>
  <c r="V11" i="18"/>
  <c r="O12" i="18"/>
  <c r="A11" i="18"/>
  <c r="B12" i="18"/>
  <c r="B13" i="18" s="1"/>
  <c r="A12" i="18"/>
  <c r="W9" i="19"/>
  <c r="T10" i="19"/>
  <c r="B12" i="19"/>
  <c r="J11" i="19"/>
  <c r="U10" i="19"/>
  <c r="O12" i="19"/>
  <c r="V11" i="19"/>
  <c r="A11" i="19"/>
  <c r="U10" i="18"/>
  <c r="J11" i="18"/>
  <c r="W9" i="18"/>
  <c r="T10" i="18"/>
  <c r="B12" i="17"/>
  <c r="A12" i="17" s="1"/>
  <c r="U10" i="17"/>
  <c r="J11" i="17"/>
  <c r="A11" i="17"/>
  <c r="O12" i="17"/>
  <c r="V12" i="17" s="1"/>
  <c r="V11" i="17"/>
  <c r="T10" i="17"/>
  <c r="W9" i="17"/>
  <c r="T11" i="16"/>
  <c r="W10" i="16"/>
  <c r="O10" i="16"/>
  <c r="V9" i="16"/>
  <c r="A12" i="19" l="1"/>
  <c r="A13" i="18"/>
  <c r="B14" i="18"/>
  <c r="A14" i="18" s="1"/>
  <c r="W11" i="16"/>
  <c r="T12" i="16"/>
  <c r="W12" i="16" s="1"/>
  <c r="V12" i="18"/>
  <c r="O13" i="18"/>
  <c r="U11" i="18"/>
  <c r="J12" i="18"/>
  <c r="B13" i="19"/>
  <c r="V12" i="19"/>
  <c r="O13" i="19"/>
  <c r="W10" i="19"/>
  <c r="T11" i="19"/>
  <c r="U11" i="19"/>
  <c r="J12" i="19"/>
  <c r="W10" i="18"/>
  <c r="T11" i="18"/>
  <c r="W10" i="17"/>
  <c r="T11" i="17"/>
  <c r="U11" i="17"/>
  <c r="J12" i="17"/>
  <c r="U12" i="17" s="1"/>
  <c r="V10" i="16"/>
  <c r="O11" i="16"/>
  <c r="W11" i="18" l="1"/>
  <c r="T12" i="18"/>
  <c r="V11" i="16"/>
  <c r="O12" i="16"/>
  <c r="V12" i="16" s="1"/>
  <c r="V13" i="18"/>
  <c r="O14" i="18"/>
  <c r="V14" i="18" s="1"/>
  <c r="U12" i="18"/>
  <c r="J13" i="18"/>
  <c r="O14" i="19"/>
  <c r="V14" i="19" s="1"/>
  <c r="V13" i="19"/>
  <c r="U12" i="19"/>
  <c r="J13" i="19"/>
  <c r="B14" i="19"/>
  <c r="A14" i="19" s="1"/>
  <c r="W11" i="19"/>
  <c r="T12" i="19"/>
  <c r="A13" i="19"/>
  <c r="W11" i="17"/>
  <c r="T12" i="17"/>
  <c r="W12" i="17" s="1"/>
  <c r="U13" i="18" l="1"/>
  <c r="J14" i="18"/>
  <c r="U14" i="18" s="1"/>
  <c r="W12" i="18"/>
  <c r="T13" i="18"/>
  <c r="U13" i="19"/>
  <c r="J14" i="19"/>
  <c r="U14" i="19" s="1"/>
  <c r="W12" i="19"/>
  <c r="T13" i="19"/>
  <c r="W13" i="18" l="1"/>
  <c r="T14" i="18"/>
  <c r="W14" i="18" s="1"/>
  <c r="T14" i="19"/>
  <c r="W14" i="19" s="1"/>
  <c r="W13" i="19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8" i="1"/>
  <c r="C9" i="1" s="1"/>
  <c r="C10" i="1" s="1"/>
  <c r="C7" i="1"/>
  <c r="C6" i="1"/>
  <c r="C5" i="1"/>
  <c r="W3" i="1" l="1"/>
  <c r="V3" i="1"/>
  <c r="U3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U4" i="1" l="1"/>
  <c r="B8" i="1"/>
  <c r="A7" i="1"/>
  <c r="J5" i="1"/>
  <c r="B9" i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A8" i="1" l="1"/>
  <c r="A9" i="1" s="1"/>
  <c r="U5" i="1"/>
  <c r="W4" i="1"/>
  <c r="V4" i="1"/>
  <c r="J6" i="1"/>
  <c r="T5" i="1"/>
  <c r="O6" i="1"/>
  <c r="B10" i="1"/>
  <c r="W5" i="1" l="1"/>
  <c r="O7" i="1"/>
  <c r="O8" i="1" s="1"/>
  <c r="V8" i="1" s="1"/>
  <c r="V6" i="1"/>
  <c r="J7" i="1"/>
  <c r="J8" i="1" s="1"/>
  <c r="U8" i="1" s="1"/>
  <c r="U6" i="1"/>
  <c r="B11" i="1"/>
  <c r="A11" i="1" s="1"/>
  <c r="A10" i="1"/>
  <c r="T6" i="1"/>
  <c r="B12" i="1"/>
  <c r="A12" i="1" s="1"/>
  <c r="U7" i="1" l="1"/>
  <c r="V7" i="1"/>
  <c r="T7" i="1"/>
  <c r="T8" i="1" s="1"/>
  <c r="W8" i="1" s="1"/>
  <c r="W6" i="1"/>
  <c r="J9" i="1"/>
  <c r="O9" i="1"/>
  <c r="B13" i="1"/>
  <c r="A13" i="1" s="1"/>
  <c r="V9" i="1" l="1"/>
  <c r="U9" i="1"/>
  <c r="W7" i="1"/>
  <c r="J10" i="1"/>
  <c r="J11" i="1"/>
  <c r="U11" i="1" s="1"/>
  <c r="O10" i="1"/>
  <c r="T9" i="1"/>
  <c r="B14" i="1"/>
  <c r="A14" i="1" s="1"/>
  <c r="U10" i="1" l="1"/>
  <c r="V10" i="1"/>
  <c r="W9" i="1"/>
  <c r="O11" i="1"/>
  <c r="J12" i="1"/>
  <c r="T10" i="1"/>
  <c r="U12" i="1" l="1"/>
  <c r="V11" i="1"/>
  <c r="W10" i="1"/>
  <c r="J13" i="1"/>
  <c r="U13" i="1" s="1"/>
  <c r="O12" i="1"/>
  <c r="T11" i="1"/>
  <c r="V12" i="1" l="1"/>
  <c r="W11" i="1"/>
  <c r="J14" i="1"/>
  <c r="U14" i="1" s="1"/>
  <c r="O13" i="1"/>
  <c r="V13" i="1" s="1"/>
  <c r="T12" i="1"/>
  <c r="W12" i="1" l="1"/>
  <c r="O14" i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<sst xmlns="http://schemas.openxmlformats.org/spreadsheetml/2006/main" count="1011" uniqueCount="157">
  <si>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</si>
  <si>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</si>
  <si>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</si>
  <si>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</si>
  <si>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</si>
  <si>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</si>
  <si>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</si>
  <si>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</si>
  <si>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</si>
  <si>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</si>
  <si>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</si>
  <si>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</si>
  <si>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</si>
  <si>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</si>
  <si>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</si>
  <si>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</si>
  <si>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</si>
  <si>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</si>
  <si>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</si>
  <si>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</si>
  <si>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</si>
  <si>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</si>
  <si>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</si>
  <si>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</si>
  <si>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</si>
  <si>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</si>
  <si>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</si>
  <si>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</si>
  <si>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</si>
  <si>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</si>
  <si>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</si>
  <si>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</si>
  <si>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</si>
  <si>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</si>
  <si>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</si>
  <si>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</si>
  <si>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</si>
  <si>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</si>
  <si>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</si>
  <si>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</si>
  <si>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</si>
  <si>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</si>
  <si>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</si>
  <si>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</si>
  <si>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</si>
  <si>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</si>
  <si>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</si>
  <si>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</si>
  <si>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</si>
  <si>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</si>
  <si>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</si>
  <si>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</si>
  <si>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</si>
  <si>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</si>
  <si>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</si>
  <si>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</si>
  <si>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</si>
  <si>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</si>
  <si>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</si>
  <si>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</si>
  <si>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</si>
  <si>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</si>
  <si>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</si>
  <si>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</si>
  <si>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</si>
  <si>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</si>
  <si>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</si>
  <si>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</si>
  <si>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</si>
  <si>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</si>
  <si>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</si>
  <si>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</si>
  <si>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</si>
  <si>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</si>
  <si>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</si>
  <si>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</si>
  <si>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</si>
  <si>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</si>
  <si>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</si>
  <si>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</si>
  <si>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</si>
  <si>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</si>
  <si>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</si>
  <si>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</si>
  <si>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</si>
  <si>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</si>
  <si>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</si>
  <si>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</si>
  <si>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</si>
  <si>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</si>
  <si>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</si>
  <si>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</si>
  <si>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</si>
  <si>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</si>
  <si>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</si>
  <si>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</si>
  <si>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</si>
  <si>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</si>
  <si>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</si>
  <si>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</si>
  <si>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</si>
  <si>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</si>
  <si>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</si>
  <si>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</si>
  <si>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</si>
  <si>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</si>
  <si>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</si>
  <si>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</si>
  <si>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</si>
  <si>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</si>
  <si>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</si>
  <si>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</si>
  <si>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</si>
  <si>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</si>
  <si>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</si>
  <si>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</si>
  <si>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</si>
  <si>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</si>
  <si>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</si>
  <si>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</si>
  <si>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</si>
  <si>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</si>
  <si>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</si>
  <si>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</si>
  <si>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</si>
  <si>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</si>
  <si>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</si>
  <si>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</si>
  <si>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</si>
  <si>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</si>
  <si>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</si>
  <si>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</si>
  <si>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</si>
  <si>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</si>
  <si>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</si>
  <si>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</si>
  <si>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</si>
  <si>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だいち</t>
  </si>
  <si>
    <t>だいち</t>
    <phoneticPr fontId="1"/>
  </si>
  <si>
    <t>ただ</t>
  </si>
  <si>
    <t>ただ</t>
    <phoneticPr fontId="1"/>
  </si>
  <si>
    <t>りくと</t>
  </si>
  <si>
    <t>りくと</t>
    <phoneticPr fontId="1"/>
  </si>
  <si>
    <t>ツモ</t>
  </si>
  <si>
    <t>ツモ支払</t>
  </si>
  <si>
    <t>*</t>
  </si>
  <si>
    <t>01</t>
  </si>
  <si>
    <t>放銃</t>
  </si>
  <si>
    <t>ロン</t>
  </si>
  <si>
    <t>02</t>
  </si>
  <si>
    <t>いっしー</t>
  </si>
  <si>
    <t>いっしー</t>
    <phoneticPr fontId="1"/>
  </si>
  <si>
    <t>たかの</t>
  </si>
  <si>
    <t>たかの</t>
    <phoneticPr fontId="1"/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</si>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</sst>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138</v>
      </c>
      <c r="G1" s="74"/>
      <c r="H1" s="74"/>
      <c r="I1" s="83"/>
      <c r="J1" s="75"/>
      <c r="K1" s="72" t="s">
        <v>140</v>
      </c>
      <c r="L1" s="74"/>
      <c r="M1" s="74"/>
      <c r="N1" s="83"/>
      <c r="O1" s="75"/>
      <c r="P1" s="72" t="s">
        <v>142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りくと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ただ</v>
      </c>
      <c r="W2" s="16" t="str">
        <f>$P$1</f>
        <v>りくと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143</v>
      </c>
      <c r="G4" s="9">
        <v>8000</v>
      </c>
      <c r="H4" s="9">
        <v>1000</v>
      </c>
      <c r="I4" s="55">
        <v>0</v>
      </c>
      <c r="J4" s="21">
        <f>IF(COUNTA($F4,$K4,$P4)&gt;0,J3+SUM(G4:I4),"")</f>
        <v>44000</v>
      </c>
      <c r="K4" s="8" t="s">
        <v>144</v>
      </c>
      <c r="L4" s="9">
        <v>-5000</v>
      </c>
      <c r="M4" s="9"/>
      <c r="N4" s="55">
        <v>0</v>
      </c>
      <c r="O4" s="21">
        <f>IF(COUNTA($F4,$K4,$P4)&gt;0,O3+SUM(L4:N4),"")</f>
        <v>30000</v>
      </c>
      <c r="P4" s="8" t="s">
        <v>144</v>
      </c>
      <c r="Q4" s="9">
        <v>-3000</v>
      </c>
      <c r="R4" s="9">
        <v>-1000</v>
      </c>
      <c r="S4" s="55">
        <v>0</v>
      </c>
      <c r="T4" s="21">
        <f>IF(COUNTA($F4,$K4,$P4)&gt;0,T3+SUM(Q4:S4),"")</f>
        <v>31000</v>
      </c>
      <c r="U4" s="60">
        <f t="shared" ref="U4:U30" si="0">IF($J4="","",ROUND(($J4-$J$3)/1000,1))</f>
        <v>9</v>
      </c>
      <c r="V4" s="61">
        <f t="shared" ref="V4:V30" si="1">IF($O4="","",ROUND(($O4-$O$3)/1000,1))</f>
        <v>-5</v>
      </c>
      <c r="W4" s="62">
        <f t="shared" ref="W4:W30" si="2">IF($T4="","",ROUND(($T4-$T$3)/1000,1))</f>
        <v>-4</v>
      </c>
      <c r="Y4" s="8"/>
      <c r="Z4" s="41"/>
      <c r="AA4" s="32">
        <v>1</v>
      </c>
      <c r="AB4" s="32"/>
      <c r="AC4" s="32">
        <v>5</v>
      </c>
      <c r="AD4" s="36" t="s">
        <v>145</v>
      </c>
      <c r="AE4" s="47" t="s">
        <v>146</v>
      </c>
      <c r="AF4" s="48" t="s">
        <v>83</v>
      </c>
      <c r="AG4" s="48" t="s">
        <v>84</v>
      </c>
      <c r="AH4" s="48" t="s">
        <v>81</v>
      </c>
      <c r="AI4" s="48" t="s">
        <v>80</v>
      </c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141</v>
      </c>
      <c r="F5" s="8" t="s">
        <v>143</v>
      </c>
      <c r="G5" s="9">
        <v>8000</v>
      </c>
      <c r="H5" s="9">
        <v>1000</v>
      </c>
      <c r="I5" s="55">
        <v>0</v>
      </c>
      <c r="J5" s="21">
        <f t="shared" ref="J5:J30" si="5">IF(COUNTA($F5,$K5,$P5)&gt;0,J4+SUM(G5:I5),"")</f>
        <v>53000</v>
      </c>
      <c r="K5" s="8" t="s">
        <v>144</v>
      </c>
      <c r="L5" s="9">
        <v>-3000</v>
      </c>
      <c r="M5" s="9">
        <v>-1000</v>
      </c>
      <c r="N5" s="55">
        <v>0</v>
      </c>
      <c r="O5" s="21">
        <f t="shared" ref="O5:O30" si="6">IF(COUNTA($F5,$K5,$P5)&gt;0,O4+SUM(L5:N5),"")</f>
        <v>26000</v>
      </c>
      <c r="P5" s="8" t="s">
        <v>144</v>
      </c>
      <c r="Q5" s="9">
        <v>-5000</v>
      </c>
      <c r="R5" s="9"/>
      <c r="S5" s="55">
        <v>0</v>
      </c>
      <c r="T5" s="21">
        <f t="shared" ref="T5:T30" si="7">IF(COUNTA($F5,$K5,$P5)&gt;0,T4+SUM(Q5:S5),"")</f>
        <v>26000</v>
      </c>
      <c r="U5" s="60">
        <f t="shared" si="0"/>
        <v>18</v>
      </c>
      <c r="V5" s="61">
        <f t="shared" si="1"/>
        <v>-9</v>
      </c>
      <c r="W5" s="62">
        <f t="shared" si="2"/>
        <v>-9</v>
      </c>
      <c r="Y5" s="8"/>
      <c r="Z5" s="41"/>
      <c r="AA5" s="32">
        <v>1</v>
      </c>
      <c r="AB5" s="32"/>
      <c r="AC5" s="32">
        <v>4</v>
      </c>
      <c r="AD5" s="36">
        <v>30</v>
      </c>
      <c r="AE5" s="47" t="s">
        <v>146</v>
      </c>
      <c r="AF5" s="48" t="s">
        <v>83</v>
      </c>
      <c r="AG5" s="48" t="s">
        <v>80</v>
      </c>
      <c r="AH5" s="48" t="s">
        <v>81</v>
      </c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137</v>
      </c>
      <c r="F6" s="8"/>
      <c r="G6" s="9"/>
      <c r="H6" s="9"/>
      <c r="I6" s="55"/>
      <c r="J6" s="21">
        <f t="shared" si="5"/>
        <v>53000</v>
      </c>
      <c r="K6" s="8" t="s">
        <v>147</v>
      </c>
      <c r="L6" s="9">
        <v>-5200</v>
      </c>
      <c r="M6" s="9"/>
      <c r="N6" s="55">
        <v>0</v>
      </c>
      <c r="O6" s="21">
        <f t="shared" si="6"/>
        <v>20800</v>
      </c>
      <c r="P6" s="8" t="s">
        <v>148</v>
      </c>
      <c r="Q6" s="9">
        <v>5200</v>
      </c>
      <c r="R6" s="9"/>
      <c r="S6" s="55">
        <v>0</v>
      </c>
      <c r="T6" s="21">
        <f t="shared" si="7"/>
        <v>31200</v>
      </c>
      <c r="U6" s="60">
        <f t="shared" si="0"/>
        <v>18</v>
      </c>
      <c r="V6" s="61">
        <f t="shared" si="1"/>
        <v>-14.2</v>
      </c>
      <c r="W6" s="62">
        <f t="shared" si="2"/>
        <v>-3.8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3</v>
      </c>
      <c r="BT6" s="36">
        <v>40</v>
      </c>
      <c r="BU6" s="47" t="s">
        <v>146</v>
      </c>
      <c r="BV6" s="48" t="s">
        <v>149</v>
      </c>
      <c r="BW6" s="48" t="s">
        <v>82</v>
      </c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南</v>
      </c>
      <c r="B7" s="18">
        <f t="shared" si="8"/>
        <v>1</v>
      </c>
      <c r="C7" s="18">
        <f t="shared" si="9"/>
        <v>0</v>
      </c>
      <c r="D7" s="18">
        <f t="shared" si="4"/>
        <v>0</v>
      </c>
      <c r="E7" s="4" t="s">
        <v>139</v>
      </c>
      <c r="F7" s="8" t="s">
        <v>148</v>
      </c>
      <c r="G7" s="9">
        <v>8000</v>
      </c>
      <c r="H7" s="9"/>
      <c r="I7" s="55">
        <v>0</v>
      </c>
      <c r="J7" s="21">
        <f t="shared" si="5"/>
        <v>61000</v>
      </c>
      <c r="K7" s="8"/>
      <c r="L7" s="9"/>
      <c r="M7" s="9"/>
      <c r="N7" s="55"/>
      <c r="O7" s="21">
        <f t="shared" si="6"/>
        <v>20800</v>
      </c>
      <c r="P7" s="8" t="s">
        <v>147</v>
      </c>
      <c r="Q7" s="9">
        <v>-8000</v>
      </c>
      <c r="R7" s="9"/>
      <c r="S7" s="55">
        <v>0</v>
      </c>
      <c r="T7" s="21">
        <f t="shared" si="7"/>
        <v>23200</v>
      </c>
      <c r="U7" s="60">
        <f t="shared" si="0"/>
        <v>26</v>
      </c>
      <c r="V7" s="61">
        <f t="shared" si="1"/>
        <v>-14.2</v>
      </c>
      <c r="W7" s="62">
        <f t="shared" si="2"/>
        <v>-11.8</v>
      </c>
      <c r="Y7" s="8"/>
      <c r="Z7" s="41"/>
      <c r="AA7" s="32"/>
      <c r="AB7" s="32">
        <v>1</v>
      </c>
      <c r="AC7" s="32">
        <v>4</v>
      </c>
      <c r="AD7" s="36">
        <v>30</v>
      </c>
      <c r="AE7" s="47" t="s">
        <v>105</v>
      </c>
      <c r="AF7" s="48" t="s">
        <v>87</v>
      </c>
      <c r="AG7" s="48" t="s">
        <v>87</v>
      </c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南</v>
      </c>
      <c r="B8" s="18">
        <f t="shared" si="8"/>
        <v>2</v>
      </c>
      <c r="C8" s="18">
        <f t="shared" si="9"/>
        <v>0</v>
      </c>
      <c r="D8" s="18">
        <f t="shared" si="4"/>
        <v>0</v>
      </c>
      <c r="E8" s="4" t="s">
        <v>141</v>
      </c>
      <c r="F8" s="8" t="s">
        <v>147</v>
      </c>
      <c r="G8" s="9">
        <v>-12000</v>
      </c>
      <c r="H8" s="9"/>
      <c r="I8" s="55">
        <v>0</v>
      </c>
      <c r="J8" s="21">
        <f t="shared" si="5"/>
        <v>49000</v>
      </c>
      <c r="K8" s="8"/>
      <c r="L8" s="9"/>
      <c r="M8" s="9"/>
      <c r="N8" s="55"/>
      <c r="O8" s="21">
        <f t="shared" si="6"/>
        <v>20800</v>
      </c>
      <c r="P8" s="8" t="s">
        <v>148</v>
      </c>
      <c r="Q8" s="9">
        <v>12000</v>
      </c>
      <c r="R8" s="9"/>
      <c r="S8" s="55">
        <v>0</v>
      </c>
      <c r="T8" s="21">
        <f t="shared" si="7"/>
        <v>35200</v>
      </c>
      <c r="U8" s="60">
        <f t="shared" si="0"/>
        <v>14</v>
      </c>
      <c r="V8" s="61">
        <f t="shared" si="1"/>
        <v>-14.2</v>
      </c>
      <c r="W8" s="62">
        <f t="shared" si="2"/>
        <v>0.2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>
        <v>4</v>
      </c>
      <c r="BT8" s="36">
        <v>30</v>
      </c>
      <c r="BU8" s="47" t="s">
        <v>87</v>
      </c>
      <c r="BV8" s="48" t="s">
        <v>87</v>
      </c>
      <c r="BW8" s="48" t="s">
        <v>105</v>
      </c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8"/>
        <v>2</v>
      </c>
      <c r="C9" s="18">
        <f t="shared" si="9"/>
        <v>1</v>
      </c>
      <c r="D9" s="18">
        <f t="shared" si="4"/>
        <v>0</v>
      </c>
      <c r="E9" s="4" t="s">
        <v>141</v>
      </c>
      <c r="F9" s="8"/>
      <c r="G9" s="9"/>
      <c r="H9" s="9"/>
      <c r="I9" s="55"/>
      <c r="J9" s="21">
        <f t="shared" si="5"/>
        <v>49000</v>
      </c>
      <c r="K9" s="8" t="s">
        <v>147</v>
      </c>
      <c r="L9" s="9">
        <v>-12000</v>
      </c>
      <c r="M9" s="9"/>
      <c r="N9" s="55">
        <v>-1000</v>
      </c>
      <c r="O9" s="21">
        <f t="shared" si="6"/>
        <v>7800</v>
      </c>
      <c r="P9" s="8" t="s">
        <v>148</v>
      </c>
      <c r="Q9" s="9">
        <v>12000</v>
      </c>
      <c r="R9" s="9"/>
      <c r="S9" s="55">
        <v>1000</v>
      </c>
      <c r="T9" s="21">
        <f t="shared" si="7"/>
        <v>48200</v>
      </c>
      <c r="U9" s="60">
        <f t="shared" si="0"/>
        <v>14</v>
      </c>
      <c r="V9" s="61">
        <f t="shared" si="1"/>
        <v>-27.2</v>
      </c>
      <c r="W9" s="62">
        <f t="shared" si="2"/>
        <v>13.2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4</v>
      </c>
      <c r="BT9" s="36">
        <v>40</v>
      </c>
      <c r="BU9" s="47" t="s">
        <v>146</v>
      </c>
      <c r="BV9" s="48" t="s">
        <v>149</v>
      </c>
      <c r="BW9" s="48" t="s">
        <v>85</v>
      </c>
      <c r="BX9" s="48" t="s">
        <v>81</v>
      </c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8"/>
        <v>2</v>
      </c>
      <c r="C10" s="18">
        <f t="shared" si="9"/>
        <v>2</v>
      </c>
      <c r="D10" s="18">
        <f t="shared" si="4"/>
        <v>0</v>
      </c>
      <c r="E10" s="4" t="s">
        <v>141</v>
      </c>
      <c r="F10" s="8"/>
      <c r="G10" s="9"/>
      <c r="H10" s="9"/>
      <c r="I10" s="55"/>
      <c r="J10" s="21">
        <f t="shared" si="5"/>
        <v>49000</v>
      </c>
      <c r="K10" s="8" t="s">
        <v>148</v>
      </c>
      <c r="L10" s="9">
        <v>2000</v>
      </c>
      <c r="M10" s="9"/>
      <c r="N10" s="55">
        <v>2000</v>
      </c>
      <c r="O10" s="21">
        <f t="shared" si="6"/>
        <v>11800</v>
      </c>
      <c r="P10" s="8" t="s">
        <v>147</v>
      </c>
      <c r="Q10" s="9">
        <v>-2000</v>
      </c>
      <c r="R10" s="9"/>
      <c r="S10" s="55">
        <v>-2000</v>
      </c>
      <c r="T10" s="21">
        <f t="shared" si="7"/>
        <v>44200</v>
      </c>
      <c r="U10" s="60">
        <f t="shared" si="0"/>
        <v>14</v>
      </c>
      <c r="V10" s="61">
        <f t="shared" si="1"/>
        <v>-23.2</v>
      </c>
      <c r="W10" s="62">
        <f t="shared" si="2"/>
        <v>9.1999999999999993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>
        <v>2</v>
      </c>
      <c r="AY10" s="36">
        <v>30</v>
      </c>
      <c r="AZ10" s="47" t="s">
        <v>87</v>
      </c>
      <c r="BA10" s="48" t="s">
        <v>82</v>
      </c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">
        <v>137</v>
      </c>
      <c r="F11" s="8" t="s">
        <v>144</v>
      </c>
      <c r="G11" s="9">
        <v>-5000</v>
      </c>
      <c r="H11" s="9"/>
      <c r="I11" s="55">
        <v>0</v>
      </c>
      <c r="J11" s="21">
        <f t="shared" si="5"/>
        <v>44000</v>
      </c>
      <c r="K11" s="8" t="s">
        <v>144</v>
      </c>
      <c r="L11" s="9">
        <v>-3000</v>
      </c>
      <c r="M11" s="9"/>
      <c r="N11" s="55">
        <v>0</v>
      </c>
      <c r="O11" s="21">
        <f t="shared" si="6"/>
        <v>8800</v>
      </c>
      <c r="P11" s="8" t="s">
        <v>143</v>
      </c>
      <c r="Q11" s="9">
        <v>8000</v>
      </c>
      <c r="R11" s="9"/>
      <c r="S11" s="55">
        <v>0</v>
      </c>
      <c r="T11" s="21">
        <f t="shared" si="7"/>
        <v>52200</v>
      </c>
      <c r="U11" s="60">
        <f t="shared" si="0"/>
        <v>9</v>
      </c>
      <c r="V11" s="61">
        <f t="shared" si="1"/>
        <v>-26.2</v>
      </c>
      <c r="W11" s="62">
        <f t="shared" si="2"/>
        <v>17.2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>
        <v>5</v>
      </c>
      <c r="BT11" s="36" t="s">
        <v>145</v>
      </c>
      <c r="BU11" s="47" t="s">
        <v>87</v>
      </c>
      <c r="BV11" s="48" t="s">
        <v>87</v>
      </c>
      <c r="BW11" s="48" t="s">
        <v>90</v>
      </c>
      <c r="BX11" s="48" t="s">
        <v>105</v>
      </c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D5880-A1B6-4703-93D1-4AE974F33DB5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151</v>
      </c>
      <c r="G1" s="74"/>
      <c r="H1" s="74"/>
      <c r="I1" s="83"/>
      <c r="J1" s="75"/>
      <c r="K1" s="72" t="s">
        <v>153</v>
      </c>
      <c r="L1" s="74"/>
      <c r="M1" s="74"/>
      <c r="N1" s="83"/>
      <c r="O1" s="75"/>
      <c r="P1" s="72" t="s">
        <v>142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いっしー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りくと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いっしー</v>
      </c>
      <c r="V2" s="71" t="str">
        <f>$K$1</f>
        <v>たかの</v>
      </c>
      <c r="W2" s="16" t="str">
        <f>$P$1</f>
        <v>りくと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150</v>
      </c>
      <c r="F4" s="8" t="s">
        <v>148</v>
      </c>
      <c r="G4" s="9">
        <v>12000</v>
      </c>
      <c r="H4" s="9"/>
      <c r="I4" s="55">
        <v>0</v>
      </c>
      <c r="J4" s="21">
        <f>IF(COUNTA($F4,$K4,$P4)&gt;0,J3+SUM(G4:I4),"")</f>
        <v>47000</v>
      </c>
      <c r="K4" s="8" t="s">
        <v>147</v>
      </c>
      <c r="L4" s="9">
        <v>-12000</v>
      </c>
      <c r="M4" s="9"/>
      <c r="N4" s="55">
        <v>0</v>
      </c>
      <c r="O4" s="21">
        <f>IF(COUNTA($F4,$K4,$P4)&gt;0,O3+SUM(L4:N4),"")</f>
        <v>23000</v>
      </c>
      <c r="P4" s="8"/>
      <c r="Q4" s="9"/>
      <c r="R4" s="9"/>
      <c r="S4" s="55"/>
      <c r="T4" s="21">
        <f>IF(COUNTA($F4,$K4,$P4)&gt;0,T3+SUM(Q4:S4),"")</f>
        <v>35000</v>
      </c>
      <c r="U4" s="60">
        <f t="shared" ref="U4:U30" si="0">IF($J4="","",ROUND(($J4-$J$3)/1000,1))</f>
        <v>12</v>
      </c>
      <c r="V4" s="61">
        <f t="shared" ref="V4:V30" si="1">IF($O4="","",ROUND(($O4-$O$3)/1000,1))</f>
        <v>-12</v>
      </c>
      <c r="W4" s="62">
        <f t="shared" ref="W4:W30" si="2">IF($T4="","",ROUND(($T4-$T$3)/1000,1))</f>
        <v>0</v>
      </c>
      <c r="Y4" s="8"/>
      <c r="Z4" s="41"/>
      <c r="AA4" s="32"/>
      <c r="AB4" s="32">
        <v>1</v>
      </c>
      <c r="AC4" s="32">
        <v>5</v>
      </c>
      <c r="AD4" s="36" t="s">
        <v>145</v>
      </c>
      <c r="AE4" s="47" t="s">
        <v>99</v>
      </c>
      <c r="AF4" s="48" t="s">
        <v>87</v>
      </c>
      <c r="AG4" s="48" t="s">
        <v>82</v>
      </c>
      <c r="AH4" s="48" t="s">
        <v>82</v>
      </c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">
        <v>150</v>
      </c>
      <c r="F5" s="8"/>
      <c r="G5" s="9"/>
      <c r="H5" s="9"/>
      <c r="I5" s="55"/>
      <c r="J5" s="21">
        <f t="shared" ref="J5:J30" si="5">IF(COUNTA($F5,$K5,$P5)&gt;0,J4+SUM(G5:I5),"")</f>
        <v>47000</v>
      </c>
      <c r="K5" s="8" t="s">
        <v>148</v>
      </c>
      <c r="L5" s="9">
        <v>8000</v>
      </c>
      <c r="M5" s="9"/>
      <c r="N5" s="55">
        <v>1000</v>
      </c>
      <c r="O5" s="21">
        <f t="shared" ref="O5:O30" si="6">IF(COUNTA($F5,$K5,$P5)&gt;0,O4+SUM(L5:N5),"")</f>
        <v>32000</v>
      </c>
      <c r="P5" s="8" t="s">
        <v>147</v>
      </c>
      <c r="Q5" s="9">
        <v>-8000</v>
      </c>
      <c r="R5" s="9"/>
      <c r="S5" s="55">
        <v>-1000</v>
      </c>
      <c r="T5" s="21">
        <f t="shared" ref="T5:T30" si="7">IF(COUNTA($F5,$K5,$P5)&gt;0,T4+SUM(Q5:S5),"")</f>
        <v>26000</v>
      </c>
      <c r="U5" s="60">
        <f t="shared" si="0"/>
        <v>12</v>
      </c>
      <c r="V5" s="61">
        <f t="shared" si="1"/>
        <v>-3</v>
      </c>
      <c r="W5" s="62">
        <f t="shared" si="2"/>
        <v>-9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5</v>
      </c>
      <c r="AY5" s="36" t="s">
        <v>145</v>
      </c>
      <c r="AZ5" s="47" t="s">
        <v>146</v>
      </c>
      <c r="BA5" s="48" t="s">
        <v>149</v>
      </c>
      <c r="BB5" s="48" t="s">
        <v>87</v>
      </c>
      <c r="BC5" s="48" t="s">
        <v>82</v>
      </c>
      <c r="BD5" s="48" t="s">
        <v>81</v>
      </c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152</v>
      </c>
      <c r="F6" s="8" t="s">
        <v>144</v>
      </c>
      <c r="G6" s="9">
        <v>-1500</v>
      </c>
      <c r="H6" s="9"/>
      <c r="I6" s="55">
        <v>0</v>
      </c>
      <c r="J6" s="21">
        <f t="shared" si="5"/>
        <v>45500</v>
      </c>
      <c r="K6" s="8" t="s">
        <v>143</v>
      </c>
      <c r="L6" s="9">
        <v>3000</v>
      </c>
      <c r="M6" s="9"/>
      <c r="N6" s="55">
        <v>0</v>
      </c>
      <c r="O6" s="21">
        <f t="shared" si="6"/>
        <v>35000</v>
      </c>
      <c r="P6" s="8" t="s">
        <v>144</v>
      </c>
      <c r="Q6" s="9">
        <v>-1500</v>
      </c>
      <c r="R6" s="9"/>
      <c r="S6" s="55">
        <v>0</v>
      </c>
      <c r="T6" s="21">
        <f t="shared" si="7"/>
        <v>24500</v>
      </c>
      <c r="U6" s="60">
        <f t="shared" si="0"/>
        <v>10.5</v>
      </c>
      <c r="V6" s="61">
        <f t="shared" si="1"/>
        <v>0</v>
      </c>
      <c r="W6" s="62">
        <f t="shared" si="2"/>
        <v>-10.5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>
        <v>2</v>
      </c>
      <c r="AY6" s="36">
        <v>30</v>
      </c>
      <c r="AZ6" s="47" t="s">
        <v>87</v>
      </c>
      <c r="BA6" s="48" t="s">
        <v>82</v>
      </c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2</v>
      </c>
      <c r="C7" s="18">
        <f t="shared" si="9"/>
        <v>1</v>
      </c>
      <c r="D7" s="18">
        <f t="shared" si="4"/>
        <v>0</v>
      </c>
      <c r="E7" s="4" t="s">
        <v>152</v>
      </c>
      <c r="F7" s="8" t="s">
        <v>144</v>
      </c>
      <c r="G7" s="9">
        <v>-1500</v>
      </c>
      <c r="H7" s="9"/>
      <c r="I7" s="55">
        <v>-500</v>
      </c>
      <c r="J7" s="21">
        <f t="shared" si="5"/>
        <v>43500</v>
      </c>
      <c r="K7" s="8" t="s">
        <v>143</v>
      </c>
      <c r="L7" s="9">
        <v>3000</v>
      </c>
      <c r="M7" s="9">
        <v>1000</v>
      </c>
      <c r="N7" s="55">
        <v>1000</v>
      </c>
      <c r="O7" s="21">
        <f t="shared" si="6"/>
        <v>40000</v>
      </c>
      <c r="P7" s="8" t="s">
        <v>144</v>
      </c>
      <c r="Q7" s="9">
        <v>-1500</v>
      </c>
      <c r="R7" s="9">
        <v>-1000</v>
      </c>
      <c r="S7" s="55">
        <v>-500</v>
      </c>
      <c r="T7" s="21">
        <f t="shared" si="7"/>
        <v>21500</v>
      </c>
      <c r="U7" s="60">
        <f t="shared" si="0"/>
        <v>8.5</v>
      </c>
      <c r="V7" s="61">
        <f t="shared" si="1"/>
        <v>5</v>
      </c>
      <c r="W7" s="62">
        <f t="shared" si="2"/>
        <v>-13.5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>
        <v>2</v>
      </c>
      <c r="AY7" s="36">
        <v>30</v>
      </c>
      <c r="AZ7" s="47" t="s">
        <v>87</v>
      </c>
      <c r="BA7" s="48" t="s">
        <v>82</v>
      </c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2</v>
      </c>
      <c r="C8" s="18">
        <f t="shared" si="9"/>
        <v>2</v>
      </c>
      <c r="D8" s="18">
        <f t="shared" si="4"/>
        <v>0</v>
      </c>
      <c r="E8" s="4" t="s">
        <v>152</v>
      </c>
      <c r="F8" s="8" t="s">
        <v>144</v>
      </c>
      <c r="G8" s="9">
        <v>-800</v>
      </c>
      <c r="H8" s="9"/>
      <c r="I8" s="55">
        <v>-1000</v>
      </c>
      <c r="J8" s="21">
        <f t="shared" si="5"/>
        <v>41700</v>
      </c>
      <c r="K8" s="8" t="s">
        <v>144</v>
      </c>
      <c r="L8" s="9">
        <v>-1300</v>
      </c>
      <c r="M8" s="9"/>
      <c r="N8" s="55">
        <v>-1000</v>
      </c>
      <c r="O8" s="21">
        <f t="shared" si="6"/>
        <v>37700</v>
      </c>
      <c r="P8" s="8" t="s">
        <v>143</v>
      </c>
      <c r="Q8" s="9">
        <v>2100</v>
      </c>
      <c r="R8" s="9"/>
      <c r="S8" s="55">
        <v>2000</v>
      </c>
      <c r="T8" s="21">
        <f t="shared" si="7"/>
        <v>25600</v>
      </c>
      <c r="U8" s="60">
        <f t="shared" si="0"/>
        <v>6.7</v>
      </c>
      <c r="V8" s="61">
        <f t="shared" si="1"/>
        <v>2.7</v>
      </c>
      <c r="W8" s="62">
        <f t="shared" si="2"/>
        <v>-9.4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>
        <v>2</v>
      </c>
      <c r="BT8" s="36">
        <v>30</v>
      </c>
      <c r="BU8" s="47" t="s">
        <v>83</v>
      </c>
      <c r="BV8" s="48" t="s">
        <v>82</v>
      </c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8"/>
        <v>3</v>
      </c>
      <c r="C9" s="18">
        <f t="shared" si="9"/>
        <v>0</v>
      </c>
      <c r="D9" s="18">
        <f t="shared" si="4"/>
        <v>0</v>
      </c>
      <c r="E9" s="4" t="s">
        <v>141</v>
      </c>
      <c r="F9" s="8" t="s">
        <v>147</v>
      </c>
      <c r="G9" s="9">
        <v>-2000</v>
      </c>
      <c r="H9" s="9"/>
      <c r="I9" s="55">
        <v>0</v>
      </c>
      <c r="J9" s="21">
        <f t="shared" si="5"/>
        <v>39700</v>
      </c>
      <c r="K9" s="8" t="s">
        <v>148</v>
      </c>
      <c r="L9" s="9">
        <v>2000</v>
      </c>
      <c r="M9" s="9"/>
      <c r="N9" s="55">
        <v>0</v>
      </c>
      <c r="O9" s="21">
        <f t="shared" si="6"/>
        <v>39700</v>
      </c>
      <c r="P9" s="8"/>
      <c r="Q9" s="9"/>
      <c r="R9" s="9"/>
      <c r="S9" s="55"/>
      <c r="T9" s="21">
        <f t="shared" si="7"/>
        <v>25600</v>
      </c>
      <c r="U9" s="60">
        <f t="shared" si="0"/>
        <v>4.7</v>
      </c>
      <c r="V9" s="61">
        <f t="shared" si="1"/>
        <v>4.7</v>
      </c>
      <c r="W9" s="62">
        <f t="shared" si="2"/>
        <v>-9.4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>
        <v>2</v>
      </c>
      <c r="AY9" s="36">
        <v>30</v>
      </c>
      <c r="AZ9" s="47" t="s">
        <v>87</v>
      </c>
      <c r="BA9" s="48" t="s">
        <v>82</v>
      </c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1</v>
      </c>
      <c r="C10" s="18">
        <f t="shared" si="9"/>
        <v>0</v>
      </c>
      <c r="D10" s="18">
        <f t="shared" si="4"/>
        <v>0</v>
      </c>
      <c r="E10" s="4" t="s">
        <v>150</v>
      </c>
      <c r="F10" s="8" t="s">
        <v>147</v>
      </c>
      <c r="G10" s="9">
        <v>-3900</v>
      </c>
      <c r="H10" s="9"/>
      <c r="I10" s="55">
        <v>0</v>
      </c>
      <c r="J10" s="21">
        <f t="shared" si="5"/>
        <v>35800</v>
      </c>
      <c r="K10" s="8" t="s">
        <v>148</v>
      </c>
      <c r="L10" s="9">
        <v>3900</v>
      </c>
      <c r="M10" s="9"/>
      <c r="N10" s="55">
        <v>0</v>
      </c>
      <c r="O10" s="21">
        <f t="shared" si="6"/>
        <v>43600</v>
      </c>
      <c r="P10" s="8"/>
      <c r="Q10" s="9"/>
      <c r="R10" s="9"/>
      <c r="S10" s="55"/>
      <c r="T10" s="21">
        <f t="shared" si="7"/>
        <v>25600</v>
      </c>
      <c r="U10" s="60">
        <f t="shared" si="0"/>
        <v>0.8</v>
      </c>
      <c r="V10" s="61">
        <f t="shared" si="1"/>
        <v>8.6</v>
      </c>
      <c r="W10" s="62">
        <f t="shared" si="2"/>
        <v>-9.4</v>
      </c>
      <c r="Y10" s="8"/>
      <c r="Z10" s="41"/>
      <c r="AA10" s="32"/>
      <c r="AB10" s="32">
        <v>1</v>
      </c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>
        <v>3</v>
      </c>
      <c r="AY10" s="36">
        <v>30</v>
      </c>
      <c r="AZ10" s="47" t="s">
        <v>105</v>
      </c>
      <c r="BA10" s="48" t="s">
        <v>80</v>
      </c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2</v>
      </c>
      <c r="C11" s="18">
        <f t="shared" si="9"/>
        <v>0</v>
      </c>
      <c r="D11" s="18">
        <f t="shared" si="4"/>
        <v>0</v>
      </c>
      <c r="E11" s="4" t="s">
        <v>152</v>
      </c>
      <c r="F11" s="8" t="s">
        <v>143</v>
      </c>
      <c r="G11" s="9">
        <v>12000</v>
      </c>
      <c r="H11" s="9"/>
      <c r="I11" s="55">
        <v>0</v>
      </c>
      <c r="J11" s="21">
        <f t="shared" si="5"/>
        <v>47800</v>
      </c>
      <c r="K11" s="8" t="s">
        <v>144</v>
      </c>
      <c r="L11" s="9">
        <v>-7500</v>
      </c>
      <c r="M11" s="9"/>
      <c r="N11" s="55">
        <v>0</v>
      </c>
      <c r="O11" s="21">
        <f t="shared" si="6"/>
        <v>36100</v>
      </c>
      <c r="P11" s="8" t="s">
        <v>144</v>
      </c>
      <c r="Q11" s="9">
        <v>-4500</v>
      </c>
      <c r="R11" s="9"/>
      <c r="S11" s="55">
        <v>0</v>
      </c>
      <c r="T11" s="21">
        <f t="shared" si="7"/>
        <v>21100</v>
      </c>
      <c r="U11" s="60">
        <f t="shared" si="0"/>
        <v>12.8</v>
      </c>
      <c r="V11" s="61">
        <f t="shared" si="1"/>
        <v>1.1000000000000001</v>
      </c>
      <c r="W11" s="62">
        <f t="shared" si="2"/>
        <v>-13.9</v>
      </c>
      <c r="Y11" s="8"/>
      <c r="Z11" s="41"/>
      <c r="AA11" s="32">
        <v>1</v>
      </c>
      <c r="AB11" s="32"/>
      <c r="AC11" s="32">
        <v>6</v>
      </c>
      <c r="AD11" s="36" t="s">
        <v>145</v>
      </c>
      <c r="AE11" s="47" t="s">
        <v>146</v>
      </c>
      <c r="AF11" s="48" t="s">
        <v>83</v>
      </c>
      <c r="AG11" s="48" t="s">
        <v>84</v>
      </c>
      <c r="AH11" s="48" t="s">
        <v>82</v>
      </c>
      <c r="AI11" s="48" t="s">
        <v>80</v>
      </c>
      <c r="AJ11" s="48" t="s">
        <v>81</v>
      </c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8"/>
        <v>3</v>
      </c>
      <c r="C12" s="18">
        <f t="shared" si="9"/>
        <v>0</v>
      </c>
      <c r="D12" s="18">
        <f t="shared" si="4"/>
        <v>0</v>
      </c>
      <c r="E12" s="4" t="s">
        <v>141</v>
      </c>
      <c r="F12" s="8" t="s">
        <v>148</v>
      </c>
      <c r="G12" s="9">
        <v>3900</v>
      </c>
      <c r="H12" s="9">
        <v>2000</v>
      </c>
      <c r="I12" s="55">
        <v>0</v>
      </c>
      <c r="J12" s="21">
        <f t="shared" si="5"/>
        <v>53700</v>
      </c>
      <c r="K12" s="8" t="s">
        <v>147</v>
      </c>
      <c r="L12" s="9">
        <v>-3900</v>
      </c>
      <c r="M12" s="9">
        <v>-1000</v>
      </c>
      <c r="N12" s="55">
        <v>0</v>
      </c>
      <c r="O12" s="21">
        <f t="shared" si="6"/>
        <v>31200</v>
      </c>
      <c r="P12" s="8"/>
      <c r="Q12" s="9"/>
      <c r="R12" s="9">
        <v>-1000</v>
      </c>
      <c r="S12" s="55"/>
      <c r="T12" s="21">
        <f t="shared" si="7"/>
        <v>20100</v>
      </c>
      <c r="U12" s="60">
        <f t="shared" si="0"/>
        <v>18.7</v>
      </c>
      <c r="V12" s="61">
        <f t="shared" si="1"/>
        <v>-3.8</v>
      </c>
      <c r="W12" s="62">
        <f t="shared" si="2"/>
        <v>-14.9</v>
      </c>
      <c r="Y12" s="8"/>
      <c r="Z12" s="41"/>
      <c r="AA12" s="32">
        <v>1</v>
      </c>
      <c r="AB12" s="32"/>
      <c r="AC12" s="32">
        <v>3</v>
      </c>
      <c r="AD12" s="36">
        <v>30</v>
      </c>
      <c r="AE12" s="47" t="s">
        <v>146</v>
      </c>
      <c r="AF12" s="48" t="s">
        <v>82</v>
      </c>
      <c r="AG12" s="48" t="s">
        <v>84</v>
      </c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>
        <v>1</v>
      </c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allowBlank="1" showInputMessage="1" showErrorMessage="1" sqref="E4:E30" xr:uid="{CFE1DE47-AA72-47CB-BAE1-62F31184ADFC}">
      <formula1>$U$2:$W$2</formula1>
    </dataValidation>
    <dataValidation type="list" showInputMessage="1" showErrorMessage="1" sqref="K4:K30 P4:P30 F4:F30" xr:uid="{9A8D1427-3B27-48A7-857C-2E86EF03B6A7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601D5-AD98-42E4-821C-368D2A8DD0D2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138</v>
      </c>
      <c r="G1" s="74"/>
      <c r="H1" s="74"/>
      <c r="I1" s="83"/>
      <c r="J1" s="75"/>
      <c r="K1" s="72" t="s">
        <v>153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ただ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たかの</v>
      </c>
      <c r="W2" s="16" t="str">
        <f>$P$1</f>
        <v>ただ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148</v>
      </c>
      <c r="G4" s="9">
        <v>12000</v>
      </c>
      <c r="H4" s="9"/>
      <c r="I4" s="55">
        <v>0</v>
      </c>
      <c r="J4" s="21">
        <f>IF(COUNTA($F4,$K4,$P4)&gt;0,J3+SUM(G4:I4),"")</f>
        <v>47000</v>
      </c>
      <c r="K4" s="8" t="s">
        <v>147</v>
      </c>
      <c r="L4" s="9">
        <v>-12000</v>
      </c>
      <c r="M4" s="9"/>
      <c r="N4" s="55">
        <v>0</v>
      </c>
      <c r="O4" s="21">
        <f>IF(COUNTA($F4,$K4,$P4)&gt;0,O3+SUM(L4:N4),"")</f>
        <v>23000</v>
      </c>
      <c r="P4" s="8"/>
      <c r="Q4" s="9"/>
      <c r="R4" s="9"/>
      <c r="S4" s="55"/>
      <c r="T4" s="21">
        <f>IF(COUNTA($F4,$K4,$P4)&gt;0,T3+SUM(Q4:S4),"")</f>
        <v>35000</v>
      </c>
      <c r="U4" s="60">
        <f t="shared" ref="U4:U30" si="0">IF($J4="","",ROUND(($J4-$J$3)/1000,1))</f>
        <v>12</v>
      </c>
      <c r="V4" s="61">
        <f t="shared" ref="V4:V30" si="1">IF($O4="","",ROUND(($O4-$O$3)/1000,1))</f>
        <v>-12</v>
      </c>
      <c r="W4" s="62">
        <f t="shared" ref="W4:W30" si="2">IF($T4="","",ROUND(($T4-$T$3)/1000,1))</f>
        <v>0</v>
      </c>
      <c r="Y4" s="8"/>
      <c r="Z4" s="41"/>
      <c r="AA4" s="32">
        <v>1</v>
      </c>
      <c r="AB4" s="32"/>
      <c r="AC4" s="32">
        <v>5</v>
      </c>
      <c r="AD4" s="36" t="s">
        <v>145</v>
      </c>
      <c r="AE4" s="47" t="s">
        <v>146</v>
      </c>
      <c r="AF4" s="48" t="s">
        <v>84</v>
      </c>
      <c r="AG4" s="48" t="s">
        <v>82</v>
      </c>
      <c r="AH4" s="48" t="s">
        <v>80</v>
      </c>
      <c r="AI4" s="48" t="s">
        <v>80</v>
      </c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">
        <v>137</v>
      </c>
      <c r="F5" s="8" t="s">
        <v>156</v>
      </c>
      <c r="G5" s="9">
        <v>1500</v>
      </c>
      <c r="H5" s="9">
        <v>-1000</v>
      </c>
      <c r="I5" s="55"/>
      <c r="J5" s="21">
        <f t="shared" ref="J5:J30" si="5">IF(COUNTA($F5,$K5,$P5)&gt;0,J4+SUM(G5:I5),"")</f>
        <v>47500</v>
      </c>
      <c r="K5" s="8" t="s">
        <v>156</v>
      </c>
      <c r="L5" s="9">
        <v>-3000</v>
      </c>
      <c r="M5" s="9"/>
      <c r="N5" s="55"/>
      <c r="O5" s="21">
        <f t="shared" ref="O5:O30" si="6">IF(COUNTA($F5,$K5,$P5)&gt;0,O4+SUM(L5:N5),"")</f>
        <v>20000</v>
      </c>
      <c r="P5" s="8" t="s">
        <v>156</v>
      </c>
      <c r="Q5" s="9">
        <v>1500</v>
      </c>
      <c r="R5" s="9"/>
      <c r="S5" s="55"/>
      <c r="T5" s="21">
        <f t="shared" ref="T5:T30" si="7">IF(COUNTA($F5,$K5,$P5)&gt;0,T4+SUM(Q5:S5),"")</f>
        <v>36500</v>
      </c>
      <c r="U5" s="60">
        <f t="shared" si="0"/>
        <v>12.5</v>
      </c>
      <c r="V5" s="61">
        <f t="shared" si="1"/>
        <v>-15</v>
      </c>
      <c r="W5" s="62">
        <f t="shared" si="2"/>
        <v>1.5</v>
      </c>
      <c r="Y5" s="8" t="s">
        <v>154</v>
      </c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155</v>
      </c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154</v>
      </c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1</v>
      </c>
      <c r="C6" s="18">
        <f t="shared" ref="C6:C30" si="9">IF($E6="","",IF($F5="チョンボ",C5,IF(OR($E5=$E6,$F5="流局"),C5+1,0)))</f>
        <v>2</v>
      </c>
      <c r="D6" s="18">
        <f t="shared" si="4"/>
        <v>1</v>
      </c>
      <c r="E6" s="4" t="s">
        <v>137</v>
      </c>
      <c r="F6" s="8" t="s">
        <v>144</v>
      </c>
      <c r="G6" s="9">
        <v>-5000</v>
      </c>
      <c r="H6" s="9"/>
      <c r="I6" s="55">
        <v>-1000</v>
      </c>
      <c r="J6" s="21">
        <f t="shared" si="5"/>
        <v>41500</v>
      </c>
      <c r="K6" s="8" t="s">
        <v>143</v>
      </c>
      <c r="L6" s="9">
        <v>8000</v>
      </c>
      <c r="M6" s="9">
        <v>1000</v>
      </c>
      <c r="N6" s="55">
        <v>2000</v>
      </c>
      <c r="O6" s="21">
        <f t="shared" si="6"/>
        <v>31000</v>
      </c>
      <c r="P6" s="8" t="s">
        <v>144</v>
      </c>
      <c r="Q6" s="9">
        <v>-3000</v>
      </c>
      <c r="R6" s="9"/>
      <c r="S6" s="55">
        <v>-1000</v>
      </c>
      <c r="T6" s="21">
        <f t="shared" si="7"/>
        <v>32500</v>
      </c>
      <c r="U6" s="60">
        <f t="shared" si="0"/>
        <v>6.5</v>
      </c>
      <c r="V6" s="61">
        <f t="shared" si="1"/>
        <v>-4</v>
      </c>
      <c r="W6" s="62">
        <f t="shared" si="2"/>
        <v>-2.5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5</v>
      </c>
      <c r="AY6" s="36" t="s">
        <v>145</v>
      </c>
      <c r="AZ6" s="47" t="s">
        <v>146</v>
      </c>
      <c r="BA6" s="48" t="s">
        <v>83</v>
      </c>
      <c r="BB6" s="48" t="s">
        <v>97</v>
      </c>
      <c r="BC6" s="48" t="s">
        <v>82</v>
      </c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2</v>
      </c>
      <c r="C7" s="18">
        <f t="shared" si="9"/>
        <v>0</v>
      </c>
      <c r="D7" s="18">
        <f t="shared" si="4"/>
        <v>0</v>
      </c>
      <c r="E7" s="4" t="s">
        <v>152</v>
      </c>
      <c r="F7" s="8" t="s">
        <v>143</v>
      </c>
      <c r="G7" s="9">
        <v>8000</v>
      </c>
      <c r="H7" s="9">
        <v>1000</v>
      </c>
      <c r="I7" s="55">
        <v>0</v>
      </c>
      <c r="J7" s="21">
        <f t="shared" si="5"/>
        <v>50500</v>
      </c>
      <c r="K7" s="8" t="s">
        <v>144</v>
      </c>
      <c r="L7" s="9">
        <v>-5000</v>
      </c>
      <c r="M7" s="9"/>
      <c r="N7" s="55">
        <v>0</v>
      </c>
      <c r="O7" s="21">
        <f t="shared" si="6"/>
        <v>26000</v>
      </c>
      <c r="P7" s="8" t="s">
        <v>144</v>
      </c>
      <c r="Q7" s="9">
        <v>-3000</v>
      </c>
      <c r="R7" s="9">
        <v>-1000</v>
      </c>
      <c r="S7" s="55">
        <v>0</v>
      </c>
      <c r="T7" s="21">
        <f t="shared" si="7"/>
        <v>28500</v>
      </c>
      <c r="U7" s="60">
        <f t="shared" si="0"/>
        <v>15.5</v>
      </c>
      <c r="V7" s="61">
        <f t="shared" si="1"/>
        <v>-9</v>
      </c>
      <c r="W7" s="62">
        <f t="shared" si="2"/>
        <v>-6.5</v>
      </c>
      <c r="Y7" s="8"/>
      <c r="Z7" s="41"/>
      <c r="AA7" s="32"/>
      <c r="AB7" s="32">
        <v>1</v>
      </c>
      <c r="AC7" s="32">
        <v>4</v>
      </c>
      <c r="AD7" s="36">
        <v>30</v>
      </c>
      <c r="AE7" s="47" t="s">
        <v>105</v>
      </c>
      <c r="AF7" s="48" t="s">
        <v>87</v>
      </c>
      <c r="AG7" s="48" t="s">
        <v>82</v>
      </c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3</v>
      </c>
      <c r="C8" s="18">
        <f t="shared" si="9"/>
        <v>0</v>
      </c>
      <c r="D8" s="18">
        <f t="shared" si="4"/>
        <v>0</v>
      </c>
      <c r="E8" s="4" t="s">
        <v>139</v>
      </c>
      <c r="F8" s="8" t="s">
        <v>143</v>
      </c>
      <c r="G8" s="9">
        <v>8000</v>
      </c>
      <c r="H8" s="9"/>
      <c r="I8" s="55">
        <v>0</v>
      </c>
      <c r="J8" s="21">
        <f t="shared" si="5"/>
        <v>58500</v>
      </c>
      <c r="K8" s="8" t="s">
        <v>144</v>
      </c>
      <c r="L8" s="9">
        <v>-3000</v>
      </c>
      <c r="M8" s="9"/>
      <c r="N8" s="55">
        <v>0</v>
      </c>
      <c r="O8" s="21">
        <f t="shared" si="6"/>
        <v>23000</v>
      </c>
      <c r="P8" s="8" t="s">
        <v>144</v>
      </c>
      <c r="Q8" s="9">
        <v>-5000</v>
      </c>
      <c r="R8" s="9"/>
      <c r="S8" s="55">
        <v>0</v>
      </c>
      <c r="T8" s="21">
        <f t="shared" si="7"/>
        <v>23500</v>
      </c>
      <c r="U8" s="60">
        <f t="shared" si="0"/>
        <v>23.5</v>
      </c>
      <c r="V8" s="61">
        <f t="shared" si="1"/>
        <v>-12</v>
      </c>
      <c r="W8" s="62">
        <f t="shared" si="2"/>
        <v>-11.5</v>
      </c>
      <c r="Y8" s="8"/>
      <c r="Z8" s="41"/>
      <c r="AA8" s="32">
        <v>1</v>
      </c>
      <c r="AB8" s="32"/>
      <c r="AC8" s="32">
        <v>4</v>
      </c>
      <c r="AD8" s="36">
        <v>30</v>
      </c>
      <c r="AE8" s="47" t="s">
        <v>146</v>
      </c>
      <c r="AF8" s="48" t="s">
        <v>83</v>
      </c>
      <c r="AG8" s="48" t="s">
        <v>149</v>
      </c>
      <c r="AH8" s="48" t="s">
        <v>81</v>
      </c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1</v>
      </c>
      <c r="C9" s="18">
        <f t="shared" si="9"/>
        <v>0</v>
      </c>
      <c r="D9" s="18">
        <f t="shared" si="4"/>
        <v>0</v>
      </c>
      <c r="E9" s="4" t="s">
        <v>137</v>
      </c>
      <c r="F9" s="8"/>
      <c r="G9" s="9"/>
      <c r="H9" s="9"/>
      <c r="I9" s="55"/>
      <c r="J9" s="21">
        <f t="shared" si="5"/>
        <v>58500</v>
      </c>
      <c r="K9" s="8" t="s">
        <v>148</v>
      </c>
      <c r="L9" s="9">
        <v>3900</v>
      </c>
      <c r="M9" s="9"/>
      <c r="N9" s="55">
        <v>0</v>
      </c>
      <c r="O9" s="21">
        <f t="shared" si="6"/>
        <v>26900</v>
      </c>
      <c r="P9" s="8" t="s">
        <v>147</v>
      </c>
      <c r="Q9" s="9">
        <v>-3900</v>
      </c>
      <c r="R9" s="9"/>
      <c r="S9" s="55">
        <v>0</v>
      </c>
      <c r="T9" s="21">
        <f t="shared" si="7"/>
        <v>19600</v>
      </c>
      <c r="U9" s="60">
        <f t="shared" si="0"/>
        <v>23.5</v>
      </c>
      <c r="V9" s="61">
        <f t="shared" si="1"/>
        <v>-8.1</v>
      </c>
      <c r="W9" s="62">
        <f t="shared" si="2"/>
        <v>-15.4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>
        <v>3</v>
      </c>
      <c r="AY9" s="36">
        <v>30</v>
      </c>
      <c r="AZ9" s="47" t="s">
        <v>87</v>
      </c>
      <c r="BA9" s="48" t="s">
        <v>87</v>
      </c>
      <c r="BB9" s="48" t="s">
        <v>82</v>
      </c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2</v>
      </c>
      <c r="C10" s="18">
        <f t="shared" si="9"/>
        <v>0</v>
      </c>
      <c r="D10" s="18">
        <f t="shared" si="4"/>
        <v>0</v>
      </c>
      <c r="E10" s="4" t="s">
        <v>152</v>
      </c>
      <c r="F10" s="8"/>
      <c r="G10" s="9"/>
      <c r="H10" s="9"/>
      <c r="I10" s="55"/>
      <c r="J10" s="21">
        <f t="shared" si="5"/>
        <v>58500</v>
      </c>
      <c r="K10" s="8" t="s">
        <v>147</v>
      </c>
      <c r="L10" s="9">
        <v>-8000</v>
      </c>
      <c r="M10" s="9">
        <v>-1000</v>
      </c>
      <c r="N10" s="55">
        <v>0</v>
      </c>
      <c r="O10" s="21">
        <f t="shared" si="6"/>
        <v>17900</v>
      </c>
      <c r="P10" s="8" t="s">
        <v>148</v>
      </c>
      <c r="Q10" s="9">
        <v>8000</v>
      </c>
      <c r="R10" s="9">
        <v>1000</v>
      </c>
      <c r="S10" s="55">
        <v>0</v>
      </c>
      <c r="T10" s="21">
        <f t="shared" si="7"/>
        <v>28600</v>
      </c>
      <c r="U10" s="60">
        <f t="shared" si="0"/>
        <v>23.5</v>
      </c>
      <c r="V10" s="61">
        <f t="shared" si="1"/>
        <v>-17.100000000000001</v>
      </c>
      <c r="W10" s="62">
        <f t="shared" si="2"/>
        <v>-6.4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>
        <v>5</v>
      </c>
      <c r="BT10" s="36" t="s">
        <v>145</v>
      </c>
      <c r="BU10" s="47" t="s">
        <v>82</v>
      </c>
      <c r="BV10" s="48" t="s">
        <v>82</v>
      </c>
      <c r="BW10" s="48" t="s">
        <v>87</v>
      </c>
      <c r="BX10" s="48" t="s">
        <v>87</v>
      </c>
      <c r="BY10" s="48" t="s">
        <v>87</v>
      </c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">
        <v>139</v>
      </c>
      <c r="F11" s="8" t="s">
        <v>143</v>
      </c>
      <c r="G11" s="9">
        <v>2100</v>
      </c>
      <c r="H11" s="9">
        <v>1000</v>
      </c>
      <c r="I11" s="55">
        <v>0</v>
      </c>
      <c r="J11" s="21">
        <f t="shared" si="5"/>
        <v>61600</v>
      </c>
      <c r="K11" s="8" t="s">
        <v>144</v>
      </c>
      <c r="L11" s="9">
        <v>-800</v>
      </c>
      <c r="M11" s="9">
        <v>-1000</v>
      </c>
      <c r="N11" s="55">
        <v>0</v>
      </c>
      <c r="O11" s="21">
        <f t="shared" si="6"/>
        <v>16100</v>
      </c>
      <c r="P11" s="8" t="s">
        <v>144</v>
      </c>
      <c r="Q11" s="9">
        <v>-1300</v>
      </c>
      <c r="R11" s="9"/>
      <c r="S11" s="55">
        <v>0</v>
      </c>
      <c r="T11" s="21">
        <f t="shared" si="7"/>
        <v>27300</v>
      </c>
      <c r="U11" s="60">
        <f t="shared" si="0"/>
        <v>26.6</v>
      </c>
      <c r="V11" s="61">
        <f t="shared" si="1"/>
        <v>-18.899999999999999</v>
      </c>
      <c r="W11" s="62">
        <f t="shared" si="2"/>
        <v>-7.7</v>
      </c>
      <c r="Y11" s="8"/>
      <c r="Z11" s="41"/>
      <c r="AA11" s="32"/>
      <c r="AB11" s="32">
        <v>1</v>
      </c>
      <c r="AC11" s="32">
        <v>2</v>
      </c>
      <c r="AD11" s="36">
        <v>30</v>
      </c>
      <c r="AE11" s="47" t="s">
        <v>87</v>
      </c>
      <c r="AF11" s="48" t="s">
        <v>87</v>
      </c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5489742B-2226-4220-AD1D-3257B99F9445}">
      <formula1>"ロン,ツモ,放銃,ツモ支払,流局,チョンボ"</formula1>
    </dataValidation>
    <dataValidation type="list" allowBlank="1" showInputMessage="1" showErrorMessage="1" sqref="E4:E30" xr:uid="{175F5F1A-C2A1-4D05-ABCF-F4AA3D64D4D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08F81-D16B-46A1-BC3E-8CAF4A390B53}">
  <sheetPr codeName="Sheet12">
    <pageSetUpPr fitToPage="1"/>
  </sheetPr>
  <dimension ref="A1:CI30"/>
  <sheetViews>
    <sheetView tabSelected="1" zoomScaleNormal="100" workbookViewId="0">
      <selection activeCell="H14" sqref="H1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138</v>
      </c>
      <c r="G1" s="74"/>
      <c r="H1" s="74"/>
      <c r="I1" s="83"/>
      <c r="J1" s="75"/>
      <c r="K1" s="72" t="s">
        <v>153</v>
      </c>
      <c r="L1" s="74"/>
      <c r="M1" s="74"/>
      <c r="N1" s="83"/>
      <c r="O1" s="75"/>
      <c r="P1" s="72" t="s">
        <v>142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りくと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たかの</v>
      </c>
      <c r="W2" s="16" t="str">
        <f>$P$1</f>
        <v>りくと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152</v>
      </c>
      <c r="F4" s="8" t="s">
        <v>144</v>
      </c>
      <c r="G4" s="9">
        <v>-2000</v>
      </c>
      <c r="H4" s="9"/>
      <c r="I4" s="55">
        <v>0</v>
      </c>
      <c r="J4" s="21">
        <f>IF(COUNTA($F4,$K4,$P4)&gt;0,J3+SUM(G4:I4),"")</f>
        <v>33000</v>
      </c>
      <c r="K4" s="8" t="s">
        <v>143</v>
      </c>
      <c r="L4" s="9">
        <v>4000</v>
      </c>
      <c r="M4" s="9"/>
      <c r="N4" s="55">
        <v>0</v>
      </c>
      <c r="O4" s="21">
        <f>IF(COUNTA($F4,$K4,$P4)&gt;0,O3+SUM(L4:N4),"")</f>
        <v>39000</v>
      </c>
      <c r="P4" s="8" t="s">
        <v>144</v>
      </c>
      <c r="Q4" s="9">
        <v>-2000</v>
      </c>
      <c r="R4" s="9"/>
      <c r="S4" s="55">
        <v>0</v>
      </c>
      <c r="T4" s="21">
        <f>IF(COUNTA($F4,$K4,$P4)&gt;0,T3+SUM(Q4:S4),"")</f>
        <v>33000</v>
      </c>
      <c r="U4" s="60">
        <f t="shared" ref="U4:U30" si="0">IF($J4="","",ROUND(($J4-$J$3)/1000,1))</f>
        <v>-2</v>
      </c>
      <c r="V4" s="61">
        <f t="shared" ref="V4:V30" si="1">IF($O4="","",ROUND(($O4-$O$3)/1000,1))</f>
        <v>4</v>
      </c>
      <c r="W4" s="62">
        <f t="shared" ref="W4:W30" si="2">IF($T4="","",ROUND(($T4-$T$3)/1000,1))</f>
        <v>-2</v>
      </c>
      <c r="Y4" s="8"/>
      <c r="Z4" s="41"/>
      <c r="AA4" s="32"/>
      <c r="AB4" s="32">
        <v>1</v>
      </c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3</v>
      </c>
      <c r="AY4" s="36">
        <v>20</v>
      </c>
      <c r="AZ4" s="47" t="s">
        <v>146</v>
      </c>
      <c r="BA4" s="48" t="s">
        <v>83</v>
      </c>
      <c r="BB4" s="48" t="s">
        <v>84</v>
      </c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">
        <v>152</v>
      </c>
      <c r="F5" s="8" t="s">
        <v>156</v>
      </c>
      <c r="G5" s="9">
        <v>-3000</v>
      </c>
      <c r="H5" s="9"/>
      <c r="I5" s="55"/>
      <c r="J5" s="21">
        <f t="shared" ref="J5:J30" si="5">IF(COUNTA($F5,$K5,$P5)&gt;0,J4+SUM(G5:I5),"")</f>
        <v>30000</v>
      </c>
      <c r="K5" s="8" t="s">
        <v>156</v>
      </c>
      <c r="L5" s="9">
        <v>1500</v>
      </c>
      <c r="M5" s="9">
        <v>-1000</v>
      </c>
      <c r="N5" s="55"/>
      <c r="O5" s="21">
        <f t="shared" ref="O5:O30" si="6">IF(COUNTA($F5,$K5,$P5)&gt;0,O4+SUM(L5:N5),"")</f>
        <v>39500</v>
      </c>
      <c r="P5" s="8" t="s">
        <v>156</v>
      </c>
      <c r="Q5" s="9">
        <v>1500</v>
      </c>
      <c r="R5" s="9"/>
      <c r="S5" s="55"/>
      <c r="T5" s="21">
        <f t="shared" ref="T5:T30" si="7">IF(COUNTA($F5,$K5,$P5)&gt;0,T4+SUM(Q5:S5),"")</f>
        <v>34500</v>
      </c>
      <c r="U5" s="60">
        <f t="shared" si="0"/>
        <v>-5</v>
      </c>
      <c r="V5" s="61">
        <f t="shared" si="1"/>
        <v>4.5</v>
      </c>
      <c r="W5" s="62">
        <f t="shared" si="2"/>
        <v>-0.5</v>
      </c>
      <c r="Y5" s="8" t="s">
        <v>155</v>
      </c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154</v>
      </c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154</v>
      </c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1</v>
      </c>
      <c r="C6" s="18">
        <f t="shared" ref="C6:C30" si="9">IF($E6="","",IF($F5="チョンボ",C5,IF(OR($E5=$E6,$F5="流局"),C5+1,0)))</f>
        <v>2</v>
      </c>
      <c r="D6" s="18">
        <f t="shared" si="4"/>
        <v>1</v>
      </c>
      <c r="E6" s="4" t="s">
        <v>152</v>
      </c>
      <c r="F6" s="8"/>
      <c r="G6" s="9"/>
      <c r="H6" s="9"/>
      <c r="I6" s="55"/>
      <c r="J6" s="21">
        <f t="shared" si="5"/>
        <v>30000</v>
      </c>
      <c r="K6" s="8" t="s">
        <v>148</v>
      </c>
      <c r="L6" s="9">
        <v>3900</v>
      </c>
      <c r="M6" s="9">
        <v>1000</v>
      </c>
      <c r="N6" s="55">
        <v>2000</v>
      </c>
      <c r="O6" s="21">
        <f t="shared" si="6"/>
        <v>46400</v>
      </c>
      <c r="P6" s="8" t="s">
        <v>147</v>
      </c>
      <c r="Q6" s="9">
        <v>-3900</v>
      </c>
      <c r="R6" s="9"/>
      <c r="S6" s="55">
        <v>-2000</v>
      </c>
      <c r="T6" s="21">
        <f t="shared" si="7"/>
        <v>28600</v>
      </c>
      <c r="U6" s="60">
        <f t="shared" si="0"/>
        <v>-5</v>
      </c>
      <c r="V6" s="61">
        <f t="shared" si="1"/>
        <v>11.4</v>
      </c>
      <c r="W6" s="62">
        <f t="shared" si="2"/>
        <v>-6.4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>
        <v>2</v>
      </c>
      <c r="AY6" s="36">
        <v>40</v>
      </c>
      <c r="AZ6" s="47" t="s">
        <v>86</v>
      </c>
      <c r="BA6" s="48" t="s">
        <v>80</v>
      </c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1</v>
      </c>
      <c r="C7" s="18">
        <f t="shared" si="9"/>
        <v>3</v>
      </c>
      <c r="D7" s="18">
        <f t="shared" si="4"/>
        <v>0</v>
      </c>
      <c r="E7" s="4" t="s">
        <v>152</v>
      </c>
      <c r="F7" s="8" t="s">
        <v>144</v>
      </c>
      <c r="G7" s="9">
        <v>-6000</v>
      </c>
      <c r="H7" s="9"/>
      <c r="I7" s="55">
        <v>-1500</v>
      </c>
      <c r="J7" s="21">
        <f t="shared" si="5"/>
        <v>22500</v>
      </c>
      <c r="K7" s="8" t="s">
        <v>143</v>
      </c>
      <c r="L7" s="9">
        <v>12000</v>
      </c>
      <c r="M7" s="9">
        <v>1000</v>
      </c>
      <c r="N7" s="55">
        <v>3000</v>
      </c>
      <c r="O7" s="21">
        <f t="shared" si="6"/>
        <v>62400</v>
      </c>
      <c r="P7" s="8" t="s">
        <v>144</v>
      </c>
      <c r="Q7" s="9">
        <v>-6000</v>
      </c>
      <c r="R7" s="9">
        <v>-1000</v>
      </c>
      <c r="S7" s="55">
        <v>-1500</v>
      </c>
      <c r="T7" s="21">
        <f t="shared" si="7"/>
        <v>20100</v>
      </c>
      <c r="U7" s="60">
        <f t="shared" si="0"/>
        <v>-12.5</v>
      </c>
      <c r="V7" s="61">
        <f t="shared" si="1"/>
        <v>27.4</v>
      </c>
      <c r="W7" s="62">
        <f t="shared" si="2"/>
        <v>-14.9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>
        <v>5</v>
      </c>
      <c r="AY7" s="36" t="s">
        <v>145</v>
      </c>
      <c r="AZ7" s="47" t="s">
        <v>87</v>
      </c>
      <c r="BA7" s="48" t="s">
        <v>87</v>
      </c>
      <c r="BB7" s="48" t="s">
        <v>97</v>
      </c>
      <c r="BC7" s="48" t="s">
        <v>87</v>
      </c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8"/>
        <v>1</v>
      </c>
      <c r="C8" s="18">
        <f t="shared" si="9"/>
        <v>4</v>
      </c>
      <c r="D8" s="18">
        <f t="shared" si="4"/>
        <v>0</v>
      </c>
      <c r="E8" s="4" t="s">
        <v>152</v>
      </c>
      <c r="F8" s="8" t="s">
        <v>148</v>
      </c>
      <c r="G8" s="9">
        <v>12000</v>
      </c>
      <c r="H8" s="9"/>
      <c r="I8" s="55">
        <v>4000</v>
      </c>
      <c r="J8" s="21">
        <f t="shared" si="5"/>
        <v>38500</v>
      </c>
      <c r="K8" s="8" t="s">
        <v>147</v>
      </c>
      <c r="L8" s="9">
        <v>-12000</v>
      </c>
      <c r="M8" s="9"/>
      <c r="N8" s="55">
        <v>-4000</v>
      </c>
      <c r="O8" s="21">
        <f t="shared" si="6"/>
        <v>46400</v>
      </c>
      <c r="P8" s="8"/>
      <c r="Q8" s="9"/>
      <c r="R8" s="9"/>
      <c r="S8" s="55"/>
      <c r="T8" s="21">
        <f t="shared" si="7"/>
        <v>20100</v>
      </c>
      <c r="U8" s="60">
        <f t="shared" si="0"/>
        <v>3.5</v>
      </c>
      <c r="V8" s="61">
        <f t="shared" si="1"/>
        <v>11.4</v>
      </c>
      <c r="W8" s="62">
        <f t="shared" si="2"/>
        <v>-14.9</v>
      </c>
      <c r="Y8" s="8"/>
      <c r="Z8" s="41"/>
      <c r="AA8" s="32"/>
      <c r="AB8" s="32">
        <v>1</v>
      </c>
      <c r="AC8" s="32">
        <v>7</v>
      </c>
      <c r="AD8" s="36" t="s">
        <v>145</v>
      </c>
      <c r="AE8" s="47" t="s">
        <v>105</v>
      </c>
      <c r="AF8" s="48" t="s">
        <v>82</v>
      </c>
      <c r="AG8" s="48" t="s">
        <v>82</v>
      </c>
      <c r="AH8" s="48" t="s">
        <v>87</v>
      </c>
      <c r="AI8" s="48" t="s">
        <v>80</v>
      </c>
      <c r="AJ8" s="48" t="s">
        <v>80</v>
      </c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8"/>
        <v>2</v>
      </c>
      <c r="C9" s="18">
        <f t="shared" si="9"/>
        <v>0</v>
      </c>
      <c r="D9" s="18">
        <f t="shared" si="4"/>
        <v>0</v>
      </c>
      <c r="E9" s="4" t="s">
        <v>141</v>
      </c>
      <c r="F9" s="8" t="s">
        <v>144</v>
      </c>
      <c r="G9" s="9">
        <v>-9000</v>
      </c>
      <c r="H9" s="9"/>
      <c r="I9" s="55">
        <v>0</v>
      </c>
      <c r="J9" s="21">
        <f t="shared" si="5"/>
        <v>29500</v>
      </c>
      <c r="K9" s="8" t="s">
        <v>144</v>
      </c>
      <c r="L9" s="9">
        <v>-9000</v>
      </c>
      <c r="M9" s="9"/>
      <c r="N9" s="55">
        <v>0</v>
      </c>
      <c r="O9" s="21">
        <f t="shared" si="6"/>
        <v>37400</v>
      </c>
      <c r="P9" s="8" t="s">
        <v>143</v>
      </c>
      <c r="Q9" s="9">
        <v>18000</v>
      </c>
      <c r="R9" s="9"/>
      <c r="S9" s="55">
        <v>0</v>
      </c>
      <c r="T9" s="21">
        <f t="shared" si="7"/>
        <v>38100</v>
      </c>
      <c r="U9" s="60">
        <f t="shared" si="0"/>
        <v>-5.5</v>
      </c>
      <c r="V9" s="61">
        <f t="shared" si="1"/>
        <v>2.4</v>
      </c>
      <c r="W9" s="62">
        <f t="shared" si="2"/>
        <v>3.1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7</v>
      </c>
      <c r="BT9" s="36" t="s">
        <v>145</v>
      </c>
      <c r="BU9" s="47" t="s">
        <v>146</v>
      </c>
      <c r="BV9" s="48" t="s">
        <v>149</v>
      </c>
      <c r="BW9" s="48" t="s">
        <v>83</v>
      </c>
      <c r="BX9" s="48" t="s">
        <v>84</v>
      </c>
      <c r="BY9" s="48" t="s">
        <v>82</v>
      </c>
      <c r="BZ9" s="48" t="s">
        <v>82</v>
      </c>
      <c r="CA9" s="48" t="s">
        <v>80</v>
      </c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東</v>
      </c>
      <c r="B10" s="18">
        <f t="shared" si="8"/>
        <v>2</v>
      </c>
      <c r="C10" s="18">
        <f t="shared" si="9"/>
        <v>1</v>
      </c>
      <c r="D10" s="18">
        <f t="shared" si="4"/>
        <v>0</v>
      </c>
      <c r="E10" s="4" t="s">
        <v>141</v>
      </c>
      <c r="F10" s="8" t="s">
        <v>148</v>
      </c>
      <c r="G10" s="9">
        <v>8000</v>
      </c>
      <c r="H10" s="9"/>
      <c r="I10" s="55">
        <v>1000</v>
      </c>
      <c r="J10" s="21">
        <f t="shared" si="5"/>
        <v>38500</v>
      </c>
      <c r="K10" s="8" t="s">
        <v>147</v>
      </c>
      <c r="L10" s="9">
        <v>-8000</v>
      </c>
      <c r="M10" s="9"/>
      <c r="N10" s="55">
        <v>-1000</v>
      </c>
      <c r="O10" s="21">
        <f t="shared" si="6"/>
        <v>28400</v>
      </c>
      <c r="P10" s="8"/>
      <c r="Q10" s="9"/>
      <c r="R10" s="9"/>
      <c r="S10" s="55"/>
      <c r="T10" s="21">
        <f t="shared" si="7"/>
        <v>38100</v>
      </c>
      <c r="U10" s="60">
        <f t="shared" si="0"/>
        <v>3.5</v>
      </c>
      <c r="V10" s="61">
        <f t="shared" si="1"/>
        <v>-6.6</v>
      </c>
      <c r="W10" s="62">
        <f t="shared" si="2"/>
        <v>3.1</v>
      </c>
      <c r="Y10" s="8"/>
      <c r="Z10" s="41"/>
      <c r="AA10" s="32"/>
      <c r="AB10" s="32">
        <v>1</v>
      </c>
      <c r="AC10" s="32">
        <v>4</v>
      </c>
      <c r="AD10" s="36">
        <v>30</v>
      </c>
      <c r="AE10" s="47" t="s">
        <v>87</v>
      </c>
      <c r="AF10" s="48" t="s">
        <v>82</v>
      </c>
      <c r="AG10" s="48" t="s">
        <v>82</v>
      </c>
      <c r="AH10" s="48" t="s">
        <v>80</v>
      </c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東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">
        <v>137</v>
      </c>
      <c r="F11" s="8" t="s">
        <v>144</v>
      </c>
      <c r="G11" s="9">
        <v>-2500</v>
      </c>
      <c r="H11" s="9"/>
      <c r="I11" s="55">
        <v>0</v>
      </c>
      <c r="J11" s="21">
        <f t="shared" si="5"/>
        <v>36000</v>
      </c>
      <c r="K11" s="8" t="s">
        <v>144</v>
      </c>
      <c r="L11" s="9">
        <v>-1500</v>
      </c>
      <c r="M11" s="9"/>
      <c r="N11" s="55">
        <v>0</v>
      </c>
      <c r="O11" s="21">
        <f t="shared" si="6"/>
        <v>26900</v>
      </c>
      <c r="P11" s="8" t="s">
        <v>143</v>
      </c>
      <c r="Q11" s="9">
        <v>4000</v>
      </c>
      <c r="R11" s="9"/>
      <c r="S11" s="55">
        <v>0</v>
      </c>
      <c r="T11" s="21">
        <f t="shared" si="7"/>
        <v>42100</v>
      </c>
      <c r="U11" s="60">
        <f t="shared" si="0"/>
        <v>1</v>
      </c>
      <c r="V11" s="61">
        <f t="shared" si="1"/>
        <v>-8.1</v>
      </c>
      <c r="W11" s="62">
        <f t="shared" si="2"/>
        <v>7.1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>
        <v>3</v>
      </c>
      <c r="BT11" s="36">
        <v>30</v>
      </c>
      <c r="BU11" s="47" t="s">
        <v>83</v>
      </c>
      <c r="BV11" s="48" t="s">
        <v>82</v>
      </c>
      <c r="BW11" s="48" t="s">
        <v>82</v>
      </c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8"/>
        <v>1</v>
      </c>
      <c r="C12" s="18">
        <f t="shared" si="9"/>
        <v>0</v>
      </c>
      <c r="D12" s="18">
        <f t="shared" si="4"/>
        <v>0</v>
      </c>
      <c r="E12" s="4" t="s">
        <v>152</v>
      </c>
      <c r="F12" s="8" t="s">
        <v>143</v>
      </c>
      <c r="G12" s="9">
        <v>12000</v>
      </c>
      <c r="H12" s="9"/>
      <c r="I12" s="55">
        <v>0</v>
      </c>
      <c r="J12" s="21">
        <f t="shared" si="5"/>
        <v>48000</v>
      </c>
      <c r="K12" s="8" t="s">
        <v>144</v>
      </c>
      <c r="L12" s="9">
        <v>-7500</v>
      </c>
      <c r="M12" s="9"/>
      <c r="N12" s="55">
        <v>0</v>
      </c>
      <c r="O12" s="21">
        <f t="shared" si="6"/>
        <v>19400</v>
      </c>
      <c r="P12" s="8" t="s">
        <v>144</v>
      </c>
      <c r="Q12" s="9">
        <v>-4500</v>
      </c>
      <c r="R12" s="9"/>
      <c r="S12" s="55">
        <v>0</v>
      </c>
      <c r="T12" s="21">
        <f t="shared" si="7"/>
        <v>37600</v>
      </c>
      <c r="U12" s="60">
        <f t="shared" si="0"/>
        <v>13</v>
      </c>
      <c r="V12" s="61">
        <f t="shared" si="1"/>
        <v>-15.6</v>
      </c>
      <c r="W12" s="62">
        <f t="shared" si="2"/>
        <v>2.6</v>
      </c>
      <c r="Y12" s="8"/>
      <c r="Z12" s="41"/>
      <c r="AA12" s="32">
        <v>1</v>
      </c>
      <c r="AB12" s="32"/>
      <c r="AC12" s="32">
        <v>6</v>
      </c>
      <c r="AD12" s="36" t="s">
        <v>145</v>
      </c>
      <c r="AE12" s="47" t="s">
        <v>146</v>
      </c>
      <c r="AF12" s="48" t="s">
        <v>83</v>
      </c>
      <c r="AG12" s="48" t="s">
        <v>149</v>
      </c>
      <c r="AH12" s="48" t="s">
        <v>84</v>
      </c>
      <c r="AI12" s="48" t="s">
        <v>81</v>
      </c>
      <c r="AJ12" s="48" t="s">
        <v>81</v>
      </c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8"/>
        <v>2</v>
      </c>
      <c r="C13" s="18">
        <f t="shared" si="9"/>
        <v>0</v>
      </c>
      <c r="D13" s="18">
        <f t="shared" si="4"/>
        <v>0</v>
      </c>
      <c r="E13" s="4" t="s">
        <v>141</v>
      </c>
      <c r="F13" s="8" t="s">
        <v>143</v>
      </c>
      <c r="G13" s="9">
        <v>4000</v>
      </c>
      <c r="H13" s="9"/>
      <c r="I13" s="55">
        <v>0</v>
      </c>
      <c r="J13" s="21">
        <f t="shared" si="5"/>
        <v>52000</v>
      </c>
      <c r="K13" s="8" t="s">
        <v>144</v>
      </c>
      <c r="L13" s="9">
        <v>-1500</v>
      </c>
      <c r="M13" s="9"/>
      <c r="N13" s="55">
        <v>0</v>
      </c>
      <c r="O13" s="21">
        <f t="shared" si="6"/>
        <v>17900</v>
      </c>
      <c r="P13" s="8" t="s">
        <v>144</v>
      </c>
      <c r="Q13" s="9">
        <v>-2500</v>
      </c>
      <c r="R13" s="9"/>
      <c r="S13" s="55">
        <v>0</v>
      </c>
      <c r="T13" s="21">
        <f t="shared" si="7"/>
        <v>35100</v>
      </c>
      <c r="U13" s="60">
        <f t="shared" si="0"/>
        <v>17</v>
      </c>
      <c r="V13" s="61">
        <f t="shared" si="1"/>
        <v>-17.100000000000001</v>
      </c>
      <c r="W13" s="62">
        <f t="shared" si="2"/>
        <v>0.1</v>
      </c>
      <c r="Y13" s="8"/>
      <c r="Z13" s="41"/>
      <c r="AA13" s="32"/>
      <c r="AB13" s="32">
        <v>1</v>
      </c>
      <c r="AC13" s="32">
        <v>3</v>
      </c>
      <c r="AD13" s="36">
        <v>30</v>
      </c>
      <c r="AE13" s="47" t="s">
        <v>87</v>
      </c>
      <c r="AF13" s="48" t="s">
        <v>82</v>
      </c>
      <c r="AG13" s="48" t="s">
        <v>82</v>
      </c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>南</v>
      </c>
      <c r="B14" s="18">
        <f t="shared" si="8"/>
        <v>3</v>
      </c>
      <c r="C14" s="18">
        <f t="shared" si="9"/>
        <v>0</v>
      </c>
      <c r="D14" s="18">
        <f t="shared" si="4"/>
        <v>0</v>
      </c>
      <c r="E14" s="4" t="s">
        <v>137</v>
      </c>
      <c r="F14" s="8" t="s">
        <v>156</v>
      </c>
      <c r="G14" s="9">
        <v>3000</v>
      </c>
      <c r="H14" s="9">
        <v>0</v>
      </c>
      <c r="I14" s="55"/>
      <c r="J14" s="21">
        <f t="shared" si="5"/>
        <v>55000</v>
      </c>
      <c r="K14" s="8" t="s">
        <v>156</v>
      </c>
      <c r="L14" s="9">
        <v>-1500</v>
      </c>
      <c r="M14" s="9"/>
      <c r="N14" s="55"/>
      <c r="O14" s="21">
        <f t="shared" si="6"/>
        <v>16400</v>
      </c>
      <c r="P14" s="8" t="s">
        <v>156</v>
      </c>
      <c r="Q14" s="9">
        <v>-1500</v>
      </c>
      <c r="R14" s="9"/>
      <c r="S14" s="55"/>
      <c r="T14" s="21">
        <f t="shared" si="7"/>
        <v>33600</v>
      </c>
      <c r="U14" s="60">
        <f t="shared" si="0"/>
        <v>20</v>
      </c>
      <c r="V14" s="61">
        <f t="shared" si="1"/>
        <v>-18.600000000000001</v>
      </c>
      <c r="W14" s="62">
        <f t="shared" si="2"/>
        <v>-1.4</v>
      </c>
      <c r="Y14" s="8" t="s">
        <v>154</v>
      </c>
      <c r="Z14" s="41"/>
      <c r="AA14" s="32">
        <v>1</v>
      </c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 t="s">
        <v>155</v>
      </c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 t="s">
        <v>155</v>
      </c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54815107-149C-4EE3-8BCB-122D49C38D52}">
      <formula1>$U$2:$W$2</formula1>
    </dataValidation>
    <dataValidation type="list" showInputMessage="1" showErrorMessage="1" sqref="K4:K30 P4:P30 F4:F30" xr:uid="{8D331065-6B47-4E15-89F0-6487A973C3AB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91DEF-B6F0-42A7-BFF3-4A5DC250BCFA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138</v>
      </c>
      <c r="G1" s="74"/>
      <c r="H1" s="74"/>
      <c r="I1" s="83"/>
      <c r="J1" s="75"/>
      <c r="K1" s="72" t="s">
        <v>140</v>
      </c>
      <c r="L1" s="74"/>
      <c r="M1" s="74"/>
      <c r="N1" s="83"/>
      <c r="O1" s="75"/>
      <c r="P1" s="72" t="s">
        <v>151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いっしー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ただ</v>
      </c>
      <c r="W2" s="16" t="str">
        <f>$P$1</f>
        <v>いっしー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143</v>
      </c>
      <c r="G4" s="9">
        <v>2100</v>
      </c>
      <c r="H4" s="9">
        <v>1000</v>
      </c>
      <c r="I4" s="55">
        <v>0</v>
      </c>
      <c r="J4" s="21">
        <f>IF(COUNTA($F4,$K4,$P4)&gt;0,J3+SUM(G4:I4),"")</f>
        <v>38100</v>
      </c>
      <c r="K4" s="8" t="s">
        <v>144</v>
      </c>
      <c r="L4" s="9">
        <v>-1300</v>
      </c>
      <c r="M4" s="9"/>
      <c r="N4" s="55">
        <v>0</v>
      </c>
      <c r="O4" s="21">
        <f>IF(COUNTA($F4,$K4,$P4)&gt;0,O3+SUM(L4:N4),"")</f>
        <v>33700</v>
      </c>
      <c r="P4" s="8" t="s">
        <v>144</v>
      </c>
      <c r="Q4" s="9">
        <v>-800</v>
      </c>
      <c r="R4" s="9">
        <v>-1000</v>
      </c>
      <c r="S4" s="55">
        <v>0</v>
      </c>
      <c r="T4" s="21">
        <f>IF(COUNTA($F4,$K4,$P4)&gt;0,T3+SUM(Q4:S4),"")</f>
        <v>33200</v>
      </c>
      <c r="U4" s="60">
        <f t="shared" ref="U4:U30" si="0">IF($J4="","",ROUND(($J4-$J$3)/1000,1))</f>
        <v>3.1</v>
      </c>
      <c r="V4" s="61">
        <f t="shared" ref="V4:V30" si="1">IF($O4="","",ROUND(($O4-$O$3)/1000,1))</f>
        <v>-1.3</v>
      </c>
      <c r="W4" s="62">
        <f t="shared" ref="W4:W30" si="2">IF($T4="","",ROUND(($T4-$T$3)/1000,1))</f>
        <v>-1.8</v>
      </c>
      <c r="Y4" s="8"/>
      <c r="Z4" s="41"/>
      <c r="AA4" s="32">
        <v>1</v>
      </c>
      <c r="AB4" s="32"/>
      <c r="AC4" s="32">
        <v>2</v>
      </c>
      <c r="AD4" s="36">
        <v>30</v>
      </c>
      <c r="AE4" s="47" t="s">
        <v>146</v>
      </c>
      <c r="AF4" s="48" t="s">
        <v>83</v>
      </c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150</v>
      </c>
      <c r="F5" s="8" t="s">
        <v>144</v>
      </c>
      <c r="G5" s="9">
        <v>-9000</v>
      </c>
      <c r="H5" s="9"/>
      <c r="I5" s="55">
        <v>0</v>
      </c>
      <c r="J5" s="21">
        <f t="shared" ref="J5:J30" si="5">IF(COUNTA($F5,$K5,$P5)&gt;0,J4+SUM(G5:I5),"")</f>
        <v>29100</v>
      </c>
      <c r="K5" s="8" t="s">
        <v>144</v>
      </c>
      <c r="L5" s="9">
        <v>-9000</v>
      </c>
      <c r="M5" s="9">
        <v>-1000</v>
      </c>
      <c r="N5" s="55">
        <v>0</v>
      </c>
      <c r="O5" s="21">
        <f t="shared" ref="O5:O30" si="6">IF(COUNTA($F5,$K5,$P5)&gt;0,O4+SUM(L5:N5),"")</f>
        <v>23700</v>
      </c>
      <c r="P5" s="8" t="s">
        <v>143</v>
      </c>
      <c r="Q5" s="9">
        <v>18000</v>
      </c>
      <c r="R5" s="9">
        <v>1000</v>
      </c>
      <c r="S5" s="55">
        <v>0</v>
      </c>
      <c r="T5" s="21">
        <f t="shared" ref="T5:T30" si="7">IF(COUNTA($F5,$K5,$P5)&gt;0,T4+SUM(Q5:S5),"")</f>
        <v>52200</v>
      </c>
      <c r="U5" s="60">
        <f t="shared" si="0"/>
        <v>-5.9</v>
      </c>
      <c r="V5" s="61">
        <f t="shared" si="1"/>
        <v>-11.3</v>
      </c>
      <c r="W5" s="62">
        <f t="shared" si="2"/>
        <v>17.2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>
        <v>6</v>
      </c>
      <c r="BT5" s="36" t="s">
        <v>145</v>
      </c>
      <c r="BU5" s="47" t="s">
        <v>82</v>
      </c>
      <c r="BV5" s="48" t="s">
        <v>82</v>
      </c>
      <c r="BW5" s="48" t="s">
        <v>87</v>
      </c>
      <c r="BX5" s="48" t="s">
        <v>80</v>
      </c>
      <c r="BY5" s="48" t="s">
        <v>80</v>
      </c>
      <c r="BZ5" s="48" t="s">
        <v>80</v>
      </c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1</v>
      </c>
      <c r="D6" s="18">
        <f t="shared" si="4"/>
        <v>0</v>
      </c>
      <c r="E6" s="4" t="s">
        <v>150</v>
      </c>
      <c r="F6" s="8" t="s">
        <v>144</v>
      </c>
      <c r="G6" s="9">
        <v>-3000</v>
      </c>
      <c r="H6" s="9"/>
      <c r="I6" s="55">
        <v>-500</v>
      </c>
      <c r="J6" s="21">
        <f t="shared" si="5"/>
        <v>25600</v>
      </c>
      <c r="K6" s="8" t="s">
        <v>143</v>
      </c>
      <c r="L6" s="9">
        <v>8000</v>
      </c>
      <c r="M6" s="9"/>
      <c r="N6" s="55">
        <v>1000</v>
      </c>
      <c r="O6" s="21">
        <f t="shared" si="6"/>
        <v>32700</v>
      </c>
      <c r="P6" s="8" t="s">
        <v>144</v>
      </c>
      <c r="Q6" s="9">
        <v>-5000</v>
      </c>
      <c r="R6" s="9"/>
      <c r="S6" s="55">
        <v>-500</v>
      </c>
      <c r="T6" s="21">
        <f t="shared" si="7"/>
        <v>46700</v>
      </c>
      <c r="U6" s="60">
        <f t="shared" si="0"/>
        <v>-9.4</v>
      </c>
      <c r="V6" s="61">
        <f t="shared" si="1"/>
        <v>-2.2999999999999998</v>
      </c>
      <c r="W6" s="62">
        <f t="shared" si="2"/>
        <v>11.7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5</v>
      </c>
      <c r="AY6" s="36" t="s">
        <v>145</v>
      </c>
      <c r="AZ6" s="47" t="s">
        <v>146</v>
      </c>
      <c r="BA6" s="48" t="s">
        <v>83</v>
      </c>
      <c r="BB6" s="48" t="s">
        <v>149</v>
      </c>
      <c r="BC6" s="48" t="s">
        <v>82</v>
      </c>
      <c r="BD6" s="48" t="s">
        <v>81</v>
      </c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">
        <v>137</v>
      </c>
      <c r="F7" s="8" t="s">
        <v>144</v>
      </c>
      <c r="G7" s="9">
        <v>-10000</v>
      </c>
      <c r="H7" s="9"/>
      <c r="I7" s="55">
        <v>0</v>
      </c>
      <c r="J7" s="21">
        <f t="shared" si="5"/>
        <v>15600</v>
      </c>
      <c r="K7" s="8" t="s">
        <v>143</v>
      </c>
      <c r="L7" s="9">
        <v>16000</v>
      </c>
      <c r="M7" s="9"/>
      <c r="N7" s="55">
        <v>0</v>
      </c>
      <c r="O7" s="21">
        <f t="shared" si="6"/>
        <v>48700</v>
      </c>
      <c r="P7" s="8" t="s">
        <v>144</v>
      </c>
      <c r="Q7" s="9">
        <v>-6000</v>
      </c>
      <c r="R7" s="9"/>
      <c r="S7" s="55">
        <v>0</v>
      </c>
      <c r="T7" s="21">
        <f t="shared" si="7"/>
        <v>40700</v>
      </c>
      <c r="U7" s="60">
        <f t="shared" si="0"/>
        <v>-19.399999999999999</v>
      </c>
      <c r="V7" s="61">
        <f t="shared" si="1"/>
        <v>13.7</v>
      </c>
      <c r="W7" s="62">
        <f t="shared" si="2"/>
        <v>5.7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9</v>
      </c>
      <c r="AY7" s="36" t="s">
        <v>145</v>
      </c>
      <c r="AZ7" s="47" t="s">
        <v>146</v>
      </c>
      <c r="BA7" s="48" t="s">
        <v>83</v>
      </c>
      <c r="BB7" s="48" t="s">
        <v>149</v>
      </c>
      <c r="BC7" s="48" t="s">
        <v>84</v>
      </c>
      <c r="BD7" s="48" t="s">
        <v>86</v>
      </c>
      <c r="BE7" s="48" t="s">
        <v>85</v>
      </c>
      <c r="BF7" s="48" t="s">
        <v>82</v>
      </c>
      <c r="BG7" s="48" t="s">
        <v>80</v>
      </c>
      <c r="BH7" s="48" t="s">
        <v>81</v>
      </c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0</v>
      </c>
      <c r="D8" s="18">
        <f t="shared" si="4"/>
        <v>0</v>
      </c>
      <c r="E8" s="4" t="s">
        <v>139</v>
      </c>
      <c r="F8" s="8" t="s">
        <v>144</v>
      </c>
      <c r="G8" s="9">
        <v>-6000</v>
      </c>
      <c r="H8" s="9">
        <v>-1000</v>
      </c>
      <c r="I8" s="55">
        <v>0</v>
      </c>
      <c r="J8" s="21">
        <f t="shared" si="5"/>
        <v>8600</v>
      </c>
      <c r="K8" s="8" t="s">
        <v>143</v>
      </c>
      <c r="L8" s="9">
        <v>12000</v>
      </c>
      <c r="M8" s="9">
        <v>2000</v>
      </c>
      <c r="N8" s="55">
        <v>0</v>
      </c>
      <c r="O8" s="21">
        <f t="shared" si="6"/>
        <v>62700</v>
      </c>
      <c r="P8" s="8" t="s">
        <v>144</v>
      </c>
      <c r="Q8" s="9">
        <v>-6000</v>
      </c>
      <c r="R8" s="9">
        <v>-1000</v>
      </c>
      <c r="S8" s="55">
        <v>0</v>
      </c>
      <c r="T8" s="21">
        <f t="shared" si="7"/>
        <v>33700</v>
      </c>
      <c r="U8" s="60">
        <f t="shared" si="0"/>
        <v>-26.4</v>
      </c>
      <c r="V8" s="61">
        <f t="shared" si="1"/>
        <v>27.7</v>
      </c>
      <c r="W8" s="62">
        <f t="shared" si="2"/>
        <v>-1.3</v>
      </c>
      <c r="Y8" s="8"/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5</v>
      </c>
      <c r="AY8" s="36" t="s">
        <v>145</v>
      </c>
      <c r="AZ8" s="47" t="s">
        <v>146</v>
      </c>
      <c r="BA8" s="48" t="s">
        <v>83</v>
      </c>
      <c r="BB8" s="48" t="s">
        <v>82</v>
      </c>
      <c r="BC8" s="48" t="s">
        <v>82</v>
      </c>
      <c r="BD8" s="48" t="s">
        <v>81</v>
      </c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8"/>
        <v>1</v>
      </c>
      <c r="C9" s="18">
        <f t="shared" si="9"/>
        <v>1</v>
      </c>
      <c r="D9" s="18">
        <f t="shared" si="4"/>
        <v>0</v>
      </c>
      <c r="E9" s="4" t="s">
        <v>139</v>
      </c>
      <c r="F9" s="8" t="s">
        <v>143</v>
      </c>
      <c r="G9" s="9">
        <v>8000</v>
      </c>
      <c r="H9" s="9">
        <v>1000</v>
      </c>
      <c r="I9" s="55">
        <v>1000</v>
      </c>
      <c r="J9" s="21">
        <f t="shared" si="5"/>
        <v>18600</v>
      </c>
      <c r="K9" s="8" t="s">
        <v>144</v>
      </c>
      <c r="L9" s="9">
        <v>-5000</v>
      </c>
      <c r="M9" s="9">
        <v>-1000</v>
      </c>
      <c r="N9" s="55">
        <v>-500</v>
      </c>
      <c r="O9" s="21">
        <f t="shared" si="6"/>
        <v>56200</v>
      </c>
      <c r="P9" s="8" t="s">
        <v>144</v>
      </c>
      <c r="Q9" s="9">
        <v>-3000</v>
      </c>
      <c r="R9" s="9"/>
      <c r="S9" s="55">
        <v>-500</v>
      </c>
      <c r="T9" s="21">
        <f t="shared" si="7"/>
        <v>30200</v>
      </c>
      <c r="U9" s="60">
        <f t="shared" si="0"/>
        <v>-16.399999999999999</v>
      </c>
      <c r="V9" s="61">
        <f t="shared" si="1"/>
        <v>21.2</v>
      </c>
      <c r="W9" s="62">
        <f t="shared" si="2"/>
        <v>-4.8</v>
      </c>
      <c r="Y9" s="8"/>
      <c r="Z9" s="41"/>
      <c r="AA9" s="32"/>
      <c r="AB9" s="32">
        <v>1</v>
      </c>
      <c r="AC9" s="32">
        <v>4</v>
      </c>
      <c r="AD9" s="36">
        <v>30</v>
      </c>
      <c r="AE9" s="47" t="s">
        <v>80</v>
      </c>
      <c r="AF9" s="48" t="s">
        <v>87</v>
      </c>
      <c r="AG9" s="48" t="s">
        <v>82</v>
      </c>
      <c r="AH9" s="48" t="s">
        <v>82</v>
      </c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8"/>
        <v>2</v>
      </c>
      <c r="C10" s="18">
        <f t="shared" si="9"/>
        <v>0</v>
      </c>
      <c r="D10" s="18">
        <f t="shared" si="4"/>
        <v>0</v>
      </c>
      <c r="E10" s="4" t="s">
        <v>150</v>
      </c>
      <c r="F10" s="8"/>
      <c r="G10" s="9"/>
      <c r="H10" s="9"/>
      <c r="I10" s="55"/>
      <c r="J10" s="21">
        <f t="shared" si="5"/>
        <v>18600</v>
      </c>
      <c r="K10" s="8" t="s">
        <v>147</v>
      </c>
      <c r="L10" s="9">
        <v>-7700</v>
      </c>
      <c r="M10" s="9"/>
      <c r="N10" s="55">
        <v>0</v>
      </c>
      <c r="O10" s="21">
        <f t="shared" si="6"/>
        <v>48500</v>
      </c>
      <c r="P10" s="8" t="s">
        <v>148</v>
      </c>
      <c r="Q10" s="9">
        <v>7700</v>
      </c>
      <c r="R10" s="9"/>
      <c r="S10" s="55">
        <v>0</v>
      </c>
      <c r="T10" s="21">
        <f t="shared" si="7"/>
        <v>37900</v>
      </c>
      <c r="U10" s="60">
        <f t="shared" si="0"/>
        <v>-16.399999999999999</v>
      </c>
      <c r="V10" s="61">
        <f t="shared" si="1"/>
        <v>13.5</v>
      </c>
      <c r="W10" s="62">
        <f t="shared" si="2"/>
        <v>2.9</v>
      </c>
      <c r="Y10" s="8"/>
      <c r="Z10" s="41"/>
      <c r="AA10" s="32"/>
      <c r="AB10" s="32">
        <v>1</v>
      </c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3</v>
      </c>
      <c r="BT10" s="36">
        <v>40</v>
      </c>
      <c r="BU10" s="47" t="s">
        <v>146</v>
      </c>
      <c r="BV10" s="48" t="s">
        <v>86</v>
      </c>
      <c r="BW10" s="48" t="s">
        <v>81</v>
      </c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8"/>
        <v>2</v>
      </c>
      <c r="C11" s="18">
        <f t="shared" si="9"/>
        <v>1</v>
      </c>
      <c r="D11" s="18">
        <f t="shared" si="4"/>
        <v>0</v>
      </c>
      <c r="E11" s="4" t="s">
        <v>150</v>
      </c>
      <c r="F11" s="8" t="s">
        <v>147</v>
      </c>
      <c r="G11" s="9">
        <v>-2000</v>
      </c>
      <c r="H11" s="9"/>
      <c r="I11" s="55">
        <v>-1000</v>
      </c>
      <c r="J11" s="21">
        <f t="shared" si="5"/>
        <v>15600</v>
      </c>
      <c r="K11" s="8"/>
      <c r="L11" s="9"/>
      <c r="M11" s="9"/>
      <c r="N11" s="55"/>
      <c r="O11" s="21">
        <f t="shared" si="6"/>
        <v>48500</v>
      </c>
      <c r="P11" s="8" t="s">
        <v>148</v>
      </c>
      <c r="Q11" s="9">
        <v>2000</v>
      </c>
      <c r="R11" s="9"/>
      <c r="S11" s="55">
        <v>1000</v>
      </c>
      <c r="T11" s="21">
        <f t="shared" si="7"/>
        <v>40900</v>
      </c>
      <c r="U11" s="60">
        <f t="shared" si="0"/>
        <v>-19.399999999999999</v>
      </c>
      <c r="V11" s="61">
        <f t="shared" si="1"/>
        <v>13.5</v>
      </c>
      <c r="W11" s="62">
        <f t="shared" si="2"/>
        <v>5.9</v>
      </c>
      <c r="Y11" s="8"/>
      <c r="Z11" s="41"/>
      <c r="AA11" s="32"/>
      <c r="AB11" s="32">
        <v>1</v>
      </c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1</v>
      </c>
      <c r="BT11" s="36">
        <v>40</v>
      </c>
      <c r="BU11" s="47" t="s">
        <v>87</v>
      </c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8"/>
        <v>2</v>
      </c>
      <c r="C12" s="18">
        <f t="shared" si="9"/>
        <v>2</v>
      </c>
      <c r="D12" s="18">
        <f t="shared" si="4"/>
        <v>0</v>
      </c>
      <c r="E12" s="4" t="s">
        <v>150</v>
      </c>
      <c r="F12" s="8" t="s">
        <v>147</v>
      </c>
      <c r="G12" s="9">
        <v>-8000</v>
      </c>
      <c r="H12" s="9"/>
      <c r="I12" s="55">
        <v>-2000</v>
      </c>
      <c r="J12" s="21">
        <f t="shared" si="5"/>
        <v>5600</v>
      </c>
      <c r="K12" s="8" t="s">
        <v>148</v>
      </c>
      <c r="L12" s="9">
        <v>8000</v>
      </c>
      <c r="M12" s="9"/>
      <c r="N12" s="55">
        <v>2000</v>
      </c>
      <c r="O12" s="21">
        <f t="shared" si="6"/>
        <v>58500</v>
      </c>
      <c r="P12" s="8"/>
      <c r="Q12" s="9"/>
      <c r="R12" s="9"/>
      <c r="S12" s="55"/>
      <c r="T12" s="21">
        <f t="shared" si="7"/>
        <v>40900</v>
      </c>
      <c r="U12" s="60">
        <f t="shared" si="0"/>
        <v>-29.4</v>
      </c>
      <c r="V12" s="61">
        <f t="shared" si="1"/>
        <v>23.5</v>
      </c>
      <c r="W12" s="62">
        <f t="shared" si="2"/>
        <v>5.9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>
        <v>5</v>
      </c>
      <c r="AY12" s="36" t="s">
        <v>145</v>
      </c>
      <c r="AZ12" s="47" t="s">
        <v>87</v>
      </c>
      <c r="BA12" s="48" t="s">
        <v>87</v>
      </c>
      <c r="BB12" s="48" t="s">
        <v>105</v>
      </c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8"/>
        <v>3</v>
      </c>
      <c r="C13" s="18">
        <f t="shared" si="9"/>
        <v>0</v>
      </c>
      <c r="D13" s="18">
        <f t="shared" si="4"/>
        <v>0</v>
      </c>
      <c r="E13" s="4" t="s">
        <v>137</v>
      </c>
      <c r="F13" s="8" t="s">
        <v>147</v>
      </c>
      <c r="G13" s="9">
        <v>-16000</v>
      </c>
      <c r="H13" s="9"/>
      <c r="I13" s="55">
        <v>0</v>
      </c>
      <c r="J13" s="21">
        <f t="shared" si="5"/>
        <v>-10400</v>
      </c>
      <c r="K13" s="8" t="s">
        <v>148</v>
      </c>
      <c r="L13" s="9">
        <v>16000</v>
      </c>
      <c r="M13" s="9"/>
      <c r="N13" s="55">
        <v>0</v>
      </c>
      <c r="O13" s="21">
        <f t="shared" si="6"/>
        <v>74500</v>
      </c>
      <c r="P13" s="8"/>
      <c r="Q13" s="9"/>
      <c r="R13" s="9"/>
      <c r="S13" s="55"/>
      <c r="T13" s="21">
        <f t="shared" si="7"/>
        <v>40900</v>
      </c>
      <c r="U13" s="60">
        <f t="shared" si="0"/>
        <v>-45.4</v>
      </c>
      <c r="V13" s="61">
        <f t="shared" si="1"/>
        <v>39.5</v>
      </c>
      <c r="W13" s="62">
        <f t="shared" si="2"/>
        <v>5.9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>
        <v>8</v>
      </c>
      <c r="AY13" s="36" t="s">
        <v>145</v>
      </c>
      <c r="AZ13" s="47" t="s">
        <v>107</v>
      </c>
      <c r="BA13" s="48" t="s">
        <v>85</v>
      </c>
      <c r="BB13" s="48" t="s">
        <v>82</v>
      </c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23CA65C0-7FA9-4CF1-A01D-FFBEB642E5C6}">
      <formula1>"ロン,ツモ,放銃,ツモ支払,流局,チョンボ"</formula1>
    </dataValidation>
    <dataValidation type="list" allowBlank="1" showInputMessage="1" showErrorMessage="1" sqref="E4:E30" xr:uid="{AD37D2A1-27B5-48E3-B308-7357FA7B337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2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  <row r="52" spans="1:3" x14ac:dyDescent="0.4">
      <c r="A52" s="43" t="s">
        <v>135</v>
      </c>
      <c r="B52" s="15" t="s">
        <v>136</v>
      </c>
      <c r="C52" s="15">
        <v>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2019-10-15T07:36:58Z</dcterms:modified>
</cp:coreProperties>
</file>