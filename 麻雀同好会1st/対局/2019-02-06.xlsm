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738F659C-CA52-4622-9D5E-EE9C878548BB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 s="1"/>
  <c r="T13" i="16"/>
  <c r="W13" i="16" s="1"/>
  <c r="O13" i="16"/>
  <c r="V13" i="16" s="1"/>
  <c r="J13" i="16"/>
  <c r="U13" i="16" s="1"/>
  <c r="D13" i="16"/>
  <c r="C13" i="16"/>
  <c r="D12" i="16"/>
  <c r="C12" i="16"/>
  <c r="D11" i="16"/>
  <c r="C11" i="16"/>
  <c r="D10" i="16"/>
  <c r="D9" i="16"/>
  <c r="D8" i="16"/>
  <c r="C8" i="16"/>
  <c r="C9" i="16" s="1"/>
  <c r="C10" i="16" s="1"/>
  <c r="D7" i="16"/>
  <c r="D6" i="16"/>
  <c r="C6" i="16"/>
  <c r="C7" i="16" s="1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A5" i="16" l="1"/>
  <c r="V5" i="16"/>
  <c r="B7" i="16"/>
  <c r="A7" i="16" s="1"/>
  <c r="V6" i="16"/>
  <c r="O7" i="16"/>
  <c r="T5" i="16"/>
  <c r="A6" i="16"/>
  <c r="J6" i="16"/>
  <c r="W5" i="16" l="1"/>
  <c r="T6" i="16"/>
  <c r="O8" i="16"/>
  <c r="V7" i="16"/>
  <c r="U6" i="16"/>
  <c r="J7" i="16"/>
  <c r="B8" i="16"/>
  <c r="B9" i="16" l="1"/>
  <c r="A9" i="16" s="1"/>
  <c r="W6" i="16"/>
  <c r="T7" i="16"/>
  <c r="A8" i="16"/>
  <c r="O9" i="16"/>
  <c r="V8" i="16"/>
  <c r="U7" i="16"/>
  <c r="J8" i="16"/>
  <c r="U8" i="16" l="1"/>
  <c r="J9" i="16"/>
  <c r="W7" i="16"/>
  <c r="T8" i="16"/>
  <c r="O10" i="16"/>
  <c r="V9" i="16"/>
  <c r="B10" i="16"/>
  <c r="A10" i="16" s="1"/>
  <c r="W8" i="16" l="1"/>
  <c r="T9" i="16"/>
  <c r="B11" i="16"/>
  <c r="A11" i="16"/>
  <c r="U9" i="16"/>
  <c r="J10" i="16"/>
  <c r="O11" i="16"/>
  <c r="V10" i="16"/>
  <c r="O12" i="16" l="1"/>
  <c r="V12" i="16" s="1"/>
  <c r="V11" i="16"/>
  <c r="B12" i="16"/>
  <c r="A12" i="16" s="1"/>
  <c r="U10" i="16"/>
  <c r="J11" i="16"/>
  <c r="W9" i="16"/>
  <c r="T10" i="16"/>
  <c r="B13" i="16" l="1"/>
  <c r="A13" i="16" s="1"/>
  <c r="U11" i="16"/>
  <c r="J12" i="16"/>
  <c r="U12" i="16" s="1"/>
  <c r="W10" i="16"/>
  <c r="T11" i="16"/>
  <c r="W11" i="16" l="1"/>
  <c r="T12" i="16"/>
  <c r="W12" i="16" s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3" i="1" l="1"/>
  <c r="V3" i="1"/>
  <c r="U3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V9" i="1" l="1"/>
  <c r="U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J12" i="1"/>
  <c r="T10" i="1"/>
  <c r="U12" i="1" l="1"/>
  <c r="V11" i="1"/>
  <c r="W10" i="1"/>
  <c r="J13" i="1"/>
  <c r="O12" i="1"/>
  <c r="T11" i="1"/>
  <c r="U13" i="1" l="1"/>
  <c r="V12" i="1"/>
  <c r="W11" i="1"/>
  <c r="J14" i="1"/>
  <c r="U14" i="1" s="1"/>
  <c r="O13" i="1"/>
  <c r="T12" i="1"/>
  <c r="V13" i="1" l="1"/>
  <c r="W12" i="1"/>
  <c r="O14" i="1"/>
  <c r="V14" i="1" s="1"/>
  <c r="J15" i="1"/>
  <c r="U15" i="1" s="1"/>
  <c r="T13" i="1"/>
  <c r="W13" i="1" l="1"/>
  <c r="T14" i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<sst xmlns="http://schemas.openxmlformats.org/spreadsheetml/2006/main" count="657" uniqueCount="154">
  <si>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</si>
  <si>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</si>
  <si>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</si>
  <si>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</si>
  <si>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</si>
  <si>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</si>
  <si>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</si>
  <si>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</si>
  <si>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</si>
  <si>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</si>
  <si>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</si>
  <si>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</si>
  <si>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</si>
  <si>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</si>
  <si>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</si>
  <si>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</si>
  <si>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</si>
  <si>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</si>
  <si>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</si>
  <si>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</si>
  <si>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</si>
  <si>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</si>
  <si>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</si>
  <si>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</si>
  <si>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</si>
  <si>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</si>
  <si>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</si>
  <si>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</si>
  <si>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</si>
  <si>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</si>
  <si>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</si>
  <si>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</si>
  <si>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</si>
  <si>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</si>
  <si>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</si>
  <si>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</si>
  <si>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</si>
  <si>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</si>
  <si>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</si>
  <si>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</si>
  <si>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</si>
  <si>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</si>
  <si>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</si>
  <si>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</si>
  <si>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</si>
  <si>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</si>
  <si>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</si>
  <si>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</si>
  <si>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</si>
  <si>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</si>
  <si>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</si>
  <si>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</si>
  <si>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</si>
  <si>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</si>
  <si>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</si>
  <si>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</si>
  <si>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</si>
  <si>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</si>
  <si>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</si>
  <si>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</si>
  <si>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</si>
  <si>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</si>
  <si>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</si>
  <si>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</si>
  <si>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</si>
  <si>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</si>
  <si>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</si>
  <si>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</si>
  <si>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</si>
  <si>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</si>
  <si>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</si>
  <si>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</si>
  <si>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</si>
  <si>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</si>
  <si>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</si>
  <si>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</si>
  <si>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</si>
  <si>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</si>
  <si>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</si>
  <si>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</si>
  <si>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</si>
  <si>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</si>
  <si>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</si>
  <si>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</si>
  <si>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</si>
  <si>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</si>
  <si>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</si>
  <si>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</si>
  <si>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</si>
  <si>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</si>
  <si>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</si>
  <si>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</si>
  <si>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</si>
  <si>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</si>
  <si>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</si>
  <si>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</si>
  <si>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</si>
  <si>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</si>
  <si>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</si>
  <si>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</si>
  <si>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</si>
  <si>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</si>
  <si>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</si>
  <si>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</si>
  <si>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</si>
  <si>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</si>
  <si>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</si>
  <si>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</si>
  <si>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</si>
  <si>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</si>
  <si>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</si>
  <si>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</si>
  <si>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</si>
  <si>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</si>
  <si>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</si>
  <si>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</si>
  <si>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</si>
  <si>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</si>
  <si>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</si>
  <si>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</si>
  <si>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</si>
  <si>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</si>
  <si>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</si>
  <si>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</si>
  <si>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</si>
  <si>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</si>
  <si>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</si>
  <si>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</si>
  <si>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</si>
  <si>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</si>
  <si>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</si>
  <si>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</si>
  <si>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</si>
  <si>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</si>
  <si>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</si>
  <si>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</si>
  <si>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</si>
  <si>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りくと</t>
  </si>
  <si>
    <t>りくと</t>
    <phoneticPr fontId="1"/>
  </si>
  <si>
    <t>れんたろう</t>
  </si>
  <si>
    <t>れんたろう</t>
    <phoneticPr fontId="1"/>
  </si>
  <si>
    <t>ツモ支払</t>
  </si>
  <si>
    <t>ツモ</t>
  </si>
  <si>
    <t>*</t>
  </si>
  <si>
    <t>01</t>
  </si>
  <si>
    <t>放銃</t>
  </si>
  <si>
    <t>ロン</t>
  </si>
  <si>
    <t>T</t>
  </si>
  <si>
    <t>N</t>
  </si>
  <si>
    <t>流局</t>
    <phoneticPr fontId="1"/>
  </si>
  <si>
    <t>ただ</t>
  </si>
  <si>
    <t>ただ</t>
    <phoneticPr fontId="1"/>
  </si>
  <si>
    <t>02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</si>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</sst>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りくと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141</v>
      </c>
      <c r="G4" s="9">
        <v>-4500</v>
      </c>
      <c r="H4" s="9"/>
      <c r="I4" s="55">
        <v>0</v>
      </c>
      <c r="J4" s="21">
        <f>IF(COUNTA($F4,$K4,$P4)&gt;0,J3+SUM(G4:I4),"")</f>
        <v>30500</v>
      </c>
      <c r="K4" s="8" t="s">
        <v>142</v>
      </c>
      <c r="L4" s="9">
        <v>12000</v>
      </c>
      <c r="M4" s="9"/>
      <c r="N4" s="55">
        <v>0</v>
      </c>
      <c r="O4" s="21">
        <f>IF(COUNTA($F4,$K4,$P4)&gt;0,O3+SUM(L4:N4),"")</f>
        <v>47000</v>
      </c>
      <c r="P4" s="8" t="s">
        <v>141</v>
      </c>
      <c r="Q4" s="9">
        <v>-7500</v>
      </c>
      <c r="R4" s="9"/>
      <c r="S4" s="55">
        <v>0</v>
      </c>
      <c r="T4" s="21">
        <f>IF(COUNTA($F4,$K4,$P4)&gt;0,T3+SUM(Q4:S4),"")</f>
        <v>27500</v>
      </c>
      <c r="U4" s="60">
        <f t="shared" ref="U4:U30" si="0">IF($J4="","",ROUND(($J4-$J$3)/1000,1))</f>
        <v>-4.5</v>
      </c>
      <c r="V4" s="61">
        <f t="shared" ref="V4:V30" si="1">IF($O4="","",ROUND(($O4-$O$3)/1000,1))</f>
        <v>12</v>
      </c>
      <c r="W4" s="62">
        <f t="shared" ref="W4:W30" si="2">IF($T4="","",ROUND(($T4-$T$3)/1000,1))</f>
        <v>-7.5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6</v>
      </c>
      <c r="AY4" s="36" t="s">
        <v>143</v>
      </c>
      <c r="AZ4" s="47" t="s">
        <v>144</v>
      </c>
      <c r="BA4" s="48" t="s">
        <v>83</v>
      </c>
      <c r="BB4" s="48" t="s">
        <v>82</v>
      </c>
      <c r="BC4" s="48" t="s">
        <v>87</v>
      </c>
      <c r="BD4" s="48" t="s">
        <v>81</v>
      </c>
      <c r="BE4" s="48" t="s">
        <v>81</v>
      </c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135</v>
      </c>
      <c r="F5" s="8"/>
      <c r="G5" s="9"/>
      <c r="H5" s="9"/>
      <c r="I5" s="55"/>
      <c r="J5" s="21">
        <f t="shared" ref="J5:J30" si="5">IF(COUNTA($F5,$K5,$P5)&gt;0,J4+SUM(G5:I5),"")</f>
        <v>30500</v>
      </c>
      <c r="K5" s="8" t="s">
        <v>145</v>
      </c>
      <c r="L5" s="9">
        <v>-1000</v>
      </c>
      <c r="M5" s="9"/>
      <c r="N5" s="55">
        <v>0</v>
      </c>
      <c r="O5" s="21">
        <f t="shared" ref="O5:O30" si="6">IF(COUNTA($F5,$K5,$P5)&gt;0,O4+SUM(L5:N5),"")</f>
        <v>46000</v>
      </c>
      <c r="P5" s="8" t="s">
        <v>146</v>
      </c>
      <c r="Q5" s="9">
        <v>1000</v>
      </c>
      <c r="R5" s="9"/>
      <c r="S5" s="55">
        <v>0</v>
      </c>
      <c r="T5" s="21">
        <f t="shared" ref="T5:T30" si="7">IF(COUNTA($F5,$K5,$P5)&gt;0,T4+SUM(Q5:S5),"")</f>
        <v>28500</v>
      </c>
      <c r="U5" s="60">
        <f t="shared" si="0"/>
        <v>-4.5</v>
      </c>
      <c r="V5" s="61">
        <f t="shared" si="1"/>
        <v>11</v>
      </c>
      <c r="W5" s="62">
        <f t="shared" si="2"/>
        <v>-6.5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1</v>
      </c>
      <c r="BT5" s="36">
        <v>30</v>
      </c>
      <c r="BU5" s="47" t="s">
        <v>87</v>
      </c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137</v>
      </c>
      <c r="F6" s="8" t="s">
        <v>145</v>
      </c>
      <c r="G6" s="9">
        <v>-12000</v>
      </c>
      <c r="H6" s="9"/>
      <c r="I6" s="55">
        <v>0</v>
      </c>
      <c r="J6" s="21">
        <f t="shared" si="5"/>
        <v>18500</v>
      </c>
      <c r="K6" s="8" t="s">
        <v>146</v>
      </c>
      <c r="L6" s="9">
        <v>12000</v>
      </c>
      <c r="M6" s="9"/>
      <c r="N6" s="55">
        <v>0</v>
      </c>
      <c r="O6" s="21">
        <f t="shared" si="6"/>
        <v>58000</v>
      </c>
      <c r="P6" s="8"/>
      <c r="Q6" s="9"/>
      <c r="R6" s="9"/>
      <c r="S6" s="55"/>
      <c r="T6" s="21">
        <f t="shared" si="7"/>
        <v>28500</v>
      </c>
      <c r="U6" s="60">
        <f t="shared" si="0"/>
        <v>-16.5</v>
      </c>
      <c r="V6" s="61">
        <f t="shared" si="1"/>
        <v>23</v>
      </c>
      <c r="W6" s="62">
        <f t="shared" si="2"/>
        <v>-6.5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>
        <v>5</v>
      </c>
      <c r="AY6" s="36" t="s">
        <v>143</v>
      </c>
      <c r="AZ6" s="47" t="s">
        <v>80</v>
      </c>
      <c r="BA6" s="48" t="s">
        <v>80</v>
      </c>
      <c r="BB6" s="48" t="s">
        <v>82</v>
      </c>
      <c r="BC6" s="48" t="s">
        <v>102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8"/>
        <v>3</v>
      </c>
      <c r="C7" s="18">
        <f t="shared" si="9"/>
        <v>1</v>
      </c>
      <c r="D7" s="18">
        <f t="shared" si="4"/>
        <v>0</v>
      </c>
      <c r="E7" s="4" t="s">
        <v>137</v>
      </c>
      <c r="F7" s="8"/>
      <c r="G7" s="9"/>
      <c r="H7" s="9">
        <v>-1000</v>
      </c>
      <c r="I7" s="55"/>
      <c r="J7" s="21">
        <f t="shared" si="5"/>
        <v>17500</v>
      </c>
      <c r="K7" s="8" t="s">
        <v>145</v>
      </c>
      <c r="L7" s="9">
        <v>-2000</v>
      </c>
      <c r="M7" s="9"/>
      <c r="N7" s="55">
        <v>-1000</v>
      </c>
      <c r="O7" s="21">
        <f t="shared" si="6"/>
        <v>55000</v>
      </c>
      <c r="P7" s="8" t="s">
        <v>146</v>
      </c>
      <c r="Q7" s="9">
        <v>2000</v>
      </c>
      <c r="R7" s="9">
        <v>1000</v>
      </c>
      <c r="S7" s="55">
        <v>1000</v>
      </c>
      <c r="T7" s="21">
        <f t="shared" si="7"/>
        <v>32500</v>
      </c>
      <c r="U7" s="60">
        <f t="shared" si="0"/>
        <v>-17.5</v>
      </c>
      <c r="V7" s="61">
        <f t="shared" si="1"/>
        <v>20</v>
      </c>
      <c r="W7" s="62">
        <f t="shared" si="2"/>
        <v>-2.5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2</v>
      </c>
      <c r="BT7" s="36">
        <v>30</v>
      </c>
      <c r="BU7" s="47" t="s">
        <v>87</v>
      </c>
      <c r="BV7" s="48" t="s">
        <v>82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">
        <v>139</v>
      </c>
      <c r="F8" s="8" t="s">
        <v>145</v>
      </c>
      <c r="G8" s="9">
        <v>-12000</v>
      </c>
      <c r="H8" s="9"/>
      <c r="I8" s="55">
        <v>0</v>
      </c>
      <c r="J8" s="21">
        <f t="shared" si="5"/>
        <v>5500</v>
      </c>
      <c r="K8" s="8"/>
      <c r="L8" s="9"/>
      <c r="M8" s="9"/>
      <c r="N8" s="55"/>
      <c r="O8" s="21">
        <f t="shared" si="6"/>
        <v>55000</v>
      </c>
      <c r="P8" s="8" t="s">
        <v>146</v>
      </c>
      <c r="Q8" s="9">
        <v>12000</v>
      </c>
      <c r="R8" s="9"/>
      <c r="S8" s="55">
        <v>0</v>
      </c>
      <c r="T8" s="21">
        <f t="shared" si="7"/>
        <v>44500</v>
      </c>
      <c r="U8" s="60">
        <f t="shared" si="0"/>
        <v>-29.5</v>
      </c>
      <c r="V8" s="61">
        <f t="shared" si="1"/>
        <v>20</v>
      </c>
      <c r="W8" s="62">
        <f t="shared" si="2"/>
        <v>9.5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>
        <v>5</v>
      </c>
      <c r="BT8" s="36" t="s">
        <v>143</v>
      </c>
      <c r="BU8" s="47" t="s">
        <v>102</v>
      </c>
      <c r="BV8" s="48" t="s">
        <v>82</v>
      </c>
      <c r="BW8" s="48" t="s">
        <v>82</v>
      </c>
      <c r="BX8" s="48" t="s">
        <v>82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8"/>
        <v>1</v>
      </c>
      <c r="C9" s="18">
        <f t="shared" si="9"/>
        <v>1</v>
      </c>
      <c r="D9" s="18">
        <f t="shared" si="4"/>
        <v>0</v>
      </c>
      <c r="E9" s="4" t="s">
        <v>139</v>
      </c>
      <c r="F9" s="8" t="s">
        <v>149</v>
      </c>
      <c r="G9" s="9">
        <v>1500</v>
      </c>
      <c r="H9" s="9"/>
      <c r="I9" s="55"/>
      <c r="J9" s="21">
        <f t="shared" si="5"/>
        <v>7000</v>
      </c>
      <c r="K9" s="8" t="s">
        <v>149</v>
      </c>
      <c r="L9" s="9">
        <v>-3000</v>
      </c>
      <c r="M9" s="9"/>
      <c r="N9" s="55"/>
      <c r="O9" s="21">
        <f t="shared" si="6"/>
        <v>52000</v>
      </c>
      <c r="P9" s="8" t="s">
        <v>149</v>
      </c>
      <c r="Q9" s="9">
        <v>1500</v>
      </c>
      <c r="R9" s="9"/>
      <c r="S9" s="55"/>
      <c r="T9" s="21">
        <f t="shared" si="7"/>
        <v>46000</v>
      </c>
      <c r="U9" s="60">
        <f t="shared" si="0"/>
        <v>-28</v>
      </c>
      <c r="V9" s="61">
        <f t="shared" si="1"/>
        <v>17</v>
      </c>
      <c r="W9" s="62">
        <f t="shared" si="2"/>
        <v>11</v>
      </c>
      <c r="Y9" s="8" t="s">
        <v>147</v>
      </c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148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147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8"/>
        <v>1</v>
      </c>
      <c r="C10" s="18">
        <f t="shared" si="9"/>
        <v>2</v>
      </c>
      <c r="D10" s="18">
        <f t="shared" si="4"/>
        <v>0</v>
      </c>
      <c r="E10" s="4" t="s">
        <v>139</v>
      </c>
      <c r="F10" s="8" t="s">
        <v>142</v>
      </c>
      <c r="G10" s="9">
        <v>1200</v>
      </c>
      <c r="H10" s="9">
        <v>1000</v>
      </c>
      <c r="I10" s="55">
        <v>2000</v>
      </c>
      <c r="J10" s="21">
        <f t="shared" si="5"/>
        <v>11200</v>
      </c>
      <c r="K10" s="8" t="s">
        <v>141</v>
      </c>
      <c r="L10" s="9">
        <v>-500</v>
      </c>
      <c r="M10" s="9">
        <v>-1000</v>
      </c>
      <c r="N10" s="55">
        <v>-1000</v>
      </c>
      <c r="O10" s="21">
        <f t="shared" si="6"/>
        <v>49500</v>
      </c>
      <c r="P10" s="8" t="s">
        <v>141</v>
      </c>
      <c r="Q10" s="9">
        <v>-700</v>
      </c>
      <c r="R10" s="9"/>
      <c r="S10" s="55">
        <v>-1000</v>
      </c>
      <c r="T10" s="21">
        <f t="shared" si="7"/>
        <v>44300</v>
      </c>
      <c r="U10" s="60">
        <f t="shared" si="0"/>
        <v>-23.8</v>
      </c>
      <c r="V10" s="61">
        <f t="shared" si="1"/>
        <v>14.5</v>
      </c>
      <c r="W10" s="62">
        <f t="shared" si="2"/>
        <v>9.3000000000000007</v>
      </c>
      <c r="Y10" s="8"/>
      <c r="Z10" s="41"/>
      <c r="AA10" s="32"/>
      <c r="AB10" s="32">
        <v>1</v>
      </c>
      <c r="AC10" s="32">
        <v>1</v>
      </c>
      <c r="AD10" s="36">
        <v>30</v>
      </c>
      <c r="AE10" s="47" t="s">
        <v>87</v>
      </c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8"/>
        <v>2</v>
      </c>
      <c r="C11" s="18">
        <f t="shared" si="9"/>
        <v>0</v>
      </c>
      <c r="D11" s="18">
        <f t="shared" si="4"/>
        <v>0</v>
      </c>
      <c r="E11" s="4" t="s">
        <v>135</v>
      </c>
      <c r="F11" s="8" t="s">
        <v>145</v>
      </c>
      <c r="G11" s="9">
        <v>-5200</v>
      </c>
      <c r="H11" s="9"/>
      <c r="I11" s="55">
        <v>0</v>
      </c>
      <c r="J11" s="21">
        <f t="shared" si="5"/>
        <v>6000</v>
      </c>
      <c r="K11" s="8" t="s">
        <v>146</v>
      </c>
      <c r="L11" s="9">
        <v>5200</v>
      </c>
      <c r="M11" s="9">
        <v>1000</v>
      </c>
      <c r="N11" s="55">
        <v>0</v>
      </c>
      <c r="O11" s="21">
        <f t="shared" si="6"/>
        <v>55700</v>
      </c>
      <c r="P11" s="8"/>
      <c r="Q11" s="9"/>
      <c r="R11" s="9">
        <v>-1000</v>
      </c>
      <c r="S11" s="55"/>
      <c r="T11" s="21">
        <f t="shared" si="7"/>
        <v>43300</v>
      </c>
      <c r="U11" s="60">
        <f t="shared" si="0"/>
        <v>-29</v>
      </c>
      <c r="V11" s="61">
        <f t="shared" si="1"/>
        <v>20.7</v>
      </c>
      <c r="W11" s="62">
        <f t="shared" si="2"/>
        <v>8.3000000000000007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3</v>
      </c>
      <c r="AY11" s="36">
        <v>40</v>
      </c>
      <c r="AZ11" s="47" t="s">
        <v>144</v>
      </c>
      <c r="BA11" s="48" t="s">
        <v>81</v>
      </c>
      <c r="BB11" s="48" t="s">
        <v>81</v>
      </c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>南</v>
      </c>
      <c r="B12" s="18">
        <f t="shared" si="8"/>
        <v>3</v>
      </c>
      <c r="C12" s="18">
        <f t="shared" si="9"/>
        <v>0</v>
      </c>
      <c r="D12" s="18">
        <f t="shared" si="4"/>
        <v>0</v>
      </c>
      <c r="E12" s="4" t="s">
        <v>137</v>
      </c>
      <c r="F12" s="8" t="s">
        <v>146</v>
      </c>
      <c r="G12" s="9">
        <v>12000</v>
      </c>
      <c r="H12" s="9"/>
      <c r="I12" s="55">
        <v>0</v>
      </c>
      <c r="J12" s="21">
        <f t="shared" si="5"/>
        <v>18000</v>
      </c>
      <c r="K12" s="8"/>
      <c r="L12" s="9"/>
      <c r="M12" s="9"/>
      <c r="N12" s="55"/>
      <c r="O12" s="21">
        <f t="shared" si="6"/>
        <v>55700</v>
      </c>
      <c r="P12" s="8" t="s">
        <v>145</v>
      </c>
      <c r="Q12" s="9">
        <v>-12000</v>
      </c>
      <c r="R12" s="9"/>
      <c r="S12" s="55">
        <v>0</v>
      </c>
      <c r="T12" s="21">
        <f t="shared" si="7"/>
        <v>31300</v>
      </c>
      <c r="U12" s="60">
        <f t="shared" si="0"/>
        <v>-17</v>
      </c>
      <c r="V12" s="61">
        <f t="shared" si="1"/>
        <v>20.7</v>
      </c>
      <c r="W12" s="62">
        <f t="shared" si="2"/>
        <v>-3.7</v>
      </c>
      <c r="Y12" s="8"/>
      <c r="Z12" s="41"/>
      <c r="AA12" s="32"/>
      <c r="AB12" s="32">
        <v>1</v>
      </c>
      <c r="AC12" s="32">
        <v>6</v>
      </c>
      <c r="AD12" s="36" t="s">
        <v>143</v>
      </c>
      <c r="AE12" s="47" t="s">
        <v>105</v>
      </c>
      <c r="AF12" s="48" t="s">
        <v>87</v>
      </c>
      <c r="AG12" s="48" t="s">
        <v>87</v>
      </c>
      <c r="AH12" s="48" t="s">
        <v>80</v>
      </c>
      <c r="AI12" s="48" t="s">
        <v>80</v>
      </c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04CB7-5564-4B3B-A87C-04D264392ECB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151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ただ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ただ</v>
      </c>
      <c r="V2" s="71" t="str">
        <f>$K$1</f>
        <v>りくと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141</v>
      </c>
      <c r="G4" s="9">
        <v>-9000</v>
      </c>
      <c r="H4" s="9"/>
      <c r="I4" s="55">
        <v>0</v>
      </c>
      <c r="J4" s="21">
        <f>IF(COUNTA($F4,$K4,$P4)&gt;0,J3+SUM(G4:I4),"")</f>
        <v>26000</v>
      </c>
      <c r="K4" s="8" t="s">
        <v>142</v>
      </c>
      <c r="L4" s="9">
        <v>18000</v>
      </c>
      <c r="M4" s="9"/>
      <c r="N4" s="55">
        <v>0</v>
      </c>
      <c r="O4" s="21">
        <f>IF(COUNTA($F4,$K4,$P4)&gt;0,O3+SUM(L4:N4),"")</f>
        <v>53000</v>
      </c>
      <c r="P4" s="8" t="s">
        <v>141</v>
      </c>
      <c r="Q4" s="9">
        <v>-9000</v>
      </c>
      <c r="R4" s="9"/>
      <c r="S4" s="55">
        <v>0</v>
      </c>
      <c r="T4" s="21">
        <f>IF(COUNTA($F4,$K4,$P4)&gt;0,T3+SUM(Q4:S4),"")</f>
        <v>26000</v>
      </c>
      <c r="U4" s="60">
        <f t="shared" ref="U4:U30" si="0">IF($J4="","",ROUND(($J4-$J$3)/1000,1))</f>
        <v>-9</v>
      </c>
      <c r="V4" s="61">
        <f t="shared" ref="V4:V30" si="1">IF($O4="","",ROUND(($O4-$O$3)/1000,1))</f>
        <v>18</v>
      </c>
      <c r="W4" s="62">
        <f t="shared" ref="W4:W30" si="2">IF($T4="","",ROUND(($T4-$T$3)/1000,1))</f>
        <v>-9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7</v>
      </c>
      <c r="AY4" s="36" t="s">
        <v>143</v>
      </c>
      <c r="AZ4" s="47" t="s">
        <v>144</v>
      </c>
      <c r="BA4" s="48" t="s">
        <v>83</v>
      </c>
      <c r="BB4" s="48" t="s">
        <v>152</v>
      </c>
      <c r="BC4" s="48" t="s">
        <v>85</v>
      </c>
      <c r="BD4" s="48" t="s">
        <v>80</v>
      </c>
      <c r="BE4" s="48" t="s">
        <v>80</v>
      </c>
      <c r="BF4" s="48" t="s">
        <v>80</v>
      </c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137</v>
      </c>
      <c r="F5" s="8" t="s">
        <v>153</v>
      </c>
      <c r="G5" s="9">
        <v>3000</v>
      </c>
      <c r="H5" s="9">
        <v>-1000</v>
      </c>
      <c r="I5" s="55"/>
      <c r="J5" s="21">
        <f t="shared" ref="J5:J30" si="5">IF(COUNTA($F5,$K5,$P5)&gt;0,J4+SUM(G5:I5),"")</f>
        <v>28000</v>
      </c>
      <c r="K5" s="8" t="s">
        <v>153</v>
      </c>
      <c r="L5" s="9">
        <v>-1500</v>
      </c>
      <c r="M5" s="9"/>
      <c r="N5" s="55"/>
      <c r="O5" s="21">
        <f t="shared" ref="O5:O30" si="6">IF(COUNTA($F5,$K5,$P5)&gt;0,O4+SUM(L5:N5),"")</f>
        <v>51500</v>
      </c>
      <c r="P5" s="8" t="s">
        <v>153</v>
      </c>
      <c r="Q5" s="9">
        <v>-1500</v>
      </c>
      <c r="R5" s="9"/>
      <c r="S5" s="55"/>
      <c r="T5" s="21">
        <f t="shared" ref="T5:T30" si="7">IF(COUNTA($F5,$K5,$P5)&gt;0,T4+SUM(Q5:S5),"")</f>
        <v>24500</v>
      </c>
      <c r="U5" s="60">
        <f t="shared" si="0"/>
        <v>-7</v>
      </c>
      <c r="V5" s="61">
        <f t="shared" si="1"/>
        <v>16.5</v>
      </c>
      <c r="W5" s="62">
        <f t="shared" si="2"/>
        <v>-10.5</v>
      </c>
      <c r="Y5" s="8" t="s">
        <v>147</v>
      </c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148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148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2</v>
      </c>
      <c r="D6" s="18">
        <f t="shared" si="4"/>
        <v>1</v>
      </c>
      <c r="E6" s="4" t="s">
        <v>139</v>
      </c>
      <c r="F6" s="8" t="s">
        <v>145</v>
      </c>
      <c r="G6" s="9">
        <v>-5200</v>
      </c>
      <c r="H6" s="9"/>
      <c r="I6" s="55">
        <v>-2000</v>
      </c>
      <c r="J6" s="21">
        <f t="shared" si="5"/>
        <v>20800</v>
      </c>
      <c r="K6" s="8" t="s">
        <v>146</v>
      </c>
      <c r="L6" s="9">
        <v>5200</v>
      </c>
      <c r="M6" s="9">
        <v>1000</v>
      </c>
      <c r="N6" s="55">
        <v>2000</v>
      </c>
      <c r="O6" s="21">
        <f t="shared" si="6"/>
        <v>59700</v>
      </c>
      <c r="P6" s="8"/>
      <c r="Q6" s="9"/>
      <c r="R6" s="9"/>
      <c r="S6" s="55"/>
      <c r="T6" s="21">
        <f t="shared" si="7"/>
        <v>24500</v>
      </c>
      <c r="U6" s="60">
        <f t="shared" si="0"/>
        <v>-14.2</v>
      </c>
      <c r="V6" s="61">
        <f t="shared" si="1"/>
        <v>24.7</v>
      </c>
      <c r="W6" s="62">
        <f t="shared" si="2"/>
        <v>-10.5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>
        <v>3</v>
      </c>
      <c r="AY6" s="36">
        <v>40</v>
      </c>
      <c r="AZ6" s="47" t="s">
        <v>97</v>
      </c>
      <c r="BA6" s="48" t="s">
        <v>82</v>
      </c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150</v>
      </c>
      <c r="F7" s="8" t="s">
        <v>142</v>
      </c>
      <c r="G7" s="9">
        <v>12000</v>
      </c>
      <c r="H7" s="9"/>
      <c r="I7" s="55">
        <v>0</v>
      </c>
      <c r="J7" s="21">
        <f t="shared" si="5"/>
        <v>32800</v>
      </c>
      <c r="K7" s="8" t="s">
        <v>141</v>
      </c>
      <c r="L7" s="9">
        <v>-6000</v>
      </c>
      <c r="M7" s="9"/>
      <c r="N7" s="55">
        <v>0</v>
      </c>
      <c r="O7" s="21">
        <f t="shared" si="6"/>
        <v>53700</v>
      </c>
      <c r="P7" s="8" t="s">
        <v>141</v>
      </c>
      <c r="Q7" s="9">
        <v>-6000</v>
      </c>
      <c r="R7" s="9"/>
      <c r="S7" s="55">
        <v>0</v>
      </c>
      <c r="T7" s="21">
        <f t="shared" si="7"/>
        <v>18500</v>
      </c>
      <c r="U7" s="60">
        <f t="shared" si="0"/>
        <v>-2.2000000000000002</v>
      </c>
      <c r="V7" s="61">
        <f t="shared" si="1"/>
        <v>18.7</v>
      </c>
      <c r="W7" s="62">
        <f t="shared" si="2"/>
        <v>-16.5</v>
      </c>
      <c r="Y7" s="8"/>
      <c r="Z7" s="41"/>
      <c r="AA7" s="32">
        <v>1</v>
      </c>
      <c r="AB7" s="32"/>
      <c r="AC7" s="32">
        <v>4</v>
      </c>
      <c r="AD7" s="36">
        <v>30</v>
      </c>
      <c r="AE7" s="47" t="s">
        <v>144</v>
      </c>
      <c r="AF7" s="48" t="s">
        <v>83</v>
      </c>
      <c r="AG7" s="48" t="s">
        <v>80</v>
      </c>
      <c r="AH7" s="48" t="s">
        <v>80</v>
      </c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1</v>
      </c>
      <c r="D8" s="18">
        <f t="shared" si="4"/>
        <v>0</v>
      </c>
      <c r="E8" s="4" t="s">
        <v>150</v>
      </c>
      <c r="F8" s="8" t="s">
        <v>153</v>
      </c>
      <c r="G8" s="9">
        <v>1500</v>
      </c>
      <c r="H8" s="9">
        <v>-1000</v>
      </c>
      <c r="I8" s="55"/>
      <c r="J8" s="21">
        <f t="shared" si="5"/>
        <v>33300</v>
      </c>
      <c r="K8" s="8" t="s">
        <v>153</v>
      </c>
      <c r="L8" s="9">
        <v>1500</v>
      </c>
      <c r="M8" s="9">
        <v>-1000</v>
      </c>
      <c r="N8" s="55"/>
      <c r="O8" s="21">
        <f t="shared" si="6"/>
        <v>54200</v>
      </c>
      <c r="P8" s="8" t="s">
        <v>153</v>
      </c>
      <c r="Q8" s="9">
        <v>-3000</v>
      </c>
      <c r="R8" s="9"/>
      <c r="S8" s="55"/>
      <c r="T8" s="21">
        <f t="shared" si="7"/>
        <v>15500</v>
      </c>
      <c r="U8" s="60">
        <f t="shared" si="0"/>
        <v>-1.7</v>
      </c>
      <c r="V8" s="61">
        <f t="shared" si="1"/>
        <v>19.2</v>
      </c>
      <c r="W8" s="62">
        <f t="shared" si="2"/>
        <v>-19.5</v>
      </c>
      <c r="Y8" s="8" t="s">
        <v>147</v>
      </c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147</v>
      </c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148</v>
      </c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8"/>
        <v>3</v>
      </c>
      <c r="C9" s="18">
        <f t="shared" si="9"/>
        <v>2</v>
      </c>
      <c r="D9" s="18">
        <f t="shared" si="4"/>
        <v>2</v>
      </c>
      <c r="E9" s="4" t="s">
        <v>150</v>
      </c>
      <c r="F9" s="8" t="s">
        <v>153</v>
      </c>
      <c r="G9" s="9">
        <v>-1500</v>
      </c>
      <c r="H9" s="9"/>
      <c r="I9" s="55"/>
      <c r="J9" s="21">
        <f t="shared" si="5"/>
        <v>31800</v>
      </c>
      <c r="K9" s="8" t="s">
        <v>153</v>
      </c>
      <c r="L9" s="9">
        <v>-1500</v>
      </c>
      <c r="M9" s="9"/>
      <c r="N9" s="55"/>
      <c r="O9" s="21">
        <f t="shared" si="6"/>
        <v>52700</v>
      </c>
      <c r="P9" s="8" t="s">
        <v>153</v>
      </c>
      <c r="Q9" s="9">
        <v>3000</v>
      </c>
      <c r="R9" s="9">
        <v>-1000</v>
      </c>
      <c r="S9" s="55"/>
      <c r="T9" s="21">
        <f t="shared" si="7"/>
        <v>17500</v>
      </c>
      <c r="U9" s="60">
        <f t="shared" si="0"/>
        <v>-3.2</v>
      </c>
      <c r="V9" s="61">
        <f t="shared" si="1"/>
        <v>17.7</v>
      </c>
      <c r="W9" s="62">
        <f t="shared" si="2"/>
        <v>-17.5</v>
      </c>
      <c r="Y9" s="8" t="s">
        <v>148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148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147</v>
      </c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1</v>
      </c>
      <c r="C10" s="18">
        <f t="shared" si="9"/>
        <v>3</v>
      </c>
      <c r="D10" s="18">
        <f t="shared" si="4"/>
        <v>3</v>
      </c>
      <c r="E10" s="4" t="s">
        <v>137</v>
      </c>
      <c r="F10" s="8" t="s">
        <v>153</v>
      </c>
      <c r="G10" s="9">
        <v>0</v>
      </c>
      <c r="H10" s="9">
        <v>-1000</v>
      </c>
      <c r="I10" s="55"/>
      <c r="J10" s="21">
        <f t="shared" si="5"/>
        <v>30800</v>
      </c>
      <c r="K10" s="8" t="s">
        <v>153</v>
      </c>
      <c r="L10" s="9">
        <v>0</v>
      </c>
      <c r="M10" s="9"/>
      <c r="N10" s="55"/>
      <c r="O10" s="21">
        <f t="shared" si="6"/>
        <v>52700</v>
      </c>
      <c r="P10" s="8" t="s">
        <v>153</v>
      </c>
      <c r="Q10" s="9">
        <v>0</v>
      </c>
      <c r="R10" s="9">
        <v>-1000</v>
      </c>
      <c r="S10" s="55"/>
      <c r="T10" s="21">
        <f t="shared" si="7"/>
        <v>16500</v>
      </c>
      <c r="U10" s="60">
        <f t="shared" si="0"/>
        <v>-4.2</v>
      </c>
      <c r="V10" s="61">
        <f t="shared" si="1"/>
        <v>17.7</v>
      </c>
      <c r="W10" s="62">
        <f t="shared" si="2"/>
        <v>-18.5</v>
      </c>
      <c r="Y10" s="8" t="s">
        <v>147</v>
      </c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147</v>
      </c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147</v>
      </c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1</v>
      </c>
      <c r="C11" s="18">
        <f t="shared" si="9"/>
        <v>4</v>
      </c>
      <c r="D11" s="18">
        <f t="shared" si="4"/>
        <v>5</v>
      </c>
      <c r="E11" s="4" t="s">
        <v>137</v>
      </c>
      <c r="F11" s="8" t="s">
        <v>141</v>
      </c>
      <c r="G11" s="9">
        <v>-9000</v>
      </c>
      <c r="H11" s="9">
        <v>-1000</v>
      </c>
      <c r="I11" s="55">
        <v>-2000</v>
      </c>
      <c r="J11" s="21">
        <f t="shared" si="5"/>
        <v>18800</v>
      </c>
      <c r="K11" s="8" t="s">
        <v>142</v>
      </c>
      <c r="L11" s="9">
        <v>18000</v>
      </c>
      <c r="M11" s="9">
        <v>6000</v>
      </c>
      <c r="N11" s="55">
        <v>4000</v>
      </c>
      <c r="O11" s="21">
        <f t="shared" si="6"/>
        <v>80700</v>
      </c>
      <c r="P11" s="8" t="s">
        <v>141</v>
      </c>
      <c r="Q11" s="9">
        <v>-9000</v>
      </c>
      <c r="R11" s="9"/>
      <c r="S11" s="55">
        <v>-2000</v>
      </c>
      <c r="T11" s="21">
        <f t="shared" si="7"/>
        <v>5500</v>
      </c>
      <c r="U11" s="60">
        <f t="shared" si="0"/>
        <v>-16.2</v>
      </c>
      <c r="V11" s="61">
        <f t="shared" si="1"/>
        <v>45.7</v>
      </c>
      <c r="W11" s="62">
        <f t="shared" si="2"/>
        <v>-29.5</v>
      </c>
      <c r="Y11" s="8"/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6</v>
      </c>
      <c r="AY11" s="36" t="s">
        <v>143</v>
      </c>
      <c r="AZ11" s="47" t="s">
        <v>144</v>
      </c>
      <c r="BA11" s="48" t="s">
        <v>83</v>
      </c>
      <c r="BB11" s="48" t="s">
        <v>82</v>
      </c>
      <c r="BC11" s="48" t="s">
        <v>81</v>
      </c>
      <c r="BD11" s="48" t="s">
        <v>81</v>
      </c>
      <c r="BE11" s="48" t="s">
        <v>81</v>
      </c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1</v>
      </c>
      <c r="C12" s="18">
        <f t="shared" si="9"/>
        <v>5</v>
      </c>
      <c r="D12" s="18">
        <f t="shared" si="4"/>
        <v>0</v>
      </c>
      <c r="E12" s="4" t="s">
        <v>137</v>
      </c>
      <c r="F12" s="8" t="s">
        <v>145</v>
      </c>
      <c r="G12" s="9">
        <v>-12000</v>
      </c>
      <c r="H12" s="9"/>
      <c r="I12" s="55">
        <v>-5000</v>
      </c>
      <c r="J12" s="21">
        <f t="shared" si="5"/>
        <v>1800</v>
      </c>
      <c r="K12" s="8" t="s">
        <v>146</v>
      </c>
      <c r="L12" s="9">
        <v>12000</v>
      </c>
      <c r="M12" s="9"/>
      <c r="N12" s="55">
        <v>5000</v>
      </c>
      <c r="O12" s="21">
        <f t="shared" si="6"/>
        <v>97700</v>
      </c>
      <c r="P12" s="8"/>
      <c r="Q12" s="9"/>
      <c r="R12" s="9"/>
      <c r="S12" s="55"/>
      <c r="T12" s="21">
        <f t="shared" si="7"/>
        <v>5500</v>
      </c>
      <c r="U12" s="60">
        <f t="shared" si="0"/>
        <v>-33.200000000000003</v>
      </c>
      <c r="V12" s="61">
        <f t="shared" si="1"/>
        <v>62.7</v>
      </c>
      <c r="W12" s="62">
        <f t="shared" si="2"/>
        <v>-29.5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>
        <v>4</v>
      </c>
      <c r="AY12" s="36">
        <v>40</v>
      </c>
      <c r="AZ12" s="47" t="s">
        <v>144</v>
      </c>
      <c r="BA12" s="48" t="s">
        <v>80</v>
      </c>
      <c r="BB12" s="48" t="s">
        <v>80</v>
      </c>
      <c r="BC12" s="48" t="s">
        <v>80</v>
      </c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8"/>
        <v>1</v>
      </c>
      <c r="C13" s="18">
        <f t="shared" si="9"/>
        <v>6</v>
      </c>
      <c r="D13" s="18">
        <f t="shared" si="4"/>
        <v>0</v>
      </c>
      <c r="E13" s="4" t="s">
        <v>137</v>
      </c>
      <c r="F13" s="8" t="s">
        <v>146</v>
      </c>
      <c r="G13" s="9">
        <v>1000</v>
      </c>
      <c r="H13" s="9"/>
      <c r="I13" s="55">
        <v>6000</v>
      </c>
      <c r="J13" s="21">
        <f t="shared" si="5"/>
        <v>8800</v>
      </c>
      <c r="K13" s="8"/>
      <c r="L13" s="9"/>
      <c r="M13" s="9"/>
      <c r="N13" s="55"/>
      <c r="O13" s="21">
        <f t="shared" si="6"/>
        <v>97700</v>
      </c>
      <c r="P13" s="8" t="s">
        <v>145</v>
      </c>
      <c r="Q13" s="9">
        <v>-1000</v>
      </c>
      <c r="R13" s="9"/>
      <c r="S13" s="55">
        <v>-6000</v>
      </c>
      <c r="T13" s="21">
        <f t="shared" si="7"/>
        <v>-1500</v>
      </c>
      <c r="U13" s="60">
        <f t="shared" si="0"/>
        <v>-26.2</v>
      </c>
      <c r="V13" s="61">
        <f t="shared" si="1"/>
        <v>62.7</v>
      </c>
      <c r="W13" s="62">
        <f t="shared" si="2"/>
        <v>-36.5</v>
      </c>
      <c r="Y13" s="8"/>
      <c r="Z13" s="41"/>
      <c r="AA13" s="32"/>
      <c r="AB13" s="32">
        <v>1</v>
      </c>
      <c r="AC13" s="32">
        <v>1</v>
      </c>
      <c r="AD13" s="36">
        <v>30</v>
      </c>
      <c r="AE13" s="47" t="s">
        <v>87</v>
      </c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FB3A57A5-840D-4C14-9FD1-106B065C4367}">
      <formula1>$U$2:$W$2</formula1>
    </dataValidation>
    <dataValidation type="list" showInputMessage="1" showErrorMessage="1" sqref="K4:K30 P4:P30 F4:F30" xr:uid="{7CCE378E-9E80-48B7-A6CB-BFEDE9C201D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2019-02-06T16:44:19Z</dcterms:modified>
</cp:coreProperties>
</file>