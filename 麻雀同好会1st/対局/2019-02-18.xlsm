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46034368-CE3D-4A0B-8FF5-B451AAFFCAC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D7" i="19"/>
  <c r="D6" i="19"/>
  <c r="C6" i="19"/>
  <c r="C7" i="19" s="1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C10" i="18"/>
  <c r="B10" i="18"/>
  <c r="A10" i="18"/>
  <c r="T9" i="18"/>
  <c r="W9" i="18" s="1"/>
  <c r="O9" i="18"/>
  <c r="V9" i="18" s="1"/>
  <c r="J9" i="18"/>
  <c r="U9" i="18" s="1"/>
  <c r="D9" i="18"/>
  <c r="C9" i="18"/>
  <c r="B9" i="18"/>
  <c r="A9" i="18"/>
  <c r="T8" i="18"/>
  <c r="W8" i="18" s="1"/>
  <c r="O8" i="18"/>
  <c r="V8" i="18" s="1"/>
  <c r="J8" i="18"/>
  <c r="U8" i="18" s="1"/>
  <c r="D8" i="18"/>
  <c r="C8" i="18"/>
  <c r="B8" i="18"/>
  <c r="A8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D10" i="17"/>
  <c r="C10" i="17"/>
  <c r="C11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6" i="16"/>
  <c r="D7" i="16" s="1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9" l="1"/>
  <c r="V5" i="19"/>
  <c r="B7" i="19"/>
  <c r="A7" i="19" s="1"/>
  <c r="O7" i="19"/>
  <c r="V7" i="19" s="1"/>
  <c r="V6" i="19"/>
  <c r="A6" i="19"/>
  <c r="J6" i="19"/>
  <c r="T5" i="19"/>
  <c r="V5" i="18"/>
  <c r="B7" i="18"/>
  <c r="A7" i="18" s="1"/>
  <c r="O7" i="18"/>
  <c r="V7" i="18" s="1"/>
  <c r="V6" i="18"/>
  <c r="T5" i="18"/>
  <c r="A6" i="18"/>
  <c r="J6" i="18"/>
  <c r="A5" i="17"/>
  <c r="V5" i="17"/>
  <c r="B7" i="17"/>
  <c r="V6" i="17"/>
  <c r="O7" i="17"/>
  <c r="T5" i="17"/>
  <c r="A6" i="17"/>
  <c r="J6" i="17"/>
  <c r="A5" i="16"/>
  <c r="V5" i="16"/>
  <c r="B7" i="16"/>
  <c r="A7" i="16" s="1"/>
  <c r="O7" i="16"/>
  <c r="V6" i="16"/>
  <c r="J6" i="16"/>
  <c r="T5" i="16"/>
  <c r="A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T6" i="19" l="1"/>
  <c r="W5" i="19"/>
  <c r="U6" i="19"/>
  <c r="J7" i="19"/>
  <c r="U7" i="19" s="1"/>
  <c r="U6" i="18"/>
  <c r="J7" i="18"/>
  <c r="U7" i="18" s="1"/>
  <c r="T6" i="18"/>
  <c r="W5" i="18"/>
  <c r="T6" i="17"/>
  <c r="W5" i="17"/>
  <c r="B8" i="17"/>
  <c r="O8" i="17"/>
  <c r="V7" i="17"/>
  <c r="J7" i="17"/>
  <c r="U6" i="17"/>
  <c r="A7" i="17"/>
  <c r="W5" i="16"/>
  <c r="T6" i="16"/>
  <c r="U6" i="16"/>
  <c r="J7" i="16"/>
  <c r="O8" i="16"/>
  <c r="V7" i="16"/>
  <c r="B8" i="16"/>
  <c r="A8" i="16" s="1"/>
  <c r="W3" i="1"/>
  <c r="V3" i="1"/>
  <c r="U3" i="1"/>
  <c r="W6" i="19" l="1"/>
  <c r="T7" i="19"/>
  <c r="W7" i="19" s="1"/>
  <c r="W6" i="18"/>
  <c r="T7" i="18"/>
  <c r="W7" i="18" s="1"/>
  <c r="A8" i="17"/>
  <c r="U7" i="17"/>
  <c r="J8" i="17"/>
  <c r="B9" i="17"/>
  <c r="V8" i="17"/>
  <c r="O9" i="17"/>
  <c r="W6" i="17"/>
  <c r="T7" i="17"/>
  <c r="W6" i="16"/>
  <c r="T7" i="16"/>
  <c r="V8" i="16"/>
  <c r="O9" i="16"/>
  <c r="U7" i="16"/>
  <c r="J8" i="16"/>
  <c r="B9" i="16"/>
  <c r="B5" i="1"/>
  <c r="A5" i="1" s="1"/>
  <c r="D6" i="1"/>
  <c r="B6" i="1"/>
  <c r="A6" i="1" s="1"/>
  <c r="D5" i="1"/>
  <c r="B10" i="17" l="1"/>
  <c r="J9" i="17"/>
  <c r="U8" i="17"/>
  <c r="T8" i="17"/>
  <c r="W7" i="17"/>
  <c r="A9" i="17"/>
  <c r="A10" i="17" s="1"/>
  <c r="O10" i="17"/>
  <c r="V9" i="17"/>
  <c r="O10" i="16"/>
  <c r="V9" i="16"/>
  <c r="B10" i="16"/>
  <c r="A10" i="16" s="1"/>
  <c r="A9" i="16"/>
  <c r="U8" i="16"/>
  <c r="J9" i="16"/>
  <c r="W7" i="16"/>
  <c r="T8" i="16"/>
  <c r="Y1" i="1"/>
  <c r="W8" i="17" l="1"/>
  <c r="T9" i="17"/>
  <c r="A11" i="17"/>
  <c r="B11" i="17"/>
  <c r="V10" i="17"/>
  <c r="O11" i="17"/>
  <c r="V11" i="17" s="1"/>
  <c r="U9" i="17"/>
  <c r="J10" i="17"/>
  <c r="U9" i="16"/>
  <c r="J10" i="16"/>
  <c r="B11" i="16"/>
  <c r="A11" i="16" s="1"/>
  <c r="W8" i="16"/>
  <c r="T9" i="16"/>
  <c r="V10" i="16"/>
  <c r="O11" i="16"/>
  <c r="BO1" i="1"/>
  <c r="AT1" i="1"/>
  <c r="T10" i="17" l="1"/>
  <c r="W9" i="17"/>
  <c r="U10" i="17"/>
  <c r="J11" i="17"/>
  <c r="U11" i="17" s="1"/>
  <c r="B12" i="16"/>
  <c r="A12" i="16" s="1"/>
  <c r="O12" i="16"/>
  <c r="V11" i="16"/>
  <c r="W9" i="16"/>
  <c r="T10" i="16"/>
  <c r="U10" i="16"/>
  <c r="J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7" l="1"/>
  <c r="T11" i="17"/>
  <c r="W11" i="17" s="1"/>
  <c r="V12" i="16"/>
  <c r="O13" i="16"/>
  <c r="V13" i="16" s="1"/>
  <c r="U11" i="16"/>
  <c r="J12" i="16"/>
  <c r="W10" i="16"/>
  <c r="T11" i="16"/>
  <c r="B13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B14" i="16" l="1"/>
  <c r="A14" i="16"/>
  <c r="A13" i="16"/>
  <c r="U12" i="16"/>
  <c r="J13" i="16"/>
  <c r="U13" i="16" s="1"/>
  <c r="W11" i="16"/>
  <c r="T12" i="16"/>
  <c r="W2" i="1"/>
  <c r="V2" i="1"/>
  <c r="U2" i="1"/>
  <c r="W12" i="16" l="1"/>
  <c r="T13" i="16"/>
  <c r="W13" i="16" s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<sst xmlns="http://schemas.openxmlformats.org/spreadsheetml/2006/main" count="907" uniqueCount="152">
  <si>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</si>
  <si>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</si>
  <si>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</si>
  <si>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</si>
  <si>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</si>
  <si>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</si>
  <si>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</si>
  <si>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</si>
  <si>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</si>
  <si>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</si>
  <si>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</si>
  <si>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</si>
  <si>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</si>
  <si>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</si>
  <si>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</si>
  <si>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</si>
  <si>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</si>
  <si>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</si>
  <si>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</si>
  <si>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</si>
  <si>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</si>
  <si>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</si>
  <si>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</si>
  <si>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</si>
  <si>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</si>
  <si>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</si>
  <si>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</si>
  <si>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</si>
  <si>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</si>
  <si>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</si>
  <si>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</si>
  <si>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</si>
  <si>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</si>
  <si>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</si>
  <si>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</si>
  <si>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</si>
  <si>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</si>
  <si>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</si>
  <si>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</si>
  <si>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</si>
  <si>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</si>
  <si>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</si>
  <si>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</si>
  <si>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</si>
  <si>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</si>
  <si>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</si>
  <si>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</si>
  <si>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</si>
  <si>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</si>
  <si>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</si>
  <si>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</si>
  <si>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</si>
  <si>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</si>
  <si>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</si>
  <si>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</si>
  <si>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</si>
  <si>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</si>
  <si>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</si>
  <si>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</si>
  <si>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</si>
  <si>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</si>
  <si>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</si>
  <si>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</si>
  <si>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</si>
  <si>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</si>
  <si>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</si>
  <si>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</si>
  <si>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</si>
  <si>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</si>
  <si>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</si>
  <si>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</si>
  <si>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</si>
  <si>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</si>
  <si>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</si>
  <si>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</si>
  <si>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</si>
  <si>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</si>
  <si>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</si>
  <si>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</si>
  <si>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</si>
  <si>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</si>
  <si>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</si>
  <si>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</si>
  <si>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</si>
  <si>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</si>
  <si>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</si>
  <si>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</si>
  <si>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</si>
  <si>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</si>
  <si>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</si>
  <si>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</si>
  <si>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</si>
  <si>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</si>
  <si>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</si>
  <si>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</si>
  <si>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</si>
  <si>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</si>
  <si>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</si>
  <si>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</si>
  <si>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</si>
  <si>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</si>
  <si>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</si>
  <si>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</si>
  <si>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</si>
  <si>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</si>
  <si>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</si>
  <si>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</si>
  <si>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</si>
  <si>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</si>
  <si>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</si>
  <si>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</si>
  <si>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</si>
  <si>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</si>
  <si>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</si>
  <si>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</si>
  <si>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</si>
  <si>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</si>
  <si>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</si>
  <si>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</si>
  <si>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</si>
  <si>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</si>
  <si>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</si>
  <si>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</si>
  <si>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</si>
  <si>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</si>
  <si>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</si>
  <si>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</si>
  <si>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</si>
  <si>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</si>
  <si>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</si>
  <si>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</si>
  <si>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</si>
  <si>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</si>
  <si>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</si>
  <si>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</si>
  <si>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</si>
  <si>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</si>
  <si>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ぱぱ</t>
  </si>
  <si>
    <t>ぱぱ</t>
    <phoneticPr fontId="1"/>
  </si>
  <si>
    <t>れんたろう</t>
  </si>
  <si>
    <t>れんたろう</t>
    <phoneticPr fontId="1"/>
  </si>
  <si>
    <t>N</t>
  </si>
  <si>
    <t>T</t>
  </si>
  <si>
    <t>流局</t>
    <phoneticPr fontId="1"/>
  </si>
  <si>
    <t>ロン</t>
  </si>
  <si>
    <t>放銃</t>
  </si>
  <si>
    <t>01</t>
  </si>
  <si>
    <t>*</t>
  </si>
  <si>
    <t>ツモ支払</t>
  </si>
  <si>
    <t>ツモ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</si>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</sst>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ぱぱ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-3000</v>
      </c>
      <c r="H4" s="9"/>
      <c r="I4" s="55"/>
      <c r="J4" s="21">
        <f>IF(COUNTA($F4,$K4,$P4)&gt;0,J3+SUM(G4:I4),"")</f>
        <v>32000</v>
      </c>
      <c r="K4" s="8" t="s">
        <v>143</v>
      </c>
      <c r="L4" s="9">
        <v>1500</v>
      </c>
      <c r="M4" s="9"/>
      <c r="N4" s="55"/>
      <c r="O4" s="21">
        <f>IF(COUNTA($F4,$K4,$P4)&gt;0,O3+SUM(L4:N4),"")</f>
        <v>36500</v>
      </c>
      <c r="P4" s="8" t="s">
        <v>143</v>
      </c>
      <c r="Q4" s="9">
        <v>1500</v>
      </c>
      <c r="R4" s="9">
        <v>-1000</v>
      </c>
      <c r="S4" s="55"/>
      <c r="T4" s="21">
        <f>IF(COUNTA($F4,$K4,$P4)&gt;0,T3+SUM(Q4:S4),"")</f>
        <v>35500</v>
      </c>
      <c r="U4" s="60">
        <f t="shared" ref="U4:U30" si="0">IF($J4="","",ROUND(($J4-$J$3)/1000,1))</f>
        <v>-3</v>
      </c>
      <c r="V4" s="61">
        <f t="shared" ref="V4:V30" si="1">IF($O4="","",ROUND(($O4-$O$3)/1000,1))</f>
        <v>1.5</v>
      </c>
      <c r="W4" s="62">
        <f t="shared" ref="W4:W30" si="2">IF($T4="","",ROUND(($T4-$T$3)/1000,1))</f>
        <v>0.5</v>
      </c>
      <c r="Y4" s="8" t="s">
        <v>141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142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142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139</v>
      </c>
      <c r="F5" s="8" t="s">
        <v>143</v>
      </c>
      <c r="G5" s="9">
        <v>-1500</v>
      </c>
      <c r="H5" s="9"/>
      <c r="I5" s="55"/>
      <c r="J5" s="21">
        <f t="shared" ref="J5:J30" si="5">IF(COUNTA($F5,$K5,$P5)&gt;0,J4+SUM(G5:I5),"")</f>
        <v>30500</v>
      </c>
      <c r="K5" s="8" t="s">
        <v>143</v>
      </c>
      <c r="L5" s="9">
        <v>-1500</v>
      </c>
      <c r="M5" s="9"/>
      <c r="N5" s="55"/>
      <c r="O5" s="21">
        <f t="shared" ref="O5:O30" si="6">IF(COUNTA($F5,$K5,$P5)&gt;0,O4+SUM(L5:N5),"")</f>
        <v>35000</v>
      </c>
      <c r="P5" s="8" t="s">
        <v>143</v>
      </c>
      <c r="Q5" s="9">
        <v>3000</v>
      </c>
      <c r="R5" s="9">
        <v>-1000</v>
      </c>
      <c r="S5" s="55"/>
      <c r="T5" s="21">
        <f t="shared" ref="T5:T30" si="7">IF(COUNTA($F5,$K5,$P5)&gt;0,T4+SUM(Q5:S5),"")</f>
        <v>37500</v>
      </c>
      <c r="U5" s="60">
        <f t="shared" si="0"/>
        <v>-4.5</v>
      </c>
      <c r="V5" s="61">
        <f t="shared" si="1"/>
        <v>0</v>
      </c>
      <c r="W5" s="62">
        <f t="shared" si="2"/>
        <v>2.5</v>
      </c>
      <c r="Y5" s="8" t="s">
        <v>141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141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142</v>
      </c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2</v>
      </c>
      <c r="E6" s="4" t="s">
        <v>139</v>
      </c>
      <c r="F6" s="8" t="s">
        <v>143</v>
      </c>
      <c r="G6" s="9">
        <v>-1500</v>
      </c>
      <c r="H6" s="9"/>
      <c r="I6" s="55"/>
      <c r="J6" s="21">
        <f t="shared" si="5"/>
        <v>29000</v>
      </c>
      <c r="K6" s="8" t="s">
        <v>143</v>
      </c>
      <c r="L6" s="9">
        <v>-1500</v>
      </c>
      <c r="M6" s="9"/>
      <c r="N6" s="55"/>
      <c r="O6" s="21">
        <f t="shared" si="6"/>
        <v>33500</v>
      </c>
      <c r="P6" s="8" t="s">
        <v>143</v>
      </c>
      <c r="Q6" s="9">
        <v>3000</v>
      </c>
      <c r="R6" s="9">
        <v>-1000</v>
      </c>
      <c r="S6" s="55"/>
      <c r="T6" s="21">
        <f t="shared" si="7"/>
        <v>39500</v>
      </c>
      <c r="U6" s="60">
        <f t="shared" si="0"/>
        <v>-6</v>
      </c>
      <c r="V6" s="61">
        <f t="shared" si="1"/>
        <v>-1.5</v>
      </c>
      <c r="W6" s="62">
        <f t="shared" si="2"/>
        <v>4.5</v>
      </c>
      <c r="Y6" s="8" t="s">
        <v>141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141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142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1</v>
      </c>
      <c r="C7" s="18">
        <f t="shared" si="9"/>
        <v>3</v>
      </c>
      <c r="D7" s="18">
        <f t="shared" si="4"/>
        <v>3</v>
      </c>
      <c r="E7" s="4" t="s">
        <v>139</v>
      </c>
      <c r="F7" s="8" t="s">
        <v>144</v>
      </c>
      <c r="G7" s="9">
        <v>5200</v>
      </c>
      <c r="H7" s="9">
        <v>3000</v>
      </c>
      <c r="I7" s="55">
        <v>3000</v>
      </c>
      <c r="J7" s="21">
        <f t="shared" si="5"/>
        <v>40200</v>
      </c>
      <c r="K7" s="8" t="s">
        <v>145</v>
      </c>
      <c r="L7" s="9">
        <v>-5200</v>
      </c>
      <c r="M7" s="9"/>
      <c r="N7" s="55">
        <v>-3000</v>
      </c>
      <c r="O7" s="21">
        <f t="shared" si="6"/>
        <v>25300</v>
      </c>
      <c r="P7" s="8"/>
      <c r="Q7" s="9"/>
      <c r="R7" s="9"/>
      <c r="S7" s="55"/>
      <c r="T7" s="21">
        <f t="shared" si="7"/>
        <v>39500</v>
      </c>
      <c r="U7" s="60">
        <f t="shared" si="0"/>
        <v>5.2</v>
      </c>
      <c r="V7" s="61">
        <f t="shared" si="1"/>
        <v>-9.6999999999999993</v>
      </c>
      <c r="W7" s="62">
        <f t="shared" si="2"/>
        <v>4.5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146</v>
      </c>
      <c r="AF7" s="48" t="s">
        <v>80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135</v>
      </c>
      <c r="F8" s="8"/>
      <c r="G8" s="9"/>
      <c r="H8" s="9"/>
      <c r="I8" s="55"/>
      <c r="J8" s="21">
        <f t="shared" si="5"/>
        <v>40200</v>
      </c>
      <c r="K8" s="8" t="s">
        <v>145</v>
      </c>
      <c r="L8" s="9">
        <v>-12000</v>
      </c>
      <c r="M8" s="9"/>
      <c r="N8" s="55">
        <v>0</v>
      </c>
      <c r="O8" s="21">
        <f t="shared" si="6"/>
        <v>13300</v>
      </c>
      <c r="P8" s="8" t="s">
        <v>144</v>
      </c>
      <c r="Q8" s="9">
        <v>12000</v>
      </c>
      <c r="R8" s="9"/>
      <c r="S8" s="55">
        <v>0</v>
      </c>
      <c r="T8" s="21">
        <f t="shared" si="7"/>
        <v>51500</v>
      </c>
      <c r="U8" s="60">
        <f t="shared" si="0"/>
        <v>5.2</v>
      </c>
      <c r="V8" s="61">
        <f t="shared" si="1"/>
        <v>-21.7</v>
      </c>
      <c r="W8" s="62">
        <f t="shared" si="2"/>
        <v>16.5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6</v>
      </c>
      <c r="BT8" s="36" t="s">
        <v>147</v>
      </c>
      <c r="BU8" s="47" t="s">
        <v>87</v>
      </c>
      <c r="BV8" s="48" t="s">
        <v>82</v>
      </c>
      <c r="BW8" s="48" t="s">
        <v>82</v>
      </c>
      <c r="BX8" s="48" t="s">
        <v>80</v>
      </c>
      <c r="BY8" s="48" t="s">
        <v>80</v>
      </c>
      <c r="BZ8" s="48" t="s">
        <v>80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144</v>
      </c>
      <c r="G9" s="9">
        <v>2600</v>
      </c>
      <c r="H9" s="9"/>
      <c r="I9" s="55">
        <v>0</v>
      </c>
      <c r="J9" s="21">
        <f t="shared" si="5"/>
        <v>42800</v>
      </c>
      <c r="K9" s="8" t="s">
        <v>145</v>
      </c>
      <c r="L9" s="9">
        <v>-2600</v>
      </c>
      <c r="M9" s="9"/>
      <c r="N9" s="55">
        <v>0</v>
      </c>
      <c r="O9" s="21">
        <f t="shared" si="6"/>
        <v>10700</v>
      </c>
      <c r="P9" s="8"/>
      <c r="Q9" s="9"/>
      <c r="R9" s="9"/>
      <c r="S9" s="55"/>
      <c r="T9" s="21">
        <f t="shared" si="7"/>
        <v>51500</v>
      </c>
      <c r="U9" s="60">
        <f t="shared" si="0"/>
        <v>7.8</v>
      </c>
      <c r="V9" s="61">
        <f t="shared" si="1"/>
        <v>-24.3</v>
      </c>
      <c r="W9" s="62">
        <f t="shared" si="2"/>
        <v>16.5</v>
      </c>
      <c r="Y9" s="8"/>
      <c r="Z9" s="41"/>
      <c r="AA9" s="32">
        <v>1</v>
      </c>
      <c r="AB9" s="32"/>
      <c r="AC9" s="32">
        <v>2</v>
      </c>
      <c r="AD9" s="36">
        <v>40</v>
      </c>
      <c r="AE9" s="47" t="s">
        <v>146</v>
      </c>
      <c r="AF9" s="48" t="s">
        <v>80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148</v>
      </c>
      <c r="G10" s="9">
        <v>-3000</v>
      </c>
      <c r="H10" s="9">
        <v>-1000</v>
      </c>
      <c r="I10" s="55">
        <v>0</v>
      </c>
      <c r="J10" s="21">
        <f t="shared" si="5"/>
        <v>38800</v>
      </c>
      <c r="K10" s="8" t="s">
        <v>149</v>
      </c>
      <c r="L10" s="9">
        <v>8000</v>
      </c>
      <c r="M10" s="9">
        <v>1000</v>
      </c>
      <c r="N10" s="55">
        <v>0</v>
      </c>
      <c r="O10" s="21">
        <f t="shared" si="6"/>
        <v>19700</v>
      </c>
      <c r="P10" s="8" t="s">
        <v>148</v>
      </c>
      <c r="Q10" s="9">
        <v>-5000</v>
      </c>
      <c r="R10" s="9"/>
      <c r="S10" s="55">
        <v>0</v>
      </c>
      <c r="T10" s="21">
        <f t="shared" si="7"/>
        <v>46500</v>
      </c>
      <c r="U10" s="60">
        <f t="shared" si="0"/>
        <v>3.8</v>
      </c>
      <c r="V10" s="61">
        <f t="shared" si="1"/>
        <v>-15.3</v>
      </c>
      <c r="W10" s="62">
        <f t="shared" si="2"/>
        <v>11.5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146</v>
      </c>
      <c r="BA10" s="48" t="s">
        <v>83</v>
      </c>
      <c r="BB10" s="48" t="s">
        <v>80</v>
      </c>
      <c r="BC10" s="48" t="s">
        <v>80</v>
      </c>
      <c r="BD10" s="48" t="s">
        <v>81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144</v>
      </c>
      <c r="G11" s="9">
        <v>7700</v>
      </c>
      <c r="H11" s="9"/>
      <c r="I11" s="55">
        <v>0</v>
      </c>
      <c r="J11" s="21">
        <f t="shared" si="5"/>
        <v>46500</v>
      </c>
      <c r="K11" s="8"/>
      <c r="L11" s="9"/>
      <c r="M11" s="9"/>
      <c r="N11" s="55"/>
      <c r="O11" s="21">
        <f t="shared" si="6"/>
        <v>19700</v>
      </c>
      <c r="P11" s="8" t="s">
        <v>145</v>
      </c>
      <c r="Q11" s="9">
        <v>-7700</v>
      </c>
      <c r="R11" s="9"/>
      <c r="S11" s="55">
        <v>0</v>
      </c>
      <c r="T11" s="21">
        <f t="shared" si="7"/>
        <v>38800</v>
      </c>
      <c r="U11" s="60">
        <f t="shared" si="0"/>
        <v>11.5</v>
      </c>
      <c r="V11" s="61">
        <f t="shared" si="1"/>
        <v>-15.3</v>
      </c>
      <c r="W11" s="62">
        <f t="shared" si="2"/>
        <v>3.8</v>
      </c>
      <c r="Y11" s="8"/>
      <c r="Z11" s="41"/>
      <c r="AA11" s="32">
        <v>1</v>
      </c>
      <c r="AB11" s="32"/>
      <c r="AC11" s="32">
        <v>3</v>
      </c>
      <c r="AD11" s="36">
        <v>40</v>
      </c>
      <c r="AE11" s="47" t="s">
        <v>146</v>
      </c>
      <c r="AF11" s="48" t="s">
        <v>87</v>
      </c>
      <c r="AG11" s="48" t="s">
        <v>82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2</v>
      </c>
      <c r="C12" s="18">
        <f t="shared" si="9"/>
        <v>1</v>
      </c>
      <c r="D12" s="18">
        <f t="shared" si="4"/>
        <v>0</v>
      </c>
      <c r="E12" s="4" t="s">
        <v>135</v>
      </c>
      <c r="F12" s="8" t="s">
        <v>148</v>
      </c>
      <c r="G12" s="9">
        <v>-2500</v>
      </c>
      <c r="H12" s="9"/>
      <c r="I12" s="55">
        <v>-500</v>
      </c>
      <c r="J12" s="21">
        <f t="shared" si="5"/>
        <v>43500</v>
      </c>
      <c r="K12" s="8" t="s">
        <v>149</v>
      </c>
      <c r="L12" s="9">
        <v>4000</v>
      </c>
      <c r="M12" s="9"/>
      <c r="N12" s="55">
        <v>1000</v>
      </c>
      <c r="O12" s="21">
        <f t="shared" si="6"/>
        <v>24700</v>
      </c>
      <c r="P12" s="8" t="s">
        <v>148</v>
      </c>
      <c r="Q12" s="9">
        <v>-1500</v>
      </c>
      <c r="R12" s="9"/>
      <c r="S12" s="55">
        <v>-500</v>
      </c>
      <c r="T12" s="21">
        <f t="shared" si="7"/>
        <v>36800</v>
      </c>
      <c r="U12" s="60">
        <f t="shared" si="0"/>
        <v>8.5</v>
      </c>
      <c r="V12" s="61">
        <f t="shared" si="1"/>
        <v>-10.3</v>
      </c>
      <c r="W12" s="62">
        <f t="shared" si="2"/>
        <v>1.8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3</v>
      </c>
      <c r="AY12" s="36">
        <v>30</v>
      </c>
      <c r="AZ12" s="47" t="s">
        <v>83</v>
      </c>
      <c r="BA12" s="48" t="s">
        <v>85</v>
      </c>
      <c r="BB12" s="48" t="s">
        <v>82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137</v>
      </c>
      <c r="F13" s="8" t="s">
        <v>144</v>
      </c>
      <c r="G13" s="9">
        <v>1000</v>
      </c>
      <c r="H13" s="9"/>
      <c r="I13" s="55">
        <v>0</v>
      </c>
      <c r="J13" s="21">
        <f t="shared" si="5"/>
        <v>44500</v>
      </c>
      <c r="K13" s="8" t="s">
        <v>145</v>
      </c>
      <c r="L13" s="9">
        <v>-1000</v>
      </c>
      <c r="M13" s="9"/>
      <c r="N13" s="55">
        <v>0</v>
      </c>
      <c r="O13" s="21">
        <f t="shared" si="6"/>
        <v>23700</v>
      </c>
      <c r="P13" s="8"/>
      <c r="Q13" s="9"/>
      <c r="R13" s="9"/>
      <c r="S13" s="55"/>
      <c r="T13" s="21">
        <f t="shared" si="7"/>
        <v>36800</v>
      </c>
      <c r="U13" s="60">
        <f t="shared" si="0"/>
        <v>9.5</v>
      </c>
      <c r="V13" s="61">
        <f t="shared" si="1"/>
        <v>-11.3</v>
      </c>
      <c r="W13" s="62">
        <f t="shared" si="2"/>
        <v>1.8</v>
      </c>
      <c r="Y13" s="8"/>
      <c r="Z13" s="41"/>
      <c r="AA13" s="32"/>
      <c r="AB13" s="32">
        <v>1</v>
      </c>
      <c r="AC13" s="32">
        <v>1</v>
      </c>
      <c r="AD13" s="36">
        <v>30</v>
      </c>
      <c r="AE13" s="47" t="s">
        <v>87</v>
      </c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西</v>
      </c>
      <c r="B14" s="18">
        <f t="shared" si="8"/>
        <v>1</v>
      </c>
      <c r="C14" s="18">
        <f t="shared" si="9"/>
        <v>0</v>
      </c>
      <c r="D14" s="18">
        <f t="shared" si="4"/>
        <v>0</v>
      </c>
      <c r="E14" s="4" t="s">
        <v>139</v>
      </c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88703-F62D-4386-8CD0-AC06360186DD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ぱぱ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-2600</v>
      </c>
      <c r="H4" s="9"/>
      <c r="I4" s="55">
        <v>0</v>
      </c>
      <c r="J4" s="21">
        <f>IF(COUNTA($F4,$K4,$P4)&gt;0,J3+SUM(G4:I4),"")</f>
        <v>32400</v>
      </c>
      <c r="K4" s="8"/>
      <c r="L4" s="9"/>
      <c r="M4" s="9"/>
      <c r="N4" s="55"/>
      <c r="O4" s="21">
        <f>IF(COUNTA($F4,$K4,$P4)&gt;0,O3+SUM(L4:N4),"")</f>
        <v>35000</v>
      </c>
      <c r="P4" s="8" t="s">
        <v>144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0">
        <f t="shared" ref="U4:U30" si="0">IF($J4="","",ROUND(($J4-$J$3)/1000,1))</f>
        <v>-2.6</v>
      </c>
      <c r="V4" s="61">
        <f t="shared" ref="V4:V30" si="1">IF($O4="","",ROUND(($O4-$O$3)/1000,1))</f>
        <v>0</v>
      </c>
      <c r="W4" s="62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2</v>
      </c>
      <c r="BT4" s="36">
        <v>40</v>
      </c>
      <c r="BU4" s="47" t="s">
        <v>146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148</v>
      </c>
      <c r="G5" s="9">
        <v>-6000</v>
      </c>
      <c r="H5" s="9"/>
      <c r="I5" s="55">
        <v>0</v>
      </c>
      <c r="J5" s="21">
        <f t="shared" ref="J5:J30" si="5">IF(COUNTA($F5,$K5,$P5)&gt;0,J4+SUM(G5:I5),"")</f>
        <v>26400</v>
      </c>
      <c r="K5" s="8" t="s">
        <v>149</v>
      </c>
      <c r="L5" s="9">
        <v>16000</v>
      </c>
      <c r="M5" s="9"/>
      <c r="N5" s="55">
        <v>0</v>
      </c>
      <c r="O5" s="21">
        <f t="shared" ref="O5:O30" si="6">IF(COUNTA($F5,$K5,$P5)&gt;0,O4+SUM(L5:N5),"")</f>
        <v>51000</v>
      </c>
      <c r="P5" s="8" t="s">
        <v>148</v>
      </c>
      <c r="Q5" s="9">
        <v>-10000</v>
      </c>
      <c r="R5" s="9"/>
      <c r="S5" s="55">
        <v>0</v>
      </c>
      <c r="T5" s="21">
        <f t="shared" ref="T5:T30" si="7">IF(COUNTA($F5,$K5,$P5)&gt;0,T4+SUM(Q5:S5),"")</f>
        <v>27600</v>
      </c>
      <c r="U5" s="60">
        <f t="shared" si="0"/>
        <v>-8.6</v>
      </c>
      <c r="V5" s="61">
        <f t="shared" si="1"/>
        <v>16</v>
      </c>
      <c r="W5" s="62">
        <f t="shared" si="2"/>
        <v>-7.4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9</v>
      </c>
      <c r="AY5" s="36" t="s">
        <v>147</v>
      </c>
      <c r="AZ5" s="47" t="s">
        <v>99</v>
      </c>
      <c r="BA5" s="48" t="s">
        <v>97</v>
      </c>
      <c r="BB5" s="48" t="s">
        <v>82</v>
      </c>
      <c r="BC5" s="48" t="s">
        <v>82</v>
      </c>
      <c r="BD5" s="48" t="s">
        <v>82</v>
      </c>
      <c r="BE5" s="48" t="s">
        <v>87</v>
      </c>
      <c r="BF5" s="48" t="s">
        <v>87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145</v>
      </c>
      <c r="G6" s="9">
        <v>-8000</v>
      </c>
      <c r="H6" s="9"/>
      <c r="I6" s="55">
        <v>0</v>
      </c>
      <c r="J6" s="21">
        <f t="shared" si="5"/>
        <v>18400</v>
      </c>
      <c r="K6" s="8"/>
      <c r="L6" s="9"/>
      <c r="M6" s="9"/>
      <c r="N6" s="55"/>
      <c r="O6" s="21">
        <f t="shared" si="6"/>
        <v>51000</v>
      </c>
      <c r="P6" s="8" t="s">
        <v>144</v>
      </c>
      <c r="Q6" s="9">
        <v>8000</v>
      </c>
      <c r="R6" s="9"/>
      <c r="S6" s="55">
        <v>0</v>
      </c>
      <c r="T6" s="21">
        <f t="shared" si="7"/>
        <v>35600</v>
      </c>
      <c r="U6" s="60">
        <f t="shared" si="0"/>
        <v>-16.600000000000001</v>
      </c>
      <c r="V6" s="61">
        <f t="shared" si="1"/>
        <v>16</v>
      </c>
      <c r="W6" s="62">
        <f t="shared" si="2"/>
        <v>0.6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147</v>
      </c>
      <c r="BU6" s="47" t="s">
        <v>146</v>
      </c>
      <c r="BV6" s="48" t="s">
        <v>150</v>
      </c>
      <c r="BW6" s="48" t="s">
        <v>80</v>
      </c>
      <c r="BX6" s="48" t="s">
        <v>80</v>
      </c>
      <c r="BY6" s="48" t="s">
        <v>81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137</v>
      </c>
      <c r="F7" s="8"/>
      <c r="G7" s="9"/>
      <c r="H7" s="9">
        <v>-1000</v>
      </c>
      <c r="I7" s="55"/>
      <c r="J7" s="21">
        <f t="shared" si="5"/>
        <v>17400</v>
      </c>
      <c r="K7" s="8" t="s">
        <v>145</v>
      </c>
      <c r="L7" s="9">
        <v>-5200</v>
      </c>
      <c r="M7" s="9"/>
      <c r="N7" s="55">
        <v>0</v>
      </c>
      <c r="O7" s="21">
        <f t="shared" si="6"/>
        <v>45800</v>
      </c>
      <c r="P7" s="8" t="s">
        <v>144</v>
      </c>
      <c r="Q7" s="9">
        <v>5200</v>
      </c>
      <c r="R7" s="9">
        <v>1000</v>
      </c>
      <c r="S7" s="55">
        <v>0</v>
      </c>
      <c r="T7" s="21">
        <f t="shared" si="7"/>
        <v>41800</v>
      </c>
      <c r="U7" s="60">
        <f t="shared" si="0"/>
        <v>-17.600000000000001</v>
      </c>
      <c r="V7" s="61">
        <f t="shared" si="1"/>
        <v>10.8</v>
      </c>
      <c r="W7" s="62">
        <f t="shared" si="2"/>
        <v>6.8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40</v>
      </c>
      <c r="BU7" s="47" t="s">
        <v>146</v>
      </c>
      <c r="BV7" s="48" t="s">
        <v>150</v>
      </c>
      <c r="BW7" s="48" t="s">
        <v>82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149</v>
      </c>
      <c r="G8" s="9">
        <v>2100</v>
      </c>
      <c r="H8" s="9"/>
      <c r="I8" s="55">
        <v>0</v>
      </c>
      <c r="J8" s="21">
        <f t="shared" si="5"/>
        <v>19500</v>
      </c>
      <c r="K8" s="8" t="s">
        <v>148</v>
      </c>
      <c r="L8" s="9">
        <v>-800</v>
      </c>
      <c r="M8" s="9"/>
      <c r="N8" s="55">
        <v>0</v>
      </c>
      <c r="O8" s="21">
        <f t="shared" si="6"/>
        <v>45000</v>
      </c>
      <c r="P8" s="8" t="s">
        <v>148</v>
      </c>
      <c r="Q8" s="9">
        <v>-1300</v>
      </c>
      <c r="R8" s="9"/>
      <c r="S8" s="55">
        <v>0</v>
      </c>
      <c r="T8" s="21">
        <f t="shared" si="7"/>
        <v>40500</v>
      </c>
      <c r="U8" s="60">
        <f t="shared" si="0"/>
        <v>-15.5</v>
      </c>
      <c r="V8" s="61">
        <f t="shared" si="1"/>
        <v>10</v>
      </c>
      <c r="W8" s="62">
        <f t="shared" si="2"/>
        <v>5.5</v>
      </c>
      <c r="Y8" s="8"/>
      <c r="Z8" s="41"/>
      <c r="AA8" s="32"/>
      <c r="AB8" s="32"/>
      <c r="AC8" s="32">
        <v>2</v>
      </c>
      <c r="AD8" s="36">
        <v>30</v>
      </c>
      <c r="AE8" s="47" t="s">
        <v>83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151</v>
      </c>
      <c r="G9" s="9">
        <v>3000</v>
      </c>
      <c r="H9" s="9">
        <v>-1000</v>
      </c>
      <c r="I9" s="55"/>
      <c r="J9" s="21">
        <f t="shared" si="5"/>
        <v>21500</v>
      </c>
      <c r="K9" s="8" t="s">
        <v>151</v>
      </c>
      <c r="L9" s="9">
        <v>-1500</v>
      </c>
      <c r="M9" s="9"/>
      <c r="N9" s="55"/>
      <c r="O9" s="21">
        <f t="shared" si="6"/>
        <v>43500</v>
      </c>
      <c r="P9" s="8" t="s">
        <v>151</v>
      </c>
      <c r="Q9" s="9">
        <v>-1500</v>
      </c>
      <c r="R9" s="9"/>
      <c r="S9" s="55"/>
      <c r="T9" s="21">
        <f t="shared" si="7"/>
        <v>39000</v>
      </c>
      <c r="U9" s="60">
        <f t="shared" si="0"/>
        <v>-13.5</v>
      </c>
      <c r="V9" s="61">
        <f t="shared" si="1"/>
        <v>8.5</v>
      </c>
      <c r="W9" s="62">
        <f t="shared" si="2"/>
        <v>4</v>
      </c>
      <c r="Y9" s="8" t="s">
        <v>142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141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141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1</v>
      </c>
      <c r="E10" s="4" t="s">
        <v>135</v>
      </c>
      <c r="F10" s="8" t="s">
        <v>144</v>
      </c>
      <c r="G10" s="9">
        <v>7700</v>
      </c>
      <c r="H10" s="9">
        <v>2000</v>
      </c>
      <c r="I10" s="55">
        <v>1000</v>
      </c>
      <c r="J10" s="21">
        <f t="shared" si="5"/>
        <v>32200</v>
      </c>
      <c r="K10" s="8"/>
      <c r="L10" s="9"/>
      <c r="M10" s="9"/>
      <c r="N10" s="55"/>
      <c r="O10" s="21">
        <f t="shared" si="6"/>
        <v>43500</v>
      </c>
      <c r="P10" s="8" t="s">
        <v>145</v>
      </c>
      <c r="Q10" s="9">
        <v>-7700</v>
      </c>
      <c r="R10" s="9">
        <v>-1000</v>
      </c>
      <c r="S10" s="55">
        <v>-1000</v>
      </c>
      <c r="T10" s="21">
        <f t="shared" si="7"/>
        <v>29300</v>
      </c>
      <c r="U10" s="60">
        <f t="shared" si="0"/>
        <v>-2.8</v>
      </c>
      <c r="V10" s="61">
        <f t="shared" si="1"/>
        <v>8.5</v>
      </c>
      <c r="W10" s="62">
        <f t="shared" si="2"/>
        <v>-5.7</v>
      </c>
      <c r="Y10" s="8"/>
      <c r="Z10" s="41"/>
      <c r="AA10" s="32"/>
      <c r="AB10" s="32">
        <v>1</v>
      </c>
      <c r="AC10" s="32">
        <v>3</v>
      </c>
      <c r="AD10" s="36">
        <v>40</v>
      </c>
      <c r="AE10" s="47" t="s">
        <v>87</v>
      </c>
      <c r="AF10" s="48" t="s">
        <v>82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">
        <v>135</v>
      </c>
      <c r="F11" s="8" t="s">
        <v>144</v>
      </c>
      <c r="G11" s="9">
        <v>5800</v>
      </c>
      <c r="H11" s="9"/>
      <c r="I11" s="55">
        <v>2000</v>
      </c>
      <c r="J11" s="21">
        <f t="shared" si="5"/>
        <v>40000</v>
      </c>
      <c r="K11" s="8" t="s">
        <v>145</v>
      </c>
      <c r="L11" s="9">
        <v>-5800</v>
      </c>
      <c r="M11" s="9"/>
      <c r="N11" s="55">
        <v>-2000</v>
      </c>
      <c r="O11" s="21">
        <f t="shared" si="6"/>
        <v>35700</v>
      </c>
      <c r="P11" s="8"/>
      <c r="Q11" s="9"/>
      <c r="R11" s="9"/>
      <c r="S11" s="55"/>
      <c r="T11" s="21">
        <f t="shared" si="7"/>
        <v>29300</v>
      </c>
      <c r="U11" s="60">
        <f t="shared" si="0"/>
        <v>5</v>
      </c>
      <c r="V11" s="61">
        <f t="shared" si="1"/>
        <v>0.7</v>
      </c>
      <c r="W11" s="62">
        <f t="shared" si="2"/>
        <v>-5.7</v>
      </c>
      <c r="Y11" s="8"/>
      <c r="Z11" s="41"/>
      <c r="AA11" s="32"/>
      <c r="AB11" s="32">
        <v>1</v>
      </c>
      <c r="AC11" s="32">
        <v>3</v>
      </c>
      <c r="AD11" s="36">
        <v>30</v>
      </c>
      <c r="AE11" s="47" t="s">
        <v>87</v>
      </c>
      <c r="AF11" s="48" t="s">
        <v>80</v>
      </c>
      <c r="AG11" s="48" t="s">
        <v>80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9351DD86-D42A-4833-8D00-23654E7BA4E8}">
      <formula1>$U$2:$W$2</formula1>
    </dataValidation>
    <dataValidation type="list" showInputMessage="1" showErrorMessage="1" sqref="K4:K30 P4:P30 F4:F30" xr:uid="{3FF2BC45-6A13-4F40-B51A-04BC5CDB908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84FA-899D-4539-9079-939AD442A45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ぱぱ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149</v>
      </c>
      <c r="G4" s="9">
        <v>7800</v>
      </c>
      <c r="H4" s="9"/>
      <c r="I4" s="55">
        <v>0</v>
      </c>
      <c r="J4" s="21">
        <f>IF(COUNTA($F4,$K4,$P4)&gt;0,J3+SUM(G4:I4),"")</f>
        <v>42800</v>
      </c>
      <c r="K4" s="8" t="s">
        <v>148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 t="s">
        <v>148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 t="shared" ref="U4:U30" si="0">IF($J4="","",ROUND(($J4-$J$3)/1000,1))</f>
        <v>7.8</v>
      </c>
      <c r="V4" s="61">
        <f t="shared" ref="V4:V30" si="1">IF($O4="","",ROUND(($O4-$O$3)/1000,1))</f>
        <v>-3.9</v>
      </c>
      <c r="W4" s="62">
        <f t="shared" ref="W4:W30" si="2">IF($T4="","",ROUND(($T4-$T$3)/1000,1))</f>
        <v>-3.9</v>
      </c>
      <c r="Y4" s="8"/>
      <c r="Z4" s="41"/>
      <c r="AA4" s="32">
        <v>1</v>
      </c>
      <c r="AB4" s="32"/>
      <c r="AC4" s="32">
        <v>4</v>
      </c>
      <c r="AD4" s="36">
        <v>20</v>
      </c>
      <c r="AE4" s="47" t="s">
        <v>146</v>
      </c>
      <c r="AF4" s="48" t="s">
        <v>83</v>
      </c>
      <c r="AG4" s="48" t="s">
        <v>84</v>
      </c>
      <c r="AH4" s="48" t="s">
        <v>85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5">IF(COUNTA($F5,$K5,$P5)&gt;0,J4+SUM(G5:I5),"")</f>
        <v>42800</v>
      </c>
      <c r="K5" s="8" t="s">
        <v>145</v>
      </c>
      <c r="L5" s="9">
        <v>-2600</v>
      </c>
      <c r="M5" s="9"/>
      <c r="N5" s="55">
        <v>-1000</v>
      </c>
      <c r="O5" s="21">
        <f t="shared" ref="O5:O30" si="6">IF(COUNTA($F5,$K5,$P5)&gt;0,O4+SUM(L5:N5),"")</f>
        <v>27500</v>
      </c>
      <c r="P5" s="8" t="s">
        <v>144</v>
      </c>
      <c r="Q5" s="9">
        <v>2600</v>
      </c>
      <c r="R5" s="9"/>
      <c r="S5" s="55">
        <v>1000</v>
      </c>
      <c r="T5" s="21">
        <f t="shared" ref="T5:T30" si="7">IF(COUNTA($F5,$K5,$P5)&gt;0,T4+SUM(Q5:S5),"")</f>
        <v>34700</v>
      </c>
      <c r="U5" s="60">
        <f t="shared" si="0"/>
        <v>7.8</v>
      </c>
      <c r="V5" s="61">
        <f t="shared" si="1"/>
        <v>-7.5</v>
      </c>
      <c r="W5" s="62">
        <f t="shared" si="2"/>
        <v>-0.3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2</v>
      </c>
      <c r="BT5" s="36">
        <v>40</v>
      </c>
      <c r="BU5" s="47" t="s">
        <v>146</v>
      </c>
      <c r="BV5" s="48" t="s">
        <v>80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/>
      <c r="G6" s="9"/>
      <c r="H6" s="9"/>
      <c r="I6" s="55"/>
      <c r="J6" s="21">
        <f t="shared" si="5"/>
        <v>42800</v>
      </c>
      <c r="K6" s="8" t="s">
        <v>145</v>
      </c>
      <c r="L6" s="9">
        <v>-8000</v>
      </c>
      <c r="M6" s="9"/>
      <c r="N6" s="55">
        <v>0</v>
      </c>
      <c r="O6" s="21">
        <f t="shared" si="6"/>
        <v>19500</v>
      </c>
      <c r="P6" s="8" t="s">
        <v>144</v>
      </c>
      <c r="Q6" s="9">
        <v>8000</v>
      </c>
      <c r="R6" s="9"/>
      <c r="S6" s="55">
        <v>0</v>
      </c>
      <c r="T6" s="21">
        <f t="shared" si="7"/>
        <v>42700</v>
      </c>
      <c r="U6" s="60">
        <f t="shared" si="0"/>
        <v>7.8</v>
      </c>
      <c r="V6" s="61">
        <f t="shared" si="1"/>
        <v>-15.5</v>
      </c>
      <c r="W6" s="62">
        <f t="shared" si="2"/>
        <v>7.7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87</v>
      </c>
      <c r="BV6" s="48" t="s">
        <v>87</v>
      </c>
      <c r="BW6" s="48" t="s">
        <v>105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/>
      <c r="G7" s="9"/>
      <c r="H7" s="9"/>
      <c r="I7" s="55"/>
      <c r="J7" s="21">
        <f t="shared" si="5"/>
        <v>42800</v>
      </c>
      <c r="K7" s="8" t="s">
        <v>145</v>
      </c>
      <c r="L7" s="9">
        <v>-24000</v>
      </c>
      <c r="M7" s="9"/>
      <c r="N7" s="55">
        <v>0</v>
      </c>
      <c r="O7" s="21">
        <f t="shared" si="6"/>
        <v>-4500</v>
      </c>
      <c r="P7" s="8" t="s">
        <v>144</v>
      </c>
      <c r="Q7" s="9">
        <v>24000</v>
      </c>
      <c r="R7" s="9"/>
      <c r="S7" s="55">
        <v>0</v>
      </c>
      <c r="T7" s="21">
        <f t="shared" si="7"/>
        <v>66700</v>
      </c>
      <c r="U7" s="60">
        <f t="shared" si="0"/>
        <v>7.8</v>
      </c>
      <c r="V7" s="61">
        <f t="shared" si="1"/>
        <v>-39.5</v>
      </c>
      <c r="W7" s="62">
        <f t="shared" si="2"/>
        <v>31.7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8</v>
      </c>
      <c r="BT7" s="36" t="s">
        <v>147</v>
      </c>
      <c r="BU7" s="47" t="s">
        <v>105</v>
      </c>
      <c r="BV7" s="48" t="s">
        <v>82</v>
      </c>
      <c r="BW7" s="48" t="s">
        <v>82</v>
      </c>
      <c r="BX7" s="48" t="s">
        <v>81</v>
      </c>
      <c r="BY7" s="48" t="s">
        <v>146</v>
      </c>
      <c r="BZ7" s="48" t="s">
        <v>150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69FF74AF-DB92-45E9-A07E-28F048C1CBC9}">
      <formula1>"ロン,ツモ,放銃,ツモ支払,流局,チョンボ"</formula1>
    </dataValidation>
    <dataValidation type="list" allowBlank="1" showInputMessage="1" showErrorMessage="1" sqref="E4:E30" xr:uid="{95F6B380-9C6F-4D08-A9C4-244931E827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6450F-E0F4-45A1-A2BC-B39972E4D8A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ぱぱ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148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148</v>
      </c>
      <c r="L4" s="9">
        <v>-2500</v>
      </c>
      <c r="M4" s="9"/>
      <c r="N4" s="55">
        <v>0</v>
      </c>
      <c r="O4" s="21">
        <f>IF(COUNTA($F4,$K4,$P4)&gt;0,O3+SUM(L4:N4),"")</f>
        <v>32500</v>
      </c>
      <c r="P4" s="8" t="s">
        <v>149</v>
      </c>
      <c r="Q4" s="9">
        <v>4000</v>
      </c>
      <c r="R4" s="9"/>
      <c r="S4" s="55">
        <v>0</v>
      </c>
      <c r="T4" s="21">
        <f>IF(COUNTA($F4,$K4,$P4)&gt;0,T3+SUM(Q4:S4),"")</f>
        <v>39000</v>
      </c>
      <c r="U4" s="60">
        <f t="shared" ref="U4:U30" si="0">IF($J4="","",ROUND(($J4-$J$3)/1000,1))</f>
        <v>-1.5</v>
      </c>
      <c r="V4" s="61">
        <f t="shared" ref="V4:V30" si="1">IF($O4="","",ROUND(($O4-$O$3)/1000,1))</f>
        <v>-2.5</v>
      </c>
      <c r="W4" s="62">
        <f t="shared" ref="W4:W30" si="2">IF($T4="","",ROUND(($T4-$T$3)/1000,1))</f>
        <v>4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83</v>
      </c>
      <c r="BV4" s="48" t="s">
        <v>82</v>
      </c>
      <c r="BW4" s="48" t="s">
        <v>82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144</v>
      </c>
      <c r="G5" s="9">
        <v>12000</v>
      </c>
      <c r="H5" s="9">
        <v>1000</v>
      </c>
      <c r="I5" s="55">
        <v>0</v>
      </c>
      <c r="J5" s="21">
        <f t="shared" ref="J5:J30" si="5">IF(COUNTA($F5,$K5,$P5)&gt;0,J4+SUM(G5:I5),"")</f>
        <v>46500</v>
      </c>
      <c r="K5" s="8" t="s">
        <v>145</v>
      </c>
      <c r="L5" s="9">
        <v>-12000</v>
      </c>
      <c r="M5" s="9"/>
      <c r="N5" s="55">
        <v>0</v>
      </c>
      <c r="O5" s="21">
        <f t="shared" ref="O5:O30" si="6">IF(COUNTA($F5,$K5,$P5)&gt;0,O4+SUM(L5:N5),"")</f>
        <v>20500</v>
      </c>
      <c r="P5" s="8"/>
      <c r="Q5" s="9"/>
      <c r="R5" s="9">
        <v>-1000</v>
      </c>
      <c r="S5" s="55"/>
      <c r="T5" s="21">
        <f t="shared" ref="T5:T30" si="7">IF(COUNTA($F5,$K5,$P5)&gt;0,T4+SUM(Q5:S5),"")</f>
        <v>38000</v>
      </c>
      <c r="U5" s="60">
        <f t="shared" si="0"/>
        <v>11.5</v>
      </c>
      <c r="V5" s="61">
        <f t="shared" si="1"/>
        <v>-14.5</v>
      </c>
      <c r="W5" s="62">
        <f t="shared" si="2"/>
        <v>3</v>
      </c>
      <c r="Y5" s="8"/>
      <c r="Z5" s="41"/>
      <c r="AA5" s="32">
        <v>1</v>
      </c>
      <c r="AB5" s="32"/>
      <c r="AC5" s="32">
        <v>7</v>
      </c>
      <c r="AD5" s="36" t="s">
        <v>147</v>
      </c>
      <c r="AE5" s="47" t="s">
        <v>146</v>
      </c>
      <c r="AF5" s="48" t="s">
        <v>84</v>
      </c>
      <c r="AG5" s="48" t="s">
        <v>82</v>
      </c>
      <c r="AH5" s="48" t="s">
        <v>80</v>
      </c>
      <c r="AI5" s="48" t="s">
        <v>80</v>
      </c>
      <c r="AJ5" s="48" t="s">
        <v>81</v>
      </c>
      <c r="AK5" s="48" t="s">
        <v>81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144</v>
      </c>
      <c r="G6" s="9">
        <v>5800</v>
      </c>
      <c r="H6" s="9"/>
      <c r="I6" s="55">
        <v>0</v>
      </c>
      <c r="J6" s="21">
        <f t="shared" si="5"/>
        <v>52300</v>
      </c>
      <c r="K6" s="8" t="s">
        <v>145</v>
      </c>
      <c r="L6" s="9">
        <v>-5800</v>
      </c>
      <c r="M6" s="9"/>
      <c r="N6" s="55">
        <v>0</v>
      </c>
      <c r="O6" s="21">
        <f t="shared" si="6"/>
        <v>14700</v>
      </c>
      <c r="P6" s="8"/>
      <c r="Q6" s="9"/>
      <c r="R6" s="9"/>
      <c r="S6" s="55"/>
      <c r="T6" s="21">
        <f t="shared" si="7"/>
        <v>38000</v>
      </c>
      <c r="U6" s="60">
        <f t="shared" si="0"/>
        <v>17.3</v>
      </c>
      <c r="V6" s="61">
        <f t="shared" si="1"/>
        <v>-20.3</v>
      </c>
      <c r="W6" s="62">
        <f t="shared" si="2"/>
        <v>3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80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144</v>
      </c>
      <c r="G7" s="9">
        <v>24000</v>
      </c>
      <c r="H7" s="9"/>
      <c r="I7" s="55">
        <v>1000</v>
      </c>
      <c r="J7" s="21">
        <f t="shared" si="5"/>
        <v>77300</v>
      </c>
      <c r="K7" s="8" t="s">
        <v>145</v>
      </c>
      <c r="L7" s="9">
        <v>-24000</v>
      </c>
      <c r="M7" s="9"/>
      <c r="N7" s="55">
        <v>-1000</v>
      </c>
      <c r="O7" s="21">
        <f t="shared" si="6"/>
        <v>-10300</v>
      </c>
      <c r="P7" s="8"/>
      <c r="Q7" s="9"/>
      <c r="R7" s="9"/>
      <c r="S7" s="55"/>
      <c r="T7" s="21">
        <f t="shared" si="7"/>
        <v>38000</v>
      </c>
      <c r="U7" s="60">
        <f t="shared" si="0"/>
        <v>42.3</v>
      </c>
      <c r="V7" s="61">
        <f t="shared" si="1"/>
        <v>-45.3</v>
      </c>
      <c r="W7" s="62">
        <f t="shared" si="2"/>
        <v>3</v>
      </c>
      <c r="Y7" s="8"/>
      <c r="Z7" s="41"/>
      <c r="AA7" s="32"/>
      <c r="AB7" s="32"/>
      <c r="AC7" s="32">
        <v>9</v>
      </c>
      <c r="AD7" s="36" t="s">
        <v>147</v>
      </c>
      <c r="AE7" s="47" t="s">
        <v>107</v>
      </c>
      <c r="AF7" s="48" t="s">
        <v>82</v>
      </c>
      <c r="AG7" s="48" t="s">
        <v>82</v>
      </c>
      <c r="AH7" s="48" t="s">
        <v>82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52100ED-0018-479F-A0B6-9A63E13DCF76}">
      <formula1>$U$2:$W$2</formula1>
    </dataValidation>
    <dataValidation type="list" showInputMessage="1" showErrorMessage="1" sqref="K4:K30 P4:P30 F4:F30" xr:uid="{05B442A7-BF6E-4F34-80E2-68ACB23E2B9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ABC9B-D792-4C00-B389-60DD6DF9AFA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ぱぱ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ぱぱ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144</v>
      </c>
      <c r="G4" s="9">
        <v>3900</v>
      </c>
      <c r="H4" s="9">
        <v>1000</v>
      </c>
      <c r="I4" s="55">
        <v>0</v>
      </c>
      <c r="J4" s="21">
        <f>IF(COUNTA($F4,$K4,$P4)&gt;0,J3+SUM(G4:I4),"")</f>
        <v>39900</v>
      </c>
      <c r="K4" s="8"/>
      <c r="L4" s="9"/>
      <c r="M4" s="9"/>
      <c r="N4" s="55"/>
      <c r="O4" s="21">
        <f>IF(COUNTA($F4,$K4,$P4)&gt;0,O3+SUM(L4:N4),"")</f>
        <v>35000</v>
      </c>
      <c r="P4" s="8" t="s">
        <v>145</v>
      </c>
      <c r="Q4" s="9">
        <v>-3900</v>
      </c>
      <c r="R4" s="9">
        <v>-1000</v>
      </c>
      <c r="S4" s="55">
        <v>0</v>
      </c>
      <c r="T4" s="21">
        <f>IF(COUNTA($F4,$K4,$P4)&gt;0,T3+SUM(Q4:S4),"")</f>
        <v>30100</v>
      </c>
      <c r="U4" s="60">
        <f t="shared" ref="U4:U30" si="0">IF($J4="","",ROUND(($J4-$J$3)/1000,1))</f>
        <v>4.9000000000000004</v>
      </c>
      <c r="V4" s="61">
        <f t="shared" ref="V4:V30" si="1">IF($O4="","",ROUND(($O4-$O$3)/1000,1))</f>
        <v>0</v>
      </c>
      <c r="W4" s="62">
        <f t="shared" ref="W4:W30" si="2">IF($T4="","",ROUND(($T4-$T$3)/1000,1))</f>
        <v>-4.9000000000000004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87</v>
      </c>
      <c r="AF4" s="48" t="s">
        <v>82</v>
      </c>
      <c r="AG4" s="48" t="s">
        <v>80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149</v>
      </c>
      <c r="G5" s="9">
        <v>8000</v>
      </c>
      <c r="H5" s="9">
        <v>1000</v>
      </c>
      <c r="I5" s="55">
        <v>0</v>
      </c>
      <c r="J5" s="21">
        <f t="shared" ref="J5:J30" si="5">IF(COUNTA($F5,$K5,$P5)&gt;0,J4+SUM(G5:I5),"")</f>
        <v>48900</v>
      </c>
      <c r="K5" s="8" t="s">
        <v>148</v>
      </c>
      <c r="L5" s="9">
        <v>-3000</v>
      </c>
      <c r="M5" s="9">
        <v>-1000</v>
      </c>
      <c r="N5" s="55">
        <v>0</v>
      </c>
      <c r="O5" s="21">
        <f t="shared" ref="O5:O30" si="6">IF(COUNTA($F5,$K5,$P5)&gt;0,O4+SUM(L5:N5),"")</f>
        <v>31000</v>
      </c>
      <c r="P5" s="8" t="s">
        <v>148</v>
      </c>
      <c r="Q5" s="9">
        <v>-5000</v>
      </c>
      <c r="R5" s="9"/>
      <c r="S5" s="55">
        <v>0</v>
      </c>
      <c r="T5" s="21">
        <f t="shared" ref="T5:T30" si="7">IF(COUNTA($F5,$K5,$P5)&gt;0,T4+SUM(Q5:S5),"")</f>
        <v>25100</v>
      </c>
      <c r="U5" s="60">
        <f t="shared" si="0"/>
        <v>13.9</v>
      </c>
      <c r="V5" s="61">
        <f t="shared" si="1"/>
        <v>-4</v>
      </c>
      <c r="W5" s="62">
        <f t="shared" si="2"/>
        <v>-9.9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146</v>
      </c>
      <c r="AF5" s="48" t="s">
        <v>83</v>
      </c>
      <c r="AG5" s="48" t="s">
        <v>82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149</v>
      </c>
      <c r="G6" s="9">
        <v>6000</v>
      </c>
      <c r="H6" s="9">
        <v>1000</v>
      </c>
      <c r="I6" s="55">
        <v>0</v>
      </c>
      <c r="J6" s="21">
        <f t="shared" si="5"/>
        <v>55900</v>
      </c>
      <c r="K6" s="8" t="s">
        <v>148</v>
      </c>
      <c r="L6" s="9">
        <v>-3000</v>
      </c>
      <c r="M6" s="9">
        <v>-1000</v>
      </c>
      <c r="N6" s="55">
        <v>0</v>
      </c>
      <c r="O6" s="21">
        <f t="shared" si="6"/>
        <v>27000</v>
      </c>
      <c r="P6" s="8" t="s">
        <v>148</v>
      </c>
      <c r="Q6" s="9">
        <v>-3000</v>
      </c>
      <c r="R6" s="9"/>
      <c r="S6" s="55">
        <v>0</v>
      </c>
      <c r="T6" s="21">
        <f t="shared" si="7"/>
        <v>22100</v>
      </c>
      <c r="U6" s="60">
        <f t="shared" si="0"/>
        <v>20.9</v>
      </c>
      <c r="V6" s="61">
        <f t="shared" si="1"/>
        <v>-8</v>
      </c>
      <c r="W6" s="62">
        <f t="shared" si="2"/>
        <v>-12.9</v>
      </c>
      <c r="Y6" s="8"/>
      <c r="Z6" s="41"/>
      <c r="AA6" s="32">
        <v>1</v>
      </c>
      <c r="AB6" s="32"/>
      <c r="AC6" s="32">
        <v>3</v>
      </c>
      <c r="AD6" s="36">
        <v>30</v>
      </c>
      <c r="AE6" s="47" t="s">
        <v>146</v>
      </c>
      <c r="AF6" s="48" t="s">
        <v>83</v>
      </c>
      <c r="AG6" s="48" t="s">
        <v>82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148</v>
      </c>
      <c r="G7" s="9">
        <v>-5000</v>
      </c>
      <c r="H7" s="9"/>
      <c r="I7" s="55">
        <v>-500</v>
      </c>
      <c r="J7" s="21">
        <f t="shared" si="5"/>
        <v>50400</v>
      </c>
      <c r="K7" s="8" t="s">
        <v>148</v>
      </c>
      <c r="L7" s="9">
        <v>-3000</v>
      </c>
      <c r="M7" s="9"/>
      <c r="N7" s="55">
        <v>-500</v>
      </c>
      <c r="O7" s="21">
        <f t="shared" si="6"/>
        <v>23500</v>
      </c>
      <c r="P7" s="8" t="s">
        <v>149</v>
      </c>
      <c r="Q7" s="9">
        <v>8000</v>
      </c>
      <c r="R7" s="9"/>
      <c r="S7" s="55">
        <v>1000</v>
      </c>
      <c r="T7" s="21">
        <f t="shared" si="7"/>
        <v>31100</v>
      </c>
      <c r="U7" s="60">
        <f t="shared" si="0"/>
        <v>15.4</v>
      </c>
      <c r="V7" s="61">
        <f t="shared" si="1"/>
        <v>-11.5</v>
      </c>
      <c r="W7" s="62">
        <f t="shared" si="2"/>
        <v>-3.9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5</v>
      </c>
      <c r="BT7" s="36" t="s">
        <v>147</v>
      </c>
      <c r="BU7" s="47" t="s">
        <v>106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145</v>
      </c>
      <c r="G8" s="9">
        <v>-5800</v>
      </c>
      <c r="H8" s="9"/>
      <c r="I8" s="55">
        <v>0</v>
      </c>
      <c r="J8" s="21">
        <f t="shared" si="5"/>
        <v>44600</v>
      </c>
      <c r="K8" s="8" t="s">
        <v>144</v>
      </c>
      <c r="L8" s="9">
        <v>5800</v>
      </c>
      <c r="M8" s="9"/>
      <c r="N8" s="55">
        <v>0</v>
      </c>
      <c r="O8" s="21">
        <f t="shared" si="6"/>
        <v>29300</v>
      </c>
      <c r="P8" s="8"/>
      <c r="Q8" s="9"/>
      <c r="R8" s="9"/>
      <c r="S8" s="55"/>
      <c r="T8" s="21">
        <f t="shared" si="7"/>
        <v>31100</v>
      </c>
      <c r="U8" s="60">
        <f t="shared" si="0"/>
        <v>9.6</v>
      </c>
      <c r="V8" s="61">
        <f t="shared" si="1"/>
        <v>-5.7</v>
      </c>
      <c r="W8" s="62">
        <f t="shared" si="2"/>
        <v>-3.9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3</v>
      </c>
      <c r="AY8" s="36">
        <v>30</v>
      </c>
      <c r="AZ8" s="47" t="s">
        <v>87</v>
      </c>
      <c r="BA8" s="48" t="s">
        <v>87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137</v>
      </c>
      <c r="F9" s="8" t="s">
        <v>144</v>
      </c>
      <c r="G9" s="9">
        <v>12000</v>
      </c>
      <c r="H9" s="9"/>
      <c r="I9" s="55">
        <v>1000</v>
      </c>
      <c r="J9" s="21">
        <f t="shared" si="5"/>
        <v>57600</v>
      </c>
      <c r="K9" s="8" t="s">
        <v>145</v>
      </c>
      <c r="L9" s="9">
        <v>-12000</v>
      </c>
      <c r="M9" s="9"/>
      <c r="N9" s="55">
        <v>-1000</v>
      </c>
      <c r="O9" s="21">
        <f t="shared" si="6"/>
        <v>16300</v>
      </c>
      <c r="P9" s="8"/>
      <c r="Q9" s="9"/>
      <c r="R9" s="9"/>
      <c r="S9" s="55"/>
      <c r="T9" s="21">
        <f t="shared" si="7"/>
        <v>31100</v>
      </c>
      <c r="U9" s="60">
        <f t="shared" si="0"/>
        <v>22.6</v>
      </c>
      <c r="V9" s="61">
        <f t="shared" si="1"/>
        <v>-18.7</v>
      </c>
      <c r="W9" s="62">
        <f t="shared" si="2"/>
        <v>-3.9</v>
      </c>
      <c r="Y9" s="8"/>
      <c r="Z9" s="41"/>
      <c r="AA9" s="32">
        <v>1</v>
      </c>
      <c r="AB9" s="32"/>
      <c r="AC9" s="32">
        <v>6</v>
      </c>
      <c r="AD9" s="36" t="s">
        <v>147</v>
      </c>
      <c r="AE9" s="47" t="s">
        <v>146</v>
      </c>
      <c r="AF9" s="48" t="s">
        <v>150</v>
      </c>
      <c r="AG9" s="48" t="s">
        <v>87</v>
      </c>
      <c r="AH9" s="48" t="s">
        <v>81</v>
      </c>
      <c r="AI9" s="48" t="s">
        <v>81</v>
      </c>
      <c r="AJ9" s="48" t="s">
        <v>81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145</v>
      </c>
      <c r="G10" s="9">
        <v>-2900</v>
      </c>
      <c r="H10" s="9"/>
      <c r="I10" s="55">
        <v>0</v>
      </c>
      <c r="J10" s="21">
        <f t="shared" si="5"/>
        <v>54700</v>
      </c>
      <c r="K10" s="8"/>
      <c r="L10" s="9"/>
      <c r="M10" s="9"/>
      <c r="N10" s="55"/>
      <c r="O10" s="21">
        <f t="shared" si="6"/>
        <v>16300</v>
      </c>
      <c r="P10" s="8" t="s">
        <v>144</v>
      </c>
      <c r="Q10" s="9">
        <v>2900</v>
      </c>
      <c r="R10" s="9"/>
      <c r="S10" s="55">
        <v>0</v>
      </c>
      <c r="T10" s="21">
        <f t="shared" si="7"/>
        <v>34000</v>
      </c>
      <c r="U10" s="60">
        <f t="shared" si="0"/>
        <v>19.7</v>
      </c>
      <c r="V10" s="61">
        <f t="shared" si="1"/>
        <v>-18.7</v>
      </c>
      <c r="W10" s="62">
        <f t="shared" si="2"/>
        <v>-1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2</v>
      </c>
      <c r="BT10" s="36">
        <v>30</v>
      </c>
      <c r="BU10" s="47" t="s">
        <v>87</v>
      </c>
      <c r="BV10" s="48" t="s">
        <v>82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139</v>
      </c>
      <c r="F11" s="8" t="s">
        <v>144</v>
      </c>
      <c r="G11" s="9">
        <v>8000</v>
      </c>
      <c r="H11" s="9"/>
      <c r="I11" s="55">
        <v>1000</v>
      </c>
      <c r="J11" s="21">
        <f t="shared" si="5"/>
        <v>63700</v>
      </c>
      <c r="K11" s="8" t="s">
        <v>145</v>
      </c>
      <c r="L11" s="9">
        <v>-8000</v>
      </c>
      <c r="M11" s="9"/>
      <c r="N11" s="55">
        <v>-1000</v>
      </c>
      <c r="O11" s="21">
        <f t="shared" si="6"/>
        <v>7300</v>
      </c>
      <c r="P11" s="8"/>
      <c r="Q11" s="9"/>
      <c r="R11" s="9"/>
      <c r="S11" s="55"/>
      <c r="T11" s="21">
        <f t="shared" si="7"/>
        <v>34000</v>
      </c>
      <c r="U11" s="60">
        <f t="shared" si="0"/>
        <v>28.7</v>
      </c>
      <c r="V11" s="61">
        <f t="shared" si="1"/>
        <v>-27.7</v>
      </c>
      <c r="W11" s="62">
        <f t="shared" si="2"/>
        <v>-1</v>
      </c>
      <c r="Y11" s="8"/>
      <c r="Z11" s="41"/>
      <c r="AA11" s="32">
        <v>1</v>
      </c>
      <c r="AB11" s="32"/>
      <c r="AC11" s="32">
        <v>4</v>
      </c>
      <c r="AD11" s="36">
        <v>40</v>
      </c>
      <c r="AE11" s="47" t="s">
        <v>146</v>
      </c>
      <c r="AF11" s="48" t="s">
        <v>150</v>
      </c>
      <c r="AG11" s="48" t="s">
        <v>85</v>
      </c>
      <c r="AH11" s="48" t="s">
        <v>80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144</v>
      </c>
      <c r="G12" s="9">
        <v>12000</v>
      </c>
      <c r="H12" s="9"/>
      <c r="I12" s="55">
        <v>0</v>
      </c>
      <c r="J12" s="21">
        <f t="shared" si="5"/>
        <v>75700</v>
      </c>
      <c r="K12" s="8"/>
      <c r="L12" s="9"/>
      <c r="M12" s="9"/>
      <c r="N12" s="55"/>
      <c r="O12" s="21">
        <f t="shared" si="6"/>
        <v>7300</v>
      </c>
      <c r="P12" s="8" t="s">
        <v>145</v>
      </c>
      <c r="Q12" s="9">
        <v>-12000</v>
      </c>
      <c r="R12" s="9"/>
      <c r="S12" s="55">
        <v>0</v>
      </c>
      <c r="T12" s="21">
        <f t="shared" si="7"/>
        <v>22000</v>
      </c>
      <c r="U12" s="60">
        <f t="shared" si="0"/>
        <v>40.700000000000003</v>
      </c>
      <c r="V12" s="61">
        <f t="shared" si="1"/>
        <v>-27.7</v>
      </c>
      <c r="W12" s="62">
        <f t="shared" si="2"/>
        <v>-13</v>
      </c>
      <c r="Y12" s="8"/>
      <c r="Z12" s="41"/>
      <c r="AA12" s="32">
        <v>1</v>
      </c>
      <c r="AB12" s="32"/>
      <c r="AC12" s="32">
        <v>4</v>
      </c>
      <c r="AD12" s="36">
        <v>40</v>
      </c>
      <c r="AE12" s="47" t="s">
        <v>146</v>
      </c>
      <c r="AF12" s="48" t="s">
        <v>82</v>
      </c>
      <c r="AG12" s="48" t="s">
        <v>80</v>
      </c>
      <c r="AH12" s="48" t="s">
        <v>80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F28AE96-A1B7-402A-94D0-0B55AC7B6FBC}">
      <formula1>"ロン,ツモ,放銃,ツモ支払,流局,チョンボ"</formula1>
    </dataValidation>
    <dataValidation type="list" allowBlank="1" showInputMessage="1" showErrorMessage="1" sqref="E4:E30" xr:uid="{9B91B83E-AD5B-4514-8175-ACFCF32408D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2019-02-18T07:47:24Z</dcterms:modified>
</cp:coreProperties>
</file>