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5906645B-F887-49C9-A606-8D286706B25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6" i="1"/>
  <c r="S6" i="1" s="1"/>
  <c r="I6" i="1"/>
  <c r="N6" i="1"/>
  <c r="D5" i="1"/>
  <c r="C5" i="1"/>
  <c r="I5" i="1" s="1"/>
  <c r="B5" i="1"/>
  <c r="B6" i="1" s="1"/>
  <c r="B7" i="1" s="1"/>
  <c r="B8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7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C7" i="1" l="1"/>
  <c r="A5" i="1"/>
  <c r="A6" i="1" s="1"/>
  <c r="A7" i="1" s="1"/>
  <c r="A8" i="1" s="1"/>
  <c r="J5" i="1"/>
  <c r="U5" i="1" s="1"/>
  <c r="B9" i="1"/>
  <c r="A9" i="1" s="1"/>
  <c r="O4" i="1"/>
  <c r="O9" i="1"/>
  <c r="V9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10" i="1"/>
  <c r="W10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10" i="1"/>
  <c r="V10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10" i="1"/>
  <c r="U10" i="1" s="1"/>
  <c r="J9" i="1"/>
  <c r="U9" i="1" s="1"/>
  <c r="J6" i="1" l="1"/>
  <c r="N7" i="1"/>
  <c r="I7" i="1"/>
  <c r="C8" i="1"/>
  <c r="O5" i="1"/>
  <c r="V4" i="1"/>
  <c r="J7" i="1"/>
  <c r="U6" i="1"/>
  <c r="T5" i="1"/>
  <c r="W4" i="1"/>
  <c r="B10" i="1"/>
  <c r="B11" i="1" s="1"/>
  <c r="T9" i="1"/>
  <c r="W9" i="1" s="1"/>
  <c r="S8" i="1" l="1"/>
  <c r="I8" i="1"/>
  <c r="J8" i="1"/>
  <c r="U8" i="1" s="1"/>
  <c r="U7" i="1"/>
  <c r="T6" i="1"/>
  <c r="W5" i="1"/>
  <c r="O6" i="1"/>
  <c r="V5" i="1"/>
  <c r="A10" i="1"/>
  <c r="A11" i="1"/>
  <c r="B12" i="1"/>
  <c r="O7" i="1" l="1"/>
  <c r="V6" i="1"/>
  <c r="T7" i="1"/>
  <c r="W6" i="1"/>
  <c r="B13" i="1"/>
  <c r="A13" i="1"/>
  <c r="A12" i="1"/>
  <c r="W2" i="1"/>
  <c r="V2" i="1"/>
  <c r="U2" i="1"/>
  <c r="T8" i="1" l="1"/>
  <c r="W8" i="1" s="1"/>
  <c r="W7" i="1"/>
  <c r="O8" i="1"/>
  <c r="V8" i="1" s="1"/>
  <c r="V7" i="1"/>
  <c r="B14" i="1"/>
  <c r="A14" i="1" s="1"/>
</calcChain>
</file>

<file path=xl/sharedStrings.xml><?xml version="1.0" encoding="utf-8"?>
<sst xmlns="http://schemas.openxmlformats.org/spreadsheetml/2006/main" count="82" uniqueCount="27">
  <si>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</si>
  <si>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</si>
  <si>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</si>
  <si>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</si>
  <si>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</si>
  <si>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</si>
  <si>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</si>
  <si>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</si>
  <si>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</si>
  <si>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</si>
  <si>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</si>
  <si>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</si>
  <si>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</si>
  <si>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</si>
  <si>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</si>
  <si>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</si>
  <si>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</si>
  <si>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</si>
  <si>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</si>
  <si>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</si>
  <si>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</si>
  <si>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ともき</t>
  </si>
  <si>
    <t>ともき</t>
    <phoneticPr fontId="1"/>
  </si>
  <si>
    <t>ロン</t>
  </si>
  <si>
    <t>放銃</t>
  </si>
  <si>
    <t>かこたろう</t>
    <phoneticPr fontId="1"/>
  </si>
  <si>
    <t>かこたろう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</si>
</sst>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2" t="s">
        <v>0</v>
      </c>
      <c r="B1" s="44" t="s">
        <v>2</v>
      </c>
      <c r="C1" s="44" t="s">
        <v>1</v>
      </c>
      <c r="D1" s="44" t="s">
        <v>6</v>
      </c>
      <c r="E1" s="46" t="s">
        <v>3</v>
      </c>
      <c r="F1" s="38" t="s">
        <v>20</v>
      </c>
      <c r="G1" s="39"/>
      <c r="H1" s="39"/>
      <c r="I1" s="40"/>
      <c r="J1" s="41"/>
      <c r="K1" s="38" t="s">
        <v>25</v>
      </c>
      <c r="L1" s="39"/>
      <c r="M1" s="39"/>
      <c r="N1" s="40"/>
      <c r="O1" s="41"/>
      <c r="P1" s="38" t="s">
        <v>22</v>
      </c>
      <c r="Q1" s="39"/>
      <c r="R1" s="39"/>
      <c r="S1" s="40"/>
      <c r="T1" s="41"/>
      <c r="U1" s="38" t="s">
        <v>8</v>
      </c>
      <c r="V1" s="39"/>
      <c r="W1" s="41"/>
    </row>
    <row r="2" spans="1:23" x14ac:dyDescent="0.4">
      <c r="A2" s="43"/>
      <c r="B2" s="45"/>
      <c r="C2" s="45"/>
      <c r="D2" s="45"/>
      <c r="E2" s="47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かこたろう</v>
      </c>
      <c r="W2" s="4" t="str">
        <f>P1</f>
        <v>ともき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29">
        <f t="shared" ref="U3:U30" si="0">IF($J3="","",ROUND(($J3-$J$3)/1000,1))</f>
        <v>0</v>
      </c>
      <c r="V3" s="30">
        <f t="shared" ref="V3:V30" si="1">IF($O3="","",ROUND(($O3-$O$3)/1000,1))</f>
        <v>0</v>
      </c>
      <c r="W3" s="31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/>
      <c r="G4" s="15"/>
      <c r="H4" s="15">
        <v>-1000</v>
      </c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34000</v>
      </c>
      <c r="K4" s="14" t="s">
        <v>24</v>
      </c>
      <c r="L4" s="15">
        <v>-8000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27000</v>
      </c>
      <c r="P4" s="14" t="s">
        <v>23</v>
      </c>
      <c r="Q4" s="15">
        <v>8000</v>
      </c>
      <c r="R4" s="15">
        <v>1000</v>
      </c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44000</v>
      </c>
      <c r="U4" s="32">
        <f t="shared" si="0"/>
        <v>-1</v>
      </c>
      <c r="V4" s="33">
        <f t="shared" si="1"/>
        <v>-8</v>
      </c>
      <c r="W4" s="34">
        <f t="shared" si="2"/>
        <v>9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21</v>
      </c>
      <c r="F5" s="14" t="s">
        <v>23</v>
      </c>
      <c r="G5" s="15">
        <v>1000</v>
      </c>
      <c r="H5" s="15"/>
      <c r="I5" s="16">
        <f>IF(OR(F5="ロン",F5="ツモ"),$C5*1000,IF(F5="放銃",$C5*-1000,IF(F5="ツモ支払",$C5*-500,"")))</f>
        <v>0</v>
      </c>
      <c r="J5" s="17">
        <f t="shared" si="3"/>
        <v>35000</v>
      </c>
      <c r="K5" s="14" t="s">
        <v>24</v>
      </c>
      <c r="L5" s="15">
        <v>-1000</v>
      </c>
      <c r="M5" s="15"/>
      <c r="N5" s="16">
        <f t="shared" ref="N5:N30" si="6">IF(OR(K5="ロン",K5="ツモ"),$C5*1000,IF(K5="放銃",$C5*-1000,IF(K5="ツモ支払",$C5*-500,"")))</f>
        <v>0</v>
      </c>
      <c r="O5" s="17">
        <f t="shared" si="4"/>
        <v>26000</v>
      </c>
      <c r="P5" s="14"/>
      <c r="Q5" s="15"/>
      <c r="R5" s="15"/>
      <c r="S5" s="16" t="str">
        <f t="shared" ref="S5:S30" si="7">IF(OR(P5="ロン",P5="ツモ"),$C5*1000,IF(P5="放銃",$C5*-1000,IF(P5="ツモ支払",$C5*-500,"")))</f>
        <v/>
      </c>
      <c r="T5" s="17">
        <f t="shared" si="5"/>
        <v>44000</v>
      </c>
      <c r="U5" s="32">
        <f t="shared" si="0"/>
        <v>0</v>
      </c>
      <c r="V5" s="33">
        <f t="shared" si="1"/>
        <v>-9</v>
      </c>
      <c r="W5" s="34">
        <f t="shared" si="2"/>
        <v>9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3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19</v>
      </c>
      <c r="F6" s="14" t="s">
        <v>23</v>
      </c>
      <c r="G6" s="15">
        <v>12000</v>
      </c>
      <c r="H6" s="15"/>
      <c r="I6" s="16">
        <f t="shared" ref="I6:I30" si="12">IF(OR(F6="ロン",F6="ツモ"),$C6*1000,IF(F6="放銃",$C6*-1000,IF(F6="ツモ支払",$C6*-500,"")))</f>
        <v>0</v>
      </c>
      <c r="J6" s="17">
        <f t="shared" si="3"/>
        <v>47000</v>
      </c>
      <c r="K6" s="14"/>
      <c r="L6" s="15"/>
      <c r="M6" s="15"/>
      <c r="N6" s="16" t="str">
        <f t="shared" si="6"/>
        <v/>
      </c>
      <c r="O6" s="17">
        <f t="shared" si="4"/>
        <v>26000</v>
      </c>
      <c r="P6" s="14" t="s">
        <v>24</v>
      </c>
      <c r="Q6" s="15">
        <v>-12000</v>
      </c>
      <c r="R6" s="15"/>
      <c r="S6" s="16">
        <f>IF(OR(P6="ロン",P6="ツモ"),$C6*1000,IF(P6="放銃",$C6*-1000,IF(P6="ツモ支払",$C6*-500,"")))</f>
        <v>0</v>
      </c>
      <c r="T6" s="17">
        <f t="shared" si="5"/>
        <v>32000</v>
      </c>
      <c r="U6" s="32">
        <f t="shared" si="0"/>
        <v>12</v>
      </c>
      <c r="V6" s="33">
        <f t="shared" si="1"/>
        <v>-9</v>
      </c>
      <c r="W6" s="34">
        <f t="shared" si="2"/>
        <v>-3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1</v>
      </c>
      <c r="D7" s="25">
        <f t="shared" si="11"/>
        <v>0</v>
      </c>
      <c r="E7" s="6" t="s">
        <v>19</v>
      </c>
      <c r="F7" s="14" t="s">
        <v>23</v>
      </c>
      <c r="G7" s="15">
        <v>12000</v>
      </c>
      <c r="H7" s="15"/>
      <c r="I7" s="16">
        <f t="shared" si="12"/>
        <v>1000</v>
      </c>
      <c r="J7" s="17">
        <f t="shared" si="3"/>
        <v>60000</v>
      </c>
      <c r="K7" s="14" t="s">
        <v>24</v>
      </c>
      <c r="L7" s="15">
        <v>-12000</v>
      </c>
      <c r="M7" s="15"/>
      <c r="N7" s="16">
        <f t="shared" si="6"/>
        <v>-1000</v>
      </c>
      <c r="O7" s="17">
        <f t="shared" si="4"/>
        <v>13000</v>
      </c>
      <c r="P7" s="14"/>
      <c r="Q7" s="15"/>
      <c r="R7" s="15"/>
      <c r="S7" s="16" t="str">
        <f t="shared" si="7"/>
        <v/>
      </c>
      <c r="T7" s="17">
        <f t="shared" si="5"/>
        <v>32000</v>
      </c>
      <c r="U7" s="32">
        <f t="shared" si="0"/>
        <v>25</v>
      </c>
      <c r="V7" s="33">
        <f t="shared" si="1"/>
        <v>-22</v>
      </c>
      <c r="W7" s="34">
        <f t="shared" si="2"/>
        <v>-3</v>
      </c>
    </row>
    <row r="8" spans="1:23" x14ac:dyDescent="0.4">
      <c r="A8" s="24" t="str">
        <f t="shared" si="8"/>
        <v>東</v>
      </c>
      <c r="B8" s="25">
        <f t="shared" si="9"/>
        <v>3</v>
      </c>
      <c r="C8" s="25">
        <f t="shared" si="10"/>
        <v>2</v>
      </c>
      <c r="D8" s="25">
        <f t="shared" si="11"/>
        <v>0</v>
      </c>
      <c r="E8" s="6" t="s">
        <v>19</v>
      </c>
      <c r="F8" s="14" t="s">
        <v>24</v>
      </c>
      <c r="G8" s="15">
        <v>-8000</v>
      </c>
      <c r="H8" s="15"/>
      <c r="I8" s="16">
        <f t="shared" si="12"/>
        <v>-2000</v>
      </c>
      <c r="J8" s="17">
        <f t="shared" si="3"/>
        <v>50000</v>
      </c>
      <c r="K8" s="14"/>
      <c r="L8" s="15"/>
      <c r="M8" s="15"/>
      <c r="N8" s="16" t="str">
        <f t="shared" si="6"/>
        <v/>
      </c>
      <c r="O8" s="17">
        <f t="shared" si="4"/>
        <v>13000</v>
      </c>
      <c r="P8" s="14" t="s">
        <v>23</v>
      </c>
      <c r="Q8" s="15">
        <v>8000</v>
      </c>
      <c r="R8" s="15"/>
      <c r="S8" s="16">
        <f>IF(OR(P8="ロン",P8="ツモ"),$C8*1000,IF(P8="放銃",$C8*-1000,IF(P8="ツモ支払",$C8*-500,"")))</f>
        <v>2000</v>
      </c>
      <c r="T8" s="17">
        <f t="shared" si="5"/>
        <v>42000</v>
      </c>
      <c r="U8" s="32">
        <f t="shared" si="0"/>
        <v>15</v>
      </c>
      <c r="V8" s="33">
        <f t="shared" si="1"/>
        <v>-22</v>
      </c>
      <c r="W8" s="34">
        <f t="shared" si="2"/>
        <v>7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32" t="str">
        <f t="shared" si="0"/>
        <v/>
      </c>
      <c r="V9" s="33" t="str">
        <f t="shared" si="1"/>
        <v/>
      </c>
      <c r="W9" s="34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32" t="str">
        <f t="shared" si="0"/>
        <v/>
      </c>
      <c r="V10" s="33" t="str">
        <f t="shared" si="1"/>
        <v/>
      </c>
      <c r="W10" s="34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32" t="str">
        <f t="shared" si="0"/>
        <v/>
      </c>
      <c r="V11" s="33" t="str">
        <f t="shared" si="1"/>
        <v/>
      </c>
      <c r="W11" s="34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32" t="str">
        <f t="shared" si="0"/>
        <v/>
      </c>
      <c r="V12" s="33" t="str">
        <f t="shared" si="1"/>
        <v/>
      </c>
      <c r="W12" s="34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32" t="str">
        <f t="shared" si="0"/>
        <v/>
      </c>
      <c r="V13" s="33" t="str">
        <f t="shared" si="1"/>
        <v/>
      </c>
      <c r="W13" s="34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32" t="str">
        <f t="shared" si="0"/>
        <v/>
      </c>
      <c r="V14" s="33" t="str">
        <f t="shared" si="1"/>
        <v/>
      </c>
      <c r="W14" s="34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32" t="str">
        <f t="shared" si="0"/>
        <v/>
      </c>
      <c r="V15" s="33" t="str">
        <f t="shared" si="1"/>
        <v/>
      </c>
      <c r="W15" s="34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32" t="str">
        <f t="shared" si="0"/>
        <v/>
      </c>
      <c r="V16" s="33" t="str">
        <f t="shared" si="1"/>
        <v/>
      </c>
      <c r="W16" s="34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32" t="str">
        <f t="shared" si="0"/>
        <v/>
      </c>
      <c r="V17" s="33" t="str">
        <f t="shared" si="1"/>
        <v/>
      </c>
      <c r="W17" s="34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32" t="str">
        <f t="shared" si="0"/>
        <v/>
      </c>
      <c r="V18" s="33" t="str">
        <f t="shared" si="1"/>
        <v/>
      </c>
      <c r="W18" s="34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32" t="str">
        <f t="shared" si="0"/>
        <v/>
      </c>
      <c r="V19" s="33" t="str">
        <f t="shared" si="1"/>
        <v/>
      </c>
      <c r="W19" s="34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32" t="str">
        <f t="shared" si="0"/>
        <v/>
      </c>
      <c r="V20" s="33" t="str">
        <f t="shared" si="1"/>
        <v/>
      </c>
      <c r="W20" s="34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32" t="str">
        <f t="shared" si="0"/>
        <v/>
      </c>
      <c r="V21" s="33" t="str">
        <f t="shared" si="1"/>
        <v/>
      </c>
      <c r="W21" s="34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32" t="str">
        <f t="shared" si="0"/>
        <v/>
      </c>
      <c r="V22" s="33" t="str">
        <f t="shared" si="1"/>
        <v/>
      </c>
      <c r="W22" s="34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32" t="str">
        <f t="shared" si="0"/>
        <v/>
      </c>
      <c r="V23" s="33" t="str">
        <f t="shared" si="1"/>
        <v/>
      </c>
      <c r="W23" s="34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32" t="str">
        <f t="shared" si="0"/>
        <v/>
      </c>
      <c r="V24" s="33" t="str">
        <f t="shared" si="1"/>
        <v/>
      </c>
      <c r="W24" s="34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32" t="str">
        <f t="shared" si="0"/>
        <v/>
      </c>
      <c r="V25" s="33" t="str">
        <f t="shared" si="1"/>
        <v/>
      </c>
      <c r="W25" s="34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32" t="str">
        <f t="shared" si="0"/>
        <v/>
      </c>
      <c r="V26" s="33" t="str">
        <f t="shared" si="1"/>
        <v/>
      </c>
      <c r="W26" s="34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32" t="str">
        <f t="shared" si="0"/>
        <v/>
      </c>
      <c r="V27" s="33" t="str">
        <f t="shared" si="1"/>
        <v/>
      </c>
      <c r="W27" s="34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32" t="str">
        <f t="shared" si="0"/>
        <v/>
      </c>
      <c r="V28" s="33" t="str">
        <f t="shared" si="1"/>
        <v/>
      </c>
      <c r="W28" s="34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32" t="str">
        <f t="shared" si="0"/>
        <v/>
      </c>
      <c r="V29" s="33" t="str">
        <f t="shared" si="1"/>
        <v/>
      </c>
      <c r="W29" s="34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35" t="str">
        <f t="shared" si="0"/>
        <v/>
      </c>
      <c r="V30" s="36" t="str">
        <f t="shared" si="1"/>
        <v/>
      </c>
      <c r="W30" s="37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2019-02-16T11:29:14Z</dcterms:modified>
</cp:coreProperties>
</file>