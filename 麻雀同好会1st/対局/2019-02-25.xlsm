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A1F7E05C-A8B5-4980-9F96-A20A230668D1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 s="1"/>
  <c r="T10" i="17"/>
  <c r="W10" i="17" s="1"/>
  <c r="O10" i="17"/>
  <c r="V10" i="17" s="1"/>
  <c r="J10" i="17"/>
  <c r="U10" i="17" s="1"/>
  <c r="D10" i="17"/>
  <c r="C10" i="17"/>
  <c r="B10" i="17"/>
  <c r="A10" i="17" s="1"/>
  <c r="T9" i="17"/>
  <c r="W9" i="17" s="1"/>
  <c r="O9" i="17"/>
  <c r="V9" i="17" s="1"/>
  <c r="J9" i="17"/>
  <c r="U9" i="17" s="1"/>
  <c r="D9" i="17"/>
  <c r="C9" i="17"/>
  <c r="B9" i="17"/>
  <c r="A9" i="17"/>
  <c r="D8" i="17"/>
  <c r="D7" i="17"/>
  <c r="D6" i="17"/>
  <c r="C6" i="17"/>
  <c r="C7" i="17" s="1"/>
  <c r="C8" i="17" s="1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A5" i="17" l="1"/>
  <c r="V5" i="17"/>
  <c r="O7" i="17"/>
  <c r="V6" i="17"/>
  <c r="B7" i="17"/>
  <c r="A6" i="17"/>
  <c r="J6" i="17"/>
  <c r="T5" i="17"/>
  <c r="A7" i="17" l="1"/>
  <c r="B8" i="17"/>
  <c r="A8" i="17" s="1"/>
  <c r="T6" i="17"/>
  <c r="W5" i="17"/>
  <c r="U6" i="17"/>
  <c r="J7" i="17"/>
  <c r="O8" i="17"/>
  <c r="V7" i="17"/>
  <c r="V8" i="17" l="1"/>
  <c r="W6" i="17"/>
  <c r="T7" i="17"/>
  <c r="U7" i="17"/>
  <c r="J8" i="17"/>
  <c r="U8" i="17" l="1"/>
  <c r="W7" i="17"/>
  <c r="T8" i="17"/>
  <c r="W8" i="17" l="1"/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D12" i="16"/>
  <c r="C12" i="16"/>
  <c r="D11" i="16"/>
  <c r="C11" i="16"/>
  <c r="D10" i="16"/>
  <c r="C10" i="16"/>
  <c r="D9" i="16"/>
  <c r="C9" i="16"/>
  <c r="D8" i="16"/>
  <c r="C8" i="16"/>
  <c r="D7" i="16"/>
  <c r="C7" i="16"/>
  <c r="T6" i="16"/>
  <c r="T7" i="16" s="1"/>
  <c r="O6" i="16"/>
  <c r="V6" i="16" s="1"/>
  <c r="D6" i="16"/>
  <c r="C6" i="16"/>
  <c r="B6" i="16"/>
  <c r="A6" i="16" s="1"/>
  <c r="T5" i="16"/>
  <c r="W5" i="16" s="1"/>
  <c r="O5" i="16"/>
  <c r="V5" i="16" s="1"/>
  <c r="J5" i="16"/>
  <c r="J6" i="16" s="1"/>
  <c r="D5" i="16"/>
  <c r="C5" i="16"/>
  <c r="B5" i="16"/>
  <c r="A5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U5" i="16" l="1"/>
  <c r="W6" i="16"/>
  <c r="U6" i="16"/>
  <c r="J7" i="16"/>
  <c r="W7" i="16"/>
  <c r="T8" i="16"/>
  <c r="B7" i="16"/>
  <c r="A7" i="16" s="1"/>
  <c r="O7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T9" i="16" l="1"/>
  <c r="W8" i="16"/>
  <c r="V7" i="16"/>
  <c r="O8" i="16"/>
  <c r="B8" i="16"/>
  <c r="J8" i="16"/>
  <c r="U7" i="16"/>
  <c r="W3" i="1"/>
  <c r="V3" i="1"/>
  <c r="U3" i="1"/>
  <c r="U8" i="16" l="1"/>
  <c r="J9" i="16"/>
  <c r="V8" i="16"/>
  <c r="O9" i="16"/>
  <c r="B9" i="16"/>
  <c r="A9" i="16" s="1"/>
  <c r="A8" i="16"/>
  <c r="W9" i="16"/>
  <c r="T10" i="16"/>
  <c r="B5" i="1"/>
  <c r="A5" i="1" s="1"/>
  <c r="D6" i="1"/>
  <c r="B6" i="1"/>
  <c r="A6" i="1" s="1"/>
  <c r="D5" i="1"/>
  <c r="V9" i="16" l="1"/>
  <c r="O10" i="16"/>
  <c r="J10" i="16"/>
  <c r="U9" i="16"/>
  <c r="T11" i="16"/>
  <c r="W10" i="16"/>
  <c r="B10" i="16"/>
  <c r="A10" i="16" s="1"/>
  <c r="Y1" i="1"/>
  <c r="W11" i="16" l="1"/>
  <c r="T12" i="16"/>
  <c r="W12" i="16" s="1"/>
  <c r="B11" i="16"/>
  <c r="U10" i="16"/>
  <c r="J11" i="16"/>
  <c r="V10" i="16"/>
  <c r="O11" i="16"/>
  <c r="BO1" i="1"/>
  <c r="AT1" i="1"/>
  <c r="B12" i="16" l="1"/>
  <c r="A12" i="16" s="1"/>
  <c r="V11" i="16"/>
  <c r="O12" i="16"/>
  <c r="V12" i="16" s="1"/>
  <c r="A11" i="16"/>
  <c r="J12" i="16"/>
  <c r="U12" i="16" s="1"/>
  <c r="U11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<sst xmlns="http://schemas.openxmlformats.org/spreadsheetml/2006/main" count="731" uniqueCount="153">
  <si>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</si>
  <si>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</si>
  <si>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</si>
  <si>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</si>
  <si>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</si>
  <si>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</si>
  <si>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</si>
  <si>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</si>
  <si>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</si>
  <si>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</si>
  <si>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</si>
  <si>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</si>
  <si>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</si>
  <si>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</si>
  <si>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</si>
  <si>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</si>
  <si>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</si>
  <si>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</si>
  <si>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</si>
  <si>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</si>
  <si>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</si>
  <si>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</si>
  <si>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</si>
  <si>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</si>
  <si>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</si>
  <si>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</si>
  <si>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</si>
  <si>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</si>
  <si>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</si>
  <si>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</si>
  <si>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</si>
  <si>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</si>
  <si>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</si>
  <si>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</si>
  <si>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</si>
  <si>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</si>
  <si>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</si>
  <si>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</si>
  <si>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</si>
  <si>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</si>
  <si>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</si>
  <si>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</si>
  <si>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</si>
  <si>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</si>
  <si>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</si>
  <si>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</si>
  <si>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</si>
  <si>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</si>
  <si>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</si>
  <si>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</si>
  <si>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</si>
  <si>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</si>
  <si>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</si>
  <si>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</si>
  <si>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</si>
  <si>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</si>
  <si>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</si>
  <si>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</si>
  <si>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</si>
  <si>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</si>
  <si>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</si>
  <si>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</si>
  <si>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</si>
  <si>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</si>
  <si>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</si>
  <si>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</si>
  <si>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</si>
  <si>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</si>
  <si>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</si>
  <si>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</si>
  <si>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</si>
  <si>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</si>
  <si>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</si>
  <si>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</si>
  <si>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</si>
  <si>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</si>
  <si>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</si>
  <si>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</si>
  <si>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</si>
  <si>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</si>
  <si>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</si>
  <si>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</si>
  <si>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</si>
  <si>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</si>
  <si>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</si>
  <si>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</si>
  <si>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</si>
  <si>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</si>
  <si>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</si>
  <si>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</si>
  <si>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</si>
  <si>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</si>
  <si>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</si>
  <si>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</si>
  <si>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</si>
  <si>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</si>
  <si>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</si>
  <si>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</si>
  <si>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</si>
  <si>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</si>
  <si>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</si>
  <si>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</si>
  <si>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</si>
  <si>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</si>
  <si>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</si>
  <si>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</si>
  <si>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</si>
  <si>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</si>
  <si>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</si>
  <si>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</si>
  <si>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</si>
  <si>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</si>
  <si>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</si>
  <si>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</si>
  <si>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</si>
  <si>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</si>
  <si>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</si>
  <si>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</si>
  <si>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</si>
  <si>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</si>
  <si>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</si>
  <si>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</si>
  <si>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</si>
  <si>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</si>
  <si>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</si>
  <si>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</si>
  <si>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</si>
  <si>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</si>
  <si>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</si>
  <si>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</si>
  <si>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</si>
  <si>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</si>
  <si>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</si>
  <si>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</si>
  <si>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</si>
  <si>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</si>
  <si>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</si>
  <si>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</si>
  <si>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</si>
  <si>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</si>
  <si>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</si>
  <si>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</si>
  <si>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</si>
  <si>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ロン</t>
  </si>
  <si>
    <t>放銃</t>
  </si>
  <si>
    <t>ツモ</t>
  </si>
  <si>
    <t>ツモ支払</t>
  </si>
  <si>
    <t>01</t>
  </si>
  <si>
    <t>*</t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</si>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</sst>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143</v>
      </c>
      <c r="G4" s="9">
        <v>7700</v>
      </c>
      <c r="H4" s="9"/>
      <c r="I4" s="55">
        <v>0</v>
      </c>
      <c r="J4" s="21">
        <f>IF(COUNTA($F4,$K4,$P4)&gt;0,J3+SUM(G4:I4),"")</f>
        <v>42700</v>
      </c>
      <c r="K4" s="8"/>
      <c r="L4" s="9"/>
      <c r="M4" s="9"/>
      <c r="N4" s="55"/>
      <c r="O4" s="21">
        <f>IF(COUNTA($F4,$K4,$P4)&gt;0,O3+SUM(L4:N4),"")</f>
        <v>35000</v>
      </c>
      <c r="P4" s="8" t="s">
        <v>144</v>
      </c>
      <c r="Q4" s="9">
        <v>-7700</v>
      </c>
      <c r="R4" s="9"/>
      <c r="S4" s="55">
        <v>0</v>
      </c>
      <c r="T4" s="21">
        <f>IF(COUNTA($F4,$K4,$P4)&gt;0,T3+SUM(Q4:S4),"")</f>
        <v>27300</v>
      </c>
      <c r="U4" s="60">
        <f t="shared" ref="U4:U30" si="0">IF($J4="","",ROUND(($J4-$J$3)/1000,1))</f>
        <v>7.7</v>
      </c>
      <c r="V4" s="61">
        <f t="shared" ref="V4:V30" si="1">IF($O4="","",ROUND(($O4-$O$3)/1000,1))</f>
        <v>0</v>
      </c>
      <c r="W4" s="62">
        <f t="shared" ref="W4:W30" si="2">IF($T4="","",ROUND(($T4-$T$3)/1000,1))</f>
        <v>-7.7</v>
      </c>
      <c r="Y4" s="8"/>
      <c r="Z4" s="41"/>
      <c r="AA4" s="32"/>
      <c r="AB4" s="32"/>
      <c r="AC4" s="32">
        <v>3</v>
      </c>
      <c r="AD4" s="36">
        <v>40</v>
      </c>
      <c r="AE4" s="47" t="s">
        <v>85</v>
      </c>
      <c r="AF4" s="48" t="s">
        <v>82</v>
      </c>
      <c r="AG4" s="48" t="s">
        <v>80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145</v>
      </c>
      <c r="G5" s="9">
        <v>12000</v>
      </c>
      <c r="H5" s="9"/>
      <c r="I5" s="55">
        <v>1000</v>
      </c>
      <c r="J5" s="21">
        <f t="shared" ref="J5:J30" si="5">IF(COUNTA($F5,$K5,$P5)&gt;0,J4+SUM(G5:I5),"")</f>
        <v>55700</v>
      </c>
      <c r="K5" s="8" t="s">
        <v>146</v>
      </c>
      <c r="L5" s="9">
        <v>-6000</v>
      </c>
      <c r="M5" s="9"/>
      <c r="N5" s="55">
        <v>-500</v>
      </c>
      <c r="O5" s="21">
        <f t="shared" ref="O5:O30" si="6">IF(COUNTA($F5,$K5,$P5)&gt;0,O4+SUM(L5:N5),"")</f>
        <v>28500</v>
      </c>
      <c r="P5" s="8" t="s">
        <v>146</v>
      </c>
      <c r="Q5" s="9">
        <v>-6000</v>
      </c>
      <c r="R5" s="9"/>
      <c r="S5" s="55">
        <v>-500</v>
      </c>
      <c r="T5" s="21">
        <f t="shared" ref="T5:T30" si="7">IF(COUNTA($F5,$K5,$P5)&gt;0,T4+SUM(Q5:S5),"")</f>
        <v>20800</v>
      </c>
      <c r="U5" s="60">
        <f t="shared" si="0"/>
        <v>20.7</v>
      </c>
      <c r="V5" s="61">
        <f t="shared" si="1"/>
        <v>-6.5</v>
      </c>
      <c r="W5" s="62">
        <f t="shared" si="2"/>
        <v>-14.2</v>
      </c>
      <c r="Y5" s="8"/>
      <c r="Z5" s="41"/>
      <c r="AA5" s="32">
        <v>1</v>
      </c>
      <c r="AB5" s="32"/>
      <c r="AC5" s="32">
        <v>4</v>
      </c>
      <c r="AD5" s="36">
        <v>30</v>
      </c>
      <c r="AE5" s="47" t="s">
        <v>147</v>
      </c>
      <c r="AF5" s="48" t="s">
        <v>83</v>
      </c>
      <c r="AG5" s="48" t="s">
        <v>87</v>
      </c>
      <c r="AH5" s="48" t="s">
        <v>82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0</v>
      </c>
      <c r="E6" s="4" t="s">
        <v>137</v>
      </c>
      <c r="F6" s="8" t="s">
        <v>144</v>
      </c>
      <c r="G6" s="9">
        <v>-2600</v>
      </c>
      <c r="H6" s="9"/>
      <c r="I6" s="55">
        <v>-2000</v>
      </c>
      <c r="J6" s="21">
        <f t="shared" si="5"/>
        <v>51100</v>
      </c>
      <c r="K6" s="8" t="s">
        <v>143</v>
      </c>
      <c r="L6" s="9">
        <v>2600</v>
      </c>
      <c r="M6" s="9"/>
      <c r="N6" s="55">
        <v>2000</v>
      </c>
      <c r="O6" s="21">
        <f t="shared" si="6"/>
        <v>33100</v>
      </c>
      <c r="P6" s="8"/>
      <c r="Q6" s="9"/>
      <c r="R6" s="9"/>
      <c r="S6" s="55"/>
      <c r="T6" s="21">
        <f t="shared" si="7"/>
        <v>20800</v>
      </c>
      <c r="U6" s="60">
        <f t="shared" si="0"/>
        <v>16.100000000000001</v>
      </c>
      <c r="V6" s="61">
        <f t="shared" si="1"/>
        <v>-1.9</v>
      </c>
      <c r="W6" s="62">
        <f t="shared" si="2"/>
        <v>-14.2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2</v>
      </c>
      <c r="AY6" s="36">
        <v>40</v>
      </c>
      <c r="AZ6" s="47" t="s">
        <v>147</v>
      </c>
      <c r="BA6" s="48" t="s">
        <v>80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2</v>
      </c>
      <c r="C7" s="18">
        <f t="shared" si="9"/>
        <v>0</v>
      </c>
      <c r="D7" s="18">
        <f t="shared" si="4"/>
        <v>0</v>
      </c>
      <c r="E7" s="4" t="s">
        <v>139</v>
      </c>
      <c r="F7" s="8" t="s">
        <v>143</v>
      </c>
      <c r="G7" s="9">
        <v>12000</v>
      </c>
      <c r="H7" s="9">
        <v>1000</v>
      </c>
      <c r="I7" s="55">
        <v>0</v>
      </c>
      <c r="J7" s="21">
        <f t="shared" si="5"/>
        <v>64100</v>
      </c>
      <c r="K7" s="8"/>
      <c r="L7" s="9"/>
      <c r="M7" s="9">
        <v>-1000</v>
      </c>
      <c r="N7" s="55"/>
      <c r="O7" s="21">
        <f t="shared" si="6"/>
        <v>32100</v>
      </c>
      <c r="P7" s="8" t="s">
        <v>144</v>
      </c>
      <c r="Q7" s="9">
        <v>-12000</v>
      </c>
      <c r="R7" s="9"/>
      <c r="S7" s="55">
        <v>0</v>
      </c>
      <c r="T7" s="21">
        <f t="shared" si="7"/>
        <v>8800</v>
      </c>
      <c r="U7" s="60">
        <f t="shared" si="0"/>
        <v>29.1</v>
      </c>
      <c r="V7" s="61">
        <f t="shared" si="1"/>
        <v>-2.9</v>
      </c>
      <c r="W7" s="62">
        <f t="shared" si="2"/>
        <v>-26.2</v>
      </c>
      <c r="Y7" s="8"/>
      <c r="Z7" s="41"/>
      <c r="AA7" s="32">
        <v>1</v>
      </c>
      <c r="AB7" s="32"/>
      <c r="AC7" s="32">
        <v>6</v>
      </c>
      <c r="AD7" s="36" t="s">
        <v>148</v>
      </c>
      <c r="AE7" s="47" t="s">
        <v>147</v>
      </c>
      <c r="AF7" s="48" t="s">
        <v>102</v>
      </c>
      <c r="AG7" s="48" t="s">
        <v>82</v>
      </c>
      <c r="AH7" s="48" t="s">
        <v>81</v>
      </c>
      <c r="AI7" s="48" t="s">
        <v>81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141</v>
      </c>
      <c r="F8" s="8"/>
      <c r="G8" s="9"/>
      <c r="H8" s="9"/>
      <c r="I8" s="55"/>
      <c r="J8" s="21">
        <f t="shared" si="5"/>
        <v>64100</v>
      </c>
      <c r="K8" s="8" t="s">
        <v>143</v>
      </c>
      <c r="L8" s="9">
        <v>3900</v>
      </c>
      <c r="M8" s="9"/>
      <c r="N8" s="55">
        <v>0</v>
      </c>
      <c r="O8" s="21">
        <f t="shared" si="6"/>
        <v>36000</v>
      </c>
      <c r="P8" s="8" t="s">
        <v>144</v>
      </c>
      <c r="Q8" s="9">
        <v>-3900</v>
      </c>
      <c r="R8" s="9"/>
      <c r="S8" s="55">
        <v>0</v>
      </c>
      <c r="T8" s="21">
        <f t="shared" si="7"/>
        <v>4900</v>
      </c>
      <c r="U8" s="60">
        <f t="shared" si="0"/>
        <v>29.1</v>
      </c>
      <c r="V8" s="61">
        <f t="shared" si="1"/>
        <v>1</v>
      </c>
      <c r="W8" s="62">
        <f t="shared" si="2"/>
        <v>-30.1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3</v>
      </c>
      <c r="AY8" s="36">
        <v>30</v>
      </c>
      <c r="AZ8" s="47" t="s">
        <v>84</v>
      </c>
      <c r="BA8" s="48" t="s">
        <v>80</v>
      </c>
      <c r="BB8" s="48" t="s">
        <v>80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137</v>
      </c>
      <c r="F9" s="8" t="s">
        <v>144</v>
      </c>
      <c r="G9" s="9">
        <v>-8000</v>
      </c>
      <c r="H9" s="9"/>
      <c r="I9" s="55">
        <v>0</v>
      </c>
      <c r="J9" s="21">
        <f t="shared" si="5"/>
        <v>56100</v>
      </c>
      <c r="K9" s="8"/>
      <c r="L9" s="9"/>
      <c r="M9" s="9"/>
      <c r="N9" s="55"/>
      <c r="O9" s="21">
        <f t="shared" si="6"/>
        <v>36000</v>
      </c>
      <c r="P9" s="8" t="s">
        <v>143</v>
      </c>
      <c r="Q9" s="9">
        <v>8000</v>
      </c>
      <c r="R9" s="9"/>
      <c r="S9" s="55">
        <v>0</v>
      </c>
      <c r="T9" s="21">
        <f t="shared" si="7"/>
        <v>12900</v>
      </c>
      <c r="U9" s="60">
        <f t="shared" si="0"/>
        <v>21.1</v>
      </c>
      <c r="V9" s="61">
        <f t="shared" si="1"/>
        <v>1</v>
      </c>
      <c r="W9" s="62">
        <f t="shared" si="2"/>
        <v>-22.1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4</v>
      </c>
      <c r="BT9" s="36">
        <v>40</v>
      </c>
      <c r="BU9" s="47" t="s">
        <v>147</v>
      </c>
      <c r="BV9" s="48" t="s">
        <v>87</v>
      </c>
      <c r="BW9" s="48" t="s">
        <v>82</v>
      </c>
      <c r="BX9" s="48" t="s">
        <v>82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139</v>
      </c>
      <c r="F10" s="8" t="s">
        <v>143</v>
      </c>
      <c r="G10" s="9">
        <v>8000</v>
      </c>
      <c r="H10" s="9"/>
      <c r="I10" s="55">
        <v>0</v>
      </c>
      <c r="J10" s="21">
        <f t="shared" si="5"/>
        <v>64100</v>
      </c>
      <c r="K10" s="8"/>
      <c r="L10" s="9"/>
      <c r="M10" s="9"/>
      <c r="N10" s="55"/>
      <c r="O10" s="21">
        <f t="shared" si="6"/>
        <v>36000</v>
      </c>
      <c r="P10" s="8" t="s">
        <v>144</v>
      </c>
      <c r="Q10" s="9">
        <v>-8000</v>
      </c>
      <c r="R10" s="9"/>
      <c r="S10" s="55">
        <v>0</v>
      </c>
      <c r="T10" s="21">
        <f t="shared" si="7"/>
        <v>4900</v>
      </c>
      <c r="U10" s="60">
        <f t="shared" si="0"/>
        <v>29.1</v>
      </c>
      <c r="V10" s="61">
        <f t="shared" si="1"/>
        <v>1</v>
      </c>
      <c r="W10" s="62">
        <f t="shared" si="2"/>
        <v>-30.1</v>
      </c>
      <c r="Y10" s="8"/>
      <c r="Z10" s="41"/>
      <c r="AA10" s="32">
        <v>1</v>
      </c>
      <c r="AB10" s="32"/>
      <c r="AC10" s="32">
        <v>4</v>
      </c>
      <c r="AD10" s="36">
        <v>40</v>
      </c>
      <c r="AE10" s="47" t="s">
        <v>147</v>
      </c>
      <c r="AF10" s="48" t="s">
        <v>85</v>
      </c>
      <c r="AG10" s="48" t="s">
        <v>87</v>
      </c>
      <c r="AH10" s="48" t="s">
        <v>82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141</v>
      </c>
      <c r="F11" s="8" t="s">
        <v>146</v>
      </c>
      <c r="G11" s="9">
        <v>-6000</v>
      </c>
      <c r="H11" s="9"/>
      <c r="I11" s="55">
        <v>0</v>
      </c>
      <c r="J11" s="21">
        <f t="shared" si="5"/>
        <v>58100</v>
      </c>
      <c r="K11" s="8" t="s">
        <v>146</v>
      </c>
      <c r="L11" s="9">
        <v>-6000</v>
      </c>
      <c r="M11" s="9"/>
      <c r="N11" s="55">
        <v>0</v>
      </c>
      <c r="O11" s="21">
        <f t="shared" si="6"/>
        <v>30000</v>
      </c>
      <c r="P11" s="8" t="s">
        <v>145</v>
      </c>
      <c r="Q11" s="9">
        <v>12000</v>
      </c>
      <c r="R11" s="9"/>
      <c r="S11" s="55">
        <v>0</v>
      </c>
      <c r="T11" s="21">
        <f t="shared" si="7"/>
        <v>16900</v>
      </c>
      <c r="U11" s="60">
        <f t="shared" si="0"/>
        <v>23.1</v>
      </c>
      <c r="V11" s="61">
        <f t="shared" si="1"/>
        <v>-5</v>
      </c>
      <c r="W11" s="62">
        <f t="shared" si="2"/>
        <v>-18.100000000000001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>
        <v>4</v>
      </c>
      <c r="BT11" s="36">
        <v>30</v>
      </c>
      <c r="BU11" s="47" t="s">
        <v>87</v>
      </c>
      <c r="BV11" s="48" t="s">
        <v>82</v>
      </c>
      <c r="BW11" s="48" t="s">
        <v>82</v>
      </c>
      <c r="BX11" s="48" t="s">
        <v>80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8"/>
        <v>3</v>
      </c>
      <c r="C12" s="18">
        <f t="shared" si="9"/>
        <v>1</v>
      </c>
      <c r="D12" s="18">
        <f t="shared" si="4"/>
        <v>0</v>
      </c>
      <c r="E12" s="4" t="s">
        <v>141</v>
      </c>
      <c r="F12" s="8" t="s">
        <v>145</v>
      </c>
      <c r="G12" s="9">
        <v>8000</v>
      </c>
      <c r="H12" s="9">
        <v>1000</v>
      </c>
      <c r="I12" s="55">
        <v>1000</v>
      </c>
      <c r="J12" s="21">
        <f t="shared" si="5"/>
        <v>68100</v>
      </c>
      <c r="K12" s="8" t="s">
        <v>146</v>
      </c>
      <c r="L12" s="9">
        <v>-3000</v>
      </c>
      <c r="M12" s="9"/>
      <c r="N12" s="55">
        <v>-500</v>
      </c>
      <c r="O12" s="21">
        <f t="shared" si="6"/>
        <v>26500</v>
      </c>
      <c r="P12" s="8" t="s">
        <v>146</v>
      </c>
      <c r="Q12" s="9">
        <v>-5000</v>
      </c>
      <c r="R12" s="9">
        <v>-1000</v>
      </c>
      <c r="S12" s="55">
        <v>-500</v>
      </c>
      <c r="T12" s="21">
        <f t="shared" si="7"/>
        <v>10400</v>
      </c>
      <c r="U12" s="60">
        <f t="shared" si="0"/>
        <v>33.1</v>
      </c>
      <c r="V12" s="61">
        <f t="shared" si="1"/>
        <v>-8.5</v>
      </c>
      <c r="W12" s="62">
        <f t="shared" si="2"/>
        <v>-24.6</v>
      </c>
      <c r="Y12" s="8"/>
      <c r="Z12" s="41"/>
      <c r="AA12" s="32"/>
      <c r="AB12" s="32">
        <v>1</v>
      </c>
      <c r="AC12" s="32">
        <v>5</v>
      </c>
      <c r="AD12" s="36" t="s">
        <v>148</v>
      </c>
      <c r="AE12" s="47" t="s">
        <v>87</v>
      </c>
      <c r="AF12" s="48" t="s">
        <v>82</v>
      </c>
      <c r="AG12" s="48" t="s">
        <v>105</v>
      </c>
      <c r="AH12" s="48" t="s">
        <v>80</v>
      </c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AB6CA-067E-4170-A024-209815853AD9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146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146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 t="shared" ref="U4:U30" si="0">IF($J4="","",ROUND(($J4-$J$3)/1000,1))</f>
        <v>8</v>
      </c>
      <c r="V4" s="61">
        <f t="shared" ref="V4:V30" si="1">IF($O4="","",ROUND(($O4-$O$3)/1000,1))</f>
        <v>-5</v>
      </c>
      <c r="W4" s="62">
        <f t="shared" ref="W4:W30" si="2">IF($T4="","",ROUND(($T4-$T$3)/1000,1))</f>
        <v>-3</v>
      </c>
      <c r="Y4" s="8"/>
      <c r="Z4" s="41"/>
      <c r="AA4" s="32">
        <v>1</v>
      </c>
      <c r="AB4" s="32"/>
      <c r="AC4" s="32">
        <v>4</v>
      </c>
      <c r="AD4" s="36">
        <v>30</v>
      </c>
      <c r="AE4" s="47" t="s">
        <v>147</v>
      </c>
      <c r="AF4" s="48" t="s">
        <v>83</v>
      </c>
      <c r="AG4" s="48" t="s">
        <v>149</v>
      </c>
      <c r="AH4" s="48" t="s">
        <v>82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141</v>
      </c>
      <c r="F5" s="8" t="s">
        <v>145</v>
      </c>
      <c r="G5" s="9">
        <v>8000</v>
      </c>
      <c r="H5" s="9"/>
      <c r="I5" s="55">
        <v>0</v>
      </c>
      <c r="J5" s="21">
        <f t="shared" ref="J5:J30" si="5">IF(COUNTA($F5,$K5,$P5)&gt;0,J4+SUM(G5:I5),"")</f>
        <v>51000</v>
      </c>
      <c r="K5" s="8" t="s">
        <v>146</v>
      </c>
      <c r="L5" s="9">
        <v>-3000</v>
      </c>
      <c r="M5" s="9"/>
      <c r="N5" s="55">
        <v>0</v>
      </c>
      <c r="O5" s="21">
        <f t="shared" ref="O5:O30" si="6">IF(COUNTA($F5,$K5,$P5)&gt;0,O4+SUM(L5:N5),"")</f>
        <v>27000</v>
      </c>
      <c r="P5" s="8" t="s">
        <v>146</v>
      </c>
      <c r="Q5" s="9">
        <v>-5000</v>
      </c>
      <c r="R5" s="9"/>
      <c r="S5" s="55">
        <v>0</v>
      </c>
      <c r="T5" s="21">
        <f t="shared" ref="T5:T30" si="7">IF(COUNTA($F5,$K5,$P5)&gt;0,T4+SUM(Q5:S5),"")</f>
        <v>27000</v>
      </c>
      <c r="U5" s="60">
        <f t="shared" si="0"/>
        <v>16</v>
      </c>
      <c r="V5" s="61">
        <f t="shared" si="1"/>
        <v>-8</v>
      </c>
      <c r="W5" s="62">
        <f t="shared" si="2"/>
        <v>-8</v>
      </c>
      <c r="Y5" s="8"/>
      <c r="Z5" s="41"/>
      <c r="AA5" s="32">
        <v>1</v>
      </c>
      <c r="AB5" s="32"/>
      <c r="AC5" s="32">
        <v>4</v>
      </c>
      <c r="AD5" s="36">
        <v>30</v>
      </c>
      <c r="AE5" s="47" t="s">
        <v>147</v>
      </c>
      <c r="AF5" s="48" t="s">
        <v>83</v>
      </c>
      <c r="AG5" s="48" t="s">
        <v>87</v>
      </c>
      <c r="AH5" s="48" t="s">
        <v>81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137</v>
      </c>
      <c r="F6" s="8" t="s">
        <v>143</v>
      </c>
      <c r="G6" s="9">
        <v>12000</v>
      </c>
      <c r="H6" s="9"/>
      <c r="I6" s="55">
        <v>0</v>
      </c>
      <c r="J6" s="21">
        <f t="shared" si="5"/>
        <v>63000</v>
      </c>
      <c r="K6" s="8"/>
      <c r="L6" s="9"/>
      <c r="M6" s="9"/>
      <c r="N6" s="55"/>
      <c r="O6" s="21">
        <f t="shared" si="6"/>
        <v>27000</v>
      </c>
      <c r="P6" s="8" t="s">
        <v>144</v>
      </c>
      <c r="Q6" s="9">
        <v>-12000</v>
      </c>
      <c r="R6" s="9"/>
      <c r="S6" s="55">
        <v>0</v>
      </c>
      <c r="T6" s="21">
        <f t="shared" si="7"/>
        <v>15000</v>
      </c>
      <c r="U6" s="60">
        <f t="shared" si="0"/>
        <v>28</v>
      </c>
      <c r="V6" s="61">
        <f t="shared" si="1"/>
        <v>-8</v>
      </c>
      <c r="W6" s="62">
        <f t="shared" si="2"/>
        <v>-20</v>
      </c>
      <c r="Y6" s="8"/>
      <c r="Z6" s="41"/>
      <c r="AA6" s="32"/>
      <c r="AB6" s="32">
        <v>1</v>
      </c>
      <c r="AC6" s="32">
        <v>4</v>
      </c>
      <c r="AD6" s="36">
        <v>30</v>
      </c>
      <c r="AE6" s="47" t="s">
        <v>87</v>
      </c>
      <c r="AF6" s="48" t="s">
        <v>87</v>
      </c>
      <c r="AG6" s="48" t="s">
        <v>87</v>
      </c>
      <c r="AH6" s="48" t="s">
        <v>82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1</v>
      </c>
      <c r="D7" s="18">
        <f t="shared" si="4"/>
        <v>0</v>
      </c>
      <c r="E7" s="4" t="s">
        <v>137</v>
      </c>
      <c r="F7" s="8" t="s">
        <v>143</v>
      </c>
      <c r="G7" s="9">
        <v>24000</v>
      </c>
      <c r="H7" s="9"/>
      <c r="I7" s="55">
        <v>1000</v>
      </c>
      <c r="J7" s="21">
        <f t="shared" si="5"/>
        <v>88000</v>
      </c>
      <c r="K7" s="8" t="s">
        <v>144</v>
      </c>
      <c r="L7" s="9">
        <v>-24000</v>
      </c>
      <c r="M7" s="9"/>
      <c r="N7" s="55">
        <v>-1000</v>
      </c>
      <c r="O7" s="21">
        <f t="shared" si="6"/>
        <v>2000</v>
      </c>
      <c r="P7" s="8"/>
      <c r="Q7" s="9"/>
      <c r="R7" s="9"/>
      <c r="S7" s="55"/>
      <c r="T7" s="21">
        <f t="shared" si="7"/>
        <v>15000</v>
      </c>
      <c r="U7" s="60">
        <f t="shared" si="0"/>
        <v>53</v>
      </c>
      <c r="V7" s="61">
        <f t="shared" si="1"/>
        <v>-33</v>
      </c>
      <c r="W7" s="62">
        <f t="shared" si="2"/>
        <v>-20</v>
      </c>
      <c r="Y7" s="8"/>
      <c r="Z7" s="41"/>
      <c r="AA7" s="32"/>
      <c r="AB7" s="32">
        <v>1</v>
      </c>
      <c r="AC7" s="32">
        <v>8</v>
      </c>
      <c r="AD7" s="36" t="s">
        <v>148</v>
      </c>
      <c r="AE7" s="47" t="s">
        <v>99</v>
      </c>
      <c r="AF7" s="48" t="s">
        <v>105</v>
      </c>
      <c r="AG7" s="48" t="s">
        <v>87</v>
      </c>
      <c r="AH7" s="48" t="s">
        <v>87</v>
      </c>
      <c r="AI7" s="48" t="s">
        <v>101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2</v>
      </c>
      <c r="D8" s="18">
        <f t="shared" si="4"/>
        <v>0</v>
      </c>
      <c r="E8" s="4" t="s">
        <v>137</v>
      </c>
      <c r="F8" s="8" t="s">
        <v>143</v>
      </c>
      <c r="G8" s="9">
        <v>12000</v>
      </c>
      <c r="H8" s="9">
        <v>1000</v>
      </c>
      <c r="I8" s="55">
        <v>2000</v>
      </c>
      <c r="J8" s="21">
        <f t="shared" si="5"/>
        <v>103000</v>
      </c>
      <c r="K8" s="8" t="s">
        <v>144</v>
      </c>
      <c r="L8" s="9">
        <v>-12000</v>
      </c>
      <c r="M8" s="9">
        <v>-1000</v>
      </c>
      <c r="N8" s="55">
        <v>-2000</v>
      </c>
      <c r="O8" s="21">
        <f t="shared" si="6"/>
        <v>-13000</v>
      </c>
      <c r="P8" s="8"/>
      <c r="Q8" s="9"/>
      <c r="R8" s="9"/>
      <c r="S8" s="55"/>
      <c r="T8" s="21">
        <f t="shared" si="7"/>
        <v>15000</v>
      </c>
      <c r="U8" s="60">
        <f t="shared" si="0"/>
        <v>68</v>
      </c>
      <c r="V8" s="61">
        <f t="shared" si="1"/>
        <v>-48</v>
      </c>
      <c r="W8" s="62">
        <f t="shared" si="2"/>
        <v>-20</v>
      </c>
      <c r="Y8" s="8"/>
      <c r="Z8" s="41"/>
      <c r="AA8" s="32"/>
      <c r="AB8" s="32">
        <v>1</v>
      </c>
      <c r="AC8" s="32">
        <v>5</v>
      </c>
      <c r="AD8" s="36" t="s">
        <v>148</v>
      </c>
      <c r="AE8" s="47" t="s">
        <v>87</v>
      </c>
      <c r="AF8" s="48" t="s">
        <v>87</v>
      </c>
      <c r="AG8" s="48" t="s">
        <v>87</v>
      </c>
      <c r="AH8" s="48" t="s">
        <v>82</v>
      </c>
      <c r="AI8" s="48" t="s">
        <v>82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C86909D2-0D2A-4438-809C-ECCB4484FC9B}">
      <formula1>$U$2:$W$2</formula1>
    </dataValidation>
    <dataValidation type="list" showInputMessage="1" showErrorMessage="1" sqref="K4:K30 P4:P30 F4:F30" xr:uid="{9D5AC9E7-205A-4BA1-B49B-EC6BE3740EE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4A12E-E984-4FF1-AF65-F9058881EFD3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144</v>
      </c>
      <c r="G4" s="9">
        <v>-8000</v>
      </c>
      <c r="H4" s="9"/>
      <c r="I4" s="55">
        <v>0</v>
      </c>
      <c r="J4" s="21">
        <f>IF(COUNTA($F4,$K4,$P4)&gt;0,J3+SUM(G4:I4),"")</f>
        <v>27000</v>
      </c>
      <c r="K4" s="8"/>
      <c r="L4" s="9"/>
      <c r="M4" s="9"/>
      <c r="N4" s="55"/>
      <c r="O4" s="21">
        <f>IF(COUNTA($F4,$K4,$P4)&gt;0,O3+SUM(L4:N4),"")</f>
        <v>35000</v>
      </c>
      <c r="P4" s="8" t="s">
        <v>143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0">
        <f t="shared" ref="U4:U30" si="0">IF($J4="","",ROUND(($J4-$J$3)/1000,1))</f>
        <v>-8</v>
      </c>
      <c r="V4" s="61">
        <f t="shared" ref="V4:V30" si="1">IF($O4="","",ROUND(($O4-$O$3)/1000,1))</f>
        <v>0</v>
      </c>
      <c r="W4" s="62">
        <f t="shared" ref="W4:W30" si="2">IF($T4="","",ROUND(($T4-$T$3)/1000,1))</f>
        <v>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4</v>
      </c>
      <c r="BT4" s="36">
        <v>40</v>
      </c>
      <c r="BU4" s="47" t="s">
        <v>147</v>
      </c>
      <c r="BV4" s="48" t="s">
        <v>85</v>
      </c>
      <c r="BW4" s="48" t="s">
        <v>81</v>
      </c>
      <c r="BX4" s="48" t="s">
        <v>81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141</v>
      </c>
      <c r="F5" s="8" t="s">
        <v>144</v>
      </c>
      <c r="G5" s="9">
        <v>-2900</v>
      </c>
      <c r="H5" s="9"/>
      <c r="I5" s="55">
        <v>0</v>
      </c>
      <c r="J5" s="21">
        <f t="shared" ref="J5:J30" si="5">IF(COUNTA($F5,$K5,$P5)&gt;0,J4+SUM(G5:I5),"")</f>
        <v>24100</v>
      </c>
      <c r="K5" s="8"/>
      <c r="L5" s="9"/>
      <c r="M5" s="9"/>
      <c r="N5" s="55"/>
      <c r="O5" s="21">
        <f t="shared" ref="O5:O30" si="6">IF(COUNTA($F5,$K5,$P5)&gt;0,O4+SUM(L5:N5),"")</f>
        <v>35000</v>
      </c>
      <c r="P5" s="8" t="s">
        <v>143</v>
      </c>
      <c r="Q5" s="9">
        <v>2900</v>
      </c>
      <c r="R5" s="9"/>
      <c r="S5" s="55">
        <v>0</v>
      </c>
      <c r="T5" s="21">
        <f t="shared" ref="T5:T30" si="7">IF(COUNTA($F5,$K5,$P5)&gt;0,T4+SUM(Q5:S5),"")</f>
        <v>45900</v>
      </c>
      <c r="U5" s="60">
        <f t="shared" si="0"/>
        <v>-10.9</v>
      </c>
      <c r="V5" s="61">
        <f t="shared" si="1"/>
        <v>0</v>
      </c>
      <c r="W5" s="62">
        <f t="shared" si="2"/>
        <v>10.9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2</v>
      </c>
      <c r="BT5" s="36">
        <v>30</v>
      </c>
      <c r="BU5" s="47" t="s">
        <v>87</v>
      </c>
      <c r="BV5" s="48" t="s">
        <v>82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141</v>
      </c>
      <c r="F6" s="8" t="s">
        <v>152</v>
      </c>
      <c r="G6" s="9">
        <v>1500</v>
      </c>
      <c r="H6" s="9">
        <v>-1000</v>
      </c>
      <c r="I6" s="55"/>
      <c r="J6" s="21">
        <f t="shared" si="5"/>
        <v>24600</v>
      </c>
      <c r="K6" s="8" t="s">
        <v>152</v>
      </c>
      <c r="L6" s="9">
        <v>-3000</v>
      </c>
      <c r="M6" s="9"/>
      <c r="N6" s="55"/>
      <c r="O6" s="21">
        <f t="shared" si="6"/>
        <v>32000</v>
      </c>
      <c r="P6" s="8" t="s">
        <v>152</v>
      </c>
      <c r="Q6" s="9">
        <v>1500</v>
      </c>
      <c r="R6" s="9"/>
      <c r="S6" s="55"/>
      <c r="T6" s="21">
        <f t="shared" si="7"/>
        <v>47400</v>
      </c>
      <c r="U6" s="60">
        <f t="shared" si="0"/>
        <v>-10.4</v>
      </c>
      <c r="V6" s="61">
        <f t="shared" si="1"/>
        <v>-3</v>
      </c>
      <c r="W6" s="62">
        <f t="shared" si="2"/>
        <v>12.4</v>
      </c>
      <c r="Y6" s="8" t="s">
        <v>150</v>
      </c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151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150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2</v>
      </c>
      <c r="D7" s="18">
        <f t="shared" si="4"/>
        <v>1</v>
      </c>
      <c r="E7" s="4" t="s">
        <v>141</v>
      </c>
      <c r="F7" s="8" t="s">
        <v>145</v>
      </c>
      <c r="G7" s="9">
        <v>4000</v>
      </c>
      <c r="H7" s="9">
        <v>2000</v>
      </c>
      <c r="I7" s="55">
        <v>2000</v>
      </c>
      <c r="J7" s="21">
        <f t="shared" si="5"/>
        <v>32600</v>
      </c>
      <c r="K7" s="8" t="s">
        <v>146</v>
      </c>
      <c r="L7" s="9">
        <v>-1500</v>
      </c>
      <c r="M7" s="9"/>
      <c r="N7" s="55">
        <v>-1000</v>
      </c>
      <c r="O7" s="21">
        <f t="shared" si="6"/>
        <v>29500</v>
      </c>
      <c r="P7" s="8" t="s">
        <v>146</v>
      </c>
      <c r="Q7" s="9">
        <v>-2500</v>
      </c>
      <c r="R7" s="9">
        <v>-1000</v>
      </c>
      <c r="S7" s="55">
        <v>-1000</v>
      </c>
      <c r="T7" s="21">
        <f t="shared" si="7"/>
        <v>42900</v>
      </c>
      <c r="U7" s="60">
        <f t="shared" si="0"/>
        <v>-2.4</v>
      </c>
      <c r="V7" s="61">
        <f t="shared" si="1"/>
        <v>-5.5</v>
      </c>
      <c r="W7" s="62">
        <f t="shared" si="2"/>
        <v>7.9</v>
      </c>
      <c r="Y7" s="8"/>
      <c r="Z7" s="41"/>
      <c r="AA7" s="32">
        <v>1</v>
      </c>
      <c r="AB7" s="32"/>
      <c r="AC7" s="32">
        <v>3</v>
      </c>
      <c r="AD7" s="36">
        <v>30</v>
      </c>
      <c r="AE7" s="47" t="s">
        <v>147</v>
      </c>
      <c r="AF7" s="48" t="s">
        <v>83</v>
      </c>
      <c r="AG7" s="48" t="s">
        <v>81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137</v>
      </c>
      <c r="F8" s="8" t="s">
        <v>146</v>
      </c>
      <c r="G8" s="9">
        <v>-7500</v>
      </c>
      <c r="H8" s="9"/>
      <c r="I8" s="55">
        <v>0</v>
      </c>
      <c r="J8" s="21">
        <f t="shared" si="5"/>
        <v>25100</v>
      </c>
      <c r="K8" s="8" t="s">
        <v>145</v>
      </c>
      <c r="L8" s="9">
        <v>12000</v>
      </c>
      <c r="M8" s="9"/>
      <c r="N8" s="55">
        <v>0</v>
      </c>
      <c r="O8" s="21">
        <f t="shared" si="6"/>
        <v>41500</v>
      </c>
      <c r="P8" s="8" t="s">
        <v>146</v>
      </c>
      <c r="Q8" s="9">
        <v>-4500</v>
      </c>
      <c r="R8" s="9"/>
      <c r="S8" s="55">
        <v>0</v>
      </c>
      <c r="T8" s="21">
        <f t="shared" si="7"/>
        <v>38400</v>
      </c>
      <c r="U8" s="60">
        <f t="shared" si="0"/>
        <v>-9.9</v>
      </c>
      <c r="V8" s="61">
        <f t="shared" si="1"/>
        <v>6.5</v>
      </c>
      <c r="W8" s="62">
        <f t="shared" si="2"/>
        <v>3.4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6</v>
      </c>
      <c r="AY8" s="36" t="s">
        <v>148</v>
      </c>
      <c r="AZ8" s="47" t="s">
        <v>147</v>
      </c>
      <c r="BA8" s="48" t="s">
        <v>83</v>
      </c>
      <c r="BB8" s="48" t="s">
        <v>84</v>
      </c>
      <c r="BC8" s="48" t="s">
        <v>82</v>
      </c>
      <c r="BD8" s="48" t="s">
        <v>82</v>
      </c>
      <c r="BE8" s="48" t="s">
        <v>81</v>
      </c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139</v>
      </c>
      <c r="F9" s="8" t="s">
        <v>144</v>
      </c>
      <c r="G9" s="9">
        <v>-8000</v>
      </c>
      <c r="H9" s="9"/>
      <c r="I9" s="55">
        <v>0</v>
      </c>
      <c r="J9" s="21">
        <f t="shared" si="5"/>
        <v>17100</v>
      </c>
      <c r="K9" s="8"/>
      <c r="L9" s="9"/>
      <c r="M9" s="9"/>
      <c r="N9" s="55"/>
      <c r="O9" s="21">
        <f t="shared" si="6"/>
        <v>41500</v>
      </c>
      <c r="P9" s="8" t="s">
        <v>143</v>
      </c>
      <c r="Q9" s="9">
        <v>8000</v>
      </c>
      <c r="R9" s="9"/>
      <c r="S9" s="55">
        <v>0</v>
      </c>
      <c r="T9" s="21">
        <f t="shared" si="7"/>
        <v>46400</v>
      </c>
      <c r="U9" s="60">
        <f t="shared" si="0"/>
        <v>-17.899999999999999</v>
      </c>
      <c r="V9" s="61">
        <f t="shared" si="1"/>
        <v>6.5</v>
      </c>
      <c r="W9" s="62">
        <f t="shared" si="2"/>
        <v>11.4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4</v>
      </c>
      <c r="BT9" s="36">
        <v>30</v>
      </c>
      <c r="BU9" s="47" t="s">
        <v>147</v>
      </c>
      <c r="BV9" s="48" t="s">
        <v>149</v>
      </c>
      <c r="BW9" s="48" t="s">
        <v>84</v>
      </c>
      <c r="BX9" s="48" t="s">
        <v>85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141</v>
      </c>
      <c r="F10" s="8" t="s">
        <v>146</v>
      </c>
      <c r="G10" s="9">
        <v>-1500</v>
      </c>
      <c r="H10" s="9"/>
      <c r="I10" s="55">
        <v>0</v>
      </c>
      <c r="J10" s="21">
        <f t="shared" si="5"/>
        <v>15600</v>
      </c>
      <c r="K10" s="8" t="s">
        <v>145</v>
      </c>
      <c r="L10" s="9">
        <v>4000</v>
      </c>
      <c r="M10" s="9"/>
      <c r="N10" s="55">
        <v>0</v>
      </c>
      <c r="O10" s="21">
        <f t="shared" si="6"/>
        <v>45500</v>
      </c>
      <c r="P10" s="8" t="s">
        <v>146</v>
      </c>
      <c r="Q10" s="9">
        <v>-2500</v>
      </c>
      <c r="R10" s="9"/>
      <c r="S10" s="55">
        <v>0</v>
      </c>
      <c r="T10" s="21">
        <f t="shared" si="7"/>
        <v>43900</v>
      </c>
      <c r="U10" s="60">
        <f t="shared" si="0"/>
        <v>-19.399999999999999</v>
      </c>
      <c r="V10" s="61">
        <f t="shared" si="1"/>
        <v>10.5</v>
      </c>
      <c r="W10" s="62">
        <f t="shared" si="2"/>
        <v>8.9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3</v>
      </c>
      <c r="AY10" s="36">
        <v>30</v>
      </c>
      <c r="AZ10" s="47" t="s">
        <v>147</v>
      </c>
      <c r="BA10" s="48" t="s">
        <v>83</v>
      </c>
      <c r="BB10" s="48" t="s">
        <v>80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137</v>
      </c>
      <c r="F11" s="8" t="s">
        <v>146</v>
      </c>
      <c r="G11" s="9">
        <v>-2500</v>
      </c>
      <c r="H11" s="9"/>
      <c r="I11" s="55">
        <v>0</v>
      </c>
      <c r="J11" s="21">
        <f t="shared" si="5"/>
        <v>13100</v>
      </c>
      <c r="K11" s="8" t="s">
        <v>145</v>
      </c>
      <c r="L11" s="9">
        <v>4000</v>
      </c>
      <c r="M11" s="9"/>
      <c r="N11" s="55">
        <v>0</v>
      </c>
      <c r="O11" s="21">
        <f t="shared" si="6"/>
        <v>49500</v>
      </c>
      <c r="P11" s="8" t="s">
        <v>146</v>
      </c>
      <c r="Q11" s="9">
        <v>-1500</v>
      </c>
      <c r="R11" s="9"/>
      <c r="S11" s="55">
        <v>0</v>
      </c>
      <c r="T11" s="21">
        <f t="shared" si="7"/>
        <v>42400</v>
      </c>
      <c r="U11" s="60">
        <f t="shared" si="0"/>
        <v>-21.9</v>
      </c>
      <c r="V11" s="61">
        <f t="shared" si="1"/>
        <v>14.5</v>
      </c>
      <c r="W11" s="62">
        <f t="shared" si="2"/>
        <v>7.4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>
        <v>3</v>
      </c>
      <c r="AY11" s="36">
        <v>30</v>
      </c>
      <c r="AZ11" s="47" t="s">
        <v>87</v>
      </c>
      <c r="BA11" s="48" t="s">
        <v>87</v>
      </c>
      <c r="BB11" s="48" t="s">
        <v>80</v>
      </c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2688A5B7-71BD-4249-8E35-75EE99A08B8B}">
      <formula1>"ロン,ツモ,放銃,ツモ支払,流局,チョンボ"</formula1>
    </dataValidation>
    <dataValidation type="list" allowBlank="1" showInputMessage="1" showErrorMessage="1" sqref="E4:E30" xr:uid="{4E037640-D5E5-411B-921F-1D90473A4E4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2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  <row r="52" spans="1:3" x14ac:dyDescent="0.4">
      <c r="A52" s="43" t="s">
        <v>135</v>
      </c>
      <c r="B52" s="15" t="s">
        <v>136</v>
      </c>
      <c r="C52" s="15">
        <v>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2019-02-25T15:00:43Z</dcterms:modified>
</cp:coreProperties>
</file>