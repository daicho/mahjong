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71608A25-B812-41C1-AC99-714E67892B2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D13" i="18"/>
  <c r="C13" i="18"/>
  <c r="D12" i="18"/>
  <c r="C12" i="18"/>
  <c r="D10" i="18"/>
  <c r="D11" i="18" s="1"/>
  <c r="C10" i="18"/>
  <c r="C11" i="18" s="1"/>
  <c r="D9" i="18"/>
  <c r="D6" i="18"/>
  <c r="D7" i="18" s="1"/>
  <c r="D8" i="18" s="1"/>
  <c r="C6" i="18"/>
  <c r="C7" i="18" s="1"/>
  <c r="C8" i="18" s="1"/>
  <c r="C9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 s="1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 s="1"/>
  <c r="T9" i="17"/>
  <c r="W9" i="17" s="1"/>
  <c r="O9" i="17"/>
  <c r="V9" i="17" s="1"/>
  <c r="J9" i="17"/>
  <c r="U9" i="17" s="1"/>
  <c r="D9" i="17"/>
  <c r="C9" i="17"/>
  <c r="B9" i="17"/>
  <c r="A9" i="17" s="1"/>
  <c r="T8" i="17"/>
  <c r="W8" i="17" s="1"/>
  <c r="O8" i="17"/>
  <c r="V8" i="17" s="1"/>
  <c r="J8" i="17"/>
  <c r="U8" i="17" s="1"/>
  <c r="D8" i="17"/>
  <c r="C8" i="17"/>
  <c r="B8" i="17"/>
  <c r="A8" i="17" s="1"/>
  <c r="T7" i="17"/>
  <c r="W7" i="17" s="1"/>
  <c r="O7" i="17"/>
  <c r="V7" i="17" s="1"/>
  <c r="J7" i="17"/>
  <c r="U7" i="17" s="1"/>
  <c r="D7" i="17"/>
  <c r="C7" i="17"/>
  <c r="B7" i="17"/>
  <c r="A7" i="17" s="1"/>
  <c r="D6" i="17"/>
  <c r="C6" i="17"/>
  <c r="O5" i="17"/>
  <c r="O6" i="17" s="1"/>
  <c r="V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0" i="16"/>
  <c r="D11" i="16" s="1"/>
  <c r="C10" i="16"/>
  <c r="C11" i="16" s="1"/>
  <c r="D9" i="16"/>
  <c r="C9" i="16"/>
  <c r="D8" i="16"/>
  <c r="C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8" l="1"/>
  <c r="V5" i="18"/>
  <c r="B7" i="18"/>
  <c r="A7" i="18" s="1"/>
  <c r="V6" i="18"/>
  <c r="O7" i="18"/>
  <c r="T5" i="18"/>
  <c r="A6" i="18"/>
  <c r="J6" i="18"/>
  <c r="A5" i="17"/>
  <c r="V5" i="17"/>
  <c r="T5" i="17"/>
  <c r="A6" i="17"/>
  <c r="J6" i="17"/>
  <c r="U6" i="17" s="1"/>
  <c r="A5" i="16"/>
  <c r="V5" i="16"/>
  <c r="B7" i="16"/>
  <c r="V6" i="16"/>
  <c r="O7" i="16"/>
  <c r="T5" i="16"/>
  <c r="A6" i="16"/>
  <c r="J6" i="16"/>
  <c r="U6" i="18" l="1"/>
  <c r="J7" i="18"/>
  <c r="O8" i="18"/>
  <c r="V7" i="18"/>
  <c r="W5" i="18"/>
  <c r="T6" i="18"/>
  <c r="B8" i="18"/>
  <c r="A8" i="18" s="1"/>
  <c r="T6" i="17"/>
  <c r="W6" i="17" s="1"/>
  <c r="W5" i="17"/>
  <c r="A7" i="16"/>
  <c r="J7" i="16"/>
  <c r="U6" i="16"/>
  <c r="W5" i="16"/>
  <c r="T6" i="16"/>
  <c r="B8" i="16"/>
  <c r="A8" i="16" s="1"/>
  <c r="O8" i="16"/>
  <c r="V7" i="16"/>
  <c r="B9" i="18" l="1"/>
  <c r="A9" i="18" s="1"/>
  <c r="O9" i="18"/>
  <c r="V8" i="18"/>
  <c r="W6" i="18"/>
  <c r="T7" i="18"/>
  <c r="U7" i="18"/>
  <c r="J8" i="18"/>
  <c r="W6" i="16"/>
  <c r="T7" i="16"/>
  <c r="V8" i="16"/>
  <c r="O9" i="16"/>
  <c r="B9" i="16"/>
  <c r="A9" i="16"/>
  <c r="U7" i="16"/>
  <c r="J8" i="16"/>
  <c r="O10" i="18" l="1"/>
  <c r="V9" i="18"/>
  <c r="U8" i="18"/>
  <c r="J9" i="18"/>
  <c r="W7" i="18"/>
  <c r="T8" i="18"/>
  <c r="B10" i="18"/>
  <c r="A10" i="18" s="1"/>
  <c r="O10" i="16"/>
  <c r="V9" i="16"/>
  <c r="W7" i="16"/>
  <c r="T8" i="16"/>
  <c r="U8" i="16"/>
  <c r="J9" i="16"/>
  <c r="B10" i="16"/>
  <c r="U9" i="18" l="1"/>
  <c r="J10" i="18"/>
  <c r="W8" i="18"/>
  <c r="T9" i="18"/>
  <c r="B11" i="18"/>
  <c r="A11" i="18" s="1"/>
  <c r="O11" i="18"/>
  <c r="V10" i="18"/>
  <c r="W8" i="16"/>
  <c r="T9" i="16"/>
  <c r="B11" i="16"/>
  <c r="A10" i="16"/>
  <c r="A11" i="16" s="1"/>
  <c r="U9" i="16"/>
  <c r="J10" i="16"/>
  <c r="V10" i="16"/>
  <c r="O11" i="16"/>
  <c r="V11" i="16" s="1"/>
  <c r="T10" i="18" l="1"/>
  <c r="W9" i="18"/>
  <c r="O12" i="18"/>
  <c r="V11" i="18"/>
  <c r="U10" i="18"/>
  <c r="J11" i="18"/>
  <c r="B12" i="18"/>
  <c r="A12" i="18"/>
  <c r="U10" i="16"/>
  <c r="J11" i="16"/>
  <c r="U11" i="16" s="1"/>
  <c r="W9" i="16"/>
  <c r="T10" i="16"/>
  <c r="B13" i="18" l="1"/>
  <c r="A13" i="18" s="1"/>
  <c r="V12" i="18"/>
  <c r="O13" i="18"/>
  <c r="V13" i="18" s="1"/>
  <c r="U11" i="18"/>
  <c r="J12" i="18"/>
  <c r="W10" i="18"/>
  <c r="T11" i="18"/>
  <c r="W10" i="16"/>
  <c r="T11" i="16"/>
  <c r="W11" i="16" s="1"/>
  <c r="W11" i="18" l="1"/>
  <c r="T12" i="18"/>
  <c r="U12" i="18"/>
  <c r="J13" i="18"/>
  <c r="U13" i="18" s="1"/>
  <c r="W12" i="18" l="1"/>
  <c r="T13" i="18"/>
  <c r="W13" i="18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V10" i="1" l="1"/>
  <c r="U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<sst xmlns="http://schemas.openxmlformats.org/spreadsheetml/2006/main" count="861" uniqueCount="152">
  <si>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</si>
  <si>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</si>
  <si>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</si>
  <si>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</si>
  <si>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</si>
  <si>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</si>
  <si>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</si>
  <si>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</si>
  <si>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</si>
  <si>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</si>
  <si>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</si>
  <si>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</si>
  <si>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</si>
  <si>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</si>
  <si>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</si>
  <si>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</si>
  <si>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</si>
  <si>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</si>
  <si>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</si>
  <si>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</si>
  <si>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</si>
  <si>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</si>
  <si>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</si>
  <si>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</si>
  <si>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</si>
  <si>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</si>
  <si>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</si>
  <si>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</si>
  <si>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</si>
  <si>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</si>
  <si>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</si>
  <si>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</si>
  <si>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</si>
  <si>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</si>
  <si>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</si>
  <si>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</si>
  <si>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</si>
  <si>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</si>
  <si>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</si>
  <si>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</si>
  <si>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</si>
  <si>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</si>
  <si>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</si>
  <si>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</si>
  <si>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</si>
  <si>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</si>
  <si>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</si>
  <si>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</si>
  <si>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</si>
  <si>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</si>
  <si>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</si>
  <si>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</si>
  <si>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</si>
  <si>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</si>
  <si>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</si>
  <si>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</si>
  <si>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</si>
  <si>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</si>
  <si>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</si>
  <si>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</si>
  <si>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</si>
  <si>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</si>
  <si>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</si>
  <si>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</si>
  <si>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</si>
  <si>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</si>
  <si>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</si>
  <si>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</si>
  <si>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</si>
  <si>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</si>
  <si>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</si>
  <si>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</si>
  <si>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</si>
  <si>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</si>
  <si>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</si>
  <si>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</si>
  <si>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</si>
  <si>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</si>
  <si>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</si>
  <si>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</si>
  <si>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</si>
  <si>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</si>
  <si>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</si>
  <si>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</si>
  <si>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</si>
  <si>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</si>
  <si>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</si>
  <si>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</si>
  <si>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</si>
  <si>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</si>
  <si>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</si>
  <si>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</si>
  <si>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</si>
  <si>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</si>
  <si>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</si>
  <si>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</si>
  <si>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</si>
  <si>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</si>
  <si>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</si>
  <si>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</si>
  <si>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</si>
  <si>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</si>
  <si>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</si>
  <si>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</si>
  <si>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</si>
  <si>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</si>
  <si>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</si>
  <si>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</si>
  <si>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</si>
  <si>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</si>
  <si>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</si>
  <si>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</si>
  <si>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</si>
  <si>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</si>
  <si>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</si>
  <si>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</si>
  <si>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</si>
  <si>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</si>
  <si>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</si>
  <si>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</si>
  <si>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</si>
  <si>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</si>
  <si>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</si>
  <si>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</si>
  <si>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</si>
  <si>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</si>
  <si>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</si>
  <si>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</si>
  <si>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</si>
  <si>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</si>
  <si>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</si>
  <si>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</si>
  <si>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</si>
  <si>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</si>
  <si>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</si>
  <si>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</si>
  <si>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</si>
  <si>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</si>
  <si>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</si>
  <si>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</si>
  <si>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</si>
  <si>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</si>
  <si>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</si>
  <si>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01</t>
  </si>
  <si>
    <t>02</t>
  </si>
  <si>
    <t>ツモ支払</t>
  </si>
  <si>
    <t>ツモ</t>
  </si>
  <si>
    <t>*</t>
  </si>
  <si>
    <t>T</t>
  </si>
  <si>
    <t>N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</si>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</sst>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5200</v>
      </c>
      <c r="H4" s="9"/>
      <c r="I4" s="55">
        <v>0</v>
      </c>
      <c r="J4" s="21">
        <f>IF(COUNTA($F4,$K4,$P4)&gt;0,J3+SUM(G4:I4),"")</f>
        <v>40200</v>
      </c>
      <c r="K4" s="8" t="s">
        <v>142</v>
      </c>
      <c r="L4" s="9">
        <v>-5200</v>
      </c>
      <c r="M4" s="9"/>
      <c r="N4" s="55">
        <v>0</v>
      </c>
      <c r="O4" s="21">
        <f>IF(COUNTA($F4,$K4,$P4)&gt;0,O3+SUM(L4:N4),"")</f>
        <v>29800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5.2</v>
      </c>
      <c r="V4" s="61">
        <f t="shared" ref="V4:V30" si="1">IF($O4="","",ROUND(($O4-$O$3)/1000,1))</f>
        <v>-5.2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3</v>
      </c>
      <c r="AD4" s="36">
        <v>40</v>
      </c>
      <c r="AE4" s="47" t="s">
        <v>143</v>
      </c>
      <c r="AF4" s="48" t="s">
        <v>144</v>
      </c>
      <c r="AG4" s="48" t="s">
        <v>82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145</v>
      </c>
      <c r="G5" s="9">
        <v>-9000</v>
      </c>
      <c r="H5" s="9"/>
      <c r="I5" s="55">
        <v>0</v>
      </c>
      <c r="J5" s="21">
        <f t="shared" ref="J5:J30" si="6">IF(COUNTA($F5,$K5,$P5)&gt;0,J4+SUM(G5:I5),"")</f>
        <v>31200</v>
      </c>
      <c r="K5" s="8" t="s">
        <v>145</v>
      </c>
      <c r="L5" s="9">
        <v>-9000</v>
      </c>
      <c r="M5" s="9"/>
      <c r="N5" s="55">
        <v>0</v>
      </c>
      <c r="O5" s="21">
        <f t="shared" ref="O5:O30" si="7">IF(COUNTA($F5,$K5,$P5)&gt;0,O4+SUM(L5:N5),"")</f>
        <v>20800</v>
      </c>
      <c r="P5" s="8" t="s">
        <v>146</v>
      </c>
      <c r="Q5" s="9">
        <v>18000</v>
      </c>
      <c r="R5" s="9"/>
      <c r="S5" s="55">
        <v>0</v>
      </c>
      <c r="T5" s="21">
        <f t="shared" ref="T5:T30" si="8">IF(COUNTA($F5,$K5,$P5)&gt;0,T4+SUM(Q5:S5),"")</f>
        <v>53000</v>
      </c>
      <c r="U5" s="60">
        <f t="shared" si="0"/>
        <v>-3.8</v>
      </c>
      <c r="V5" s="61">
        <f t="shared" si="1"/>
        <v>-14.2</v>
      </c>
      <c r="W5" s="62">
        <f t="shared" si="2"/>
        <v>18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6</v>
      </c>
      <c r="BT5" s="36" t="s">
        <v>147</v>
      </c>
      <c r="BU5" s="47" t="s">
        <v>143</v>
      </c>
      <c r="BV5" s="48" t="s">
        <v>83</v>
      </c>
      <c r="BW5" s="48" t="s">
        <v>84</v>
      </c>
      <c r="BX5" s="48" t="s">
        <v>81</v>
      </c>
      <c r="BY5" s="48" t="s">
        <v>81</v>
      </c>
      <c r="BZ5" s="48" t="s">
        <v>81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 t="s">
        <v>145</v>
      </c>
      <c r="G6" s="9">
        <v>-6000</v>
      </c>
      <c r="H6" s="9"/>
      <c r="I6" s="55">
        <v>-500</v>
      </c>
      <c r="J6" s="21">
        <f t="shared" si="6"/>
        <v>24700</v>
      </c>
      <c r="K6" s="8" t="s">
        <v>146</v>
      </c>
      <c r="L6" s="9">
        <v>16000</v>
      </c>
      <c r="M6" s="9">
        <v>1000</v>
      </c>
      <c r="N6" s="55">
        <v>1000</v>
      </c>
      <c r="O6" s="21">
        <f t="shared" si="7"/>
        <v>38800</v>
      </c>
      <c r="P6" s="8" t="s">
        <v>145</v>
      </c>
      <c r="Q6" s="9">
        <v>-10000</v>
      </c>
      <c r="R6" s="9">
        <v>-1000</v>
      </c>
      <c r="S6" s="55">
        <v>-500</v>
      </c>
      <c r="T6" s="21">
        <f t="shared" si="8"/>
        <v>41500</v>
      </c>
      <c r="U6" s="60">
        <f t="shared" si="0"/>
        <v>-10.3</v>
      </c>
      <c r="V6" s="61">
        <f t="shared" si="1"/>
        <v>3.8</v>
      </c>
      <c r="W6" s="62">
        <f t="shared" si="2"/>
        <v>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8</v>
      </c>
      <c r="AY6" s="36" t="s">
        <v>147</v>
      </c>
      <c r="AZ6" s="47" t="s">
        <v>143</v>
      </c>
      <c r="BA6" s="48" t="s">
        <v>83</v>
      </c>
      <c r="BB6" s="48" t="s">
        <v>80</v>
      </c>
      <c r="BC6" s="48" t="s">
        <v>80</v>
      </c>
      <c r="BD6" s="48" t="s">
        <v>80</v>
      </c>
      <c r="BE6" s="48" t="s">
        <v>81</v>
      </c>
      <c r="BF6" s="48" t="s">
        <v>82</v>
      </c>
      <c r="BG6" s="48" t="s">
        <v>85</v>
      </c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135</v>
      </c>
      <c r="F7" s="8"/>
      <c r="G7" s="9"/>
      <c r="H7" s="9"/>
      <c r="I7" s="55"/>
      <c r="J7" s="21">
        <f t="shared" si="6"/>
        <v>24700</v>
      </c>
      <c r="K7" s="8" t="s">
        <v>141</v>
      </c>
      <c r="L7" s="9">
        <v>5200</v>
      </c>
      <c r="M7" s="9"/>
      <c r="N7" s="55">
        <v>0</v>
      </c>
      <c r="O7" s="21">
        <f t="shared" si="7"/>
        <v>44000</v>
      </c>
      <c r="P7" s="8" t="s">
        <v>142</v>
      </c>
      <c r="Q7" s="9">
        <v>-5200</v>
      </c>
      <c r="R7" s="9"/>
      <c r="S7" s="55">
        <v>0</v>
      </c>
      <c r="T7" s="21">
        <f t="shared" si="8"/>
        <v>36300</v>
      </c>
      <c r="U7" s="60">
        <f t="shared" si="0"/>
        <v>-10.3</v>
      </c>
      <c r="V7" s="61">
        <f t="shared" si="1"/>
        <v>9</v>
      </c>
      <c r="W7" s="62">
        <f t="shared" si="2"/>
        <v>1.3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3</v>
      </c>
      <c r="AY7" s="36">
        <v>40</v>
      </c>
      <c r="AZ7" s="47" t="s">
        <v>86</v>
      </c>
      <c r="BA7" s="48" t="s">
        <v>82</v>
      </c>
      <c r="BB7" s="48" t="s">
        <v>80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1</v>
      </c>
      <c r="C8" s="18">
        <f t="shared" si="11"/>
        <v>0</v>
      </c>
      <c r="D8" s="18">
        <f t="shared" si="5"/>
        <v>0</v>
      </c>
      <c r="E8" s="4" t="s">
        <v>137</v>
      </c>
      <c r="F8" s="8" t="s">
        <v>146</v>
      </c>
      <c r="G8" s="9">
        <v>5300</v>
      </c>
      <c r="H8" s="9"/>
      <c r="I8" s="55">
        <v>0</v>
      </c>
      <c r="J8" s="21">
        <f t="shared" si="6"/>
        <v>30000</v>
      </c>
      <c r="K8" s="8" t="s">
        <v>145</v>
      </c>
      <c r="L8" s="9">
        <v>-3300</v>
      </c>
      <c r="M8" s="9"/>
      <c r="N8" s="55">
        <v>0</v>
      </c>
      <c r="O8" s="21">
        <f t="shared" si="7"/>
        <v>40700</v>
      </c>
      <c r="P8" s="8" t="s">
        <v>145</v>
      </c>
      <c r="Q8" s="9">
        <v>-2000</v>
      </c>
      <c r="R8" s="9"/>
      <c r="S8" s="55">
        <v>0</v>
      </c>
      <c r="T8" s="21">
        <f t="shared" si="8"/>
        <v>34300</v>
      </c>
      <c r="U8" s="60">
        <f t="shared" si="0"/>
        <v>-5</v>
      </c>
      <c r="V8" s="61">
        <f t="shared" si="1"/>
        <v>5.7</v>
      </c>
      <c r="W8" s="62">
        <f t="shared" si="2"/>
        <v>-0.7</v>
      </c>
      <c r="Y8" s="8"/>
      <c r="Z8" s="41"/>
      <c r="AA8" s="32">
        <v>1</v>
      </c>
      <c r="AB8" s="32"/>
      <c r="AC8" s="32">
        <v>4</v>
      </c>
      <c r="AD8" s="36">
        <v>20</v>
      </c>
      <c r="AE8" s="47" t="s">
        <v>143</v>
      </c>
      <c r="AF8" s="48" t="s">
        <v>83</v>
      </c>
      <c r="AG8" s="48" t="s">
        <v>84</v>
      </c>
      <c r="AH8" s="48" t="s">
        <v>82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2</v>
      </c>
      <c r="C9" s="18">
        <f t="shared" si="11"/>
        <v>0</v>
      </c>
      <c r="D9" s="18">
        <f t="shared" si="5"/>
        <v>0</v>
      </c>
      <c r="E9" s="4" t="s">
        <v>139</v>
      </c>
      <c r="F9" s="8" t="s">
        <v>141</v>
      </c>
      <c r="G9" s="9">
        <v>8000</v>
      </c>
      <c r="H9" s="9"/>
      <c r="I9" s="55">
        <v>0</v>
      </c>
      <c r="J9" s="21">
        <f t="shared" si="6"/>
        <v>38000</v>
      </c>
      <c r="K9" s="8"/>
      <c r="L9" s="9"/>
      <c r="M9" s="9"/>
      <c r="N9" s="55"/>
      <c r="O9" s="21">
        <f t="shared" si="7"/>
        <v>40700</v>
      </c>
      <c r="P9" s="8" t="s">
        <v>142</v>
      </c>
      <c r="Q9" s="9">
        <v>-8000</v>
      </c>
      <c r="R9" s="9"/>
      <c r="S9" s="55">
        <v>0</v>
      </c>
      <c r="T9" s="21">
        <f t="shared" si="8"/>
        <v>26300</v>
      </c>
      <c r="U9" s="60">
        <f t="shared" si="0"/>
        <v>3</v>
      </c>
      <c r="V9" s="61">
        <f t="shared" si="1"/>
        <v>5.7</v>
      </c>
      <c r="W9" s="62">
        <f t="shared" si="2"/>
        <v>-8.6999999999999993</v>
      </c>
      <c r="Y9" s="8"/>
      <c r="Z9" s="41"/>
      <c r="AA9" s="32">
        <v>1</v>
      </c>
      <c r="AB9" s="32"/>
      <c r="AC9" s="32">
        <v>4</v>
      </c>
      <c r="AD9" s="36">
        <v>40</v>
      </c>
      <c r="AE9" s="47" t="s">
        <v>143</v>
      </c>
      <c r="AF9" s="48" t="s">
        <v>82</v>
      </c>
      <c r="AG9" s="48" t="s">
        <v>93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3</v>
      </c>
      <c r="C10" s="18">
        <f t="shared" si="11"/>
        <v>0</v>
      </c>
      <c r="D10" s="18">
        <f t="shared" si="5"/>
        <v>0</v>
      </c>
      <c r="E10" s="4" t="s">
        <v>135</v>
      </c>
      <c r="F10" s="8" t="s">
        <v>150</v>
      </c>
      <c r="G10" s="9">
        <v>1500</v>
      </c>
      <c r="H10" s="9">
        <v>-1000</v>
      </c>
      <c r="I10" s="55"/>
      <c r="J10" s="21">
        <f t="shared" si="6"/>
        <v>38500</v>
      </c>
      <c r="K10" s="8" t="s">
        <v>150</v>
      </c>
      <c r="L10" s="9">
        <v>1500</v>
      </c>
      <c r="M10" s="9"/>
      <c r="N10" s="55"/>
      <c r="O10" s="21">
        <f t="shared" si="7"/>
        <v>42200</v>
      </c>
      <c r="P10" s="8" t="s">
        <v>150</v>
      </c>
      <c r="Q10" s="9">
        <v>-3000</v>
      </c>
      <c r="R10" s="9"/>
      <c r="S10" s="55"/>
      <c r="T10" s="21">
        <f t="shared" si="8"/>
        <v>23300</v>
      </c>
      <c r="U10" s="60">
        <f t="shared" si="0"/>
        <v>3.5</v>
      </c>
      <c r="V10" s="61">
        <f t="shared" si="1"/>
        <v>7.2</v>
      </c>
      <c r="W10" s="62">
        <f t="shared" si="2"/>
        <v>-11.7</v>
      </c>
      <c r="Y10" s="8" t="s">
        <v>148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148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149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1</v>
      </c>
      <c r="D11" s="18">
        <f t="shared" si="5"/>
        <v>1</v>
      </c>
      <c r="E11" s="4" t="s">
        <v>135</v>
      </c>
      <c r="F11" s="8" t="s">
        <v>145</v>
      </c>
      <c r="G11" s="9">
        <v>-2500</v>
      </c>
      <c r="H11" s="9"/>
      <c r="I11" s="55">
        <v>-500</v>
      </c>
      <c r="J11" s="21">
        <f t="shared" si="6"/>
        <v>35500</v>
      </c>
      <c r="K11" s="8" t="s">
        <v>146</v>
      </c>
      <c r="L11" s="9">
        <v>4000</v>
      </c>
      <c r="M11" s="9">
        <v>1000</v>
      </c>
      <c r="N11" s="55">
        <v>1000</v>
      </c>
      <c r="O11" s="21">
        <f t="shared" si="7"/>
        <v>48200</v>
      </c>
      <c r="P11" s="8" t="s">
        <v>145</v>
      </c>
      <c r="Q11" s="9">
        <v>-1500</v>
      </c>
      <c r="R11" s="9"/>
      <c r="S11" s="55">
        <v>-500</v>
      </c>
      <c r="T11" s="21">
        <f t="shared" si="8"/>
        <v>21300</v>
      </c>
      <c r="U11" s="60">
        <f t="shared" si="0"/>
        <v>0.5</v>
      </c>
      <c r="V11" s="61">
        <f t="shared" si="1"/>
        <v>13.2</v>
      </c>
      <c r="W11" s="62">
        <f t="shared" si="2"/>
        <v>-13.7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3</v>
      </c>
      <c r="AY11" s="36">
        <v>30</v>
      </c>
      <c r="AZ11" s="47" t="s">
        <v>105</v>
      </c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41B1-5DB5-4EDD-AB56-D3AABA62C47F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16000</v>
      </c>
      <c r="H4" s="9"/>
      <c r="I4" s="55">
        <v>0</v>
      </c>
      <c r="J4" s="21">
        <f>IF(COUNTA($F4,$K4,$P4)&gt;0,J3+SUM(G4:I4),"")</f>
        <v>51000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-16000</v>
      </c>
      <c r="R4" s="9"/>
      <c r="S4" s="55">
        <v>0</v>
      </c>
      <c r="T4" s="21">
        <f>IF(COUNTA($F4,$K4,$P4)&gt;0,T3+SUM(Q4:S4),"")</f>
        <v>19000</v>
      </c>
      <c r="U4" s="60">
        <f t="shared" ref="U4:U30" si="0">IF($J4="","",ROUND(($J4-$J$3)/1000,1))</f>
        <v>16</v>
      </c>
      <c r="V4" s="61">
        <f t="shared" ref="V4:V30" si="1">IF($O4="","",ROUND(($O4-$O$3)/1000,1))</f>
        <v>0</v>
      </c>
      <c r="W4" s="62">
        <f t="shared" ref="W4:W30" si="2">IF($T4="","",ROUND(($T4-$T$3)/1000,1))</f>
        <v>-16</v>
      </c>
      <c r="Y4" s="8"/>
      <c r="Z4" s="41"/>
      <c r="AA4" s="32">
        <v>1</v>
      </c>
      <c r="AB4" s="32"/>
      <c r="AC4" s="32">
        <v>9</v>
      </c>
      <c r="AD4" s="36" t="s">
        <v>147</v>
      </c>
      <c r="AE4" s="47" t="s">
        <v>105</v>
      </c>
      <c r="AF4" s="48" t="s">
        <v>143</v>
      </c>
      <c r="AG4" s="48" t="s">
        <v>87</v>
      </c>
      <c r="AH4" s="48" t="s">
        <v>85</v>
      </c>
      <c r="AI4" s="48" t="s">
        <v>81</v>
      </c>
      <c r="AJ4" s="48" t="s">
        <v>81</v>
      </c>
      <c r="AK4" s="48" t="s">
        <v>81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146</v>
      </c>
      <c r="G5" s="9">
        <v>12000</v>
      </c>
      <c r="H5" s="9"/>
      <c r="I5" s="55">
        <v>0</v>
      </c>
      <c r="J5" s="21">
        <f t="shared" ref="J5:J30" si="6">IF(COUNTA($F5,$K5,$P5)&gt;0,J4+SUM(G5:I5),"")</f>
        <v>63000</v>
      </c>
      <c r="K5" s="8" t="s">
        <v>145</v>
      </c>
      <c r="L5" s="9">
        <v>-6000</v>
      </c>
      <c r="M5" s="9"/>
      <c r="N5" s="55">
        <v>0</v>
      </c>
      <c r="O5" s="21">
        <f t="shared" ref="O5:O30" si="7">IF(COUNTA($F5,$K5,$P5)&gt;0,O4+SUM(L5:N5),"")</f>
        <v>29000</v>
      </c>
      <c r="P5" s="8" t="s">
        <v>145</v>
      </c>
      <c r="Q5" s="9">
        <v>-6000</v>
      </c>
      <c r="R5" s="9"/>
      <c r="S5" s="55">
        <v>0</v>
      </c>
      <c r="T5" s="21">
        <f t="shared" ref="T5:T30" si="8">IF(COUNTA($F5,$K5,$P5)&gt;0,T4+SUM(Q5:S5),"")</f>
        <v>13000</v>
      </c>
      <c r="U5" s="60">
        <f t="shared" si="0"/>
        <v>28</v>
      </c>
      <c r="V5" s="61">
        <f t="shared" si="1"/>
        <v>-6</v>
      </c>
      <c r="W5" s="62">
        <f t="shared" si="2"/>
        <v>-22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143</v>
      </c>
      <c r="AF5" s="48" t="s">
        <v>83</v>
      </c>
      <c r="AG5" s="48" t="s">
        <v>82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135</v>
      </c>
      <c r="F6" s="8" t="s">
        <v>141</v>
      </c>
      <c r="G6" s="9">
        <v>18000</v>
      </c>
      <c r="H6" s="9">
        <v>1000</v>
      </c>
      <c r="I6" s="55">
        <v>1000</v>
      </c>
      <c r="J6" s="21">
        <f t="shared" si="6"/>
        <v>83000</v>
      </c>
      <c r="K6" s="8"/>
      <c r="L6" s="9"/>
      <c r="M6" s="9">
        <v>-1000</v>
      </c>
      <c r="N6" s="55"/>
      <c r="O6" s="21">
        <f t="shared" si="7"/>
        <v>28000</v>
      </c>
      <c r="P6" s="8" t="s">
        <v>142</v>
      </c>
      <c r="Q6" s="9">
        <v>-18000</v>
      </c>
      <c r="R6" s="9"/>
      <c r="S6" s="55">
        <v>-1000</v>
      </c>
      <c r="T6" s="21">
        <f t="shared" si="8"/>
        <v>-6000</v>
      </c>
      <c r="U6" s="60">
        <f t="shared" si="0"/>
        <v>48</v>
      </c>
      <c r="V6" s="61">
        <f t="shared" si="1"/>
        <v>-7</v>
      </c>
      <c r="W6" s="62">
        <f t="shared" si="2"/>
        <v>-41</v>
      </c>
      <c r="Y6" s="8"/>
      <c r="Z6" s="41"/>
      <c r="AA6" s="32">
        <v>1</v>
      </c>
      <c r="AB6" s="32"/>
      <c r="AC6" s="32">
        <v>6</v>
      </c>
      <c r="AD6" s="36" t="s">
        <v>147</v>
      </c>
      <c r="AE6" s="47" t="s">
        <v>143</v>
      </c>
      <c r="AF6" s="48" t="s">
        <v>86</v>
      </c>
      <c r="AG6" s="48" t="s">
        <v>80</v>
      </c>
      <c r="AH6" s="48" t="s">
        <v>80</v>
      </c>
      <c r="AI6" s="48" t="s">
        <v>102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9"/>
        <v/>
      </c>
      <c r="C7" s="18" t="str">
        <f t="shared" si="4"/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06607969-E1C0-45C0-BADD-91EA1067F235}">
      <formula1>$U$2:$W$2</formula1>
    </dataValidation>
    <dataValidation type="list" showInputMessage="1" showErrorMessage="1" sqref="K4:K30 P4:P30 F4:F30" xr:uid="{0601C5B3-A03F-4E66-9477-E2D6CE39C7A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6D85F-4F42-4C6E-AF92-58F52D30E47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12000</v>
      </c>
      <c r="H4" s="9">
        <v>1000</v>
      </c>
      <c r="I4" s="55">
        <v>0</v>
      </c>
      <c r="J4" s="21">
        <f>IF(COUNTA($F4,$K4,$P4)&gt;0,J3+SUM(G4:I4),"")</f>
        <v>48000</v>
      </c>
      <c r="K4" s="8" t="s">
        <v>142</v>
      </c>
      <c r="L4" s="9">
        <v>-12000</v>
      </c>
      <c r="M4" s="9">
        <v>-1000</v>
      </c>
      <c r="N4" s="55">
        <v>0</v>
      </c>
      <c r="O4" s="21">
        <f>IF(COUNTA($F4,$K4,$P4)&gt;0,O3+SUM(L4:N4),"")</f>
        <v>22000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13</v>
      </c>
      <c r="V4" s="61">
        <f t="shared" ref="V4:V30" si="1">IF($O4="","",ROUND(($O4-$O$3)/1000,1))</f>
        <v>-13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7</v>
      </c>
      <c r="AD4" s="36" t="s">
        <v>147</v>
      </c>
      <c r="AE4" s="47" t="s">
        <v>143</v>
      </c>
      <c r="AF4" s="48" t="s">
        <v>80</v>
      </c>
      <c r="AG4" s="48" t="s">
        <v>81</v>
      </c>
      <c r="AH4" s="48" t="s">
        <v>82</v>
      </c>
      <c r="AI4" s="48" t="s">
        <v>87</v>
      </c>
      <c r="AJ4" s="48" t="s">
        <v>94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145</v>
      </c>
      <c r="G5" s="9">
        <v>-3300</v>
      </c>
      <c r="H5" s="9">
        <v>-1000</v>
      </c>
      <c r="I5" s="55">
        <v>0</v>
      </c>
      <c r="J5" s="21">
        <f t="shared" ref="J5:J30" si="6">IF(COUNTA($F5,$K5,$P5)&gt;0,J4+SUM(G5:I5),"")</f>
        <v>43700</v>
      </c>
      <c r="K5" s="8" t="s">
        <v>146</v>
      </c>
      <c r="L5" s="9">
        <v>5300</v>
      </c>
      <c r="M5" s="9">
        <v>1000</v>
      </c>
      <c r="N5" s="55">
        <v>0</v>
      </c>
      <c r="O5" s="21">
        <f t="shared" ref="O5:O30" si="7">IF(COUNTA($F5,$K5,$P5)&gt;0,O4+SUM(L5:N5),"")</f>
        <v>28300</v>
      </c>
      <c r="P5" s="8" t="s">
        <v>145</v>
      </c>
      <c r="Q5" s="9">
        <v>-2000</v>
      </c>
      <c r="R5" s="9"/>
      <c r="S5" s="55">
        <v>0</v>
      </c>
      <c r="T5" s="21">
        <f t="shared" ref="T5:T30" si="8">IF(COUNTA($F5,$K5,$P5)&gt;0,T4+SUM(Q5:S5),"")</f>
        <v>33000</v>
      </c>
      <c r="U5" s="60">
        <f t="shared" si="0"/>
        <v>8.6999999999999993</v>
      </c>
      <c r="V5" s="61">
        <f t="shared" si="1"/>
        <v>-6.7</v>
      </c>
      <c r="W5" s="62">
        <f t="shared" si="2"/>
        <v>-2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20</v>
      </c>
      <c r="AZ5" s="47" t="s">
        <v>143</v>
      </c>
      <c r="BA5" s="48" t="s">
        <v>83</v>
      </c>
      <c r="BB5" s="48" t="s">
        <v>84</v>
      </c>
      <c r="BC5" s="48" t="s">
        <v>81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151</v>
      </c>
      <c r="G6" s="9">
        <v>-1500</v>
      </c>
      <c r="H6" s="9"/>
      <c r="I6" s="55"/>
      <c r="J6" s="21">
        <f t="shared" si="6"/>
        <v>42200</v>
      </c>
      <c r="K6" s="8" t="s">
        <v>151</v>
      </c>
      <c r="L6" s="9">
        <v>3000</v>
      </c>
      <c r="M6" s="9">
        <v>-1000</v>
      </c>
      <c r="N6" s="55"/>
      <c r="O6" s="21">
        <f t="shared" si="7"/>
        <v>30300</v>
      </c>
      <c r="P6" s="8" t="s">
        <v>151</v>
      </c>
      <c r="Q6" s="9">
        <v>-1500</v>
      </c>
      <c r="R6" s="9"/>
      <c r="S6" s="55"/>
      <c r="T6" s="21">
        <f t="shared" si="8"/>
        <v>31500</v>
      </c>
      <c r="U6" s="60">
        <f t="shared" si="0"/>
        <v>7.2</v>
      </c>
      <c r="V6" s="61">
        <f t="shared" si="1"/>
        <v>-4.7</v>
      </c>
      <c r="W6" s="62">
        <f t="shared" si="2"/>
        <v>-3.5</v>
      </c>
      <c r="Y6" s="8" t="s">
        <v>149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148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149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1</v>
      </c>
      <c r="E7" s="4" t="s">
        <v>137</v>
      </c>
      <c r="F7" s="8" t="s">
        <v>151</v>
      </c>
      <c r="G7" s="9">
        <v>-1500</v>
      </c>
      <c r="H7" s="9"/>
      <c r="I7" s="55"/>
      <c r="J7" s="21">
        <f t="shared" si="6"/>
        <v>40700</v>
      </c>
      <c r="K7" s="8" t="s">
        <v>151</v>
      </c>
      <c r="L7" s="9">
        <v>3000</v>
      </c>
      <c r="M7" s="9">
        <v>-1000</v>
      </c>
      <c r="N7" s="55"/>
      <c r="O7" s="21">
        <f t="shared" si="7"/>
        <v>32300</v>
      </c>
      <c r="P7" s="8" t="s">
        <v>151</v>
      </c>
      <c r="Q7" s="9">
        <v>-1500</v>
      </c>
      <c r="R7" s="9"/>
      <c r="S7" s="55"/>
      <c r="T7" s="21">
        <f t="shared" si="8"/>
        <v>30000</v>
      </c>
      <c r="U7" s="60">
        <f t="shared" si="0"/>
        <v>5.7</v>
      </c>
      <c r="V7" s="61">
        <f t="shared" si="1"/>
        <v>-2.7</v>
      </c>
      <c r="W7" s="62">
        <f t="shared" si="2"/>
        <v>-5</v>
      </c>
      <c r="Y7" s="8" t="s">
        <v>149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148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149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2</v>
      </c>
      <c r="D8" s="18">
        <f t="shared" si="5"/>
        <v>2</v>
      </c>
      <c r="E8" s="4" t="s">
        <v>137</v>
      </c>
      <c r="F8" s="8" t="s">
        <v>145</v>
      </c>
      <c r="G8" s="9">
        <v>-9000</v>
      </c>
      <c r="H8" s="9"/>
      <c r="I8" s="55">
        <v>-1000</v>
      </c>
      <c r="J8" s="21">
        <f t="shared" si="6"/>
        <v>30700</v>
      </c>
      <c r="K8" s="8" t="s">
        <v>146</v>
      </c>
      <c r="L8" s="9">
        <v>18000</v>
      </c>
      <c r="M8" s="9">
        <v>2000</v>
      </c>
      <c r="N8" s="55">
        <v>2000</v>
      </c>
      <c r="O8" s="21">
        <f t="shared" si="7"/>
        <v>54300</v>
      </c>
      <c r="P8" s="8" t="s">
        <v>145</v>
      </c>
      <c r="Q8" s="9">
        <v>-9000</v>
      </c>
      <c r="R8" s="9"/>
      <c r="S8" s="55">
        <v>-1000</v>
      </c>
      <c r="T8" s="21">
        <f t="shared" si="8"/>
        <v>20000</v>
      </c>
      <c r="U8" s="60">
        <f t="shared" si="0"/>
        <v>-4.3</v>
      </c>
      <c r="V8" s="61">
        <f t="shared" si="1"/>
        <v>19.3</v>
      </c>
      <c r="W8" s="62">
        <f t="shared" si="2"/>
        <v>-15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147</v>
      </c>
      <c r="AZ8" s="47" t="s">
        <v>143</v>
      </c>
      <c r="BA8" s="48" t="s">
        <v>83</v>
      </c>
      <c r="BB8" s="48" t="s">
        <v>84</v>
      </c>
      <c r="BC8" s="48" t="s">
        <v>82</v>
      </c>
      <c r="BD8" s="48" t="s">
        <v>93</v>
      </c>
      <c r="BE8" s="48" t="s">
        <v>88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3</v>
      </c>
      <c r="D9" s="18">
        <f t="shared" si="5"/>
        <v>0</v>
      </c>
      <c r="E9" s="4" t="s">
        <v>137</v>
      </c>
      <c r="F9" s="8" t="s">
        <v>141</v>
      </c>
      <c r="G9" s="9">
        <v>1600</v>
      </c>
      <c r="H9" s="9">
        <v>1000</v>
      </c>
      <c r="I9" s="55">
        <v>3000</v>
      </c>
      <c r="J9" s="21">
        <f t="shared" si="6"/>
        <v>36300</v>
      </c>
      <c r="K9" s="8"/>
      <c r="L9" s="9"/>
      <c r="M9" s="9">
        <v>-1000</v>
      </c>
      <c r="N9" s="55"/>
      <c r="O9" s="21">
        <f t="shared" si="7"/>
        <v>53300</v>
      </c>
      <c r="P9" s="8" t="s">
        <v>142</v>
      </c>
      <c r="Q9" s="9">
        <v>-1600</v>
      </c>
      <c r="R9" s="9"/>
      <c r="S9" s="55">
        <v>-3000</v>
      </c>
      <c r="T9" s="21">
        <f t="shared" si="8"/>
        <v>15400</v>
      </c>
      <c r="U9" s="60">
        <f t="shared" si="0"/>
        <v>1.3</v>
      </c>
      <c r="V9" s="61">
        <f t="shared" si="1"/>
        <v>18.3</v>
      </c>
      <c r="W9" s="62">
        <f t="shared" si="2"/>
        <v>-19.600000000000001</v>
      </c>
      <c r="Y9" s="8"/>
      <c r="Z9" s="41"/>
      <c r="AA9" s="32"/>
      <c r="AB9" s="32"/>
      <c r="AC9" s="32">
        <v>2</v>
      </c>
      <c r="AD9" s="36">
        <v>25</v>
      </c>
      <c r="AE9" s="47" t="s">
        <v>102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151</v>
      </c>
      <c r="G10" s="9">
        <v>-3000</v>
      </c>
      <c r="H10" s="9"/>
      <c r="I10" s="55"/>
      <c r="J10" s="21">
        <f t="shared" si="6"/>
        <v>33300</v>
      </c>
      <c r="K10" s="8" t="s">
        <v>151</v>
      </c>
      <c r="L10" s="9">
        <v>1500</v>
      </c>
      <c r="M10" s="9">
        <v>-1000</v>
      </c>
      <c r="N10" s="55"/>
      <c r="O10" s="21">
        <f t="shared" si="7"/>
        <v>53800</v>
      </c>
      <c r="P10" s="8" t="s">
        <v>151</v>
      </c>
      <c r="Q10" s="9">
        <v>1500</v>
      </c>
      <c r="R10" s="9">
        <v>-1000</v>
      </c>
      <c r="S10" s="55"/>
      <c r="T10" s="21">
        <f t="shared" si="8"/>
        <v>15900</v>
      </c>
      <c r="U10" s="60">
        <f t="shared" si="0"/>
        <v>-1.7</v>
      </c>
      <c r="V10" s="61">
        <f t="shared" si="1"/>
        <v>18.8</v>
      </c>
      <c r="W10" s="62">
        <f t="shared" si="2"/>
        <v>-19.100000000000001</v>
      </c>
      <c r="Y10" s="8" t="s">
        <v>149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148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148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1</v>
      </c>
      <c r="D11" s="18">
        <f t="shared" si="5"/>
        <v>2</v>
      </c>
      <c r="E11" s="4" t="s">
        <v>139</v>
      </c>
      <c r="F11" s="8" t="s">
        <v>146</v>
      </c>
      <c r="G11" s="9">
        <v>8000</v>
      </c>
      <c r="H11" s="9">
        <v>2000</v>
      </c>
      <c r="I11" s="55">
        <v>1000</v>
      </c>
      <c r="J11" s="21">
        <f t="shared" si="6"/>
        <v>44300</v>
      </c>
      <c r="K11" s="8" t="s">
        <v>145</v>
      </c>
      <c r="L11" s="9">
        <v>-3000</v>
      </c>
      <c r="M11" s="9"/>
      <c r="N11" s="55">
        <v>-500</v>
      </c>
      <c r="O11" s="21">
        <f t="shared" si="7"/>
        <v>50300</v>
      </c>
      <c r="P11" s="8" t="s">
        <v>145</v>
      </c>
      <c r="Q11" s="9">
        <v>-5000</v>
      </c>
      <c r="R11" s="9"/>
      <c r="S11" s="55">
        <v>-500</v>
      </c>
      <c r="T11" s="21">
        <f t="shared" si="8"/>
        <v>10400</v>
      </c>
      <c r="U11" s="60">
        <f t="shared" si="0"/>
        <v>9.3000000000000007</v>
      </c>
      <c r="V11" s="61">
        <f t="shared" si="1"/>
        <v>15.3</v>
      </c>
      <c r="W11" s="62">
        <f t="shared" si="2"/>
        <v>-24.6</v>
      </c>
      <c r="Y11" s="8"/>
      <c r="Z11" s="41"/>
      <c r="AA11" s="32">
        <v>1</v>
      </c>
      <c r="AB11" s="32"/>
      <c r="AC11" s="32">
        <v>5</v>
      </c>
      <c r="AD11" s="36" t="s">
        <v>147</v>
      </c>
      <c r="AE11" s="47" t="s">
        <v>143</v>
      </c>
      <c r="AF11" s="48" t="s">
        <v>83</v>
      </c>
      <c r="AG11" s="48" t="s">
        <v>86</v>
      </c>
      <c r="AH11" s="48" t="s">
        <v>80</v>
      </c>
      <c r="AI11" s="48" t="s">
        <v>82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145</v>
      </c>
      <c r="G12" s="9">
        <v>-2500</v>
      </c>
      <c r="H12" s="9"/>
      <c r="I12" s="55">
        <v>0</v>
      </c>
      <c r="J12" s="21">
        <f t="shared" si="6"/>
        <v>41800</v>
      </c>
      <c r="K12" s="8" t="s">
        <v>146</v>
      </c>
      <c r="L12" s="9">
        <v>4000</v>
      </c>
      <c r="M12" s="9">
        <v>1000</v>
      </c>
      <c r="N12" s="55">
        <v>0</v>
      </c>
      <c r="O12" s="21">
        <f t="shared" si="7"/>
        <v>55300</v>
      </c>
      <c r="P12" s="8" t="s">
        <v>145</v>
      </c>
      <c r="Q12" s="9">
        <v>-1500</v>
      </c>
      <c r="R12" s="9">
        <v>-1000</v>
      </c>
      <c r="S12" s="55">
        <v>0</v>
      </c>
      <c r="T12" s="21">
        <f t="shared" si="8"/>
        <v>7900</v>
      </c>
      <c r="U12" s="60">
        <f t="shared" si="0"/>
        <v>6.8</v>
      </c>
      <c r="V12" s="61">
        <f t="shared" si="1"/>
        <v>20.3</v>
      </c>
      <c r="W12" s="62">
        <f t="shared" si="2"/>
        <v>-27.1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3</v>
      </c>
      <c r="AY12" s="36">
        <v>30</v>
      </c>
      <c r="AZ12" s="47" t="s">
        <v>82</v>
      </c>
      <c r="BA12" s="48" t="s">
        <v>105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137</v>
      </c>
      <c r="F13" s="8" t="s">
        <v>141</v>
      </c>
      <c r="G13" s="9">
        <v>16000</v>
      </c>
      <c r="H13" s="9"/>
      <c r="I13" s="55">
        <v>0</v>
      </c>
      <c r="J13" s="21">
        <f t="shared" si="6"/>
        <v>57800</v>
      </c>
      <c r="K13" s="8"/>
      <c r="L13" s="9"/>
      <c r="M13" s="9"/>
      <c r="N13" s="55"/>
      <c r="O13" s="21">
        <f t="shared" si="7"/>
        <v>55300</v>
      </c>
      <c r="P13" s="8" t="s">
        <v>142</v>
      </c>
      <c r="Q13" s="9">
        <v>-16000</v>
      </c>
      <c r="R13" s="9"/>
      <c r="S13" s="55">
        <v>0</v>
      </c>
      <c r="T13" s="21">
        <f t="shared" si="8"/>
        <v>-8100</v>
      </c>
      <c r="U13" s="60">
        <f t="shared" si="0"/>
        <v>22.8</v>
      </c>
      <c r="V13" s="61">
        <f t="shared" si="1"/>
        <v>20.3</v>
      </c>
      <c r="W13" s="62">
        <f t="shared" si="2"/>
        <v>-43.1</v>
      </c>
      <c r="Y13" s="8"/>
      <c r="Z13" s="41"/>
      <c r="AA13" s="32"/>
      <c r="AB13" s="32"/>
      <c r="AC13" s="32">
        <v>8</v>
      </c>
      <c r="AD13" s="36" t="s">
        <v>147</v>
      </c>
      <c r="AE13" s="47" t="s">
        <v>143</v>
      </c>
      <c r="AF13" s="48" t="s">
        <v>82</v>
      </c>
      <c r="AG13" s="48" t="s">
        <v>105</v>
      </c>
      <c r="AH13" s="48" t="s">
        <v>87</v>
      </c>
      <c r="AI13" s="48" t="s">
        <v>81</v>
      </c>
      <c r="AJ13" s="48" t="s">
        <v>81</v>
      </c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24DDA1DD-D391-4D8A-BCC9-4352763E2998}">
      <formula1>"ロン,ツモ,放銃,ツモ支払,流局,チョンボ"</formula1>
    </dataValidation>
    <dataValidation type="list" allowBlank="1" showInputMessage="1" showErrorMessage="1" sqref="E4:E30" xr:uid="{3387B508-0B3D-4668-9AE8-7C9275099BB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239D9-A87D-4DF9-93FB-FEAFA0AB41A8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8000</v>
      </c>
      <c r="H4" s="9">
        <v>1000</v>
      </c>
      <c r="I4" s="55">
        <v>0</v>
      </c>
      <c r="J4" s="21">
        <f>IF(COUNTA($F4,$K4,$P4)&gt;0,J3+SUM(G4:I4),"")</f>
        <v>44000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-8000</v>
      </c>
      <c r="R4" s="9">
        <v>-1000</v>
      </c>
      <c r="S4" s="55">
        <v>0</v>
      </c>
      <c r="T4" s="21">
        <f>IF(COUNTA($F4,$K4,$P4)&gt;0,T3+SUM(Q4:S4),"")</f>
        <v>26000</v>
      </c>
      <c r="U4" s="60">
        <f t="shared" ref="U4:U30" si="0">IF($J4="","",ROUND(($J4-$J$3)/1000,1))</f>
        <v>9</v>
      </c>
      <c r="V4" s="61">
        <f t="shared" ref="V4:V30" si="1">IF($O4="","",ROUND(($O4-$O$3)/1000,1))</f>
        <v>0</v>
      </c>
      <c r="W4" s="62">
        <f t="shared" ref="W4:W30" si="2">IF($T4="","",ROUND(($T4-$T$3)/1000,1))</f>
        <v>-9</v>
      </c>
      <c r="Y4" s="8"/>
      <c r="Z4" s="41"/>
      <c r="AA4" s="32">
        <v>1</v>
      </c>
      <c r="AB4" s="32"/>
      <c r="AC4" s="32">
        <v>5</v>
      </c>
      <c r="AD4" s="36" t="s">
        <v>147</v>
      </c>
      <c r="AE4" s="47" t="s">
        <v>143</v>
      </c>
      <c r="AF4" s="48" t="s">
        <v>144</v>
      </c>
      <c r="AG4" s="48" t="s">
        <v>82</v>
      </c>
      <c r="AH4" s="48" t="s">
        <v>82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142</v>
      </c>
      <c r="G5" s="9">
        <v>-12000</v>
      </c>
      <c r="H5" s="9"/>
      <c r="I5" s="55">
        <v>0</v>
      </c>
      <c r="J5" s="21">
        <f t="shared" ref="J5:J30" si="6">IF(COUNTA($F5,$K5,$P5)&gt;0,J4+SUM(G5:I5),"")</f>
        <v>32000</v>
      </c>
      <c r="K5" s="8"/>
      <c r="L5" s="9"/>
      <c r="M5" s="9"/>
      <c r="N5" s="55"/>
      <c r="O5" s="21">
        <f t="shared" ref="O5:O30" si="7">IF(COUNTA($F5,$K5,$P5)&gt;0,O4+SUM(L5:N5),"")</f>
        <v>35000</v>
      </c>
      <c r="P5" s="8" t="s">
        <v>141</v>
      </c>
      <c r="Q5" s="9">
        <v>12000</v>
      </c>
      <c r="R5" s="9"/>
      <c r="S5" s="55">
        <v>0</v>
      </c>
      <c r="T5" s="21">
        <f t="shared" ref="T5:T30" si="8">IF(COUNTA($F5,$K5,$P5)&gt;0,T4+SUM(Q5:S5),"")</f>
        <v>38000</v>
      </c>
      <c r="U5" s="60">
        <f t="shared" si="0"/>
        <v>-3</v>
      </c>
      <c r="V5" s="61">
        <f t="shared" si="1"/>
        <v>0</v>
      </c>
      <c r="W5" s="62">
        <f t="shared" si="2"/>
        <v>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5</v>
      </c>
      <c r="BT5" s="36" t="s">
        <v>147</v>
      </c>
      <c r="BU5" s="47" t="s">
        <v>87</v>
      </c>
      <c r="BV5" s="48" t="s">
        <v>82</v>
      </c>
      <c r="BW5" s="48" t="s">
        <v>82</v>
      </c>
      <c r="BX5" s="48" t="s">
        <v>105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 t="s">
        <v>142</v>
      </c>
      <c r="G6" s="9">
        <v>-12000</v>
      </c>
      <c r="H6" s="9"/>
      <c r="I6" s="55">
        <v>-1000</v>
      </c>
      <c r="J6" s="21">
        <f t="shared" si="6"/>
        <v>19000</v>
      </c>
      <c r="K6" s="8"/>
      <c r="L6" s="9"/>
      <c r="M6" s="9"/>
      <c r="N6" s="55"/>
      <c r="O6" s="21">
        <f t="shared" si="7"/>
        <v>35000</v>
      </c>
      <c r="P6" s="8" t="s">
        <v>141</v>
      </c>
      <c r="Q6" s="9">
        <v>12000</v>
      </c>
      <c r="R6" s="9"/>
      <c r="S6" s="55">
        <v>1000</v>
      </c>
      <c r="T6" s="21">
        <f t="shared" si="8"/>
        <v>51000</v>
      </c>
      <c r="U6" s="60">
        <f t="shared" si="0"/>
        <v>-16</v>
      </c>
      <c r="V6" s="61">
        <f t="shared" si="1"/>
        <v>0</v>
      </c>
      <c r="W6" s="62">
        <f t="shared" si="2"/>
        <v>16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147</v>
      </c>
      <c r="BU6" s="47" t="s">
        <v>143</v>
      </c>
      <c r="BV6" s="48" t="s">
        <v>84</v>
      </c>
      <c r="BW6" s="48" t="s">
        <v>82</v>
      </c>
      <c r="BX6" s="48" t="s">
        <v>80</v>
      </c>
      <c r="BY6" s="48" t="s">
        <v>81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139</v>
      </c>
      <c r="F7" s="8" t="s">
        <v>145</v>
      </c>
      <c r="G7" s="9">
        <v>-6000</v>
      </c>
      <c r="H7" s="9"/>
      <c r="I7" s="55">
        <v>-1000</v>
      </c>
      <c r="J7" s="21">
        <f t="shared" si="6"/>
        <v>12000</v>
      </c>
      <c r="K7" s="8" t="s">
        <v>146</v>
      </c>
      <c r="L7" s="9">
        <v>16000</v>
      </c>
      <c r="M7" s="9"/>
      <c r="N7" s="55">
        <v>2000</v>
      </c>
      <c r="O7" s="21">
        <f t="shared" si="7"/>
        <v>53000</v>
      </c>
      <c r="P7" s="8" t="s">
        <v>145</v>
      </c>
      <c r="Q7" s="9">
        <v>-10000</v>
      </c>
      <c r="R7" s="9"/>
      <c r="S7" s="55">
        <v>-1000</v>
      </c>
      <c r="T7" s="21">
        <f t="shared" si="8"/>
        <v>40000</v>
      </c>
      <c r="U7" s="60">
        <f t="shared" si="0"/>
        <v>-23</v>
      </c>
      <c r="V7" s="61">
        <f t="shared" si="1"/>
        <v>18</v>
      </c>
      <c r="W7" s="62">
        <f t="shared" si="2"/>
        <v>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9</v>
      </c>
      <c r="AY7" s="36" t="s">
        <v>147</v>
      </c>
      <c r="AZ7" s="47" t="s">
        <v>143</v>
      </c>
      <c r="BA7" s="48" t="s">
        <v>83</v>
      </c>
      <c r="BB7" s="48" t="s">
        <v>105</v>
      </c>
      <c r="BC7" s="48" t="s">
        <v>82</v>
      </c>
      <c r="BD7" s="48" t="s">
        <v>82</v>
      </c>
      <c r="BE7" s="48" t="s">
        <v>82</v>
      </c>
      <c r="BF7" s="48" t="s">
        <v>80</v>
      </c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145</v>
      </c>
      <c r="G8" s="9">
        <v>-5000</v>
      </c>
      <c r="H8" s="9"/>
      <c r="I8" s="55">
        <v>0</v>
      </c>
      <c r="J8" s="21">
        <f t="shared" si="6"/>
        <v>7000</v>
      </c>
      <c r="K8" s="8" t="s">
        <v>145</v>
      </c>
      <c r="L8" s="9">
        <v>-3000</v>
      </c>
      <c r="M8" s="9"/>
      <c r="N8" s="55">
        <v>0</v>
      </c>
      <c r="O8" s="21">
        <f t="shared" si="7"/>
        <v>50000</v>
      </c>
      <c r="P8" s="8" t="s">
        <v>146</v>
      </c>
      <c r="Q8" s="9">
        <v>8000</v>
      </c>
      <c r="R8" s="9"/>
      <c r="S8" s="55">
        <v>0</v>
      </c>
      <c r="T8" s="21">
        <f t="shared" si="8"/>
        <v>48000</v>
      </c>
      <c r="U8" s="60">
        <f t="shared" si="0"/>
        <v>-28</v>
      </c>
      <c r="V8" s="61">
        <f t="shared" si="1"/>
        <v>15</v>
      </c>
      <c r="W8" s="62">
        <f t="shared" si="2"/>
        <v>13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5</v>
      </c>
      <c r="BT8" s="36" t="s">
        <v>147</v>
      </c>
      <c r="BU8" s="47" t="s">
        <v>101</v>
      </c>
      <c r="BV8" s="48" t="s">
        <v>102</v>
      </c>
      <c r="BW8" s="48" t="s">
        <v>82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137</v>
      </c>
      <c r="F9" s="8"/>
      <c r="G9" s="9"/>
      <c r="H9" s="9">
        <v>-1000</v>
      </c>
      <c r="I9" s="55"/>
      <c r="J9" s="21">
        <f t="shared" si="6"/>
        <v>6000</v>
      </c>
      <c r="K9" s="8" t="s">
        <v>142</v>
      </c>
      <c r="L9" s="9">
        <v>-12000</v>
      </c>
      <c r="M9" s="9"/>
      <c r="N9" s="55">
        <v>0</v>
      </c>
      <c r="O9" s="21">
        <f t="shared" si="7"/>
        <v>38000</v>
      </c>
      <c r="P9" s="8" t="s">
        <v>141</v>
      </c>
      <c r="Q9" s="9">
        <v>12000</v>
      </c>
      <c r="R9" s="9">
        <v>1000</v>
      </c>
      <c r="S9" s="55">
        <v>0</v>
      </c>
      <c r="T9" s="21">
        <f t="shared" si="8"/>
        <v>61000</v>
      </c>
      <c r="U9" s="60">
        <f t="shared" si="0"/>
        <v>-29</v>
      </c>
      <c r="V9" s="61">
        <f t="shared" si="1"/>
        <v>3</v>
      </c>
      <c r="W9" s="62">
        <f t="shared" si="2"/>
        <v>26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143</v>
      </c>
      <c r="BV9" s="48" t="s">
        <v>87</v>
      </c>
      <c r="BW9" s="48" t="s">
        <v>87</v>
      </c>
      <c r="BX9" s="48" t="s">
        <v>80</v>
      </c>
      <c r="BY9" s="48" t="s">
        <v>80</v>
      </c>
      <c r="BZ9" s="48" t="s">
        <v>80</v>
      </c>
      <c r="CA9" s="48" t="s">
        <v>82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141</v>
      </c>
      <c r="G10" s="9">
        <v>16000</v>
      </c>
      <c r="H10" s="9">
        <v>1000</v>
      </c>
      <c r="I10" s="55">
        <v>0</v>
      </c>
      <c r="J10" s="21">
        <f t="shared" si="6"/>
        <v>23000</v>
      </c>
      <c r="K10" s="8"/>
      <c r="L10" s="9"/>
      <c r="M10" s="9"/>
      <c r="N10" s="55"/>
      <c r="O10" s="21">
        <f t="shared" si="7"/>
        <v>38000</v>
      </c>
      <c r="P10" s="8" t="s">
        <v>142</v>
      </c>
      <c r="Q10" s="9">
        <v>-16000</v>
      </c>
      <c r="R10" s="9">
        <v>-1000</v>
      </c>
      <c r="S10" s="55">
        <v>0</v>
      </c>
      <c r="T10" s="21">
        <f t="shared" si="8"/>
        <v>44000</v>
      </c>
      <c r="U10" s="60">
        <f t="shared" si="0"/>
        <v>-12</v>
      </c>
      <c r="V10" s="61">
        <f t="shared" si="1"/>
        <v>3</v>
      </c>
      <c r="W10" s="62">
        <f t="shared" si="2"/>
        <v>9</v>
      </c>
      <c r="Y10" s="8"/>
      <c r="Z10" s="41"/>
      <c r="AA10" s="32">
        <v>1</v>
      </c>
      <c r="AB10" s="32"/>
      <c r="AC10" s="32">
        <v>8</v>
      </c>
      <c r="AD10" s="36" t="s">
        <v>147</v>
      </c>
      <c r="AE10" s="47" t="s">
        <v>143</v>
      </c>
      <c r="AF10" s="48" t="s">
        <v>144</v>
      </c>
      <c r="AG10" s="48" t="s">
        <v>82</v>
      </c>
      <c r="AH10" s="48" t="s">
        <v>80</v>
      </c>
      <c r="AI10" s="48" t="s">
        <v>80</v>
      </c>
      <c r="AJ10" s="48" t="s">
        <v>80</v>
      </c>
      <c r="AK10" s="48" t="s">
        <v>87</v>
      </c>
      <c r="AL10" s="48" t="s">
        <v>81</v>
      </c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146</v>
      </c>
      <c r="G11" s="9">
        <v>18000</v>
      </c>
      <c r="H11" s="9"/>
      <c r="I11" s="55">
        <v>0</v>
      </c>
      <c r="J11" s="21">
        <f t="shared" si="6"/>
        <v>41000</v>
      </c>
      <c r="K11" s="8" t="s">
        <v>145</v>
      </c>
      <c r="L11" s="9">
        <v>-9000</v>
      </c>
      <c r="M11" s="9"/>
      <c r="N11" s="55">
        <v>0</v>
      </c>
      <c r="O11" s="21">
        <f t="shared" si="7"/>
        <v>29000</v>
      </c>
      <c r="P11" s="8" t="s">
        <v>145</v>
      </c>
      <c r="Q11" s="9">
        <v>-9000</v>
      </c>
      <c r="R11" s="9"/>
      <c r="S11" s="55">
        <v>0</v>
      </c>
      <c r="T11" s="21">
        <f t="shared" si="8"/>
        <v>35000</v>
      </c>
      <c r="U11" s="60">
        <f t="shared" si="0"/>
        <v>6</v>
      </c>
      <c r="V11" s="61">
        <f t="shared" si="1"/>
        <v>-6</v>
      </c>
      <c r="W11" s="62">
        <f t="shared" si="2"/>
        <v>0</v>
      </c>
      <c r="Y11" s="8"/>
      <c r="Z11" s="41"/>
      <c r="AA11" s="32">
        <v>1</v>
      </c>
      <c r="AB11" s="32"/>
      <c r="AC11" s="32">
        <v>7</v>
      </c>
      <c r="AD11" s="36" t="s">
        <v>147</v>
      </c>
      <c r="AE11" s="47" t="s">
        <v>143</v>
      </c>
      <c r="AF11" s="48" t="s">
        <v>83</v>
      </c>
      <c r="AG11" s="48" t="s">
        <v>144</v>
      </c>
      <c r="AH11" s="48" t="s">
        <v>93</v>
      </c>
      <c r="AI11" s="48" t="s">
        <v>87</v>
      </c>
      <c r="AJ11" s="48" t="s">
        <v>82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3C70C423-CC60-4EA0-B249-09026BF298B0}">
      <formula1>$U$2:$W$2</formula1>
    </dataValidation>
    <dataValidation type="list" showInputMessage="1" showErrorMessage="1" sqref="K4:K30 P4:P30 F4:F30" xr:uid="{2389DA1A-3F79-4F83-9034-32F9E36E0FD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2019-02-03T15:18:03Z</dcterms:modified>
</cp:coreProperties>
</file>