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B10F6B23-C2CB-4315-8F76-B9F454F3805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8" r:id="rId3"/>
    <sheet name="Sheet4" sheetId="19" r:id="rId4"/>
    <sheet name="Sheet5" sheetId="20" r:id="rId5"/>
    <sheet name="Sheet6" sheetId="21" r:id="rId6"/>
    <sheet name="Sheet7" sheetId="22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 s="1"/>
  <c r="T10" i="22"/>
  <c r="W10" i="22" s="1"/>
  <c r="O10" i="22"/>
  <c r="V10" i="22" s="1"/>
  <c r="J10" i="22"/>
  <c r="U10" i="22" s="1"/>
  <c r="D10" i="22"/>
  <c r="C10" i="22"/>
  <c r="B10" i="22"/>
  <c r="A10" i="22" s="1"/>
  <c r="T9" i="22"/>
  <c r="W9" i="22" s="1"/>
  <c r="O9" i="22"/>
  <c r="V9" i="22" s="1"/>
  <c r="J9" i="22"/>
  <c r="U9" i="22" s="1"/>
  <c r="D9" i="22"/>
  <c r="C9" i="22"/>
  <c r="B9" i="22"/>
  <c r="A9" i="22" s="1"/>
  <c r="T8" i="22"/>
  <c r="W8" i="22" s="1"/>
  <c r="O8" i="22"/>
  <c r="V8" i="22" s="1"/>
  <c r="J8" i="22"/>
  <c r="U8" i="22" s="1"/>
  <c r="D8" i="22"/>
  <c r="C8" i="22"/>
  <c r="B8" i="22"/>
  <c r="A8" i="22" s="1"/>
  <c r="T7" i="22"/>
  <c r="W7" i="22" s="1"/>
  <c r="O7" i="22"/>
  <c r="V7" i="22" s="1"/>
  <c r="J7" i="22"/>
  <c r="U7" i="22" s="1"/>
  <c r="D7" i="22"/>
  <c r="C7" i="22"/>
  <c r="B7" i="22"/>
  <c r="A7" i="22"/>
  <c r="D6" i="22"/>
  <c r="C6" i="22"/>
  <c r="O5" i="22"/>
  <c r="O6" i="22" s="1"/>
  <c r="V6" i="22" s="1"/>
  <c r="J5" i="22"/>
  <c r="U5" i="22" s="1"/>
  <c r="D5" i="22"/>
  <c r="C5" i="22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D9" i="21"/>
  <c r="D8" i="21"/>
  <c r="C8" i="21"/>
  <c r="C9" i="21" s="1"/>
  <c r="C10" i="21" s="1"/>
  <c r="D7" i="21"/>
  <c r="C7" i="21"/>
  <c r="D6" i="21"/>
  <c r="C6" i="21"/>
  <c r="O5" i="21"/>
  <c r="O6" i="21" s="1"/>
  <c r="J5" i="21"/>
  <c r="U5" i="21" s="1"/>
  <c r="D5" i="21"/>
  <c r="C5" i="21"/>
  <c r="B5" i="21"/>
  <c r="B6" i="21" s="1"/>
  <c r="A5" i="2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D11" i="20"/>
  <c r="D10" i="20"/>
  <c r="C10" i="20"/>
  <c r="C11" i="20" s="1"/>
  <c r="C12" i="20" s="1"/>
  <c r="D8" i="20"/>
  <c r="D9" i="20" s="1"/>
  <c r="C8" i="20"/>
  <c r="C9" i="20" s="1"/>
  <c r="D7" i="20"/>
  <c r="C7" i="20"/>
  <c r="D6" i="20"/>
  <c r="C6" i="20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D10" i="19"/>
  <c r="C10" i="19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 s="1"/>
  <c r="T10" i="18"/>
  <c r="W10" i="18" s="1"/>
  <c r="O10" i="18"/>
  <c r="V10" i="18" s="1"/>
  <c r="J10" i="18"/>
  <c r="U10" i="18" s="1"/>
  <c r="D10" i="18"/>
  <c r="C10" i="18"/>
  <c r="B10" i="18"/>
  <c r="A10" i="18"/>
  <c r="T9" i="18"/>
  <c r="W9" i="18" s="1"/>
  <c r="O9" i="18"/>
  <c r="V9" i="18" s="1"/>
  <c r="J9" i="18"/>
  <c r="U9" i="18" s="1"/>
  <c r="D9" i="18"/>
  <c r="C9" i="18"/>
  <c r="B9" i="18"/>
  <c r="A9" i="18" s="1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22" l="1"/>
  <c r="V5" i="22"/>
  <c r="T5" i="22"/>
  <c r="A6" i="22"/>
  <c r="J6" i="22"/>
  <c r="U6" i="22" s="1"/>
  <c r="V5" i="21"/>
  <c r="B7" i="21"/>
  <c r="A7" i="21" s="1"/>
  <c r="O7" i="21"/>
  <c r="V6" i="21"/>
  <c r="T5" i="21"/>
  <c r="A6" i="21"/>
  <c r="J6" i="21"/>
  <c r="V5" i="20"/>
  <c r="B7" i="20"/>
  <c r="V6" i="20"/>
  <c r="O7" i="20"/>
  <c r="T5" i="20"/>
  <c r="A6" i="20"/>
  <c r="J6" i="20"/>
  <c r="A5" i="19"/>
  <c r="V5" i="19"/>
  <c r="V6" i="19"/>
  <c r="O7" i="19"/>
  <c r="B7" i="19"/>
  <c r="T5" i="19"/>
  <c r="A6" i="19"/>
  <c r="J6" i="19"/>
  <c r="V5" i="18"/>
  <c r="B7" i="18"/>
  <c r="O7" i="18"/>
  <c r="V6" i="18"/>
  <c r="T5" i="18"/>
  <c r="A6" i="18"/>
  <c r="J6" i="18"/>
  <c r="W5" i="22" l="1"/>
  <c r="T6" i="22"/>
  <c r="W6" i="22" s="1"/>
  <c r="U6" i="21"/>
  <c r="J7" i="21"/>
  <c r="O8" i="21"/>
  <c r="V7" i="21"/>
  <c r="W5" i="21"/>
  <c r="T6" i="21"/>
  <c r="B8" i="21"/>
  <c r="A8" i="21"/>
  <c r="A7" i="20"/>
  <c r="O8" i="20"/>
  <c r="V7" i="20"/>
  <c r="J7" i="20"/>
  <c r="U6" i="20"/>
  <c r="W5" i="20"/>
  <c r="T6" i="20"/>
  <c r="B8" i="20"/>
  <c r="A8" i="20" s="1"/>
  <c r="A7" i="19"/>
  <c r="O8" i="19"/>
  <c r="V7" i="19"/>
  <c r="W5" i="19"/>
  <c r="T6" i="19"/>
  <c r="U6" i="19"/>
  <c r="J7" i="19"/>
  <c r="B8" i="19"/>
  <c r="A8" i="19" s="1"/>
  <c r="A7" i="18"/>
  <c r="U6" i="18"/>
  <c r="J7" i="18"/>
  <c r="O8" i="18"/>
  <c r="V8" i="18" s="1"/>
  <c r="V7" i="18"/>
  <c r="B8" i="18"/>
  <c r="A8" i="18" s="1"/>
  <c r="T6" i="18"/>
  <c r="W5" i="18"/>
  <c r="B9" i="21" l="1"/>
  <c r="A9" i="21" s="1"/>
  <c r="V8" i="21"/>
  <c r="O9" i="21"/>
  <c r="W6" i="21"/>
  <c r="T7" i="21"/>
  <c r="U7" i="21"/>
  <c r="J8" i="21"/>
  <c r="W6" i="20"/>
  <c r="T7" i="20"/>
  <c r="B9" i="20"/>
  <c r="A9" i="20" s="1"/>
  <c r="U7" i="20"/>
  <c r="J8" i="20"/>
  <c r="V8" i="20"/>
  <c r="O9" i="20"/>
  <c r="B9" i="19"/>
  <c r="A9" i="19" s="1"/>
  <c r="U7" i="19"/>
  <c r="J8" i="19"/>
  <c r="W6" i="19"/>
  <c r="T7" i="19"/>
  <c r="O9" i="19"/>
  <c r="V8" i="19"/>
  <c r="W6" i="18"/>
  <c r="T7" i="18"/>
  <c r="U7" i="18"/>
  <c r="J8" i="18"/>
  <c r="U8" i="18" s="1"/>
  <c r="O10" i="21" l="1"/>
  <c r="V10" i="21" s="1"/>
  <c r="V9" i="21"/>
  <c r="W7" i="21"/>
  <c r="T8" i="21"/>
  <c r="U8" i="21"/>
  <c r="J9" i="21"/>
  <c r="B10" i="21"/>
  <c r="A10" i="21"/>
  <c r="O10" i="20"/>
  <c r="V9" i="20"/>
  <c r="U8" i="20"/>
  <c r="J9" i="20"/>
  <c r="B10" i="20"/>
  <c r="A10" i="20" s="1"/>
  <c r="T8" i="20"/>
  <c r="W7" i="20"/>
  <c r="U8" i="19"/>
  <c r="J9" i="19"/>
  <c r="O10" i="19"/>
  <c r="V10" i="19" s="1"/>
  <c r="V9" i="19"/>
  <c r="W7" i="19"/>
  <c r="T8" i="19"/>
  <c r="B10" i="19"/>
  <c r="A10" i="19" s="1"/>
  <c r="W7" i="18"/>
  <c r="T8" i="18"/>
  <c r="W8" i="18" s="1"/>
  <c r="W8" i="21" l="1"/>
  <c r="T9" i="21"/>
  <c r="U9" i="21"/>
  <c r="J10" i="21"/>
  <c r="U10" i="21" s="1"/>
  <c r="U9" i="20"/>
  <c r="J10" i="20"/>
  <c r="W8" i="20"/>
  <c r="T9" i="20"/>
  <c r="B11" i="20"/>
  <c r="A11" i="20" s="1"/>
  <c r="V10" i="20"/>
  <c r="O11" i="20"/>
  <c r="W8" i="19"/>
  <c r="T9" i="19"/>
  <c r="U9" i="19"/>
  <c r="J10" i="19"/>
  <c r="U10" i="19" s="1"/>
  <c r="W9" i="21" l="1"/>
  <c r="T10" i="21"/>
  <c r="W10" i="21" s="1"/>
  <c r="T10" i="20"/>
  <c r="W9" i="20"/>
  <c r="O12" i="20"/>
  <c r="V11" i="20"/>
  <c r="B12" i="20"/>
  <c r="A12" i="20" s="1"/>
  <c r="J11" i="20"/>
  <c r="U10" i="20"/>
  <c r="W9" i="19"/>
  <c r="T10" i="19"/>
  <c r="W10" i="19" s="1"/>
  <c r="O13" i="20" l="1"/>
  <c r="V13" i="20" s="1"/>
  <c r="V12" i="20"/>
  <c r="U11" i="20"/>
  <c r="J12" i="20"/>
  <c r="B13" i="20"/>
  <c r="A13" i="20" s="1"/>
  <c r="W10" i="20"/>
  <c r="T11" i="20"/>
  <c r="T12" i="20" l="1"/>
  <c r="W11" i="20"/>
  <c r="U12" i="20"/>
  <c r="J13" i="20"/>
  <c r="U13" i="20" s="1"/>
  <c r="W12" i="20" l="1"/>
  <c r="T13" i="20"/>
  <c r="W13" i="20" s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6" l="1"/>
  <c r="B7" i="16"/>
  <c r="V6" i="16"/>
  <c r="O7" i="16"/>
  <c r="T5" i="16"/>
  <c r="A6" i="16"/>
  <c r="J6" i="16"/>
  <c r="A7" i="16" l="1"/>
  <c r="T6" i="16"/>
  <c r="W5" i="16"/>
  <c r="B8" i="16"/>
  <c r="A8" i="16" s="1"/>
  <c r="O8" i="16"/>
  <c r="V7" i="16"/>
  <c r="J7" i="16"/>
  <c r="U6" i="16"/>
  <c r="B9" i="16" l="1"/>
  <c r="A9" i="16" s="1"/>
  <c r="U7" i="16"/>
  <c r="J8" i="16"/>
  <c r="V8" i="16"/>
  <c r="O9" i="16"/>
  <c r="W6" i="16"/>
  <c r="T7" i="16"/>
  <c r="W7" i="16" l="1"/>
  <c r="T8" i="16"/>
  <c r="U8" i="16"/>
  <c r="J9" i="16"/>
  <c r="O10" i="16"/>
  <c r="V9" i="16"/>
  <c r="B10" i="16"/>
  <c r="A10" i="16" s="1"/>
  <c r="U9" i="16" l="1"/>
  <c r="J10" i="16"/>
  <c r="B11" i="16"/>
  <c r="A11" i="16" s="1"/>
  <c r="W8" i="16"/>
  <c r="T9" i="16"/>
  <c r="V10" i="16"/>
  <c r="O11" i="16"/>
  <c r="V11" i="16" s="1"/>
  <c r="T10" i="16" l="1"/>
  <c r="W9" i="16"/>
  <c r="J11" i="16"/>
  <c r="U11" i="16" s="1"/>
  <c r="U10" i="16"/>
  <c r="W10" i="16" l="1"/>
  <c r="T11" i="16"/>
  <c r="W11" i="16" s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U9" i="1" l="1"/>
  <c r="V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<sst xmlns="http://schemas.openxmlformats.org/spreadsheetml/2006/main" count="1146" uniqueCount="154">
  <si>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</si>
  <si>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</si>
  <si>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</si>
  <si>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</si>
  <si>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</si>
  <si>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</si>
  <si>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</si>
  <si>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</si>
  <si>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</si>
  <si>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</si>
  <si>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</si>
  <si>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</si>
  <si>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</si>
  <si>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</si>
  <si>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</si>
  <si>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</si>
  <si>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</si>
  <si>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</si>
  <si>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</si>
  <si>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</si>
  <si>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</si>
  <si>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</si>
  <si>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</si>
  <si>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</si>
  <si>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</si>
  <si>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</si>
  <si>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</si>
  <si>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</si>
  <si>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</si>
  <si>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</si>
  <si>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</si>
  <si>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</si>
  <si>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</si>
  <si>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</si>
  <si>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</si>
  <si>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</si>
  <si>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</si>
  <si>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</si>
  <si>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</si>
  <si>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</si>
  <si>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</si>
  <si>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</si>
  <si>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</si>
  <si>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</si>
  <si>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</si>
  <si>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</si>
  <si>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</si>
  <si>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</si>
  <si>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</si>
  <si>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</si>
  <si>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</si>
  <si>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</si>
  <si>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</si>
  <si>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</si>
  <si>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</si>
  <si>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</si>
  <si>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</si>
  <si>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</si>
  <si>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</si>
  <si>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</si>
  <si>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</si>
  <si>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</si>
  <si>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</si>
  <si>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</si>
  <si>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</si>
  <si>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</si>
  <si>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</si>
  <si>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</si>
  <si>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</si>
  <si>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</si>
  <si>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</si>
  <si>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</si>
  <si>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</si>
  <si>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</si>
  <si>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</si>
  <si>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</si>
  <si>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</si>
  <si>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</si>
  <si>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</si>
  <si>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</si>
  <si>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</si>
  <si>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</si>
  <si>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</si>
  <si>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</si>
  <si>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</si>
  <si>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</si>
  <si>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</si>
  <si>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</si>
  <si>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</si>
  <si>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</si>
  <si>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</si>
  <si>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</si>
  <si>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</si>
  <si>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</si>
  <si>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</si>
  <si>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</si>
  <si>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</si>
  <si>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</si>
  <si>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</si>
  <si>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</si>
  <si>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</si>
  <si>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</si>
  <si>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</si>
  <si>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</si>
  <si>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</si>
  <si>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</si>
  <si>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</si>
  <si>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</si>
  <si>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</si>
  <si>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</si>
  <si>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</si>
  <si>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</si>
  <si>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</si>
  <si>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</si>
  <si>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</si>
  <si>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</si>
  <si>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</si>
  <si>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</si>
  <si>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</si>
  <si>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</si>
  <si>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</si>
  <si>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</si>
  <si>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</si>
  <si>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</si>
  <si>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</si>
  <si>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</si>
  <si>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</si>
  <si>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</si>
  <si>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</si>
  <si>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</si>
  <si>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</si>
  <si>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</si>
  <si>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</si>
  <si>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</si>
  <si>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</si>
  <si>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</si>
  <si>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</si>
  <si>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</si>
  <si>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</si>
  <si>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</si>
  <si>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</si>
  <si>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</si>
  <si>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</si>
  <si>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</si>
  <si>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</si>
  <si>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02</t>
  </si>
  <si>
    <t>ロン</t>
  </si>
  <si>
    <t>放銃</t>
  </si>
  <si>
    <t>N</t>
  </si>
  <si>
    <t>T</t>
  </si>
  <si>
    <t>流局</t>
    <phoneticPr fontId="1"/>
  </si>
  <si>
    <t>流局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</si>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</sst>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142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142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>
        <v>1</v>
      </c>
      <c r="AB4" s="32"/>
      <c r="AC4" s="32">
        <v>5</v>
      </c>
      <c r="AD4" s="36" t="s">
        <v>143</v>
      </c>
      <c r="AE4" s="47" t="s">
        <v>144</v>
      </c>
      <c r="AF4" s="48" t="s">
        <v>83</v>
      </c>
      <c r="AG4" s="48" t="s">
        <v>145</v>
      </c>
      <c r="AH4" s="48" t="s">
        <v>102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5">IF(COUNTA($F5,$K5,$P5)&gt;0,J4+SUM(G5:I5),"")</f>
        <v>43000</v>
      </c>
      <c r="K5" s="8" t="s">
        <v>146</v>
      </c>
      <c r="L5" s="9">
        <v>2000</v>
      </c>
      <c r="M5" s="9"/>
      <c r="N5" s="55">
        <v>0</v>
      </c>
      <c r="O5" s="21">
        <f t="shared" ref="O5:O30" si="6">IF(COUNTA($F5,$K5,$P5)&gt;0,O4+SUM(L5:N5),"")</f>
        <v>32000</v>
      </c>
      <c r="P5" s="8" t="s">
        <v>147</v>
      </c>
      <c r="Q5" s="9">
        <v>-2000</v>
      </c>
      <c r="R5" s="9"/>
      <c r="S5" s="55">
        <v>0</v>
      </c>
      <c r="T5" s="21">
        <f t="shared" ref="T5:T30" si="7">IF(COUNTA($F5,$K5,$P5)&gt;0,T4+SUM(Q5:S5),"")</f>
        <v>30000</v>
      </c>
      <c r="U5" s="60">
        <f t="shared" si="0"/>
        <v>8</v>
      </c>
      <c r="V5" s="61">
        <f t="shared" si="1"/>
        <v>-3</v>
      </c>
      <c r="W5" s="62">
        <f t="shared" si="2"/>
        <v>-5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80</v>
      </c>
      <c r="BA5" s="48" t="s">
        <v>87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142</v>
      </c>
      <c r="G6" s="9">
        <v>-2500</v>
      </c>
      <c r="H6" s="9"/>
      <c r="I6" s="55">
        <v>0</v>
      </c>
      <c r="J6" s="21">
        <f t="shared" si="5"/>
        <v>40500</v>
      </c>
      <c r="K6" s="8" t="s">
        <v>141</v>
      </c>
      <c r="L6" s="9">
        <v>4000</v>
      </c>
      <c r="M6" s="9"/>
      <c r="N6" s="55">
        <v>0</v>
      </c>
      <c r="O6" s="21">
        <f t="shared" si="6"/>
        <v>36000</v>
      </c>
      <c r="P6" s="8" t="s">
        <v>142</v>
      </c>
      <c r="Q6" s="9">
        <v>-1500</v>
      </c>
      <c r="R6" s="9"/>
      <c r="S6" s="55">
        <v>0</v>
      </c>
      <c r="T6" s="21">
        <f t="shared" si="7"/>
        <v>28500</v>
      </c>
      <c r="U6" s="60">
        <f t="shared" si="0"/>
        <v>5.5</v>
      </c>
      <c r="V6" s="61">
        <f t="shared" si="1"/>
        <v>1</v>
      </c>
      <c r="W6" s="62">
        <f t="shared" si="2"/>
        <v>-6.5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144</v>
      </c>
      <c r="BA6" s="48" t="s">
        <v>83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142</v>
      </c>
      <c r="G7" s="9">
        <v>-6000</v>
      </c>
      <c r="H7" s="9"/>
      <c r="I7" s="55">
        <v>0</v>
      </c>
      <c r="J7" s="21">
        <f t="shared" si="5"/>
        <v>34500</v>
      </c>
      <c r="K7" s="8" t="s">
        <v>141</v>
      </c>
      <c r="L7" s="9">
        <v>12000</v>
      </c>
      <c r="M7" s="9"/>
      <c r="N7" s="55">
        <v>0</v>
      </c>
      <c r="O7" s="21">
        <f t="shared" si="6"/>
        <v>48000</v>
      </c>
      <c r="P7" s="8" t="s">
        <v>142</v>
      </c>
      <c r="Q7" s="9">
        <v>-6000</v>
      </c>
      <c r="R7" s="9"/>
      <c r="S7" s="55">
        <v>0</v>
      </c>
      <c r="T7" s="21">
        <f t="shared" si="7"/>
        <v>22500</v>
      </c>
      <c r="U7" s="60">
        <f t="shared" si="0"/>
        <v>-0.5</v>
      </c>
      <c r="V7" s="61">
        <f t="shared" si="1"/>
        <v>13</v>
      </c>
      <c r="W7" s="62">
        <f t="shared" si="2"/>
        <v>-12.5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30</v>
      </c>
      <c r="AZ7" s="47" t="s">
        <v>144</v>
      </c>
      <c r="BA7" s="48" t="s">
        <v>83</v>
      </c>
      <c r="BB7" s="48" t="s">
        <v>82</v>
      </c>
      <c r="BC7" s="48" t="s">
        <v>81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146</v>
      </c>
      <c r="G8" s="9">
        <v>12000</v>
      </c>
      <c r="H8" s="9">
        <v>1000</v>
      </c>
      <c r="I8" s="55">
        <v>1000</v>
      </c>
      <c r="J8" s="21">
        <f t="shared" si="5"/>
        <v>48500</v>
      </c>
      <c r="K8" s="8"/>
      <c r="L8" s="9"/>
      <c r="M8" s="9"/>
      <c r="N8" s="55"/>
      <c r="O8" s="21">
        <f t="shared" si="6"/>
        <v>48000</v>
      </c>
      <c r="P8" s="8" t="s">
        <v>147</v>
      </c>
      <c r="Q8" s="9">
        <v>-12000</v>
      </c>
      <c r="R8" s="9">
        <v>-1000</v>
      </c>
      <c r="S8" s="55">
        <v>-1000</v>
      </c>
      <c r="T8" s="21">
        <f t="shared" si="7"/>
        <v>8500</v>
      </c>
      <c r="U8" s="60">
        <f t="shared" si="0"/>
        <v>13.5</v>
      </c>
      <c r="V8" s="61">
        <f t="shared" si="1"/>
        <v>13</v>
      </c>
      <c r="W8" s="62">
        <f t="shared" si="2"/>
        <v>-26.5</v>
      </c>
      <c r="Y8" s="8"/>
      <c r="Z8" s="41"/>
      <c r="AA8" s="32"/>
      <c r="AB8" s="32">
        <v>1</v>
      </c>
      <c r="AC8" s="32">
        <v>6</v>
      </c>
      <c r="AD8" s="36" t="s">
        <v>143</v>
      </c>
      <c r="AE8" s="47" t="s">
        <v>105</v>
      </c>
      <c r="AF8" s="48" t="s">
        <v>87</v>
      </c>
      <c r="AG8" s="48" t="s">
        <v>80</v>
      </c>
      <c r="AH8" s="48" t="s">
        <v>80</v>
      </c>
      <c r="AI8" s="48" t="s">
        <v>80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139</v>
      </c>
      <c r="F9" s="8"/>
      <c r="G9" s="9"/>
      <c r="H9" s="9"/>
      <c r="I9" s="55"/>
      <c r="J9" s="21">
        <f t="shared" si="5"/>
        <v>48500</v>
      </c>
      <c r="K9" s="8" t="s">
        <v>147</v>
      </c>
      <c r="L9" s="9">
        <v>-36000</v>
      </c>
      <c r="M9" s="9"/>
      <c r="N9" s="55">
        <v>0</v>
      </c>
      <c r="O9" s="21">
        <f t="shared" si="6"/>
        <v>12000</v>
      </c>
      <c r="P9" s="8" t="s">
        <v>146</v>
      </c>
      <c r="Q9" s="9">
        <v>36000</v>
      </c>
      <c r="R9" s="9"/>
      <c r="S9" s="55">
        <v>0</v>
      </c>
      <c r="T9" s="21">
        <f t="shared" si="7"/>
        <v>44500</v>
      </c>
      <c r="U9" s="60">
        <f t="shared" si="0"/>
        <v>13.5</v>
      </c>
      <c r="V9" s="61">
        <f t="shared" si="1"/>
        <v>-23</v>
      </c>
      <c r="W9" s="62">
        <f t="shared" si="2"/>
        <v>9.5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12</v>
      </c>
      <c r="BT9" s="36" t="s">
        <v>143</v>
      </c>
      <c r="BU9" s="47" t="s">
        <v>107</v>
      </c>
      <c r="BV9" s="48" t="s">
        <v>82</v>
      </c>
      <c r="BW9" s="48" t="s">
        <v>82</v>
      </c>
      <c r="BX9" s="48" t="s">
        <v>80</v>
      </c>
      <c r="BY9" s="48" t="s">
        <v>80</v>
      </c>
      <c r="BZ9" s="48" t="s">
        <v>80</v>
      </c>
      <c r="CA9" s="48" t="s">
        <v>85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">
        <v>139</v>
      </c>
      <c r="F10" s="8" t="s">
        <v>146</v>
      </c>
      <c r="G10" s="9">
        <v>5200</v>
      </c>
      <c r="H10" s="9"/>
      <c r="I10" s="55">
        <v>1000</v>
      </c>
      <c r="J10" s="21">
        <f t="shared" si="5"/>
        <v>54700</v>
      </c>
      <c r="K10" s="8" t="s">
        <v>147</v>
      </c>
      <c r="L10" s="9">
        <v>-5200</v>
      </c>
      <c r="M10" s="9"/>
      <c r="N10" s="55">
        <v>-1000</v>
      </c>
      <c r="O10" s="21">
        <f t="shared" si="6"/>
        <v>5800</v>
      </c>
      <c r="P10" s="8"/>
      <c r="Q10" s="9"/>
      <c r="R10" s="9"/>
      <c r="S10" s="55"/>
      <c r="T10" s="21">
        <f t="shared" si="7"/>
        <v>44500</v>
      </c>
      <c r="U10" s="60">
        <f t="shared" si="0"/>
        <v>19.7</v>
      </c>
      <c r="V10" s="61">
        <f t="shared" si="1"/>
        <v>-29.2</v>
      </c>
      <c r="W10" s="62">
        <f t="shared" si="2"/>
        <v>9.5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144</v>
      </c>
      <c r="AF10" s="48" t="s">
        <v>80</v>
      </c>
      <c r="AG10" s="48" t="s">
        <v>82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150</v>
      </c>
      <c r="G11" s="9">
        <v>-1500</v>
      </c>
      <c r="H11" s="9"/>
      <c r="I11" s="55"/>
      <c r="J11" s="21">
        <f t="shared" si="5"/>
        <v>53200</v>
      </c>
      <c r="K11" s="8" t="s">
        <v>150</v>
      </c>
      <c r="L11" s="9">
        <v>-1500</v>
      </c>
      <c r="M11" s="9"/>
      <c r="N11" s="55"/>
      <c r="O11" s="21">
        <f t="shared" si="6"/>
        <v>4300</v>
      </c>
      <c r="P11" s="8" t="s">
        <v>150</v>
      </c>
      <c r="Q11" s="9">
        <v>3000</v>
      </c>
      <c r="R11" s="9"/>
      <c r="S11" s="55"/>
      <c r="T11" s="21">
        <f t="shared" si="7"/>
        <v>47500</v>
      </c>
      <c r="U11" s="60">
        <f t="shared" si="0"/>
        <v>18.2</v>
      </c>
      <c r="V11" s="61">
        <f t="shared" si="1"/>
        <v>-30.7</v>
      </c>
      <c r="W11" s="62">
        <f t="shared" si="2"/>
        <v>12.5</v>
      </c>
      <c r="Y11" s="8" t="s">
        <v>148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148</v>
      </c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149</v>
      </c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56E2-4046-48FA-B1EC-9E4CAA2CCFA3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147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8</v>
      </c>
      <c r="V4" s="61">
        <f t="shared" ref="V4:V30" si="1">IF($O4="","",ROUND(($O4-$O$3)/1000,1))</f>
        <v>-8</v>
      </c>
      <c r="W4" s="62">
        <f t="shared" ref="W4:W30" si="2">IF($T4="","",ROUND(($T4-$T$3)/1000,1))</f>
        <v>0</v>
      </c>
      <c r="Y4" s="8"/>
      <c r="Z4" s="41"/>
      <c r="AA4" s="32"/>
      <c r="AB4" s="32"/>
      <c r="AC4" s="32">
        <v>4</v>
      </c>
      <c r="AD4" s="36">
        <v>40</v>
      </c>
      <c r="AE4" s="47" t="s">
        <v>105</v>
      </c>
      <c r="AF4" s="48" t="s">
        <v>85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151</v>
      </c>
      <c r="G5" s="9">
        <v>-3000</v>
      </c>
      <c r="H5" s="9"/>
      <c r="I5" s="55"/>
      <c r="J5" s="21">
        <f t="shared" ref="J5:J30" si="5">IF(COUNTA($F5,$K5,$P5)&gt;0,J4+SUM(G5:I5),"")</f>
        <v>40000</v>
      </c>
      <c r="K5" s="8" t="s">
        <v>151</v>
      </c>
      <c r="L5" s="9">
        <v>1500</v>
      </c>
      <c r="M5" s="9">
        <v>-1000</v>
      </c>
      <c r="N5" s="55"/>
      <c r="O5" s="21">
        <f t="shared" ref="O5:O30" si="6">IF(COUNTA($F5,$K5,$P5)&gt;0,O4+SUM(L5:N5),"")</f>
        <v>27500</v>
      </c>
      <c r="P5" s="8" t="s">
        <v>151</v>
      </c>
      <c r="Q5" s="9">
        <v>1500</v>
      </c>
      <c r="R5" s="9"/>
      <c r="S5" s="55"/>
      <c r="T5" s="21">
        <f t="shared" ref="T5:T30" si="7">IF(COUNTA($F5,$K5,$P5)&gt;0,T4+SUM(Q5:S5),"")</f>
        <v>36500</v>
      </c>
      <c r="U5" s="60">
        <f t="shared" si="0"/>
        <v>5</v>
      </c>
      <c r="V5" s="61">
        <f t="shared" si="1"/>
        <v>-7.5</v>
      </c>
      <c r="W5" s="62">
        <f t="shared" si="2"/>
        <v>1.5</v>
      </c>
      <c r="Y5" s="8" t="s">
        <v>148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149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149</v>
      </c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">
        <v>137</v>
      </c>
      <c r="F6" s="8" t="s">
        <v>142</v>
      </c>
      <c r="G6" s="9">
        <v>-6000</v>
      </c>
      <c r="H6" s="9"/>
      <c r="I6" s="55">
        <v>-500</v>
      </c>
      <c r="J6" s="21">
        <f t="shared" si="5"/>
        <v>33500</v>
      </c>
      <c r="K6" s="8" t="s">
        <v>142</v>
      </c>
      <c r="L6" s="9">
        <v>-10000</v>
      </c>
      <c r="M6" s="9">
        <v>-1000</v>
      </c>
      <c r="N6" s="55">
        <v>-500</v>
      </c>
      <c r="O6" s="21">
        <f t="shared" si="6"/>
        <v>16000</v>
      </c>
      <c r="P6" s="8" t="s">
        <v>141</v>
      </c>
      <c r="Q6" s="9">
        <v>16000</v>
      </c>
      <c r="R6" s="9">
        <v>2000</v>
      </c>
      <c r="S6" s="55">
        <v>1000</v>
      </c>
      <c r="T6" s="21">
        <f t="shared" si="7"/>
        <v>55500</v>
      </c>
      <c r="U6" s="60">
        <f t="shared" si="0"/>
        <v>-1.5</v>
      </c>
      <c r="V6" s="61">
        <f t="shared" si="1"/>
        <v>-19</v>
      </c>
      <c r="W6" s="62">
        <f t="shared" si="2"/>
        <v>20.5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9</v>
      </c>
      <c r="BT6" s="36" t="s">
        <v>143</v>
      </c>
      <c r="BU6" s="47" t="s">
        <v>83</v>
      </c>
      <c r="BV6" s="48" t="s">
        <v>88</v>
      </c>
      <c r="BW6" s="48" t="s">
        <v>84</v>
      </c>
      <c r="BX6" s="48" t="s">
        <v>85</v>
      </c>
      <c r="BY6" s="48" t="s">
        <v>86</v>
      </c>
      <c r="BZ6" s="48" t="s">
        <v>82</v>
      </c>
      <c r="CA6" s="48" t="s">
        <v>82</v>
      </c>
      <c r="CB6" s="48" t="s">
        <v>81</v>
      </c>
      <c r="CC6" s="48" t="s">
        <v>81</v>
      </c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141</v>
      </c>
      <c r="G7" s="9">
        <v>5300</v>
      </c>
      <c r="H7" s="9">
        <v>1000</v>
      </c>
      <c r="I7" s="55">
        <v>0</v>
      </c>
      <c r="J7" s="21">
        <f t="shared" si="5"/>
        <v>39800</v>
      </c>
      <c r="K7" s="8" t="s">
        <v>142</v>
      </c>
      <c r="L7" s="9">
        <v>-2000</v>
      </c>
      <c r="M7" s="9">
        <v>-1000</v>
      </c>
      <c r="N7" s="55">
        <v>0</v>
      </c>
      <c r="O7" s="21">
        <f t="shared" si="6"/>
        <v>13000</v>
      </c>
      <c r="P7" s="8" t="s">
        <v>142</v>
      </c>
      <c r="Q7" s="9">
        <v>-3300</v>
      </c>
      <c r="R7" s="9"/>
      <c r="S7" s="55">
        <v>0</v>
      </c>
      <c r="T7" s="21">
        <f t="shared" si="7"/>
        <v>52200</v>
      </c>
      <c r="U7" s="60">
        <f t="shared" si="0"/>
        <v>4.8</v>
      </c>
      <c r="V7" s="61">
        <f t="shared" si="1"/>
        <v>-22</v>
      </c>
      <c r="W7" s="62">
        <f t="shared" si="2"/>
        <v>17.2</v>
      </c>
      <c r="Y7" s="8"/>
      <c r="Z7" s="41"/>
      <c r="AA7" s="32">
        <v>1</v>
      </c>
      <c r="AB7" s="32"/>
      <c r="AC7" s="32">
        <v>4</v>
      </c>
      <c r="AD7" s="36">
        <v>20</v>
      </c>
      <c r="AE7" s="47" t="s">
        <v>144</v>
      </c>
      <c r="AF7" s="48" t="s">
        <v>83</v>
      </c>
      <c r="AG7" s="48" t="s">
        <v>84</v>
      </c>
      <c r="AH7" s="48" t="s">
        <v>85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146</v>
      </c>
      <c r="G8" s="9">
        <v>18000</v>
      </c>
      <c r="H8" s="9"/>
      <c r="I8" s="55">
        <v>0</v>
      </c>
      <c r="J8" s="21">
        <f t="shared" si="5"/>
        <v>57800</v>
      </c>
      <c r="K8" s="8" t="s">
        <v>147</v>
      </c>
      <c r="L8" s="9">
        <v>-18000</v>
      </c>
      <c r="M8" s="9"/>
      <c r="N8" s="55">
        <v>0</v>
      </c>
      <c r="O8" s="21">
        <f t="shared" si="6"/>
        <v>-5000</v>
      </c>
      <c r="P8" s="8"/>
      <c r="Q8" s="9"/>
      <c r="R8" s="9"/>
      <c r="S8" s="55"/>
      <c r="T8" s="21">
        <f t="shared" si="7"/>
        <v>52200</v>
      </c>
      <c r="U8" s="60">
        <f t="shared" si="0"/>
        <v>22.8</v>
      </c>
      <c r="V8" s="61">
        <f t="shared" si="1"/>
        <v>-40</v>
      </c>
      <c r="W8" s="62">
        <f t="shared" si="2"/>
        <v>17.2</v>
      </c>
      <c r="Y8" s="8"/>
      <c r="Z8" s="41"/>
      <c r="AA8" s="32">
        <v>1</v>
      </c>
      <c r="AB8" s="32"/>
      <c r="AC8" s="32">
        <v>6</v>
      </c>
      <c r="AD8" s="36" t="s">
        <v>143</v>
      </c>
      <c r="AE8" s="47" t="s">
        <v>144</v>
      </c>
      <c r="AF8" s="48" t="s">
        <v>145</v>
      </c>
      <c r="AG8" s="48" t="s">
        <v>84</v>
      </c>
      <c r="AH8" s="48" t="s">
        <v>86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5B161C8F-90D8-4E9D-9F2B-AEAEC828D05F}">
      <formula1>$U$2:$W$2</formula1>
    </dataValidation>
    <dataValidation type="list" showInputMessage="1" showErrorMessage="1" sqref="K4:K30 P4:P30 F4:F30" xr:uid="{11CB9584-35B7-493D-A56E-875C5196DD9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32222-E663-493F-8366-0A99705DA03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151</v>
      </c>
      <c r="G4" s="9">
        <v>1500</v>
      </c>
      <c r="H4" s="9"/>
      <c r="I4" s="55"/>
      <c r="J4" s="21">
        <f>IF(COUNTA($F4,$K4,$P4)&gt;0,J3+SUM(G4:I4),"")</f>
        <v>36500</v>
      </c>
      <c r="K4" s="8" t="s">
        <v>151</v>
      </c>
      <c r="L4" s="9">
        <v>-3000</v>
      </c>
      <c r="M4" s="9"/>
      <c r="N4" s="55"/>
      <c r="O4" s="21">
        <f>IF(COUNTA($F4,$K4,$P4)&gt;0,O3+SUM(L4:N4),"")</f>
        <v>32000</v>
      </c>
      <c r="P4" s="8" t="s">
        <v>151</v>
      </c>
      <c r="Q4" s="9">
        <v>1500</v>
      </c>
      <c r="R4" s="9"/>
      <c r="S4" s="55"/>
      <c r="T4" s="21">
        <f>IF(COUNTA($F4,$K4,$P4)&gt;0,T3+SUM(Q4:S4),"")</f>
        <v>36500</v>
      </c>
      <c r="U4" s="60">
        <f t="shared" ref="U4:U30" si="0">IF($J4="","",ROUND(($J4-$J$3)/1000,1))</f>
        <v>1.5</v>
      </c>
      <c r="V4" s="61">
        <f t="shared" ref="V4:V30" si="1">IF($O4="","",ROUND(($O4-$O$3)/1000,1))</f>
        <v>-3</v>
      </c>
      <c r="W4" s="62">
        <f t="shared" ref="W4:W30" si="2">IF($T4="","",ROUND(($T4-$T$3)/1000,1))</f>
        <v>1.5</v>
      </c>
      <c r="Y4" s="8" t="s">
        <v>149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148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141</v>
      </c>
      <c r="G5" s="9">
        <v>8000</v>
      </c>
      <c r="H5" s="9">
        <v>2000</v>
      </c>
      <c r="I5" s="55">
        <v>1000</v>
      </c>
      <c r="J5" s="21">
        <f t="shared" ref="J5:J30" si="5">IF(COUNTA($F5,$K5,$P5)&gt;0,J4+SUM(G5:I5),"")</f>
        <v>47500</v>
      </c>
      <c r="K5" s="8" t="s">
        <v>142</v>
      </c>
      <c r="L5" s="9">
        <v>-3000</v>
      </c>
      <c r="M5" s="9">
        <v>-1000</v>
      </c>
      <c r="N5" s="55">
        <v>-500</v>
      </c>
      <c r="O5" s="21">
        <f t="shared" ref="O5:O30" si="6">IF(COUNTA($F5,$K5,$P5)&gt;0,O4+SUM(L5:N5),"")</f>
        <v>27500</v>
      </c>
      <c r="P5" s="8" t="s">
        <v>142</v>
      </c>
      <c r="Q5" s="9">
        <v>-5000</v>
      </c>
      <c r="R5" s="9">
        <v>-1000</v>
      </c>
      <c r="S5" s="55">
        <v>-500</v>
      </c>
      <c r="T5" s="21">
        <f t="shared" ref="T5:T30" si="7">IF(COUNTA($F5,$K5,$P5)&gt;0,T4+SUM(Q5:S5),"")</f>
        <v>30000</v>
      </c>
      <c r="U5" s="60">
        <f t="shared" si="0"/>
        <v>12.5</v>
      </c>
      <c r="V5" s="61">
        <f t="shared" si="1"/>
        <v>-7.5</v>
      </c>
      <c r="W5" s="62">
        <f t="shared" si="2"/>
        <v>-5</v>
      </c>
      <c r="Y5" s="8"/>
      <c r="Z5" s="41"/>
      <c r="AA5" s="32">
        <v>1</v>
      </c>
      <c r="AB5" s="32"/>
      <c r="AC5" s="32">
        <v>5</v>
      </c>
      <c r="AD5" s="36" t="s">
        <v>143</v>
      </c>
      <c r="AE5" s="47" t="s">
        <v>144</v>
      </c>
      <c r="AF5" s="48" t="s">
        <v>86</v>
      </c>
      <c r="AG5" s="48" t="s">
        <v>84</v>
      </c>
      <c r="AH5" s="48" t="s">
        <v>83</v>
      </c>
      <c r="AI5" s="48" t="s">
        <v>85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147</v>
      </c>
      <c r="G6" s="9">
        <v>-8000</v>
      </c>
      <c r="H6" s="9"/>
      <c r="I6" s="55">
        <v>0</v>
      </c>
      <c r="J6" s="21">
        <f t="shared" si="5"/>
        <v>39500</v>
      </c>
      <c r="K6" s="8" t="s">
        <v>146</v>
      </c>
      <c r="L6" s="9">
        <v>8000</v>
      </c>
      <c r="M6" s="9">
        <v>1000</v>
      </c>
      <c r="N6" s="55">
        <v>0</v>
      </c>
      <c r="O6" s="21">
        <f t="shared" si="6"/>
        <v>36500</v>
      </c>
      <c r="P6" s="8"/>
      <c r="Q6" s="9"/>
      <c r="R6" s="9">
        <v>-1000</v>
      </c>
      <c r="S6" s="55"/>
      <c r="T6" s="21">
        <f t="shared" si="7"/>
        <v>29000</v>
      </c>
      <c r="U6" s="60">
        <f t="shared" si="0"/>
        <v>4.5</v>
      </c>
      <c r="V6" s="61">
        <f t="shared" si="1"/>
        <v>1.5</v>
      </c>
      <c r="W6" s="62">
        <f t="shared" si="2"/>
        <v>-6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144</v>
      </c>
      <c r="BA6" s="48" t="s">
        <v>84</v>
      </c>
      <c r="BB6" s="48" t="s">
        <v>80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146</v>
      </c>
      <c r="G7" s="9">
        <v>2600</v>
      </c>
      <c r="H7" s="9"/>
      <c r="I7" s="55">
        <v>0</v>
      </c>
      <c r="J7" s="21">
        <f t="shared" si="5"/>
        <v>42100</v>
      </c>
      <c r="K7" s="8"/>
      <c r="L7" s="9"/>
      <c r="M7" s="9"/>
      <c r="N7" s="55"/>
      <c r="O7" s="21">
        <f t="shared" si="6"/>
        <v>36500</v>
      </c>
      <c r="P7" s="8" t="s">
        <v>147</v>
      </c>
      <c r="Q7" s="9">
        <v>-2600</v>
      </c>
      <c r="R7" s="9"/>
      <c r="S7" s="55">
        <v>0</v>
      </c>
      <c r="T7" s="21">
        <f t="shared" si="7"/>
        <v>26400</v>
      </c>
      <c r="U7" s="60">
        <f t="shared" si="0"/>
        <v>7.1</v>
      </c>
      <c r="V7" s="61">
        <f t="shared" si="1"/>
        <v>1.5</v>
      </c>
      <c r="W7" s="62">
        <f t="shared" si="2"/>
        <v>-8.6</v>
      </c>
      <c r="Y7" s="8"/>
      <c r="Z7" s="41"/>
      <c r="AA7" s="32">
        <v>1</v>
      </c>
      <c r="AB7" s="32"/>
      <c r="AC7" s="32">
        <v>2</v>
      </c>
      <c r="AD7" s="36">
        <v>40</v>
      </c>
      <c r="AE7" s="47" t="s">
        <v>144</v>
      </c>
      <c r="AF7" s="48" t="s">
        <v>86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142</v>
      </c>
      <c r="G8" s="9">
        <v>-3000</v>
      </c>
      <c r="H8" s="9"/>
      <c r="I8" s="55">
        <v>0</v>
      </c>
      <c r="J8" s="21">
        <f t="shared" si="5"/>
        <v>39100</v>
      </c>
      <c r="K8" s="8" t="s">
        <v>141</v>
      </c>
      <c r="L8" s="9">
        <v>8000</v>
      </c>
      <c r="M8" s="9"/>
      <c r="N8" s="55">
        <v>0</v>
      </c>
      <c r="O8" s="21">
        <f t="shared" si="6"/>
        <v>44500</v>
      </c>
      <c r="P8" s="8" t="s">
        <v>142</v>
      </c>
      <c r="Q8" s="9">
        <v>-5000</v>
      </c>
      <c r="R8" s="9"/>
      <c r="S8" s="55">
        <v>0</v>
      </c>
      <c r="T8" s="21">
        <f t="shared" si="7"/>
        <v>21400</v>
      </c>
      <c r="U8" s="60">
        <f t="shared" si="0"/>
        <v>4.0999999999999996</v>
      </c>
      <c r="V8" s="61">
        <f t="shared" si="1"/>
        <v>9.5</v>
      </c>
      <c r="W8" s="62">
        <f t="shared" si="2"/>
        <v>-13.6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144</v>
      </c>
      <c r="BA8" s="48" t="s">
        <v>83</v>
      </c>
      <c r="BB8" s="48" t="s">
        <v>94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147</v>
      </c>
      <c r="G9" s="9">
        <v>-12000</v>
      </c>
      <c r="H9" s="9">
        <v>-1000</v>
      </c>
      <c r="I9" s="55">
        <v>0</v>
      </c>
      <c r="J9" s="21">
        <f t="shared" si="5"/>
        <v>26100</v>
      </c>
      <c r="K9" s="8" t="s">
        <v>146</v>
      </c>
      <c r="L9" s="9">
        <v>12000</v>
      </c>
      <c r="M9" s="9">
        <v>2000</v>
      </c>
      <c r="N9" s="55">
        <v>0</v>
      </c>
      <c r="O9" s="21">
        <f t="shared" si="6"/>
        <v>58500</v>
      </c>
      <c r="P9" s="8"/>
      <c r="Q9" s="9"/>
      <c r="R9" s="9">
        <v>-1000</v>
      </c>
      <c r="S9" s="55"/>
      <c r="T9" s="21">
        <f t="shared" si="7"/>
        <v>20400</v>
      </c>
      <c r="U9" s="60">
        <f t="shared" si="0"/>
        <v>-8.9</v>
      </c>
      <c r="V9" s="61">
        <f t="shared" si="1"/>
        <v>23.5</v>
      </c>
      <c r="W9" s="62">
        <f t="shared" si="2"/>
        <v>-14.6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144</v>
      </c>
      <c r="BA9" s="48" t="s">
        <v>84</v>
      </c>
      <c r="BB9" s="48" t="s">
        <v>80</v>
      </c>
      <c r="BC9" s="48" t="s">
        <v>80</v>
      </c>
      <c r="BD9" s="48" t="s">
        <v>81</v>
      </c>
      <c r="BE9" s="48" t="s">
        <v>82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146</v>
      </c>
      <c r="G10" s="9">
        <v>16000</v>
      </c>
      <c r="H10" s="9">
        <v>1000</v>
      </c>
      <c r="I10" s="55">
        <v>0</v>
      </c>
      <c r="J10" s="21">
        <f t="shared" si="5"/>
        <v>43100</v>
      </c>
      <c r="K10" s="8"/>
      <c r="L10" s="9"/>
      <c r="M10" s="9">
        <v>-1000</v>
      </c>
      <c r="N10" s="55"/>
      <c r="O10" s="21">
        <f t="shared" si="6"/>
        <v>57500</v>
      </c>
      <c r="P10" s="8" t="s">
        <v>147</v>
      </c>
      <c r="Q10" s="9">
        <v>-16000</v>
      </c>
      <c r="R10" s="9"/>
      <c r="S10" s="55">
        <v>0</v>
      </c>
      <c r="T10" s="21">
        <f t="shared" si="7"/>
        <v>4400</v>
      </c>
      <c r="U10" s="60">
        <f t="shared" si="0"/>
        <v>8.1</v>
      </c>
      <c r="V10" s="61">
        <f t="shared" si="1"/>
        <v>22.5</v>
      </c>
      <c r="W10" s="62">
        <f t="shared" si="2"/>
        <v>-30.6</v>
      </c>
      <c r="Y10" s="8"/>
      <c r="Z10" s="41"/>
      <c r="AA10" s="32">
        <v>1</v>
      </c>
      <c r="AB10" s="32"/>
      <c r="AC10" s="32">
        <v>8</v>
      </c>
      <c r="AD10" s="36" t="s">
        <v>143</v>
      </c>
      <c r="AE10" s="47" t="s">
        <v>144</v>
      </c>
      <c r="AF10" s="48" t="s">
        <v>145</v>
      </c>
      <c r="AG10" s="48" t="s">
        <v>82</v>
      </c>
      <c r="AH10" s="48" t="s">
        <v>80</v>
      </c>
      <c r="AI10" s="48" t="s">
        <v>80</v>
      </c>
      <c r="AJ10" s="48" t="s">
        <v>80</v>
      </c>
      <c r="AK10" s="48" t="s">
        <v>97</v>
      </c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88BC41C7-00E2-4B5A-ABC1-8D054BAA4B5A}">
      <formula1>"ロン,ツモ,放銃,ツモ支払,流局,チョンボ"</formula1>
    </dataValidation>
    <dataValidation type="list" allowBlank="1" showInputMessage="1" showErrorMessage="1" sqref="E4:E30" xr:uid="{78E80CF2-B1B3-4FDB-9C7F-2B7EC72765C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41CB2-BA0B-4CA5-A5D7-3A8DFF5B1F2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れんたろう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-12000</v>
      </c>
      <c r="H4" s="9">
        <v>-1000</v>
      </c>
      <c r="I4" s="55">
        <v>0</v>
      </c>
      <c r="J4" s="21">
        <f>IF(COUNTA($F4,$K4,$P4)&gt;0,J3+SUM(G4:I4),"")</f>
        <v>22000</v>
      </c>
      <c r="K4" s="8" t="s">
        <v>142</v>
      </c>
      <c r="L4" s="9">
        <v>-12000</v>
      </c>
      <c r="M4" s="9">
        <v>-1000</v>
      </c>
      <c r="N4" s="55">
        <v>0</v>
      </c>
      <c r="O4" s="21">
        <f>IF(COUNTA($F4,$K4,$P4)&gt;0,O3+SUM(L4:N4),"")</f>
        <v>22000</v>
      </c>
      <c r="P4" s="8" t="s">
        <v>141</v>
      </c>
      <c r="Q4" s="9">
        <v>24000</v>
      </c>
      <c r="R4" s="9">
        <v>2000</v>
      </c>
      <c r="S4" s="55">
        <v>0</v>
      </c>
      <c r="T4" s="21">
        <f>IF(COUNTA($F4,$K4,$P4)&gt;0,T3+SUM(Q4:S4),"")</f>
        <v>61000</v>
      </c>
      <c r="U4" s="60">
        <f t="shared" ref="U4:U30" si="0">IF($J4="","",ROUND(($J4-$J$3)/1000,1))</f>
        <v>-13</v>
      </c>
      <c r="V4" s="61">
        <f t="shared" ref="V4:V30" si="1">IF($O4="","",ROUND(($O4-$O$3)/1000,1))</f>
        <v>-13</v>
      </c>
      <c r="W4" s="62">
        <f t="shared" ref="W4:W30" si="2">IF($T4="","",ROUND(($T4-$T$3)/1000,1))</f>
        <v>26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10</v>
      </c>
      <c r="BT4" s="36" t="s">
        <v>143</v>
      </c>
      <c r="BU4" s="47" t="s">
        <v>144</v>
      </c>
      <c r="BV4" s="48" t="s">
        <v>83</v>
      </c>
      <c r="BW4" s="48" t="s">
        <v>105</v>
      </c>
      <c r="BX4" s="48" t="s">
        <v>87</v>
      </c>
      <c r="BY4" s="48" t="s">
        <v>87</v>
      </c>
      <c r="BZ4" s="48" t="s">
        <v>81</v>
      </c>
      <c r="CA4" s="48" t="s">
        <v>81</v>
      </c>
      <c r="CB4" s="48" t="s">
        <v>81</v>
      </c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142</v>
      </c>
      <c r="G5" s="9">
        <v>-2000</v>
      </c>
      <c r="H5" s="9">
        <v>-1000</v>
      </c>
      <c r="I5" s="55">
        <v>-500</v>
      </c>
      <c r="J5" s="21">
        <f t="shared" ref="J5:J30" si="5">IF(COUNTA($F5,$K5,$P5)&gt;0,J4+SUM(G5:I5),"")</f>
        <v>18500</v>
      </c>
      <c r="K5" s="8" t="s">
        <v>141</v>
      </c>
      <c r="L5" s="9">
        <v>5300</v>
      </c>
      <c r="M5" s="9">
        <v>1000</v>
      </c>
      <c r="N5" s="55">
        <v>1000</v>
      </c>
      <c r="O5" s="21">
        <f t="shared" ref="O5:O30" si="6">IF(COUNTA($F5,$K5,$P5)&gt;0,O4+SUM(L5:N5),"")</f>
        <v>29300</v>
      </c>
      <c r="P5" s="8" t="s">
        <v>142</v>
      </c>
      <c r="Q5" s="9">
        <v>-3300</v>
      </c>
      <c r="R5" s="9"/>
      <c r="S5" s="55">
        <v>-500</v>
      </c>
      <c r="T5" s="21">
        <f t="shared" ref="T5:T30" si="7">IF(COUNTA($F5,$K5,$P5)&gt;0,T4+SUM(Q5:S5),"")</f>
        <v>57200</v>
      </c>
      <c r="U5" s="60">
        <f t="shared" si="0"/>
        <v>-16.5</v>
      </c>
      <c r="V5" s="61">
        <f t="shared" si="1"/>
        <v>-5.7</v>
      </c>
      <c r="W5" s="62">
        <f t="shared" si="2"/>
        <v>22.2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20</v>
      </c>
      <c r="AZ5" s="47" t="s">
        <v>144</v>
      </c>
      <c r="BA5" s="48" t="s">
        <v>83</v>
      </c>
      <c r="BB5" s="48" t="s">
        <v>145</v>
      </c>
      <c r="BC5" s="48" t="s">
        <v>84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18500</v>
      </c>
      <c r="K6" s="8" t="s">
        <v>146</v>
      </c>
      <c r="L6" s="9">
        <v>12000</v>
      </c>
      <c r="M6" s="9">
        <v>1000</v>
      </c>
      <c r="N6" s="55">
        <v>0</v>
      </c>
      <c r="O6" s="21">
        <f t="shared" si="6"/>
        <v>42300</v>
      </c>
      <c r="P6" s="8" t="s">
        <v>147</v>
      </c>
      <c r="Q6" s="9">
        <v>-12000</v>
      </c>
      <c r="R6" s="9">
        <v>-1000</v>
      </c>
      <c r="S6" s="55">
        <v>0</v>
      </c>
      <c r="T6" s="21">
        <f t="shared" si="7"/>
        <v>44200</v>
      </c>
      <c r="U6" s="60">
        <f t="shared" si="0"/>
        <v>-16.5</v>
      </c>
      <c r="V6" s="61">
        <f t="shared" si="1"/>
        <v>7.3</v>
      </c>
      <c r="W6" s="62">
        <f t="shared" si="2"/>
        <v>9.1999999999999993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143</v>
      </c>
      <c r="AZ6" s="47" t="s">
        <v>144</v>
      </c>
      <c r="BA6" s="48" t="s">
        <v>97</v>
      </c>
      <c r="BB6" s="48" t="s">
        <v>99</v>
      </c>
      <c r="BC6" s="48" t="s">
        <v>86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146</v>
      </c>
      <c r="G7" s="9">
        <v>8000</v>
      </c>
      <c r="H7" s="9"/>
      <c r="I7" s="55">
        <v>0</v>
      </c>
      <c r="J7" s="21">
        <f t="shared" si="5"/>
        <v>26500</v>
      </c>
      <c r="K7" s="8" t="s">
        <v>147</v>
      </c>
      <c r="L7" s="9">
        <v>-8000</v>
      </c>
      <c r="M7" s="9"/>
      <c r="N7" s="55">
        <v>0</v>
      </c>
      <c r="O7" s="21">
        <f t="shared" si="6"/>
        <v>34300</v>
      </c>
      <c r="P7" s="8"/>
      <c r="Q7" s="9"/>
      <c r="R7" s="9"/>
      <c r="S7" s="55"/>
      <c r="T7" s="21">
        <f t="shared" si="7"/>
        <v>44200</v>
      </c>
      <c r="U7" s="60">
        <f t="shared" si="0"/>
        <v>-8.5</v>
      </c>
      <c r="V7" s="61">
        <f t="shared" si="1"/>
        <v>-0.7</v>
      </c>
      <c r="W7" s="62">
        <f t="shared" si="2"/>
        <v>9.1999999999999993</v>
      </c>
      <c r="Y7" s="8"/>
      <c r="Z7" s="41"/>
      <c r="AA7" s="32"/>
      <c r="AB7" s="32">
        <v>1</v>
      </c>
      <c r="AC7" s="32">
        <v>5</v>
      </c>
      <c r="AD7" s="36" t="s">
        <v>143</v>
      </c>
      <c r="AE7" s="47" t="s">
        <v>87</v>
      </c>
      <c r="AF7" s="48" t="s">
        <v>87</v>
      </c>
      <c r="AG7" s="48" t="s">
        <v>105</v>
      </c>
      <c r="AH7" s="48" t="s">
        <v>82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151</v>
      </c>
      <c r="G8" s="9">
        <v>-3000</v>
      </c>
      <c r="H8" s="9"/>
      <c r="I8" s="55"/>
      <c r="J8" s="21">
        <f t="shared" si="5"/>
        <v>23500</v>
      </c>
      <c r="K8" s="8" t="s">
        <v>151</v>
      </c>
      <c r="L8" s="9">
        <v>1500</v>
      </c>
      <c r="M8" s="9">
        <v>-1000</v>
      </c>
      <c r="N8" s="55"/>
      <c r="O8" s="21">
        <f t="shared" si="6"/>
        <v>34800</v>
      </c>
      <c r="P8" s="8" t="s">
        <v>151</v>
      </c>
      <c r="Q8" s="9">
        <v>1500</v>
      </c>
      <c r="R8" s="9">
        <v>-1000</v>
      </c>
      <c r="S8" s="55"/>
      <c r="T8" s="21">
        <f t="shared" si="7"/>
        <v>44700</v>
      </c>
      <c r="U8" s="60">
        <f t="shared" si="0"/>
        <v>-11.5</v>
      </c>
      <c r="V8" s="61">
        <f t="shared" si="1"/>
        <v>-0.2</v>
      </c>
      <c r="W8" s="62">
        <f t="shared" si="2"/>
        <v>9.6999999999999993</v>
      </c>
      <c r="Y8" s="8" t="s">
        <v>148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149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149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2</v>
      </c>
      <c r="E9" s="4" t="s">
        <v>139</v>
      </c>
      <c r="F9" s="8"/>
      <c r="G9" s="9"/>
      <c r="H9" s="9"/>
      <c r="I9" s="55"/>
      <c r="J9" s="21">
        <f t="shared" si="5"/>
        <v>23500</v>
      </c>
      <c r="K9" s="8" t="s">
        <v>146</v>
      </c>
      <c r="L9" s="9">
        <v>3900</v>
      </c>
      <c r="M9" s="9">
        <v>2000</v>
      </c>
      <c r="N9" s="55">
        <v>1000</v>
      </c>
      <c r="O9" s="21">
        <f t="shared" si="6"/>
        <v>41700</v>
      </c>
      <c r="P9" s="8" t="s">
        <v>147</v>
      </c>
      <c r="Q9" s="9">
        <v>-3900</v>
      </c>
      <c r="R9" s="9"/>
      <c r="S9" s="55">
        <v>-1000</v>
      </c>
      <c r="T9" s="21">
        <f t="shared" si="7"/>
        <v>39800</v>
      </c>
      <c r="U9" s="60">
        <f t="shared" si="0"/>
        <v>-11.5</v>
      </c>
      <c r="V9" s="61">
        <f t="shared" si="1"/>
        <v>6.7</v>
      </c>
      <c r="W9" s="62">
        <f t="shared" si="2"/>
        <v>4.8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3</v>
      </c>
      <c r="AY9" s="36">
        <v>30</v>
      </c>
      <c r="AZ9" s="47" t="s">
        <v>144</v>
      </c>
      <c r="BA9" s="48" t="s">
        <v>145</v>
      </c>
      <c r="BB9" s="48" t="s">
        <v>84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141</v>
      </c>
      <c r="G10" s="9">
        <v>12000</v>
      </c>
      <c r="H10" s="9"/>
      <c r="I10" s="55">
        <v>0</v>
      </c>
      <c r="J10" s="21">
        <f t="shared" si="5"/>
        <v>35500</v>
      </c>
      <c r="K10" s="8" t="s">
        <v>142</v>
      </c>
      <c r="L10" s="9">
        <v>-6000</v>
      </c>
      <c r="M10" s="9"/>
      <c r="N10" s="55">
        <v>0</v>
      </c>
      <c r="O10" s="21">
        <f t="shared" si="6"/>
        <v>35700</v>
      </c>
      <c r="P10" s="8" t="s">
        <v>142</v>
      </c>
      <c r="Q10" s="9">
        <v>-6000</v>
      </c>
      <c r="R10" s="9"/>
      <c r="S10" s="55">
        <v>0</v>
      </c>
      <c r="T10" s="21">
        <f t="shared" si="7"/>
        <v>33800</v>
      </c>
      <c r="U10" s="60">
        <f t="shared" si="0"/>
        <v>0.5</v>
      </c>
      <c r="V10" s="61">
        <f t="shared" si="1"/>
        <v>0.7</v>
      </c>
      <c r="W10" s="62">
        <f t="shared" si="2"/>
        <v>-1.2</v>
      </c>
      <c r="Y10" s="8"/>
      <c r="Z10" s="41"/>
      <c r="AA10" s="32">
        <v>1</v>
      </c>
      <c r="AB10" s="32"/>
      <c r="AC10" s="32">
        <v>4</v>
      </c>
      <c r="AD10" s="36">
        <v>30</v>
      </c>
      <c r="AE10" s="47" t="s">
        <v>144</v>
      </c>
      <c r="AF10" s="48" t="s">
        <v>83</v>
      </c>
      <c r="AG10" s="48" t="s">
        <v>93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135</v>
      </c>
      <c r="F11" s="8" t="s">
        <v>141</v>
      </c>
      <c r="G11" s="9">
        <v>24000</v>
      </c>
      <c r="H11" s="9"/>
      <c r="I11" s="55">
        <v>1000</v>
      </c>
      <c r="J11" s="21">
        <f t="shared" si="5"/>
        <v>60500</v>
      </c>
      <c r="K11" s="8" t="s">
        <v>142</v>
      </c>
      <c r="L11" s="9">
        <v>-12000</v>
      </c>
      <c r="M11" s="9"/>
      <c r="N11" s="55">
        <v>-500</v>
      </c>
      <c r="O11" s="21">
        <f t="shared" si="6"/>
        <v>23200</v>
      </c>
      <c r="P11" s="8" t="s">
        <v>142</v>
      </c>
      <c r="Q11" s="9">
        <v>-12000</v>
      </c>
      <c r="R11" s="9"/>
      <c r="S11" s="55">
        <v>-500</v>
      </c>
      <c r="T11" s="21">
        <f t="shared" si="7"/>
        <v>21300</v>
      </c>
      <c r="U11" s="60">
        <f t="shared" si="0"/>
        <v>25.5</v>
      </c>
      <c r="V11" s="61">
        <f t="shared" si="1"/>
        <v>-11.8</v>
      </c>
      <c r="W11" s="62">
        <f t="shared" si="2"/>
        <v>-13.7</v>
      </c>
      <c r="Y11" s="8"/>
      <c r="Z11" s="41"/>
      <c r="AA11" s="32"/>
      <c r="AB11" s="32">
        <v>1</v>
      </c>
      <c r="AC11" s="32">
        <v>8</v>
      </c>
      <c r="AD11" s="36" t="s">
        <v>143</v>
      </c>
      <c r="AE11" s="47" t="s">
        <v>87</v>
      </c>
      <c r="AF11" s="48" t="s">
        <v>87</v>
      </c>
      <c r="AG11" s="48" t="s">
        <v>82</v>
      </c>
      <c r="AH11" s="48" t="s">
        <v>80</v>
      </c>
      <c r="AI11" s="48" t="s">
        <v>80</v>
      </c>
      <c r="AJ11" s="48" t="s">
        <v>80</v>
      </c>
      <c r="AK11" s="48" t="s">
        <v>105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2</v>
      </c>
      <c r="D12" s="18">
        <f t="shared" si="4"/>
        <v>0</v>
      </c>
      <c r="E12" s="4" t="s">
        <v>135</v>
      </c>
      <c r="F12" s="8" t="s">
        <v>142</v>
      </c>
      <c r="G12" s="9">
        <v>-20000</v>
      </c>
      <c r="H12" s="9">
        <v>-1000</v>
      </c>
      <c r="I12" s="55">
        <v>-1000</v>
      </c>
      <c r="J12" s="21">
        <f t="shared" si="5"/>
        <v>38500</v>
      </c>
      <c r="K12" s="8" t="s">
        <v>142</v>
      </c>
      <c r="L12" s="9">
        <v>-12000</v>
      </c>
      <c r="M12" s="9">
        <v>-1000</v>
      </c>
      <c r="N12" s="55">
        <v>-1000</v>
      </c>
      <c r="O12" s="21">
        <f t="shared" si="6"/>
        <v>9200</v>
      </c>
      <c r="P12" s="8" t="s">
        <v>141</v>
      </c>
      <c r="Q12" s="9">
        <v>32000</v>
      </c>
      <c r="R12" s="9">
        <v>2000</v>
      </c>
      <c r="S12" s="55">
        <v>2000</v>
      </c>
      <c r="T12" s="21">
        <f t="shared" si="7"/>
        <v>57300</v>
      </c>
      <c r="U12" s="60">
        <f t="shared" si="0"/>
        <v>3.5</v>
      </c>
      <c r="V12" s="61">
        <f t="shared" si="1"/>
        <v>-25.8</v>
      </c>
      <c r="W12" s="62">
        <f t="shared" si="2"/>
        <v>22.3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13</v>
      </c>
      <c r="BT12" s="36" t="s">
        <v>143</v>
      </c>
      <c r="BU12" s="47" t="s">
        <v>109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152</v>
      </c>
      <c r="F13" s="8" t="s">
        <v>151</v>
      </c>
      <c r="G13" s="9">
        <v>1500</v>
      </c>
      <c r="H13" s="9"/>
      <c r="I13" s="55"/>
      <c r="J13" s="21">
        <f t="shared" si="5"/>
        <v>40000</v>
      </c>
      <c r="K13" s="8" t="s">
        <v>151</v>
      </c>
      <c r="L13" s="9">
        <v>-3000</v>
      </c>
      <c r="M13" s="9"/>
      <c r="N13" s="55"/>
      <c r="O13" s="21">
        <f t="shared" si="6"/>
        <v>6200</v>
      </c>
      <c r="P13" s="8" t="s">
        <v>151</v>
      </c>
      <c r="Q13" s="9">
        <v>1500</v>
      </c>
      <c r="R13" s="9"/>
      <c r="S13" s="55"/>
      <c r="T13" s="21">
        <f t="shared" si="7"/>
        <v>58800</v>
      </c>
      <c r="U13" s="60">
        <f t="shared" si="0"/>
        <v>5</v>
      </c>
      <c r="V13" s="61">
        <f t="shared" si="1"/>
        <v>-28.8</v>
      </c>
      <c r="W13" s="62">
        <f t="shared" si="2"/>
        <v>23.8</v>
      </c>
      <c r="Y13" s="8" t="s">
        <v>149</v>
      </c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148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149</v>
      </c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91C42D70-E52D-4648-A8BA-12B7CF627357}">
      <formula1>$U$2:$W$2</formula1>
    </dataValidation>
    <dataValidation type="list" showInputMessage="1" showErrorMessage="1" sqref="K4:K30 P4:P30 F4:F30" xr:uid="{4E743C5E-BCDB-4D43-941B-BBEAC6581E3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F937C-27E9-40EE-A558-8B2793A0DDB8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147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 t="s">
        <v>146</v>
      </c>
      <c r="L4" s="9">
        <v>8000</v>
      </c>
      <c r="M4" s="9">
        <v>1000</v>
      </c>
      <c r="N4" s="55">
        <v>0</v>
      </c>
      <c r="O4" s="21">
        <f>IF(COUNTA($F4,$K4,$P4)&gt;0,O3+SUM(L4:N4),"")</f>
        <v>44000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-8</v>
      </c>
      <c r="V4" s="61">
        <f t="shared" ref="V4:V30" si="1">IF($O4="","",ROUND(($O4-$O$3)/1000,1))</f>
        <v>9</v>
      </c>
      <c r="W4" s="62">
        <f t="shared" ref="W4:W30" si="2">IF($T4="","",ROUND(($T4-$T$3)/1000,1))</f>
        <v>-1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143</v>
      </c>
      <c r="AZ4" s="47" t="s">
        <v>87</v>
      </c>
      <c r="BA4" s="48" t="s">
        <v>82</v>
      </c>
      <c r="BB4" s="48" t="s">
        <v>80</v>
      </c>
      <c r="BC4" s="48" t="s">
        <v>80</v>
      </c>
      <c r="BD4" s="48" t="s">
        <v>80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141</v>
      </c>
      <c r="G5" s="9">
        <v>8000</v>
      </c>
      <c r="H5" s="9"/>
      <c r="I5" s="55">
        <v>0</v>
      </c>
      <c r="J5" s="21">
        <f t="shared" ref="J5:J30" si="5">IF(COUNTA($F5,$K5,$P5)&gt;0,J4+SUM(G5:I5),"")</f>
        <v>35000</v>
      </c>
      <c r="K5" s="8" t="s">
        <v>142</v>
      </c>
      <c r="L5" s="9">
        <v>-5000</v>
      </c>
      <c r="M5" s="9"/>
      <c r="N5" s="55">
        <v>0</v>
      </c>
      <c r="O5" s="21">
        <f t="shared" ref="O5:O30" si="6">IF(COUNTA($F5,$K5,$P5)&gt;0,O4+SUM(L5:N5),"")</f>
        <v>39000</v>
      </c>
      <c r="P5" s="8" t="s">
        <v>142</v>
      </c>
      <c r="Q5" s="9">
        <v>-3000</v>
      </c>
      <c r="R5" s="9"/>
      <c r="S5" s="55">
        <v>0</v>
      </c>
      <c r="T5" s="21">
        <f t="shared" ref="T5:T30" si="7">IF(COUNTA($F5,$K5,$P5)&gt;0,T4+SUM(Q5:S5),"")</f>
        <v>31000</v>
      </c>
      <c r="U5" s="60">
        <f t="shared" si="0"/>
        <v>0</v>
      </c>
      <c r="V5" s="61">
        <f t="shared" si="1"/>
        <v>4</v>
      </c>
      <c r="W5" s="62">
        <f t="shared" si="2"/>
        <v>-4</v>
      </c>
      <c r="Y5" s="8"/>
      <c r="Z5" s="41"/>
      <c r="AA5" s="32"/>
      <c r="AB5" s="32">
        <v>1</v>
      </c>
      <c r="AC5" s="32">
        <v>5</v>
      </c>
      <c r="AD5" s="36" t="s">
        <v>143</v>
      </c>
      <c r="AE5" s="47" t="s">
        <v>87</v>
      </c>
      <c r="AF5" s="48" t="s">
        <v>105</v>
      </c>
      <c r="AG5" s="48" t="s">
        <v>82</v>
      </c>
      <c r="AH5" s="48" t="s">
        <v>80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152</v>
      </c>
      <c r="F6" s="8" t="s">
        <v>146</v>
      </c>
      <c r="G6" s="9">
        <v>1000</v>
      </c>
      <c r="H6" s="9"/>
      <c r="I6" s="55">
        <v>0</v>
      </c>
      <c r="J6" s="21">
        <f t="shared" si="5"/>
        <v>36000</v>
      </c>
      <c r="K6" s="8"/>
      <c r="L6" s="9"/>
      <c r="M6" s="9"/>
      <c r="N6" s="55"/>
      <c r="O6" s="21">
        <f t="shared" si="6"/>
        <v>39000</v>
      </c>
      <c r="P6" s="8" t="s">
        <v>147</v>
      </c>
      <c r="Q6" s="9">
        <v>-1000</v>
      </c>
      <c r="R6" s="9"/>
      <c r="S6" s="55">
        <v>0</v>
      </c>
      <c r="T6" s="21">
        <f t="shared" si="7"/>
        <v>30000</v>
      </c>
      <c r="U6" s="60">
        <f t="shared" si="0"/>
        <v>1</v>
      </c>
      <c r="V6" s="61">
        <f t="shared" si="1"/>
        <v>4</v>
      </c>
      <c r="W6" s="62">
        <f t="shared" si="2"/>
        <v>-5</v>
      </c>
      <c r="Y6" s="8"/>
      <c r="Z6" s="41"/>
      <c r="AA6" s="32"/>
      <c r="AB6" s="32">
        <v>1</v>
      </c>
      <c r="AC6" s="32">
        <v>1</v>
      </c>
      <c r="AD6" s="36">
        <v>30</v>
      </c>
      <c r="AE6" s="47" t="s">
        <v>87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135</v>
      </c>
      <c r="F7" s="8" t="s">
        <v>142</v>
      </c>
      <c r="G7" s="9">
        <v>-7500</v>
      </c>
      <c r="H7" s="9"/>
      <c r="I7" s="55">
        <v>0</v>
      </c>
      <c r="J7" s="21">
        <f t="shared" si="5"/>
        <v>28500</v>
      </c>
      <c r="K7" s="8" t="s">
        <v>142</v>
      </c>
      <c r="L7" s="9">
        <v>-4500</v>
      </c>
      <c r="M7" s="9"/>
      <c r="N7" s="55">
        <v>0</v>
      </c>
      <c r="O7" s="21">
        <f t="shared" si="6"/>
        <v>34500</v>
      </c>
      <c r="P7" s="8" t="s">
        <v>141</v>
      </c>
      <c r="Q7" s="9">
        <v>12000</v>
      </c>
      <c r="R7" s="9"/>
      <c r="S7" s="55">
        <v>0</v>
      </c>
      <c r="T7" s="21">
        <f t="shared" si="7"/>
        <v>42000</v>
      </c>
      <c r="U7" s="60">
        <f t="shared" si="0"/>
        <v>-6.5</v>
      </c>
      <c r="V7" s="61">
        <f t="shared" si="1"/>
        <v>-0.5</v>
      </c>
      <c r="W7" s="62">
        <f t="shared" si="2"/>
        <v>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143</v>
      </c>
      <c r="BU7" s="47" t="s">
        <v>144</v>
      </c>
      <c r="BV7" s="48" t="s">
        <v>83</v>
      </c>
      <c r="BW7" s="48" t="s">
        <v>145</v>
      </c>
      <c r="BX7" s="48" t="s">
        <v>84</v>
      </c>
      <c r="BY7" s="48" t="s">
        <v>82</v>
      </c>
      <c r="BZ7" s="48" t="s">
        <v>82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147</v>
      </c>
      <c r="G8" s="9">
        <v>-18000</v>
      </c>
      <c r="H8" s="9">
        <v>-1000</v>
      </c>
      <c r="I8" s="55">
        <v>0</v>
      </c>
      <c r="J8" s="21">
        <f t="shared" si="5"/>
        <v>9500</v>
      </c>
      <c r="K8" s="8" t="s">
        <v>146</v>
      </c>
      <c r="L8" s="9">
        <v>18000</v>
      </c>
      <c r="M8" s="9">
        <v>1000</v>
      </c>
      <c r="N8" s="55">
        <v>0</v>
      </c>
      <c r="O8" s="21">
        <f t="shared" si="6"/>
        <v>53500</v>
      </c>
      <c r="P8" s="8"/>
      <c r="Q8" s="9"/>
      <c r="R8" s="9"/>
      <c r="S8" s="55"/>
      <c r="T8" s="21">
        <f t="shared" si="7"/>
        <v>42000</v>
      </c>
      <c r="U8" s="60">
        <f t="shared" si="0"/>
        <v>-25.5</v>
      </c>
      <c r="V8" s="61">
        <f t="shared" si="1"/>
        <v>18.5</v>
      </c>
      <c r="W8" s="62">
        <f t="shared" si="2"/>
        <v>7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6</v>
      </c>
      <c r="AY8" s="36" t="s">
        <v>143</v>
      </c>
      <c r="AZ8" s="47" t="s">
        <v>105</v>
      </c>
      <c r="BA8" s="48" t="s">
        <v>82</v>
      </c>
      <c r="BB8" s="48" t="s">
        <v>82</v>
      </c>
      <c r="BC8" s="48" t="s">
        <v>82</v>
      </c>
      <c r="BD8" s="48" t="s">
        <v>87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1</v>
      </c>
      <c r="D9" s="18">
        <f t="shared" si="4"/>
        <v>0</v>
      </c>
      <c r="E9" s="4" t="s">
        <v>137</v>
      </c>
      <c r="F9" s="8" t="s">
        <v>151</v>
      </c>
      <c r="G9" s="9">
        <v>1500</v>
      </c>
      <c r="H9" s="9">
        <v>-1000</v>
      </c>
      <c r="I9" s="55"/>
      <c r="J9" s="21">
        <f t="shared" si="5"/>
        <v>10000</v>
      </c>
      <c r="K9" s="8" t="s">
        <v>151</v>
      </c>
      <c r="L9" s="9">
        <v>-3000</v>
      </c>
      <c r="M9" s="9"/>
      <c r="N9" s="55"/>
      <c r="O9" s="21">
        <f t="shared" si="6"/>
        <v>50500</v>
      </c>
      <c r="P9" s="8" t="s">
        <v>151</v>
      </c>
      <c r="Q9" s="9">
        <v>1500</v>
      </c>
      <c r="R9" s="9"/>
      <c r="S9" s="55"/>
      <c r="T9" s="21">
        <f t="shared" si="7"/>
        <v>43500</v>
      </c>
      <c r="U9" s="60">
        <f t="shared" si="0"/>
        <v>-25</v>
      </c>
      <c r="V9" s="61">
        <f t="shared" si="1"/>
        <v>15.5</v>
      </c>
      <c r="W9" s="62">
        <f t="shared" si="2"/>
        <v>8.5</v>
      </c>
      <c r="Y9" s="8" t="s">
        <v>149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148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149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2</v>
      </c>
      <c r="D10" s="18">
        <f t="shared" si="4"/>
        <v>1</v>
      </c>
      <c r="E10" s="4" t="s">
        <v>152</v>
      </c>
      <c r="F10" s="8" t="s">
        <v>147</v>
      </c>
      <c r="G10" s="9">
        <v>-12000</v>
      </c>
      <c r="H10" s="9"/>
      <c r="I10" s="55">
        <v>-2000</v>
      </c>
      <c r="J10" s="21">
        <f t="shared" si="5"/>
        <v>-4000</v>
      </c>
      <c r="K10" s="8"/>
      <c r="L10" s="9"/>
      <c r="M10" s="9"/>
      <c r="N10" s="55"/>
      <c r="O10" s="21">
        <f t="shared" si="6"/>
        <v>50500</v>
      </c>
      <c r="P10" s="8" t="s">
        <v>146</v>
      </c>
      <c r="Q10" s="9">
        <v>12000</v>
      </c>
      <c r="R10" s="9">
        <v>1000</v>
      </c>
      <c r="S10" s="55">
        <v>2000</v>
      </c>
      <c r="T10" s="21">
        <f t="shared" si="7"/>
        <v>58500</v>
      </c>
      <c r="U10" s="60">
        <f t="shared" si="0"/>
        <v>-39</v>
      </c>
      <c r="V10" s="61">
        <f t="shared" si="1"/>
        <v>15.5</v>
      </c>
      <c r="W10" s="62">
        <f t="shared" si="2"/>
        <v>23.5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40</v>
      </c>
      <c r="BU10" s="47" t="s">
        <v>144</v>
      </c>
      <c r="BV10" s="48" t="s">
        <v>87</v>
      </c>
      <c r="BW10" s="48" t="s">
        <v>81</v>
      </c>
      <c r="BX10" s="48" t="s">
        <v>81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ADD6B368-6CCD-493A-8477-CC3E3EE600C5}">
      <formula1>"ロン,ツモ,放銃,ツモ支払,流局,チョンボ"</formula1>
    </dataValidation>
    <dataValidation type="list" allowBlank="1" showInputMessage="1" showErrorMessage="1" sqref="E4:E30" xr:uid="{DBF082A5-D7C9-41C0-AC0C-9DD190BFCAE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9E3BC-3E42-4BAB-ADC8-00C24F5ABC8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147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0</v>
      </c>
      <c r="V4" s="61">
        <f t="shared" ref="V4:V30" si="1">IF($O4="","",ROUND(($O4-$O$3)/1000,1))</f>
        <v>12</v>
      </c>
      <c r="W4" s="62">
        <f t="shared" ref="W4:W30" si="2">IF($T4="","",ROUND(($T4-$T$3)/1000,1))</f>
        <v>-12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143</v>
      </c>
      <c r="AZ4" s="47" t="s">
        <v>80</v>
      </c>
      <c r="BA4" s="48" t="s">
        <v>80</v>
      </c>
      <c r="BB4" s="48" t="s">
        <v>80</v>
      </c>
      <c r="BC4" s="48" t="s">
        <v>87</v>
      </c>
      <c r="BD4" s="48" t="s">
        <v>87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142</v>
      </c>
      <c r="G5" s="9">
        <v>-6000</v>
      </c>
      <c r="H5" s="9"/>
      <c r="I5" s="55">
        <v>-500</v>
      </c>
      <c r="J5" s="21">
        <f t="shared" ref="J5:J30" si="5">IF(COUNTA($F5,$K5,$P5)&gt;0,J4+SUM(G5:I5),"")</f>
        <v>28500</v>
      </c>
      <c r="K5" s="8" t="s">
        <v>141</v>
      </c>
      <c r="L5" s="9">
        <v>12000</v>
      </c>
      <c r="M5" s="9"/>
      <c r="N5" s="55">
        <v>1000</v>
      </c>
      <c r="O5" s="21">
        <f t="shared" ref="O5:O30" si="6">IF(COUNTA($F5,$K5,$P5)&gt;0,O4+SUM(L5:N5),"")</f>
        <v>60000</v>
      </c>
      <c r="P5" s="8" t="s">
        <v>142</v>
      </c>
      <c r="Q5" s="9">
        <v>-6000</v>
      </c>
      <c r="R5" s="9"/>
      <c r="S5" s="55">
        <v>-500</v>
      </c>
      <c r="T5" s="21">
        <f t="shared" ref="T5:T30" si="7">IF(COUNTA($F5,$K5,$P5)&gt;0,T4+SUM(Q5:S5),"")</f>
        <v>16500</v>
      </c>
      <c r="U5" s="60">
        <f t="shared" si="0"/>
        <v>-6.5</v>
      </c>
      <c r="V5" s="61">
        <f t="shared" si="1"/>
        <v>25</v>
      </c>
      <c r="W5" s="62">
        <f t="shared" si="2"/>
        <v>-18.5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144</v>
      </c>
      <c r="BA5" s="48" t="s">
        <v>83</v>
      </c>
      <c r="BB5" s="48" t="s">
        <v>145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137</v>
      </c>
      <c r="F6" s="8" t="s">
        <v>146</v>
      </c>
      <c r="G6" s="9">
        <v>12000</v>
      </c>
      <c r="H6" s="9"/>
      <c r="I6" s="55">
        <v>2000</v>
      </c>
      <c r="J6" s="21">
        <f t="shared" si="5"/>
        <v>42500</v>
      </c>
      <c r="K6" s="8" t="s">
        <v>146</v>
      </c>
      <c r="L6" s="9">
        <v>18000</v>
      </c>
      <c r="M6" s="9"/>
      <c r="N6" s="55"/>
      <c r="O6" s="21">
        <f t="shared" si="6"/>
        <v>78000</v>
      </c>
      <c r="P6" s="8" t="s">
        <v>147</v>
      </c>
      <c r="Q6" s="9">
        <v>-30000</v>
      </c>
      <c r="R6" s="9"/>
      <c r="S6" s="55">
        <v>-2000</v>
      </c>
      <c r="T6" s="21">
        <f t="shared" si="7"/>
        <v>-15500</v>
      </c>
      <c r="U6" s="60">
        <f t="shared" si="0"/>
        <v>7.5</v>
      </c>
      <c r="V6" s="61">
        <f t="shared" si="1"/>
        <v>43</v>
      </c>
      <c r="W6" s="62">
        <f t="shared" si="2"/>
        <v>-50.5</v>
      </c>
      <c r="Y6" s="8"/>
      <c r="Z6" s="41"/>
      <c r="AA6" s="32">
        <v>1</v>
      </c>
      <c r="AB6" s="32"/>
      <c r="AC6" s="32">
        <v>6</v>
      </c>
      <c r="AD6" s="36" t="s">
        <v>143</v>
      </c>
      <c r="AE6" s="47" t="s">
        <v>144</v>
      </c>
      <c r="AF6" s="48" t="s">
        <v>84</v>
      </c>
      <c r="AG6" s="48" t="s">
        <v>93</v>
      </c>
      <c r="AH6" s="48" t="s">
        <v>82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143</v>
      </c>
      <c r="AZ6" s="47" t="s">
        <v>144</v>
      </c>
      <c r="BA6" s="48" t="s">
        <v>84</v>
      </c>
      <c r="BB6" s="48" t="s">
        <v>93</v>
      </c>
      <c r="BC6" s="48" t="s">
        <v>82</v>
      </c>
      <c r="BD6" s="48" t="s">
        <v>82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03F802D0-BE30-430D-951C-85DC8D9FE34E}">
      <formula1>$U$2:$W$2</formula1>
    </dataValidation>
    <dataValidation type="list" showInputMessage="1" showErrorMessage="1" sqref="K4:K30 P4:P30 F4:F30" xr:uid="{81D5F758-32EE-42C5-85BC-9C2D6621275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9DB13-C57A-40E4-B874-8EC7A2F7CEBB}">
  <sheetPr codeName="Sheet15">
    <pageSetUpPr fitToPage="1"/>
  </sheetPr>
  <dimension ref="A1:CI30"/>
  <sheetViews>
    <sheetView zoomScaleNormal="100" workbookViewId="0">
      <selection activeCell="E12" sqref="E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153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-6000</v>
      </c>
      <c r="H4" s="9">
        <v>-1000</v>
      </c>
      <c r="I4" s="55">
        <v>0</v>
      </c>
      <c r="J4" s="21">
        <f>IF(COUNTA($F4,$K4,$P4)&gt;0,J3+SUM(G4:I4),"")</f>
        <v>28000</v>
      </c>
      <c r="K4" s="8" t="s">
        <v>141</v>
      </c>
      <c r="L4" s="9">
        <v>12000</v>
      </c>
      <c r="M4" s="9">
        <v>1000</v>
      </c>
      <c r="N4" s="55">
        <v>0</v>
      </c>
      <c r="O4" s="21">
        <f>IF(COUNTA($F4,$K4,$P4)&gt;0,O3+SUM(L4:N4),"")</f>
        <v>48000</v>
      </c>
      <c r="P4" s="8" t="s">
        <v>142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-7</v>
      </c>
      <c r="V4" s="61">
        <f t="shared" ref="V4:V30" si="1">IF($O4="","",ROUND(($O4-$O$3)/1000,1))</f>
        <v>13</v>
      </c>
      <c r="W4" s="62">
        <f t="shared" ref="W4:W30" si="2">IF($T4="","",ROUND(($T4-$T$3)/1000,1))</f>
        <v>-6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>
        <v>1</v>
      </c>
      <c r="AX4" s="32">
        <v>4</v>
      </c>
      <c r="AY4" s="36">
        <v>30</v>
      </c>
      <c r="AZ4" s="47" t="s">
        <v>82</v>
      </c>
      <c r="BA4" s="48" t="s">
        <v>87</v>
      </c>
      <c r="BB4" s="48" t="s">
        <v>99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147</v>
      </c>
      <c r="G5" s="9">
        <v>-3900</v>
      </c>
      <c r="H5" s="9"/>
      <c r="I5" s="55">
        <v>-1000</v>
      </c>
      <c r="J5" s="21">
        <f t="shared" ref="J5:J30" si="5">IF(COUNTA($F5,$K5,$P5)&gt;0,J4+SUM(G5:I5),"")</f>
        <v>23100</v>
      </c>
      <c r="K5" s="8"/>
      <c r="L5" s="9"/>
      <c r="M5" s="9">
        <v>-1000</v>
      </c>
      <c r="N5" s="55"/>
      <c r="O5" s="21">
        <f t="shared" ref="O5:O30" si="6">IF(COUNTA($F5,$K5,$P5)&gt;0,O4+SUM(L5:N5),"")</f>
        <v>47000</v>
      </c>
      <c r="P5" s="8" t="s">
        <v>146</v>
      </c>
      <c r="Q5" s="9">
        <v>3900</v>
      </c>
      <c r="R5" s="9">
        <v>1000</v>
      </c>
      <c r="S5" s="55">
        <v>1000</v>
      </c>
      <c r="T5" s="21">
        <f t="shared" ref="T5:T30" si="7">IF(COUNTA($F5,$K5,$P5)&gt;0,T4+SUM(Q5:S5),"")</f>
        <v>34900</v>
      </c>
      <c r="U5" s="60">
        <f t="shared" si="0"/>
        <v>-11.9</v>
      </c>
      <c r="V5" s="61">
        <f t="shared" si="1"/>
        <v>12</v>
      </c>
      <c r="W5" s="62">
        <f t="shared" si="2"/>
        <v>-0.1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30</v>
      </c>
      <c r="BU5" s="47" t="s">
        <v>144</v>
      </c>
      <c r="BV5" s="48" t="s">
        <v>84</v>
      </c>
      <c r="BW5" s="48" t="s">
        <v>85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152</v>
      </c>
      <c r="F6" s="8" t="s">
        <v>146</v>
      </c>
      <c r="G6" s="9">
        <v>12000</v>
      </c>
      <c r="H6" s="9"/>
      <c r="I6" s="55"/>
      <c r="J6" s="21">
        <f t="shared" si="5"/>
        <v>35100</v>
      </c>
      <c r="K6" s="8" t="s">
        <v>147</v>
      </c>
      <c r="L6" s="9">
        <v>-30000</v>
      </c>
      <c r="M6" s="9">
        <v>-1000</v>
      </c>
      <c r="N6" s="55">
        <v>0</v>
      </c>
      <c r="O6" s="21">
        <f t="shared" si="6"/>
        <v>16000</v>
      </c>
      <c r="P6" s="8" t="s">
        <v>146</v>
      </c>
      <c r="Q6" s="9">
        <v>18000</v>
      </c>
      <c r="R6" s="9">
        <v>1000</v>
      </c>
      <c r="S6" s="55">
        <v>0</v>
      </c>
      <c r="T6" s="21">
        <f t="shared" si="7"/>
        <v>53900</v>
      </c>
      <c r="U6" s="60">
        <f t="shared" si="0"/>
        <v>0.1</v>
      </c>
      <c r="V6" s="61">
        <f t="shared" si="1"/>
        <v>-19</v>
      </c>
      <c r="W6" s="62">
        <f t="shared" si="2"/>
        <v>18.899999999999999</v>
      </c>
      <c r="Y6" s="8"/>
      <c r="Z6" s="41"/>
      <c r="AA6" s="32"/>
      <c r="AB6" s="32">
        <v>1</v>
      </c>
      <c r="AC6" s="32">
        <v>6</v>
      </c>
      <c r="AD6" s="36" t="s">
        <v>143</v>
      </c>
      <c r="AE6" s="47" t="s">
        <v>144</v>
      </c>
      <c r="AF6" s="48" t="s">
        <v>102</v>
      </c>
      <c r="AG6" s="48" t="s">
        <v>80</v>
      </c>
      <c r="AH6" s="48" t="s">
        <v>80</v>
      </c>
      <c r="AI6" s="48" t="s">
        <v>82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143</v>
      </c>
      <c r="BU6" s="47" t="s">
        <v>144</v>
      </c>
      <c r="BV6" s="48" t="s">
        <v>102</v>
      </c>
      <c r="BW6" s="48" t="s">
        <v>80</v>
      </c>
      <c r="BX6" s="48" t="s">
        <v>80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152</v>
      </c>
      <c r="F7" s="8" t="s">
        <v>146</v>
      </c>
      <c r="G7" s="9">
        <v>8000</v>
      </c>
      <c r="H7" s="9"/>
      <c r="I7" s="55">
        <v>1000</v>
      </c>
      <c r="J7" s="21">
        <f t="shared" si="5"/>
        <v>44100</v>
      </c>
      <c r="K7" s="8"/>
      <c r="L7" s="9"/>
      <c r="M7" s="9"/>
      <c r="N7" s="55"/>
      <c r="O7" s="21">
        <f t="shared" si="6"/>
        <v>16000</v>
      </c>
      <c r="P7" s="8" t="s">
        <v>147</v>
      </c>
      <c r="Q7" s="9">
        <v>-8000</v>
      </c>
      <c r="R7" s="9"/>
      <c r="S7" s="55">
        <v>-1000</v>
      </c>
      <c r="T7" s="21">
        <f t="shared" si="7"/>
        <v>44900</v>
      </c>
      <c r="U7" s="60">
        <f t="shared" si="0"/>
        <v>9.1</v>
      </c>
      <c r="V7" s="61">
        <f t="shared" si="1"/>
        <v>-19</v>
      </c>
      <c r="W7" s="62">
        <f t="shared" si="2"/>
        <v>9.9</v>
      </c>
      <c r="Y7" s="8"/>
      <c r="Z7" s="41"/>
      <c r="AA7" s="32">
        <v>1</v>
      </c>
      <c r="AB7" s="32"/>
      <c r="AC7" s="32">
        <v>5</v>
      </c>
      <c r="AD7" s="36" t="s">
        <v>143</v>
      </c>
      <c r="AE7" s="47" t="s">
        <v>144</v>
      </c>
      <c r="AF7" s="48" t="s">
        <v>80</v>
      </c>
      <c r="AG7" s="48" t="s">
        <v>80</v>
      </c>
      <c r="AH7" s="48" t="s">
        <v>82</v>
      </c>
      <c r="AI7" s="48" t="s">
        <v>81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142</v>
      </c>
      <c r="G8" s="9">
        <v>-1300</v>
      </c>
      <c r="H8" s="9">
        <v>-1000</v>
      </c>
      <c r="I8" s="55">
        <v>0</v>
      </c>
      <c r="J8" s="21">
        <f t="shared" si="5"/>
        <v>41800</v>
      </c>
      <c r="K8" s="8" t="s">
        <v>142</v>
      </c>
      <c r="L8" s="9">
        <v>-800</v>
      </c>
      <c r="M8" s="9"/>
      <c r="N8" s="55">
        <v>0</v>
      </c>
      <c r="O8" s="21">
        <f t="shared" si="6"/>
        <v>15200</v>
      </c>
      <c r="P8" s="8" t="s">
        <v>141</v>
      </c>
      <c r="Q8" s="9">
        <v>2100</v>
      </c>
      <c r="R8" s="9">
        <v>1000</v>
      </c>
      <c r="S8" s="55">
        <v>0</v>
      </c>
      <c r="T8" s="21">
        <f t="shared" si="7"/>
        <v>48000</v>
      </c>
      <c r="U8" s="60">
        <f t="shared" si="0"/>
        <v>6.8</v>
      </c>
      <c r="V8" s="61">
        <f t="shared" si="1"/>
        <v>-19.8</v>
      </c>
      <c r="W8" s="62">
        <f t="shared" si="2"/>
        <v>13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87</v>
      </c>
      <c r="BV8" s="48" t="s">
        <v>82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141</v>
      </c>
      <c r="G9" s="9">
        <v>2100</v>
      </c>
      <c r="H9" s="9"/>
      <c r="I9" s="55">
        <v>0</v>
      </c>
      <c r="J9" s="21">
        <f t="shared" si="5"/>
        <v>43900</v>
      </c>
      <c r="K9" s="8" t="s">
        <v>142</v>
      </c>
      <c r="L9" s="9">
        <v>-1300</v>
      </c>
      <c r="M9" s="9"/>
      <c r="N9" s="55">
        <v>0</v>
      </c>
      <c r="O9" s="21">
        <f t="shared" si="6"/>
        <v>13900</v>
      </c>
      <c r="P9" s="8" t="s">
        <v>142</v>
      </c>
      <c r="Q9" s="9">
        <v>-800</v>
      </c>
      <c r="R9" s="9"/>
      <c r="S9" s="55">
        <v>0</v>
      </c>
      <c r="T9" s="21">
        <f t="shared" si="7"/>
        <v>47200</v>
      </c>
      <c r="U9" s="60">
        <f t="shared" si="0"/>
        <v>8.9</v>
      </c>
      <c r="V9" s="61">
        <f t="shared" si="1"/>
        <v>-21.1</v>
      </c>
      <c r="W9" s="62">
        <f t="shared" si="2"/>
        <v>12.2</v>
      </c>
      <c r="Y9" s="8"/>
      <c r="Z9" s="41"/>
      <c r="AA9" s="32"/>
      <c r="AB9" s="32">
        <v>1</v>
      </c>
      <c r="AC9" s="32">
        <v>2</v>
      </c>
      <c r="AD9" s="36">
        <v>30</v>
      </c>
      <c r="AE9" s="47" t="s">
        <v>87</v>
      </c>
      <c r="AF9" s="48" t="s">
        <v>80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152</v>
      </c>
      <c r="F10" s="8" t="s">
        <v>146</v>
      </c>
      <c r="G10" s="9">
        <v>6400</v>
      </c>
      <c r="H10" s="9">
        <v>1000</v>
      </c>
      <c r="I10" s="55">
        <v>0</v>
      </c>
      <c r="J10" s="21">
        <f t="shared" si="5"/>
        <v>51300</v>
      </c>
      <c r="K10" s="8"/>
      <c r="L10" s="9"/>
      <c r="M10" s="9"/>
      <c r="N10" s="55"/>
      <c r="O10" s="21">
        <f t="shared" si="6"/>
        <v>13900</v>
      </c>
      <c r="P10" s="8" t="s">
        <v>147</v>
      </c>
      <c r="Q10" s="9">
        <v>-6400</v>
      </c>
      <c r="R10" s="9">
        <v>-1000</v>
      </c>
      <c r="S10" s="55">
        <v>0</v>
      </c>
      <c r="T10" s="21">
        <f t="shared" si="7"/>
        <v>39800</v>
      </c>
      <c r="U10" s="60">
        <f t="shared" si="0"/>
        <v>16.3</v>
      </c>
      <c r="V10" s="61">
        <f t="shared" si="1"/>
        <v>-21.1</v>
      </c>
      <c r="W10" s="62">
        <f t="shared" si="2"/>
        <v>4.8</v>
      </c>
      <c r="Y10" s="8"/>
      <c r="Z10" s="41"/>
      <c r="AA10" s="32"/>
      <c r="AB10" s="32"/>
      <c r="AC10" s="32">
        <v>3</v>
      </c>
      <c r="AD10" s="36">
        <v>50</v>
      </c>
      <c r="AE10" s="47" t="s">
        <v>87</v>
      </c>
      <c r="AF10" s="48" t="s">
        <v>87</v>
      </c>
      <c r="AG10" s="48" t="s">
        <v>82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151</v>
      </c>
      <c r="G11" s="9">
        <v>1500</v>
      </c>
      <c r="H11" s="9"/>
      <c r="I11" s="55"/>
      <c r="J11" s="21">
        <f t="shared" si="5"/>
        <v>52800</v>
      </c>
      <c r="K11" s="8" t="s">
        <v>151</v>
      </c>
      <c r="L11" s="9">
        <v>1500</v>
      </c>
      <c r="M11" s="9"/>
      <c r="N11" s="55"/>
      <c r="O11" s="21">
        <f t="shared" si="6"/>
        <v>15400</v>
      </c>
      <c r="P11" s="8" t="s">
        <v>151</v>
      </c>
      <c r="Q11" s="9">
        <v>-3000</v>
      </c>
      <c r="R11" s="9"/>
      <c r="S11" s="55"/>
      <c r="T11" s="21">
        <f t="shared" si="7"/>
        <v>36800</v>
      </c>
      <c r="U11" s="60">
        <f t="shared" si="0"/>
        <v>17.8</v>
      </c>
      <c r="V11" s="61">
        <f t="shared" si="1"/>
        <v>-19.600000000000001</v>
      </c>
      <c r="W11" s="62">
        <f t="shared" si="2"/>
        <v>1.8</v>
      </c>
      <c r="Y11" s="8" t="s">
        <v>149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149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148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4EA2FF6C-5D18-4BEC-B90C-28F1A5244252}">
      <formula1>"ロン,ツモ,放銃,ツモ支払,流局,チョンボ"</formula1>
    </dataValidation>
    <dataValidation type="list" allowBlank="1" showInputMessage="1" showErrorMessage="1" sqref="E4:E30" xr:uid="{8ACBDDD2-F31A-415B-8E50-762700FA0E7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2019-02-14T08:49:57Z</dcterms:modified>
</cp:coreProperties>
</file>