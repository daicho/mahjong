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第1回テストおつかれ杯\"/>
    </mc:Choice>
  </mc:AlternateContent>
  <xr:revisionPtr revIDLastSave="0" documentId="13_ncr:1_{A5A7ACCE-47DD-41CB-9A44-7CFF5EAF1A0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3" r:id="rId1"/>
    <sheet name="Sheet2" sheetId="24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23" l="1"/>
  <c r="V30" i="23"/>
  <c r="U30" i="23"/>
  <c r="W29" i="23"/>
  <c r="V29" i="23"/>
  <c r="U29" i="23"/>
  <c r="W28" i="23"/>
  <c r="V28" i="23"/>
  <c r="U28" i="23"/>
  <c r="W27" i="23"/>
  <c r="V27" i="23"/>
  <c r="U27" i="23"/>
  <c r="W26" i="23"/>
  <c r="V26" i="23"/>
  <c r="U26" i="23"/>
  <c r="W25" i="23"/>
  <c r="V25" i="23"/>
  <c r="U25" i="23"/>
  <c r="W24" i="23"/>
  <c r="V24" i="23"/>
  <c r="U24" i="23"/>
  <c r="W23" i="23"/>
  <c r="V23" i="23"/>
  <c r="U23" i="23"/>
  <c r="W22" i="23"/>
  <c r="V22" i="23"/>
  <c r="U22" i="23"/>
  <c r="W21" i="23"/>
  <c r="V21" i="23"/>
  <c r="U21" i="23"/>
  <c r="W20" i="23"/>
  <c r="V20" i="23"/>
  <c r="U20" i="23"/>
  <c r="W19" i="23"/>
  <c r="V19" i="23"/>
  <c r="U19" i="23"/>
  <c r="W18" i="23"/>
  <c r="V18" i="23"/>
  <c r="U18" i="23"/>
  <c r="W17" i="23"/>
  <c r="V17" i="23"/>
  <c r="U17" i="23"/>
  <c r="W16" i="23"/>
  <c r="V16" i="23"/>
  <c r="U16" i="23"/>
  <c r="W15" i="23"/>
  <c r="V15" i="23"/>
  <c r="U15" i="23"/>
  <c r="W14" i="23"/>
  <c r="V14" i="23"/>
  <c r="U14" i="23"/>
  <c r="W13" i="23"/>
  <c r="V13" i="23"/>
  <c r="U13" i="23"/>
  <c r="W12" i="23"/>
  <c r="V12" i="23"/>
  <c r="U12" i="23"/>
  <c r="W11" i="23"/>
  <c r="V11" i="23"/>
  <c r="U11" i="23"/>
  <c r="W10" i="23"/>
  <c r="V10" i="23"/>
  <c r="U10" i="23"/>
  <c r="W9" i="23"/>
  <c r="V9" i="23"/>
  <c r="U9" i="23"/>
  <c r="W8" i="23"/>
  <c r="V8" i="23"/>
  <c r="U8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W30" i="24"/>
  <c r="V30" i="24"/>
  <c r="U30" i="24"/>
  <c r="W29" i="24"/>
  <c r="V29" i="24"/>
  <c r="U29" i="24"/>
  <c r="W28" i="24"/>
  <c r="V28" i="24"/>
  <c r="U28" i="24"/>
  <c r="W27" i="24"/>
  <c r="V27" i="24"/>
  <c r="U27" i="24"/>
  <c r="W26" i="24"/>
  <c r="V26" i="24"/>
  <c r="U26" i="24"/>
  <c r="W25" i="24"/>
  <c r="V25" i="24"/>
  <c r="U25" i="24"/>
  <c r="W24" i="24"/>
  <c r="V24" i="24"/>
  <c r="U24" i="24"/>
  <c r="W23" i="24"/>
  <c r="V23" i="24"/>
  <c r="U23" i="24"/>
  <c r="W22" i="24"/>
  <c r="V22" i="24"/>
  <c r="U22" i="24"/>
  <c r="W21" i="24"/>
  <c r="V21" i="24"/>
  <c r="U21" i="24"/>
  <c r="W20" i="24"/>
  <c r="V20" i="24"/>
  <c r="U20" i="24"/>
  <c r="W19" i="24"/>
  <c r="V19" i="24"/>
  <c r="U19" i="24"/>
  <c r="W18" i="24"/>
  <c r="V18" i="24"/>
  <c r="U18" i="24"/>
  <c r="W17" i="24"/>
  <c r="V17" i="24"/>
  <c r="U17" i="24"/>
  <c r="W16" i="24"/>
  <c r="V16" i="24"/>
  <c r="U16" i="24"/>
  <c r="W15" i="24"/>
  <c r="V15" i="24"/>
  <c r="U15" i="24"/>
  <c r="W14" i="24"/>
  <c r="V14" i="24"/>
  <c r="U14" i="24"/>
  <c r="W13" i="24"/>
  <c r="V13" i="24"/>
  <c r="U13" i="24"/>
  <c r="W12" i="24"/>
  <c r="V12" i="24"/>
  <c r="U12" i="24"/>
  <c r="W11" i="24"/>
  <c r="V11" i="24"/>
  <c r="U11" i="24"/>
  <c r="W10" i="24"/>
  <c r="V10" i="24"/>
  <c r="U10" i="24"/>
  <c r="W9" i="24"/>
  <c r="V9" i="24"/>
  <c r="U9" i="24"/>
  <c r="W8" i="24"/>
  <c r="V8" i="24"/>
  <c r="U8" i="24"/>
  <c r="W7" i="24"/>
  <c r="V7" i="24"/>
  <c r="U7" i="24"/>
  <c r="W6" i="24"/>
  <c r="V6" i="24"/>
  <c r="U6" i="24"/>
  <c r="W5" i="24"/>
  <c r="V5" i="24"/>
  <c r="U5" i="24"/>
  <c r="W4" i="24"/>
  <c r="V4" i="24"/>
  <c r="U4" i="24"/>
  <c r="W3" i="24"/>
  <c r="V3" i="24"/>
  <c r="U3" i="24"/>
  <c r="T30" i="24" l="1"/>
  <c r="O30" i="24"/>
  <c r="J30" i="24"/>
  <c r="D30" i="24"/>
  <c r="C30" i="24"/>
  <c r="B30" i="24"/>
  <c r="A30" i="24"/>
  <c r="T29" i="24"/>
  <c r="O29" i="24"/>
  <c r="J29" i="24"/>
  <c r="D29" i="24"/>
  <c r="C29" i="24"/>
  <c r="B29" i="24"/>
  <c r="A29" i="24"/>
  <c r="T28" i="24"/>
  <c r="O28" i="24"/>
  <c r="J28" i="24"/>
  <c r="D28" i="24"/>
  <c r="C28" i="24"/>
  <c r="B28" i="24"/>
  <c r="A28" i="24"/>
  <c r="T27" i="24"/>
  <c r="O27" i="24"/>
  <c r="J27" i="24"/>
  <c r="D27" i="24"/>
  <c r="C27" i="24"/>
  <c r="B27" i="24"/>
  <c r="A27" i="24"/>
  <c r="T26" i="24"/>
  <c r="O26" i="24"/>
  <c r="J26" i="24"/>
  <c r="D26" i="24"/>
  <c r="C26" i="24"/>
  <c r="B26" i="24"/>
  <c r="A26" i="24"/>
  <c r="T25" i="24"/>
  <c r="O25" i="24"/>
  <c r="J25" i="24"/>
  <c r="D25" i="24"/>
  <c r="C25" i="24"/>
  <c r="B25" i="24"/>
  <c r="A25" i="24"/>
  <c r="T24" i="24"/>
  <c r="O24" i="24"/>
  <c r="J24" i="24"/>
  <c r="D24" i="24"/>
  <c r="C24" i="24"/>
  <c r="B24" i="24"/>
  <c r="A24" i="24"/>
  <c r="T23" i="24"/>
  <c r="O23" i="24"/>
  <c r="J23" i="24"/>
  <c r="D23" i="24"/>
  <c r="C23" i="24"/>
  <c r="B23" i="24"/>
  <c r="A23" i="24"/>
  <c r="T22" i="24"/>
  <c r="O22" i="24"/>
  <c r="J22" i="24"/>
  <c r="D22" i="24"/>
  <c r="C22" i="24"/>
  <c r="B22" i="24"/>
  <c r="A22" i="24"/>
  <c r="T21" i="24"/>
  <c r="O21" i="24"/>
  <c r="J21" i="24"/>
  <c r="D21" i="24"/>
  <c r="C21" i="24"/>
  <c r="B21" i="24"/>
  <c r="A21" i="24"/>
  <c r="T20" i="24"/>
  <c r="O20" i="24"/>
  <c r="J20" i="24"/>
  <c r="D20" i="24"/>
  <c r="C20" i="24"/>
  <c r="B20" i="24"/>
  <c r="A20" i="24"/>
  <c r="T19" i="24"/>
  <c r="O19" i="24"/>
  <c r="J19" i="24"/>
  <c r="D19" i="24"/>
  <c r="C19" i="24"/>
  <c r="B19" i="24"/>
  <c r="A19" i="24"/>
  <c r="T18" i="24"/>
  <c r="O18" i="24"/>
  <c r="J18" i="24"/>
  <c r="D18" i="24"/>
  <c r="C18" i="24"/>
  <c r="B18" i="24"/>
  <c r="A18" i="24"/>
  <c r="T17" i="24"/>
  <c r="O17" i="24"/>
  <c r="J17" i="24"/>
  <c r="D17" i="24"/>
  <c r="C17" i="24"/>
  <c r="B17" i="24"/>
  <c r="A17" i="24"/>
  <c r="T16" i="24"/>
  <c r="O16" i="24"/>
  <c r="J16" i="24"/>
  <c r="D16" i="24"/>
  <c r="C16" i="24"/>
  <c r="B16" i="24"/>
  <c r="A16" i="24"/>
  <c r="T15" i="24"/>
  <c r="O15" i="24"/>
  <c r="J15" i="24"/>
  <c r="D15" i="24"/>
  <c r="C15" i="24"/>
  <c r="B15" i="24"/>
  <c r="A15" i="24"/>
  <c r="T14" i="24"/>
  <c r="O14" i="24"/>
  <c r="J14" i="24"/>
  <c r="D14" i="24"/>
  <c r="C14" i="24"/>
  <c r="B14" i="24"/>
  <c r="A14" i="24"/>
  <c r="T13" i="24"/>
  <c r="O13" i="24"/>
  <c r="J13" i="24"/>
  <c r="D13" i="24"/>
  <c r="C13" i="24"/>
  <c r="B13" i="24"/>
  <c r="A13" i="24"/>
  <c r="T12" i="24"/>
  <c r="O12" i="24"/>
  <c r="J12" i="24"/>
  <c r="D12" i="24"/>
  <c r="C12" i="24"/>
  <c r="B12" i="24"/>
  <c r="A12" i="24" s="1"/>
  <c r="T11" i="24"/>
  <c r="O11" i="24"/>
  <c r="J11" i="24"/>
  <c r="D11" i="24"/>
  <c r="C11" i="24"/>
  <c r="B11" i="24"/>
  <c r="A11" i="24"/>
  <c r="D10" i="24"/>
  <c r="C10" i="24"/>
  <c r="D9" i="24"/>
  <c r="C9" i="24"/>
  <c r="C8" i="24"/>
  <c r="D7" i="24"/>
  <c r="D8" i="24" s="1"/>
  <c r="C7" i="24"/>
  <c r="D6" i="24"/>
  <c r="C6" i="24"/>
  <c r="B6" i="24"/>
  <c r="B7" i="24" s="1"/>
  <c r="J5" i="24"/>
  <c r="D5" i="24"/>
  <c r="C5" i="24"/>
  <c r="B5" i="24"/>
  <c r="A5" i="24" s="1"/>
  <c r="A6" i="24" s="1"/>
  <c r="T4" i="24"/>
  <c r="O4" i="24"/>
  <c r="O5" i="24" s="1"/>
  <c r="J4" i="24"/>
  <c r="W2" i="24"/>
  <c r="V2" i="24"/>
  <c r="U2" i="24"/>
  <c r="BO1" i="24"/>
  <c r="AT1" i="24"/>
  <c r="Y1" i="24"/>
  <c r="O6" i="24" l="1"/>
  <c r="B8" i="24"/>
  <c r="A7" i="24"/>
  <c r="T5" i="24"/>
  <c r="J6" i="24"/>
  <c r="A8" i="24" l="1"/>
  <c r="J7" i="24"/>
  <c r="B9" i="24"/>
  <c r="A9" i="24" s="1"/>
  <c r="T6" i="24"/>
  <c r="O7" i="24"/>
  <c r="B10" i="24" l="1"/>
  <c r="A10" i="24" s="1"/>
  <c r="T7" i="24"/>
  <c r="J8" i="24"/>
  <c r="O8" i="24"/>
  <c r="T8" i="24" l="1"/>
  <c r="O9" i="24"/>
  <c r="J9" i="24"/>
  <c r="O10" i="24" l="1"/>
  <c r="T9" i="24"/>
  <c r="J10" i="24"/>
  <c r="T10" i="24" l="1"/>
  <c r="T30" i="23" l="1"/>
  <c r="O30" i="23"/>
  <c r="J30" i="23"/>
  <c r="D30" i="23"/>
  <c r="C30" i="23"/>
  <c r="B30" i="23"/>
  <c r="A30" i="23"/>
  <c r="T29" i="23"/>
  <c r="O29" i="23"/>
  <c r="J29" i="23"/>
  <c r="D29" i="23"/>
  <c r="C29" i="23"/>
  <c r="B29" i="23"/>
  <c r="A29" i="23"/>
  <c r="T28" i="23"/>
  <c r="O28" i="23"/>
  <c r="J28" i="23"/>
  <c r="D28" i="23"/>
  <c r="C28" i="23"/>
  <c r="B28" i="23"/>
  <c r="A28" i="23"/>
  <c r="T27" i="23"/>
  <c r="O27" i="23"/>
  <c r="J27" i="23"/>
  <c r="D27" i="23"/>
  <c r="C27" i="23"/>
  <c r="B27" i="23"/>
  <c r="A27" i="23"/>
  <c r="T26" i="23"/>
  <c r="O26" i="23"/>
  <c r="J26" i="23"/>
  <c r="D26" i="23"/>
  <c r="C26" i="23"/>
  <c r="B26" i="23"/>
  <c r="A26" i="23"/>
  <c r="T25" i="23"/>
  <c r="O25" i="23"/>
  <c r="J25" i="23"/>
  <c r="D25" i="23"/>
  <c r="C25" i="23"/>
  <c r="B25" i="23"/>
  <c r="A25" i="23"/>
  <c r="T24" i="23"/>
  <c r="O24" i="23"/>
  <c r="J24" i="23"/>
  <c r="D24" i="23"/>
  <c r="C24" i="23"/>
  <c r="B24" i="23"/>
  <c r="A24" i="23"/>
  <c r="T23" i="23"/>
  <c r="O23" i="23"/>
  <c r="J23" i="23"/>
  <c r="D23" i="23"/>
  <c r="C23" i="23"/>
  <c r="B23" i="23"/>
  <c r="A23" i="23"/>
  <c r="T22" i="23"/>
  <c r="O22" i="23"/>
  <c r="J22" i="23"/>
  <c r="D22" i="23"/>
  <c r="C22" i="23"/>
  <c r="B22" i="23"/>
  <c r="A22" i="23"/>
  <c r="T21" i="23"/>
  <c r="O21" i="23"/>
  <c r="J21" i="23"/>
  <c r="D21" i="23"/>
  <c r="C21" i="23"/>
  <c r="B21" i="23"/>
  <c r="A21" i="23"/>
  <c r="T20" i="23"/>
  <c r="O20" i="23"/>
  <c r="J20" i="23"/>
  <c r="D20" i="23"/>
  <c r="C20" i="23"/>
  <c r="B20" i="23"/>
  <c r="A20" i="23"/>
  <c r="T19" i="23"/>
  <c r="O19" i="23"/>
  <c r="J19" i="23"/>
  <c r="D19" i="23"/>
  <c r="C19" i="23"/>
  <c r="B19" i="23"/>
  <c r="A19" i="23"/>
  <c r="T18" i="23"/>
  <c r="O18" i="23"/>
  <c r="J18" i="23"/>
  <c r="D18" i="23"/>
  <c r="C18" i="23"/>
  <c r="B18" i="23"/>
  <c r="A18" i="23"/>
  <c r="T17" i="23"/>
  <c r="O17" i="23"/>
  <c r="J17" i="23"/>
  <c r="D17" i="23"/>
  <c r="C17" i="23"/>
  <c r="B17" i="23"/>
  <c r="A17" i="23"/>
  <c r="T16" i="23"/>
  <c r="O16" i="23"/>
  <c r="J16" i="23"/>
  <c r="D16" i="23"/>
  <c r="C16" i="23"/>
  <c r="B16" i="23"/>
  <c r="A16" i="23"/>
  <c r="T15" i="23"/>
  <c r="O15" i="23"/>
  <c r="J15" i="23"/>
  <c r="D15" i="23"/>
  <c r="C15" i="23"/>
  <c r="B15" i="23"/>
  <c r="A15" i="23"/>
  <c r="T14" i="23"/>
  <c r="O14" i="23"/>
  <c r="J14" i="23"/>
  <c r="D14" i="23"/>
  <c r="C14" i="23"/>
  <c r="B14" i="23"/>
  <c r="A14" i="23"/>
  <c r="T13" i="23"/>
  <c r="O13" i="23"/>
  <c r="J13" i="23"/>
  <c r="D13" i="23"/>
  <c r="C13" i="23"/>
  <c r="B13" i="23"/>
  <c r="A13" i="23"/>
  <c r="T12" i="23"/>
  <c r="O12" i="23"/>
  <c r="J12" i="23"/>
  <c r="D12" i="23"/>
  <c r="C12" i="23"/>
  <c r="B12" i="23"/>
  <c r="A12" i="23"/>
  <c r="D11" i="23"/>
  <c r="C11" i="23"/>
  <c r="D10" i="23"/>
  <c r="C10" i="23"/>
  <c r="D9" i="23"/>
  <c r="C9" i="23"/>
  <c r="D8" i="23"/>
  <c r="C8" i="23"/>
  <c r="D7" i="23"/>
  <c r="C7" i="23"/>
  <c r="D6" i="23"/>
  <c r="C6" i="23"/>
  <c r="J5" i="23"/>
  <c r="D5" i="23"/>
  <c r="C5" i="23"/>
  <c r="B5" i="23"/>
  <c r="B6" i="23" s="1"/>
  <c r="T4" i="23"/>
  <c r="O4" i="23"/>
  <c r="J4" i="23"/>
  <c r="W2" i="23"/>
  <c r="V2" i="23"/>
  <c r="U2" i="23"/>
  <c r="BO1" i="23"/>
  <c r="AT1" i="23"/>
  <c r="Y1" i="23"/>
  <c r="A5" i="23" l="1"/>
  <c r="O5" i="23"/>
  <c r="O6" i="23"/>
  <c r="A6" i="23"/>
  <c r="B7" i="23"/>
  <c r="A7" i="23" s="1"/>
  <c r="T5" i="23"/>
  <c r="J6" i="23"/>
  <c r="J7" i="23" l="1"/>
  <c r="T6" i="23"/>
  <c r="B8" i="23"/>
  <c r="A8" i="23" s="1"/>
  <c r="O7" i="23"/>
  <c r="T7" i="23" l="1"/>
  <c r="O8" i="23"/>
  <c r="B9" i="23"/>
  <c r="J8" i="23"/>
  <c r="O9" i="23" l="1"/>
  <c r="B10" i="23"/>
  <c r="A10" i="23" s="1"/>
  <c r="T8" i="23"/>
  <c r="J9" i="23"/>
  <c r="A9" i="23"/>
  <c r="J10" i="23" l="1"/>
  <c r="B11" i="23"/>
  <c r="A11" i="23" s="1"/>
  <c r="O10" i="23"/>
  <c r="T9" i="23"/>
  <c r="T10" i="23" l="1"/>
  <c r="J11" i="23"/>
  <c r="O11" i="23"/>
  <c r="T11" i="23" l="1"/>
</calcChain>
</file>

<file path=xl/sharedStrings.xml><?xml version="1.0" encoding="utf-8"?>
<sst xmlns="http://schemas.openxmlformats.org/spreadsheetml/2006/main" count="631" uniqueCount="149">
  <si>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</si>
  <si>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</si>
  <si>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</si>
  <si>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</si>
  <si>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</si>
  <si>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</si>
  <si>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</si>
  <si>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</si>
  <si>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</si>
  <si>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</si>
  <si>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</si>
  <si>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</si>
  <si>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</si>
  <si>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</si>
  <si>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</si>
  <si>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</si>
  <si>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</si>
  <si>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</si>
  <si>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</si>
  <si>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</si>
  <si>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</si>
  <si>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</si>
  <si>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</si>
  <si>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</si>
  <si>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</si>
  <si>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</si>
  <si>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</si>
  <si>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</si>
  <si>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</si>
  <si>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</si>
  <si>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</si>
  <si>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</si>
  <si>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</si>
  <si>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</si>
  <si>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</si>
  <si>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</si>
  <si>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</si>
  <si>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</si>
  <si>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</si>
  <si>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</si>
  <si>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</si>
  <si>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</si>
  <si>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</si>
  <si>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</si>
  <si>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</si>
  <si>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</si>
  <si>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</si>
  <si>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</si>
  <si>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</si>
  <si>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</si>
  <si>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</si>
  <si>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</si>
  <si>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</si>
  <si>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</si>
  <si>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</si>
  <si>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</si>
  <si>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</si>
  <si>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</si>
  <si>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</si>
  <si>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</si>
  <si>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</si>
  <si>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</si>
  <si>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</si>
  <si>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</si>
  <si>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</si>
  <si>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</si>
  <si>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</si>
  <si>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</si>
  <si>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</si>
  <si>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</si>
  <si>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</si>
  <si>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</si>
  <si>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</si>
  <si>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</si>
  <si>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</si>
  <si>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</si>
  <si>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</si>
  <si>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</si>
  <si>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</si>
  <si>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</si>
  <si>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</si>
  <si>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</si>
  <si>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</si>
  <si>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</si>
  <si>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</si>
  <si>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</si>
  <si>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</si>
  <si>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</si>
  <si>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</si>
  <si>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</si>
  <si>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</si>
  <si>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</si>
  <si>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</si>
  <si>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</si>
  <si>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</si>
  <si>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</si>
  <si>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</si>
  <si>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</si>
  <si>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</si>
  <si>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</si>
  <si>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</si>
  <si>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</si>
  <si>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</si>
  <si>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</si>
  <si>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</si>
  <si>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</si>
  <si>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</si>
  <si>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</si>
  <si>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</si>
  <si>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</si>
  <si>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</si>
  <si>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</si>
  <si>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</si>
  <si>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</si>
  <si>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</si>
  <si>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</si>
  <si>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</si>
  <si>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</si>
  <si>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</si>
  <si>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</si>
  <si>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</si>
  <si>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</si>
  <si>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</si>
  <si>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</si>
  <si>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</si>
  <si>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</si>
  <si>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</si>
  <si>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</si>
  <si>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</si>
  <si>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</si>
  <si>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</si>
  <si>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</si>
  <si>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</si>
  <si>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</si>
  <si>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</si>
  <si>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</si>
  <si>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</si>
  <si>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</si>
  <si>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放銃</t>
  </si>
  <si>
    <t>ロン</t>
  </si>
  <si>
    <t>*</t>
  </si>
  <si>
    <t>01</t>
  </si>
  <si>
    <t>ツモ支払</t>
  </si>
  <si>
    <t>ツモ</t>
  </si>
  <si>
    <t>T</t>
  </si>
  <si>
    <t>N</t>
  </si>
  <si>
    <t>流局</t>
    <phoneticPr fontId="1"/>
  </si>
  <si>
    <t>いっしー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</si>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</sst>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402F-1AA0-45C3-AC7B-F628EA60A03E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135</v>
      </c>
      <c r="G1" s="67"/>
      <c r="H1" s="67"/>
      <c r="I1" s="68"/>
      <c r="J1" s="69"/>
      <c r="K1" s="66" t="s">
        <v>137</v>
      </c>
      <c r="L1" s="67"/>
      <c r="M1" s="67"/>
      <c r="N1" s="68"/>
      <c r="O1" s="69"/>
      <c r="P1" s="66" t="s">
        <v>148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いっしー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147</v>
      </c>
      <c r="F4" s="8" t="s">
        <v>138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139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IF($J4="","",ROUND(($J4-$J$3)/1000,1)+(2-_xlfn.RANK.AVG($J4,($J4,$O4,$T4)))*20)</f>
        <v>-32</v>
      </c>
      <c r="V4" s="54">
        <f>IF($O4="","",ROUND(($O4-$O$3)/1000,1)+(2-_xlfn.RANK.AVG($O4,($J4,$O4,$T4)))*20)</f>
        <v>32</v>
      </c>
      <c r="W4" s="55">
        <f>IF($T4="","",ROUND(($T4-$T$3)/1000,1)+(2-_xlfn.RANK.AVG($T4,($J4,$O4,$T4)))*20)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140</v>
      </c>
      <c r="AZ4" s="40" t="s">
        <v>101</v>
      </c>
      <c r="BA4" s="41" t="s">
        <v>81</v>
      </c>
      <c r="BB4" s="41" t="s">
        <v>81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134</v>
      </c>
      <c r="F5" s="8" t="s">
        <v>138</v>
      </c>
      <c r="G5" s="9">
        <v>-8000</v>
      </c>
      <c r="H5" s="9">
        <v>-1000</v>
      </c>
      <c r="I5" s="48">
        <v>0</v>
      </c>
      <c r="J5" s="21">
        <f t="shared" ref="J5:J30" si="2">IF(COUNTA($F5,$K5,$P5)&gt;0,J4+SUM(G5:I5),"")</f>
        <v>14000</v>
      </c>
      <c r="K5" s="8" t="s">
        <v>139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56000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IF($J5="","",ROUND(($J5-$J$3)/1000,1)+(2-_xlfn.RANK.AVG($J5,($J5,$O5,$T5)))*20)</f>
        <v>-41</v>
      </c>
      <c r="V5" s="54">
        <f>IF($O5="","",ROUND(($O5-$O$3)/1000,1)+(2-_xlfn.RANK.AVG($O5,($J5,$O5,$T5)))*20)</f>
        <v>41</v>
      </c>
      <c r="W5" s="55">
        <f>IF($T5="","",ROUND(($T5-$T$3)/1000,1)+(2-_xlfn.RANK.AVG($T5,($J5,$O5,$T5)))*20)</f>
        <v>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86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136</v>
      </c>
      <c r="F6" s="8"/>
      <c r="G6" s="9"/>
      <c r="H6" s="9"/>
      <c r="I6" s="48"/>
      <c r="J6" s="21">
        <f t="shared" si="2"/>
        <v>14000</v>
      </c>
      <c r="K6" s="8" t="s">
        <v>138</v>
      </c>
      <c r="L6" s="9">
        <v>-1000</v>
      </c>
      <c r="M6" s="9"/>
      <c r="N6" s="48">
        <v>0</v>
      </c>
      <c r="O6" s="21">
        <f t="shared" si="3"/>
        <v>55000</v>
      </c>
      <c r="P6" s="8" t="s">
        <v>139</v>
      </c>
      <c r="Q6" s="9">
        <v>1000</v>
      </c>
      <c r="R6" s="9"/>
      <c r="S6" s="48">
        <v>0</v>
      </c>
      <c r="T6" s="21">
        <f t="shared" si="4"/>
        <v>36000</v>
      </c>
      <c r="U6" s="53">
        <f>IF($J6="","",ROUND(($J6-$J$3)/1000,1)+(2-_xlfn.RANK.AVG($J6,($J6,$O6,$T6)))*20)</f>
        <v>-41</v>
      </c>
      <c r="V6" s="54">
        <f>IF($O6="","",ROUND(($O6-$O$3)/1000,1)+(2-_xlfn.RANK.AVG($O6,($J6,$O6,$T6)))*20)</f>
        <v>40</v>
      </c>
      <c r="W6" s="55">
        <f>IF($T6="","",ROUND(($T6-$T$3)/1000,1)+(2-_xlfn.RANK.AVG($T6,($J6,$O6,$T6)))*20)</f>
        <v>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147</v>
      </c>
      <c r="F7" s="8" t="s">
        <v>146</v>
      </c>
      <c r="G7" s="9">
        <v>-1500</v>
      </c>
      <c r="H7" s="9"/>
      <c r="I7" s="48"/>
      <c r="J7" s="21">
        <f t="shared" si="2"/>
        <v>12500</v>
      </c>
      <c r="K7" s="8" t="s">
        <v>146</v>
      </c>
      <c r="L7" s="9">
        <v>-1500</v>
      </c>
      <c r="M7" s="9"/>
      <c r="N7" s="48"/>
      <c r="O7" s="21">
        <f t="shared" si="3"/>
        <v>53500</v>
      </c>
      <c r="P7" s="8" t="s">
        <v>146</v>
      </c>
      <c r="Q7" s="9">
        <v>3000</v>
      </c>
      <c r="R7" s="9">
        <v>-1000</v>
      </c>
      <c r="S7" s="48"/>
      <c r="T7" s="21">
        <f t="shared" si="4"/>
        <v>38000</v>
      </c>
      <c r="U7" s="53">
        <f>IF($J7="","",ROUND(($J7-$J$3)/1000,1)+(2-_xlfn.RANK.AVG($J7,($J7,$O7,$T7)))*20)</f>
        <v>-42.5</v>
      </c>
      <c r="V7" s="54">
        <f>IF($O7="","",ROUND(($O7-$O$3)/1000,1)+(2-_xlfn.RANK.AVG($O7,($J7,$O7,$T7)))*20)</f>
        <v>38.5</v>
      </c>
      <c r="W7" s="55">
        <f>IF($T7="","",ROUND(($T7-$T$3)/1000,1)+(2-_xlfn.RANK.AVG($T7,($J7,$O7,$T7)))*20)</f>
        <v>3</v>
      </c>
      <c r="Y7" s="8" t="s">
        <v>145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147</v>
      </c>
      <c r="F8" s="8" t="s">
        <v>143</v>
      </c>
      <c r="G8" s="9">
        <v>16000</v>
      </c>
      <c r="H8" s="9">
        <v>1000</v>
      </c>
      <c r="I8" s="48">
        <v>1000</v>
      </c>
      <c r="J8" s="21">
        <f t="shared" si="2"/>
        <v>30500</v>
      </c>
      <c r="K8" s="8" t="s">
        <v>142</v>
      </c>
      <c r="L8" s="9">
        <v>-6000</v>
      </c>
      <c r="M8" s="9"/>
      <c r="N8" s="48">
        <v>-500</v>
      </c>
      <c r="O8" s="21">
        <f t="shared" si="3"/>
        <v>47000</v>
      </c>
      <c r="P8" s="8" t="s">
        <v>142</v>
      </c>
      <c r="Q8" s="9">
        <v>-10000</v>
      </c>
      <c r="R8" s="9"/>
      <c r="S8" s="48">
        <v>-500</v>
      </c>
      <c r="T8" s="21">
        <f t="shared" si="4"/>
        <v>27500</v>
      </c>
      <c r="U8" s="53">
        <f>IF($J8="","",ROUND(($J8-$J$3)/1000,1)+(2-_xlfn.RANK.AVG($J8,($J8,$O8,$T8)))*20)</f>
        <v>-4.5</v>
      </c>
      <c r="V8" s="54">
        <f>IF($O8="","",ROUND(($O8-$O$3)/1000,1)+(2-_xlfn.RANK.AVG($O8,($J8,$O8,$T8)))*20)</f>
        <v>32</v>
      </c>
      <c r="W8" s="55">
        <f>IF($T8="","",ROUND(($T8-$T$3)/1000,1)+(2-_xlfn.RANK.AVG($T8,($J8,$O8,$T8)))*20)</f>
        <v>-27.5</v>
      </c>
      <c r="Y8" s="8"/>
      <c r="Z8" s="34"/>
      <c r="AA8" s="26">
        <v>1</v>
      </c>
      <c r="AB8" s="26"/>
      <c r="AC8" s="26">
        <v>9</v>
      </c>
      <c r="AD8" s="30" t="s">
        <v>140</v>
      </c>
      <c r="AE8" s="40" t="s">
        <v>141</v>
      </c>
      <c r="AF8" s="41" t="s">
        <v>82</v>
      </c>
      <c r="AG8" s="41" t="s">
        <v>104</v>
      </c>
      <c r="AH8" s="41" t="s">
        <v>81</v>
      </c>
      <c r="AI8" s="41" t="s">
        <v>80</v>
      </c>
      <c r="AJ8" s="41" t="s">
        <v>80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134</v>
      </c>
      <c r="F9" s="8" t="s">
        <v>138</v>
      </c>
      <c r="G9" s="9">
        <v>-1300</v>
      </c>
      <c r="H9" s="9"/>
      <c r="I9" s="48">
        <v>0</v>
      </c>
      <c r="J9" s="21">
        <f t="shared" si="2"/>
        <v>29200</v>
      </c>
      <c r="K9" s="8"/>
      <c r="L9" s="9"/>
      <c r="M9" s="9"/>
      <c r="N9" s="48"/>
      <c r="O9" s="21">
        <f t="shared" si="3"/>
        <v>47000</v>
      </c>
      <c r="P9" s="8" t="s">
        <v>139</v>
      </c>
      <c r="Q9" s="9">
        <v>1300</v>
      </c>
      <c r="R9" s="9"/>
      <c r="S9" s="48">
        <v>0</v>
      </c>
      <c r="T9" s="21">
        <f t="shared" si="4"/>
        <v>28800</v>
      </c>
      <c r="U9" s="53">
        <f>IF($J9="","",ROUND(($J9-$J$3)/1000,1)+(2-_xlfn.RANK.AVG($J9,($J9,$O9,$T9)))*20)</f>
        <v>-5.8</v>
      </c>
      <c r="V9" s="54">
        <f>IF($O9="","",ROUND(($O9-$O$3)/1000,1)+(2-_xlfn.RANK.AVG($O9,($J9,$O9,$T9)))*20)</f>
        <v>32</v>
      </c>
      <c r="W9" s="55">
        <f>IF($T9="","",ROUND(($T9-$T$3)/1000,1)+(2-_xlfn.RANK.AVG($T9,($J9,$O9,$T9)))*20)</f>
        <v>-26.2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141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136</v>
      </c>
      <c r="F10" s="8" t="s">
        <v>143</v>
      </c>
      <c r="G10" s="9">
        <v>12000</v>
      </c>
      <c r="H10" s="9"/>
      <c r="I10" s="48">
        <v>0</v>
      </c>
      <c r="J10" s="21">
        <f t="shared" si="2"/>
        <v>41200</v>
      </c>
      <c r="K10" s="8" t="s">
        <v>142</v>
      </c>
      <c r="L10" s="9">
        <v>-7500</v>
      </c>
      <c r="M10" s="9"/>
      <c r="N10" s="48">
        <v>0</v>
      </c>
      <c r="O10" s="21">
        <f t="shared" si="3"/>
        <v>39500</v>
      </c>
      <c r="P10" s="8" t="s">
        <v>142</v>
      </c>
      <c r="Q10" s="9">
        <v>-4500</v>
      </c>
      <c r="R10" s="9"/>
      <c r="S10" s="48">
        <v>0</v>
      </c>
      <c r="T10" s="21">
        <f t="shared" si="4"/>
        <v>24300</v>
      </c>
      <c r="U10" s="53">
        <f>IF($J10="","",ROUND(($J10-$J$3)/1000,1)+(2-_xlfn.RANK.AVG($J10,($J10,$O10,$T10)))*20)</f>
        <v>26.2</v>
      </c>
      <c r="V10" s="54">
        <f>IF($O10="","",ROUND(($O10-$O$3)/1000,1)+(2-_xlfn.RANK.AVG($O10,($J10,$O10,$T10)))*20)</f>
        <v>4.5</v>
      </c>
      <c r="W10" s="55">
        <f>IF($T10="","",ROUND(($T10-$T$3)/1000,1)+(2-_xlfn.RANK.AVG($T10,($J10,$O10,$T10)))*20)</f>
        <v>-30.7</v>
      </c>
      <c r="Y10" s="8"/>
      <c r="Z10" s="34"/>
      <c r="AA10" s="26"/>
      <c r="AB10" s="26">
        <v>1</v>
      </c>
      <c r="AC10" s="26">
        <v>6</v>
      </c>
      <c r="AD10" s="30" t="s">
        <v>140</v>
      </c>
      <c r="AE10" s="40" t="s">
        <v>86</v>
      </c>
      <c r="AF10" s="41" t="s">
        <v>81</v>
      </c>
      <c r="AG10" s="41" t="s">
        <v>81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IF($J11="","",ROUND(($J11-$J$3)/1000,1)+(2-_xlfn.RANK.AVG($J11,($J11,$O11,$T11)))*20)</f>
        <v/>
      </c>
      <c r="V11" s="54" t="str">
        <f>IF($O11="","",ROUND(($O11-$O$3)/1000,1)+(2-_xlfn.RANK.AVG($O11,($J11,$O11,$T11)))*20)</f>
        <v/>
      </c>
      <c r="W11" s="55" t="str">
        <f>IF($T11="","",ROUND(($T11-$T$3)/1000,1)+(2-_xlfn.RANK.AVG($T11,($J11,$O11,$T11)))*20)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C84AD180-C7DA-4C77-AF9C-96925C2B63A3}">
      <formula1>"ロン,ツモ,放銃,ツモ支払,流局,チョンボ"</formula1>
    </dataValidation>
    <dataValidation type="list" allowBlank="1" showInputMessage="1" showErrorMessage="1" sqref="E4:E30" xr:uid="{CE3B9416-3BE4-4C4B-A142-1BB59BA044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594D5-EE2B-448F-8447-1269249B2C7B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135</v>
      </c>
      <c r="G1" s="67"/>
      <c r="H1" s="67"/>
      <c r="I1" s="68"/>
      <c r="J1" s="69"/>
      <c r="K1" s="66" t="s">
        <v>137</v>
      </c>
      <c r="L1" s="67"/>
      <c r="M1" s="67"/>
      <c r="N1" s="68"/>
      <c r="O1" s="69"/>
      <c r="P1" s="66" t="s">
        <v>148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いっしー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136</v>
      </c>
      <c r="F4" s="8" t="s">
        <v>139</v>
      </c>
      <c r="G4" s="9">
        <v>8000</v>
      </c>
      <c r="H4" s="9">
        <v>1000</v>
      </c>
      <c r="I4" s="48">
        <v>0</v>
      </c>
      <c r="J4" s="21">
        <f>IF(COUNTA($F4,$K4,$P4)&gt;0,J3+SUM(G4:I4),"")</f>
        <v>44000</v>
      </c>
      <c r="K4" s="8" t="s">
        <v>138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IF($J4="","",ROUND(($J4-$J$3)/1000,1)+(2-_xlfn.RANK.AVG($J4,($J4,$O4,$T4)))*20)</f>
        <v>29</v>
      </c>
      <c r="V4" s="54">
        <f>IF($O4="","",ROUND(($O4-$O$3)/1000,1)+(2-_xlfn.RANK.AVG($O4,($J4,$O4,$T4)))*20)</f>
        <v>-28</v>
      </c>
      <c r="W4" s="55">
        <f>IF($T4="","",ROUND(($T4-$T$3)/1000,1)+(2-_xlfn.RANK.AVG($T4,($J4,$O4,$T4)))*20)</f>
        <v>-1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81</v>
      </c>
      <c r="AH4" s="41" t="s">
        <v>81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147</v>
      </c>
      <c r="F5" s="8"/>
      <c r="G5" s="9"/>
      <c r="H5" s="9"/>
      <c r="I5" s="48"/>
      <c r="J5" s="21">
        <f t="shared" ref="J5:J30" si="2">IF(COUNTA($F5,$K5,$P5)&gt;0,J4+SUM(G5:I5),"")</f>
        <v>44000</v>
      </c>
      <c r="K5" s="8" t="s">
        <v>138</v>
      </c>
      <c r="L5" s="9">
        <v>-2900</v>
      </c>
      <c r="M5" s="9"/>
      <c r="N5" s="48">
        <v>0</v>
      </c>
      <c r="O5" s="21">
        <f t="shared" ref="O5:O30" si="3">IF(COUNTA($F5,$K5,$P5)&gt;0,O4+SUM(L5:N5),"")</f>
        <v>24100</v>
      </c>
      <c r="P5" s="8" t="s">
        <v>139</v>
      </c>
      <c r="Q5" s="9">
        <v>2900</v>
      </c>
      <c r="R5" s="9"/>
      <c r="S5" s="48">
        <v>0</v>
      </c>
      <c r="T5" s="21">
        <f t="shared" ref="T5:T30" si="4">IF(COUNTA($F5,$K5,$P5)&gt;0,T4+SUM(Q5:S5),"")</f>
        <v>36900</v>
      </c>
      <c r="U5" s="53">
        <f>IF($J5="","",ROUND(($J5-$J$3)/1000,1)+(2-_xlfn.RANK.AVG($J5,($J5,$O5,$T5)))*20)</f>
        <v>29</v>
      </c>
      <c r="V5" s="54">
        <f>IF($O5="","",ROUND(($O5-$O$3)/1000,1)+(2-_xlfn.RANK.AVG($O5,($J5,$O5,$T5)))*20)</f>
        <v>-30.9</v>
      </c>
      <c r="W5" s="55">
        <f>IF($T5="","",ROUND(($T5-$T$3)/1000,1)+(2-_xlfn.RANK.AVG($T5,($J5,$O5,$T5)))*20)</f>
        <v>1.9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81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147</v>
      </c>
      <c r="F6" s="8"/>
      <c r="G6" s="9"/>
      <c r="H6" s="9"/>
      <c r="I6" s="48"/>
      <c r="J6" s="21">
        <f t="shared" si="2"/>
        <v>44000</v>
      </c>
      <c r="K6" s="8" t="s">
        <v>139</v>
      </c>
      <c r="L6" s="9">
        <v>8000</v>
      </c>
      <c r="M6" s="9"/>
      <c r="N6" s="48">
        <v>1000</v>
      </c>
      <c r="O6" s="21">
        <f t="shared" si="3"/>
        <v>33100</v>
      </c>
      <c r="P6" s="8" t="s">
        <v>138</v>
      </c>
      <c r="Q6" s="9">
        <v>-8000</v>
      </c>
      <c r="R6" s="9"/>
      <c r="S6" s="48">
        <v>-1000</v>
      </c>
      <c r="T6" s="21">
        <f t="shared" si="4"/>
        <v>27900</v>
      </c>
      <c r="U6" s="53">
        <f>IF($J6="","",ROUND(($J6-$J$3)/1000,1)+(2-_xlfn.RANK.AVG($J6,($J6,$O6,$T6)))*20)</f>
        <v>29</v>
      </c>
      <c r="V6" s="54">
        <f>IF($O6="","",ROUND(($O6-$O$3)/1000,1)+(2-_xlfn.RANK.AVG($O6,($J6,$O6,$T6)))*20)</f>
        <v>-1.9</v>
      </c>
      <c r="W6" s="55">
        <f>IF($T6="","",ROUND(($T6-$T$3)/1000,1)+(2-_xlfn.RANK.AVG($T6,($J6,$O6,$T6)))*20)</f>
        <v>-27.1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81</v>
      </c>
      <c r="BA6" s="41" t="s">
        <v>81</v>
      </c>
      <c r="BB6" s="41" t="s">
        <v>86</v>
      </c>
      <c r="BC6" s="41" t="s">
        <v>93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134</v>
      </c>
      <c r="F7" s="8"/>
      <c r="G7" s="9"/>
      <c r="H7" s="9"/>
      <c r="I7" s="48"/>
      <c r="J7" s="21">
        <f t="shared" si="2"/>
        <v>44000</v>
      </c>
      <c r="K7" s="8" t="s">
        <v>139</v>
      </c>
      <c r="L7" s="9">
        <v>8000</v>
      </c>
      <c r="M7" s="9"/>
      <c r="N7" s="48">
        <v>0</v>
      </c>
      <c r="O7" s="21">
        <f t="shared" si="3"/>
        <v>41100</v>
      </c>
      <c r="P7" s="8" t="s">
        <v>138</v>
      </c>
      <c r="Q7" s="9">
        <v>-8000</v>
      </c>
      <c r="R7" s="9"/>
      <c r="S7" s="48">
        <v>0</v>
      </c>
      <c r="T7" s="21">
        <f t="shared" si="4"/>
        <v>19900</v>
      </c>
      <c r="U7" s="53">
        <f>IF($J7="","",ROUND(($J7-$J$3)/1000,1)+(2-_xlfn.RANK.AVG($J7,($J7,$O7,$T7)))*20)</f>
        <v>29</v>
      </c>
      <c r="V7" s="54">
        <f>IF($O7="","",ROUND(($O7-$O$3)/1000,1)+(2-_xlfn.RANK.AVG($O7,($J7,$O7,$T7)))*20)</f>
        <v>6.1</v>
      </c>
      <c r="W7" s="55">
        <f>IF($T7="","",ROUND(($T7-$T$3)/1000,1)+(2-_xlfn.RANK.AVG($T7,($J7,$O7,$T7)))*20)</f>
        <v>-35.1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140</v>
      </c>
      <c r="AZ7" s="40" t="s">
        <v>141</v>
      </c>
      <c r="BA7" s="41" t="s">
        <v>84</v>
      </c>
      <c r="BB7" s="41" t="s">
        <v>81</v>
      </c>
      <c r="BC7" s="41" t="s">
        <v>81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136</v>
      </c>
      <c r="F8" s="8" t="s">
        <v>139</v>
      </c>
      <c r="G8" s="9">
        <v>8000</v>
      </c>
      <c r="H8" s="9"/>
      <c r="I8" s="48">
        <v>0</v>
      </c>
      <c r="J8" s="21">
        <f t="shared" si="2"/>
        <v>52000</v>
      </c>
      <c r="K8" s="8"/>
      <c r="L8" s="9"/>
      <c r="M8" s="9"/>
      <c r="N8" s="48"/>
      <c r="O8" s="21">
        <f t="shared" si="3"/>
        <v>41100</v>
      </c>
      <c r="P8" s="8" t="s">
        <v>138</v>
      </c>
      <c r="Q8" s="9">
        <v>-8000</v>
      </c>
      <c r="R8" s="9"/>
      <c r="S8" s="48">
        <v>0</v>
      </c>
      <c r="T8" s="21">
        <f t="shared" si="4"/>
        <v>11900</v>
      </c>
      <c r="U8" s="53">
        <f>IF($J8="","",ROUND(($J8-$J$3)/1000,1)+(2-_xlfn.RANK.AVG($J8,($J8,$O8,$T8)))*20)</f>
        <v>37</v>
      </c>
      <c r="V8" s="54">
        <f>IF($O8="","",ROUND(($O8-$O$3)/1000,1)+(2-_xlfn.RANK.AVG($O8,($J8,$O8,$T8)))*20)</f>
        <v>6.1</v>
      </c>
      <c r="W8" s="55">
        <f>IF($T8="","",ROUND(($T8-$T$3)/1000,1)+(2-_xlfn.RANK.AVG($T8,($J8,$O8,$T8)))*20)</f>
        <v>-43.1</v>
      </c>
      <c r="Y8" s="8"/>
      <c r="Z8" s="34"/>
      <c r="AA8" s="26"/>
      <c r="AB8" s="26"/>
      <c r="AC8" s="26">
        <v>5</v>
      </c>
      <c r="AD8" s="30" t="s">
        <v>140</v>
      </c>
      <c r="AE8" s="40" t="s">
        <v>101</v>
      </c>
      <c r="AF8" s="41" t="s">
        <v>79</v>
      </c>
      <c r="AG8" s="41" t="s">
        <v>79</v>
      </c>
      <c r="AH8" s="41" t="s">
        <v>81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147</v>
      </c>
      <c r="F9" s="8" t="s">
        <v>146</v>
      </c>
      <c r="G9" s="9">
        <v>1500</v>
      </c>
      <c r="H9" s="9"/>
      <c r="I9" s="48"/>
      <c r="J9" s="21">
        <f t="shared" si="2"/>
        <v>53500</v>
      </c>
      <c r="K9" s="8" t="s">
        <v>146</v>
      </c>
      <c r="L9" s="9">
        <v>-3000</v>
      </c>
      <c r="M9" s="9"/>
      <c r="N9" s="48"/>
      <c r="O9" s="21">
        <f t="shared" si="3"/>
        <v>38100</v>
      </c>
      <c r="P9" s="8" t="s">
        <v>146</v>
      </c>
      <c r="Q9" s="9">
        <v>1500</v>
      </c>
      <c r="R9" s="9">
        <v>-1000</v>
      </c>
      <c r="S9" s="48"/>
      <c r="T9" s="21">
        <f t="shared" si="4"/>
        <v>12400</v>
      </c>
      <c r="U9" s="53">
        <f>IF($J9="","",ROUND(($J9-$J$3)/1000,1)+(2-_xlfn.RANK.AVG($J9,($J9,$O9,$T9)))*20)</f>
        <v>38.5</v>
      </c>
      <c r="V9" s="54">
        <f>IF($O9="","",ROUND(($O9-$O$3)/1000,1)+(2-_xlfn.RANK.AVG($O9,($J9,$O9,$T9)))*20)</f>
        <v>3.1</v>
      </c>
      <c r="W9" s="55">
        <f>IF($T9="","",ROUND(($T9-$T$3)/1000,1)+(2-_xlfn.RANK.AVG($T9,($J9,$O9,$T9)))*20)</f>
        <v>-42.6</v>
      </c>
      <c r="Y9" s="8" t="s">
        <v>144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145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147</v>
      </c>
      <c r="F10" s="8" t="s">
        <v>143</v>
      </c>
      <c r="G10" s="9">
        <v>2100</v>
      </c>
      <c r="H10" s="9">
        <v>3000</v>
      </c>
      <c r="I10" s="48">
        <v>1000</v>
      </c>
      <c r="J10" s="21">
        <f t="shared" si="2"/>
        <v>59600</v>
      </c>
      <c r="K10" s="8" t="s">
        <v>142</v>
      </c>
      <c r="L10" s="9">
        <v>-800</v>
      </c>
      <c r="M10" s="9">
        <v>-1000</v>
      </c>
      <c r="N10" s="48">
        <v>-500</v>
      </c>
      <c r="O10" s="21">
        <f t="shared" si="3"/>
        <v>35800</v>
      </c>
      <c r="P10" s="8" t="s">
        <v>142</v>
      </c>
      <c r="Q10" s="9">
        <v>-1300</v>
      </c>
      <c r="R10" s="9">
        <v>-1000</v>
      </c>
      <c r="S10" s="48">
        <v>-500</v>
      </c>
      <c r="T10" s="21">
        <f t="shared" si="4"/>
        <v>9600</v>
      </c>
      <c r="U10" s="53">
        <f>IF($J10="","",ROUND(($J10-$J$3)/1000,1)+(2-_xlfn.RANK.AVG($J10,($J10,$O10,$T10)))*20)</f>
        <v>44.6</v>
      </c>
      <c r="V10" s="54">
        <f>IF($O10="","",ROUND(($O10-$O$3)/1000,1)+(2-_xlfn.RANK.AVG($O10,($J10,$O10,$T10)))*20)</f>
        <v>0.8</v>
      </c>
      <c r="W10" s="55">
        <f>IF($T10="","",ROUND(($T10-$T$3)/1000,1)+(2-_xlfn.RANK.AVG($T10,($J10,$O10,$T10)))*20)</f>
        <v>-45.4</v>
      </c>
      <c r="Y10" s="8"/>
      <c r="Z10" s="34"/>
      <c r="AA10" s="26"/>
      <c r="AB10" s="26"/>
      <c r="AC10" s="26">
        <v>2</v>
      </c>
      <c r="AD10" s="30">
        <v>30</v>
      </c>
      <c r="AE10" s="40" t="s">
        <v>82</v>
      </c>
      <c r="AF10" s="41" t="s">
        <v>81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134</v>
      </c>
      <c r="F11" s="8" t="s">
        <v>138</v>
      </c>
      <c r="G11" s="9">
        <v>-12000</v>
      </c>
      <c r="H11" s="9"/>
      <c r="I11" s="48">
        <v>0</v>
      </c>
      <c r="J11" s="21">
        <f t="shared" si="2"/>
        <v>47600</v>
      </c>
      <c r="K11" s="8"/>
      <c r="L11" s="9"/>
      <c r="M11" s="9"/>
      <c r="N11" s="48"/>
      <c r="O11" s="21">
        <f t="shared" si="3"/>
        <v>35800</v>
      </c>
      <c r="P11" s="8" t="s">
        <v>139</v>
      </c>
      <c r="Q11" s="9">
        <v>12000</v>
      </c>
      <c r="R11" s="9"/>
      <c r="S11" s="48">
        <v>0</v>
      </c>
      <c r="T11" s="21">
        <f t="shared" si="4"/>
        <v>21600</v>
      </c>
      <c r="U11" s="53">
        <f>IF($J11="","",ROUND(($J11-$J$3)/1000,1)+(2-_xlfn.RANK.AVG($J11,($J11,$O11,$T11)))*20)</f>
        <v>32.6</v>
      </c>
      <c r="V11" s="54">
        <f>IF($O11="","",ROUND(($O11-$O$3)/1000,1)+(2-_xlfn.RANK.AVG($O11,($J11,$O11,$T11)))*20)</f>
        <v>0.8</v>
      </c>
      <c r="W11" s="55">
        <f>IF($T11="","",ROUND(($T11-$T$3)/1000,1)+(2-_xlfn.RANK.AVG($T11,($J11,$O11,$T11)))*20)</f>
        <v>-33.4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6</v>
      </c>
      <c r="BT11" s="30" t="s">
        <v>140</v>
      </c>
      <c r="BU11" s="40" t="s">
        <v>104</v>
      </c>
      <c r="BV11" s="41" t="s">
        <v>86</v>
      </c>
      <c r="BW11" s="41" t="s">
        <v>86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1854D7A9-6B32-40A9-B888-5CF1261D8BB8}">
      <formula1>$U$2:$W$2</formula1>
    </dataValidation>
    <dataValidation type="list" showInputMessage="1" showErrorMessage="1" sqref="K4:K30 P4:P30 F4:F30" xr:uid="{13B8BFBD-FC8D-4555-9C48-4E9C5F75FE6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2019-02-20T06:44:47Z</dcterms:modified>
</cp:coreProperties>
</file>