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9F5C5C62-C831-49A3-A3B1-A630DD1AA135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84" r:id="rId5"/>
    <sheet name="だいち" sheetId="4886" r:id="rId6"/>
    <sheet name="かこたろう" sheetId="4888" r:id="rId7"/>
    <sheet name="ともき" sheetId="4890" r:id="rId8"/>
    <sheet name="りくと" sheetId="4892" r:id="rId9"/>
    <sheet name="いっしー" sheetId="4894" r:id="rId10"/>
    <sheet name="がくと" sheetId="4896" r:id="rId11"/>
    <sheet name="たかの" sheetId="4898" r:id="rId12"/>
    <sheet name="ただ" sheetId="4900" r:id="rId13"/>
    <sheet name="やがさき" sheetId="4902" r:id="rId14"/>
    <sheet name="れんたろう" sheetId="4904" r:id="rId15"/>
    <sheet name="あさひ" sheetId="4906" r:id="rId16"/>
    <sheet name="まっつん" sheetId="4908" r:id="rId17"/>
    <sheet name="ぱぱ" sheetId="4910" r:id="rId18"/>
    <sheet name="ぱぱ2" sheetId="4911" state="hidden" r:id="rId19"/>
    <sheet name="まっつん2" sheetId="4909" state="hidden" r:id="rId20"/>
    <sheet name="あさひ2" sheetId="4907" state="hidden" r:id="rId21"/>
    <sheet name="れんたろう2" sheetId="4905" state="hidden" r:id="rId22"/>
    <sheet name="やがさき2" sheetId="4903" state="hidden" r:id="rId23"/>
    <sheet name="ただ2" sheetId="4901" state="hidden" r:id="rId24"/>
    <sheet name="たかの2" sheetId="4899" state="hidden" r:id="rId25"/>
    <sheet name="がくと2" sheetId="4897" state="hidden" r:id="rId26"/>
    <sheet name="いっしー2" sheetId="4895" state="hidden" r:id="rId27"/>
    <sheet name="りくと2" sheetId="4893" state="hidden" r:id="rId28"/>
    <sheet name="ともき2" sheetId="4891" state="hidden" r:id="rId29"/>
    <sheet name="かこたろう2" sheetId="4889" state="hidden" r:id="rId30"/>
    <sheet name="だいち2" sheetId="4887" state="hidden" r:id="rId31"/>
    <sheet name="全体2" sheetId="4885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あさひ!$B$29</definedName>
    <definedName name="newアガリ" localSheetId="9">いっしー!$B$29</definedName>
    <definedName name="newアガリ" localSheetId="10">がくと!$B$29</definedName>
    <definedName name="newアガリ" localSheetId="6">かこたろう!$B$29</definedName>
    <definedName name="newアガリ" localSheetId="5">だいち!$B$29</definedName>
    <definedName name="newアガリ" localSheetId="11">たかの!$B$29</definedName>
    <definedName name="newアガリ" localSheetId="12">ただ!$B$29</definedName>
    <definedName name="newアガリ" localSheetId="7">ともき!$B$29</definedName>
    <definedName name="newアガリ" localSheetId="17">ぱぱ!$B$29</definedName>
    <definedName name="newアガリ" localSheetId="16">まっつん!$B$29</definedName>
    <definedName name="newアガリ" localSheetId="13">やがさき!$B$29</definedName>
    <definedName name="newアガリ" localSheetId="8">りくと!$B$29</definedName>
    <definedName name="newアガリ" localSheetId="14">れんたろう!$B$29</definedName>
    <definedName name="newアガリ" localSheetId="4">全体!$B$29</definedName>
    <definedName name="newアガリ">Template1!$B$29</definedName>
    <definedName name="new局数" localSheetId="15">あさひ!$B$28</definedName>
    <definedName name="new局数" localSheetId="9">いっしー!$B$28</definedName>
    <definedName name="new局数" localSheetId="10">がくと!$B$28</definedName>
    <definedName name="new局数" localSheetId="6">かこたろう!$B$28</definedName>
    <definedName name="new局数" localSheetId="5">だいち!$B$28</definedName>
    <definedName name="new局数" localSheetId="11">たかの!$B$28</definedName>
    <definedName name="new局数" localSheetId="12">ただ!$B$28</definedName>
    <definedName name="new局数" localSheetId="7">ともき!$B$28</definedName>
    <definedName name="new局数" localSheetId="17">ぱぱ!$B$28</definedName>
    <definedName name="new局数" localSheetId="16">まっつん!$B$28</definedName>
    <definedName name="new局数" localSheetId="13">やがさき!$B$28</definedName>
    <definedName name="new局数" localSheetId="8">りくと!$B$28</definedName>
    <definedName name="new局数" localSheetId="14">れんたろう!$B$28</definedName>
    <definedName name="new局数" localSheetId="4">全体!$B$28</definedName>
    <definedName name="new局数">Template1!$B$28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あさひ!$B$27</definedName>
    <definedName name="チョンボ数" localSheetId="9">いっしー!$B$27</definedName>
    <definedName name="チョンボ数" localSheetId="10">がくと!$B$27</definedName>
    <definedName name="チョンボ数" localSheetId="6">かこたろう!$B$27</definedName>
    <definedName name="チョンボ数" localSheetId="5">だいち!$B$27</definedName>
    <definedName name="チョンボ数" localSheetId="11">たかの!$B$27</definedName>
    <definedName name="チョンボ数" localSheetId="12">ただ!$B$27</definedName>
    <definedName name="チョンボ数" localSheetId="7">ともき!$B$27</definedName>
    <definedName name="チョンボ数" localSheetId="17">ぱぱ!$B$27</definedName>
    <definedName name="チョンボ数" localSheetId="16">まっつん!$B$27</definedName>
    <definedName name="チョンボ数" localSheetId="13">やがさき!$B$27</definedName>
    <definedName name="チョンボ数" localSheetId="8">りくと!$B$27</definedName>
    <definedName name="チョンボ数" localSheetId="14">れんたろう!$B$27</definedName>
    <definedName name="チョンボ数" localSheetId="4">全体!$B$27</definedName>
    <definedName name="チョンボ数">Template1!$B$27</definedName>
    <definedName name="チョンボ率" localSheetId="15">あさひ!$C$27</definedName>
    <definedName name="チョンボ率" localSheetId="9">いっしー!$C$27</definedName>
    <definedName name="チョンボ率" localSheetId="10">がくと!$C$27</definedName>
    <definedName name="チョンボ率" localSheetId="6">かこたろう!$C$27</definedName>
    <definedName name="チョンボ率" localSheetId="5">だいち!$C$27</definedName>
    <definedName name="チョンボ率" localSheetId="11">たかの!$C$27</definedName>
    <definedName name="チョンボ率" localSheetId="12">ただ!$C$27</definedName>
    <definedName name="チョンボ率" localSheetId="7">ともき!$C$27</definedName>
    <definedName name="チョンボ率" localSheetId="17">ぱぱ!$C$27</definedName>
    <definedName name="チョンボ率" localSheetId="16">まっつん!$C$27</definedName>
    <definedName name="チョンボ率" localSheetId="13">やがさき!$C$27</definedName>
    <definedName name="チョンボ率" localSheetId="8">りくと!$C$27</definedName>
    <definedName name="チョンボ率" localSheetId="14">れんたろう!$C$27</definedName>
    <definedName name="チョンボ率" localSheetId="4">全体!$C$27</definedName>
    <definedName name="チョンボ率">Template1!$C$27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あさひ!$B$25</definedName>
    <definedName name="最大ドラ数" localSheetId="9">いっしー!$B$25</definedName>
    <definedName name="最大ドラ数" localSheetId="10">がくと!$B$25</definedName>
    <definedName name="最大ドラ数" localSheetId="6">かこたろう!$B$25</definedName>
    <definedName name="最大ドラ数" localSheetId="5">だいち!$B$25</definedName>
    <definedName name="最大ドラ数" localSheetId="11">たかの!$B$25</definedName>
    <definedName name="最大ドラ数" localSheetId="12">ただ!$B$25</definedName>
    <definedName name="最大ドラ数" localSheetId="7">ともき!$B$25</definedName>
    <definedName name="最大ドラ数" localSheetId="17">ぱぱ!$B$25</definedName>
    <definedName name="最大ドラ数" localSheetId="16">まっつん!$B$25</definedName>
    <definedName name="最大ドラ数" localSheetId="13">やがさき!$B$25</definedName>
    <definedName name="最大ドラ数" localSheetId="8">りくと!$B$25</definedName>
    <definedName name="最大ドラ数" localSheetId="14">れんたろう!$B$25</definedName>
    <definedName name="最大ドラ数" localSheetId="4">全体!$B$25</definedName>
    <definedName name="最大ドラ数">Template1!$B$25</definedName>
    <definedName name="最大点数" localSheetId="15">あさひ!$B$26</definedName>
    <definedName name="最大点数" localSheetId="9">いっしー!$B$26</definedName>
    <definedName name="最大点数" localSheetId="10">がくと!$B$26</definedName>
    <definedName name="最大点数" localSheetId="6">かこたろう!$B$26</definedName>
    <definedName name="最大点数" localSheetId="5">だいち!$B$26</definedName>
    <definedName name="最大点数" localSheetId="11">たかの!$B$26</definedName>
    <definedName name="最大点数" localSheetId="12">ただ!$B$26</definedName>
    <definedName name="最大点数" localSheetId="7">ともき!$B$26</definedName>
    <definedName name="最大点数" localSheetId="17">ぱぱ!$B$26</definedName>
    <definedName name="最大点数" localSheetId="16">まっつん!$B$26</definedName>
    <definedName name="最大点数" localSheetId="13">やがさき!$B$26</definedName>
    <definedName name="最大点数" localSheetId="8">りくと!$B$26</definedName>
    <definedName name="最大点数" localSheetId="14">れんたろう!$B$26</definedName>
    <definedName name="最大点数" localSheetId="4">全体!$B$26</definedName>
    <definedName name="最大点数">Template1!$B$26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900" l="1"/>
  <c r="O20" i="4910"/>
  <c r="O15" i="4904" l="1"/>
  <c r="O19" i="4910"/>
  <c r="O15" i="4892" l="1"/>
  <c r="O21" i="4910"/>
  <c r="O18" i="4902" l="1"/>
  <c r="O18" i="4910"/>
  <c r="O16" i="4910"/>
  <c r="O18" i="4886"/>
  <c r="O21" i="4894"/>
  <c r="O17" i="4894"/>
  <c r="O15" i="4910"/>
  <c r="O17" i="4910"/>
  <c r="H50" i="4910"/>
  <c r="H49" i="4910"/>
  <c r="H48" i="4910"/>
  <c r="H47" i="4910"/>
  <c r="H46" i="4910"/>
  <c r="H45" i="4910"/>
  <c r="H44" i="4910"/>
  <c r="H43" i="4910"/>
  <c r="H42" i="4910"/>
  <c r="H41" i="4910"/>
  <c r="H40" i="4910"/>
  <c r="H39" i="4910"/>
  <c r="H38" i="4910"/>
  <c r="H37" i="4910"/>
  <c r="H36" i="4910"/>
  <c r="H35" i="4910"/>
  <c r="H34" i="4910"/>
  <c r="H33" i="4910"/>
  <c r="H32" i="4910"/>
  <c r="H31" i="4910"/>
  <c r="H30" i="4910"/>
  <c r="H29" i="4910"/>
  <c r="H9" i="4910"/>
  <c r="H28" i="4910"/>
  <c r="C27" i="4910"/>
  <c r="H27" i="4910"/>
  <c r="H13" i="4910"/>
  <c r="H26" i="4910"/>
  <c r="B24" i="4910"/>
  <c r="H25" i="4910"/>
  <c r="H10" i="4910"/>
  <c r="H24" i="4910"/>
  <c r="H12" i="4910"/>
  <c r="C20" i="4910"/>
  <c r="H23" i="4910"/>
  <c r="H11" i="4910"/>
  <c r="H22" i="4910"/>
  <c r="B17" i="4910"/>
  <c r="C19" i="4910" s="1"/>
  <c r="H21" i="4910"/>
  <c r="C16" i="4910"/>
  <c r="H20" i="4910"/>
  <c r="C15" i="4910"/>
  <c r="H19" i="4910"/>
  <c r="C14" i="4910"/>
  <c r="H18" i="4910"/>
  <c r="C13" i="4910"/>
  <c r="O12" i="4910"/>
  <c r="H17" i="4910"/>
  <c r="C12" i="4910"/>
  <c r="O11" i="4910"/>
  <c r="H3" i="4910"/>
  <c r="C11" i="4910"/>
  <c r="O10" i="4910"/>
  <c r="H16" i="4910"/>
  <c r="C10" i="4910"/>
  <c r="H8" i="4910"/>
  <c r="C9" i="4910"/>
  <c r="H15" i="4910"/>
  <c r="C8" i="4910"/>
  <c r="O7" i="4910"/>
  <c r="H7" i="4910"/>
  <c r="C7" i="4910"/>
  <c r="O6" i="4910"/>
  <c r="H2" i="4910"/>
  <c r="B6" i="4910"/>
  <c r="O5" i="4910"/>
  <c r="H6" i="4910"/>
  <c r="B5" i="4910"/>
  <c r="O4" i="4910"/>
  <c r="H4" i="4910"/>
  <c r="O3" i="4910"/>
  <c r="H14" i="4910"/>
  <c r="O2" i="4910"/>
  <c r="H5" i="4910"/>
  <c r="O20" i="4908"/>
  <c r="O19" i="4908"/>
  <c r="O17" i="4884"/>
  <c r="B23" i="4910" l="1"/>
  <c r="C17" i="4910"/>
  <c r="C18" i="4910"/>
  <c r="O15" i="4894" l="1"/>
  <c r="O21" i="4902"/>
  <c r="O20" i="4902"/>
  <c r="O17" i="4904"/>
  <c r="O19" i="4892" l="1"/>
  <c r="O16" i="4902"/>
  <c r="O19" i="4900"/>
  <c r="O17" i="4902"/>
  <c r="O21" i="4892" l="1"/>
  <c r="O16" i="4908"/>
  <c r="O22" i="4908" l="1"/>
  <c r="O17" i="4886"/>
  <c r="O21" i="4900" l="1"/>
  <c r="O17" i="4906"/>
  <c r="O15" i="4896"/>
  <c r="O16" i="4896"/>
  <c r="O18" i="4904"/>
  <c r="O25" i="4904"/>
  <c r="O15" i="4908"/>
  <c r="O17" i="4908"/>
  <c r="O19" i="4894"/>
  <c r="O18" i="4898"/>
  <c r="O21" i="4908" l="1"/>
  <c r="O18" i="4908"/>
  <c r="H50" i="4908"/>
  <c r="H49" i="4908"/>
  <c r="H48" i="4908"/>
  <c r="H47" i="4908"/>
  <c r="H46" i="4908"/>
  <c r="H45" i="4908"/>
  <c r="H44" i="4908"/>
  <c r="H43" i="4908"/>
  <c r="H42" i="4908"/>
  <c r="H41" i="4908"/>
  <c r="H40" i="4908"/>
  <c r="H39" i="4908"/>
  <c r="H38" i="4908"/>
  <c r="H37" i="4908"/>
  <c r="H36" i="4908"/>
  <c r="H35" i="4908"/>
  <c r="H34" i="4908"/>
  <c r="H33" i="4908"/>
  <c r="H32" i="4908"/>
  <c r="H21" i="4908"/>
  <c r="H20" i="4908"/>
  <c r="H31" i="4908"/>
  <c r="H8" i="4908"/>
  <c r="H30" i="4908"/>
  <c r="C27" i="4908"/>
  <c r="H29" i="4908"/>
  <c r="H11" i="4908"/>
  <c r="H19" i="4908"/>
  <c r="B24" i="4908"/>
  <c r="H28" i="4908"/>
  <c r="H7" i="4908"/>
  <c r="H27" i="4908"/>
  <c r="H14" i="4908"/>
  <c r="C20" i="4908"/>
  <c r="H26" i="4908"/>
  <c r="H17" i="4908"/>
  <c r="H13" i="4908"/>
  <c r="B17" i="4908"/>
  <c r="B23" i="4908" s="1"/>
  <c r="H18" i="4908"/>
  <c r="C16" i="4908"/>
  <c r="H25" i="4908"/>
  <c r="C15" i="4908"/>
  <c r="H24" i="4908"/>
  <c r="C14" i="4908"/>
  <c r="H23" i="4908"/>
  <c r="C13" i="4908"/>
  <c r="O12" i="4908"/>
  <c r="H22" i="4908"/>
  <c r="C12" i="4908"/>
  <c r="O11" i="4908"/>
  <c r="H3" i="4908"/>
  <c r="C11" i="4908"/>
  <c r="O10" i="4908"/>
  <c r="H16" i="4908"/>
  <c r="C10" i="4908"/>
  <c r="H10" i="4908"/>
  <c r="C9" i="4908"/>
  <c r="H15" i="4908"/>
  <c r="C8" i="4908"/>
  <c r="O7" i="4908"/>
  <c r="H6" i="4908"/>
  <c r="C7" i="4908"/>
  <c r="O6" i="4908"/>
  <c r="H2" i="4908"/>
  <c r="B6" i="4908"/>
  <c r="O5" i="4908"/>
  <c r="H9" i="4908"/>
  <c r="B5" i="4908"/>
  <c r="O4" i="4908"/>
  <c r="H4" i="4908"/>
  <c r="O3" i="4908"/>
  <c r="H12" i="4908"/>
  <c r="O2" i="4908"/>
  <c r="H5" i="4908"/>
  <c r="O15" i="4898"/>
  <c r="O16" i="4900"/>
  <c r="O18" i="4884"/>
  <c r="O24" i="4894"/>
  <c r="O18" i="4896"/>
  <c r="O18" i="4906"/>
  <c r="O15" i="4906"/>
  <c r="C17" i="4908" l="1"/>
  <c r="C19" i="4908"/>
  <c r="C18" i="4908"/>
  <c r="O22" i="4904" l="1"/>
  <c r="O16" i="4892"/>
  <c r="O16" i="4890"/>
  <c r="O18" i="4890"/>
  <c r="O16" i="4904"/>
  <c r="O24" i="4892"/>
  <c r="O27" i="4884"/>
  <c r="O19" i="4906"/>
  <c r="O16" i="4906"/>
  <c r="H50" i="4906"/>
  <c r="H49" i="4906"/>
  <c r="H48" i="4906"/>
  <c r="H47" i="4906"/>
  <c r="H46" i="4906"/>
  <c r="H45" i="4906"/>
  <c r="H44" i="4906"/>
  <c r="H43" i="4906"/>
  <c r="H42" i="4906"/>
  <c r="H41" i="4906"/>
  <c r="H40" i="4906"/>
  <c r="H39" i="4906"/>
  <c r="H38" i="4906"/>
  <c r="H37" i="4906"/>
  <c r="H36" i="4906"/>
  <c r="H35" i="4906"/>
  <c r="H34" i="4906"/>
  <c r="H33" i="4906"/>
  <c r="H32" i="4906"/>
  <c r="H31" i="4906"/>
  <c r="H14" i="4906"/>
  <c r="H30" i="4906"/>
  <c r="H12" i="4906"/>
  <c r="H29" i="4906"/>
  <c r="C27" i="4906"/>
  <c r="H28" i="4906"/>
  <c r="H11" i="4906"/>
  <c r="H27" i="4906"/>
  <c r="B24" i="4906"/>
  <c r="H26" i="4906"/>
  <c r="H25" i="4906"/>
  <c r="H24" i="4906"/>
  <c r="H23" i="4906"/>
  <c r="C20" i="4906"/>
  <c r="H22" i="4906"/>
  <c r="H21" i="4906"/>
  <c r="H20" i="4906"/>
  <c r="B17" i="4906"/>
  <c r="C19" i="4906" s="1"/>
  <c r="H19" i="4906"/>
  <c r="C16" i="4906"/>
  <c r="H18" i="4906"/>
  <c r="C15" i="4906"/>
  <c r="H17" i="4906"/>
  <c r="C14" i="4906"/>
  <c r="H16" i="4906"/>
  <c r="C13" i="4906"/>
  <c r="O12" i="4906"/>
  <c r="H15" i="4906"/>
  <c r="C12" i="4906"/>
  <c r="O11" i="4906"/>
  <c r="H5" i="4906"/>
  <c r="C11" i="4906"/>
  <c r="O10" i="4906"/>
  <c r="H13" i="4906"/>
  <c r="C10" i="4906"/>
  <c r="H8" i="4906"/>
  <c r="C9" i="4906"/>
  <c r="H10" i="4906"/>
  <c r="C8" i="4906"/>
  <c r="O7" i="4906"/>
  <c r="H7" i="4906"/>
  <c r="C7" i="4906"/>
  <c r="O6" i="4906"/>
  <c r="H4" i="4906"/>
  <c r="B6" i="4906"/>
  <c r="O5" i="4906"/>
  <c r="H6" i="4906"/>
  <c r="B5" i="4906"/>
  <c r="O4" i="4906"/>
  <c r="H3" i="4906"/>
  <c r="O3" i="4906"/>
  <c r="H9" i="4906"/>
  <c r="O2" i="4906"/>
  <c r="H2" i="4906"/>
  <c r="C17" i="4906" l="1"/>
  <c r="B23" i="4906"/>
  <c r="C18" i="4906"/>
  <c r="O17" i="4898" l="1"/>
  <c r="O20" i="4904"/>
  <c r="O17" i="4892"/>
  <c r="O20" i="4898"/>
  <c r="O23" i="4900" l="1"/>
  <c r="O22" i="4894"/>
  <c r="O17" i="4900" l="1"/>
  <c r="O24" i="4904"/>
  <c r="O25" i="4894" l="1"/>
  <c r="O19" i="4904"/>
  <c r="O18" i="4892" l="1"/>
  <c r="O23" i="4904"/>
  <c r="O21" i="4904"/>
  <c r="H50" i="4904"/>
  <c r="H49" i="4904"/>
  <c r="H48" i="4904"/>
  <c r="H47" i="4904"/>
  <c r="H46" i="4904"/>
  <c r="H45" i="4904"/>
  <c r="H44" i="4904"/>
  <c r="H43" i="4904"/>
  <c r="H42" i="4904"/>
  <c r="H41" i="4904"/>
  <c r="H40" i="4904"/>
  <c r="H39" i="4904"/>
  <c r="H38" i="4904"/>
  <c r="H37" i="4904"/>
  <c r="H36" i="4904"/>
  <c r="H35" i="4904"/>
  <c r="H34" i="4904"/>
  <c r="H33" i="4904"/>
  <c r="H21" i="4904"/>
  <c r="H28" i="4904"/>
  <c r="H17" i="4904"/>
  <c r="H27" i="4904"/>
  <c r="H9" i="4904"/>
  <c r="H32" i="4904"/>
  <c r="C27" i="4904"/>
  <c r="H26" i="4904"/>
  <c r="H12" i="4904"/>
  <c r="H25" i="4904"/>
  <c r="B24" i="4904"/>
  <c r="H24" i="4904"/>
  <c r="H15" i="4904"/>
  <c r="H31" i="4904"/>
  <c r="H16" i="4904"/>
  <c r="C20" i="4904"/>
  <c r="H30" i="4904"/>
  <c r="H19" i="4904"/>
  <c r="H13" i="4904"/>
  <c r="B17" i="4904"/>
  <c r="C19" i="4904" s="1"/>
  <c r="H23" i="4904"/>
  <c r="C16" i="4904"/>
  <c r="H29" i="4904"/>
  <c r="C15" i="4904"/>
  <c r="H20" i="4904"/>
  <c r="C14" i="4904"/>
  <c r="H22" i="4904"/>
  <c r="C13" i="4904"/>
  <c r="O12" i="4904"/>
  <c r="H18" i="4904"/>
  <c r="C12" i="4904"/>
  <c r="O11" i="4904"/>
  <c r="H5" i="4904"/>
  <c r="C11" i="4904"/>
  <c r="O10" i="4904"/>
  <c r="H14" i="4904"/>
  <c r="C10" i="4904"/>
  <c r="H10" i="4904"/>
  <c r="C9" i="4904"/>
  <c r="H8" i="4904"/>
  <c r="C8" i="4904"/>
  <c r="O7" i="4904"/>
  <c r="H7" i="4904"/>
  <c r="C7" i="4904"/>
  <c r="O6" i="4904"/>
  <c r="H2" i="4904"/>
  <c r="B6" i="4904"/>
  <c r="O5" i="4904"/>
  <c r="H6" i="4904"/>
  <c r="B5" i="4904"/>
  <c r="O4" i="4904"/>
  <c r="H3" i="4904"/>
  <c r="O3" i="4904"/>
  <c r="H11" i="4904"/>
  <c r="O2" i="4904"/>
  <c r="H4" i="4904"/>
  <c r="O20" i="4886"/>
  <c r="O22" i="4884"/>
  <c r="B23" i="4904" l="1"/>
  <c r="C18" i="4904"/>
  <c r="C17" i="4904"/>
  <c r="O22" i="4892"/>
  <c r="O18" i="4900"/>
  <c r="O15" i="4902" l="1"/>
  <c r="O19" i="4902"/>
  <c r="H50" i="4902"/>
  <c r="H49" i="4902"/>
  <c r="H48" i="4902"/>
  <c r="H47" i="4902"/>
  <c r="H46" i="4902"/>
  <c r="H45" i="4902"/>
  <c r="H44" i="4902"/>
  <c r="H43" i="4902"/>
  <c r="H42" i="4902"/>
  <c r="H41" i="4902"/>
  <c r="H40" i="4902"/>
  <c r="H39" i="4902"/>
  <c r="H38" i="4902"/>
  <c r="H37" i="4902"/>
  <c r="H36" i="4902"/>
  <c r="H35" i="4902"/>
  <c r="H34" i="4902"/>
  <c r="H33" i="4902"/>
  <c r="H32" i="4902"/>
  <c r="H19" i="4902"/>
  <c r="H18" i="4902"/>
  <c r="H31" i="4902"/>
  <c r="H9" i="4902"/>
  <c r="H30" i="4902"/>
  <c r="C27" i="4902"/>
  <c r="H29" i="4902"/>
  <c r="H17" i="4902"/>
  <c r="H28" i="4902"/>
  <c r="B24" i="4902"/>
  <c r="H27" i="4902"/>
  <c r="H16" i="4902"/>
  <c r="H26" i="4902"/>
  <c r="H25" i="4902"/>
  <c r="C20" i="4902"/>
  <c r="H24" i="4902"/>
  <c r="H15" i="4902"/>
  <c r="H13" i="4902"/>
  <c r="B17" i="4902"/>
  <c r="C19" i="4902" s="1"/>
  <c r="H23" i="4902"/>
  <c r="C16" i="4902"/>
  <c r="H22" i="4902"/>
  <c r="C15" i="4902"/>
  <c r="H21" i="4902"/>
  <c r="C14" i="4902"/>
  <c r="H20" i="4902"/>
  <c r="C13" i="4902"/>
  <c r="O12" i="4902"/>
  <c r="H14" i="4902"/>
  <c r="C12" i="4902"/>
  <c r="O11" i="4902"/>
  <c r="H6" i="4902"/>
  <c r="C11" i="4902"/>
  <c r="O10" i="4902"/>
  <c r="H12" i="4902"/>
  <c r="C10" i="4902"/>
  <c r="H11" i="4902"/>
  <c r="C9" i="4902"/>
  <c r="H10" i="4902"/>
  <c r="C8" i="4902"/>
  <c r="O7" i="4902"/>
  <c r="H7" i="4902"/>
  <c r="C7" i="4902"/>
  <c r="O6" i="4902"/>
  <c r="H2" i="4902"/>
  <c r="B6" i="4902"/>
  <c r="O5" i="4902"/>
  <c r="H4" i="4902"/>
  <c r="B5" i="4902"/>
  <c r="O4" i="4902"/>
  <c r="H5" i="4902"/>
  <c r="O3" i="4902"/>
  <c r="H8" i="4902"/>
  <c r="O2" i="4902"/>
  <c r="H3" i="4902"/>
  <c r="O21" i="4898"/>
  <c r="O22" i="4886"/>
  <c r="O23" i="4884"/>
  <c r="C18" i="4902" l="1"/>
  <c r="B23" i="4902"/>
  <c r="C17" i="4902"/>
  <c r="O16" i="4894" l="1"/>
  <c r="O15" i="4888"/>
  <c r="O22" i="4900" l="1"/>
  <c r="O20" i="4900"/>
  <c r="H50" i="4900"/>
  <c r="H49" i="4900"/>
  <c r="H48" i="4900"/>
  <c r="H47" i="4900"/>
  <c r="H46" i="4900"/>
  <c r="H45" i="4900"/>
  <c r="H44" i="4900"/>
  <c r="H43" i="4900"/>
  <c r="H42" i="4900"/>
  <c r="H41" i="4900"/>
  <c r="H40" i="4900"/>
  <c r="H39" i="4900"/>
  <c r="H38" i="4900"/>
  <c r="H37" i="4900"/>
  <c r="H36" i="4900"/>
  <c r="H35" i="4900"/>
  <c r="H34" i="4900"/>
  <c r="H33" i="4900"/>
  <c r="H21" i="4900"/>
  <c r="H32" i="4900"/>
  <c r="H17" i="4900"/>
  <c r="H31" i="4900"/>
  <c r="H9" i="4900"/>
  <c r="H30" i="4900"/>
  <c r="C27" i="4900"/>
  <c r="H29" i="4900"/>
  <c r="H15" i="4900"/>
  <c r="H28" i="4900"/>
  <c r="B24" i="4900"/>
  <c r="H24" i="4900"/>
  <c r="H16" i="4900"/>
  <c r="H27" i="4900"/>
  <c r="H14" i="4900"/>
  <c r="C20" i="4900"/>
  <c r="H26" i="4900"/>
  <c r="H20" i="4900"/>
  <c r="H13" i="4900"/>
  <c r="B17" i="4900"/>
  <c r="B23" i="4900" s="1"/>
  <c r="H19" i="4900"/>
  <c r="C16" i="4900"/>
  <c r="H25" i="4900"/>
  <c r="C15" i="4900"/>
  <c r="H23" i="4900"/>
  <c r="C14" i="4900"/>
  <c r="H22" i="4900"/>
  <c r="C13" i="4900"/>
  <c r="O12" i="4900"/>
  <c r="H18" i="4900"/>
  <c r="C12" i="4900"/>
  <c r="O11" i="4900"/>
  <c r="H4" i="4900"/>
  <c r="C11" i="4900"/>
  <c r="O10" i="4900"/>
  <c r="H12" i="4900"/>
  <c r="C10" i="4900"/>
  <c r="H11" i="4900"/>
  <c r="C9" i="4900"/>
  <c r="H8" i="4900"/>
  <c r="C8" i="4900"/>
  <c r="O7" i="4900"/>
  <c r="H7" i="4900"/>
  <c r="C7" i="4900"/>
  <c r="O6" i="4900"/>
  <c r="H2" i="4900"/>
  <c r="B6" i="4900"/>
  <c r="O5" i="4900"/>
  <c r="H6" i="4900"/>
  <c r="B5" i="4900"/>
  <c r="O4" i="4900"/>
  <c r="H3" i="4900"/>
  <c r="O3" i="4900"/>
  <c r="H10" i="4900"/>
  <c r="O2" i="4900"/>
  <c r="H5" i="4900"/>
  <c r="O19" i="4898"/>
  <c r="O16" i="4898"/>
  <c r="H50" i="4898"/>
  <c r="H49" i="4898"/>
  <c r="H48" i="4898"/>
  <c r="H47" i="4898"/>
  <c r="H46" i="4898"/>
  <c r="H45" i="4898"/>
  <c r="H44" i="4898"/>
  <c r="H43" i="4898"/>
  <c r="H42" i="4898"/>
  <c r="H41" i="4898"/>
  <c r="H40" i="4898"/>
  <c r="H39" i="4898"/>
  <c r="H38" i="4898"/>
  <c r="H37" i="4898"/>
  <c r="H36" i="4898"/>
  <c r="H35" i="4898"/>
  <c r="H34" i="4898"/>
  <c r="H33" i="4898"/>
  <c r="H32" i="4898"/>
  <c r="H31" i="4898"/>
  <c r="H30" i="4898"/>
  <c r="H29" i="4898"/>
  <c r="H10" i="4898"/>
  <c r="H28" i="4898"/>
  <c r="C27" i="4898"/>
  <c r="H27" i="4898"/>
  <c r="H14" i="4898"/>
  <c r="H26" i="4898"/>
  <c r="B24" i="4898"/>
  <c r="H25" i="4898"/>
  <c r="H17" i="4898"/>
  <c r="H24" i="4898"/>
  <c r="H15" i="4898"/>
  <c r="C20" i="4898"/>
  <c r="H23" i="4898"/>
  <c r="H16" i="4898"/>
  <c r="H13" i="4898"/>
  <c r="B17" i="4898"/>
  <c r="C19" i="4898" s="1"/>
  <c r="H19" i="4898"/>
  <c r="C16" i="4898"/>
  <c r="H22" i="4898"/>
  <c r="C15" i="4898"/>
  <c r="H18" i="4898"/>
  <c r="C14" i="4898"/>
  <c r="H21" i="4898"/>
  <c r="C13" i="4898"/>
  <c r="O12" i="4898"/>
  <c r="H20" i="4898"/>
  <c r="C12" i="4898"/>
  <c r="O11" i="4898"/>
  <c r="H4" i="4898"/>
  <c r="C11" i="4898"/>
  <c r="O10" i="4898"/>
  <c r="H12" i="4898"/>
  <c r="C10" i="4898"/>
  <c r="H11" i="4898"/>
  <c r="C9" i="4898"/>
  <c r="H9" i="4898"/>
  <c r="C8" i="4898"/>
  <c r="O7" i="4898"/>
  <c r="H6" i="4898"/>
  <c r="C7" i="4898"/>
  <c r="O6" i="4898"/>
  <c r="H2" i="4898"/>
  <c r="B6" i="4898"/>
  <c r="O5" i="4898"/>
  <c r="H8" i="4898"/>
  <c r="B5" i="4898"/>
  <c r="O4" i="4898"/>
  <c r="H3" i="4898"/>
  <c r="O3" i="4898"/>
  <c r="H7" i="4898"/>
  <c r="O2" i="4898"/>
  <c r="H5" i="4898"/>
  <c r="O24" i="4886"/>
  <c r="O19" i="4886"/>
  <c r="O24" i="4884"/>
  <c r="O19" i="4884"/>
  <c r="C17" i="4900" l="1"/>
  <c r="C19" i="4900"/>
  <c r="C18" i="4900"/>
  <c r="B23" i="4898"/>
  <c r="C18" i="4898"/>
  <c r="C17" i="4898"/>
  <c r="O18" i="4894" l="1"/>
  <c r="O19" i="4896"/>
  <c r="O17" i="4896"/>
  <c r="H50" i="4896"/>
  <c r="H49" i="4896"/>
  <c r="H48" i="4896"/>
  <c r="H47" i="4896"/>
  <c r="H46" i="4896"/>
  <c r="H45" i="4896"/>
  <c r="H44" i="4896"/>
  <c r="H43" i="4896"/>
  <c r="H42" i="4896"/>
  <c r="H41" i="4896"/>
  <c r="H40" i="4896"/>
  <c r="H39" i="4896"/>
  <c r="H38" i="4896"/>
  <c r="H37" i="4896"/>
  <c r="H36" i="4896"/>
  <c r="H35" i="4896"/>
  <c r="H34" i="4896"/>
  <c r="H33" i="4896"/>
  <c r="H32" i="4896"/>
  <c r="H31" i="4896"/>
  <c r="H30" i="4896"/>
  <c r="H29" i="4896"/>
  <c r="H28" i="4896"/>
  <c r="H27" i="4896"/>
  <c r="C27" i="4896"/>
  <c r="H26" i="4896"/>
  <c r="H11" i="4896"/>
  <c r="H25" i="4896"/>
  <c r="B24" i="4896"/>
  <c r="H24" i="4896"/>
  <c r="H23" i="4896"/>
  <c r="H22" i="4896"/>
  <c r="H21" i="4896"/>
  <c r="C20" i="4896"/>
  <c r="H20" i="4896"/>
  <c r="H8" i="4896"/>
  <c r="H19" i="4896"/>
  <c r="B17" i="4896"/>
  <c r="B23" i="4896" s="1"/>
  <c r="H18" i="4896"/>
  <c r="C16" i="4896"/>
  <c r="H17" i="4896"/>
  <c r="C15" i="4896"/>
  <c r="H16" i="4896"/>
  <c r="C14" i="4896"/>
  <c r="H15" i="4896"/>
  <c r="C13" i="4896"/>
  <c r="O12" i="4896"/>
  <c r="H14" i="4896"/>
  <c r="C12" i="4896"/>
  <c r="O11" i="4896"/>
  <c r="H5" i="4896"/>
  <c r="C11" i="4896"/>
  <c r="O10" i="4896"/>
  <c r="H13" i="4896"/>
  <c r="C10" i="4896"/>
  <c r="H12" i="4896"/>
  <c r="C9" i="4896"/>
  <c r="H10" i="4896"/>
  <c r="C8" i="4896"/>
  <c r="O7" i="4896"/>
  <c r="H6" i="4896"/>
  <c r="C7" i="4896"/>
  <c r="O6" i="4896"/>
  <c r="H3" i="4896"/>
  <c r="B6" i="4896"/>
  <c r="O5" i="4896"/>
  <c r="H7" i="4896"/>
  <c r="B5" i="4896"/>
  <c r="O4" i="4896"/>
  <c r="H9" i="4896"/>
  <c r="O3" i="4896"/>
  <c r="H4" i="4896"/>
  <c r="O2" i="4896"/>
  <c r="H2" i="4896"/>
  <c r="O15" i="4886"/>
  <c r="O16" i="4884"/>
  <c r="C17" i="4896" l="1"/>
  <c r="C19" i="4896"/>
  <c r="C18" i="4896"/>
  <c r="O20" i="4894" l="1"/>
  <c r="O23" i="4894"/>
  <c r="H50" i="4894"/>
  <c r="H49" i="4894"/>
  <c r="H48" i="4894"/>
  <c r="H47" i="4894"/>
  <c r="H46" i="4894"/>
  <c r="H45" i="4894"/>
  <c r="H44" i="4894"/>
  <c r="H43" i="4894"/>
  <c r="H42" i="4894"/>
  <c r="H41" i="4894"/>
  <c r="H40" i="4894"/>
  <c r="H39" i="4894"/>
  <c r="H38" i="4894"/>
  <c r="H37" i="4894"/>
  <c r="H36" i="4894"/>
  <c r="H35" i="4894"/>
  <c r="H34" i="4894"/>
  <c r="H33" i="4894"/>
  <c r="H18" i="4894"/>
  <c r="H32" i="4894"/>
  <c r="H16" i="4894"/>
  <c r="H31" i="4894"/>
  <c r="H10" i="4894"/>
  <c r="H30" i="4894"/>
  <c r="C27" i="4894"/>
  <c r="H29" i="4894"/>
  <c r="H14" i="4894"/>
  <c r="H28" i="4894"/>
  <c r="B24" i="4894"/>
  <c r="H27" i="4894"/>
  <c r="H9" i="4894"/>
  <c r="H26" i="4894"/>
  <c r="H13" i="4894"/>
  <c r="C20" i="4894"/>
  <c r="H25" i="4894"/>
  <c r="H24" i="4894"/>
  <c r="H17" i="4894"/>
  <c r="B17" i="4894"/>
  <c r="B23" i="4894" s="1"/>
  <c r="H23" i="4894"/>
  <c r="C16" i="4894"/>
  <c r="H22" i="4894"/>
  <c r="C15" i="4894"/>
  <c r="H21" i="4894"/>
  <c r="C14" i="4894"/>
  <c r="H20" i="4894"/>
  <c r="C13" i="4894"/>
  <c r="O12" i="4894"/>
  <c r="H19" i="4894"/>
  <c r="C12" i="4894"/>
  <c r="O11" i="4894"/>
  <c r="H4" i="4894"/>
  <c r="C11" i="4894"/>
  <c r="O10" i="4894"/>
  <c r="H15" i="4894"/>
  <c r="C10" i="4894"/>
  <c r="H12" i="4894"/>
  <c r="C9" i="4894"/>
  <c r="H8" i="4894"/>
  <c r="C8" i="4894"/>
  <c r="O7" i="4894"/>
  <c r="H6" i="4894"/>
  <c r="C7" i="4894"/>
  <c r="O6" i="4894"/>
  <c r="H2" i="4894"/>
  <c r="B6" i="4894"/>
  <c r="O5" i="4894"/>
  <c r="H7" i="4894"/>
  <c r="B5" i="4894"/>
  <c r="O4" i="4894"/>
  <c r="H3" i="4894"/>
  <c r="O3" i="4894"/>
  <c r="H11" i="4894"/>
  <c r="O2" i="4894"/>
  <c r="H5" i="4894"/>
  <c r="O20" i="4892"/>
  <c r="O23" i="4892"/>
  <c r="H50" i="4892"/>
  <c r="H49" i="4892"/>
  <c r="H48" i="4892"/>
  <c r="H47" i="4892"/>
  <c r="H46" i="4892"/>
  <c r="H45" i="4892"/>
  <c r="H44" i="4892"/>
  <c r="H43" i="4892"/>
  <c r="H42" i="4892"/>
  <c r="H41" i="4892"/>
  <c r="H40" i="4892"/>
  <c r="H39" i="4892"/>
  <c r="H38" i="4892"/>
  <c r="H37" i="4892"/>
  <c r="H36" i="4892"/>
  <c r="H35" i="4892"/>
  <c r="H34" i="4892"/>
  <c r="H33" i="4892"/>
  <c r="H32" i="4892"/>
  <c r="H21" i="4892"/>
  <c r="H16" i="4892"/>
  <c r="H31" i="4892"/>
  <c r="H8" i="4892"/>
  <c r="H27" i="4892"/>
  <c r="C27" i="4892"/>
  <c r="H26" i="4892"/>
  <c r="H12" i="4892"/>
  <c r="H20" i="4892"/>
  <c r="B24" i="4892"/>
  <c r="H19" i="4892"/>
  <c r="H13" i="4892"/>
  <c r="H30" i="4892"/>
  <c r="H14" i="4892"/>
  <c r="C20" i="4892"/>
  <c r="H25" i="4892"/>
  <c r="H18" i="4892"/>
  <c r="H17" i="4892"/>
  <c r="B17" i="4892"/>
  <c r="B23" i="4892" s="1"/>
  <c r="H29" i="4892"/>
  <c r="C16" i="4892"/>
  <c r="H28" i="4892"/>
  <c r="C15" i="4892"/>
  <c r="H24" i="4892"/>
  <c r="C14" i="4892"/>
  <c r="H23" i="4892"/>
  <c r="C13" i="4892"/>
  <c r="O12" i="4892"/>
  <c r="H22" i="4892"/>
  <c r="C12" i="4892"/>
  <c r="O11" i="4892"/>
  <c r="H5" i="4892"/>
  <c r="C11" i="4892"/>
  <c r="O10" i="4892"/>
  <c r="H15" i="4892"/>
  <c r="C10" i="4892"/>
  <c r="H11" i="4892"/>
  <c r="C9" i="4892"/>
  <c r="H9" i="4892"/>
  <c r="C8" i="4892"/>
  <c r="O7" i="4892"/>
  <c r="H6" i="4892"/>
  <c r="C7" i="4892"/>
  <c r="O6" i="4892"/>
  <c r="H2" i="4892"/>
  <c r="B6" i="4892"/>
  <c r="O5" i="4892"/>
  <c r="H7" i="4892"/>
  <c r="B5" i="4892"/>
  <c r="O4" i="4892"/>
  <c r="H3" i="4892"/>
  <c r="O3" i="4892"/>
  <c r="H10" i="4892"/>
  <c r="O2" i="4892"/>
  <c r="H4" i="4892"/>
  <c r="O25" i="4886"/>
  <c r="O21" i="4886"/>
  <c r="O25" i="4884"/>
  <c r="O21" i="4884"/>
  <c r="C17" i="4894" l="1"/>
  <c r="C19" i="4894"/>
  <c r="C18" i="4894"/>
  <c r="C17" i="4892"/>
  <c r="C19" i="4892"/>
  <c r="C18" i="4892"/>
  <c r="O15" i="4890" l="1"/>
  <c r="O17" i="4890"/>
  <c r="H50" i="4890"/>
  <c r="H49" i="4890"/>
  <c r="H48" i="4890"/>
  <c r="H47" i="4890"/>
  <c r="H46" i="4890"/>
  <c r="H45" i="4890"/>
  <c r="H44" i="4890"/>
  <c r="H43" i="4890"/>
  <c r="H42" i="4890"/>
  <c r="H41" i="4890"/>
  <c r="H40" i="4890"/>
  <c r="H39" i="4890"/>
  <c r="H38" i="4890"/>
  <c r="H37" i="4890"/>
  <c r="H36" i="4890"/>
  <c r="H35" i="4890"/>
  <c r="H34" i="4890"/>
  <c r="H33" i="4890"/>
  <c r="H32" i="4890"/>
  <c r="H31" i="4890"/>
  <c r="H30" i="4890"/>
  <c r="H29" i="4890"/>
  <c r="H7" i="4890"/>
  <c r="H28" i="4890"/>
  <c r="C27" i="4890"/>
  <c r="H27" i="4890"/>
  <c r="H12" i="4890"/>
  <c r="H26" i="4890"/>
  <c r="B24" i="4890"/>
  <c r="H25" i="4890"/>
  <c r="H11" i="4890"/>
  <c r="H24" i="4890"/>
  <c r="H23" i="4890"/>
  <c r="C20" i="4890"/>
  <c r="H22" i="4890"/>
  <c r="H21" i="4890"/>
  <c r="H20" i="4890"/>
  <c r="B17" i="4890"/>
  <c r="B23" i="4890" s="1"/>
  <c r="H19" i="4890"/>
  <c r="C16" i="4890"/>
  <c r="H18" i="4890"/>
  <c r="C15" i="4890"/>
  <c r="H17" i="4890"/>
  <c r="C14" i="4890"/>
  <c r="H16" i="4890"/>
  <c r="C13" i="4890"/>
  <c r="O12" i="4890"/>
  <c r="H15" i="4890"/>
  <c r="C12" i="4890"/>
  <c r="O11" i="4890"/>
  <c r="H3" i="4890"/>
  <c r="C11" i="4890"/>
  <c r="O10" i="4890"/>
  <c r="H10" i="4890"/>
  <c r="C10" i="4890"/>
  <c r="H14" i="4890"/>
  <c r="C9" i="4890"/>
  <c r="H9" i="4890"/>
  <c r="C8" i="4890"/>
  <c r="O7" i="4890"/>
  <c r="H8" i="4890"/>
  <c r="C7" i="4890"/>
  <c r="O6" i="4890"/>
  <c r="H6" i="4890"/>
  <c r="B6" i="4890"/>
  <c r="O5" i="4890"/>
  <c r="H5" i="4890"/>
  <c r="B5" i="4890"/>
  <c r="O4" i="4890"/>
  <c r="H2" i="4890"/>
  <c r="O3" i="4890"/>
  <c r="H13" i="4890"/>
  <c r="O2" i="4890"/>
  <c r="H4" i="4890"/>
  <c r="O17" i="4888"/>
  <c r="O16" i="4888"/>
  <c r="H50" i="4888"/>
  <c r="H49" i="4888"/>
  <c r="H48" i="4888"/>
  <c r="H47" i="4888"/>
  <c r="H46" i="4888"/>
  <c r="H45" i="4888"/>
  <c r="H44" i="4888"/>
  <c r="H43" i="4888"/>
  <c r="H42" i="4888"/>
  <c r="H41" i="4888"/>
  <c r="H40" i="4888"/>
  <c r="H39" i="4888"/>
  <c r="H38" i="4888"/>
  <c r="H37" i="4888"/>
  <c r="H36" i="4888"/>
  <c r="H35" i="4888"/>
  <c r="H34" i="4888"/>
  <c r="H33" i="4888"/>
  <c r="H32" i="4888"/>
  <c r="H31" i="4888"/>
  <c r="H30" i="4888"/>
  <c r="H29" i="4888"/>
  <c r="H28" i="4888"/>
  <c r="H27" i="4888"/>
  <c r="C27" i="4888"/>
  <c r="H26" i="4888"/>
  <c r="H25" i="4888"/>
  <c r="H24" i="4888"/>
  <c r="B24" i="4888"/>
  <c r="H23" i="4888"/>
  <c r="H22" i="4888"/>
  <c r="H21" i="4888"/>
  <c r="H20" i="4888"/>
  <c r="C20" i="4888"/>
  <c r="H19" i="4888"/>
  <c r="H18" i="4888"/>
  <c r="H17" i="4888"/>
  <c r="C17" i="4888"/>
  <c r="B17" i="4888"/>
  <c r="B23" i="4888" s="1"/>
  <c r="H16" i="4888"/>
  <c r="C16" i="4888"/>
  <c r="H15" i="4888"/>
  <c r="C15" i="4888"/>
  <c r="H14" i="4888"/>
  <c r="C14" i="4888"/>
  <c r="H13" i="4888"/>
  <c r="C13" i="4888"/>
  <c r="O12" i="4888"/>
  <c r="H12" i="4888"/>
  <c r="C12" i="4888"/>
  <c r="O11" i="4888"/>
  <c r="H11" i="4888"/>
  <c r="C11" i="4888"/>
  <c r="O10" i="4888"/>
  <c r="H10" i="4888"/>
  <c r="C10" i="4888"/>
  <c r="H9" i="4888"/>
  <c r="C9" i="4888"/>
  <c r="H8" i="4888"/>
  <c r="C8" i="4888"/>
  <c r="O7" i="4888"/>
  <c r="H7" i="4888"/>
  <c r="C7" i="4888"/>
  <c r="O6" i="4888"/>
  <c r="H6" i="4888"/>
  <c r="B6" i="4888"/>
  <c r="O5" i="4888"/>
  <c r="H5" i="4888"/>
  <c r="B5" i="4888"/>
  <c r="O4" i="4888"/>
  <c r="H4" i="4888"/>
  <c r="O3" i="4888"/>
  <c r="H3" i="4888"/>
  <c r="O2" i="4888"/>
  <c r="H2" i="4888"/>
  <c r="O26" i="4884"/>
  <c r="O23" i="4886"/>
  <c r="O16" i="4886"/>
  <c r="H50" i="4886"/>
  <c r="H49" i="4886"/>
  <c r="H48" i="4886"/>
  <c r="H47" i="4886"/>
  <c r="H46" i="4886"/>
  <c r="H29" i="4886"/>
  <c r="H45" i="4886"/>
  <c r="H44" i="4886"/>
  <c r="H43" i="4886"/>
  <c r="H42" i="4886"/>
  <c r="H41" i="4886"/>
  <c r="H40" i="4886"/>
  <c r="H39" i="4886"/>
  <c r="H38" i="4886"/>
  <c r="H37" i="4886"/>
  <c r="H36" i="4886"/>
  <c r="H28" i="4886"/>
  <c r="H35" i="4886"/>
  <c r="H27" i="4886"/>
  <c r="H23" i="4886"/>
  <c r="H16" i="4886"/>
  <c r="H26" i="4886"/>
  <c r="H8" i="4886"/>
  <c r="H34" i="4886"/>
  <c r="C27" i="4886"/>
  <c r="H25" i="4886"/>
  <c r="H12" i="4886"/>
  <c r="H22" i="4886"/>
  <c r="B24" i="4886"/>
  <c r="H33" i="4886"/>
  <c r="H14" i="4886"/>
  <c r="H32" i="4886"/>
  <c r="H15" i="4886"/>
  <c r="C20" i="4886"/>
  <c r="H31" i="4886"/>
  <c r="H18" i="4886"/>
  <c r="H17" i="4886"/>
  <c r="B17" i="4886"/>
  <c r="B23" i="4886" s="1"/>
  <c r="H20" i="4886"/>
  <c r="C16" i="4886"/>
  <c r="H30" i="4886"/>
  <c r="C15" i="4886"/>
  <c r="H19" i="4886"/>
  <c r="C14" i="4886"/>
  <c r="H24" i="4886"/>
  <c r="C13" i="4886"/>
  <c r="O12" i="4886"/>
  <c r="H21" i="4886"/>
  <c r="C12" i="4886"/>
  <c r="O11" i="4886"/>
  <c r="H5" i="4886"/>
  <c r="C11" i="4886"/>
  <c r="O10" i="4886"/>
  <c r="H13" i="4886"/>
  <c r="C10" i="4886"/>
  <c r="H11" i="4886"/>
  <c r="C9" i="4886"/>
  <c r="H9" i="4886"/>
  <c r="C8" i="4886"/>
  <c r="O7" i="4886"/>
  <c r="H7" i="4886"/>
  <c r="C7" i="4886"/>
  <c r="O6" i="4886"/>
  <c r="H2" i="4886"/>
  <c r="B6" i="4886"/>
  <c r="O5" i="4886"/>
  <c r="H6" i="4886"/>
  <c r="B5" i="4886"/>
  <c r="O4" i="4886"/>
  <c r="H3" i="4886"/>
  <c r="O3" i="4886"/>
  <c r="H10" i="4886"/>
  <c r="O2" i="4886"/>
  <c r="H4" i="4886"/>
  <c r="O20" i="4884"/>
  <c r="O15" i="4884"/>
  <c r="H50" i="4884"/>
  <c r="H49" i="4884"/>
  <c r="H48" i="4884"/>
  <c r="H47" i="4884"/>
  <c r="H46" i="4884"/>
  <c r="H32" i="4884"/>
  <c r="H45" i="4884"/>
  <c r="H44" i="4884"/>
  <c r="H43" i="4884"/>
  <c r="H42" i="4884"/>
  <c r="H41" i="4884"/>
  <c r="H40" i="4884"/>
  <c r="H39" i="4884"/>
  <c r="H38" i="4884"/>
  <c r="H37" i="4884"/>
  <c r="H36" i="4884"/>
  <c r="H31" i="4884"/>
  <c r="H35" i="4884"/>
  <c r="H24" i="4884"/>
  <c r="H22" i="4884"/>
  <c r="H17" i="4884"/>
  <c r="H28" i="4884"/>
  <c r="H8" i="4884"/>
  <c r="H30" i="4884"/>
  <c r="C27" i="4884"/>
  <c r="H27" i="4884"/>
  <c r="H12" i="4884"/>
  <c r="H23" i="4884"/>
  <c r="B24" i="4884"/>
  <c r="H26" i="4884"/>
  <c r="H14" i="4884"/>
  <c r="H34" i="4884"/>
  <c r="H15" i="4884"/>
  <c r="C20" i="4884"/>
  <c r="H29" i="4884"/>
  <c r="H18" i="4884"/>
  <c r="H16" i="4884"/>
  <c r="B17" i="4884"/>
  <c r="B23" i="4884" s="1"/>
  <c r="H21" i="4884"/>
  <c r="C16" i="4884"/>
  <c r="H33" i="4884"/>
  <c r="C15" i="4884"/>
  <c r="H20" i="4884"/>
  <c r="C14" i="4884"/>
  <c r="H25" i="4884"/>
  <c r="C13" i="4884"/>
  <c r="O12" i="4884"/>
  <c r="H19" i="4884"/>
  <c r="C12" i="4884"/>
  <c r="O11" i="4884"/>
  <c r="H4" i="4884"/>
  <c r="C11" i="4884"/>
  <c r="O10" i="4884"/>
  <c r="H13" i="4884"/>
  <c r="C10" i="4884"/>
  <c r="H11" i="4884"/>
  <c r="C9" i="4884"/>
  <c r="H9" i="4884"/>
  <c r="C8" i="4884"/>
  <c r="O7" i="4884"/>
  <c r="H6" i="4884"/>
  <c r="C7" i="4884"/>
  <c r="O6" i="4884"/>
  <c r="H2" i="4884"/>
  <c r="B6" i="4884"/>
  <c r="O5" i="4884"/>
  <c r="H7" i="4884"/>
  <c r="B5" i="4884"/>
  <c r="O4" i="4884"/>
  <c r="H3" i="4884"/>
  <c r="O3" i="4884"/>
  <c r="H10" i="4884"/>
  <c r="O2" i="4884"/>
  <c r="H5" i="4884"/>
  <c r="C17" i="4890" l="1"/>
  <c r="C19" i="4890"/>
  <c r="C18" i="4890"/>
  <c r="C19" i="4888"/>
  <c r="C18" i="4888"/>
  <c r="C17" i="4886"/>
  <c r="C19" i="4886"/>
  <c r="C18" i="4886"/>
  <c r="C17" i="4884"/>
  <c r="C19" i="4884"/>
  <c r="C18" i="488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H22" i="4774"/>
  <c r="H21" i="4774"/>
  <c r="H20" i="4774"/>
  <c r="C20" i="4774"/>
  <c r="H19" i="4774"/>
  <c r="H18" i="4774"/>
  <c r="H17" i="4774"/>
  <c r="C17" i="4774"/>
  <c r="B17" i="4774"/>
  <c r="C19" i="4774" s="1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8" i="4774" l="1"/>
  <c r="B23" i="4774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<sst xmlns="http://schemas.openxmlformats.org/spreadsheetml/2006/main" count="3597" uniqueCount="261">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</sst>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A53-99CF-1B1B7B6F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E08-91BF-6791F4D0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E20-B1D5-412DA882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9CF-BCE4-8DD15CC3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1-4480-A0A8-B9DC2C40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401-B557-2AD4EAA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D-4F39-A7ED-383EF735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9-4DAE-A07A-EAE376A8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F-41BE-8E63-3DB500B8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5-4496-9A2D-650C599F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F-42CA-8765-E351DC43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465-A977-E252D244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AAA-913E-36FDF03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A-4AAD-8023-2E0CD0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F-495A-8CFC-55BD4192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C-46D7-8264-900CF6A25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2-4BCE-A66A-BF92CC9C5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44-A750-18188FD4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8-4BEE-85D3-FD14650C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1-44C6-A475-FA57D9FB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D-4B78-98A2-682DA36C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E-4928-BD76-A7ADA17F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8-4836-BB51-2B87A158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D22-AD12-BFCBCD0B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7-49E4-A470-DBD26FF4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48B9-B96C-33D18CF8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6-4212-8CCC-F213DC6B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04D-8D73-44CF38BC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209</v>
      </c>
      <c r="B2" s="3">
        <v>43560.923958333333</v>
      </c>
      <c r="C2" s="2" t="s">
        <v>130</v>
      </c>
    </row>
    <row r="3" spans="1:14" x14ac:dyDescent="0.4">
      <c r="A3" s="2" t="s">
        <v>211</v>
      </c>
      <c r="B3" s="3">
        <v>43560.923958333333</v>
      </c>
      <c r="C3" s="2" t="s">
        <v>130</v>
      </c>
    </row>
    <row r="4" spans="1:14" x14ac:dyDescent="0.4">
      <c r="A4" s="2" t="s">
        <v>212</v>
      </c>
      <c r="B4" s="3">
        <v>43560.923958333333</v>
      </c>
      <c r="C4" s="2" t="s">
        <v>130</v>
      </c>
    </row>
    <row r="5" spans="1:14" x14ac:dyDescent="0.4">
      <c r="A5" s="2" t="s">
        <v>213</v>
      </c>
      <c r="B5" s="3">
        <v>43560.923958333333</v>
      </c>
      <c r="C5" s="2" t="s">
        <v>130</v>
      </c>
      <c r="D5" s="2" t="s">
        <v>131</v>
      </c>
      <c r="E5" s="2" t="s">
        <v>166</v>
      </c>
      <c r="F5" s="2" t="s">
        <v>170</v>
      </c>
      <c r="G5" s="2" t="s">
        <v>171</v>
      </c>
    </row>
    <row r="6" spans="1:14" x14ac:dyDescent="0.4">
      <c r="A6" s="2" t="s">
        <v>215</v>
      </c>
      <c r="B6" s="3">
        <v>43560.923958333333</v>
      </c>
      <c r="C6" s="2" t="s">
        <v>130</v>
      </c>
    </row>
    <row r="7" spans="1:14" x14ac:dyDescent="0.4">
      <c r="A7" s="2" t="s">
        <v>216</v>
      </c>
      <c r="B7" s="3">
        <v>43560.923958333333</v>
      </c>
      <c r="C7" s="2" t="s">
        <v>130</v>
      </c>
      <c r="D7" s="2" t="s">
        <v>131</v>
      </c>
      <c r="E7" s="2" t="s">
        <v>166</v>
      </c>
    </row>
    <row r="8" spans="1:14" x14ac:dyDescent="0.4">
      <c r="A8" s="2" t="s">
        <v>217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218</v>
      </c>
      <c r="B9" s="3">
        <v>43560.923958333333</v>
      </c>
      <c r="C9" s="2" t="s">
        <v>130</v>
      </c>
      <c r="D9" s="2" t="s">
        <v>131</v>
      </c>
      <c r="E9" s="2" t="s">
        <v>166</v>
      </c>
      <c r="F9" s="2" t="s">
        <v>170</v>
      </c>
    </row>
    <row r="10" spans="1:14" x14ac:dyDescent="0.4">
      <c r="A10" s="2" t="s">
        <v>219</v>
      </c>
      <c r="B10" s="3">
        <v>43560.923958333333</v>
      </c>
      <c r="C10" s="2" t="s">
        <v>130</v>
      </c>
      <c r="D10" s="2" t="s">
        <v>131</v>
      </c>
      <c r="E10" s="2" t="s">
        <v>166</v>
      </c>
    </row>
    <row r="11" spans="1:14" x14ac:dyDescent="0.4">
      <c r="A11" s="2" t="s">
        <v>220</v>
      </c>
      <c r="B11" s="3">
        <v>43560.923958333333</v>
      </c>
      <c r="C11" s="2" t="s">
        <v>130</v>
      </c>
      <c r="D11" s="2" t="s">
        <v>131</v>
      </c>
      <c r="E11" s="2" t="s">
        <v>166</v>
      </c>
      <c r="F11" s="2" t="s">
        <v>170</v>
      </c>
      <c r="G11" s="2" t="s">
        <v>171</v>
      </c>
      <c r="H11" s="2" t="s">
        <v>175</v>
      </c>
      <c r="I11" s="2" t="s">
        <v>176</v>
      </c>
    </row>
    <row r="12" spans="1:14" x14ac:dyDescent="0.4">
      <c r="A12" s="2" t="s">
        <v>221</v>
      </c>
      <c r="B12" s="3">
        <v>43560.923958333333</v>
      </c>
      <c r="C12" s="2" t="s">
        <v>130</v>
      </c>
    </row>
    <row r="13" spans="1:14" x14ac:dyDescent="0.4">
      <c r="A13" s="2" t="s">
        <v>222</v>
      </c>
      <c r="B13" s="3">
        <v>43560.923958333333</v>
      </c>
      <c r="C13" s="2" t="s">
        <v>130</v>
      </c>
      <c r="D13" s="2" t="s">
        <v>131</v>
      </c>
      <c r="E13" s="2" t="s">
        <v>166</v>
      </c>
      <c r="F13" s="2" t="s">
        <v>170</v>
      </c>
      <c r="G13" s="2" t="s">
        <v>171</v>
      </c>
      <c r="H13" s="2" t="s">
        <v>175</v>
      </c>
      <c r="I13" s="2" t="s">
        <v>176</v>
      </c>
      <c r="J13" s="2" t="s">
        <v>177</v>
      </c>
      <c r="K13" s="2" t="s">
        <v>187</v>
      </c>
      <c r="L13" s="2" t="s">
        <v>188</v>
      </c>
      <c r="M13" s="2" t="s">
        <v>198</v>
      </c>
      <c r="N13" s="2" t="s">
        <v>199</v>
      </c>
    </row>
    <row r="14" spans="1:14" x14ac:dyDescent="0.4">
      <c r="A14" s="2" t="s">
        <v>223</v>
      </c>
      <c r="B14" s="3">
        <v>43560.923958333333</v>
      </c>
      <c r="C14" s="2" t="s">
        <v>130</v>
      </c>
      <c r="D14" s="2" t="s">
        <v>131</v>
      </c>
      <c r="E14" s="2" t="s">
        <v>166</v>
      </c>
    </row>
    <row r="15" spans="1:14" x14ac:dyDescent="0.4">
      <c r="A15" s="2" t="s">
        <v>224</v>
      </c>
      <c r="B15" s="3">
        <v>43560.923958333333</v>
      </c>
      <c r="C15" s="2" t="s">
        <v>130</v>
      </c>
      <c r="D15" s="2" t="s">
        <v>131</v>
      </c>
      <c r="E15" s="2" t="s">
        <v>166</v>
      </c>
    </row>
    <row r="16" spans="1:14" x14ac:dyDescent="0.4">
      <c r="A16" s="2" t="s">
        <v>225</v>
      </c>
      <c r="B16" s="3">
        <v>43560.923958333333</v>
      </c>
      <c r="C16" s="2" t="s">
        <v>130</v>
      </c>
      <c r="D16" s="2" t="s">
        <v>131</v>
      </c>
      <c r="E16" s="2" t="s">
        <v>166</v>
      </c>
    </row>
    <row r="17" spans="1:9" x14ac:dyDescent="0.4">
      <c r="A17" s="2" t="s">
        <v>226</v>
      </c>
      <c r="B17" s="3">
        <v>43560.923958333333</v>
      </c>
      <c r="C17" s="2" t="s">
        <v>130</v>
      </c>
      <c r="D17" s="2" t="s">
        <v>131</v>
      </c>
      <c r="E17" s="2" t="s">
        <v>166</v>
      </c>
      <c r="F17" s="2" t="s">
        <v>170</v>
      </c>
      <c r="G17" s="2" t="s">
        <v>171</v>
      </c>
      <c r="H17" s="2" t="s">
        <v>175</v>
      </c>
    </row>
    <row r="18" spans="1:9" x14ac:dyDescent="0.4">
      <c r="A18" s="2" t="s">
        <v>227</v>
      </c>
      <c r="B18" s="3">
        <v>43560.923958333333</v>
      </c>
      <c r="C18" s="2" t="s">
        <v>130</v>
      </c>
      <c r="D18" s="2" t="s">
        <v>131</v>
      </c>
      <c r="E18" s="2" t="s">
        <v>166</v>
      </c>
      <c r="F18" s="2" t="s">
        <v>170</v>
      </c>
      <c r="G18" s="2" t="s">
        <v>171</v>
      </c>
      <c r="H18" s="2" t="s">
        <v>175</v>
      </c>
    </row>
    <row r="19" spans="1:9" x14ac:dyDescent="0.4">
      <c r="A19" s="2" t="s">
        <v>228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229</v>
      </c>
      <c r="B20" s="3">
        <v>43560.923958333333</v>
      </c>
      <c r="C20" s="2" t="s">
        <v>130</v>
      </c>
      <c r="D20" s="2" t="s">
        <v>131</v>
      </c>
      <c r="E20" s="2" t="s">
        <v>166</v>
      </c>
    </row>
    <row r="21" spans="1:9" x14ac:dyDescent="0.4">
      <c r="A21" s="2" t="s">
        <v>230</v>
      </c>
      <c r="B21" s="3">
        <v>43560.923958333333</v>
      </c>
      <c r="C21" s="2" t="s">
        <v>130</v>
      </c>
      <c r="D21" s="2" t="s">
        <v>131</v>
      </c>
      <c r="E21" s="2" t="s">
        <v>166</v>
      </c>
      <c r="F21" s="2" t="s">
        <v>170</v>
      </c>
    </row>
    <row r="22" spans="1:9" x14ac:dyDescent="0.4">
      <c r="A22" s="2" t="s">
        <v>231</v>
      </c>
      <c r="B22" s="3">
        <v>43560.923958333333</v>
      </c>
      <c r="C22" s="2" t="s">
        <v>130</v>
      </c>
      <c r="D22" s="2" t="s">
        <v>131</v>
      </c>
      <c r="E22" s="2" t="s">
        <v>166</v>
      </c>
      <c r="F22" s="2" t="s">
        <v>170</v>
      </c>
    </row>
    <row r="23" spans="1:9" x14ac:dyDescent="0.4">
      <c r="A23" s="2" t="s">
        <v>232</v>
      </c>
      <c r="B23" s="3">
        <v>43560.923958333333</v>
      </c>
      <c r="C23" s="2" t="s">
        <v>130</v>
      </c>
      <c r="D23" s="2" t="s">
        <v>131</v>
      </c>
      <c r="E23" s="2" t="s">
        <v>166</v>
      </c>
      <c r="F23" s="2" t="s">
        <v>170</v>
      </c>
      <c r="G23" s="2" t="s">
        <v>171</v>
      </c>
      <c r="H23" s="2" t="s">
        <v>175</v>
      </c>
      <c r="I23" s="2" t="s">
        <v>176</v>
      </c>
    </row>
    <row r="24" spans="1:9" x14ac:dyDescent="0.4">
      <c r="A24" s="2" t="s">
        <v>233</v>
      </c>
      <c r="B24" s="3">
        <v>43560.923958333333</v>
      </c>
      <c r="C24" s="2" t="s">
        <v>130</v>
      </c>
      <c r="D24" s="2" t="s">
        <v>131</v>
      </c>
      <c r="E24" s="2" t="s">
        <v>166</v>
      </c>
    </row>
    <row r="25" spans="1:9" x14ac:dyDescent="0.4">
      <c r="A25" s="2" t="s">
        <v>234</v>
      </c>
      <c r="B25" s="3">
        <v>43560.923958333333</v>
      </c>
      <c r="C25" s="2" t="s">
        <v>130</v>
      </c>
      <c r="D25" s="2" t="s">
        <v>131</v>
      </c>
      <c r="E25" s="2" t="s">
        <v>166</v>
      </c>
      <c r="F25" s="2" t="s">
        <v>170</v>
      </c>
      <c r="G25" s="2" t="s">
        <v>171</v>
      </c>
      <c r="H25" s="2" t="s">
        <v>175</v>
      </c>
    </row>
    <row r="26" spans="1:9" x14ac:dyDescent="0.4">
      <c r="A26" s="2" t="s">
        <v>235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236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237</v>
      </c>
      <c r="B28" s="3">
        <v>43560.923958333333</v>
      </c>
      <c r="C28" s="2" t="s">
        <v>130</v>
      </c>
      <c r="D28" s="2" t="s">
        <v>131</v>
      </c>
      <c r="E28" s="2" t="s">
        <v>166</v>
      </c>
      <c r="F28" s="2" t="s">
        <v>170</v>
      </c>
    </row>
    <row r="29" spans="1:9" x14ac:dyDescent="0.4">
      <c r="A29" s="2" t="s">
        <v>238</v>
      </c>
      <c r="B29" s="3">
        <v>43560.923958333333</v>
      </c>
      <c r="C29" s="2" t="s">
        <v>130</v>
      </c>
      <c r="D29" s="2" t="s">
        <v>131</v>
      </c>
      <c r="E29" s="2" t="s">
        <v>166</v>
      </c>
      <c r="F29" s="2" t="s">
        <v>170</v>
      </c>
      <c r="G29" s="2" t="s">
        <v>171</v>
      </c>
      <c r="H29" s="2" t="s">
        <v>175</v>
      </c>
    </row>
    <row r="30" spans="1:9" x14ac:dyDescent="0.4">
      <c r="A30" s="2" t="s">
        <v>239</v>
      </c>
      <c r="B30" s="3">
        <v>43560.923958333333</v>
      </c>
      <c r="C30" s="2" t="s">
        <v>130</v>
      </c>
      <c r="D30" s="2" t="s">
        <v>131</v>
      </c>
      <c r="E30" s="2" t="s">
        <v>166</v>
      </c>
      <c r="F30" s="2" t="s">
        <v>170</v>
      </c>
      <c r="G30" s="2" t="s">
        <v>171</v>
      </c>
    </row>
    <row r="31" spans="1:9" x14ac:dyDescent="0.4">
      <c r="A31" s="2" t="s">
        <v>240</v>
      </c>
      <c r="B31" s="3">
        <v>43560.923958333333</v>
      </c>
      <c r="C31" s="2" t="s">
        <v>130</v>
      </c>
      <c r="D31" s="2" t="s">
        <v>131</v>
      </c>
      <c r="E31" s="2" t="s">
        <v>166</v>
      </c>
      <c r="F31" s="2" t="s">
        <v>170</v>
      </c>
    </row>
    <row r="32" spans="1:9" x14ac:dyDescent="0.4">
      <c r="A32" s="2" t="s">
        <v>241</v>
      </c>
      <c r="B32" s="3">
        <v>43560.923958333333</v>
      </c>
      <c r="C32" s="2" t="s">
        <v>130</v>
      </c>
    </row>
    <row r="33" spans="1:10" x14ac:dyDescent="0.4">
      <c r="A33" s="2" t="s">
        <v>242</v>
      </c>
      <c r="B33" s="3">
        <v>43560.923958333333</v>
      </c>
      <c r="C33" s="2" t="s">
        <v>130</v>
      </c>
      <c r="D33" s="2" t="s">
        <v>131</v>
      </c>
      <c r="E33" s="2" t="s">
        <v>166</v>
      </c>
    </row>
    <row r="34" spans="1:10" x14ac:dyDescent="0.4">
      <c r="A34" s="2" t="s">
        <v>243</v>
      </c>
      <c r="B34" s="3">
        <v>43560.923958333333</v>
      </c>
      <c r="C34" s="2" t="s">
        <v>130</v>
      </c>
      <c r="D34" s="2" t="s">
        <v>131</v>
      </c>
      <c r="E34" s="2" t="s">
        <v>166</v>
      </c>
      <c r="F34" s="2" t="s">
        <v>170</v>
      </c>
      <c r="G34" s="2" t="s">
        <v>171</v>
      </c>
      <c r="H34" s="2" t="s">
        <v>175</v>
      </c>
      <c r="I34" s="2" t="s">
        <v>176</v>
      </c>
      <c r="J34" s="2" t="s">
        <v>177</v>
      </c>
    </row>
    <row r="35" spans="1:10" x14ac:dyDescent="0.4">
      <c r="A35" s="2" t="s">
        <v>244</v>
      </c>
      <c r="B35" s="3">
        <v>43560.923958333333</v>
      </c>
      <c r="C35" s="2" t="s">
        <v>130</v>
      </c>
      <c r="D35" s="2" t="s">
        <v>131</v>
      </c>
      <c r="E35" s="2" t="s">
        <v>166</v>
      </c>
      <c r="F35" s="2" t="s">
        <v>170</v>
      </c>
      <c r="G35" s="2" t="s">
        <v>171</v>
      </c>
      <c r="H35" s="2" t="s">
        <v>175</v>
      </c>
      <c r="I35" s="2" t="s">
        <v>176</v>
      </c>
      <c r="J35" s="2" t="s">
        <v>177</v>
      </c>
    </row>
    <row r="36" spans="1:10" x14ac:dyDescent="0.4">
      <c r="A36" s="2" t="s">
        <v>245</v>
      </c>
      <c r="B36" s="3">
        <v>43560.923958333333</v>
      </c>
      <c r="C36" s="2" t="s">
        <v>130</v>
      </c>
      <c r="D36" s="2" t="s">
        <v>131</v>
      </c>
      <c r="E36" s="2" t="s">
        <v>166</v>
      </c>
    </row>
    <row r="37" spans="1:10" x14ac:dyDescent="0.4">
      <c r="A37" s="2" t="s">
        <v>246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247</v>
      </c>
      <c r="B38" s="3">
        <v>43560.923958333333</v>
      </c>
      <c r="C38" s="2" t="s">
        <v>130</v>
      </c>
      <c r="D38" s="2" t="s">
        <v>131</v>
      </c>
      <c r="E38" s="2" t="s">
        <v>166</v>
      </c>
      <c r="F38" s="2" t="s">
        <v>170</v>
      </c>
      <c r="G38" s="2" t="s">
        <v>171</v>
      </c>
    </row>
    <row r="39" spans="1:10" x14ac:dyDescent="0.4">
      <c r="A39" s="2" t="s">
        <v>248</v>
      </c>
      <c r="B39" s="3">
        <v>43560.923958333333</v>
      </c>
      <c r="C39" s="2" t="s">
        <v>130</v>
      </c>
      <c r="D39" s="2" t="s">
        <v>131</v>
      </c>
      <c r="E39" s="2" t="s">
        <v>166</v>
      </c>
      <c r="F39" s="2" t="s">
        <v>170</v>
      </c>
      <c r="G39" s="2" t="s">
        <v>171</v>
      </c>
      <c r="H39" s="2" t="s">
        <v>175</v>
      </c>
    </row>
    <row r="40" spans="1:10" x14ac:dyDescent="0.4">
      <c r="A40" s="2" t="s">
        <v>249</v>
      </c>
      <c r="B40" s="3">
        <v>43560.923958333333</v>
      </c>
      <c r="C40" s="2" t="s">
        <v>130</v>
      </c>
      <c r="D40" s="2" t="s">
        <v>131</v>
      </c>
      <c r="E40" s="2" t="s">
        <v>166</v>
      </c>
      <c r="F40" s="2" t="s">
        <v>170</v>
      </c>
    </row>
    <row r="41" spans="1:10" x14ac:dyDescent="0.4">
      <c r="A41" s="2" t="s">
        <v>250</v>
      </c>
      <c r="B41" s="3">
        <v>43560.923958333333</v>
      </c>
      <c r="C41" s="2" t="s">
        <v>130</v>
      </c>
      <c r="D41" s="2" t="s">
        <v>131</v>
      </c>
      <c r="E41" s="2" t="s">
        <v>166</v>
      </c>
      <c r="F41" s="2" t="s">
        <v>170</v>
      </c>
    </row>
    <row r="42" spans="1:10" x14ac:dyDescent="0.4">
      <c r="A42" s="2" t="s">
        <v>251</v>
      </c>
      <c r="B42" s="3">
        <v>43560.923958333333</v>
      </c>
      <c r="C42" s="2" t="s">
        <v>130</v>
      </c>
      <c r="D42" s="2" t="s">
        <v>131</v>
      </c>
      <c r="E42" s="2" t="s">
        <v>166</v>
      </c>
      <c r="F42" s="2" t="s">
        <v>170</v>
      </c>
      <c r="G42" s="2" t="s">
        <v>171</v>
      </c>
      <c r="H42" s="2" t="s">
        <v>175</v>
      </c>
      <c r="I42" s="2" t="s">
        <v>176</v>
      </c>
    </row>
    <row r="43" spans="1:10" x14ac:dyDescent="0.4">
      <c r="A43" s="2" t="s">
        <v>252</v>
      </c>
      <c r="B43" s="3">
        <v>43560.923958333333</v>
      </c>
      <c r="C43" s="2" t="s">
        <v>130</v>
      </c>
      <c r="D43" s="2" t="s">
        <v>131</v>
      </c>
      <c r="E43" s="2" t="s">
        <v>166</v>
      </c>
      <c r="F43" s="2" t="s">
        <v>170</v>
      </c>
      <c r="G43" s="2" t="s">
        <v>171</v>
      </c>
      <c r="H43" s="2" t="s">
        <v>175</v>
      </c>
      <c r="I43" s="2" t="s">
        <v>176</v>
      </c>
    </row>
    <row r="44" spans="1:10" x14ac:dyDescent="0.4">
      <c r="A44" s="2" t="s">
        <v>253</v>
      </c>
      <c r="B44" s="3">
        <v>43560.923958333333</v>
      </c>
      <c r="C44" s="2" t="s">
        <v>130</v>
      </c>
      <c r="D44" s="2" t="s">
        <v>131</v>
      </c>
      <c r="E44" s="2" t="s">
        <v>166</v>
      </c>
    </row>
    <row r="45" spans="1:10" x14ac:dyDescent="0.4">
      <c r="A45" s="2" t="s">
        <v>254</v>
      </c>
      <c r="B45" s="3">
        <v>43560.923958333333</v>
      </c>
      <c r="C45" s="2" t="s">
        <v>130</v>
      </c>
      <c r="D45" s="2" t="s">
        <v>131</v>
      </c>
      <c r="E45" s="2" t="s">
        <v>166</v>
      </c>
      <c r="F45" s="2" t="s">
        <v>170</v>
      </c>
      <c r="G45" s="2" t="s">
        <v>171</v>
      </c>
      <c r="H45" s="2" t="s">
        <v>175</v>
      </c>
    </row>
    <row r="46" spans="1:10" x14ac:dyDescent="0.4">
      <c r="A46" s="2" t="s">
        <v>255</v>
      </c>
      <c r="B46" s="3">
        <v>43560.923958333333</v>
      </c>
      <c r="C46" s="2" t="s">
        <v>130</v>
      </c>
      <c r="D46" s="2" t="s">
        <v>131</v>
      </c>
      <c r="E46" s="2" t="s">
        <v>166</v>
      </c>
      <c r="F46" s="2" t="s">
        <v>170</v>
      </c>
    </row>
    <row r="47" spans="1:10" x14ac:dyDescent="0.4">
      <c r="A47" s="2" t="s">
        <v>256</v>
      </c>
      <c r="B47" s="3">
        <v>43560.923958333333</v>
      </c>
      <c r="C47" s="2" t="s">
        <v>130</v>
      </c>
      <c r="D47" s="2" t="s">
        <v>131</v>
      </c>
      <c r="E47" s="2" t="s">
        <v>166</v>
      </c>
    </row>
    <row r="48" spans="1:10" x14ac:dyDescent="0.4">
      <c r="A48" s="2" t="s">
        <v>257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258</v>
      </c>
      <c r="B49" s="3">
        <v>43560.923958333333</v>
      </c>
      <c r="C49" s="2" t="s">
        <v>130</v>
      </c>
      <c r="D49" s="2" t="s">
        <v>131</v>
      </c>
      <c r="E49" s="2" t="s">
        <v>166</v>
      </c>
      <c r="F49" s="2" t="s">
        <v>170</v>
      </c>
      <c r="G49" s="2" t="s">
        <v>171</v>
      </c>
    </row>
    <row r="50" spans="1:14" x14ac:dyDescent="0.4">
      <c r="A50" s="2" t="s">
        <v>259</v>
      </c>
      <c r="B50" s="3">
        <v>43560.923958333333</v>
      </c>
      <c r="C50" s="2" t="s">
        <v>130</v>
      </c>
      <c r="D50" s="2" t="s">
        <v>131</v>
      </c>
      <c r="E50" s="2" t="s">
        <v>166</v>
      </c>
    </row>
    <row r="51" spans="1:14" x14ac:dyDescent="0.4">
      <c r="A51" s="2" t="s">
        <v>184</v>
      </c>
      <c r="B51" s="3">
        <v>43560.923958333333</v>
      </c>
      <c r="C51" s="2" t="s">
        <v>130</v>
      </c>
      <c r="D51" s="2" t="s">
        <v>131</v>
      </c>
      <c r="E51" s="2" t="s">
        <v>166</v>
      </c>
      <c r="F51" s="2" t="s">
        <v>170</v>
      </c>
      <c r="G51" s="2" t="s">
        <v>171</v>
      </c>
      <c r="H51" s="2" t="s">
        <v>175</v>
      </c>
    </row>
    <row r="52" spans="1:14" x14ac:dyDescent="0.4">
      <c r="A52" s="2" t="s">
        <v>186</v>
      </c>
      <c r="B52" s="3">
        <v>43560.923958333333</v>
      </c>
      <c r="C52" s="2" t="s">
        <v>130</v>
      </c>
      <c r="D52" s="2" t="s">
        <v>131</v>
      </c>
      <c r="E52" s="2" t="s">
        <v>166</v>
      </c>
      <c r="F52" s="2" t="s">
        <v>170</v>
      </c>
      <c r="G52" s="2" t="s">
        <v>171</v>
      </c>
      <c r="H52" s="2" t="s">
        <v>175</v>
      </c>
      <c r="I52" s="2" t="s">
        <v>176</v>
      </c>
      <c r="J52" s="2" t="s">
        <v>177</v>
      </c>
      <c r="K52" s="2" t="s">
        <v>187</v>
      </c>
      <c r="L52" s="2" t="s">
        <v>188</v>
      </c>
    </row>
    <row r="53" spans="1:14" x14ac:dyDescent="0.4">
      <c r="A53" s="2" t="s">
        <v>189</v>
      </c>
      <c r="B53" s="3">
        <v>43560.923958333333</v>
      </c>
      <c r="C53" s="2" t="s">
        <v>130</v>
      </c>
      <c r="D53" s="2" t="s">
        <v>131</v>
      </c>
      <c r="E53" s="2" t="s">
        <v>166</v>
      </c>
      <c r="F53" s="2" t="s">
        <v>170</v>
      </c>
    </row>
    <row r="54" spans="1:14" x14ac:dyDescent="0.4">
      <c r="A54" s="2" t="s">
        <v>190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191</v>
      </c>
      <c r="B55" s="3">
        <v>43560.923958333333</v>
      </c>
      <c r="C55" s="2" t="s">
        <v>130</v>
      </c>
      <c r="D55" s="2" t="s">
        <v>131</v>
      </c>
      <c r="E55" s="2" t="s">
        <v>166</v>
      </c>
      <c r="F55" s="2" t="s">
        <v>170</v>
      </c>
      <c r="G55" s="2" t="s">
        <v>171</v>
      </c>
    </row>
    <row r="56" spans="1:14" x14ac:dyDescent="0.4">
      <c r="A56" s="2" t="s">
        <v>192</v>
      </c>
      <c r="B56" s="3">
        <v>43560.923958333333</v>
      </c>
      <c r="C56" s="2" t="s">
        <v>130</v>
      </c>
      <c r="D56" s="2" t="s">
        <v>131</v>
      </c>
      <c r="E56" s="2" t="s">
        <v>166</v>
      </c>
      <c r="F56" s="2" t="s">
        <v>170</v>
      </c>
    </row>
    <row r="57" spans="1:14" x14ac:dyDescent="0.4">
      <c r="A57" s="2" t="s">
        <v>193</v>
      </c>
      <c r="B57" s="3">
        <v>43560.923958333333</v>
      </c>
      <c r="C57" s="2" t="s">
        <v>130</v>
      </c>
      <c r="D57" s="2" t="s">
        <v>131</v>
      </c>
      <c r="E57" s="2" t="s">
        <v>166</v>
      </c>
    </row>
    <row r="58" spans="1:14" x14ac:dyDescent="0.4">
      <c r="A58" s="2" t="s">
        <v>194</v>
      </c>
      <c r="B58" s="3">
        <v>43560.923958333333</v>
      </c>
      <c r="C58" s="2" t="s">
        <v>130</v>
      </c>
      <c r="D58" s="2" t="s">
        <v>131</v>
      </c>
      <c r="E58" s="2" t="s">
        <v>166</v>
      </c>
      <c r="F58" s="2" t="s">
        <v>170</v>
      </c>
      <c r="G58" s="2" t="s">
        <v>171</v>
      </c>
      <c r="H58" s="2" t="s">
        <v>175</v>
      </c>
      <c r="I58" s="2" t="s">
        <v>176</v>
      </c>
    </row>
    <row r="59" spans="1:14" x14ac:dyDescent="0.4">
      <c r="A59" s="2" t="s">
        <v>195</v>
      </c>
      <c r="B59" s="3">
        <v>43560.923958333333</v>
      </c>
      <c r="C59" s="2" t="s">
        <v>130</v>
      </c>
      <c r="D59" s="2" t="s">
        <v>131</v>
      </c>
      <c r="E59" s="2" t="s">
        <v>166</v>
      </c>
      <c r="F59" s="2" t="s">
        <v>170</v>
      </c>
      <c r="G59" s="2" t="s">
        <v>171</v>
      </c>
      <c r="H59" s="2" t="s">
        <v>175</v>
      </c>
      <c r="I59" s="2" t="s">
        <v>176</v>
      </c>
      <c r="J59" s="2" t="s">
        <v>177</v>
      </c>
      <c r="K59" s="2" t="s">
        <v>187</v>
      </c>
    </row>
    <row r="60" spans="1:14" x14ac:dyDescent="0.4">
      <c r="A60" s="2" t="s">
        <v>197</v>
      </c>
      <c r="B60" s="3">
        <v>43560.923958333333</v>
      </c>
      <c r="C60" s="2" t="s">
        <v>130</v>
      </c>
      <c r="D60" s="2" t="s">
        <v>131</v>
      </c>
      <c r="E60" s="2" t="s">
        <v>166</v>
      </c>
      <c r="F60" s="2" t="s">
        <v>170</v>
      </c>
      <c r="G60" s="2" t="s">
        <v>171</v>
      </c>
      <c r="H60" s="2" t="s">
        <v>175</v>
      </c>
      <c r="I60" s="2" t="s">
        <v>176</v>
      </c>
      <c r="J60" s="2" t="s">
        <v>177</v>
      </c>
      <c r="K60" s="2" t="s">
        <v>187</v>
      </c>
      <c r="L60" s="2" t="s">
        <v>188</v>
      </c>
      <c r="M60" s="2" t="s">
        <v>198</v>
      </c>
      <c r="N60" s="2" t="s">
        <v>199</v>
      </c>
    </row>
    <row r="61" spans="1:14" x14ac:dyDescent="0.4">
      <c r="A61" s="2" t="s">
        <v>200</v>
      </c>
      <c r="B61" s="3">
        <v>43560.923958333333</v>
      </c>
      <c r="C61" s="2" t="s">
        <v>130</v>
      </c>
      <c r="D61" s="2" t="s">
        <v>131</v>
      </c>
      <c r="E61" s="2" t="s">
        <v>166</v>
      </c>
      <c r="F61" s="2" t="s">
        <v>170</v>
      </c>
      <c r="G61" s="2" t="s">
        <v>171</v>
      </c>
    </row>
    <row r="62" spans="1:14" x14ac:dyDescent="0.4">
      <c r="A62" s="2" t="s">
        <v>201</v>
      </c>
      <c r="B62" s="3">
        <v>43560.923958333333</v>
      </c>
      <c r="C62" s="2" t="s">
        <v>130</v>
      </c>
      <c r="D62" s="2" t="s">
        <v>131</v>
      </c>
      <c r="E62" s="2" t="s">
        <v>166</v>
      </c>
      <c r="F62" s="2" t="s">
        <v>170</v>
      </c>
      <c r="G62" s="2" t="s">
        <v>171</v>
      </c>
    </row>
    <row r="63" spans="1:14" x14ac:dyDescent="0.4">
      <c r="A63" s="2" t="s">
        <v>202</v>
      </c>
      <c r="B63" s="3">
        <v>43560.923958333333</v>
      </c>
      <c r="C63" s="2" t="s">
        <v>130</v>
      </c>
      <c r="D63" s="2" t="s">
        <v>131</v>
      </c>
      <c r="E63" s="2" t="s">
        <v>166</v>
      </c>
      <c r="F63" s="2" t="s">
        <v>170</v>
      </c>
      <c r="G63" s="2" t="s">
        <v>171</v>
      </c>
    </row>
    <row r="64" spans="1:14" x14ac:dyDescent="0.4">
      <c r="A64" s="2" t="s">
        <v>203</v>
      </c>
      <c r="B64" s="3">
        <v>43560.923958333333</v>
      </c>
      <c r="C64" s="2" t="s">
        <v>130</v>
      </c>
      <c r="D64" s="2" t="s">
        <v>131</v>
      </c>
      <c r="E64" s="2" t="s">
        <v>166</v>
      </c>
    </row>
    <row r="65" spans="1:9" x14ac:dyDescent="0.4">
      <c r="A65" s="2" t="s">
        <v>204</v>
      </c>
      <c r="B65" s="3">
        <v>43560.923958333333</v>
      </c>
      <c r="C65" s="2" t="s">
        <v>130</v>
      </c>
      <c r="D65" s="2" t="s">
        <v>131</v>
      </c>
      <c r="E65" s="2" t="s">
        <v>166</v>
      </c>
      <c r="F65" s="2" t="s">
        <v>170</v>
      </c>
      <c r="G65" s="2" t="s">
        <v>171</v>
      </c>
      <c r="H65" s="2" t="s">
        <v>175</v>
      </c>
      <c r="I65" s="2" t="s">
        <v>176</v>
      </c>
    </row>
    <row r="66" spans="1:9" x14ac:dyDescent="0.4">
      <c r="A66" s="2" t="s">
        <v>205</v>
      </c>
      <c r="B66" s="3">
        <v>43560.923958333333</v>
      </c>
      <c r="C66" s="2" t="s">
        <v>130</v>
      </c>
      <c r="D66" s="2" t="s">
        <v>131</v>
      </c>
      <c r="E66" s="2" t="s">
        <v>166</v>
      </c>
      <c r="F66" s="2" t="s">
        <v>170</v>
      </c>
      <c r="G66" s="2" t="s">
        <v>171</v>
      </c>
      <c r="H66" s="2" t="s">
        <v>175</v>
      </c>
    </row>
    <row r="67" spans="1:9" x14ac:dyDescent="0.4">
      <c r="A67" s="2" t="s">
        <v>206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207</v>
      </c>
      <c r="B68" s="3">
        <v>43560.923958333333</v>
      </c>
      <c r="C68" s="2" t="s">
        <v>130</v>
      </c>
      <c r="D68" s="2" t="s">
        <v>131</v>
      </c>
      <c r="E68" s="2" t="s">
        <v>166</v>
      </c>
    </row>
    <row r="69" spans="1:9" x14ac:dyDescent="0.4">
      <c r="A69" s="2" t="s">
        <v>208</v>
      </c>
      <c r="B69" s="3">
        <v>43560.923958333333</v>
      </c>
      <c r="C69" s="2" t="s">
        <v>130</v>
      </c>
      <c r="D69" s="2" t="s">
        <v>131</v>
      </c>
      <c r="E69" s="2" t="s">
        <v>166</v>
      </c>
      <c r="F69" s="2" t="s">
        <v>170</v>
      </c>
      <c r="G69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260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210</v>
      </c>
    </row>
    <row r="4" spans="1:1" x14ac:dyDescent="0.4">
      <c r="A4" t="s">
        <v>196</v>
      </c>
    </row>
    <row r="5" spans="1:1" x14ac:dyDescent="0.4">
      <c r="A5" t="s">
        <v>128</v>
      </c>
    </row>
    <row r="6" spans="1:1" x14ac:dyDescent="0.4">
      <c r="A6" t="s">
        <v>174</v>
      </c>
    </row>
    <row r="7" spans="1:1" x14ac:dyDescent="0.4">
      <c r="A7" t="s">
        <v>214</v>
      </c>
    </row>
    <row r="8" spans="1:1" x14ac:dyDescent="0.4">
      <c r="A8" t="s">
        <v>168</v>
      </c>
    </row>
    <row r="9" spans="1:1" x14ac:dyDescent="0.4">
      <c r="A9" t="s">
        <v>129</v>
      </c>
    </row>
    <row r="10" spans="1:1" x14ac:dyDescent="0.4">
      <c r="A10" t="s">
        <v>185</v>
      </c>
    </row>
    <row r="11" spans="1:1" x14ac:dyDescent="0.4">
      <c r="A11" t="s">
        <v>167</v>
      </c>
    </row>
    <row r="12" spans="1:1" x14ac:dyDescent="0.4">
      <c r="A12" t="s">
        <v>173</v>
      </c>
    </row>
    <row r="13" spans="1:1" x14ac:dyDescent="0.4">
      <c r="A13" t="s">
        <v>172</v>
      </c>
    </row>
    <row r="14" spans="1:1" x14ac:dyDescent="0.4">
      <c r="A14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4" customWidth="1"/>
    <col min="2" max="2" width="10.75" style="55" customWidth="1"/>
    <col min="3" max="3" width="10.75" style="56" customWidth="1"/>
    <col min="4" max="4" width="10.75" style="57" customWidth="1"/>
    <col min="5" max="5" width="10.75" style="70" customWidth="1"/>
    <col min="6" max="6" width="10.75" style="57" customWidth="1"/>
    <col min="7" max="7" width="10.75" style="58" customWidth="1"/>
    <col min="8" max="8" width="10.75" style="57" customWidth="1"/>
    <col min="9" max="9" width="10.75" style="59" customWidth="1"/>
    <col min="10" max="10" width="10.75" style="57" customWidth="1"/>
    <col min="11" max="11" width="10.75" style="59" customWidth="1"/>
    <col min="12" max="12" width="10.75" style="57" customWidth="1"/>
    <col min="13" max="13" width="10.75" style="60" customWidth="1"/>
    <col min="14" max="14" width="10.75" style="57" customWidth="1"/>
    <col min="15" max="15" width="10.75" style="60" customWidth="1"/>
    <col min="16" max="16" width="10.75" style="57" customWidth="1"/>
    <col min="17" max="17" width="10.75" style="61" customWidth="1"/>
    <col min="18" max="18" width="10.75" style="57" customWidth="1"/>
    <col min="19" max="19" width="10.75" style="61" customWidth="1"/>
    <col min="20" max="20" width="10.75" style="57" customWidth="1"/>
    <col min="21" max="21" width="10.75" style="59" customWidth="1"/>
    <col min="22" max="22" width="10.75" style="57" customWidth="1"/>
    <col min="23" max="23" width="10.75" style="59" customWidth="1"/>
    <col min="24" max="24" width="10.75" style="57" customWidth="1"/>
    <col min="25" max="25" width="10.75" style="60" customWidth="1"/>
    <col min="26" max="26" width="10.75" style="57" customWidth="1"/>
    <col min="27" max="27" width="10.75" style="60" customWidth="1"/>
    <col min="28" max="28" width="10.75" style="57" customWidth="1"/>
    <col min="29" max="29" width="10.75" style="60" customWidth="1"/>
    <col min="30" max="30" width="10.75" style="57" customWidth="1"/>
    <col min="31" max="31" width="10.75" style="60" customWidth="1"/>
    <col min="32" max="32" width="10.75" style="57" customWidth="1"/>
    <col min="33" max="33" width="10.75" style="60" customWidth="1"/>
    <col min="34" max="34" width="10.75" style="57" customWidth="1"/>
    <col min="35" max="35" width="10.75" style="65" customWidth="1"/>
    <col min="36" max="36" width="10.75" style="57" customWidth="1"/>
    <col min="37" max="37" width="10.75" style="62" customWidth="1"/>
    <col min="38" max="16384" width="9" style="44"/>
  </cols>
  <sheetData>
    <row r="1" spans="1:37" x14ac:dyDescent="0.4">
      <c r="A1" s="43"/>
      <c r="B1" s="112" t="s">
        <v>6</v>
      </c>
      <c r="C1" s="113"/>
      <c r="D1" s="112" t="s">
        <v>7</v>
      </c>
      <c r="E1" s="113"/>
      <c r="F1" s="112" t="s">
        <v>16</v>
      </c>
      <c r="G1" s="113"/>
      <c r="H1" s="112" t="s">
        <v>15</v>
      </c>
      <c r="I1" s="113"/>
      <c r="J1" s="112" t="s">
        <v>159</v>
      </c>
      <c r="K1" s="113"/>
      <c r="L1" s="112" t="s">
        <v>149</v>
      </c>
      <c r="M1" s="113"/>
      <c r="N1" s="112" t="s">
        <v>150</v>
      </c>
      <c r="O1" s="113"/>
      <c r="P1" s="112" t="s">
        <v>5</v>
      </c>
      <c r="Q1" s="113"/>
      <c r="R1" s="112" t="s">
        <v>17</v>
      </c>
      <c r="S1" s="113"/>
      <c r="T1" s="112" t="s">
        <v>18</v>
      </c>
      <c r="U1" s="113"/>
      <c r="V1" s="112" t="s">
        <v>141</v>
      </c>
      <c r="W1" s="113"/>
      <c r="X1" s="112" t="s">
        <v>123</v>
      </c>
      <c r="Y1" s="113"/>
      <c r="Z1" s="112" t="s">
        <v>120</v>
      </c>
      <c r="AA1" s="113"/>
      <c r="AB1" s="112" t="s">
        <v>126</v>
      </c>
      <c r="AC1" s="113"/>
      <c r="AD1" s="112" t="s">
        <v>151</v>
      </c>
      <c r="AE1" s="113"/>
      <c r="AF1" s="112" t="s">
        <v>144</v>
      </c>
      <c r="AG1" s="113"/>
      <c r="AH1" s="112" t="s">
        <v>153</v>
      </c>
      <c r="AI1" s="113"/>
      <c r="AJ1" s="112" t="s">
        <v>160</v>
      </c>
      <c r="AK1" s="113"/>
    </row>
    <row r="2" spans="1:37" x14ac:dyDescent="0.4">
      <c r="A2" s="43" t="s">
        <v>158</v>
      </c>
      <c r="B2" s="114"/>
      <c r="C2" s="115"/>
      <c r="D2" s="114"/>
      <c r="E2" s="115"/>
      <c r="F2" s="116">
        <v>0.98958538314843147</v>
      </c>
      <c r="G2" s="117"/>
      <c r="H2" s="116">
        <v>0.95380429845991133</v>
      </c>
      <c r="I2" s="117"/>
      <c r="J2" s="116">
        <v>0.98713195971000567</v>
      </c>
      <c r="K2" s="117"/>
      <c r="L2" s="116">
        <v>0.95399667438912072</v>
      </c>
      <c r="M2" s="117"/>
      <c r="N2" s="116">
        <v>0.87315585199931134</v>
      </c>
      <c r="O2" s="117"/>
      <c r="P2" s="116">
        <v>0.51166694345448704</v>
      </c>
      <c r="Q2" s="117"/>
      <c r="R2" s="116">
        <v>1.5216394420860329E-2</v>
      </c>
      <c r="S2" s="117"/>
      <c r="T2" s="116">
        <v>0.94798337750363881</v>
      </c>
      <c r="U2" s="117"/>
      <c r="V2" s="116">
        <v>0.98095000995696047</v>
      </c>
      <c r="W2" s="117"/>
      <c r="X2" s="116">
        <v>0.73525354530875719</v>
      </c>
      <c r="Y2" s="117"/>
      <c r="Z2" s="116">
        <v>-0.48377428268283323</v>
      </c>
      <c r="AA2" s="117"/>
      <c r="AB2" s="116">
        <v>0.85955747233440749</v>
      </c>
      <c r="AC2" s="117"/>
      <c r="AD2" s="116">
        <v>0.57279582140055951</v>
      </c>
      <c r="AE2" s="117"/>
      <c r="AF2" s="116">
        <v>8.7330372452855909E-2</v>
      </c>
      <c r="AG2" s="117"/>
      <c r="AH2" s="116">
        <v>0.85413357470287621</v>
      </c>
      <c r="AI2" s="117"/>
      <c r="AJ2" s="116">
        <v>0.13914947854333359</v>
      </c>
      <c r="AK2" s="117"/>
    </row>
    <row r="3" spans="1:37" x14ac:dyDescent="0.4">
      <c r="A3" s="45">
        <v>1</v>
      </c>
      <c r="B3" s="46" t="s">
        <v>127</v>
      </c>
      <c r="C3" s="47">
        <v>1888.9999999999993</v>
      </c>
      <c r="D3" s="48" t="s">
        <v>173</v>
      </c>
      <c r="E3" s="69">
        <v>7.833333333333333</v>
      </c>
      <c r="F3" s="48" t="s">
        <v>127</v>
      </c>
      <c r="G3" s="49">
        <v>1.7470817120622568</v>
      </c>
      <c r="H3" s="48" t="s">
        <v>173</v>
      </c>
      <c r="I3" s="50">
        <v>0.5</v>
      </c>
      <c r="J3" s="48" t="s">
        <v>127</v>
      </c>
      <c r="K3" s="50">
        <v>0.19844357976653695</v>
      </c>
      <c r="L3" s="48" t="s">
        <v>173</v>
      </c>
      <c r="M3" s="51">
        <v>0.38</v>
      </c>
      <c r="N3" s="48" t="s">
        <v>173</v>
      </c>
      <c r="O3" s="51">
        <v>0.08</v>
      </c>
      <c r="P3" s="48" t="s">
        <v>196</v>
      </c>
      <c r="Q3" s="52">
        <v>12333.333333333334</v>
      </c>
      <c r="R3" s="48" t="s">
        <v>210</v>
      </c>
      <c r="S3" s="52">
        <v>-8240</v>
      </c>
      <c r="T3" s="48" t="s">
        <v>196</v>
      </c>
      <c r="U3" s="50">
        <v>0</v>
      </c>
      <c r="V3" s="48" t="s">
        <v>214</v>
      </c>
      <c r="W3" s="50">
        <v>0.2</v>
      </c>
      <c r="X3" s="48" t="s">
        <v>196</v>
      </c>
      <c r="Y3" s="51">
        <v>0.42105263157894735</v>
      </c>
      <c r="Z3" s="48" t="s">
        <v>172</v>
      </c>
      <c r="AA3" s="51">
        <v>0.35483870967741937</v>
      </c>
      <c r="AB3" s="48" t="s">
        <v>214</v>
      </c>
      <c r="AC3" s="51">
        <v>0.75</v>
      </c>
      <c r="AD3" s="48" t="s">
        <v>196</v>
      </c>
      <c r="AE3" s="51">
        <v>1</v>
      </c>
      <c r="AF3" s="48" t="s">
        <v>210</v>
      </c>
      <c r="AG3" s="51">
        <v>1</v>
      </c>
      <c r="AH3" s="48" t="s">
        <v>167</v>
      </c>
      <c r="AI3" s="64">
        <v>124700</v>
      </c>
      <c r="AJ3" s="48" t="s">
        <v>145</v>
      </c>
      <c r="AK3" s="53">
        <v>20</v>
      </c>
    </row>
    <row r="4" spans="1:37" x14ac:dyDescent="0.4">
      <c r="A4" s="54">
        <v>2</v>
      </c>
      <c r="B4" s="55" t="s">
        <v>174</v>
      </c>
      <c r="C4" s="56">
        <v>267.8</v>
      </c>
      <c r="D4" s="57" t="s">
        <v>127</v>
      </c>
      <c r="E4" s="70">
        <v>7.3501945525291799</v>
      </c>
      <c r="F4" s="57" t="s">
        <v>173</v>
      </c>
      <c r="G4" s="58">
        <v>1.8333333333333333</v>
      </c>
      <c r="H4" s="57" t="s">
        <v>127</v>
      </c>
      <c r="I4" s="59">
        <v>0.45136186770428016</v>
      </c>
      <c r="J4" s="57" t="s">
        <v>196</v>
      </c>
      <c r="K4" s="59">
        <v>0.25</v>
      </c>
      <c r="L4" s="57" t="s">
        <v>127</v>
      </c>
      <c r="M4" s="60">
        <v>0.35714285714285715</v>
      </c>
      <c r="N4" s="57" t="s">
        <v>127</v>
      </c>
      <c r="O4" s="60">
        <v>0.14028776978417265</v>
      </c>
      <c r="P4" s="57" t="s">
        <v>185</v>
      </c>
      <c r="Q4" s="61">
        <v>11054.794520547945</v>
      </c>
      <c r="R4" s="57" t="s">
        <v>172</v>
      </c>
      <c r="S4" s="61">
        <v>-8745.2830188679254</v>
      </c>
      <c r="T4" s="57" t="s">
        <v>127</v>
      </c>
      <c r="U4" s="59">
        <v>9.727626459143969E-2</v>
      </c>
      <c r="V4" s="57" t="s">
        <v>127</v>
      </c>
      <c r="W4" s="59">
        <v>0.1867704280155642</v>
      </c>
      <c r="X4" s="57" t="s">
        <v>173</v>
      </c>
      <c r="Y4" s="60">
        <v>0.42</v>
      </c>
      <c r="Z4" s="57" t="s">
        <v>174</v>
      </c>
      <c r="AA4" s="60">
        <v>0.29661016949152541</v>
      </c>
      <c r="AB4" s="57" t="s">
        <v>127</v>
      </c>
      <c r="AC4" s="60">
        <v>0.65486725663716816</v>
      </c>
      <c r="AD4" s="57" t="s">
        <v>173</v>
      </c>
      <c r="AE4" s="60">
        <v>0.5</v>
      </c>
      <c r="AF4" s="57" t="s">
        <v>168</v>
      </c>
      <c r="AG4" s="60">
        <v>0.47826086956521741</v>
      </c>
      <c r="AH4" s="57" t="s">
        <v>145</v>
      </c>
      <c r="AI4" s="65">
        <v>124700</v>
      </c>
      <c r="AJ4" s="57" t="s">
        <v>167</v>
      </c>
      <c r="AK4" s="62">
        <v>7</v>
      </c>
    </row>
    <row r="5" spans="1:37" x14ac:dyDescent="0.4">
      <c r="A5" s="54">
        <v>3</v>
      </c>
      <c r="B5" s="55" t="s">
        <v>129</v>
      </c>
      <c r="C5" s="56">
        <v>201.39999999999984</v>
      </c>
      <c r="D5" s="57" t="s">
        <v>174</v>
      </c>
      <c r="E5" s="70">
        <v>4.12</v>
      </c>
      <c r="F5" s="57" t="s">
        <v>174</v>
      </c>
      <c r="G5" s="58">
        <v>1.9230769230769231</v>
      </c>
      <c r="H5" s="57" t="s">
        <v>129</v>
      </c>
      <c r="I5" s="59">
        <v>0.37398373983739835</v>
      </c>
      <c r="J5" s="57" t="s">
        <v>174</v>
      </c>
      <c r="K5" s="59">
        <v>0.26153846153846155</v>
      </c>
      <c r="L5" s="57" t="s">
        <v>174</v>
      </c>
      <c r="M5" s="60">
        <v>0.34388185654008441</v>
      </c>
      <c r="N5" s="57" t="s">
        <v>174</v>
      </c>
      <c r="O5" s="60">
        <v>0.15400843881856541</v>
      </c>
      <c r="P5" s="57" t="s">
        <v>128</v>
      </c>
      <c r="Q5" s="61">
        <v>10792.708333333334</v>
      </c>
      <c r="R5" s="57" t="s">
        <v>174</v>
      </c>
      <c r="S5" s="61">
        <v>-8854.7945205479446</v>
      </c>
      <c r="T5" s="57" t="s">
        <v>174</v>
      </c>
      <c r="U5" s="59">
        <v>0.1076923076923077</v>
      </c>
      <c r="V5" s="57" t="s">
        <v>129</v>
      </c>
      <c r="W5" s="59">
        <v>0.17073170731707318</v>
      </c>
      <c r="X5" s="57" t="s">
        <v>185</v>
      </c>
      <c r="Y5" s="60">
        <v>0.30851063829787234</v>
      </c>
      <c r="Z5" s="57" t="s">
        <v>168</v>
      </c>
      <c r="AA5" s="60">
        <v>0.28333333333333333</v>
      </c>
      <c r="AB5" s="57" t="s">
        <v>173</v>
      </c>
      <c r="AC5" s="60">
        <v>0.61904761904761907</v>
      </c>
      <c r="AD5" s="57" t="s">
        <v>127</v>
      </c>
      <c r="AE5" s="60">
        <v>0.49196141479099681</v>
      </c>
      <c r="AF5" s="57" t="s">
        <v>128</v>
      </c>
      <c r="AG5" s="60">
        <v>0.4548611111111111</v>
      </c>
      <c r="AH5" s="57" t="s">
        <v>127</v>
      </c>
      <c r="AI5" s="65">
        <v>120200</v>
      </c>
      <c r="AJ5" s="57" t="s">
        <v>128</v>
      </c>
      <c r="AK5" s="62">
        <v>4</v>
      </c>
    </row>
    <row r="6" spans="1:37" x14ac:dyDescent="0.4">
      <c r="A6" s="54">
        <v>4</v>
      </c>
      <c r="B6" s="55" t="s">
        <v>173</v>
      </c>
      <c r="C6" s="56">
        <v>47</v>
      </c>
      <c r="D6" s="57" t="s">
        <v>129</v>
      </c>
      <c r="E6" s="70">
        <v>1.6373983739837386</v>
      </c>
      <c r="F6" s="57" t="s">
        <v>129</v>
      </c>
      <c r="G6" s="58">
        <v>1.9268292682926829</v>
      </c>
      <c r="H6" s="57" t="s">
        <v>174</v>
      </c>
      <c r="I6" s="59">
        <v>0.33846153846153848</v>
      </c>
      <c r="J6" s="57" t="s">
        <v>129</v>
      </c>
      <c r="K6" s="59">
        <v>0.30081300813008133</v>
      </c>
      <c r="L6" s="57" t="s">
        <v>145</v>
      </c>
      <c r="M6" s="60">
        <v>0.30104257167680276</v>
      </c>
      <c r="N6" s="57" t="s">
        <v>129</v>
      </c>
      <c r="O6" s="60">
        <v>0.16059957173447537</v>
      </c>
      <c r="P6" s="57" t="s">
        <v>167</v>
      </c>
      <c r="Q6" s="61">
        <v>10578.125</v>
      </c>
      <c r="R6" s="57" t="s">
        <v>185</v>
      </c>
      <c r="S6" s="61">
        <v>-8859.5744680851058</v>
      </c>
      <c r="T6" s="57" t="s">
        <v>129</v>
      </c>
      <c r="U6" s="59">
        <v>0.11382113821138211</v>
      </c>
      <c r="V6" s="57" t="s">
        <v>174</v>
      </c>
      <c r="W6" s="59">
        <v>0.16923076923076924</v>
      </c>
      <c r="X6" s="57" t="s">
        <v>127</v>
      </c>
      <c r="Y6" s="60">
        <v>0.30335570469798656</v>
      </c>
      <c r="Z6" s="57" t="s">
        <v>169</v>
      </c>
      <c r="AA6" s="60">
        <v>0.27272727272727271</v>
      </c>
      <c r="AB6" s="57" t="s">
        <v>167</v>
      </c>
      <c r="AC6" s="60">
        <v>0.58445945945945943</v>
      </c>
      <c r="AD6" s="57" t="s">
        <v>174</v>
      </c>
      <c r="AE6" s="60">
        <v>0.42857142857142855</v>
      </c>
      <c r="AF6" s="57" t="s">
        <v>185</v>
      </c>
      <c r="AG6" s="60">
        <v>0.45205479452054792</v>
      </c>
      <c r="AH6" s="57" t="s">
        <v>174</v>
      </c>
      <c r="AI6" s="65">
        <v>118000</v>
      </c>
      <c r="AJ6" s="57" t="s">
        <v>129</v>
      </c>
      <c r="AK6" s="62">
        <v>3</v>
      </c>
    </row>
    <row r="7" spans="1:37" x14ac:dyDescent="0.4">
      <c r="A7" s="54">
        <v>5</v>
      </c>
      <c r="B7" s="55" t="s">
        <v>145</v>
      </c>
      <c r="C7" s="56">
        <v>-7.9999999999999343</v>
      </c>
      <c r="D7" s="57" t="s">
        <v>145</v>
      </c>
      <c r="E7" s="70">
        <v>-8.8593576965669257E-3</v>
      </c>
      <c r="F7" s="57" t="s">
        <v>145</v>
      </c>
      <c r="G7" s="58">
        <v>2</v>
      </c>
      <c r="H7" s="57" t="s">
        <v>185</v>
      </c>
      <c r="I7" s="59">
        <v>0.33333333333333331</v>
      </c>
      <c r="J7" s="57" t="s">
        <v>145</v>
      </c>
      <c r="K7" s="59">
        <v>0.33333333333333331</v>
      </c>
      <c r="L7" s="57" t="s">
        <v>129</v>
      </c>
      <c r="M7" s="60">
        <v>0.29871520342612418</v>
      </c>
      <c r="N7" s="57" t="s">
        <v>196</v>
      </c>
      <c r="O7" s="60">
        <v>0.16666666666666666</v>
      </c>
      <c r="P7" s="57" t="s">
        <v>129</v>
      </c>
      <c r="Q7" s="61">
        <v>10381.362007168458</v>
      </c>
      <c r="R7" s="57" t="s">
        <v>129</v>
      </c>
      <c r="S7" s="61">
        <v>-9180.6666666666661</v>
      </c>
      <c r="T7" s="57" t="s">
        <v>145</v>
      </c>
      <c r="U7" s="59">
        <v>0.15171650055370986</v>
      </c>
      <c r="V7" s="57" t="s">
        <v>173</v>
      </c>
      <c r="W7" s="59">
        <v>0.16666666666666666</v>
      </c>
      <c r="X7" s="57" t="s">
        <v>167</v>
      </c>
      <c r="Y7" s="60">
        <v>0.30234933605720121</v>
      </c>
      <c r="Z7" s="57" t="s">
        <v>145</v>
      </c>
      <c r="AA7" s="60">
        <v>0.21785063752276868</v>
      </c>
      <c r="AB7" s="57" t="s">
        <v>145</v>
      </c>
      <c r="AC7" s="60">
        <v>0.5837595907928389</v>
      </c>
      <c r="AD7" s="57" t="s">
        <v>145</v>
      </c>
      <c r="AE7" s="60">
        <v>0.40050167224080269</v>
      </c>
      <c r="AF7" s="57" t="s">
        <v>167</v>
      </c>
      <c r="AG7" s="60">
        <v>0.4375</v>
      </c>
      <c r="AH7" s="57" t="s">
        <v>129</v>
      </c>
      <c r="AI7" s="65">
        <v>109300</v>
      </c>
      <c r="AJ7" s="57" t="s">
        <v>127</v>
      </c>
      <c r="AK7" s="62">
        <v>2</v>
      </c>
    </row>
    <row r="8" spans="1:37" x14ac:dyDescent="0.4">
      <c r="A8" s="54">
        <v>6</v>
      </c>
      <c r="B8" s="55" t="s">
        <v>185</v>
      </c>
      <c r="C8" s="56">
        <v>-9.3999999999999773</v>
      </c>
      <c r="D8" s="57" t="s">
        <v>185</v>
      </c>
      <c r="E8" s="70">
        <v>-0.28484848484848418</v>
      </c>
      <c r="F8" s="57" t="s">
        <v>196</v>
      </c>
      <c r="G8" s="58">
        <v>2</v>
      </c>
      <c r="H8" s="57" t="s">
        <v>145</v>
      </c>
      <c r="I8" s="59">
        <v>0.33333333333333331</v>
      </c>
      <c r="J8" s="57" t="s">
        <v>173</v>
      </c>
      <c r="K8" s="59">
        <v>0.33333333333333331</v>
      </c>
      <c r="L8" s="57" t="s">
        <v>167</v>
      </c>
      <c r="M8" s="60">
        <v>0.28346456692913385</v>
      </c>
      <c r="N8" s="57" t="s">
        <v>145</v>
      </c>
      <c r="O8" s="60">
        <v>0.17043150883289893</v>
      </c>
      <c r="P8" s="57" t="s">
        <v>145</v>
      </c>
      <c r="Q8" s="61">
        <v>10092.544492544492</v>
      </c>
      <c r="R8" s="57" t="s">
        <v>169</v>
      </c>
      <c r="S8" s="61">
        <v>-9190.9090909090901</v>
      </c>
      <c r="T8" s="57" t="s">
        <v>173</v>
      </c>
      <c r="U8" s="59">
        <v>0.16666666666666666</v>
      </c>
      <c r="V8" s="57" t="s">
        <v>145</v>
      </c>
      <c r="W8" s="59">
        <v>0.15171650055370986</v>
      </c>
      <c r="X8" s="57" t="s">
        <v>129</v>
      </c>
      <c r="Y8" s="60">
        <v>0.29702970297029702</v>
      </c>
      <c r="Z8" s="57" t="s">
        <v>129</v>
      </c>
      <c r="AA8" s="60">
        <v>0.21534653465346534</v>
      </c>
      <c r="AB8" s="57" t="s">
        <v>174</v>
      </c>
      <c r="AC8" s="60">
        <v>0.58181818181818179</v>
      </c>
      <c r="AD8" s="57" t="s">
        <v>167</v>
      </c>
      <c r="AE8" s="60">
        <v>0.39226519337016574</v>
      </c>
      <c r="AF8" s="57" t="s">
        <v>129</v>
      </c>
      <c r="AG8" s="60">
        <v>0.43727598566308246</v>
      </c>
      <c r="AH8" s="57" t="s">
        <v>185</v>
      </c>
      <c r="AI8" s="65">
        <v>109300</v>
      </c>
      <c r="AJ8" s="57" t="s">
        <v>168</v>
      </c>
      <c r="AK8" s="62">
        <v>2</v>
      </c>
    </row>
    <row r="9" spans="1:37" x14ac:dyDescent="0.4">
      <c r="A9" s="54">
        <v>7</v>
      </c>
      <c r="B9" s="55" t="s">
        <v>196</v>
      </c>
      <c r="C9" s="56">
        <v>-15.5</v>
      </c>
      <c r="D9" s="57" t="s">
        <v>167</v>
      </c>
      <c r="E9" s="70">
        <v>-3.5213740458015259</v>
      </c>
      <c r="F9" s="57" t="s">
        <v>185</v>
      </c>
      <c r="G9" s="58">
        <v>2.0606060606060606</v>
      </c>
      <c r="H9" s="57" t="s">
        <v>128</v>
      </c>
      <c r="I9" s="59">
        <v>0.28873239436619719</v>
      </c>
      <c r="J9" s="57" t="s">
        <v>185</v>
      </c>
      <c r="K9" s="59">
        <v>0.39393939393939392</v>
      </c>
      <c r="L9" s="57" t="s">
        <v>168</v>
      </c>
      <c r="M9" s="60">
        <v>0.27878787878787881</v>
      </c>
      <c r="N9" s="57" t="s">
        <v>185</v>
      </c>
      <c r="O9" s="60">
        <v>0.17407407407407408</v>
      </c>
      <c r="P9" s="57" t="s">
        <v>127</v>
      </c>
      <c r="Q9" s="61">
        <v>9923.1654676258986</v>
      </c>
      <c r="R9" s="57" t="s">
        <v>127</v>
      </c>
      <c r="S9" s="61">
        <v>-9277.6556776556772</v>
      </c>
      <c r="T9" s="57" t="s">
        <v>167</v>
      </c>
      <c r="U9" s="59">
        <v>0.17557251908396945</v>
      </c>
      <c r="V9" s="57" t="s">
        <v>185</v>
      </c>
      <c r="W9" s="59">
        <v>0.15151515151515152</v>
      </c>
      <c r="X9" s="57" t="s">
        <v>128</v>
      </c>
      <c r="Y9" s="60">
        <v>0.28978622327790976</v>
      </c>
      <c r="Z9" s="57" t="s">
        <v>185</v>
      </c>
      <c r="AA9" s="60">
        <v>0.21276595744680851</v>
      </c>
      <c r="AB9" s="57" t="s">
        <v>128</v>
      </c>
      <c r="AC9" s="60">
        <v>0.57786885245901642</v>
      </c>
      <c r="AD9" s="57" t="s">
        <v>128</v>
      </c>
      <c r="AE9" s="60">
        <v>0.39189189189189189</v>
      </c>
      <c r="AF9" s="57" t="s">
        <v>174</v>
      </c>
      <c r="AG9" s="60">
        <v>0.42944785276073622</v>
      </c>
      <c r="AH9" s="57" t="s">
        <v>168</v>
      </c>
      <c r="AI9" s="65">
        <v>103200</v>
      </c>
      <c r="AJ9" s="57" t="s">
        <v>174</v>
      </c>
      <c r="AK9" s="62">
        <v>1</v>
      </c>
    </row>
    <row r="10" spans="1:37" x14ac:dyDescent="0.4">
      <c r="A10" s="54">
        <v>8</v>
      </c>
      <c r="B10" s="55" t="s">
        <v>214</v>
      </c>
      <c r="C10" s="56">
        <v>-86.4</v>
      </c>
      <c r="D10" s="57" t="s">
        <v>128</v>
      </c>
      <c r="E10" s="70">
        <v>-3.7922535211267596</v>
      </c>
      <c r="F10" s="57" t="s">
        <v>128</v>
      </c>
      <c r="G10" s="58">
        <v>2.1056338028169015</v>
      </c>
      <c r="H10" s="57" t="s">
        <v>196</v>
      </c>
      <c r="I10" s="59">
        <v>0.25</v>
      </c>
      <c r="J10" s="57" t="s">
        <v>128</v>
      </c>
      <c r="K10" s="59">
        <v>0.39436619718309857</v>
      </c>
      <c r="L10" s="57" t="s">
        <v>185</v>
      </c>
      <c r="M10" s="60">
        <v>0.27037037037037037</v>
      </c>
      <c r="N10" s="57" t="s">
        <v>172</v>
      </c>
      <c r="O10" s="60">
        <v>0.18996415770609318</v>
      </c>
      <c r="P10" s="57" t="s">
        <v>174</v>
      </c>
      <c r="Q10" s="61">
        <v>9707.3619631901838</v>
      </c>
      <c r="R10" s="57" t="s">
        <v>145</v>
      </c>
      <c r="S10" s="61">
        <v>-9359.0484282073066</v>
      </c>
      <c r="T10" s="57" t="s">
        <v>185</v>
      </c>
      <c r="U10" s="59">
        <v>0.18181818181818182</v>
      </c>
      <c r="V10" s="57" t="s">
        <v>167</v>
      </c>
      <c r="W10" s="59">
        <v>0.14503816793893129</v>
      </c>
      <c r="X10" s="57" t="s">
        <v>145</v>
      </c>
      <c r="Y10" s="60">
        <v>0.2848816029143898</v>
      </c>
      <c r="Z10" s="57" t="s">
        <v>127</v>
      </c>
      <c r="AA10" s="60">
        <v>0.20872483221476509</v>
      </c>
      <c r="AB10" s="57" t="s">
        <v>129</v>
      </c>
      <c r="AC10" s="60">
        <v>0.55833333333333335</v>
      </c>
      <c r="AD10" s="57" t="s">
        <v>129</v>
      </c>
      <c r="AE10" s="60">
        <v>0.37931034482758619</v>
      </c>
      <c r="AF10" s="57" t="s">
        <v>145</v>
      </c>
      <c r="AG10" s="60">
        <v>0.42279942279942279</v>
      </c>
      <c r="AH10" s="57" t="s">
        <v>128</v>
      </c>
      <c r="AI10" s="65">
        <v>97700</v>
      </c>
      <c r="AJ10" s="57" t="s">
        <v>172</v>
      </c>
      <c r="AK10" s="62">
        <v>1</v>
      </c>
    </row>
    <row r="11" spans="1:37" x14ac:dyDescent="0.4">
      <c r="A11" s="54">
        <v>9</v>
      </c>
      <c r="B11" s="55" t="s">
        <v>210</v>
      </c>
      <c r="C11" s="56">
        <v>-132.1</v>
      </c>
      <c r="D11" s="57" t="s">
        <v>196</v>
      </c>
      <c r="E11" s="70">
        <v>-3.875</v>
      </c>
      <c r="F11" s="57" t="s">
        <v>167</v>
      </c>
      <c r="G11" s="58">
        <v>2.1603053435114505</v>
      </c>
      <c r="H11" s="57" t="s">
        <v>167</v>
      </c>
      <c r="I11" s="59">
        <v>0.24427480916030533</v>
      </c>
      <c r="J11" s="57" t="s">
        <v>214</v>
      </c>
      <c r="K11" s="59">
        <v>0.4</v>
      </c>
      <c r="L11" s="57" t="s">
        <v>214</v>
      </c>
      <c r="M11" s="60">
        <v>0.27027027027027029</v>
      </c>
      <c r="N11" s="57" t="s">
        <v>128</v>
      </c>
      <c r="O11" s="60">
        <v>0.19038984587488667</v>
      </c>
      <c r="P11" s="57" t="s">
        <v>172</v>
      </c>
      <c r="Q11" s="61">
        <v>9373.2142857142862</v>
      </c>
      <c r="R11" s="57" t="s">
        <v>167</v>
      </c>
      <c r="S11" s="61">
        <v>-9493.4010152284263</v>
      </c>
      <c r="T11" s="57" t="s">
        <v>168</v>
      </c>
      <c r="U11" s="59">
        <v>0.18823529411764706</v>
      </c>
      <c r="V11" s="57" t="s">
        <v>128</v>
      </c>
      <c r="W11" s="59">
        <v>0.11971830985915492</v>
      </c>
      <c r="X11" s="57" t="s">
        <v>168</v>
      </c>
      <c r="Y11" s="60">
        <v>0.27291666666666664</v>
      </c>
      <c r="Z11" s="57" t="s">
        <v>167</v>
      </c>
      <c r="AA11" s="60">
        <v>0.18488253319713993</v>
      </c>
      <c r="AB11" s="57" t="s">
        <v>185</v>
      </c>
      <c r="AC11" s="60">
        <v>0.5</v>
      </c>
      <c r="AD11" s="57" t="s">
        <v>168</v>
      </c>
      <c r="AE11" s="60">
        <v>0.36764705882352944</v>
      </c>
      <c r="AF11" s="57" t="s">
        <v>169</v>
      </c>
      <c r="AG11" s="60">
        <v>0.41176470588235292</v>
      </c>
      <c r="AH11" s="57" t="s">
        <v>173</v>
      </c>
      <c r="AI11" s="65">
        <v>78000</v>
      </c>
      <c r="AJ11" s="57" t="s">
        <v>185</v>
      </c>
      <c r="AK11" s="62">
        <v>0</v>
      </c>
    </row>
    <row r="12" spans="1:37" x14ac:dyDescent="0.4">
      <c r="A12" s="54">
        <v>10</v>
      </c>
      <c r="B12" s="55" t="s">
        <v>169</v>
      </c>
      <c r="C12" s="56">
        <v>-155.1</v>
      </c>
      <c r="D12" s="57" t="s">
        <v>168</v>
      </c>
      <c r="E12" s="70">
        <v>-6.5764705882352938</v>
      </c>
      <c r="F12" s="57" t="s">
        <v>214</v>
      </c>
      <c r="G12" s="58">
        <v>2.2000000000000002</v>
      </c>
      <c r="H12" s="57" t="s">
        <v>168</v>
      </c>
      <c r="I12" s="59">
        <v>0.22352941176470589</v>
      </c>
      <c r="J12" s="57" t="s">
        <v>167</v>
      </c>
      <c r="K12" s="59">
        <v>0.40458015267175573</v>
      </c>
      <c r="L12" s="57" t="s">
        <v>128</v>
      </c>
      <c r="M12" s="60">
        <v>0.26110607434270172</v>
      </c>
      <c r="N12" s="57" t="s">
        <v>168</v>
      </c>
      <c r="O12" s="60">
        <v>0.19090909090909092</v>
      </c>
      <c r="P12" s="57" t="s">
        <v>173</v>
      </c>
      <c r="Q12" s="61">
        <v>9163.1578947368416</v>
      </c>
      <c r="R12" s="57" t="s">
        <v>128</v>
      </c>
      <c r="S12" s="61">
        <v>-9621.4285714285706</v>
      </c>
      <c r="T12" s="57" t="s">
        <v>128</v>
      </c>
      <c r="U12" s="59">
        <v>0.19014084507042253</v>
      </c>
      <c r="V12" s="57" t="s">
        <v>168</v>
      </c>
      <c r="W12" s="59">
        <v>0.11764705882352941</v>
      </c>
      <c r="X12" s="57" t="s">
        <v>214</v>
      </c>
      <c r="Y12" s="60">
        <v>0.25806451612903225</v>
      </c>
      <c r="Z12" s="57" t="s">
        <v>128</v>
      </c>
      <c r="AA12" s="60">
        <v>0.17577197149643706</v>
      </c>
      <c r="AB12" s="57" t="s">
        <v>168</v>
      </c>
      <c r="AC12" s="60">
        <v>0.48854961832061067</v>
      </c>
      <c r="AD12" s="57" t="s">
        <v>169</v>
      </c>
      <c r="AE12" s="60">
        <v>0.33333333333333331</v>
      </c>
      <c r="AF12" s="57" t="s">
        <v>127</v>
      </c>
      <c r="AG12" s="60">
        <v>0.38705035971223023</v>
      </c>
      <c r="AH12" s="57" t="s">
        <v>172</v>
      </c>
      <c r="AI12" s="65">
        <v>67700</v>
      </c>
      <c r="AJ12" s="57" t="s">
        <v>169</v>
      </c>
      <c r="AK12" s="62">
        <v>0</v>
      </c>
    </row>
    <row r="13" spans="1:37" x14ac:dyDescent="0.4">
      <c r="A13" s="54">
        <v>11</v>
      </c>
      <c r="B13" s="55" t="s">
        <v>172</v>
      </c>
      <c r="C13" s="56">
        <v>-455.89999999999992</v>
      </c>
      <c r="D13" s="57" t="s">
        <v>172</v>
      </c>
      <c r="E13" s="70">
        <v>-12.663888888888886</v>
      </c>
      <c r="F13" s="57" t="s">
        <v>168</v>
      </c>
      <c r="G13" s="58">
        <v>2.2117647058823531</v>
      </c>
      <c r="H13" s="57" t="s">
        <v>214</v>
      </c>
      <c r="I13" s="59">
        <v>0.2</v>
      </c>
      <c r="J13" s="57" t="s">
        <v>168</v>
      </c>
      <c r="K13" s="59">
        <v>0.43529411764705883</v>
      </c>
      <c r="L13" s="57" t="s">
        <v>196</v>
      </c>
      <c r="M13" s="60">
        <v>0.25</v>
      </c>
      <c r="N13" s="57" t="s">
        <v>167</v>
      </c>
      <c r="O13" s="60">
        <v>0.19389763779527558</v>
      </c>
      <c r="P13" s="57" t="s">
        <v>168</v>
      </c>
      <c r="Q13" s="61">
        <v>8946.1956521739139</v>
      </c>
      <c r="R13" s="57" t="s">
        <v>168</v>
      </c>
      <c r="S13" s="61">
        <v>-9651.5873015873021</v>
      </c>
      <c r="T13" s="57" t="s">
        <v>172</v>
      </c>
      <c r="U13" s="59">
        <v>0.27777777777777779</v>
      </c>
      <c r="V13" s="57" t="s">
        <v>172</v>
      </c>
      <c r="W13" s="59">
        <v>8.3333333333333329E-2</v>
      </c>
      <c r="X13" s="57" t="s">
        <v>174</v>
      </c>
      <c r="Y13" s="60">
        <v>0.23305084745762711</v>
      </c>
      <c r="Z13" s="57" t="s">
        <v>214</v>
      </c>
      <c r="AA13" s="60">
        <v>0.16129032258064516</v>
      </c>
      <c r="AB13" s="57" t="s">
        <v>172</v>
      </c>
      <c r="AC13" s="60">
        <v>0.46153846153846156</v>
      </c>
      <c r="AD13" s="57" t="s">
        <v>172</v>
      </c>
      <c r="AE13" s="60">
        <v>0.28282828282828282</v>
      </c>
      <c r="AF13" s="57" t="s">
        <v>172</v>
      </c>
      <c r="AG13" s="60">
        <v>0.375</v>
      </c>
      <c r="AH13" s="57" t="s">
        <v>169</v>
      </c>
      <c r="AI13" s="65">
        <v>59500</v>
      </c>
      <c r="AJ13" s="57" t="s">
        <v>210</v>
      </c>
      <c r="AK13" s="62">
        <v>0</v>
      </c>
    </row>
    <row r="14" spans="1:37" x14ac:dyDescent="0.4">
      <c r="A14" s="54">
        <v>12</v>
      </c>
      <c r="B14" s="55" t="s">
        <v>167</v>
      </c>
      <c r="C14" s="56">
        <v>-461.2999999999999</v>
      </c>
      <c r="D14" s="57" t="s">
        <v>169</v>
      </c>
      <c r="E14" s="70">
        <v>-12.924999999999999</v>
      </c>
      <c r="F14" s="57" t="s">
        <v>172</v>
      </c>
      <c r="G14" s="58">
        <v>2.3888888888888888</v>
      </c>
      <c r="H14" s="57" t="s">
        <v>172</v>
      </c>
      <c r="I14" s="59">
        <v>0.19444444444444445</v>
      </c>
      <c r="J14" s="57" t="s">
        <v>172</v>
      </c>
      <c r="K14" s="59">
        <v>0.58333333333333337</v>
      </c>
      <c r="L14" s="57" t="s">
        <v>172</v>
      </c>
      <c r="M14" s="60">
        <v>0.20071684587813621</v>
      </c>
      <c r="N14" s="57" t="s">
        <v>214</v>
      </c>
      <c r="O14" s="60">
        <v>0.21621621621621623</v>
      </c>
      <c r="P14" s="57" t="s">
        <v>169</v>
      </c>
      <c r="Q14" s="61">
        <v>8670.5882352941171</v>
      </c>
      <c r="R14" s="57" t="s">
        <v>173</v>
      </c>
      <c r="S14" s="61">
        <v>-10025</v>
      </c>
      <c r="T14" s="57" t="s">
        <v>169</v>
      </c>
      <c r="U14" s="59">
        <v>0.33333333333333331</v>
      </c>
      <c r="V14" s="57" t="s">
        <v>169</v>
      </c>
      <c r="W14" s="59">
        <v>8.3333333333333329E-2</v>
      </c>
      <c r="X14" s="57" t="s">
        <v>172</v>
      </c>
      <c r="Y14" s="60">
        <v>0.13978494623655913</v>
      </c>
      <c r="Z14" s="57" t="s">
        <v>173</v>
      </c>
      <c r="AA14" s="60">
        <v>0.12</v>
      </c>
      <c r="AB14" s="57" t="s">
        <v>169</v>
      </c>
      <c r="AC14" s="60">
        <v>0.41666666666666669</v>
      </c>
      <c r="AD14" s="57" t="s">
        <v>185</v>
      </c>
      <c r="AE14" s="60">
        <v>0.22500000000000001</v>
      </c>
      <c r="AF14" s="57" t="s">
        <v>196</v>
      </c>
      <c r="AG14" s="60">
        <v>0.33333333333333331</v>
      </c>
      <c r="AH14" s="57" t="s">
        <v>214</v>
      </c>
      <c r="AI14" s="65">
        <v>57800</v>
      </c>
      <c r="AJ14" s="57" t="s">
        <v>196</v>
      </c>
      <c r="AK14" s="62">
        <v>0</v>
      </c>
    </row>
    <row r="15" spans="1:37" x14ac:dyDescent="0.4">
      <c r="A15" s="54">
        <v>13</v>
      </c>
      <c r="B15" s="55" t="s">
        <v>128</v>
      </c>
      <c r="C15" s="56">
        <v>-538.49999999999989</v>
      </c>
      <c r="D15" s="57" t="s">
        <v>214</v>
      </c>
      <c r="E15" s="70">
        <v>-17.28</v>
      </c>
      <c r="F15" s="57" t="s">
        <v>169</v>
      </c>
      <c r="G15" s="58">
        <v>2.4166666666666665</v>
      </c>
      <c r="H15" s="57" t="s">
        <v>169</v>
      </c>
      <c r="I15" s="59">
        <v>0.16666666666666666</v>
      </c>
      <c r="J15" s="57" t="s">
        <v>169</v>
      </c>
      <c r="K15" s="59">
        <v>0.58333333333333337</v>
      </c>
      <c r="L15" s="57" t="s">
        <v>169</v>
      </c>
      <c r="M15" s="60">
        <v>0.19318181818181818</v>
      </c>
      <c r="N15" s="57" t="s">
        <v>169</v>
      </c>
      <c r="O15" s="60">
        <v>0.25</v>
      </c>
      <c r="P15" s="57" t="s">
        <v>210</v>
      </c>
      <c r="Q15" s="61">
        <v>7800</v>
      </c>
      <c r="R15" s="57" t="s">
        <v>196</v>
      </c>
      <c r="S15" s="61">
        <v>-12000</v>
      </c>
      <c r="T15" s="57" t="s">
        <v>214</v>
      </c>
      <c r="U15" s="59">
        <v>0.4</v>
      </c>
      <c r="V15" s="57" t="s">
        <v>210</v>
      </c>
      <c r="W15" s="59">
        <v>0</v>
      </c>
      <c r="X15" s="57" t="s">
        <v>169</v>
      </c>
      <c r="Y15" s="60">
        <v>0.13636363636363635</v>
      </c>
      <c r="Z15" s="57" t="s">
        <v>196</v>
      </c>
      <c r="AA15" s="60">
        <v>0.10526315789473684</v>
      </c>
      <c r="AB15" s="57" t="s">
        <v>196</v>
      </c>
      <c r="AC15" s="60">
        <v>0.25</v>
      </c>
      <c r="AD15" s="57" t="s">
        <v>214</v>
      </c>
      <c r="AE15" s="60">
        <v>0.2</v>
      </c>
      <c r="AF15" s="57" t="s">
        <v>173</v>
      </c>
      <c r="AG15" s="60">
        <v>0.31578947368421051</v>
      </c>
      <c r="AH15" s="57" t="s">
        <v>196</v>
      </c>
      <c r="AI15" s="65">
        <v>46000</v>
      </c>
      <c r="AJ15" s="57" t="s">
        <v>214</v>
      </c>
      <c r="AK15" s="62">
        <v>0</v>
      </c>
    </row>
    <row r="16" spans="1:37" x14ac:dyDescent="0.4">
      <c r="A16" s="54">
        <v>14</v>
      </c>
      <c r="B16" s="55" t="s">
        <v>168</v>
      </c>
      <c r="C16" s="56">
        <v>-559</v>
      </c>
      <c r="D16" s="57" t="s">
        <v>210</v>
      </c>
      <c r="E16" s="70">
        <v>-33.024999999999999</v>
      </c>
      <c r="F16" s="57" t="s">
        <v>210</v>
      </c>
      <c r="G16" s="58">
        <v>3</v>
      </c>
      <c r="H16" s="57" t="s">
        <v>210</v>
      </c>
      <c r="I16" s="59">
        <v>0</v>
      </c>
      <c r="J16" s="57" t="s">
        <v>210</v>
      </c>
      <c r="K16" s="59">
        <v>1</v>
      </c>
      <c r="L16" s="57" t="s">
        <v>210</v>
      </c>
      <c r="M16" s="60">
        <v>0.04</v>
      </c>
      <c r="N16" s="57" t="s">
        <v>210</v>
      </c>
      <c r="O16" s="60">
        <v>0.4</v>
      </c>
      <c r="P16" s="57" t="s">
        <v>214</v>
      </c>
      <c r="Q16" s="61">
        <v>7100</v>
      </c>
      <c r="R16" s="57" t="s">
        <v>214</v>
      </c>
      <c r="S16" s="61">
        <v>-12487.5</v>
      </c>
      <c r="T16" s="57" t="s">
        <v>210</v>
      </c>
      <c r="U16" s="59">
        <v>0.5</v>
      </c>
      <c r="V16" s="57" t="s">
        <v>196</v>
      </c>
      <c r="W16" s="59">
        <v>0</v>
      </c>
      <c r="X16" s="57" t="s">
        <v>210</v>
      </c>
      <c r="Y16" s="60">
        <v>0</v>
      </c>
      <c r="Z16" s="57" t="s">
        <v>210</v>
      </c>
      <c r="AA16" s="60">
        <v>0</v>
      </c>
      <c r="AB16" s="57" t="s">
        <v>210</v>
      </c>
      <c r="AC16" s="60">
        <v>0</v>
      </c>
      <c r="AD16" s="57" t="s">
        <v>210</v>
      </c>
      <c r="AE16" s="60">
        <v>0</v>
      </c>
      <c r="AF16" s="57" t="s">
        <v>214</v>
      </c>
      <c r="AG16" s="60">
        <v>0.3</v>
      </c>
      <c r="AH16" s="57" t="s">
        <v>210</v>
      </c>
      <c r="AI16" s="65">
        <v>13000</v>
      </c>
      <c r="AJ16" s="57" t="s">
        <v>173</v>
      </c>
      <c r="AK16" s="62">
        <v>0</v>
      </c>
    </row>
  </sheetData>
  <sortState ref="AJ3:AK46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21F6-CB76-434E-9D70-C3DD2CE7CD3A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145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903</v>
      </c>
      <c r="C2" s="123"/>
      <c r="E2" s="33" t="s">
        <v>180</v>
      </c>
      <c r="F2" s="30" t="s">
        <v>181</v>
      </c>
      <c r="G2" s="17">
        <v>1434</v>
      </c>
      <c r="H2" s="104">
        <f>IF(B$29=0,0,G2/B$29)</f>
        <v>0.8717325227963526</v>
      </c>
      <c r="I2" s="66">
        <v>8</v>
      </c>
      <c r="K2" s="7">
        <v>0</v>
      </c>
      <c r="L2" s="71">
        <v>0</v>
      </c>
      <c r="N2" s="86" t="s">
        <v>132</v>
      </c>
      <c r="O2" s="93">
        <f t="shared" ref="O2:O7" si="0">IF(P2=0,0,Q2/P2)</f>
        <v>-15.712682379349046</v>
      </c>
      <c r="P2" s="90">
        <v>891</v>
      </c>
      <c r="Q2" s="74">
        <v>-14000</v>
      </c>
    </row>
    <row r="3" spans="1:17" x14ac:dyDescent="0.4">
      <c r="A3" s="26" t="s">
        <v>8</v>
      </c>
      <c r="B3" s="128">
        <v>6906</v>
      </c>
      <c r="C3" s="129"/>
      <c r="E3" s="34" t="s">
        <v>67</v>
      </c>
      <c r="F3" s="31" t="s">
        <v>23</v>
      </c>
      <c r="G3" s="18">
        <v>1187</v>
      </c>
      <c r="H3" s="105">
        <f>IF(B$29=0,0,G3/B$29)</f>
        <v>0.721580547112462</v>
      </c>
      <c r="I3" s="67">
        <v>6</v>
      </c>
      <c r="K3" s="9">
        <v>1</v>
      </c>
      <c r="L3" s="72">
        <v>15</v>
      </c>
      <c r="N3" s="87" t="s">
        <v>133</v>
      </c>
      <c r="O3" s="94">
        <f t="shared" si="0"/>
        <v>-3.4965034965034967</v>
      </c>
      <c r="P3" s="91">
        <v>858</v>
      </c>
      <c r="Q3" s="75">
        <v>-3000</v>
      </c>
    </row>
    <row r="4" spans="1:17" x14ac:dyDescent="0.4">
      <c r="A4" s="26" t="s">
        <v>6</v>
      </c>
      <c r="B4" s="130">
        <v>-7.9999999999999343</v>
      </c>
      <c r="C4" s="131"/>
      <c r="E4" s="34" t="s">
        <v>73</v>
      </c>
      <c r="F4" s="31" t="s">
        <v>28</v>
      </c>
      <c r="G4" s="18">
        <v>931</v>
      </c>
      <c r="H4" s="105">
        <f>IF(B$29=0,0,G4/B$29)</f>
        <v>0.56595744680851068</v>
      </c>
      <c r="I4" s="67">
        <v>8</v>
      </c>
      <c r="K4" s="9">
        <v>2</v>
      </c>
      <c r="L4" s="72">
        <v>-7</v>
      </c>
      <c r="N4" s="87" t="s">
        <v>134</v>
      </c>
      <c r="O4" s="94">
        <f t="shared" si="0"/>
        <v>6.2189054726368163</v>
      </c>
      <c r="P4" s="91">
        <v>804</v>
      </c>
      <c r="Q4" s="75">
        <v>5000</v>
      </c>
    </row>
    <row r="5" spans="1:17" x14ac:dyDescent="0.4">
      <c r="A5" s="26" t="s">
        <v>7</v>
      </c>
      <c r="B5" s="132">
        <f>IF(B$2=0,0,B$4/B$2)</f>
        <v>-8.8593576965669257E-3</v>
      </c>
      <c r="C5" s="133"/>
      <c r="E5" s="34" t="s">
        <v>65</v>
      </c>
      <c r="F5" s="31" t="s">
        <v>21</v>
      </c>
      <c r="G5" s="18">
        <v>898</v>
      </c>
      <c r="H5" s="105">
        <f>IF(B$29=0,0,G5/B$29)</f>
        <v>0.54589665653495445</v>
      </c>
      <c r="I5" s="67">
        <v>6</v>
      </c>
      <c r="K5" s="9">
        <v>3</v>
      </c>
      <c r="L5" s="72">
        <v>0</v>
      </c>
      <c r="N5" s="87" t="s">
        <v>135</v>
      </c>
      <c r="O5" s="94">
        <f t="shared" si="0"/>
        <v>2.7662517289073305</v>
      </c>
      <c r="P5" s="91">
        <v>723</v>
      </c>
      <c r="Q5" s="75">
        <v>2000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69</v>
      </c>
      <c r="F6" s="31" t="s">
        <v>12</v>
      </c>
      <c r="G6" s="18">
        <v>514</v>
      </c>
      <c r="H6" s="105">
        <f>IF(B$29=0,0,G6/B$29)</f>
        <v>0.31246200607902735</v>
      </c>
      <c r="I6" s="67">
        <v>7</v>
      </c>
      <c r="K6" s="9">
        <v>4</v>
      </c>
      <c r="L6" s="72">
        <v>-1</v>
      </c>
      <c r="N6" s="87" t="s">
        <v>136</v>
      </c>
      <c r="O6" s="94">
        <f t="shared" si="0"/>
        <v>11.0062893081761</v>
      </c>
      <c r="P6" s="91">
        <v>636</v>
      </c>
      <c r="Q6" s="75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5">
        <f>IF(B$29=0,0,G7/B$29)</f>
        <v>0.30334346504559273</v>
      </c>
      <c r="I7" s="67">
        <v>6</v>
      </c>
      <c r="K7" s="9">
        <v>5</v>
      </c>
      <c r="L7" s="72">
        <v>39.9</v>
      </c>
      <c r="N7" s="88" t="s">
        <v>137</v>
      </c>
      <c r="O7" s="95">
        <f t="shared" si="0"/>
        <v>-9.6899224806201545</v>
      </c>
      <c r="P7" s="92">
        <v>516</v>
      </c>
      <c r="Q7" s="76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5">
        <f>IF(B$29=0,0,G8/B$29)</f>
        <v>0.1513677811550152</v>
      </c>
      <c r="I8" s="67">
        <v>8</v>
      </c>
      <c r="K8" s="9">
        <v>6</v>
      </c>
      <c r="L8" s="72">
        <v>0</v>
      </c>
      <c r="N8" s="14"/>
      <c r="O8" s="99"/>
      <c r="P8" s="83"/>
      <c r="Q8" s="81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5">
        <f>IF(B$29=0,0,G9/B$29)</f>
        <v>0.14711246200607903</v>
      </c>
      <c r="I9" s="67">
        <v>7</v>
      </c>
      <c r="K9" s="9">
        <v>7</v>
      </c>
      <c r="L9" s="72">
        <v>15.1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5">
        <f>IF(B$29=0,0,G10/B$29)</f>
        <v>0.12401215805471125</v>
      </c>
      <c r="I10" s="67">
        <v>6</v>
      </c>
      <c r="K10" s="9">
        <v>8</v>
      </c>
      <c r="L10" s="72">
        <v>-26.699999999999996</v>
      </c>
      <c r="N10" s="86" t="s">
        <v>162</v>
      </c>
      <c r="O10" s="96">
        <f>IF(P10=0,0,Q10/P10)</f>
        <v>-2.3214765100671131</v>
      </c>
      <c r="P10" s="90">
        <v>298</v>
      </c>
      <c r="Q10" s="78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5">
        <f>IF(B$29=0,0,G11/B$29)</f>
        <v>9.7872340425531917E-2</v>
      </c>
      <c r="I11" s="67">
        <v>6</v>
      </c>
      <c r="K11" s="9">
        <v>9</v>
      </c>
      <c r="L11" s="72">
        <v>3.5527136788005009E-15</v>
      </c>
      <c r="N11" s="87" t="s">
        <v>163</v>
      </c>
      <c r="O11" s="97">
        <f>IF(P11=0,0,Q11/P11)</f>
        <v>0.35570469798657767</v>
      </c>
      <c r="P11" s="91">
        <v>298</v>
      </c>
      <c r="Q11" s="79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5">
        <f>IF(B$29=0,0,G12/B$29)</f>
        <v>6.8085106382978725E-2</v>
      </c>
      <c r="I12" s="67">
        <v>8</v>
      </c>
      <c r="K12" s="9">
        <v>10</v>
      </c>
      <c r="L12" s="72">
        <v>85.2</v>
      </c>
      <c r="N12" s="88" t="s">
        <v>164</v>
      </c>
      <c r="O12" s="98">
        <f>IF(P12=0,0,Q12/P12)</f>
        <v>1.9389261744966448</v>
      </c>
      <c r="P12" s="92">
        <v>298</v>
      </c>
      <c r="Q12" s="80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5">
        <f>IF(B$29=0,0,G13/B$29)</f>
        <v>4.8024316109422489E-2</v>
      </c>
      <c r="I13" s="67">
        <v>6</v>
      </c>
      <c r="K13" s="9">
        <v>11</v>
      </c>
      <c r="L13" s="72">
        <v>44.5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5">
        <f>IF(B$29=0,0,G14/B$29)</f>
        <v>4.4984802431610946E-2</v>
      </c>
      <c r="I14" s="67">
        <v>6</v>
      </c>
      <c r="K14" s="9">
        <v>12</v>
      </c>
      <c r="L14" s="72">
        <v>0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5">
        <f>IF(B$29=0,0,G15/B$29)</f>
        <v>2.9787234042553193E-2</v>
      </c>
      <c r="I15" s="67">
        <v>7</v>
      </c>
      <c r="K15" s="9">
        <v>13</v>
      </c>
      <c r="L15" s="72">
        <v>31.5</v>
      </c>
      <c r="N15" s="86" t="s">
        <v>210</v>
      </c>
      <c r="O15" s="96">
        <f>IF(P15=0,0,Q15/P15)</f>
        <v>49.537499999999994</v>
      </c>
      <c r="P15" s="90">
        <v>8</v>
      </c>
      <c r="Q15" s="78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5">
        <f>IF(B$29=0,0,G16/B$29)</f>
        <v>2.8571428571428571E-2</v>
      </c>
      <c r="I16" s="67">
        <v>6</v>
      </c>
      <c r="K16" s="9">
        <v>14</v>
      </c>
      <c r="L16" s="72">
        <v>-4</v>
      </c>
      <c r="N16" s="87" t="s">
        <v>214</v>
      </c>
      <c r="O16" s="97">
        <f>IF(P16=0,0,Q16/P16)</f>
        <v>25.919999999999998</v>
      </c>
      <c r="P16" s="91">
        <v>10</v>
      </c>
      <c r="Q16" s="79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5">
        <f>IF(B$29=0,0,G17/B$29)</f>
        <v>1.9452887537993922E-2</v>
      </c>
      <c r="I17" s="67">
        <v>7</v>
      </c>
      <c r="K17" s="9">
        <v>15</v>
      </c>
      <c r="L17" s="72">
        <v>0</v>
      </c>
      <c r="N17" s="87" t="s">
        <v>169</v>
      </c>
      <c r="O17" s="97">
        <f>IF(P17=0,0,Q17/P17)</f>
        <v>19.387499999999999</v>
      </c>
      <c r="P17" s="91">
        <v>24</v>
      </c>
      <c r="Q17" s="79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5">
        <f>IF(B$29=0,0,G18/B$29)</f>
        <v>1.3981762917933131E-2</v>
      </c>
      <c r="I18" s="67">
        <v>7</v>
      </c>
      <c r="K18" s="9">
        <v>16</v>
      </c>
      <c r="L18" s="72">
        <v>-48</v>
      </c>
      <c r="N18" s="87" t="s">
        <v>172</v>
      </c>
      <c r="O18" s="97">
        <f>IF(P18=0,0,Q18/P18)</f>
        <v>18.981944444444455</v>
      </c>
      <c r="P18" s="91">
        <v>72</v>
      </c>
      <c r="Q18" s="79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5">
        <f>IF(B$29=0,0,G19/B$29)</f>
        <v>7.9027355623100311E-3</v>
      </c>
      <c r="I19" s="67">
        <v>4</v>
      </c>
      <c r="K19" s="9">
        <v>17</v>
      </c>
      <c r="L19" s="72">
        <v>-8</v>
      </c>
      <c r="N19" s="87" t="s">
        <v>168</v>
      </c>
      <c r="O19" s="97">
        <f>IF(P19=0,0,Q19/P19)</f>
        <v>9.8588235294117634</v>
      </c>
      <c r="P19" s="91">
        <v>170</v>
      </c>
      <c r="Q19" s="79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5">
        <f>IF(B$29=0,0,G20/B$29)</f>
        <v>6.0790273556231003E-3</v>
      </c>
      <c r="I20" s="67">
        <v>4</v>
      </c>
      <c r="K20" s="9">
        <v>18</v>
      </c>
      <c r="L20" s="72">
        <v>0</v>
      </c>
      <c r="N20" s="87" t="s">
        <v>196</v>
      </c>
      <c r="O20" s="97">
        <f>IF(P20=0,0,Q20/P20)</f>
        <v>5.8125</v>
      </c>
      <c r="P20" s="91">
        <v>8</v>
      </c>
      <c r="Q20" s="79">
        <v>46.5</v>
      </c>
    </row>
    <row r="21" spans="1:17" x14ac:dyDescent="0.4">
      <c r="A21" s="26" t="s">
        <v>178</v>
      </c>
      <c r="B21" s="18">
        <v>6</v>
      </c>
      <c r="C21" s="107">
        <v>0</v>
      </c>
      <c r="E21" s="34" t="s">
        <v>78</v>
      </c>
      <c r="F21" s="31" t="s">
        <v>33</v>
      </c>
      <c r="G21" s="18">
        <v>9</v>
      </c>
      <c r="H21" s="105">
        <f>IF(B$29=0,0,G21/B$29)</f>
        <v>5.47112462006079E-3</v>
      </c>
      <c r="I21" s="67">
        <v>5</v>
      </c>
      <c r="K21" s="9">
        <v>19</v>
      </c>
      <c r="L21" s="72">
        <v>-6.1</v>
      </c>
      <c r="N21" s="87" t="s">
        <v>128</v>
      </c>
      <c r="O21" s="97">
        <f>IF(P21=0,0,Q21/P21)</f>
        <v>5.6707746478873222</v>
      </c>
      <c r="P21" s="91">
        <v>284</v>
      </c>
      <c r="Q21" s="79">
        <v>1610.4999999999995</v>
      </c>
    </row>
    <row r="22" spans="1:17" x14ac:dyDescent="0.4">
      <c r="A22" s="26" t="s">
        <v>179</v>
      </c>
      <c r="B22" s="18">
        <v>35</v>
      </c>
      <c r="C22" s="107">
        <v>13</v>
      </c>
      <c r="E22" s="34" t="s">
        <v>93</v>
      </c>
      <c r="F22" s="31" t="s">
        <v>48</v>
      </c>
      <c r="G22" s="18">
        <v>8</v>
      </c>
      <c r="H22" s="105">
        <f>IF(B$29=0,0,G22/B$29)</f>
        <v>4.8632218844984806E-3</v>
      </c>
      <c r="I22" s="67">
        <v>5</v>
      </c>
      <c r="K22" s="9">
        <v>20</v>
      </c>
      <c r="L22" s="72">
        <v>4.9000000000000004</v>
      </c>
      <c r="N22" s="87" t="s">
        <v>167</v>
      </c>
      <c r="O22" s="97">
        <f>IF(P22=0,0,Q22/P22)</f>
        <v>5.2706106870228986</v>
      </c>
      <c r="P22" s="91">
        <v>262</v>
      </c>
      <c r="Q22" s="79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5">
        <f>IF(B$29=0,0,G23/B$29)</f>
        <v>4.2553191489361703E-3</v>
      </c>
      <c r="I23" s="67">
        <v>4</v>
      </c>
      <c r="K23" s="9">
        <v>21</v>
      </c>
      <c r="L23" s="72">
        <v>0</v>
      </c>
      <c r="N23" s="87" t="s">
        <v>185</v>
      </c>
      <c r="O23" s="97">
        <f>IF(P23=0,0,Q23/P23)</f>
        <v>0.41212121212121355</v>
      </c>
      <c r="P23" s="91">
        <v>66</v>
      </c>
      <c r="Q23" s="79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5">
        <f>IF(B$29=0,0,G24/B$29)</f>
        <v>3.64741641337386E-3</v>
      </c>
      <c r="I24" s="67">
        <v>4</v>
      </c>
      <c r="K24" s="9">
        <v>22</v>
      </c>
      <c r="L24" s="72">
        <v>-36</v>
      </c>
      <c r="N24" s="87" t="s">
        <v>129</v>
      </c>
      <c r="O24" s="97">
        <f>IF(P24=0,0,Q24/P24)</f>
        <v>-2.4682926829268288</v>
      </c>
      <c r="P24" s="91">
        <v>246</v>
      </c>
      <c r="Q24" s="79">
        <v>-607.19999999999993</v>
      </c>
    </row>
    <row r="25" spans="1:17" x14ac:dyDescent="0.4">
      <c r="A25" s="63" t="s">
        <v>142</v>
      </c>
      <c r="B25" s="118">
        <v>10</v>
      </c>
      <c r="C25" s="119"/>
      <c r="E25" s="34" t="s">
        <v>75</v>
      </c>
      <c r="F25" s="31" t="s">
        <v>30</v>
      </c>
      <c r="G25" s="18">
        <v>5</v>
      </c>
      <c r="H25" s="105">
        <f>IF(B$29=0,0,G25/B$29)</f>
        <v>3.0395136778115501E-3</v>
      </c>
      <c r="I25" s="67">
        <v>5</v>
      </c>
      <c r="K25" s="9">
        <v>23</v>
      </c>
      <c r="L25" s="72">
        <v>-3</v>
      </c>
      <c r="N25" s="87" t="s">
        <v>174</v>
      </c>
      <c r="O25" s="97">
        <f>IF(P25=0,0,Q25/P25)</f>
        <v>-6.2030769230769174</v>
      </c>
      <c r="P25" s="91">
        <v>130</v>
      </c>
      <c r="Q25" s="79">
        <v>-806.3999999999993</v>
      </c>
    </row>
    <row r="26" spans="1:17" x14ac:dyDescent="0.4">
      <c r="A26" s="29" t="s">
        <v>152</v>
      </c>
      <c r="B26" s="120">
        <v>124700</v>
      </c>
      <c r="C26" s="121"/>
      <c r="E26" s="34" t="s">
        <v>85</v>
      </c>
      <c r="F26" s="31" t="s">
        <v>40</v>
      </c>
      <c r="G26" s="18">
        <v>4</v>
      </c>
      <c r="H26" s="105">
        <f>IF(B$29=0,0,G26/B$29)</f>
        <v>2.4316109422492403E-3</v>
      </c>
      <c r="I26" s="67">
        <v>4</v>
      </c>
      <c r="K26" s="9">
        <v>24</v>
      </c>
      <c r="L26" s="72">
        <v>0</v>
      </c>
      <c r="N26" s="87" t="s">
        <v>127</v>
      </c>
      <c r="O26" s="97">
        <f>IF(P26=0,0,Q26/P26)</f>
        <v>-11.036964980544747</v>
      </c>
      <c r="P26" s="91">
        <v>514</v>
      </c>
      <c r="Q26" s="79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5">
        <f>IF(B$29=0,0,G27/B$29)</f>
        <v>2.4316109422492403E-3</v>
      </c>
      <c r="I27" s="67">
        <v>4</v>
      </c>
      <c r="K27" s="9">
        <v>25</v>
      </c>
      <c r="L27" s="72">
        <v>-41</v>
      </c>
      <c r="N27" s="87" t="s">
        <v>173</v>
      </c>
      <c r="O27" s="97">
        <f>IF(P27=0,0,Q27/P27)</f>
        <v>-11.833333333333334</v>
      </c>
      <c r="P27" s="91">
        <v>12</v>
      </c>
      <c r="Q27" s="79">
        <v>-142</v>
      </c>
    </row>
    <row r="28" spans="1:17" x14ac:dyDescent="0.4">
      <c r="A28" s="25" t="s">
        <v>182</v>
      </c>
      <c r="B28" s="122">
        <v>5490</v>
      </c>
      <c r="C28" s="123"/>
      <c r="E28" s="34" t="s">
        <v>91</v>
      </c>
      <c r="F28" s="31" t="s">
        <v>46</v>
      </c>
      <c r="G28" s="18">
        <v>2</v>
      </c>
      <c r="H28" s="105">
        <f>IF(B$29=0,0,G28/B$29)</f>
        <v>1.2158054711246201E-3</v>
      </c>
      <c r="I28" s="67">
        <v>3</v>
      </c>
      <c r="K28" s="9">
        <v>26</v>
      </c>
      <c r="L28" s="72">
        <v>11.5</v>
      </c>
    </row>
    <row r="29" spans="1:17" x14ac:dyDescent="0.4">
      <c r="A29" s="28" t="s">
        <v>183</v>
      </c>
      <c r="B29" s="124">
        <v>1645</v>
      </c>
      <c r="C29" s="125"/>
      <c r="E29" s="34" t="s">
        <v>81</v>
      </c>
      <c r="F29" s="31" t="s">
        <v>36</v>
      </c>
      <c r="G29" s="18">
        <v>1</v>
      </c>
      <c r="H29" s="105">
        <f>IF(B$29=0,0,G29/B$29)</f>
        <v>6.0790273556231007E-4</v>
      </c>
      <c r="I29" s="67">
        <v>2</v>
      </c>
      <c r="K29" s="9">
        <v>27</v>
      </c>
      <c r="L29" s="72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5">
        <f>IF(B$29=0,0,G30/B$29)</f>
        <v>6.0790273556231007E-4</v>
      </c>
      <c r="I30" s="67">
        <v>2</v>
      </c>
      <c r="K30" s="9">
        <v>28</v>
      </c>
      <c r="L30" s="72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5">
        <f>IF(B$29=0,0,G31/B$29)</f>
        <v>6.0790273556231007E-4</v>
      </c>
      <c r="I31" s="67">
        <v>2</v>
      </c>
      <c r="K31" s="9">
        <v>29</v>
      </c>
      <c r="L31" s="72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5">
        <f>IF(B$29=0,0,G32/B$29)</f>
        <v>6.0790273556231007E-4</v>
      </c>
      <c r="I32" s="67">
        <v>2</v>
      </c>
      <c r="K32" s="9">
        <v>30</v>
      </c>
      <c r="L32" s="72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5">
        <f>IF(B$29=0,0,G34/B$29)</f>
        <v>0</v>
      </c>
      <c r="I34" s="67">
        <v>1</v>
      </c>
      <c r="K34" s="9">
        <v>32</v>
      </c>
      <c r="L34" s="72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7.1054273576010019E-15</v>
      </c>
    </row>
    <row r="51" spans="5:12" x14ac:dyDescent="0.4">
      <c r="K51" s="9">
        <v>49</v>
      </c>
      <c r="L51" s="72">
        <v>-21.399999999999991</v>
      </c>
    </row>
    <row r="52" spans="5:12" x14ac:dyDescent="0.4">
      <c r="K52" s="9">
        <v>50</v>
      </c>
      <c r="L52" s="72">
        <v>-53.899999999999991</v>
      </c>
    </row>
    <row r="53" spans="5:12" x14ac:dyDescent="0.4">
      <c r="K53" s="9">
        <v>51</v>
      </c>
      <c r="L53" s="72">
        <v>7.1054273576010019E-15</v>
      </c>
    </row>
    <row r="54" spans="5:12" x14ac:dyDescent="0.4">
      <c r="K54" s="9">
        <v>52</v>
      </c>
      <c r="L54" s="72">
        <v>14.900000000000007</v>
      </c>
    </row>
    <row r="55" spans="5:12" x14ac:dyDescent="0.4">
      <c r="K55" s="9">
        <v>53</v>
      </c>
      <c r="L55" s="72">
        <v>1.2000000000000082</v>
      </c>
    </row>
    <row r="56" spans="5:12" x14ac:dyDescent="0.4">
      <c r="K56" s="9">
        <v>54</v>
      </c>
      <c r="L56" s="72">
        <v>8.2156503822261584E-15</v>
      </c>
    </row>
    <row r="57" spans="5:12" x14ac:dyDescent="0.4">
      <c r="K57" s="9">
        <v>55</v>
      </c>
      <c r="L57" s="72">
        <v>57.20000000000001</v>
      </c>
    </row>
    <row r="58" spans="5:12" x14ac:dyDescent="0.4">
      <c r="K58" s="9">
        <v>56</v>
      </c>
      <c r="L58" s="72">
        <v>18.800000000000011</v>
      </c>
    </row>
    <row r="59" spans="5:12" x14ac:dyDescent="0.4">
      <c r="K59" s="9">
        <v>57</v>
      </c>
      <c r="L59" s="72">
        <v>1.0658141036401503E-14</v>
      </c>
    </row>
    <row r="60" spans="5:12" x14ac:dyDescent="0.4">
      <c r="K60" s="9">
        <v>58</v>
      </c>
      <c r="L60" s="72">
        <v>26.20000000000001</v>
      </c>
    </row>
    <row r="61" spans="5:12" x14ac:dyDescent="0.4">
      <c r="K61" s="9">
        <v>59</v>
      </c>
      <c r="L61" s="72">
        <v>1.0000000000000107</v>
      </c>
    </row>
    <row r="62" spans="5:12" x14ac:dyDescent="0.4">
      <c r="K62" s="9">
        <v>60</v>
      </c>
      <c r="L62" s="72">
        <v>1.0658141036401503E-14</v>
      </c>
    </row>
    <row r="63" spans="5:12" x14ac:dyDescent="0.4">
      <c r="K63" s="9">
        <v>61</v>
      </c>
      <c r="L63" s="72">
        <v>56.500000000000014</v>
      </c>
    </row>
    <row r="64" spans="5:12" x14ac:dyDescent="0.4">
      <c r="K64" s="9">
        <v>62</v>
      </c>
      <c r="L64" s="72">
        <v>10.000000000000014</v>
      </c>
    </row>
    <row r="65" spans="11:12" x14ac:dyDescent="0.4">
      <c r="K65" s="9">
        <v>63</v>
      </c>
      <c r="L65" s="72">
        <v>1.4210854715202004E-14</v>
      </c>
    </row>
    <row r="66" spans="11:12" x14ac:dyDescent="0.4">
      <c r="K66" s="9">
        <v>64</v>
      </c>
      <c r="L66" s="72">
        <v>-25.499999999999986</v>
      </c>
    </row>
    <row r="67" spans="11:12" x14ac:dyDescent="0.4">
      <c r="K67" s="9">
        <v>65</v>
      </c>
      <c r="L67" s="72">
        <v>-65.399999999999977</v>
      </c>
    </row>
    <row r="68" spans="11:12" x14ac:dyDescent="0.4">
      <c r="K68" s="9">
        <v>66</v>
      </c>
      <c r="L68" s="72">
        <v>2.8421709430404007E-14</v>
      </c>
    </row>
    <row r="69" spans="11:12" x14ac:dyDescent="0.4">
      <c r="K69" s="9">
        <v>67</v>
      </c>
      <c r="L69" s="72">
        <v>24.700000000000028</v>
      </c>
    </row>
    <row r="70" spans="11:12" x14ac:dyDescent="0.4">
      <c r="K70" s="9">
        <v>68</v>
      </c>
      <c r="L70" s="72">
        <v>-11.099999999999969</v>
      </c>
    </row>
    <row r="71" spans="11:12" x14ac:dyDescent="0.4">
      <c r="K71" s="9">
        <v>69</v>
      </c>
      <c r="L71" s="72">
        <v>3.0198066269804258E-14</v>
      </c>
    </row>
    <row r="72" spans="11:12" x14ac:dyDescent="0.4">
      <c r="K72" s="9">
        <v>70</v>
      </c>
      <c r="L72" s="72">
        <v>-6.4999999999999698</v>
      </c>
    </row>
    <row r="73" spans="11:12" x14ac:dyDescent="0.4">
      <c r="K73" s="9">
        <v>71</v>
      </c>
      <c r="L73" s="72">
        <v>-50.999999999999972</v>
      </c>
    </row>
    <row r="74" spans="11:12" x14ac:dyDescent="0.4">
      <c r="K74" s="9">
        <v>72</v>
      </c>
      <c r="L74" s="72">
        <v>2.8421709430404007E-14</v>
      </c>
    </row>
    <row r="75" spans="11:12" x14ac:dyDescent="0.4">
      <c r="K75" s="9">
        <v>73</v>
      </c>
      <c r="L75" s="72">
        <v>-33.699999999999974</v>
      </c>
    </row>
    <row r="76" spans="11:12" x14ac:dyDescent="0.4">
      <c r="K76" s="9">
        <v>74</v>
      </c>
      <c r="L76" s="72">
        <v>-17.199999999999974</v>
      </c>
    </row>
    <row r="77" spans="11:12" x14ac:dyDescent="0.4">
      <c r="K77" s="9">
        <v>75</v>
      </c>
      <c r="L77" s="72">
        <v>2.4868995751603507E-14</v>
      </c>
    </row>
    <row r="78" spans="11:12" x14ac:dyDescent="0.4">
      <c r="K78" s="9">
        <v>76</v>
      </c>
      <c r="L78" s="72">
        <v>23.900000000000023</v>
      </c>
    </row>
    <row r="79" spans="11:12" x14ac:dyDescent="0.4">
      <c r="K79" s="9">
        <v>77</v>
      </c>
      <c r="L79" s="72">
        <v>15.500000000000023</v>
      </c>
    </row>
    <row r="80" spans="11:12" x14ac:dyDescent="0.4">
      <c r="K80" s="9">
        <v>78</v>
      </c>
      <c r="L80" s="72">
        <v>2.3092638912203256E-14</v>
      </c>
    </row>
    <row r="81" spans="11:12" x14ac:dyDescent="0.4">
      <c r="K81" s="9">
        <v>79</v>
      </c>
      <c r="L81" s="72">
        <v>-36.999999999999979</v>
      </c>
    </row>
    <row r="82" spans="11:12" x14ac:dyDescent="0.4">
      <c r="K82" s="9">
        <v>80</v>
      </c>
      <c r="L82" s="72">
        <v>24.500000000000021</v>
      </c>
    </row>
    <row r="83" spans="11:12" x14ac:dyDescent="0.4">
      <c r="K83" s="9">
        <v>81</v>
      </c>
      <c r="L83" s="72">
        <v>2.1316282072803006E-14</v>
      </c>
    </row>
    <row r="84" spans="11:12" x14ac:dyDescent="0.4">
      <c r="K84" s="9">
        <v>82</v>
      </c>
      <c r="L84" s="72">
        <v>58.000000000000021</v>
      </c>
    </row>
    <row r="85" spans="11:12" x14ac:dyDescent="0.4">
      <c r="K85" s="9">
        <v>83</v>
      </c>
      <c r="L85" s="72">
        <v>41.500000000000021</v>
      </c>
    </row>
    <row r="86" spans="11:12" x14ac:dyDescent="0.4">
      <c r="K86" s="9">
        <v>84</v>
      </c>
      <c r="L86" s="72">
        <v>2.1316282072803006E-14</v>
      </c>
    </row>
    <row r="87" spans="11:12" x14ac:dyDescent="0.4">
      <c r="K87" s="9">
        <v>85</v>
      </c>
      <c r="L87" s="72">
        <v>-8.399999999999979</v>
      </c>
    </row>
    <row r="88" spans="11:12" x14ac:dyDescent="0.4">
      <c r="K88" s="9">
        <v>86</v>
      </c>
      <c r="L88" s="72">
        <v>19.300000000000018</v>
      </c>
    </row>
    <row r="89" spans="11:12" x14ac:dyDescent="0.4">
      <c r="K89" s="9">
        <v>87</v>
      </c>
      <c r="L89" s="72">
        <v>1.7763568394002505E-14</v>
      </c>
    </row>
    <row r="90" spans="11:12" x14ac:dyDescent="0.4">
      <c r="K90" s="9">
        <v>88</v>
      </c>
      <c r="L90" s="72">
        <v>53.300000000000011</v>
      </c>
    </row>
    <row r="91" spans="11:12" x14ac:dyDescent="0.4">
      <c r="K91" s="9">
        <v>89</v>
      </c>
      <c r="L91" s="72">
        <v>14.400000000000013</v>
      </c>
    </row>
    <row r="92" spans="11:12" x14ac:dyDescent="0.4">
      <c r="K92" s="9">
        <v>90</v>
      </c>
      <c r="L92" s="72">
        <v>1.2434497875801753E-14</v>
      </c>
    </row>
    <row r="93" spans="11:12" x14ac:dyDescent="0.4">
      <c r="K93" s="9">
        <v>91</v>
      </c>
      <c r="L93" s="72">
        <v>-13.999999999999988</v>
      </c>
    </row>
    <row r="94" spans="11:12" x14ac:dyDescent="0.4">
      <c r="K94" s="9">
        <v>92</v>
      </c>
      <c r="L94" s="72">
        <v>-51.999999999999986</v>
      </c>
    </row>
    <row r="95" spans="11:12" x14ac:dyDescent="0.4">
      <c r="K95" s="9">
        <v>93</v>
      </c>
      <c r="L95" s="72">
        <v>1.4210854715202004E-14</v>
      </c>
    </row>
    <row r="96" spans="11:12" x14ac:dyDescent="0.4">
      <c r="K96" s="9">
        <v>94</v>
      </c>
      <c r="L96" s="72">
        <v>60.700000000000017</v>
      </c>
    </row>
    <row r="97" spans="11:12" x14ac:dyDescent="0.4">
      <c r="K97" s="9">
        <v>95</v>
      </c>
      <c r="L97" s="72">
        <v>40.40000000000002</v>
      </c>
    </row>
    <row r="98" spans="11:12" x14ac:dyDescent="0.4">
      <c r="K98" s="9">
        <v>96</v>
      </c>
      <c r="L98" s="72">
        <v>2.1316282072803006E-14</v>
      </c>
    </row>
    <row r="99" spans="11:12" x14ac:dyDescent="0.4">
      <c r="K99" s="9">
        <v>97</v>
      </c>
      <c r="L99" s="72">
        <v>50.000000000000021</v>
      </c>
    </row>
    <row r="100" spans="11:12" x14ac:dyDescent="0.4">
      <c r="K100" s="9">
        <v>98</v>
      </c>
      <c r="L100" s="72">
        <v>41.500000000000021</v>
      </c>
    </row>
    <row r="101" spans="11:12" x14ac:dyDescent="0.4">
      <c r="K101" s="9">
        <v>99</v>
      </c>
      <c r="L101" s="72">
        <v>2.1316282072803006E-14</v>
      </c>
    </row>
    <row r="102" spans="11:12" x14ac:dyDescent="0.4">
      <c r="K102" s="9">
        <v>100</v>
      </c>
      <c r="L102" s="72">
        <v>-13.999999999999979</v>
      </c>
    </row>
    <row r="103" spans="11:12" x14ac:dyDescent="0.4">
      <c r="K103" s="9">
        <v>101</v>
      </c>
      <c r="L103" s="72">
        <v>-52.499999999999979</v>
      </c>
    </row>
    <row r="104" spans="11:12" x14ac:dyDescent="0.4">
      <c r="K104" s="9">
        <v>102</v>
      </c>
      <c r="L104" s="72">
        <v>2.1316282072803006E-14</v>
      </c>
    </row>
    <row r="105" spans="11:12" x14ac:dyDescent="0.4">
      <c r="K105" s="9">
        <v>103</v>
      </c>
      <c r="L105" s="72">
        <v>-3.3999999999999786</v>
      </c>
    </row>
    <row r="106" spans="11:12" x14ac:dyDescent="0.4">
      <c r="K106" s="9">
        <v>104</v>
      </c>
      <c r="L106" s="72">
        <v>-14.999999999999979</v>
      </c>
    </row>
    <row r="107" spans="11:12" x14ac:dyDescent="0.4">
      <c r="K107" s="9">
        <v>105</v>
      </c>
      <c r="L107" s="72">
        <v>2.1316282072803006E-14</v>
      </c>
    </row>
    <row r="108" spans="11:12" x14ac:dyDescent="0.4">
      <c r="K108" s="9">
        <v>106</v>
      </c>
      <c r="L108" s="72">
        <v>-17.09999999999998</v>
      </c>
    </row>
    <row r="109" spans="11:12" x14ac:dyDescent="0.4">
      <c r="K109" s="9">
        <v>107</v>
      </c>
      <c r="L109" s="72">
        <v>-16.799999999999979</v>
      </c>
    </row>
    <row r="110" spans="11:12" x14ac:dyDescent="0.4">
      <c r="K110" s="9">
        <v>108</v>
      </c>
      <c r="L110" s="72">
        <v>2.1316282072803006E-14</v>
      </c>
    </row>
    <row r="111" spans="11:12" x14ac:dyDescent="0.4">
      <c r="K111" s="9">
        <v>109</v>
      </c>
      <c r="L111" s="72">
        <v>21.100000000000023</v>
      </c>
    </row>
    <row r="112" spans="11:12" x14ac:dyDescent="0.4">
      <c r="K112" s="9">
        <v>110</v>
      </c>
      <c r="L112" s="72">
        <v>35.800000000000026</v>
      </c>
    </row>
    <row r="113" spans="11:12" x14ac:dyDescent="0.4">
      <c r="K113" s="9">
        <v>111</v>
      </c>
      <c r="L113" s="72">
        <v>2.8421709430404007E-14</v>
      </c>
    </row>
    <row r="114" spans="11:12" x14ac:dyDescent="0.4">
      <c r="K114" s="9">
        <v>112</v>
      </c>
      <c r="L114" s="72">
        <v>-50.599999999999973</v>
      </c>
    </row>
    <row r="115" spans="11:12" x14ac:dyDescent="0.4">
      <c r="K115" s="9">
        <v>113</v>
      </c>
      <c r="L115" s="72">
        <v>-2.599999999999973</v>
      </c>
    </row>
    <row r="116" spans="11:12" x14ac:dyDescent="0.4">
      <c r="K116" s="9">
        <v>114</v>
      </c>
      <c r="L116" s="72">
        <v>2.708944180085382E-14</v>
      </c>
    </row>
    <row r="117" spans="11:12" x14ac:dyDescent="0.4">
      <c r="K117" s="9">
        <v>115</v>
      </c>
      <c r="L117" s="72">
        <v>-8.1999999999999726</v>
      </c>
    </row>
    <row r="118" spans="11:12" x14ac:dyDescent="0.4">
      <c r="K118" s="9">
        <v>116</v>
      </c>
      <c r="L118" s="72">
        <v>-49.999999999999972</v>
      </c>
    </row>
    <row r="119" spans="11:12" x14ac:dyDescent="0.4">
      <c r="K119" s="9">
        <v>117</v>
      </c>
      <c r="L119" s="72">
        <v>2.8421709430404007E-14</v>
      </c>
    </row>
    <row r="120" spans="11:12" x14ac:dyDescent="0.4">
      <c r="K120" s="9">
        <v>118</v>
      </c>
      <c r="L120" s="72">
        <v>-6.9999999999999716</v>
      </c>
    </row>
    <row r="121" spans="11:12" x14ac:dyDescent="0.4">
      <c r="K121" s="9">
        <v>119</v>
      </c>
      <c r="L121" s="72">
        <v>-12.499999999999972</v>
      </c>
    </row>
    <row r="122" spans="11:12" x14ac:dyDescent="0.4">
      <c r="K122" s="9">
        <v>120</v>
      </c>
      <c r="L122" s="72">
        <v>2.8421709430404007E-14</v>
      </c>
    </row>
    <row r="123" spans="11:12" x14ac:dyDescent="0.4">
      <c r="K123" s="9">
        <v>121</v>
      </c>
      <c r="L123" s="72">
        <v>-36.39999999999997</v>
      </c>
    </row>
    <row r="124" spans="11:12" x14ac:dyDescent="0.4">
      <c r="K124" s="9">
        <v>122</v>
      </c>
      <c r="L124" s="72">
        <v>-11.499999999999972</v>
      </c>
    </row>
    <row r="125" spans="11:12" x14ac:dyDescent="0.4">
      <c r="K125" s="9">
        <v>123</v>
      </c>
      <c r="L125" s="72">
        <v>2.8421709430404007E-14</v>
      </c>
    </row>
    <row r="126" spans="11:12" x14ac:dyDescent="0.4">
      <c r="K126" s="9">
        <v>124</v>
      </c>
      <c r="L126" s="72">
        <v>-8.4999999999999716</v>
      </c>
    </row>
    <row r="127" spans="11:12" x14ac:dyDescent="0.4">
      <c r="K127" s="9">
        <v>125</v>
      </c>
      <c r="L127" s="72">
        <v>-5.4999999999999716</v>
      </c>
    </row>
    <row r="128" spans="11:12" x14ac:dyDescent="0.4">
      <c r="K128" s="9">
        <v>126</v>
      </c>
      <c r="L128" s="72">
        <v>2.8421709430404007E-14</v>
      </c>
    </row>
    <row r="129" spans="11:12" x14ac:dyDescent="0.4">
      <c r="K129" s="9">
        <v>127</v>
      </c>
      <c r="L129" s="72">
        <v>8.4000000000000288</v>
      </c>
    </row>
    <row r="130" spans="11:12" x14ac:dyDescent="0.4">
      <c r="K130" s="9">
        <v>128</v>
      </c>
      <c r="L130" s="72">
        <v>23.900000000000027</v>
      </c>
    </row>
    <row r="131" spans="11:12" x14ac:dyDescent="0.4">
      <c r="K131" s="9">
        <v>129</v>
      </c>
      <c r="L131" s="72">
        <v>2.8421709430404007E-14</v>
      </c>
    </row>
    <row r="132" spans="11:12" x14ac:dyDescent="0.4">
      <c r="K132" s="9">
        <v>130</v>
      </c>
      <c r="L132" s="72">
        <v>-10.399999999999972</v>
      </c>
    </row>
    <row r="133" spans="11:12" x14ac:dyDescent="0.4">
      <c r="K133" s="9">
        <v>131</v>
      </c>
      <c r="L133" s="72">
        <v>0.70000000000002771</v>
      </c>
    </row>
    <row r="134" spans="11:12" x14ac:dyDescent="0.4">
      <c r="K134" s="9">
        <v>132</v>
      </c>
      <c r="L134" s="72">
        <v>2.7755575615628914E-14</v>
      </c>
    </row>
    <row r="135" spans="11:12" x14ac:dyDescent="0.4">
      <c r="K135" s="9">
        <v>133</v>
      </c>
      <c r="L135" s="72">
        <v>27.900000000000027</v>
      </c>
    </row>
    <row r="136" spans="11:12" x14ac:dyDescent="0.4">
      <c r="K136" s="9">
        <v>134</v>
      </c>
      <c r="L136" s="72">
        <v>-7.9999999999999716</v>
      </c>
    </row>
    <row r="137" spans="11:12" x14ac:dyDescent="0.4">
      <c r="K137" s="9">
        <v>135</v>
      </c>
      <c r="L137" s="72">
        <v>2.8421709430404007E-14</v>
      </c>
    </row>
    <row r="138" spans="11:12" x14ac:dyDescent="0.4">
      <c r="K138" s="9">
        <v>136</v>
      </c>
      <c r="L138" s="72">
        <v>-20.499999999999972</v>
      </c>
    </row>
    <row r="139" spans="11:12" x14ac:dyDescent="0.4">
      <c r="K139" s="9">
        <v>137</v>
      </c>
      <c r="L139" s="72">
        <v>-25.199999999999971</v>
      </c>
    </row>
    <row r="140" spans="11:12" x14ac:dyDescent="0.4">
      <c r="K140" s="9">
        <v>138</v>
      </c>
      <c r="L140" s="72">
        <v>2.8421709430404007E-14</v>
      </c>
    </row>
    <row r="141" spans="11:12" x14ac:dyDescent="0.4">
      <c r="K141" s="9">
        <v>139</v>
      </c>
      <c r="L141" s="72">
        <v>-31.099999999999973</v>
      </c>
    </row>
    <row r="142" spans="11:12" x14ac:dyDescent="0.4">
      <c r="K142" s="9">
        <v>140</v>
      </c>
      <c r="L142" s="72">
        <v>-62.299999999999969</v>
      </c>
    </row>
    <row r="143" spans="11:12" x14ac:dyDescent="0.4">
      <c r="K143" s="9">
        <v>141</v>
      </c>
      <c r="L143" s="72">
        <v>2.8421709430404007E-14</v>
      </c>
    </row>
    <row r="144" spans="11:12" x14ac:dyDescent="0.4">
      <c r="K144" s="9">
        <v>142</v>
      </c>
      <c r="L144" s="72">
        <v>16.200000000000028</v>
      </c>
    </row>
    <row r="145" spans="11:12" x14ac:dyDescent="0.4">
      <c r="K145" s="9">
        <v>143</v>
      </c>
      <c r="L145" s="72">
        <v>-8.599999999999973</v>
      </c>
    </row>
    <row r="146" spans="11:12" x14ac:dyDescent="0.4">
      <c r="K146" s="9">
        <v>144</v>
      </c>
      <c r="L146" s="72">
        <v>2.6645352591003757E-14</v>
      </c>
    </row>
    <row r="147" spans="11:12" x14ac:dyDescent="0.4">
      <c r="K147" s="9">
        <v>145</v>
      </c>
      <c r="L147" s="72">
        <v>-4.8999999999999737</v>
      </c>
    </row>
    <row r="148" spans="11:12" x14ac:dyDescent="0.4">
      <c r="K148" s="9">
        <v>146</v>
      </c>
      <c r="L148" s="72">
        <v>-16.799999999999976</v>
      </c>
    </row>
    <row r="149" spans="11:12" x14ac:dyDescent="0.4">
      <c r="K149" s="9">
        <v>147</v>
      </c>
      <c r="L149" s="72">
        <v>-1.9999999999999751</v>
      </c>
    </row>
    <row r="150" spans="11:12" x14ac:dyDescent="0.4">
      <c r="K150" s="9">
        <v>148</v>
      </c>
      <c r="L150" s="72">
        <v>10.800000000000026</v>
      </c>
    </row>
    <row r="151" spans="11:12" x14ac:dyDescent="0.4">
      <c r="K151" s="9">
        <v>149</v>
      </c>
      <c r="L151" s="72">
        <v>14.700000000000026</v>
      </c>
    </row>
    <row r="152" spans="11:12" x14ac:dyDescent="0.4">
      <c r="K152" s="9">
        <v>150</v>
      </c>
      <c r="L152" s="72">
        <v>-1.9999999999999734</v>
      </c>
    </row>
    <row r="153" spans="11:12" x14ac:dyDescent="0.4">
      <c r="K153" s="9">
        <v>151</v>
      </c>
      <c r="L153" s="72">
        <v>-1.2999999999999734</v>
      </c>
    </row>
    <row r="154" spans="11:12" x14ac:dyDescent="0.4">
      <c r="K154" s="9">
        <v>152</v>
      </c>
      <c r="L154" s="72">
        <v>41.900000000000027</v>
      </c>
    </row>
    <row r="155" spans="11:12" x14ac:dyDescent="0.4">
      <c r="K155" s="9">
        <v>153</v>
      </c>
      <c r="L155" s="72">
        <v>-1.9999999999999716</v>
      </c>
    </row>
    <row r="156" spans="11:12" x14ac:dyDescent="0.4">
      <c r="K156" s="9">
        <v>154</v>
      </c>
      <c r="L156" s="72">
        <v>-8.6999999999999709</v>
      </c>
    </row>
    <row r="157" spans="11:12" x14ac:dyDescent="0.4">
      <c r="K157" s="9">
        <v>155</v>
      </c>
      <c r="L157" s="72">
        <v>-11.499999999999972</v>
      </c>
    </row>
    <row r="158" spans="11:12" x14ac:dyDescent="0.4">
      <c r="K158" s="9">
        <v>156</v>
      </c>
      <c r="L158" s="72">
        <v>-1.9999999999999716</v>
      </c>
    </row>
    <row r="159" spans="11:12" x14ac:dyDescent="0.4">
      <c r="K159" s="9">
        <v>157</v>
      </c>
      <c r="L159" s="72">
        <v>-29.999999999999972</v>
      </c>
    </row>
    <row r="160" spans="11:12" x14ac:dyDescent="0.4">
      <c r="K160" s="9">
        <v>158</v>
      </c>
      <c r="L160" s="72">
        <v>-84.999999999999972</v>
      </c>
    </row>
    <row r="161" spans="11:12" x14ac:dyDescent="0.4">
      <c r="K161" s="9">
        <v>159</v>
      </c>
      <c r="L161" s="72">
        <v>-1.9999999999999716</v>
      </c>
    </row>
    <row r="162" spans="11:12" x14ac:dyDescent="0.4">
      <c r="K162" s="9">
        <v>160</v>
      </c>
      <c r="L162" s="72">
        <v>14.700000000000028</v>
      </c>
    </row>
    <row r="163" spans="11:12" x14ac:dyDescent="0.4">
      <c r="K163" s="9">
        <v>161</v>
      </c>
      <c r="L163" s="72">
        <v>-22.999999999999975</v>
      </c>
    </row>
    <row r="164" spans="11:12" x14ac:dyDescent="0.4">
      <c r="K164" s="9">
        <v>162</v>
      </c>
      <c r="L164" s="72">
        <v>-1.9999999999999751</v>
      </c>
    </row>
    <row r="165" spans="11:12" x14ac:dyDescent="0.4">
      <c r="K165" s="9">
        <v>163</v>
      </c>
      <c r="L165" s="72">
        <v>-8.9999999999999751</v>
      </c>
    </row>
    <row r="166" spans="11:12" x14ac:dyDescent="0.4">
      <c r="K166" s="9">
        <v>164</v>
      </c>
      <c r="L166" s="72">
        <v>-14.899999999999975</v>
      </c>
    </row>
    <row r="167" spans="11:12" x14ac:dyDescent="0.4">
      <c r="K167" s="9">
        <v>165</v>
      </c>
      <c r="L167" s="72">
        <v>-2.9999999999999751</v>
      </c>
    </row>
    <row r="168" spans="11:12" x14ac:dyDescent="0.4">
      <c r="K168" s="9">
        <v>166</v>
      </c>
      <c r="L168" s="72">
        <v>28.600000000000026</v>
      </c>
    </row>
    <row r="169" spans="11:12" x14ac:dyDescent="0.4">
      <c r="K169" s="9">
        <v>167</v>
      </c>
      <c r="L169" s="72">
        <v>34.800000000000026</v>
      </c>
    </row>
    <row r="170" spans="11:12" x14ac:dyDescent="0.4">
      <c r="K170" s="9">
        <v>168</v>
      </c>
      <c r="L170" s="72">
        <v>-2.9999999999999716</v>
      </c>
    </row>
    <row r="171" spans="11:12" x14ac:dyDescent="0.4">
      <c r="K171" s="9">
        <v>169</v>
      </c>
      <c r="L171" s="72">
        <v>12.800000000000029</v>
      </c>
    </row>
    <row r="172" spans="11:12" x14ac:dyDescent="0.4">
      <c r="K172" s="9">
        <v>170</v>
      </c>
      <c r="L172" s="72">
        <v>-33.299999999999969</v>
      </c>
    </row>
    <row r="173" spans="11:12" x14ac:dyDescent="0.4">
      <c r="K173" s="9">
        <v>171</v>
      </c>
      <c r="L173" s="72">
        <v>-2.999999999999968</v>
      </c>
    </row>
    <row r="174" spans="11:12" x14ac:dyDescent="0.4">
      <c r="K174" s="9">
        <v>172</v>
      </c>
      <c r="L174" s="72">
        <v>54.000000000000028</v>
      </c>
    </row>
    <row r="175" spans="11:12" x14ac:dyDescent="0.4">
      <c r="K175" s="9">
        <v>173</v>
      </c>
      <c r="L175" s="72">
        <v>3.5000000000000284</v>
      </c>
    </row>
    <row r="176" spans="11:12" x14ac:dyDescent="0.4">
      <c r="K176" s="9">
        <v>174</v>
      </c>
      <c r="L176" s="72">
        <v>-2.9999999999999716</v>
      </c>
    </row>
    <row r="177" spans="11:12" x14ac:dyDescent="0.4">
      <c r="K177" s="9">
        <v>175</v>
      </c>
      <c r="L177" s="72">
        <v>2.3000000000000282</v>
      </c>
    </row>
    <row r="178" spans="11:12" x14ac:dyDescent="0.4">
      <c r="K178" s="9">
        <v>176</v>
      </c>
      <c r="L178" s="72">
        <v>8.6000000000000281</v>
      </c>
    </row>
    <row r="179" spans="11:12" x14ac:dyDescent="0.4">
      <c r="K179" s="9">
        <v>177</v>
      </c>
      <c r="L179" s="72">
        <v>-2.9999999999999716</v>
      </c>
    </row>
    <row r="180" spans="11:12" x14ac:dyDescent="0.4">
      <c r="K180" s="9">
        <v>178</v>
      </c>
      <c r="L180" s="72">
        <v>-39.199999999999974</v>
      </c>
    </row>
    <row r="181" spans="11:12" x14ac:dyDescent="0.4">
      <c r="K181" s="9">
        <v>179</v>
      </c>
      <c r="L181" s="72">
        <v>-20.499999999999975</v>
      </c>
    </row>
    <row r="182" spans="11:12" x14ac:dyDescent="0.4">
      <c r="K182" s="9">
        <v>180</v>
      </c>
      <c r="L182" s="72">
        <v>-2.9999999999999751</v>
      </c>
    </row>
    <row r="183" spans="11:12" x14ac:dyDescent="0.4">
      <c r="K183" s="9">
        <v>181</v>
      </c>
      <c r="L183" s="72">
        <v>-49.09999999999998</v>
      </c>
    </row>
    <row r="184" spans="11:12" x14ac:dyDescent="0.4">
      <c r="K184" s="9">
        <v>182</v>
      </c>
      <c r="L184" s="72">
        <v>-43.999999999999979</v>
      </c>
    </row>
    <row r="185" spans="11:12" x14ac:dyDescent="0.4">
      <c r="K185" s="9">
        <v>183</v>
      </c>
      <c r="L185" s="72">
        <v>-2.9999999999999787</v>
      </c>
    </row>
    <row r="186" spans="11:12" x14ac:dyDescent="0.4">
      <c r="K186" s="9">
        <v>184</v>
      </c>
      <c r="L186" s="72">
        <v>32.000000000000021</v>
      </c>
    </row>
    <row r="187" spans="11:12" x14ac:dyDescent="0.4">
      <c r="K187" s="9">
        <v>185</v>
      </c>
      <c r="L187" s="72">
        <v>7.5000000000000213</v>
      </c>
    </row>
    <row r="188" spans="11:12" x14ac:dyDescent="0.4">
      <c r="K188" s="9">
        <v>186</v>
      </c>
      <c r="L188" s="72">
        <v>-2.9999999999999787</v>
      </c>
    </row>
    <row r="189" spans="11:12" x14ac:dyDescent="0.4">
      <c r="K189" s="9">
        <v>187</v>
      </c>
      <c r="L189" s="72">
        <v>18.100000000000023</v>
      </c>
    </row>
    <row r="190" spans="11:12" x14ac:dyDescent="0.4">
      <c r="K190" s="9">
        <v>188</v>
      </c>
      <c r="L190" s="72">
        <v>4.2000000000000224</v>
      </c>
    </row>
    <row r="191" spans="11:12" x14ac:dyDescent="0.4">
      <c r="K191" s="9">
        <v>189</v>
      </c>
      <c r="L191" s="72">
        <v>-2.9999999999999778</v>
      </c>
    </row>
    <row r="192" spans="11:12" x14ac:dyDescent="0.4">
      <c r="K192" s="9">
        <v>190</v>
      </c>
      <c r="L192" s="72">
        <v>-68.999999999999972</v>
      </c>
    </row>
    <row r="193" spans="11:12" x14ac:dyDescent="0.4">
      <c r="K193" s="9">
        <v>191</v>
      </c>
      <c r="L193" s="72">
        <v>-77.299999999999969</v>
      </c>
    </row>
    <row r="194" spans="11:12" x14ac:dyDescent="0.4">
      <c r="K194" s="9">
        <v>192</v>
      </c>
      <c r="L194" s="72">
        <v>-2.9999999999999716</v>
      </c>
    </row>
    <row r="195" spans="11:12" x14ac:dyDescent="0.4">
      <c r="K195" s="9">
        <v>193</v>
      </c>
      <c r="L195" s="72">
        <v>-7.9999999999999716</v>
      </c>
    </row>
    <row r="196" spans="11:12" x14ac:dyDescent="0.4">
      <c r="K196" s="9">
        <v>194</v>
      </c>
      <c r="L196" s="72">
        <v>-52.999999999999972</v>
      </c>
    </row>
    <row r="197" spans="11:12" x14ac:dyDescent="0.4">
      <c r="K197" s="9">
        <v>195</v>
      </c>
      <c r="L197" s="72">
        <v>-2.9999999999999716</v>
      </c>
    </row>
    <row r="198" spans="11:12" x14ac:dyDescent="0.4">
      <c r="K198" s="9">
        <v>196</v>
      </c>
      <c r="L198" s="72">
        <v>-1.9999999999999716</v>
      </c>
    </row>
    <row r="199" spans="11:12" x14ac:dyDescent="0.4">
      <c r="K199" s="9">
        <v>197</v>
      </c>
      <c r="L199" s="72">
        <v>-37.999999999999972</v>
      </c>
    </row>
    <row r="200" spans="11:12" x14ac:dyDescent="0.4">
      <c r="K200" s="9">
        <v>198</v>
      </c>
      <c r="L200" s="72">
        <v>-2.9999999999999716</v>
      </c>
    </row>
    <row r="201" spans="11:12" x14ac:dyDescent="0.4">
      <c r="K201" s="9">
        <v>199</v>
      </c>
      <c r="L201" s="72">
        <v>28.60000000000003</v>
      </c>
    </row>
    <row r="202" spans="11:12" x14ac:dyDescent="0.4">
      <c r="K202" s="9">
        <v>200</v>
      </c>
      <c r="L202" s="72">
        <v>-2.6999999999999709</v>
      </c>
    </row>
    <row r="203" spans="11:12" x14ac:dyDescent="0.4">
      <c r="K203" s="9">
        <v>201</v>
      </c>
      <c r="L203" s="72">
        <v>-2.9999999999999707</v>
      </c>
    </row>
    <row r="204" spans="11:12" x14ac:dyDescent="0.4">
      <c r="K204" s="9">
        <v>202</v>
      </c>
      <c r="L204" s="72">
        <v>-21.999999999999972</v>
      </c>
    </row>
    <row r="205" spans="11:12" x14ac:dyDescent="0.4">
      <c r="K205" s="9">
        <v>203</v>
      </c>
      <c r="L205" s="72">
        <v>42.000000000000028</v>
      </c>
    </row>
    <row r="206" spans="11:12" x14ac:dyDescent="0.4">
      <c r="K206" s="9">
        <v>204</v>
      </c>
      <c r="L206" s="72">
        <v>-2.9999999999999716</v>
      </c>
    </row>
    <row r="207" spans="11:12" x14ac:dyDescent="0.4">
      <c r="K207" s="9">
        <v>205</v>
      </c>
      <c r="L207" s="72">
        <v>-12.899999999999972</v>
      </c>
    </row>
    <row r="208" spans="11:12" x14ac:dyDescent="0.4">
      <c r="K208" s="9">
        <v>206</v>
      </c>
      <c r="L208" s="72">
        <v>-9.7999999999999723</v>
      </c>
    </row>
    <row r="209" spans="11:12" x14ac:dyDescent="0.4">
      <c r="K209" s="9">
        <v>207</v>
      </c>
      <c r="L209" s="72">
        <v>-2.9999999999999725</v>
      </c>
    </row>
    <row r="210" spans="11:12" x14ac:dyDescent="0.4">
      <c r="K210" s="9">
        <v>208</v>
      </c>
      <c r="L210" s="72">
        <v>-2.0999999999999726</v>
      </c>
    </row>
    <row r="211" spans="11:12" x14ac:dyDescent="0.4">
      <c r="K211" s="9">
        <v>209</v>
      </c>
      <c r="L211" s="72">
        <v>-0.8999999999999726</v>
      </c>
    </row>
    <row r="212" spans="11:12" x14ac:dyDescent="0.4">
      <c r="K212" s="9">
        <v>210</v>
      </c>
      <c r="L212" s="72">
        <v>-2.9999999999999725</v>
      </c>
    </row>
    <row r="213" spans="11:12" x14ac:dyDescent="0.4">
      <c r="K213" s="9">
        <v>211</v>
      </c>
      <c r="L213" s="72">
        <v>29.300000000000026</v>
      </c>
    </row>
    <row r="214" spans="11:12" x14ac:dyDescent="0.4">
      <c r="K214" s="9">
        <v>212</v>
      </c>
      <c r="L214" s="72">
        <v>32.100000000000023</v>
      </c>
    </row>
    <row r="215" spans="11:12" x14ac:dyDescent="0.4">
      <c r="K215" s="9">
        <v>213</v>
      </c>
      <c r="L215" s="72">
        <v>-2.9999999999999787</v>
      </c>
    </row>
    <row r="216" spans="11:12" x14ac:dyDescent="0.4">
      <c r="K216" s="9">
        <v>214</v>
      </c>
      <c r="L216" s="72">
        <v>-48.999999999999979</v>
      </c>
    </row>
    <row r="217" spans="11:12" x14ac:dyDescent="0.4">
      <c r="K217" s="9">
        <v>215</v>
      </c>
      <c r="L217" s="72">
        <v>-4.3999999999999773</v>
      </c>
    </row>
    <row r="218" spans="11:12" x14ac:dyDescent="0.4">
      <c r="K218" s="9">
        <v>216</v>
      </c>
      <c r="L218" s="72">
        <v>-2.9999999999999774</v>
      </c>
    </row>
    <row r="219" spans="11:12" x14ac:dyDescent="0.4">
      <c r="K219" s="9">
        <v>217</v>
      </c>
      <c r="L219" s="72">
        <v>25.40000000000002</v>
      </c>
    </row>
    <row r="220" spans="11:12" x14ac:dyDescent="0.4">
      <c r="K220" s="9">
        <v>218</v>
      </c>
      <c r="L220" s="72">
        <v>24.000000000000021</v>
      </c>
    </row>
    <row r="221" spans="11:12" x14ac:dyDescent="0.4">
      <c r="K221" s="9">
        <v>219</v>
      </c>
      <c r="L221" s="72">
        <v>-2.9999999999999787</v>
      </c>
    </row>
    <row r="222" spans="11:12" x14ac:dyDescent="0.4">
      <c r="K222" s="9">
        <v>220</v>
      </c>
      <c r="L222" s="72">
        <v>-10.399999999999979</v>
      </c>
    </row>
    <row r="223" spans="11:12" x14ac:dyDescent="0.4">
      <c r="K223" s="9">
        <v>221</v>
      </c>
      <c r="L223" s="72">
        <v>-50.09999999999998</v>
      </c>
    </row>
    <row r="224" spans="11:12" x14ac:dyDescent="0.4">
      <c r="K224" s="9">
        <v>222</v>
      </c>
      <c r="L224" s="72">
        <v>-2.9999999999999787</v>
      </c>
    </row>
    <row r="225" spans="11:12" x14ac:dyDescent="0.4">
      <c r="K225" s="9">
        <v>223</v>
      </c>
      <c r="L225" s="72">
        <v>15.300000000000022</v>
      </c>
    </row>
    <row r="226" spans="11:12" x14ac:dyDescent="0.4">
      <c r="K226" s="9">
        <v>224</v>
      </c>
      <c r="L226" s="72">
        <v>-17.799999999999979</v>
      </c>
    </row>
    <row r="227" spans="11:12" x14ac:dyDescent="0.4">
      <c r="K227" s="9">
        <v>225</v>
      </c>
      <c r="L227" s="72">
        <v>-2.9999999999999787</v>
      </c>
    </row>
    <row r="228" spans="11:12" x14ac:dyDescent="0.4">
      <c r="K228" s="9">
        <v>226</v>
      </c>
      <c r="L228" s="72">
        <v>-16.899999999999977</v>
      </c>
    </row>
    <row r="229" spans="11:12" x14ac:dyDescent="0.4">
      <c r="K229" s="9">
        <v>227</v>
      </c>
      <c r="L229" s="72">
        <v>-35.09999999999998</v>
      </c>
    </row>
    <row r="230" spans="11:12" x14ac:dyDescent="0.4">
      <c r="K230" s="9">
        <v>228</v>
      </c>
      <c r="L230" s="72">
        <v>-2.9999999999999787</v>
      </c>
    </row>
    <row r="231" spans="11:12" x14ac:dyDescent="0.4">
      <c r="K231" s="9">
        <v>229</v>
      </c>
      <c r="L231" s="72">
        <v>37.000000000000021</v>
      </c>
    </row>
    <row r="232" spans="11:12" x14ac:dyDescent="0.4">
      <c r="K232" s="9">
        <v>230</v>
      </c>
      <c r="L232" s="72">
        <v>-3.3999999999999773</v>
      </c>
    </row>
    <row r="233" spans="11:12" x14ac:dyDescent="0.4">
      <c r="K233" s="9">
        <v>231</v>
      </c>
      <c r="L233" s="72">
        <v>-2.9999999999999774</v>
      </c>
    </row>
    <row r="234" spans="11:12" x14ac:dyDescent="0.4">
      <c r="K234" s="9">
        <v>232</v>
      </c>
      <c r="L234" s="72">
        <v>2.2000000000000228</v>
      </c>
    </row>
    <row r="235" spans="11:12" x14ac:dyDescent="0.4">
      <c r="K235" s="9">
        <v>233</v>
      </c>
      <c r="L235" s="72">
        <v>-8.7999999999999776</v>
      </c>
    </row>
    <row r="236" spans="11:12" x14ac:dyDescent="0.4">
      <c r="K236" s="9">
        <v>234</v>
      </c>
      <c r="L236" s="72">
        <v>-2.9999999999999778</v>
      </c>
    </row>
    <row r="237" spans="11:12" x14ac:dyDescent="0.4">
      <c r="K237" s="9">
        <v>235</v>
      </c>
      <c r="L237" s="72">
        <v>-16.699999999999978</v>
      </c>
    </row>
    <row r="238" spans="11:12" x14ac:dyDescent="0.4">
      <c r="K238" s="9">
        <v>236</v>
      </c>
      <c r="L238" s="72">
        <v>-32.499999999999979</v>
      </c>
    </row>
    <row r="239" spans="11:12" x14ac:dyDescent="0.4">
      <c r="K239" s="9">
        <v>237</v>
      </c>
      <c r="L239" s="72">
        <v>-2.9999999999999787</v>
      </c>
    </row>
    <row r="240" spans="11:12" x14ac:dyDescent="0.4">
      <c r="K240" s="9">
        <v>238</v>
      </c>
      <c r="L240" s="72">
        <v>-25.999999999999979</v>
      </c>
    </row>
    <row r="241" spans="11:12" x14ac:dyDescent="0.4">
      <c r="K241" s="9">
        <v>239</v>
      </c>
      <c r="L241" s="72">
        <v>-47.899999999999977</v>
      </c>
    </row>
    <row r="242" spans="11:12" x14ac:dyDescent="0.4">
      <c r="K242" s="9">
        <v>240</v>
      </c>
      <c r="L242" s="72">
        <v>-2.9999999999999787</v>
      </c>
    </row>
    <row r="243" spans="11:12" x14ac:dyDescent="0.4">
      <c r="K243" s="9">
        <v>241</v>
      </c>
      <c r="L243" s="72">
        <v>2.100000000000021</v>
      </c>
    </row>
    <row r="244" spans="11:12" x14ac:dyDescent="0.4">
      <c r="K244" s="9">
        <v>242</v>
      </c>
      <c r="L244" s="72">
        <v>13.400000000000022</v>
      </c>
    </row>
    <row r="245" spans="11:12" x14ac:dyDescent="0.4">
      <c r="K245" s="9">
        <v>243</v>
      </c>
      <c r="L245" s="72">
        <v>-2.9999999999999769</v>
      </c>
    </row>
    <row r="246" spans="11:12" x14ac:dyDescent="0.4">
      <c r="K246" s="9">
        <v>244</v>
      </c>
      <c r="L246" s="72">
        <v>28.90000000000002</v>
      </c>
    </row>
    <row r="247" spans="11:12" x14ac:dyDescent="0.4">
      <c r="K247" s="9">
        <v>245</v>
      </c>
      <c r="L247" s="72">
        <v>35.000000000000021</v>
      </c>
    </row>
    <row r="248" spans="11:12" x14ac:dyDescent="0.4">
      <c r="K248" s="9">
        <v>246</v>
      </c>
      <c r="L248" s="72">
        <v>-2.9999999999999787</v>
      </c>
    </row>
    <row r="249" spans="11:12" x14ac:dyDescent="0.4">
      <c r="K249" s="9">
        <v>247</v>
      </c>
      <c r="L249" s="72">
        <v>37.000000000000021</v>
      </c>
    </row>
    <row r="250" spans="11:12" x14ac:dyDescent="0.4">
      <c r="K250" s="9">
        <v>248</v>
      </c>
      <c r="L250" s="72">
        <v>-6.9999999999999787</v>
      </c>
    </row>
    <row r="251" spans="11:12" x14ac:dyDescent="0.4">
      <c r="K251" s="9">
        <v>249</v>
      </c>
      <c r="L251" s="72">
        <v>-2.9999999999999787</v>
      </c>
    </row>
    <row r="252" spans="11:12" x14ac:dyDescent="0.4">
      <c r="K252" s="9">
        <v>250</v>
      </c>
      <c r="L252" s="72">
        <v>19.500000000000021</v>
      </c>
    </row>
    <row r="253" spans="11:12" x14ac:dyDescent="0.4">
      <c r="K253" s="9">
        <v>251</v>
      </c>
      <c r="L253" s="72">
        <v>-21.499999999999979</v>
      </c>
    </row>
    <row r="254" spans="11:12" x14ac:dyDescent="0.4">
      <c r="K254" s="9">
        <v>252</v>
      </c>
      <c r="L254" s="72">
        <v>-2.9999999999999787</v>
      </c>
    </row>
    <row r="255" spans="11:12" x14ac:dyDescent="0.4">
      <c r="K255" s="9">
        <v>253</v>
      </c>
      <c r="L255" s="72">
        <v>28.500000000000021</v>
      </c>
    </row>
    <row r="256" spans="11:12" x14ac:dyDescent="0.4">
      <c r="K256" s="9">
        <v>254</v>
      </c>
      <c r="L256" s="72">
        <v>17.700000000000021</v>
      </c>
    </row>
    <row r="257" spans="11:12" x14ac:dyDescent="0.4">
      <c r="K257" s="9">
        <v>255</v>
      </c>
      <c r="L257" s="72">
        <v>-2.9999999999999787</v>
      </c>
    </row>
    <row r="258" spans="11:12" x14ac:dyDescent="0.4">
      <c r="K258" s="9">
        <v>256</v>
      </c>
      <c r="L258" s="72">
        <v>56.800000000000018</v>
      </c>
    </row>
    <row r="259" spans="11:12" x14ac:dyDescent="0.4">
      <c r="K259" s="9">
        <v>257</v>
      </c>
      <c r="L259" s="72">
        <v>21.300000000000018</v>
      </c>
    </row>
    <row r="260" spans="11:12" x14ac:dyDescent="0.4">
      <c r="K260" s="9">
        <v>258</v>
      </c>
      <c r="L260" s="72">
        <v>-2.9999999999999822</v>
      </c>
    </row>
    <row r="261" spans="11:12" x14ac:dyDescent="0.4">
      <c r="K261" s="9">
        <v>259</v>
      </c>
      <c r="L261" s="72">
        <v>8.1000000000000174</v>
      </c>
    </row>
    <row r="262" spans="11:12" x14ac:dyDescent="0.4">
      <c r="K262" s="9">
        <v>260</v>
      </c>
      <c r="L262" s="72">
        <v>-18.999999999999986</v>
      </c>
    </row>
    <row r="263" spans="11:12" x14ac:dyDescent="0.4">
      <c r="K263" s="9">
        <v>261</v>
      </c>
      <c r="L263" s="72">
        <v>-2.9999999999999858</v>
      </c>
    </row>
    <row r="264" spans="11:12" x14ac:dyDescent="0.4">
      <c r="K264" s="9">
        <v>262</v>
      </c>
      <c r="L264" s="72">
        <v>-1.3999999999999857</v>
      </c>
    </row>
    <row r="265" spans="11:12" x14ac:dyDescent="0.4">
      <c r="K265" s="9">
        <v>263</v>
      </c>
      <c r="L265" s="72">
        <v>21.200000000000017</v>
      </c>
    </row>
    <row r="266" spans="11:12" x14ac:dyDescent="0.4">
      <c r="K266" s="9">
        <v>264</v>
      </c>
      <c r="L266" s="72">
        <v>-2.9999999999999822</v>
      </c>
    </row>
    <row r="267" spans="11:12" x14ac:dyDescent="0.4">
      <c r="K267" s="9">
        <v>265</v>
      </c>
      <c r="L267" s="72">
        <v>-24.399999999999981</v>
      </c>
    </row>
    <row r="268" spans="11:12" x14ac:dyDescent="0.4">
      <c r="K268" s="9">
        <v>266</v>
      </c>
      <c r="L268" s="72">
        <v>-8.7999999999999812</v>
      </c>
    </row>
    <row r="269" spans="11:12" x14ac:dyDescent="0.4">
      <c r="K269" s="9">
        <v>267</v>
      </c>
      <c r="L269" s="72">
        <v>-2.9999999999999813</v>
      </c>
    </row>
    <row r="270" spans="11:12" x14ac:dyDescent="0.4">
      <c r="K270" s="9">
        <v>268</v>
      </c>
      <c r="L270" s="72">
        <v>0.50000000000001865</v>
      </c>
    </row>
    <row r="271" spans="11:12" x14ac:dyDescent="0.4">
      <c r="K271" s="9">
        <v>269</v>
      </c>
      <c r="L271" s="72">
        <v>1.1000000000000187</v>
      </c>
    </row>
    <row r="272" spans="11:12" x14ac:dyDescent="0.4">
      <c r="K272" s="9">
        <v>270</v>
      </c>
      <c r="L272" s="72">
        <v>-2.9999999999999809</v>
      </c>
    </row>
    <row r="273" spans="11:12" x14ac:dyDescent="0.4">
      <c r="K273" s="9">
        <v>271</v>
      </c>
      <c r="L273" s="72">
        <v>-46.399999999999977</v>
      </c>
    </row>
    <row r="274" spans="11:12" x14ac:dyDescent="0.4">
      <c r="K274" s="9">
        <v>272</v>
      </c>
      <c r="L274" s="72">
        <v>-6.1999999999999744</v>
      </c>
    </row>
    <row r="275" spans="11:12" x14ac:dyDescent="0.4">
      <c r="K275" s="9">
        <v>273</v>
      </c>
      <c r="L275" s="72">
        <v>-2.9999999999999742</v>
      </c>
    </row>
    <row r="276" spans="11:12" x14ac:dyDescent="0.4">
      <c r="K276" s="9">
        <v>274</v>
      </c>
      <c r="L276" s="72">
        <v>-48.499999999999972</v>
      </c>
    </row>
    <row r="277" spans="11:12" x14ac:dyDescent="0.4">
      <c r="K277" s="9">
        <v>275</v>
      </c>
      <c r="L277" s="72">
        <v>-30.999999999999972</v>
      </c>
    </row>
    <row r="278" spans="11:12" x14ac:dyDescent="0.4">
      <c r="K278" s="9">
        <v>276</v>
      </c>
      <c r="L278" s="72">
        <v>-2.9999999999999716</v>
      </c>
    </row>
    <row r="279" spans="11:12" x14ac:dyDescent="0.4">
      <c r="K279" s="9">
        <v>277</v>
      </c>
      <c r="L279" s="72">
        <v>-3.5999999999999717</v>
      </c>
    </row>
    <row r="280" spans="11:12" x14ac:dyDescent="0.4">
      <c r="K280" s="9">
        <v>278</v>
      </c>
      <c r="L280" s="72">
        <v>-42.099999999999973</v>
      </c>
    </row>
    <row r="281" spans="11:12" x14ac:dyDescent="0.4">
      <c r="K281" s="9">
        <v>279</v>
      </c>
      <c r="L281" s="72">
        <v>-2.9999999999999716</v>
      </c>
    </row>
    <row r="282" spans="11:12" x14ac:dyDescent="0.4">
      <c r="K282" s="9">
        <v>280</v>
      </c>
      <c r="L282" s="72">
        <v>23.400000000000027</v>
      </c>
    </row>
    <row r="283" spans="11:12" x14ac:dyDescent="0.4">
      <c r="K283" s="9">
        <v>281</v>
      </c>
      <c r="L283" s="72">
        <v>-4.9999999999999716</v>
      </c>
    </row>
    <row r="284" spans="11:12" x14ac:dyDescent="0.4">
      <c r="K284" s="9">
        <v>282</v>
      </c>
      <c r="L284" s="72">
        <v>-2.9999999999999716</v>
      </c>
    </row>
    <row r="285" spans="11:12" x14ac:dyDescent="0.4">
      <c r="K285" s="9">
        <v>283</v>
      </c>
      <c r="L285" s="72">
        <v>6.7000000000000277</v>
      </c>
    </row>
    <row r="286" spans="11:12" x14ac:dyDescent="0.4">
      <c r="K286" s="9">
        <v>284</v>
      </c>
      <c r="L286" s="72">
        <v>-35.699999999999974</v>
      </c>
    </row>
    <row r="287" spans="11:12" x14ac:dyDescent="0.4">
      <c r="K287" s="9">
        <v>285</v>
      </c>
      <c r="L287" s="72">
        <v>-2.9999999999999716</v>
      </c>
    </row>
    <row r="288" spans="11:12" x14ac:dyDescent="0.4">
      <c r="K288" s="9">
        <v>286</v>
      </c>
      <c r="L288" s="72">
        <v>18.10000000000003</v>
      </c>
    </row>
    <row r="289" spans="11:12" x14ac:dyDescent="0.4">
      <c r="K289" s="9">
        <v>287</v>
      </c>
      <c r="L289" s="72">
        <v>-17.599999999999973</v>
      </c>
    </row>
    <row r="290" spans="11:12" x14ac:dyDescent="0.4">
      <c r="K290" s="9">
        <v>288</v>
      </c>
      <c r="L290" s="72">
        <v>-2.9999999999999734</v>
      </c>
    </row>
    <row r="291" spans="11:12" x14ac:dyDescent="0.4">
      <c r="K291" s="9">
        <v>289</v>
      </c>
      <c r="L291" s="72">
        <v>-51.699999999999974</v>
      </c>
    </row>
    <row r="292" spans="11:12" x14ac:dyDescent="0.4">
      <c r="K292" s="9">
        <v>290</v>
      </c>
      <c r="L292" s="72">
        <v>-50.999999999999972</v>
      </c>
    </row>
    <row r="293" spans="11:12" x14ac:dyDescent="0.4">
      <c r="K293" s="9">
        <v>291</v>
      </c>
      <c r="L293" s="72">
        <v>-2.9999999999999716</v>
      </c>
    </row>
    <row r="294" spans="11:12" x14ac:dyDescent="0.4">
      <c r="K294" s="9">
        <v>292</v>
      </c>
      <c r="L294" s="72">
        <v>-18.999999999999972</v>
      </c>
    </row>
    <row r="295" spans="11:12" x14ac:dyDescent="0.4">
      <c r="K295" s="9">
        <v>293</v>
      </c>
      <c r="L295" s="72">
        <v>-6.7999999999999723</v>
      </c>
    </row>
    <row r="296" spans="11:12" x14ac:dyDescent="0.4">
      <c r="K296" s="9">
        <v>294</v>
      </c>
      <c r="L296" s="72">
        <v>-2.9999999999999725</v>
      </c>
    </row>
    <row r="297" spans="11:12" x14ac:dyDescent="0.4">
      <c r="K297" s="9">
        <v>295</v>
      </c>
      <c r="L297" s="72">
        <v>40.10000000000003</v>
      </c>
    </row>
    <row r="298" spans="11:12" x14ac:dyDescent="0.4">
      <c r="K298" s="9">
        <v>296</v>
      </c>
      <c r="L298" s="72">
        <v>2.8000000000000327</v>
      </c>
    </row>
    <row r="299" spans="11:12" x14ac:dyDescent="0.4">
      <c r="K299" s="9">
        <v>297</v>
      </c>
      <c r="L299" s="72">
        <v>-2.9999999999999671</v>
      </c>
    </row>
    <row r="300" spans="11:12" x14ac:dyDescent="0.4">
      <c r="K300" s="9">
        <v>298</v>
      </c>
      <c r="L300" s="72">
        <v>-8.999999999999968</v>
      </c>
    </row>
    <row r="301" spans="11:12" x14ac:dyDescent="0.4">
      <c r="K301" s="9">
        <v>299</v>
      </c>
      <c r="L301" s="72">
        <v>-60.899999999999963</v>
      </c>
    </row>
    <row r="302" spans="11:12" x14ac:dyDescent="0.4">
      <c r="K302" s="9">
        <v>300</v>
      </c>
      <c r="L302" s="72">
        <v>-2.9999999999999645</v>
      </c>
    </row>
    <row r="303" spans="11:12" x14ac:dyDescent="0.4">
      <c r="K303" s="9">
        <v>301</v>
      </c>
      <c r="L303" s="72">
        <v>-40.499999999999964</v>
      </c>
    </row>
    <row r="304" spans="11:12" x14ac:dyDescent="0.4">
      <c r="K304" s="9">
        <v>302</v>
      </c>
      <c r="L304" s="72">
        <v>-52.499999999999964</v>
      </c>
    </row>
    <row r="305" spans="11:12" x14ac:dyDescent="0.4">
      <c r="K305" s="9">
        <v>303</v>
      </c>
      <c r="L305" s="72">
        <v>-2.9999999999999645</v>
      </c>
    </row>
    <row r="306" spans="11:12" x14ac:dyDescent="0.4">
      <c r="K306" s="9">
        <v>304</v>
      </c>
      <c r="L306" s="72">
        <v>-42.499999999999964</v>
      </c>
    </row>
    <row r="307" spans="11:12" x14ac:dyDescent="0.4">
      <c r="K307" s="9">
        <v>305</v>
      </c>
      <c r="L307" s="72">
        <v>6.5000000000000355</v>
      </c>
    </row>
    <row r="308" spans="11:12" x14ac:dyDescent="0.4">
      <c r="K308" s="9">
        <v>306</v>
      </c>
      <c r="L308" s="72">
        <v>-2.9999999999999645</v>
      </c>
    </row>
    <row r="309" spans="11:12" x14ac:dyDescent="0.4">
      <c r="K309" s="9">
        <v>307</v>
      </c>
      <c r="L309" s="72">
        <v>8.1000000000000352</v>
      </c>
    </row>
    <row r="310" spans="11:12" x14ac:dyDescent="0.4">
      <c r="K310" s="9">
        <v>308</v>
      </c>
      <c r="L310" s="72">
        <v>-5.6999999999999655</v>
      </c>
    </row>
    <row r="311" spans="11:12" x14ac:dyDescent="0.4">
      <c r="K311" s="9">
        <v>309</v>
      </c>
      <c r="L311" s="72">
        <v>-2.9999999999999654</v>
      </c>
    </row>
    <row r="312" spans="11:12" x14ac:dyDescent="0.4">
      <c r="K312" s="9">
        <v>310</v>
      </c>
      <c r="L312" s="72">
        <v>-4.9999999999999654</v>
      </c>
    </row>
    <row r="313" spans="11:12" x14ac:dyDescent="0.4">
      <c r="K313" s="9">
        <v>311</v>
      </c>
      <c r="L313" s="72">
        <v>36.000000000000036</v>
      </c>
    </row>
    <row r="314" spans="11:12" x14ac:dyDescent="0.4">
      <c r="K314" s="9">
        <v>312</v>
      </c>
      <c r="L314" s="72">
        <v>-2.9999999999999645</v>
      </c>
    </row>
    <row r="315" spans="11:12" x14ac:dyDescent="0.4">
      <c r="K315" s="9">
        <v>313</v>
      </c>
      <c r="L315" s="72">
        <v>40.500000000000036</v>
      </c>
    </row>
    <row r="316" spans="11:12" x14ac:dyDescent="0.4">
      <c r="K316" s="9">
        <v>314</v>
      </c>
      <c r="L316" s="72">
        <v>37.100000000000037</v>
      </c>
    </row>
    <row r="317" spans="11:12" x14ac:dyDescent="0.4">
      <c r="K317" s="9">
        <v>315</v>
      </c>
      <c r="L317" s="72">
        <v>-2.9999999999999645</v>
      </c>
    </row>
    <row r="318" spans="11:12" x14ac:dyDescent="0.4">
      <c r="K318" s="9">
        <v>316</v>
      </c>
      <c r="L318" s="72">
        <v>-8.5999999999999641</v>
      </c>
    </row>
    <row r="319" spans="11:12" x14ac:dyDescent="0.4">
      <c r="K319" s="9">
        <v>317</v>
      </c>
      <c r="L319" s="72">
        <v>63.000000000000028</v>
      </c>
    </row>
    <row r="320" spans="11:12" x14ac:dyDescent="0.4">
      <c r="K320" s="9">
        <v>318</v>
      </c>
      <c r="L320" s="72">
        <v>-2.9999999999999716</v>
      </c>
    </row>
    <row r="321" spans="11:12" x14ac:dyDescent="0.4">
      <c r="K321" s="9">
        <v>319</v>
      </c>
      <c r="L321" s="72">
        <v>-10.399999999999972</v>
      </c>
    </row>
    <row r="322" spans="11:12" x14ac:dyDescent="0.4">
      <c r="K322" s="9">
        <v>320</v>
      </c>
      <c r="L322" s="72">
        <v>21.10000000000003</v>
      </c>
    </row>
    <row r="323" spans="11:12" x14ac:dyDescent="0.4">
      <c r="K323" s="9">
        <v>321</v>
      </c>
      <c r="L323" s="72">
        <v>-2.9999999999999716</v>
      </c>
    </row>
    <row r="324" spans="11:12" x14ac:dyDescent="0.4">
      <c r="K324" s="9">
        <v>322</v>
      </c>
      <c r="L324" s="72">
        <v>-40.999999999999972</v>
      </c>
    </row>
    <row r="325" spans="11:12" x14ac:dyDescent="0.4">
      <c r="K325" s="9">
        <v>323</v>
      </c>
      <c r="L325" s="72">
        <v>-5.599999999999973</v>
      </c>
    </row>
    <row r="326" spans="11:12" x14ac:dyDescent="0.4">
      <c r="K326" s="9">
        <v>324</v>
      </c>
      <c r="L326" s="72">
        <v>-2.9999999999999729</v>
      </c>
    </row>
    <row r="327" spans="11:12" x14ac:dyDescent="0.4">
      <c r="K327" s="9">
        <v>325</v>
      </c>
      <c r="L327" s="72">
        <v>-21.799999999999972</v>
      </c>
    </row>
    <row r="328" spans="11:12" x14ac:dyDescent="0.4">
      <c r="K328" s="9">
        <v>326</v>
      </c>
      <c r="L328" s="72">
        <v>-10.299999999999972</v>
      </c>
    </row>
    <row r="329" spans="11:12" x14ac:dyDescent="0.4">
      <c r="K329" s="9">
        <v>327</v>
      </c>
      <c r="L329" s="72">
        <v>-2.9999999999999725</v>
      </c>
    </row>
    <row r="330" spans="11:12" x14ac:dyDescent="0.4">
      <c r="K330" s="9">
        <v>328</v>
      </c>
      <c r="L330" s="72">
        <v>24.000000000000028</v>
      </c>
    </row>
    <row r="331" spans="11:12" x14ac:dyDescent="0.4">
      <c r="K331" s="9">
        <v>329</v>
      </c>
      <c r="L331" s="72">
        <v>33.10000000000003</v>
      </c>
    </row>
    <row r="332" spans="11:12" x14ac:dyDescent="0.4">
      <c r="K332" s="9">
        <v>330</v>
      </c>
      <c r="L332" s="72">
        <v>-2.9999999999999716</v>
      </c>
    </row>
    <row r="333" spans="11:12" x14ac:dyDescent="0.4">
      <c r="K333" s="9">
        <v>331</v>
      </c>
      <c r="L333" s="72">
        <v>41.60000000000003</v>
      </c>
    </row>
    <row r="334" spans="11:12" x14ac:dyDescent="0.4">
      <c r="K334" s="9">
        <v>332</v>
      </c>
      <c r="L334" s="72">
        <v>36.400000000000027</v>
      </c>
    </row>
    <row r="335" spans="11:12" x14ac:dyDescent="0.4">
      <c r="K335" s="9">
        <v>333</v>
      </c>
      <c r="L335" s="72">
        <v>-2.9999999999999716</v>
      </c>
    </row>
    <row r="336" spans="11:12" x14ac:dyDescent="0.4">
      <c r="K336" s="9">
        <v>334</v>
      </c>
      <c r="L336" s="72">
        <v>4.0000000000000284</v>
      </c>
    </row>
    <row r="337" spans="11:12" x14ac:dyDescent="0.4">
      <c r="K337" s="9">
        <v>335</v>
      </c>
      <c r="L337" s="72">
        <v>37.000000000000028</v>
      </c>
    </row>
    <row r="338" spans="11:12" x14ac:dyDescent="0.4">
      <c r="K338" s="9">
        <v>336</v>
      </c>
      <c r="L338" s="72">
        <v>-2.9999999999999716</v>
      </c>
    </row>
    <row r="339" spans="11:12" x14ac:dyDescent="0.4">
      <c r="K339" s="9">
        <v>337</v>
      </c>
      <c r="L339" s="72">
        <v>-14.299999999999972</v>
      </c>
    </row>
    <row r="340" spans="11:12" x14ac:dyDescent="0.4">
      <c r="K340" s="9">
        <v>338</v>
      </c>
      <c r="L340" s="72">
        <v>-9.099999999999973</v>
      </c>
    </row>
    <row r="341" spans="11:12" x14ac:dyDescent="0.4">
      <c r="K341" s="9">
        <v>339</v>
      </c>
      <c r="L341" s="72">
        <v>-2.9999999999999734</v>
      </c>
    </row>
    <row r="342" spans="11:12" x14ac:dyDescent="0.4">
      <c r="K342" s="9">
        <v>340</v>
      </c>
      <c r="L342" s="72">
        <v>-18.499999999999972</v>
      </c>
    </row>
    <row r="343" spans="11:12" x14ac:dyDescent="0.4">
      <c r="K343" s="9">
        <v>341</v>
      </c>
      <c r="L343" s="72">
        <v>-53.999999999999972</v>
      </c>
    </row>
    <row r="344" spans="11:12" x14ac:dyDescent="0.4">
      <c r="K344" s="9">
        <v>342</v>
      </c>
      <c r="L344" s="72">
        <v>-2.9999999999999716</v>
      </c>
    </row>
    <row r="345" spans="11:12" x14ac:dyDescent="0.4">
      <c r="K345" s="9">
        <v>343</v>
      </c>
      <c r="L345" s="72">
        <v>-22.299999999999972</v>
      </c>
    </row>
    <row r="346" spans="11:12" x14ac:dyDescent="0.4">
      <c r="K346" s="9">
        <v>344</v>
      </c>
      <c r="L346" s="72">
        <v>-6.099999999999973</v>
      </c>
    </row>
    <row r="347" spans="11:12" x14ac:dyDescent="0.4">
      <c r="K347" s="9">
        <v>345</v>
      </c>
      <c r="L347" s="72">
        <v>-2.9999999999999729</v>
      </c>
    </row>
    <row r="348" spans="11:12" x14ac:dyDescent="0.4">
      <c r="K348" s="9">
        <v>346</v>
      </c>
      <c r="L348" s="72">
        <v>21.000000000000028</v>
      </c>
    </row>
    <row r="349" spans="11:12" x14ac:dyDescent="0.4">
      <c r="K349" s="9">
        <v>347</v>
      </c>
      <c r="L349" s="72">
        <v>15.100000000000028</v>
      </c>
    </row>
    <row r="350" spans="11:12" x14ac:dyDescent="0.4">
      <c r="K350" s="9">
        <v>348</v>
      </c>
      <c r="L350" s="72">
        <v>-2.9999999999999734</v>
      </c>
    </row>
    <row r="351" spans="11:12" x14ac:dyDescent="0.4">
      <c r="K351" s="9">
        <v>349</v>
      </c>
      <c r="L351" s="72">
        <v>25.300000000000026</v>
      </c>
    </row>
    <row r="352" spans="11:12" x14ac:dyDescent="0.4">
      <c r="K352" s="9">
        <v>350</v>
      </c>
      <c r="L352" s="72">
        <v>5.1000000000000263</v>
      </c>
    </row>
    <row r="353" spans="11:12" x14ac:dyDescent="0.4">
      <c r="K353" s="9">
        <v>351</v>
      </c>
      <c r="L353" s="72">
        <v>-2.9999999999999734</v>
      </c>
    </row>
    <row r="354" spans="11:12" x14ac:dyDescent="0.4">
      <c r="K354" s="9">
        <v>352</v>
      </c>
      <c r="L354" s="72">
        <v>-34.499999999999972</v>
      </c>
    </row>
    <row r="355" spans="11:12" x14ac:dyDescent="0.4">
      <c r="K355" s="9">
        <v>353</v>
      </c>
      <c r="L355" s="72">
        <v>15.500000000000028</v>
      </c>
    </row>
    <row r="356" spans="11:12" x14ac:dyDescent="0.4">
      <c r="K356" s="9">
        <v>354</v>
      </c>
      <c r="L356" s="72">
        <v>-2.9999999999999716</v>
      </c>
    </row>
    <row r="357" spans="11:12" x14ac:dyDescent="0.4">
      <c r="K357" s="9">
        <v>355</v>
      </c>
      <c r="L357" s="72">
        <v>16.500000000000028</v>
      </c>
    </row>
    <row r="358" spans="11:12" x14ac:dyDescent="0.4">
      <c r="K358" s="9">
        <v>356</v>
      </c>
      <c r="L358" s="72">
        <v>4.4000000000000288</v>
      </c>
    </row>
    <row r="359" spans="11:12" x14ac:dyDescent="0.4">
      <c r="K359" s="9">
        <v>357</v>
      </c>
      <c r="L359" s="72">
        <v>-2.9999999999999716</v>
      </c>
    </row>
    <row r="360" spans="11:12" x14ac:dyDescent="0.4">
      <c r="K360" s="9">
        <v>358</v>
      </c>
      <c r="L360" s="72">
        <v>-8.3999999999999719</v>
      </c>
    </row>
    <row r="361" spans="11:12" x14ac:dyDescent="0.4">
      <c r="K361" s="9">
        <v>359</v>
      </c>
      <c r="L361" s="72">
        <v>7.4000000000000288</v>
      </c>
    </row>
    <row r="362" spans="11:12" x14ac:dyDescent="0.4">
      <c r="K362" s="9">
        <v>360</v>
      </c>
      <c r="L362" s="72">
        <v>-2.9999999999999716</v>
      </c>
    </row>
    <row r="363" spans="11:12" x14ac:dyDescent="0.4">
      <c r="K363" s="9">
        <v>361</v>
      </c>
      <c r="L363" s="72">
        <v>53.000000000000028</v>
      </c>
    </row>
    <row r="364" spans="11:12" x14ac:dyDescent="0.4">
      <c r="K364" s="9">
        <v>362</v>
      </c>
      <c r="L364" s="72">
        <v>35.000000000000028</v>
      </c>
    </row>
    <row r="365" spans="11:12" x14ac:dyDescent="0.4">
      <c r="K365" s="9">
        <v>363</v>
      </c>
      <c r="L365" s="72">
        <v>-2.9999999999999716</v>
      </c>
    </row>
    <row r="366" spans="11:12" x14ac:dyDescent="0.4">
      <c r="K366" s="9">
        <v>364</v>
      </c>
      <c r="L366" s="72">
        <v>40.000000000000028</v>
      </c>
    </row>
    <row r="367" spans="11:12" x14ac:dyDescent="0.4">
      <c r="K367" s="9">
        <v>365</v>
      </c>
      <c r="L367" s="72">
        <v>-0.99999999999997158</v>
      </c>
    </row>
    <row r="368" spans="11:12" x14ac:dyDescent="0.4">
      <c r="K368" s="9">
        <v>366</v>
      </c>
      <c r="L368" s="72">
        <v>-2.9999999999999716</v>
      </c>
    </row>
    <row r="369" spans="11:12" x14ac:dyDescent="0.4">
      <c r="K369" s="9">
        <v>367</v>
      </c>
      <c r="L369" s="72">
        <v>-16.999999999999972</v>
      </c>
    </row>
    <row r="370" spans="11:12" x14ac:dyDescent="0.4">
      <c r="K370" s="9">
        <v>368</v>
      </c>
      <c r="L370" s="72">
        <v>-24.199999999999971</v>
      </c>
    </row>
    <row r="371" spans="11:12" x14ac:dyDescent="0.4">
      <c r="K371" s="9">
        <v>369</v>
      </c>
      <c r="L371" s="72">
        <v>-2.9999999999999716</v>
      </c>
    </row>
    <row r="372" spans="11:12" x14ac:dyDescent="0.4">
      <c r="K372" s="9">
        <v>370</v>
      </c>
      <c r="L372" s="72">
        <v>-51.39999999999997</v>
      </c>
    </row>
    <row r="373" spans="11:12" x14ac:dyDescent="0.4">
      <c r="K373" s="9">
        <v>371</v>
      </c>
      <c r="L373" s="72">
        <v>-17.999999999999972</v>
      </c>
    </row>
    <row r="374" spans="11:12" x14ac:dyDescent="0.4">
      <c r="K374" s="9">
        <v>372</v>
      </c>
      <c r="L374" s="72">
        <v>-2.9999999999999716</v>
      </c>
    </row>
    <row r="375" spans="11:12" x14ac:dyDescent="0.4">
      <c r="K375" s="9">
        <v>373</v>
      </c>
      <c r="L375" s="72">
        <v>41.900000000000027</v>
      </c>
    </row>
    <row r="376" spans="11:12" x14ac:dyDescent="0.4">
      <c r="K376" s="9">
        <v>374</v>
      </c>
      <c r="L376" s="72">
        <v>36.300000000000026</v>
      </c>
    </row>
    <row r="377" spans="11:12" x14ac:dyDescent="0.4">
      <c r="K377" s="9">
        <v>375</v>
      </c>
      <c r="L377" s="72">
        <v>-2.9999999999999716</v>
      </c>
    </row>
    <row r="378" spans="11:12" x14ac:dyDescent="0.4">
      <c r="K378" s="9">
        <v>376</v>
      </c>
      <c r="L378" s="72">
        <v>14.10000000000003</v>
      </c>
    </row>
    <row r="379" spans="11:12" x14ac:dyDescent="0.4">
      <c r="K379" s="9">
        <v>377</v>
      </c>
      <c r="L379" s="72">
        <v>-12.89999999999997</v>
      </c>
    </row>
    <row r="380" spans="11:12" x14ac:dyDescent="0.4">
      <c r="K380" s="9">
        <v>378</v>
      </c>
      <c r="L380" s="72">
        <v>-2.9999999999999698</v>
      </c>
    </row>
    <row r="381" spans="11:12" x14ac:dyDescent="0.4">
      <c r="K381" s="9">
        <v>379</v>
      </c>
      <c r="L381" s="72">
        <v>-40.999999999999972</v>
      </c>
    </row>
    <row r="382" spans="11:12" x14ac:dyDescent="0.4">
      <c r="K382" s="9">
        <v>380</v>
      </c>
      <c r="L382" s="72">
        <v>-35.799999999999969</v>
      </c>
    </row>
    <row r="383" spans="11:12" x14ac:dyDescent="0.4">
      <c r="K383" s="9">
        <v>381</v>
      </c>
      <c r="L383" s="72">
        <v>-2.9999999999999716</v>
      </c>
    </row>
    <row r="384" spans="11:12" x14ac:dyDescent="0.4">
      <c r="K384" s="9">
        <v>382</v>
      </c>
      <c r="L384" s="72">
        <v>13.500000000000028</v>
      </c>
    </row>
    <row r="385" spans="11:12" x14ac:dyDescent="0.4">
      <c r="K385" s="9">
        <v>383</v>
      </c>
      <c r="L385" s="72">
        <v>5.8000000000000282</v>
      </c>
    </row>
    <row r="386" spans="11:12" x14ac:dyDescent="0.4">
      <c r="K386" s="9">
        <v>384</v>
      </c>
      <c r="L386" s="72">
        <v>-2.9999999999999725</v>
      </c>
    </row>
    <row r="387" spans="11:12" x14ac:dyDescent="0.4">
      <c r="K387" s="9">
        <v>385</v>
      </c>
      <c r="L387" s="72">
        <v>5.7000000000000268</v>
      </c>
    </row>
    <row r="388" spans="11:12" x14ac:dyDescent="0.4">
      <c r="K388" s="9">
        <v>386</v>
      </c>
      <c r="L388" s="72">
        <v>17.300000000000026</v>
      </c>
    </row>
    <row r="389" spans="11:12" x14ac:dyDescent="0.4">
      <c r="K389" s="9">
        <v>387</v>
      </c>
      <c r="L389" s="72">
        <v>-2.9999999999999751</v>
      </c>
    </row>
    <row r="390" spans="11:12" x14ac:dyDescent="0.4">
      <c r="K390" s="9">
        <v>388</v>
      </c>
      <c r="L390" s="72">
        <v>17.700000000000024</v>
      </c>
    </row>
    <row r="391" spans="11:12" x14ac:dyDescent="0.4">
      <c r="K391" s="9">
        <v>389</v>
      </c>
      <c r="L391" s="72">
        <v>-25.799999999999976</v>
      </c>
    </row>
    <row r="392" spans="11:12" x14ac:dyDescent="0.4">
      <c r="K392" s="9">
        <v>390</v>
      </c>
      <c r="L392" s="72">
        <v>-2.9999999999999751</v>
      </c>
    </row>
    <row r="393" spans="11:12" x14ac:dyDescent="0.4">
      <c r="K393" s="9">
        <v>391</v>
      </c>
      <c r="L393" s="72">
        <v>12.300000000000026</v>
      </c>
    </row>
    <row r="394" spans="11:12" x14ac:dyDescent="0.4">
      <c r="K394" s="9">
        <v>392</v>
      </c>
      <c r="L394" s="72">
        <v>5.5000000000000258</v>
      </c>
    </row>
    <row r="395" spans="11:12" x14ac:dyDescent="0.4">
      <c r="K395" s="9">
        <v>393</v>
      </c>
      <c r="L395" s="72">
        <v>-2.9999999999999742</v>
      </c>
    </row>
    <row r="396" spans="11:12" x14ac:dyDescent="0.4">
      <c r="K396" s="9">
        <v>394</v>
      </c>
      <c r="L396" s="72">
        <v>8.6000000000000263</v>
      </c>
    </row>
    <row r="397" spans="11:12" x14ac:dyDescent="0.4">
      <c r="K397" s="9">
        <v>395</v>
      </c>
      <c r="L397" s="72">
        <v>28.200000000000028</v>
      </c>
    </row>
    <row r="398" spans="11:12" x14ac:dyDescent="0.4">
      <c r="K398" s="9">
        <v>396</v>
      </c>
      <c r="L398" s="72">
        <v>-2.9999999999999716</v>
      </c>
    </row>
    <row r="399" spans="11:12" x14ac:dyDescent="0.4">
      <c r="K399" s="9">
        <v>397</v>
      </c>
      <c r="L399" s="72">
        <v>4.2000000000000286</v>
      </c>
    </row>
    <row r="400" spans="11:12" x14ac:dyDescent="0.4">
      <c r="K400" s="9">
        <v>398</v>
      </c>
      <c r="L400" s="72">
        <v>-15.799999999999972</v>
      </c>
    </row>
    <row r="401" spans="11:12" x14ac:dyDescent="0.4">
      <c r="K401" s="9">
        <v>399</v>
      </c>
      <c r="L401" s="72">
        <v>-3.9999999999999716</v>
      </c>
    </row>
    <row r="402" spans="11:12" x14ac:dyDescent="0.4">
      <c r="K402" s="9">
        <v>400</v>
      </c>
      <c r="L402" s="72">
        <v>20.500000000000028</v>
      </c>
    </row>
    <row r="403" spans="11:12" x14ac:dyDescent="0.4">
      <c r="K403" s="9">
        <v>401</v>
      </c>
      <c r="L403" s="72">
        <v>15.600000000000028</v>
      </c>
    </row>
    <row r="404" spans="11:12" x14ac:dyDescent="0.4">
      <c r="K404" s="9">
        <v>402</v>
      </c>
      <c r="L404" s="72">
        <v>-3.9999999999999734</v>
      </c>
    </row>
    <row r="405" spans="11:12" x14ac:dyDescent="0.4">
      <c r="K405" s="9">
        <v>403</v>
      </c>
      <c r="L405" s="72">
        <v>12.900000000000025</v>
      </c>
    </row>
    <row r="406" spans="11:12" x14ac:dyDescent="0.4">
      <c r="K406" s="9">
        <v>404</v>
      </c>
      <c r="L406" s="72">
        <v>14.100000000000025</v>
      </c>
    </row>
    <row r="407" spans="11:12" x14ac:dyDescent="0.4">
      <c r="K407" s="9">
        <v>405</v>
      </c>
      <c r="L407" s="72">
        <v>-3.9999999999999769</v>
      </c>
    </row>
    <row r="408" spans="11:12" x14ac:dyDescent="0.4">
      <c r="K408" s="9">
        <v>406</v>
      </c>
      <c r="L408" s="72">
        <v>-41.499999999999979</v>
      </c>
    </row>
    <row r="409" spans="11:12" x14ac:dyDescent="0.4">
      <c r="K409" s="9">
        <v>407</v>
      </c>
      <c r="L409" s="72">
        <v>-15.999999999999979</v>
      </c>
    </row>
    <row r="410" spans="11:12" x14ac:dyDescent="0.4">
      <c r="K410" s="9">
        <v>408</v>
      </c>
      <c r="L410" s="72">
        <v>-3.9999999999999787</v>
      </c>
    </row>
    <row r="411" spans="11:12" x14ac:dyDescent="0.4">
      <c r="K411" s="9">
        <v>409</v>
      </c>
      <c r="L411" s="72">
        <v>34.500000000000021</v>
      </c>
    </row>
    <row r="412" spans="11:12" x14ac:dyDescent="0.4">
      <c r="K412" s="9">
        <v>410</v>
      </c>
      <c r="L412" s="72">
        <v>-3.4999999999999787</v>
      </c>
    </row>
    <row r="413" spans="11:12" x14ac:dyDescent="0.4">
      <c r="K413" s="9">
        <v>411</v>
      </c>
      <c r="L413" s="72">
        <v>-3.9999999999999787</v>
      </c>
    </row>
    <row r="414" spans="11:12" x14ac:dyDescent="0.4">
      <c r="K414" s="9">
        <v>412</v>
      </c>
      <c r="L414" s="72">
        <v>-50.499999999999979</v>
      </c>
    </row>
    <row r="415" spans="11:12" x14ac:dyDescent="0.4">
      <c r="K415" s="9">
        <v>413</v>
      </c>
      <c r="L415" s="72">
        <v>-45.999999999999979</v>
      </c>
    </row>
    <row r="416" spans="11:12" x14ac:dyDescent="0.4">
      <c r="K416" s="9">
        <v>414</v>
      </c>
      <c r="L416" s="72">
        <v>-3.9999999999999787</v>
      </c>
    </row>
    <row r="417" spans="11:12" x14ac:dyDescent="0.4">
      <c r="K417" s="9">
        <v>415</v>
      </c>
      <c r="L417" s="72">
        <v>9.2000000000000206</v>
      </c>
    </row>
    <row r="418" spans="11:12" x14ac:dyDescent="0.4">
      <c r="K418" s="9">
        <v>416</v>
      </c>
      <c r="L418" s="72">
        <v>1.8000000000000203</v>
      </c>
    </row>
    <row r="419" spans="11:12" x14ac:dyDescent="0.4">
      <c r="K419" s="9">
        <v>417</v>
      </c>
      <c r="L419" s="72">
        <v>-3.9999999999999796</v>
      </c>
    </row>
    <row r="420" spans="11:12" x14ac:dyDescent="0.4">
      <c r="K420" s="9">
        <v>418</v>
      </c>
      <c r="L420" s="72">
        <v>-23.499999999999979</v>
      </c>
    </row>
    <row r="421" spans="11:12" x14ac:dyDescent="0.4">
      <c r="K421" s="9">
        <v>419</v>
      </c>
      <c r="L421" s="72">
        <v>-5.699999999999978</v>
      </c>
    </row>
    <row r="422" spans="11:12" x14ac:dyDescent="0.4">
      <c r="K422" s="9">
        <v>420</v>
      </c>
      <c r="L422" s="72">
        <v>-3.9999999999999778</v>
      </c>
    </row>
    <row r="423" spans="11:12" x14ac:dyDescent="0.4">
      <c r="K423" s="9">
        <v>421</v>
      </c>
      <c r="L423" s="72">
        <v>37.40000000000002</v>
      </c>
    </row>
    <row r="424" spans="11:12" x14ac:dyDescent="0.4">
      <c r="K424" s="9">
        <v>422</v>
      </c>
      <c r="L424" s="72">
        <v>11.000000000000021</v>
      </c>
    </row>
    <row r="425" spans="11:12" x14ac:dyDescent="0.4">
      <c r="K425" s="9">
        <v>423</v>
      </c>
      <c r="L425" s="72">
        <v>-3.9999999999999787</v>
      </c>
    </row>
    <row r="426" spans="11:12" x14ac:dyDescent="0.4">
      <c r="K426" s="9">
        <v>424</v>
      </c>
      <c r="L426" s="72">
        <v>23.100000000000023</v>
      </c>
    </row>
    <row r="427" spans="11:12" x14ac:dyDescent="0.4">
      <c r="K427" s="9">
        <v>425</v>
      </c>
      <c r="L427" s="72">
        <v>-27.499999999999979</v>
      </c>
    </row>
    <row r="428" spans="11:12" x14ac:dyDescent="0.4">
      <c r="K428" s="9">
        <v>426</v>
      </c>
      <c r="L428" s="72">
        <v>-3.9999999999999787</v>
      </c>
    </row>
    <row r="429" spans="11:12" x14ac:dyDescent="0.4">
      <c r="K429" s="9">
        <v>427</v>
      </c>
      <c r="L429" s="72">
        <v>4.5000000000000213</v>
      </c>
    </row>
    <row r="430" spans="11:12" x14ac:dyDescent="0.4">
      <c r="K430" s="9">
        <v>428</v>
      </c>
      <c r="L430" s="72">
        <v>30.200000000000021</v>
      </c>
    </row>
    <row r="431" spans="11:12" x14ac:dyDescent="0.4">
      <c r="K431" s="9">
        <v>429</v>
      </c>
      <c r="L431" s="72">
        <v>-3.9999999999999822</v>
      </c>
    </row>
    <row r="432" spans="11:12" x14ac:dyDescent="0.4">
      <c r="K432" s="9">
        <v>430</v>
      </c>
      <c r="L432" s="72">
        <v>0.80000000000001759</v>
      </c>
    </row>
    <row r="433" spans="11:12" x14ac:dyDescent="0.4">
      <c r="K433" s="9">
        <v>431</v>
      </c>
      <c r="L433" s="72">
        <v>-15.999999999999982</v>
      </c>
    </row>
    <row r="434" spans="11:12" x14ac:dyDescent="0.4">
      <c r="K434" s="9">
        <v>432</v>
      </c>
      <c r="L434" s="72">
        <v>-3.9999999999999822</v>
      </c>
    </row>
    <row r="435" spans="11:12" x14ac:dyDescent="0.4">
      <c r="K435" s="9">
        <v>433</v>
      </c>
      <c r="L435" s="72">
        <v>39.300000000000011</v>
      </c>
    </row>
    <row r="436" spans="11:12" x14ac:dyDescent="0.4">
      <c r="K436" s="9">
        <v>434</v>
      </c>
      <c r="L436" s="72">
        <v>31.500000000000011</v>
      </c>
    </row>
    <row r="437" spans="11:12" x14ac:dyDescent="0.4">
      <c r="K437" s="9">
        <v>435</v>
      </c>
      <c r="L437" s="72">
        <v>-3.9999999999999893</v>
      </c>
    </row>
    <row r="438" spans="11:12" x14ac:dyDescent="0.4">
      <c r="K438" s="9">
        <v>436</v>
      </c>
      <c r="L438" s="72">
        <v>22.000000000000011</v>
      </c>
    </row>
    <row r="439" spans="11:12" x14ac:dyDescent="0.4">
      <c r="K439" s="9">
        <v>437</v>
      </c>
      <c r="L439" s="72">
        <v>16.70000000000001</v>
      </c>
    </row>
    <row r="440" spans="11:12" x14ac:dyDescent="0.4">
      <c r="K440" s="9">
        <v>438</v>
      </c>
      <c r="L440" s="72">
        <v>-3.9999999999999893</v>
      </c>
    </row>
    <row r="441" spans="11:12" x14ac:dyDescent="0.4">
      <c r="K441" s="9">
        <v>439</v>
      </c>
      <c r="L441" s="72">
        <v>7.0000000000000107</v>
      </c>
    </row>
    <row r="442" spans="11:12" x14ac:dyDescent="0.4">
      <c r="K442" s="9">
        <v>440</v>
      </c>
      <c r="L442" s="72">
        <v>-25.799999999999986</v>
      </c>
    </row>
    <row r="443" spans="11:12" x14ac:dyDescent="0.4">
      <c r="K443" s="9">
        <v>441</v>
      </c>
      <c r="L443" s="72">
        <v>-3.9999999999999858</v>
      </c>
    </row>
    <row r="444" spans="11:12" x14ac:dyDescent="0.4">
      <c r="K444" s="9">
        <v>442</v>
      </c>
      <c r="L444" s="72">
        <v>37.000000000000014</v>
      </c>
    </row>
    <row r="445" spans="11:12" x14ac:dyDescent="0.4">
      <c r="K445" s="9">
        <v>443</v>
      </c>
      <c r="L445" s="72">
        <v>-8.4999999999999858</v>
      </c>
    </row>
    <row r="446" spans="11:12" x14ac:dyDescent="0.4">
      <c r="K446" s="9">
        <v>444</v>
      </c>
      <c r="L446" s="72">
        <v>-3.9999999999999858</v>
      </c>
    </row>
    <row r="447" spans="11:12" x14ac:dyDescent="0.4">
      <c r="K447" s="9">
        <v>445</v>
      </c>
      <c r="L447" s="72">
        <v>21.000000000000014</v>
      </c>
    </row>
    <row r="448" spans="11:12" x14ac:dyDescent="0.4">
      <c r="K448" s="9">
        <v>446</v>
      </c>
      <c r="L448" s="72">
        <v>-14.499999999999986</v>
      </c>
    </row>
    <row r="449" spans="11:12" x14ac:dyDescent="0.4">
      <c r="K449" s="9">
        <v>447</v>
      </c>
      <c r="L449" s="72">
        <v>-3.9999999999999858</v>
      </c>
    </row>
    <row r="450" spans="11:12" x14ac:dyDescent="0.4">
      <c r="K450" s="9">
        <v>448</v>
      </c>
      <c r="L450" s="72">
        <v>-23.799999999999986</v>
      </c>
    </row>
    <row r="451" spans="11:12" x14ac:dyDescent="0.4">
      <c r="K451" s="9">
        <v>449</v>
      </c>
      <c r="L451" s="72">
        <v>-33.799999999999983</v>
      </c>
    </row>
    <row r="452" spans="11:12" x14ac:dyDescent="0.4">
      <c r="K452" s="9">
        <v>450</v>
      </c>
      <c r="L452" s="72">
        <v>-3.9999999999999822</v>
      </c>
    </row>
    <row r="453" spans="11:12" x14ac:dyDescent="0.4">
      <c r="K453" s="9">
        <v>451</v>
      </c>
      <c r="L453" s="72">
        <v>33.600000000000023</v>
      </c>
    </row>
    <row r="454" spans="11:12" x14ac:dyDescent="0.4">
      <c r="K454" s="9">
        <v>452</v>
      </c>
      <c r="L454" s="72">
        <v>32.500000000000021</v>
      </c>
    </row>
    <row r="455" spans="11:12" x14ac:dyDescent="0.4">
      <c r="K455" s="9">
        <v>453</v>
      </c>
      <c r="L455" s="72">
        <v>-3.9999999999999787</v>
      </c>
    </row>
    <row r="456" spans="11:12" x14ac:dyDescent="0.4">
      <c r="K456" s="9">
        <v>454</v>
      </c>
      <c r="L456" s="72">
        <v>3.8000000000000211</v>
      </c>
    </row>
    <row r="457" spans="11:12" x14ac:dyDescent="0.4">
      <c r="K457" s="9">
        <v>455</v>
      </c>
      <c r="L457" s="72">
        <v>-33.399999999999984</v>
      </c>
    </row>
    <row r="458" spans="11:12" x14ac:dyDescent="0.4">
      <c r="K458" s="9">
        <v>456</v>
      </c>
      <c r="L458" s="72">
        <v>-3.9999999999999858</v>
      </c>
    </row>
    <row r="459" spans="11:12" x14ac:dyDescent="0.4">
      <c r="K459" s="9">
        <v>457</v>
      </c>
      <c r="L459" s="72">
        <v>64.100000000000009</v>
      </c>
    </row>
    <row r="460" spans="11:12" x14ac:dyDescent="0.4">
      <c r="K460" s="9">
        <v>458</v>
      </c>
      <c r="L460" s="72">
        <v>22.800000000000011</v>
      </c>
    </row>
    <row r="461" spans="11:12" x14ac:dyDescent="0.4">
      <c r="K461" s="9">
        <v>459</v>
      </c>
      <c r="L461" s="72">
        <v>-3.9999999999999893</v>
      </c>
    </row>
    <row r="462" spans="11:12" x14ac:dyDescent="0.4">
      <c r="K462" s="9">
        <v>460</v>
      </c>
      <c r="L462" s="72">
        <v>-5.9999999999999893</v>
      </c>
    </row>
    <row r="463" spans="11:12" x14ac:dyDescent="0.4">
      <c r="K463" s="9">
        <v>461</v>
      </c>
      <c r="L463" s="72">
        <v>-22.399999999999988</v>
      </c>
    </row>
    <row r="464" spans="11:12" x14ac:dyDescent="0.4">
      <c r="K464" s="9">
        <v>462</v>
      </c>
      <c r="L464" s="72">
        <v>-3.9999999999999893</v>
      </c>
    </row>
    <row r="465" spans="11:12" x14ac:dyDescent="0.4">
      <c r="K465" s="9">
        <v>463</v>
      </c>
      <c r="L465" s="72">
        <v>1.2000000000000108</v>
      </c>
    </row>
    <row r="466" spans="11:12" x14ac:dyDescent="0.4">
      <c r="K466" s="9">
        <v>464</v>
      </c>
      <c r="L466" s="72">
        <v>-30.499999999999989</v>
      </c>
    </row>
    <row r="467" spans="11:12" x14ac:dyDescent="0.4">
      <c r="K467" s="9">
        <v>465</v>
      </c>
      <c r="L467" s="72">
        <v>-3.9999999999999893</v>
      </c>
    </row>
    <row r="468" spans="11:12" x14ac:dyDescent="0.4">
      <c r="K468" s="9">
        <v>466</v>
      </c>
      <c r="L468" s="72">
        <v>12.20000000000001</v>
      </c>
    </row>
    <row r="469" spans="11:12" x14ac:dyDescent="0.4">
      <c r="K469" s="9">
        <v>467</v>
      </c>
      <c r="L469" s="72">
        <v>7.3000000000000096</v>
      </c>
    </row>
    <row r="470" spans="11:12" x14ac:dyDescent="0.4">
      <c r="K470" s="9">
        <v>468</v>
      </c>
      <c r="L470" s="72">
        <v>-3.9999999999999911</v>
      </c>
    </row>
    <row r="471" spans="11:12" x14ac:dyDescent="0.4">
      <c r="K471" s="9">
        <v>469</v>
      </c>
      <c r="L471" s="72">
        <v>20.20000000000001</v>
      </c>
    </row>
    <row r="472" spans="11:12" x14ac:dyDescent="0.4">
      <c r="K472" s="9">
        <v>470</v>
      </c>
      <c r="L472" s="72">
        <v>5.3000000000000096</v>
      </c>
    </row>
    <row r="473" spans="11:12" x14ac:dyDescent="0.4">
      <c r="K473" s="9">
        <v>471</v>
      </c>
      <c r="L473" s="72">
        <v>-3.9999999999999911</v>
      </c>
    </row>
    <row r="474" spans="11:12" x14ac:dyDescent="0.4">
      <c r="K474" s="9">
        <v>472</v>
      </c>
      <c r="L474" s="72">
        <v>16.600000000000009</v>
      </c>
    </row>
    <row r="475" spans="11:12" x14ac:dyDescent="0.4">
      <c r="K475" s="9">
        <v>473</v>
      </c>
      <c r="L475" s="72">
        <v>-29.099999999999994</v>
      </c>
    </row>
    <row r="476" spans="11:12" x14ac:dyDescent="0.4">
      <c r="K476" s="9">
        <v>474</v>
      </c>
      <c r="L476" s="72">
        <v>-3.9999999999999929</v>
      </c>
    </row>
    <row r="477" spans="11:12" x14ac:dyDescent="0.4">
      <c r="K477" s="9">
        <v>475</v>
      </c>
      <c r="L477" s="72">
        <v>3.3000000000000069</v>
      </c>
    </row>
    <row r="478" spans="11:12" x14ac:dyDescent="0.4">
      <c r="K478" s="9">
        <v>476</v>
      </c>
      <c r="L478" s="72">
        <v>29.500000000000007</v>
      </c>
    </row>
    <row r="479" spans="11:12" x14ac:dyDescent="0.4">
      <c r="K479" s="9">
        <v>477</v>
      </c>
      <c r="L479" s="72">
        <v>-3.9999999999999929</v>
      </c>
    </row>
    <row r="480" spans="11:12" x14ac:dyDescent="0.4">
      <c r="K480" s="9">
        <v>478</v>
      </c>
      <c r="L480" s="72">
        <v>0.80000000000000693</v>
      </c>
    </row>
    <row r="481" spans="11:12" x14ac:dyDescent="0.4">
      <c r="K481" s="9">
        <v>479</v>
      </c>
      <c r="L481" s="72">
        <v>33.500000000000007</v>
      </c>
    </row>
    <row r="482" spans="11:12" x14ac:dyDescent="0.4">
      <c r="K482" s="9">
        <v>480</v>
      </c>
      <c r="L482" s="72">
        <v>-3.9999999999999929</v>
      </c>
    </row>
    <row r="483" spans="11:12" x14ac:dyDescent="0.4">
      <c r="K483" s="9">
        <v>481</v>
      </c>
      <c r="L483" s="72">
        <v>0.10000000000000675</v>
      </c>
    </row>
    <row r="484" spans="11:12" x14ac:dyDescent="0.4">
      <c r="K484" s="9">
        <v>482</v>
      </c>
      <c r="L484" s="72">
        <v>5.4000000000000066</v>
      </c>
    </row>
    <row r="485" spans="11:12" x14ac:dyDescent="0.4">
      <c r="K485" s="9">
        <v>483</v>
      </c>
      <c r="L485" s="72">
        <v>-3.9999999999999938</v>
      </c>
    </row>
    <row r="486" spans="11:12" x14ac:dyDescent="0.4">
      <c r="K486" s="9">
        <v>484</v>
      </c>
      <c r="L486" s="72">
        <v>-15.999999999999993</v>
      </c>
    </row>
    <row r="487" spans="11:12" x14ac:dyDescent="0.4">
      <c r="K487" s="9">
        <v>485</v>
      </c>
      <c r="L487" s="72">
        <v>-5.4999999999999929</v>
      </c>
    </row>
    <row r="488" spans="11:12" x14ac:dyDescent="0.4">
      <c r="K488" s="9">
        <v>486</v>
      </c>
      <c r="L488" s="72">
        <v>-4.9999999999999929</v>
      </c>
    </row>
    <row r="489" spans="11:12" x14ac:dyDescent="0.4">
      <c r="K489" s="9">
        <v>487</v>
      </c>
      <c r="L489" s="72">
        <v>7.5000000000000071</v>
      </c>
    </row>
    <row r="490" spans="11:12" x14ac:dyDescent="0.4">
      <c r="K490" s="9">
        <v>488</v>
      </c>
      <c r="L490" s="72">
        <v>-4.5999999999999925</v>
      </c>
    </row>
    <row r="491" spans="11:12" x14ac:dyDescent="0.4">
      <c r="K491" s="9">
        <v>489</v>
      </c>
      <c r="L491" s="72">
        <v>-4.9999999999999929</v>
      </c>
    </row>
    <row r="492" spans="11:12" x14ac:dyDescent="0.4">
      <c r="K492" s="9">
        <v>490</v>
      </c>
      <c r="L492" s="72">
        <v>-17.899999999999991</v>
      </c>
    </row>
    <row r="493" spans="11:12" x14ac:dyDescent="0.4">
      <c r="K493" s="9">
        <v>491</v>
      </c>
      <c r="L493" s="72">
        <v>-23.099999999999991</v>
      </c>
    </row>
    <row r="494" spans="11:12" x14ac:dyDescent="0.4">
      <c r="K494" s="9">
        <v>492</v>
      </c>
      <c r="L494" s="72">
        <v>-4.9999999999999893</v>
      </c>
    </row>
    <row r="495" spans="11:12" x14ac:dyDescent="0.4">
      <c r="K495" s="9">
        <v>493</v>
      </c>
      <c r="L495" s="72">
        <v>10.60000000000001</v>
      </c>
    </row>
    <row r="496" spans="11:12" x14ac:dyDescent="0.4">
      <c r="K496" s="9">
        <v>494</v>
      </c>
      <c r="L496" s="72">
        <v>-27.79999999999999</v>
      </c>
    </row>
    <row r="497" spans="11:12" x14ac:dyDescent="0.4">
      <c r="K497" s="9">
        <v>495</v>
      </c>
      <c r="L497" s="72">
        <v>-4.9999999999999893</v>
      </c>
    </row>
    <row r="498" spans="11:12" x14ac:dyDescent="0.4">
      <c r="K498" s="9">
        <v>496</v>
      </c>
      <c r="L498" s="72">
        <v>10.60000000000001</v>
      </c>
    </row>
    <row r="499" spans="11:12" x14ac:dyDescent="0.4">
      <c r="K499" s="9">
        <v>497</v>
      </c>
      <c r="L499" s="72">
        <v>-2.1999999999999904</v>
      </c>
    </row>
    <row r="500" spans="11:12" x14ac:dyDescent="0.4">
      <c r="K500" s="9">
        <v>498</v>
      </c>
      <c r="L500" s="72">
        <v>-4.9999999999999902</v>
      </c>
    </row>
    <row r="501" spans="11:12" x14ac:dyDescent="0.4">
      <c r="K501" s="9">
        <v>499</v>
      </c>
      <c r="L501" s="72">
        <v>-40.999999999999993</v>
      </c>
    </row>
    <row r="502" spans="11:12" x14ac:dyDescent="0.4">
      <c r="K502" s="9">
        <v>500</v>
      </c>
      <c r="L502" s="72">
        <v>-4.9999999999999929</v>
      </c>
    </row>
    <row r="503" spans="11:12" x14ac:dyDescent="0.4">
      <c r="K503" s="9">
        <v>501</v>
      </c>
      <c r="L503" s="72">
        <v>-4.9999999999999929</v>
      </c>
    </row>
    <row r="504" spans="11:12" x14ac:dyDescent="0.4">
      <c r="K504" s="9">
        <v>502</v>
      </c>
      <c r="L504" s="72">
        <v>-34.599999999999994</v>
      </c>
    </row>
    <row r="505" spans="11:12" x14ac:dyDescent="0.4">
      <c r="K505" s="9">
        <v>503</v>
      </c>
      <c r="L505" s="72">
        <v>-83.699999999999989</v>
      </c>
    </row>
    <row r="506" spans="11:12" x14ac:dyDescent="0.4">
      <c r="K506" s="9">
        <v>504</v>
      </c>
      <c r="L506" s="72">
        <v>-4.9999999999999858</v>
      </c>
    </row>
    <row r="507" spans="11:12" x14ac:dyDescent="0.4">
      <c r="K507" s="9">
        <v>505</v>
      </c>
      <c r="L507" s="72">
        <v>1.800000000000014</v>
      </c>
    </row>
    <row r="508" spans="11:12" x14ac:dyDescent="0.4">
      <c r="K508" s="9">
        <v>506</v>
      </c>
      <c r="L508" s="72">
        <v>-0.79999999999998606</v>
      </c>
    </row>
    <row r="509" spans="11:12" x14ac:dyDescent="0.4">
      <c r="K509" s="9">
        <v>507</v>
      </c>
      <c r="L509" s="72">
        <v>-4.9999999999999858</v>
      </c>
    </row>
    <row r="510" spans="11:12" x14ac:dyDescent="0.4">
      <c r="K510" s="9">
        <v>508</v>
      </c>
      <c r="L510" s="72">
        <v>-18.999999999999986</v>
      </c>
    </row>
    <row r="511" spans="11:12" x14ac:dyDescent="0.4">
      <c r="K511" s="9">
        <v>509</v>
      </c>
      <c r="L511" s="72">
        <v>-31.499999999999986</v>
      </c>
    </row>
    <row r="512" spans="11:12" x14ac:dyDescent="0.4">
      <c r="K512" s="9">
        <v>510</v>
      </c>
      <c r="L512" s="72">
        <v>-4.9999999999999858</v>
      </c>
    </row>
    <row r="513" spans="11:12" x14ac:dyDescent="0.4">
      <c r="K513" s="9">
        <v>511</v>
      </c>
      <c r="L513" s="72">
        <v>-14.999999999999986</v>
      </c>
    </row>
    <row r="514" spans="11:12" x14ac:dyDescent="0.4">
      <c r="K514" s="9">
        <v>512</v>
      </c>
      <c r="L514" s="72">
        <v>45.500000000000014</v>
      </c>
    </row>
    <row r="515" spans="11:12" x14ac:dyDescent="0.4">
      <c r="K515" s="9">
        <v>513</v>
      </c>
      <c r="L515" s="72">
        <v>-4.9999999999999858</v>
      </c>
    </row>
    <row r="516" spans="11:12" x14ac:dyDescent="0.4">
      <c r="K516" s="9">
        <v>514</v>
      </c>
      <c r="L516" s="72">
        <v>39.600000000000016</v>
      </c>
    </row>
    <row r="517" spans="11:12" x14ac:dyDescent="0.4">
      <c r="K517" s="9">
        <v>515</v>
      </c>
      <c r="L517" s="72">
        <v>10.100000000000016</v>
      </c>
    </row>
    <row r="518" spans="11:12" x14ac:dyDescent="0.4">
      <c r="K518" s="9">
        <v>516</v>
      </c>
      <c r="L518" s="72">
        <v>-4.999999999999984</v>
      </c>
    </row>
    <row r="519" spans="11:12" x14ac:dyDescent="0.4">
      <c r="K519" s="9">
        <v>517</v>
      </c>
      <c r="L519" s="72">
        <v>-9.6999999999999851</v>
      </c>
    </row>
    <row r="520" spans="11:12" x14ac:dyDescent="0.4">
      <c r="K520" s="9">
        <v>518</v>
      </c>
      <c r="L520" s="72">
        <v>8.9000000000000163</v>
      </c>
    </row>
    <row r="521" spans="11:12" x14ac:dyDescent="0.4">
      <c r="K521" s="9">
        <v>519</v>
      </c>
      <c r="L521" s="72">
        <v>-4.999999999999984</v>
      </c>
    </row>
    <row r="522" spans="11:12" x14ac:dyDescent="0.4">
      <c r="K522" s="9">
        <v>520</v>
      </c>
      <c r="L522" s="72">
        <v>7.500000000000016</v>
      </c>
    </row>
    <row r="523" spans="11:12" x14ac:dyDescent="0.4">
      <c r="K523" s="9">
        <v>521</v>
      </c>
      <c r="L523" s="72">
        <v>-6.6999999999999833</v>
      </c>
    </row>
    <row r="524" spans="11:12" x14ac:dyDescent="0.4">
      <c r="K524" s="9">
        <v>522</v>
      </c>
      <c r="L524" s="72">
        <v>-4.9999999999999831</v>
      </c>
    </row>
    <row r="525" spans="11:12" x14ac:dyDescent="0.4">
      <c r="K525" s="9">
        <v>523</v>
      </c>
      <c r="L525" s="72">
        <v>9.4000000000000163</v>
      </c>
    </row>
    <row r="526" spans="11:12" x14ac:dyDescent="0.4">
      <c r="K526" s="9">
        <v>524</v>
      </c>
      <c r="L526" s="72">
        <v>21.700000000000017</v>
      </c>
    </row>
    <row r="527" spans="11:12" x14ac:dyDescent="0.4">
      <c r="K527" s="9">
        <v>525</v>
      </c>
      <c r="L527" s="72">
        <v>-4.9999999999999822</v>
      </c>
    </row>
    <row r="528" spans="11:12" x14ac:dyDescent="0.4">
      <c r="K528" s="9">
        <v>526</v>
      </c>
      <c r="L528" s="72">
        <v>-18.999999999999982</v>
      </c>
    </row>
    <row r="529" spans="11:12" x14ac:dyDescent="0.4">
      <c r="K529" s="9">
        <v>527</v>
      </c>
      <c r="L529" s="72">
        <v>-79.299999999999983</v>
      </c>
    </row>
    <row r="530" spans="11:12" x14ac:dyDescent="0.4">
      <c r="K530" s="9">
        <v>528</v>
      </c>
      <c r="L530" s="72">
        <v>-4.9999999999999858</v>
      </c>
    </row>
    <row r="531" spans="11:12" x14ac:dyDescent="0.4">
      <c r="K531" s="9">
        <v>529</v>
      </c>
      <c r="L531" s="72">
        <v>2.1000000000000139</v>
      </c>
    </row>
    <row r="532" spans="11:12" x14ac:dyDescent="0.4">
      <c r="K532" s="9">
        <v>530</v>
      </c>
      <c r="L532" s="72">
        <v>-5.8999999999999861</v>
      </c>
    </row>
    <row r="533" spans="11:12" x14ac:dyDescent="0.4">
      <c r="K533" s="9">
        <v>531</v>
      </c>
      <c r="L533" s="72">
        <v>-4.9999999999999858</v>
      </c>
    </row>
    <row r="534" spans="11:12" x14ac:dyDescent="0.4">
      <c r="K534" s="9">
        <v>532</v>
      </c>
      <c r="L534" s="72">
        <v>14.700000000000014</v>
      </c>
    </row>
    <row r="535" spans="11:12" x14ac:dyDescent="0.4">
      <c r="K535" s="9">
        <v>533</v>
      </c>
      <c r="L535" s="72">
        <v>-1.1999999999999869</v>
      </c>
    </row>
    <row r="536" spans="11:12" x14ac:dyDescent="0.4">
      <c r="K536" s="9">
        <v>534</v>
      </c>
      <c r="L536" s="72">
        <v>-4.9999999999999867</v>
      </c>
    </row>
    <row r="537" spans="11:12" x14ac:dyDescent="0.4">
      <c r="K537" s="9">
        <v>535</v>
      </c>
      <c r="L537" s="72">
        <v>18.800000000000015</v>
      </c>
    </row>
    <row r="538" spans="11:12" x14ac:dyDescent="0.4">
      <c r="K538" s="9">
        <v>536</v>
      </c>
      <c r="L538" s="72">
        <v>20.500000000000014</v>
      </c>
    </row>
    <row r="539" spans="11:12" x14ac:dyDescent="0.4">
      <c r="K539" s="9">
        <v>537</v>
      </c>
      <c r="L539" s="72">
        <v>-4.9999999999999858</v>
      </c>
    </row>
    <row r="540" spans="11:12" x14ac:dyDescent="0.4">
      <c r="K540" s="9">
        <v>538</v>
      </c>
      <c r="L540" s="72">
        <v>-1.4999999999999858</v>
      </c>
    </row>
    <row r="541" spans="11:12" x14ac:dyDescent="0.4">
      <c r="K541" s="9">
        <v>539</v>
      </c>
      <c r="L541" s="72">
        <v>-10.999999999999986</v>
      </c>
    </row>
    <row r="542" spans="11:12" x14ac:dyDescent="0.4">
      <c r="K542" s="9">
        <v>540</v>
      </c>
      <c r="L542" s="72">
        <v>-4.9999999999999858</v>
      </c>
    </row>
    <row r="543" spans="11:12" x14ac:dyDescent="0.4">
      <c r="K543" s="9">
        <v>541</v>
      </c>
      <c r="L543" s="72">
        <v>-9.7999999999999865</v>
      </c>
    </row>
    <row r="544" spans="11:12" x14ac:dyDescent="0.4">
      <c r="K544" s="9">
        <v>542</v>
      </c>
      <c r="L544" s="72">
        <v>16.000000000000014</v>
      </c>
    </row>
    <row r="545" spans="11:12" x14ac:dyDescent="0.4">
      <c r="K545" s="9">
        <v>543</v>
      </c>
      <c r="L545" s="72">
        <v>-4.9999999999999858</v>
      </c>
    </row>
    <row r="546" spans="11:12" x14ac:dyDescent="0.4">
      <c r="K546" s="9">
        <v>544</v>
      </c>
      <c r="L546" s="72">
        <v>27.500000000000014</v>
      </c>
    </row>
    <row r="547" spans="11:12" x14ac:dyDescent="0.4">
      <c r="K547" s="9">
        <v>545</v>
      </c>
      <c r="L547" s="72">
        <v>6.9000000000000128</v>
      </c>
    </row>
    <row r="548" spans="11:12" x14ac:dyDescent="0.4">
      <c r="K548" s="9">
        <v>546</v>
      </c>
      <c r="L548" s="72">
        <v>-4.9999999999999876</v>
      </c>
    </row>
    <row r="549" spans="11:12" x14ac:dyDescent="0.4">
      <c r="K549" s="9">
        <v>547</v>
      </c>
      <c r="L549" s="72">
        <v>12.100000000000014</v>
      </c>
    </row>
    <row r="550" spans="11:12" x14ac:dyDescent="0.4">
      <c r="K550" s="9">
        <v>548</v>
      </c>
      <c r="L550" s="72">
        <v>12.500000000000014</v>
      </c>
    </row>
    <row r="551" spans="11:12" x14ac:dyDescent="0.4">
      <c r="K551" s="9">
        <v>549</v>
      </c>
      <c r="L551" s="72">
        <v>-4.9999999999999858</v>
      </c>
    </row>
    <row r="552" spans="11:12" x14ac:dyDescent="0.4">
      <c r="K552" s="9">
        <v>550</v>
      </c>
      <c r="L552" s="72">
        <v>7.3000000000000149</v>
      </c>
    </row>
    <row r="553" spans="11:12" x14ac:dyDescent="0.4">
      <c r="K553" s="9">
        <v>551</v>
      </c>
      <c r="L553" s="72">
        <v>18.100000000000016</v>
      </c>
    </row>
    <row r="554" spans="11:12" x14ac:dyDescent="0.4">
      <c r="K554" s="9">
        <v>552</v>
      </c>
      <c r="L554" s="72">
        <v>-4.9999999999999858</v>
      </c>
    </row>
    <row r="555" spans="11:12" x14ac:dyDescent="0.4">
      <c r="K555" s="9">
        <v>553</v>
      </c>
      <c r="L555" s="72">
        <v>19.300000000000015</v>
      </c>
    </row>
    <row r="556" spans="11:12" x14ac:dyDescent="0.4">
      <c r="K556" s="9">
        <v>554</v>
      </c>
      <c r="L556" s="72">
        <v>6.4000000000000146</v>
      </c>
    </row>
    <row r="557" spans="11:12" x14ac:dyDescent="0.4">
      <c r="K557" s="9">
        <v>555</v>
      </c>
      <c r="L557" s="72">
        <v>-4.9999999999999858</v>
      </c>
    </row>
    <row r="558" spans="11:12" x14ac:dyDescent="0.4">
      <c r="K558" s="9">
        <v>556</v>
      </c>
      <c r="L558" s="72">
        <v>-17.199999999999985</v>
      </c>
    </row>
    <row r="559" spans="11:12" x14ac:dyDescent="0.4">
      <c r="K559" s="9">
        <v>557</v>
      </c>
      <c r="L559" s="72">
        <v>-12.299999999999985</v>
      </c>
    </row>
    <row r="560" spans="11:12" x14ac:dyDescent="0.4">
      <c r="K560" s="9">
        <v>558</v>
      </c>
      <c r="L560" s="72">
        <v>-4.9999999999999849</v>
      </c>
    </row>
    <row r="561" spans="11:12" x14ac:dyDescent="0.4">
      <c r="K561" s="9">
        <v>559</v>
      </c>
      <c r="L561" s="72">
        <v>-6.9999999999999849</v>
      </c>
    </row>
    <row r="562" spans="11:12" x14ac:dyDescent="0.4">
      <c r="K562" s="9">
        <v>560</v>
      </c>
      <c r="L562" s="72">
        <v>-0.39999999999998526</v>
      </c>
    </row>
    <row r="563" spans="11:12" x14ac:dyDescent="0.4">
      <c r="K563" s="9">
        <v>561</v>
      </c>
      <c r="L563" s="72">
        <v>-4.9999999999999849</v>
      </c>
    </row>
    <row r="564" spans="11:12" x14ac:dyDescent="0.4">
      <c r="K564" s="9">
        <v>562</v>
      </c>
      <c r="L564" s="72">
        <v>-45.599999999999987</v>
      </c>
    </row>
    <row r="565" spans="11:12" x14ac:dyDescent="0.4">
      <c r="K565" s="9">
        <v>563</v>
      </c>
      <c r="L565" s="72">
        <v>-81.499999999999986</v>
      </c>
    </row>
    <row r="566" spans="11:12" x14ac:dyDescent="0.4">
      <c r="K566" s="9">
        <v>564</v>
      </c>
      <c r="L566" s="72">
        <v>-4.9999999999999858</v>
      </c>
    </row>
    <row r="567" spans="11:12" x14ac:dyDescent="0.4">
      <c r="K567" s="9">
        <v>565</v>
      </c>
      <c r="L567" s="72">
        <v>16.700000000000014</v>
      </c>
    </row>
    <row r="568" spans="11:12" x14ac:dyDescent="0.4">
      <c r="K568" s="9">
        <v>566</v>
      </c>
      <c r="L568" s="72">
        <v>30.800000000000011</v>
      </c>
    </row>
    <row r="569" spans="11:12" x14ac:dyDescent="0.4">
      <c r="K569" s="9">
        <v>567</v>
      </c>
      <c r="L569" s="72">
        <v>-4.9999999999999858</v>
      </c>
    </row>
    <row r="570" spans="11:12" x14ac:dyDescent="0.4">
      <c r="K570" s="9">
        <v>568</v>
      </c>
      <c r="L570" s="72">
        <v>35.700000000000017</v>
      </c>
    </row>
    <row r="571" spans="11:12" x14ac:dyDescent="0.4">
      <c r="K571" s="9">
        <v>569</v>
      </c>
      <c r="L571" s="72">
        <v>-2.7999999999999829</v>
      </c>
    </row>
    <row r="572" spans="11:12" x14ac:dyDescent="0.4">
      <c r="K572" s="9">
        <v>570</v>
      </c>
      <c r="L572" s="72">
        <v>-4.9999999999999831</v>
      </c>
    </row>
    <row r="573" spans="11:12" x14ac:dyDescent="0.4">
      <c r="K573" s="9">
        <v>571</v>
      </c>
      <c r="L573" s="72">
        <v>3.0000000000000169</v>
      </c>
    </row>
    <row r="574" spans="11:12" x14ac:dyDescent="0.4">
      <c r="K574" s="9">
        <v>572</v>
      </c>
      <c r="L574" s="72">
        <v>11.900000000000016</v>
      </c>
    </row>
    <row r="575" spans="11:12" x14ac:dyDescent="0.4">
      <c r="K575" s="9">
        <v>573</v>
      </c>
      <c r="L575" s="72">
        <v>-4.9999999999999822</v>
      </c>
    </row>
    <row r="576" spans="11:12" x14ac:dyDescent="0.4">
      <c r="K576" s="9">
        <v>574</v>
      </c>
      <c r="L576" s="72">
        <v>2.7000000000000179</v>
      </c>
    </row>
    <row r="577" spans="11:12" x14ac:dyDescent="0.4">
      <c r="K577" s="9">
        <v>575</v>
      </c>
      <c r="L577" s="72">
        <v>32.40000000000002</v>
      </c>
    </row>
    <row r="578" spans="11:12" x14ac:dyDescent="0.4">
      <c r="K578" s="9">
        <v>576</v>
      </c>
      <c r="L578" s="72">
        <v>-4.9999999999999787</v>
      </c>
    </row>
    <row r="579" spans="11:12" x14ac:dyDescent="0.4">
      <c r="K579" s="9">
        <v>577</v>
      </c>
      <c r="L579" s="72">
        <v>-73.999999999999972</v>
      </c>
    </row>
    <row r="580" spans="11:12" x14ac:dyDescent="0.4">
      <c r="K580" s="9">
        <v>578</v>
      </c>
      <c r="L580" s="72">
        <v>-94.699999999999974</v>
      </c>
    </row>
    <row r="581" spans="11:12" x14ac:dyDescent="0.4">
      <c r="K581" s="9">
        <v>579</v>
      </c>
      <c r="L581" s="72">
        <v>-4.9999999999999716</v>
      </c>
    </row>
    <row r="582" spans="11:12" x14ac:dyDescent="0.4">
      <c r="K582" s="9">
        <v>580</v>
      </c>
      <c r="L582" s="72">
        <v>-7.9999999999999716</v>
      </c>
    </row>
    <row r="583" spans="11:12" x14ac:dyDescent="0.4">
      <c r="K583" s="9">
        <v>581</v>
      </c>
      <c r="L583" s="72">
        <v>-36.199999999999974</v>
      </c>
    </row>
    <row r="584" spans="11:12" x14ac:dyDescent="0.4">
      <c r="K584" s="9">
        <v>582</v>
      </c>
      <c r="L584" s="72">
        <v>-4.9999999999999751</v>
      </c>
    </row>
    <row r="585" spans="11:12" x14ac:dyDescent="0.4">
      <c r="K585" s="9">
        <v>583</v>
      </c>
      <c r="L585" s="72">
        <v>-7.5999999999999748</v>
      </c>
    </row>
    <row r="586" spans="11:12" x14ac:dyDescent="0.4">
      <c r="K586" s="9">
        <v>584</v>
      </c>
      <c r="L586" s="72">
        <v>-45.199999999999974</v>
      </c>
    </row>
    <row r="587" spans="11:12" x14ac:dyDescent="0.4">
      <c r="K587" s="9">
        <v>585</v>
      </c>
      <c r="L587" s="72">
        <v>-4.9999999999999716</v>
      </c>
    </row>
    <row r="588" spans="11:12" x14ac:dyDescent="0.4">
      <c r="K588" s="9">
        <v>586</v>
      </c>
      <c r="L588" s="72">
        <v>54.000000000000028</v>
      </c>
    </row>
    <row r="589" spans="11:12" x14ac:dyDescent="0.4">
      <c r="K589" s="9">
        <v>587</v>
      </c>
      <c r="L589" s="72">
        <v>16.000000000000028</v>
      </c>
    </row>
    <row r="590" spans="11:12" x14ac:dyDescent="0.4">
      <c r="K590" s="9">
        <v>588</v>
      </c>
      <c r="L590" s="72">
        <v>-4.9999999999999716</v>
      </c>
    </row>
    <row r="591" spans="11:12" x14ac:dyDescent="0.4">
      <c r="K591" s="9">
        <v>589</v>
      </c>
      <c r="L591" s="72">
        <v>-4.9999999999999716</v>
      </c>
    </row>
    <row r="592" spans="11:12" x14ac:dyDescent="0.4">
      <c r="K592" s="9">
        <v>590</v>
      </c>
      <c r="L592" s="72">
        <v>31.000000000000028</v>
      </c>
    </row>
    <row r="593" spans="11:12" x14ac:dyDescent="0.4">
      <c r="K593" s="9">
        <v>591</v>
      </c>
      <c r="L593" s="72">
        <v>-4.9999999999999716</v>
      </c>
    </row>
    <row r="594" spans="11:12" x14ac:dyDescent="0.4">
      <c r="K594" s="9">
        <v>592</v>
      </c>
      <c r="L594" s="72">
        <v>-25.499999999999972</v>
      </c>
    </row>
    <row r="595" spans="11:12" x14ac:dyDescent="0.4">
      <c r="K595" s="9">
        <v>593</v>
      </c>
      <c r="L595" s="72">
        <v>4.400000000000027</v>
      </c>
    </row>
    <row r="596" spans="11:12" x14ac:dyDescent="0.4">
      <c r="K596" s="9">
        <v>594</v>
      </c>
      <c r="L596" s="72">
        <v>-4.9999999999999734</v>
      </c>
    </row>
    <row r="597" spans="11:12" x14ac:dyDescent="0.4">
      <c r="K597" s="9">
        <v>595</v>
      </c>
      <c r="L597" s="72">
        <v>9.5000000000000266</v>
      </c>
    </row>
    <row r="598" spans="11:12" x14ac:dyDescent="0.4">
      <c r="K598" s="9">
        <v>596</v>
      </c>
      <c r="L598" s="72">
        <v>18.400000000000027</v>
      </c>
    </row>
    <row r="599" spans="11:12" x14ac:dyDescent="0.4">
      <c r="K599" s="9">
        <v>597</v>
      </c>
      <c r="L599" s="72">
        <v>-4.9999999999999716</v>
      </c>
    </row>
    <row r="600" spans="11:12" x14ac:dyDescent="0.4">
      <c r="K600" s="9">
        <v>598</v>
      </c>
      <c r="L600" s="72">
        <v>10.900000000000029</v>
      </c>
    </row>
    <row r="601" spans="11:12" x14ac:dyDescent="0.4">
      <c r="K601" s="9">
        <v>599</v>
      </c>
      <c r="L601" s="72">
        <v>34.400000000000027</v>
      </c>
    </row>
    <row r="602" spans="11:12" x14ac:dyDescent="0.4">
      <c r="K602" s="9">
        <v>600</v>
      </c>
      <c r="L602" s="72">
        <v>-4.9999999999999716</v>
      </c>
    </row>
    <row r="603" spans="11:12" x14ac:dyDescent="0.4">
      <c r="K603" s="9">
        <v>601</v>
      </c>
      <c r="L603" s="72">
        <v>-8.3999999999999719</v>
      </c>
    </row>
    <row r="604" spans="11:12" x14ac:dyDescent="0.4">
      <c r="K604" s="9">
        <v>602</v>
      </c>
      <c r="L604" s="72">
        <v>-22.89999999999997</v>
      </c>
    </row>
    <row r="605" spans="11:12" x14ac:dyDescent="0.4">
      <c r="K605" s="9">
        <v>603</v>
      </c>
      <c r="L605" s="72">
        <v>-4.9999999999999716</v>
      </c>
    </row>
    <row r="606" spans="11:12" x14ac:dyDescent="0.4">
      <c r="K606" s="9">
        <v>604</v>
      </c>
      <c r="L606" s="72">
        <v>-0.59999999999997122</v>
      </c>
    </row>
    <row r="607" spans="11:12" x14ac:dyDescent="0.4">
      <c r="K607" s="9">
        <v>605</v>
      </c>
      <c r="L607" s="72">
        <v>-6.399999999999971</v>
      </c>
    </row>
    <row r="608" spans="11:12" x14ac:dyDescent="0.4">
      <c r="K608" s="9">
        <v>606</v>
      </c>
      <c r="L608" s="72">
        <v>-4.9999999999999716</v>
      </c>
    </row>
    <row r="609" spans="11:12" x14ac:dyDescent="0.4">
      <c r="K609" s="9">
        <v>607</v>
      </c>
      <c r="L609" s="72">
        <v>34.500000000000028</v>
      </c>
    </row>
    <row r="610" spans="11:12" x14ac:dyDescent="0.4">
      <c r="K610" s="9">
        <v>608</v>
      </c>
      <c r="L610" s="72">
        <v>-2.1999999999999744</v>
      </c>
    </row>
    <row r="611" spans="11:12" x14ac:dyDescent="0.4">
      <c r="K611" s="9">
        <v>609</v>
      </c>
      <c r="L611" s="72">
        <v>-4.9999999999999742</v>
      </c>
    </row>
    <row r="612" spans="11:12" x14ac:dyDescent="0.4">
      <c r="K612" s="9">
        <v>610</v>
      </c>
      <c r="L612" s="72">
        <v>56.000000000000028</v>
      </c>
    </row>
    <row r="613" spans="11:12" x14ac:dyDescent="0.4">
      <c r="K613" s="9">
        <v>611</v>
      </c>
      <c r="L613" s="72">
        <v>8.5000000000000284</v>
      </c>
    </row>
    <row r="614" spans="11:12" x14ac:dyDescent="0.4">
      <c r="K614" s="9">
        <v>612</v>
      </c>
      <c r="L614" s="72">
        <v>-4.9999999999999716</v>
      </c>
    </row>
    <row r="615" spans="11:12" x14ac:dyDescent="0.4">
      <c r="K615" s="9">
        <v>613</v>
      </c>
      <c r="L615" s="72">
        <v>6.7000000000000277</v>
      </c>
    </row>
    <row r="616" spans="11:12" x14ac:dyDescent="0.4">
      <c r="K616" s="9">
        <v>614</v>
      </c>
      <c r="L616" s="72">
        <v>-16.799999999999972</v>
      </c>
    </row>
    <row r="617" spans="11:12" x14ac:dyDescent="0.4">
      <c r="K617" s="9">
        <v>615</v>
      </c>
      <c r="L617" s="72">
        <v>-4.9999999999999716</v>
      </c>
    </row>
    <row r="618" spans="11:12" x14ac:dyDescent="0.4">
      <c r="K618" s="9">
        <v>616</v>
      </c>
      <c r="L618" s="72">
        <v>11.10000000000003</v>
      </c>
    </row>
    <row r="619" spans="11:12" x14ac:dyDescent="0.4">
      <c r="K619" s="9">
        <v>617</v>
      </c>
      <c r="L619" s="72">
        <v>10.10000000000003</v>
      </c>
    </row>
    <row r="620" spans="11:12" x14ac:dyDescent="0.4">
      <c r="K620" s="9">
        <v>618</v>
      </c>
      <c r="L620" s="72">
        <v>-4.9999999999999698</v>
      </c>
    </row>
    <row r="621" spans="11:12" x14ac:dyDescent="0.4">
      <c r="K621" s="9">
        <v>619</v>
      </c>
      <c r="L621" s="72">
        <v>52.500000000000028</v>
      </c>
    </row>
    <row r="622" spans="11:12" x14ac:dyDescent="0.4">
      <c r="K622" s="9">
        <v>620</v>
      </c>
      <c r="L622" s="72">
        <v>6.7000000000000313</v>
      </c>
    </row>
    <row r="623" spans="11:12" x14ac:dyDescent="0.4">
      <c r="K623" s="9">
        <v>621</v>
      </c>
      <c r="L623" s="72">
        <v>-4.999999999999968</v>
      </c>
    </row>
    <row r="624" spans="11:12" x14ac:dyDescent="0.4">
      <c r="K624" s="9">
        <v>622</v>
      </c>
      <c r="L624" s="72">
        <v>-17.499999999999968</v>
      </c>
    </row>
    <row r="625" spans="11:12" x14ac:dyDescent="0.4">
      <c r="K625" s="9">
        <v>623</v>
      </c>
      <c r="L625" s="72">
        <v>-61.399999999999963</v>
      </c>
    </row>
    <row r="626" spans="11:12" x14ac:dyDescent="0.4">
      <c r="K626" s="9">
        <v>624</v>
      </c>
      <c r="L626" s="72">
        <v>-4.9999999999999645</v>
      </c>
    </row>
    <row r="627" spans="11:12" x14ac:dyDescent="0.4">
      <c r="K627" s="9">
        <v>625</v>
      </c>
      <c r="L627" s="72">
        <v>-46.999999999999964</v>
      </c>
    </row>
    <row r="628" spans="11:12" x14ac:dyDescent="0.4">
      <c r="K628" s="9">
        <v>626</v>
      </c>
      <c r="L628" s="72">
        <v>-49.999999999999964</v>
      </c>
    </row>
    <row r="629" spans="11:12" x14ac:dyDescent="0.4">
      <c r="K629" s="9">
        <v>627</v>
      </c>
      <c r="L629" s="72">
        <v>-4.9999999999999645</v>
      </c>
    </row>
    <row r="630" spans="11:12" x14ac:dyDescent="0.4">
      <c r="K630" s="9">
        <v>628</v>
      </c>
      <c r="L630" s="72">
        <v>5.7000000000000348</v>
      </c>
    </row>
    <row r="631" spans="11:12" x14ac:dyDescent="0.4">
      <c r="K631" s="9">
        <v>629</v>
      </c>
      <c r="L631" s="72">
        <v>1.7000000000000348</v>
      </c>
    </row>
    <row r="632" spans="11:12" x14ac:dyDescent="0.4">
      <c r="K632" s="9">
        <v>630</v>
      </c>
      <c r="L632" s="72">
        <v>-4.9999999999999654</v>
      </c>
    </row>
    <row r="633" spans="11:12" x14ac:dyDescent="0.4">
      <c r="K633" s="9">
        <v>631</v>
      </c>
      <c r="L633" s="72">
        <v>26.100000000000037</v>
      </c>
    </row>
    <row r="634" spans="11:12" x14ac:dyDescent="0.4">
      <c r="K634" s="9">
        <v>632</v>
      </c>
      <c r="L634" s="72">
        <v>-4.2999999999999616</v>
      </c>
    </row>
    <row r="635" spans="11:12" x14ac:dyDescent="0.4">
      <c r="K635" s="9">
        <v>633</v>
      </c>
      <c r="L635" s="72">
        <v>-4.9999999999999618</v>
      </c>
    </row>
    <row r="636" spans="11:12" x14ac:dyDescent="0.4">
      <c r="K636" s="9">
        <v>634</v>
      </c>
      <c r="L636" s="72">
        <v>5.2000000000000375</v>
      </c>
    </row>
    <row r="637" spans="11:12" x14ac:dyDescent="0.4">
      <c r="K637" s="9">
        <v>635</v>
      </c>
      <c r="L637" s="72">
        <v>-15.099999999999962</v>
      </c>
    </row>
    <row r="638" spans="11:12" x14ac:dyDescent="0.4">
      <c r="K638" s="9">
        <v>636</v>
      </c>
      <c r="L638" s="72">
        <v>-4.9999999999999627</v>
      </c>
    </row>
    <row r="639" spans="11:12" x14ac:dyDescent="0.4">
      <c r="K639" s="9">
        <v>637</v>
      </c>
      <c r="L639" s="72">
        <v>3.300000000000038</v>
      </c>
    </row>
    <row r="640" spans="11:12" x14ac:dyDescent="0.4">
      <c r="K640" s="9">
        <v>638</v>
      </c>
      <c r="L640" s="72">
        <v>30.80000000000004</v>
      </c>
    </row>
    <row r="641" spans="11:12" x14ac:dyDescent="0.4">
      <c r="K641" s="9">
        <v>639</v>
      </c>
      <c r="L641" s="72">
        <v>-4.9999999999999574</v>
      </c>
    </row>
    <row r="642" spans="11:12" x14ac:dyDescent="0.4">
      <c r="K642" s="9">
        <v>640</v>
      </c>
      <c r="L642" s="72">
        <v>-6.8999999999999577</v>
      </c>
    </row>
    <row r="643" spans="11:12" x14ac:dyDescent="0.4">
      <c r="K643" s="9">
        <v>641</v>
      </c>
      <c r="L643" s="72">
        <v>-1.1999999999999575</v>
      </c>
    </row>
    <row r="644" spans="11:12" x14ac:dyDescent="0.4">
      <c r="K644" s="9">
        <v>642</v>
      </c>
      <c r="L644" s="72">
        <v>-4.9999999999999574</v>
      </c>
    </row>
    <row r="645" spans="11:12" x14ac:dyDescent="0.4">
      <c r="K645" s="9">
        <v>643</v>
      </c>
      <c r="L645" s="72">
        <v>-4.4999999999999574</v>
      </c>
    </row>
    <row r="646" spans="11:12" x14ac:dyDescent="0.4">
      <c r="K646" s="9">
        <v>644</v>
      </c>
      <c r="L646" s="72">
        <v>8.7000000000000419</v>
      </c>
    </row>
    <row r="647" spans="11:12" x14ac:dyDescent="0.4">
      <c r="K647" s="9">
        <v>645</v>
      </c>
      <c r="L647" s="72">
        <v>-4.9999999999999574</v>
      </c>
    </row>
    <row r="648" spans="11:12" x14ac:dyDescent="0.4">
      <c r="K648" s="9">
        <v>646</v>
      </c>
      <c r="L648" s="72">
        <v>43.000000000000043</v>
      </c>
    </row>
    <row r="649" spans="11:12" x14ac:dyDescent="0.4">
      <c r="K649" s="9">
        <v>647</v>
      </c>
      <c r="L649" s="72">
        <v>36.000000000000043</v>
      </c>
    </row>
    <row r="650" spans="11:12" x14ac:dyDescent="0.4">
      <c r="K650" s="9">
        <v>648</v>
      </c>
      <c r="L650" s="72">
        <v>-4.9999999999999574</v>
      </c>
    </row>
    <row r="651" spans="11:12" x14ac:dyDescent="0.4">
      <c r="K651" s="9">
        <v>649</v>
      </c>
      <c r="L651" s="72">
        <v>17.800000000000043</v>
      </c>
    </row>
    <row r="652" spans="11:12" x14ac:dyDescent="0.4">
      <c r="K652" s="9">
        <v>650</v>
      </c>
      <c r="L652" s="72">
        <v>38.100000000000044</v>
      </c>
    </row>
    <row r="653" spans="11:12" x14ac:dyDescent="0.4">
      <c r="K653" s="9">
        <v>651</v>
      </c>
      <c r="L653" s="72">
        <v>-4.9999999999999574</v>
      </c>
    </row>
    <row r="654" spans="11:12" x14ac:dyDescent="0.4">
      <c r="K654" s="9">
        <v>652</v>
      </c>
      <c r="L654" s="72">
        <v>1.0000000000000426</v>
      </c>
    </row>
    <row r="655" spans="11:12" x14ac:dyDescent="0.4">
      <c r="K655" s="9">
        <v>653</v>
      </c>
      <c r="L655" s="72">
        <v>-4.9999999999999574</v>
      </c>
    </row>
    <row r="656" spans="11:12" x14ac:dyDescent="0.4">
      <c r="K656" s="9">
        <v>654</v>
      </c>
      <c r="L656" s="72">
        <v>-4.9999999999999574</v>
      </c>
    </row>
    <row r="657" spans="11:12" x14ac:dyDescent="0.4">
      <c r="K657" s="9">
        <v>655</v>
      </c>
      <c r="L657" s="72">
        <v>-21.999999999999957</v>
      </c>
    </row>
    <row r="658" spans="11:12" x14ac:dyDescent="0.4">
      <c r="K658" s="9">
        <v>656</v>
      </c>
      <c r="L658" s="72">
        <v>-1.2999999999999581</v>
      </c>
    </row>
    <row r="659" spans="11:12" x14ac:dyDescent="0.4">
      <c r="K659" s="9">
        <v>657</v>
      </c>
      <c r="L659" s="72">
        <v>-4.9999999999999583</v>
      </c>
    </row>
    <row r="660" spans="11:12" x14ac:dyDescent="0.4">
      <c r="K660" s="9">
        <v>658</v>
      </c>
      <c r="L660" s="72">
        <v>-31.199999999999957</v>
      </c>
    </row>
    <row r="661" spans="11:12" x14ac:dyDescent="0.4">
      <c r="K661" s="9">
        <v>659</v>
      </c>
      <c r="L661" s="72">
        <v>31.500000000000046</v>
      </c>
    </row>
    <row r="662" spans="11:12" x14ac:dyDescent="0.4">
      <c r="K662" s="9">
        <v>660</v>
      </c>
      <c r="L662" s="72">
        <v>-4.9999999999999538</v>
      </c>
    </row>
    <row r="663" spans="11:12" x14ac:dyDescent="0.4">
      <c r="K663" s="9">
        <v>661</v>
      </c>
      <c r="L663" s="72">
        <v>-23.899999999999952</v>
      </c>
    </row>
    <row r="664" spans="11:12" x14ac:dyDescent="0.4">
      <c r="K664" s="9">
        <v>662</v>
      </c>
      <c r="L664" s="72">
        <v>-17.299999999999955</v>
      </c>
    </row>
    <row r="665" spans="11:12" x14ac:dyDescent="0.4">
      <c r="K665" s="9">
        <v>663</v>
      </c>
      <c r="L665" s="72">
        <v>-4.9999999999999538</v>
      </c>
    </row>
    <row r="666" spans="11:12" x14ac:dyDescent="0.4">
      <c r="K666" s="9">
        <v>664</v>
      </c>
      <c r="L666" s="72">
        <v>31.000000000000046</v>
      </c>
    </row>
    <row r="667" spans="11:12" x14ac:dyDescent="0.4">
      <c r="K667" s="9">
        <v>665</v>
      </c>
      <c r="L667" s="72">
        <v>10.500000000000046</v>
      </c>
    </row>
    <row r="668" spans="11:12" x14ac:dyDescent="0.4">
      <c r="K668" s="9">
        <v>666</v>
      </c>
      <c r="L668" s="72">
        <v>-4.9999999999999538</v>
      </c>
    </row>
    <row r="669" spans="11:12" x14ac:dyDescent="0.4">
      <c r="K669" s="9">
        <v>667</v>
      </c>
      <c r="L669" s="72">
        <v>31.700000000000049</v>
      </c>
    </row>
    <row r="670" spans="11:12" x14ac:dyDescent="0.4">
      <c r="K670" s="9">
        <v>668</v>
      </c>
      <c r="L670" s="72">
        <v>-5.299999999999951</v>
      </c>
    </row>
    <row r="671" spans="11:12" x14ac:dyDescent="0.4">
      <c r="K671" s="9">
        <v>669</v>
      </c>
      <c r="L671" s="72">
        <v>-4.9999999999999512</v>
      </c>
    </row>
    <row r="672" spans="11:12" x14ac:dyDescent="0.4">
      <c r="K672" s="9">
        <v>670</v>
      </c>
      <c r="L672" s="72">
        <v>7.4000000000000492</v>
      </c>
    </row>
    <row r="673" spans="11:12" x14ac:dyDescent="0.4">
      <c r="K673" s="9">
        <v>671</v>
      </c>
      <c r="L673" s="72">
        <v>-9.1999999999999531</v>
      </c>
    </row>
    <row r="674" spans="11:12" x14ac:dyDescent="0.4">
      <c r="K674" s="9">
        <v>672</v>
      </c>
      <c r="L674" s="72">
        <v>-4.9999999999999529</v>
      </c>
    </row>
    <row r="675" spans="11:12" x14ac:dyDescent="0.4">
      <c r="K675" s="9">
        <v>673</v>
      </c>
      <c r="L675" s="72">
        <v>9.0000000000000462</v>
      </c>
    </row>
    <row r="676" spans="11:12" x14ac:dyDescent="0.4">
      <c r="K676" s="9">
        <v>674</v>
      </c>
      <c r="L676" s="72">
        <v>36.400000000000048</v>
      </c>
    </row>
    <row r="677" spans="11:12" x14ac:dyDescent="0.4">
      <c r="K677" s="9">
        <v>675</v>
      </c>
      <c r="L677" s="72">
        <v>-4.9999999999999503</v>
      </c>
    </row>
    <row r="678" spans="11:12" x14ac:dyDescent="0.4">
      <c r="K678" s="9">
        <v>676</v>
      </c>
      <c r="L678" s="72">
        <v>1.8000000000000496</v>
      </c>
    </row>
    <row r="679" spans="11:12" x14ac:dyDescent="0.4">
      <c r="K679" s="9">
        <v>677</v>
      </c>
      <c r="L679" s="72">
        <v>29.50000000000005</v>
      </c>
    </row>
    <row r="680" spans="11:12" x14ac:dyDescent="0.4">
      <c r="K680" s="9">
        <v>678</v>
      </c>
      <c r="L680" s="72">
        <v>-4.9999999999999503</v>
      </c>
    </row>
    <row r="681" spans="11:12" x14ac:dyDescent="0.4">
      <c r="K681" s="9">
        <v>679</v>
      </c>
      <c r="L681" s="72">
        <v>-12.59999999999995</v>
      </c>
    </row>
    <row r="682" spans="11:12" x14ac:dyDescent="0.4">
      <c r="K682" s="9">
        <v>680</v>
      </c>
      <c r="L682" s="72">
        <v>-14.59999999999995</v>
      </c>
    </row>
    <row r="683" spans="11:12" x14ac:dyDescent="0.4">
      <c r="K683" s="9">
        <v>681</v>
      </c>
      <c r="L683" s="72">
        <v>-4.9999999999999503</v>
      </c>
    </row>
    <row r="684" spans="11:12" x14ac:dyDescent="0.4">
      <c r="K684" s="9">
        <v>682</v>
      </c>
      <c r="L684" s="72">
        <v>21.200000000000049</v>
      </c>
    </row>
    <row r="685" spans="11:12" x14ac:dyDescent="0.4">
      <c r="K685" s="9">
        <v>683</v>
      </c>
      <c r="L685" s="72">
        <v>-7.1999999999999496</v>
      </c>
    </row>
    <row r="686" spans="11:12" x14ac:dyDescent="0.4">
      <c r="K686" s="9">
        <v>684</v>
      </c>
      <c r="L686" s="72">
        <v>-4.9999999999999494</v>
      </c>
    </row>
    <row r="687" spans="11:12" x14ac:dyDescent="0.4">
      <c r="K687" s="9">
        <v>685</v>
      </c>
      <c r="L687" s="72">
        <v>8.700000000000049</v>
      </c>
    </row>
    <row r="688" spans="11:12" x14ac:dyDescent="0.4">
      <c r="K688" s="9">
        <v>686</v>
      </c>
      <c r="L688" s="72">
        <v>-5.0999999999999517</v>
      </c>
    </row>
    <row r="689" spans="11:12" x14ac:dyDescent="0.4">
      <c r="K689" s="9">
        <v>687</v>
      </c>
      <c r="L689" s="72">
        <v>-4.999999999999952</v>
      </c>
    </row>
    <row r="690" spans="11:12" x14ac:dyDescent="0.4">
      <c r="K690" s="9">
        <v>688</v>
      </c>
      <c r="L690" s="72">
        <v>-4.6999999999999522</v>
      </c>
    </row>
    <row r="691" spans="11:12" x14ac:dyDescent="0.4">
      <c r="K691" s="9">
        <v>689</v>
      </c>
      <c r="L691" s="72">
        <v>-21.599999999999952</v>
      </c>
    </row>
    <row r="692" spans="11:12" x14ac:dyDescent="0.4">
      <c r="K692" s="9">
        <v>690</v>
      </c>
      <c r="L692" s="72">
        <v>-4.9999999999999503</v>
      </c>
    </row>
    <row r="693" spans="11:12" x14ac:dyDescent="0.4">
      <c r="K693" s="9">
        <v>691</v>
      </c>
      <c r="L693" s="72">
        <v>-10.399999999999951</v>
      </c>
    </row>
    <row r="694" spans="11:12" x14ac:dyDescent="0.4">
      <c r="K694" s="9">
        <v>692</v>
      </c>
      <c r="L694" s="72">
        <v>-35.799999999999947</v>
      </c>
    </row>
    <row r="695" spans="11:12" x14ac:dyDescent="0.4">
      <c r="K695" s="9">
        <v>693</v>
      </c>
      <c r="L695" s="72">
        <v>-4.9999999999999467</v>
      </c>
    </row>
    <row r="696" spans="11:12" x14ac:dyDescent="0.4">
      <c r="K696" s="9">
        <v>694</v>
      </c>
      <c r="L696" s="72">
        <v>-48.199999999999946</v>
      </c>
    </row>
    <row r="697" spans="11:12" x14ac:dyDescent="0.4">
      <c r="K697" s="9">
        <v>695</v>
      </c>
      <c r="L697" s="72">
        <v>-68.699999999999946</v>
      </c>
    </row>
    <row r="698" spans="11:12" x14ac:dyDescent="0.4">
      <c r="K698" s="9">
        <v>696</v>
      </c>
      <c r="L698" s="72">
        <v>-4.9999999999999432</v>
      </c>
    </row>
    <row r="699" spans="11:12" x14ac:dyDescent="0.4">
      <c r="K699" s="9">
        <v>697</v>
      </c>
      <c r="L699" s="72">
        <v>13.200000000000056</v>
      </c>
    </row>
    <row r="700" spans="11:12" x14ac:dyDescent="0.4">
      <c r="K700" s="9">
        <v>698</v>
      </c>
      <c r="L700" s="72">
        <v>-17.499999999999943</v>
      </c>
    </row>
    <row r="701" spans="11:12" x14ac:dyDescent="0.4">
      <c r="K701" s="9">
        <v>699</v>
      </c>
      <c r="L701" s="72">
        <v>-4.9999999999999432</v>
      </c>
    </row>
    <row r="702" spans="11:12" x14ac:dyDescent="0.4">
      <c r="K702" s="9">
        <v>700</v>
      </c>
      <c r="L702" s="72">
        <v>17.800000000000058</v>
      </c>
    </row>
    <row r="703" spans="11:12" x14ac:dyDescent="0.4">
      <c r="K703" s="9">
        <v>701</v>
      </c>
      <c r="L703" s="72">
        <v>-22.199999999999942</v>
      </c>
    </row>
    <row r="704" spans="11:12" x14ac:dyDescent="0.4">
      <c r="K704" s="9">
        <v>702</v>
      </c>
      <c r="L704" s="72">
        <v>-4.9999999999999432</v>
      </c>
    </row>
    <row r="705" spans="11:12" x14ac:dyDescent="0.4">
      <c r="K705" s="9">
        <v>703</v>
      </c>
      <c r="L705" s="72">
        <v>3.1000000000000565</v>
      </c>
    </row>
    <row r="706" spans="11:12" x14ac:dyDescent="0.4">
      <c r="K706" s="9">
        <v>704</v>
      </c>
      <c r="L706" s="72">
        <v>25.600000000000058</v>
      </c>
    </row>
    <row r="707" spans="11:12" x14ac:dyDescent="0.4">
      <c r="K707" s="9">
        <v>705</v>
      </c>
      <c r="L707" s="72">
        <v>-4.9999999999999432</v>
      </c>
    </row>
    <row r="708" spans="11:12" x14ac:dyDescent="0.4">
      <c r="K708" s="9">
        <v>706</v>
      </c>
      <c r="L708" s="72">
        <v>5.6843418860808015E-14</v>
      </c>
    </row>
    <row r="709" spans="11:12" x14ac:dyDescent="0.4">
      <c r="K709" s="9">
        <v>707</v>
      </c>
      <c r="L709" s="72">
        <v>-28.799999999999944</v>
      </c>
    </row>
    <row r="710" spans="11:12" x14ac:dyDescent="0.4">
      <c r="K710" s="9">
        <v>708</v>
      </c>
      <c r="L710" s="72">
        <v>-4.9999999999999432</v>
      </c>
    </row>
    <row r="711" spans="11:12" x14ac:dyDescent="0.4">
      <c r="K711" s="9">
        <v>709</v>
      </c>
      <c r="L711" s="72">
        <v>-43.999999999999943</v>
      </c>
    </row>
    <row r="712" spans="11:12" x14ac:dyDescent="0.4">
      <c r="K712" s="9">
        <v>710</v>
      </c>
      <c r="L712" s="72">
        <v>-28.499999999999943</v>
      </c>
    </row>
    <row r="713" spans="11:12" x14ac:dyDescent="0.4">
      <c r="K713" s="9">
        <v>711</v>
      </c>
      <c r="L713" s="72">
        <v>-4.9999999999999432</v>
      </c>
    </row>
    <row r="714" spans="11:12" x14ac:dyDescent="0.4">
      <c r="K714" s="9">
        <v>712</v>
      </c>
      <c r="L714" s="72">
        <v>2.5000000000000568</v>
      </c>
    </row>
    <row r="715" spans="11:12" x14ac:dyDescent="0.4">
      <c r="K715" s="9">
        <v>713</v>
      </c>
      <c r="L715" s="72">
        <v>45.500000000000057</v>
      </c>
    </row>
    <row r="716" spans="11:12" x14ac:dyDescent="0.4">
      <c r="K716" s="9">
        <v>714</v>
      </c>
      <c r="L716" s="72">
        <v>-4.9999999999999432</v>
      </c>
    </row>
    <row r="717" spans="11:12" x14ac:dyDescent="0.4">
      <c r="K717" s="9">
        <v>715</v>
      </c>
      <c r="L717" s="72">
        <v>12.800000000000058</v>
      </c>
    </row>
    <row r="718" spans="11:12" x14ac:dyDescent="0.4">
      <c r="K718" s="9">
        <v>716</v>
      </c>
      <c r="L718" s="72">
        <v>-6.7999999999999439</v>
      </c>
    </row>
    <row r="719" spans="11:12" x14ac:dyDescent="0.4">
      <c r="K719" s="9">
        <v>717</v>
      </c>
      <c r="L719" s="72">
        <v>-4.999999999999944</v>
      </c>
    </row>
    <row r="720" spans="11:12" x14ac:dyDescent="0.4">
      <c r="K720" s="9">
        <v>718</v>
      </c>
      <c r="L720" s="72">
        <v>3.2000000000000552</v>
      </c>
    </row>
    <row r="721" spans="11:12" x14ac:dyDescent="0.4">
      <c r="K721" s="9">
        <v>719</v>
      </c>
      <c r="L721" s="72">
        <v>-18.599999999999945</v>
      </c>
    </row>
    <row r="722" spans="11:12" x14ac:dyDescent="0.4">
      <c r="K722" s="9">
        <v>720</v>
      </c>
      <c r="L722" s="72">
        <v>-4.9999999999999449</v>
      </c>
    </row>
    <row r="723" spans="11:12" x14ac:dyDescent="0.4">
      <c r="K723" s="9">
        <v>721</v>
      </c>
      <c r="L723" s="72">
        <v>8.0000000000000551</v>
      </c>
    </row>
    <row r="724" spans="11:12" x14ac:dyDescent="0.4">
      <c r="K724" s="9">
        <v>722</v>
      </c>
      <c r="L724" s="72">
        <v>10.100000000000055</v>
      </c>
    </row>
    <row r="725" spans="11:12" x14ac:dyDescent="0.4">
      <c r="K725" s="9">
        <v>723</v>
      </c>
      <c r="L725" s="72">
        <v>-4.9999999999999449</v>
      </c>
    </row>
    <row r="726" spans="11:12" x14ac:dyDescent="0.4">
      <c r="K726" s="9">
        <v>724</v>
      </c>
      <c r="L726" s="72">
        <v>-44.099999999999945</v>
      </c>
    </row>
    <row r="727" spans="11:12" x14ac:dyDescent="0.4">
      <c r="K727" s="9">
        <v>725</v>
      </c>
      <c r="L727" s="72">
        <v>-56.29999999999994</v>
      </c>
    </row>
    <row r="728" spans="11:12" x14ac:dyDescent="0.4">
      <c r="K728" s="9">
        <v>726</v>
      </c>
      <c r="L728" s="72">
        <v>-4.9999999999999432</v>
      </c>
    </row>
    <row r="729" spans="11:12" x14ac:dyDescent="0.4">
      <c r="K729" s="9">
        <v>727</v>
      </c>
      <c r="L729" s="72">
        <v>31.900000000000055</v>
      </c>
    </row>
    <row r="730" spans="11:12" x14ac:dyDescent="0.4">
      <c r="K730" s="9">
        <v>728</v>
      </c>
      <c r="L730" s="72">
        <v>20.100000000000055</v>
      </c>
    </row>
    <row r="731" spans="11:12" x14ac:dyDescent="0.4">
      <c r="K731" s="9">
        <v>729</v>
      </c>
      <c r="L731" s="72">
        <v>-4.9999999999999467</v>
      </c>
    </row>
    <row r="732" spans="11:12" x14ac:dyDescent="0.4">
      <c r="K732" s="9">
        <v>730</v>
      </c>
      <c r="L732" s="72">
        <v>6.0000000000000533</v>
      </c>
    </row>
    <row r="733" spans="11:12" x14ac:dyDescent="0.4">
      <c r="K733" s="9">
        <v>731</v>
      </c>
      <c r="L733" s="72">
        <v>-5.4999999999999467</v>
      </c>
    </row>
    <row r="734" spans="11:12" x14ac:dyDescent="0.4">
      <c r="K734" s="9">
        <v>732</v>
      </c>
      <c r="L734" s="72">
        <v>-4.9999999999999467</v>
      </c>
    </row>
    <row r="735" spans="11:12" x14ac:dyDescent="0.4">
      <c r="K735" s="9">
        <v>733</v>
      </c>
      <c r="L735" s="72">
        <v>-41.999999999999943</v>
      </c>
    </row>
    <row r="736" spans="11:12" x14ac:dyDescent="0.4">
      <c r="K736" s="9">
        <v>734</v>
      </c>
      <c r="L736" s="72">
        <v>-37.999999999999943</v>
      </c>
    </row>
    <row r="737" spans="11:12" x14ac:dyDescent="0.4">
      <c r="K737" s="9">
        <v>735</v>
      </c>
      <c r="L737" s="72">
        <v>-4.9999999999999432</v>
      </c>
    </row>
    <row r="738" spans="11:12" x14ac:dyDescent="0.4">
      <c r="K738" s="9">
        <v>736</v>
      </c>
      <c r="L738" s="72">
        <v>5.3000000000000576</v>
      </c>
    </row>
    <row r="739" spans="11:12" x14ac:dyDescent="0.4">
      <c r="K739" s="9">
        <v>737</v>
      </c>
      <c r="L739" s="72">
        <v>5.0000000000000577</v>
      </c>
    </row>
    <row r="740" spans="11:12" x14ac:dyDescent="0.4">
      <c r="K740" s="9">
        <v>738</v>
      </c>
      <c r="L740" s="72">
        <v>-4.9999999999999423</v>
      </c>
    </row>
    <row r="741" spans="11:12" x14ac:dyDescent="0.4">
      <c r="K741" s="9">
        <v>739</v>
      </c>
      <c r="L741" s="72">
        <v>5.1000000000000574</v>
      </c>
    </row>
    <row r="742" spans="11:12" x14ac:dyDescent="0.4">
      <c r="K742" s="9">
        <v>740</v>
      </c>
      <c r="L742" s="72">
        <v>29.20000000000006</v>
      </c>
    </row>
    <row r="743" spans="11:12" x14ac:dyDescent="0.4">
      <c r="K743" s="9">
        <v>741</v>
      </c>
      <c r="L743" s="72">
        <v>-4.9999999999999432</v>
      </c>
    </row>
    <row r="744" spans="11:12" x14ac:dyDescent="0.4">
      <c r="K744" s="9">
        <v>742</v>
      </c>
      <c r="L744" s="72">
        <v>16.700000000000056</v>
      </c>
    </row>
    <row r="745" spans="11:12" x14ac:dyDescent="0.4">
      <c r="K745" s="9">
        <v>743</v>
      </c>
      <c r="L745" s="72">
        <v>41.20000000000006</v>
      </c>
    </row>
    <row r="746" spans="11:12" x14ac:dyDescent="0.4">
      <c r="K746" s="9">
        <v>744</v>
      </c>
      <c r="L746" s="72">
        <v>-4.9999999999999432</v>
      </c>
    </row>
    <row r="747" spans="11:12" x14ac:dyDescent="0.4">
      <c r="K747" s="9">
        <v>745</v>
      </c>
      <c r="L747" s="72">
        <v>-45.399999999999942</v>
      </c>
    </row>
    <row r="748" spans="11:12" x14ac:dyDescent="0.4">
      <c r="K748" s="9">
        <v>746</v>
      </c>
      <c r="L748" s="72">
        <v>-4.0999999999999446</v>
      </c>
    </row>
    <row r="749" spans="11:12" x14ac:dyDescent="0.4">
      <c r="K749" s="9">
        <v>747</v>
      </c>
      <c r="L749" s="72">
        <v>-4.9999999999999449</v>
      </c>
    </row>
    <row r="750" spans="11:12" x14ac:dyDescent="0.4">
      <c r="K750" s="9">
        <v>748</v>
      </c>
      <c r="L750" s="72">
        <v>0.60000000000005471</v>
      </c>
    </row>
    <row r="751" spans="11:12" x14ac:dyDescent="0.4">
      <c r="K751" s="9">
        <v>749</v>
      </c>
      <c r="L751" s="72">
        <v>12.000000000000055</v>
      </c>
    </row>
    <row r="752" spans="11:12" x14ac:dyDescent="0.4">
      <c r="K752" s="9">
        <v>750</v>
      </c>
      <c r="L752" s="72">
        <v>-4.9999999999999449</v>
      </c>
    </row>
    <row r="753" spans="11:12" x14ac:dyDescent="0.4">
      <c r="K753" s="9">
        <v>751</v>
      </c>
      <c r="L753" s="72">
        <v>-53.999999999999943</v>
      </c>
    </row>
    <row r="754" spans="11:12" x14ac:dyDescent="0.4">
      <c r="K754" s="9">
        <v>752</v>
      </c>
      <c r="L754" s="72">
        <v>-37.499999999999943</v>
      </c>
    </row>
    <row r="755" spans="11:12" x14ac:dyDescent="0.4">
      <c r="K755" s="9">
        <v>753</v>
      </c>
      <c r="L755" s="72">
        <v>-4.9999999999999432</v>
      </c>
    </row>
    <row r="756" spans="11:12" x14ac:dyDescent="0.4">
      <c r="K756" s="9">
        <v>754</v>
      </c>
      <c r="L756" s="72">
        <v>47.100000000000058</v>
      </c>
    </row>
    <row r="757" spans="11:12" x14ac:dyDescent="0.4">
      <c r="K757" s="9">
        <v>755</v>
      </c>
      <c r="L757" s="72">
        <v>31.70000000000006</v>
      </c>
    </row>
    <row r="758" spans="11:12" x14ac:dyDescent="0.4">
      <c r="K758" s="9">
        <v>756</v>
      </c>
      <c r="L758" s="72">
        <v>-4.9999999999999432</v>
      </c>
    </row>
    <row r="759" spans="11:12" x14ac:dyDescent="0.4">
      <c r="K759" s="9">
        <v>757</v>
      </c>
      <c r="L759" s="72">
        <v>-0.49999999999994316</v>
      </c>
    </row>
    <row r="760" spans="11:12" x14ac:dyDescent="0.4">
      <c r="K760" s="9">
        <v>758</v>
      </c>
      <c r="L760" s="72">
        <v>42.000000000000057</v>
      </c>
    </row>
    <row r="761" spans="11:12" x14ac:dyDescent="0.4">
      <c r="K761" s="9">
        <v>759</v>
      </c>
      <c r="L761" s="72">
        <v>-4.9999999999999432</v>
      </c>
    </row>
    <row r="762" spans="11:12" x14ac:dyDescent="0.4">
      <c r="K762" s="9">
        <v>760</v>
      </c>
      <c r="L762" s="72">
        <v>-19.999999999999943</v>
      </c>
    </row>
    <row r="763" spans="11:12" x14ac:dyDescent="0.4">
      <c r="K763" s="9">
        <v>761</v>
      </c>
      <c r="L763" s="72">
        <v>-63.199999999999946</v>
      </c>
    </row>
    <row r="764" spans="11:12" x14ac:dyDescent="0.4">
      <c r="K764" s="9">
        <v>762</v>
      </c>
      <c r="L764" s="72">
        <v>-4.9999999999999432</v>
      </c>
    </row>
    <row r="765" spans="11:12" x14ac:dyDescent="0.4">
      <c r="K765" s="9">
        <v>763</v>
      </c>
      <c r="L765" s="72">
        <v>2.8000000000000567</v>
      </c>
    </row>
    <row r="766" spans="11:12" x14ac:dyDescent="0.4">
      <c r="K766" s="9">
        <v>764</v>
      </c>
      <c r="L766" s="72">
        <v>11.800000000000058</v>
      </c>
    </row>
    <row r="767" spans="11:12" x14ac:dyDescent="0.4">
      <c r="K767" s="9">
        <v>765</v>
      </c>
      <c r="L767" s="72">
        <v>-4.9999999999999432</v>
      </c>
    </row>
    <row r="768" spans="11:12" x14ac:dyDescent="0.4">
      <c r="K768" s="9">
        <v>766</v>
      </c>
      <c r="L768" s="72">
        <v>13.600000000000058</v>
      </c>
    </row>
    <row r="769" spans="11:12" x14ac:dyDescent="0.4">
      <c r="K769" s="9">
        <v>767</v>
      </c>
      <c r="L769" s="72">
        <v>11.600000000000058</v>
      </c>
    </row>
    <row r="770" spans="11:12" x14ac:dyDescent="0.4">
      <c r="K770" s="9">
        <v>768</v>
      </c>
      <c r="L770" s="72">
        <v>-4.9999999999999432</v>
      </c>
    </row>
    <row r="771" spans="11:12" x14ac:dyDescent="0.4">
      <c r="K771" s="9">
        <v>769</v>
      </c>
      <c r="L771" s="72">
        <v>1.200000000000057</v>
      </c>
    </row>
    <row r="772" spans="11:12" x14ac:dyDescent="0.4">
      <c r="K772" s="9">
        <v>770</v>
      </c>
      <c r="L772" s="72">
        <v>5.700000000000057</v>
      </c>
    </row>
    <row r="773" spans="11:12" x14ac:dyDescent="0.4">
      <c r="K773" s="9">
        <v>771</v>
      </c>
      <c r="L773" s="72">
        <v>-4.9999999999999423</v>
      </c>
    </row>
    <row r="774" spans="11:12" x14ac:dyDescent="0.4">
      <c r="K774" s="9">
        <v>772</v>
      </c>
      <c r="L774" s="72">
        <v>7.6000000000000574</v>
      </c>
    </row>
    <row r="775" spans="11:12" x14ac:dyDescent="0.4">
      <c r="K775" s="9">
        <v>773</v>
      </c>
      <c r="L775" s="72">
        <v>8.4000000000000572</v>
      </c>
    </row>
    <row r="776" spans="11:12" x14ac:dyDescent="0.4">
      <c r="K776" s="9">
        <v>774</v>
      </c>
      <c r="L776" s="72">
        <v>-4.9999999999999432</v>
      </c>
    </row>
    <row r="777" spans="11:12" x14ac:dyDescent="0.4">
      <c r="K777" s="9">
        <v>775</v>
      </c>
      <c r="L777" s="72">
        <v>-0.99999999999994316</v>
      </c>
    </row>
    <row r="778" spans="11:12" x14ac:dyDescent="0.4">
      <c r="K778" s="9">
        <v>776</v>
      </c>
      <c r="L778" s="72">
        <v>-38.29999999999994</v>
      </c>
    </row>
    <row r="779" spans="11:12" x14ac:dyDescent="0.4">
      <c r="K779" s="9">
        <v>777</v>
      </c>
      <c r="L779" s="72">
        <v>-4.9999999999999432</v>
      </c>
    </row>
    <row r="780" spans="11:12" x14ac:dyDescent="0.4">
      <c r="K780" s="9">
        <v>778</v>
      </c>
      <c r="L780" s="72">
        <v>30.000000000000057</v>
      </c>
    </row>
    <row r="781" spans="11:12" x14ac:dyDescent="0.4">
      <c r="K781" s="9">
        <v>779</v>
      </c>
      <c r="L781" s="72">
        <v>-5.4999999999999432</v>
      </c>
    </row>
    <row r="782" spans="11:12" x14ac:dyDescent="0.4">
      <c r="K782" s="9">
        <v>780</v>
      </c>
      <c r="L782" s="72">
        <v>-4.9999999999999432</v>
      </c>
    </row>
    <row r="783" spans="11:12" x14ac:dyDescent="0.4">
      <c r="K783" s="9">
        <v>781</v>
      </c>
      <c r="L783" s="72">
        <v>8.4000000000000572</v>
      </c>
    </row>
    <row r="784" spans="11:12" x14ac:dyDescent="0.4">
      <c r="K784" s="9">
        <v>782</v>
      </c>
      <c r="L784" s="72">
        <v>17.400000000000055</v>
      </c>
    </row>
    <row r="785" spans="11:12" x14ac:dyDescent="0.4">
      <c r="K785" s="9">
        <v>783</v>
      </c>
      <c r="L785" s="72">
        <v>-4.9999999999999432</v>
      </c>
    </row>
    <row r="786" spans="11:12" x14ac:dyDescent="0.4">
      <c r="K786" s="9">
        <v>784</v>
      </c>
      <c r="L786" s="72">
        <v>1.1000000000000565</v>
      </c>
    </row>
    <row r="787" spans="11:12" x14ac:dyDescent="0.4">
      <c r="K787" s="9">
        <v>785</v>
      </c>
      <c r="L787" s="72">
        <v>-4.1999999999999433</v>
      </c>
    </row>
    <row r="788" spans="11:12" x14ac:dyDescent="0.4">
      <c r="K788" s="9">
        <v>786</v>
      </c>
      <c r="L788" s="72">
        <v>-4.9999999999999432</v>
      </c>
    </row>
    <row r="789" spans="11:12" x14ac:dyDescent="0.4">
      <c r="K789" s="9">
        <v>787</v>
      </c>
      <c r="L789" s="72">
        <v>61.70000000000006</v>
      </c>
    </row>
    <row r="790" spans="11:12" x14ac:dyDescent="0.4">
      <c r="K790" s="9">
        <v>788</v>
      </c>
      <c r="L790" s="72">
        <v>2.8000000000000611</v>
      </c>
    </row>
    <row r="791" spans="11:12" x14ac:dyDescent="0.4">
      <c r="K791" s="9">
        <v>789</v>
      </c>
      <c r="L791" s="72">
        <v>-4.9999999999999387</v>
      </c>
    </row>
    <row r="792" spans="11:12" x14ac:dyDescent="0.4">
      <c r="K792" s="9">
        <v>790</v>
      </c>
      <c r="L792" s="72">
        <v>-43.099999999999937</v>
      </c>
    </row>
    <row r="793" spans="11:12" x14ac:dyDescent="0.4">
      <c r="K793" s="9">
        <v>791</v>
      </c>
      <c r="L793" s="72">
        <v>-2.3999999999999346</v>
      </c>
    </row>
    <row r="794" spans="11:12" x14ac:dyDescent="0.4">
      <c r="K794" s="9">
        <v>792</v>
      </c>
      <c r="L794" s="72">
        <v>-4.9999999999999343</v>
      </c>
    </row>
    <row r="795" spans="11:12" x14ac:dyDescent="0.4">
      <c r="K795" s="9">
        <v>793</v>
      </c>
      <c r="L795" s="72">
        <v>18.000000000000064</v>
      </c>
    </row>
    <row r="796" spans="11:12" x14ac:dyDescent="0.4">
      <c r="K796" s="9">
        <v>794</v>
      </c>
      <c r="L796" s="72">
        <v>9.5000000000000639</v>
      </c>
    </row>
    <row r="797" spans="11:12" x14ac:dyDescent="0.4">
      <c r="K797" s="9">
        <v>795</v>
      </c>
      <c r="L797" s="72">
        <v>-4.9999999999999361</v>
      </c>
    </row>
    <row r="798" spans="11:12" x14ac:dyDescent="0.4">
      <c r="K798" s="9">
        <v>796</v>
      </c>
      <c r="L798" s="72">
        <v>4.5000000000000639</v>
      </c>
    </row>
    <row r="799" spans="11:12" x14ac:dyDescent="0.4">
      <c r="K799" s="9">
        <v>797</v>
      </c>
      <c r="L799" s="72">
        <v>-6.7999999999999368</v>
      </c>
    </row>
    <row r="800" spans="11:12" x14ac:dyDescent="0.4">
      <c r="K800" s="9">
        <v>798</v>
      </c>
      <c r="L800" s="72">
        <v>-4.9999999999999369</v>
      </c>
    </row>
    <row r="801" spans="11:12" x14ac:dyDescent="0.4">
      <c r="K801" s="9">
        <v>799</v>
      </c>
      <c r="L801" s="72">
        <v>6.3060667798708891E-14</v>
      </c>
    </row>
    <row r="802" spans="11:12" x14ac:dyDescent="0.4">
      <c r="K802" s="9">
        <v>800</v>
      </c>
      <c r="L802" s="72">
        <v>0.70000000000006302</v>
      </c>
    </row>
    <row r="803" spans="11:12" x14ac:dyDescent="0.4">
      <c r="K803" s="9">
        <v>801</v>
      </c>
      <c r="L803" s="72">
        <v>-4.9999999999999369</v>
      </c>
    </row>
    <row r="804" spans="11:12" x14ac:dyDescent="0.4">
      <c r="K804" s="9">
        <v>802</v>
      </c>
      <c r="L804" s="72">
        <v>2.8000000000000629</v>
      </c>
    </row>
    <row r="805" spans="11:12" x14ac:dyDescent="0.4">
      <c r="K805" s="9">
        <v>803</v>
      </c>
      <c r="L805" s="72">
        <v>-36.699999999999939</v>
      </c>
    </row>
    <row r="806" spans="11:12" x14ac:dyDescent="0.4">
      <c r="K806" s="9">
        <v>804</v>
      </c>
      <c r="L806" s="72">
        <v>-4.9999999999999396</v>
      </c>
    </row>
    <row r="807" spans="11:12" x14ac:dyDescent="0.4">
      <c r="K807" s="9">
        <v>805</v>
      </c>
      <c r="L807" s="72">
        <v>37.300000000000054</v>
      </c>
    </row>
    <row r="808" spans="11:12" x14ac:dyDescent="0.4">
      <c r="K808" s="9">
        <v>806</v>
      </c>
      <c r="L808" s="72">
        <v>-7.9999999999999432</v>
      </c>
    </row>
    <row r="809" spans="11:12" x14ac:dyDescent="0.4">
      <c r="K809" s="9">
        <v>807</v>
      </c>
      <c r="L809" s="72">
        <v>-4.9999999999999432</v>
      </c>
    </row>
    <row r="810" spans="11:12" x14ac:dyDescent="0.4">
      <c r="K810" s="9">
        <v>808</v>
      </c>
      <c r="L810" s="72">
        <v>35.70000000000006</v>
      </c>
    </row>
    <row r="811" spans="11:12" x14ac:dyDescent="0.4">
      <c r="K811" s="9">
        <v>809</v>
      </c>
      <c r="L811" s="72">
        <v>8.0000000000000604</v>
      </c>
    </row>
    <row r="812" spans="11:12" x14ac:dyDescent="0.4">
      <c r="K812" s="9">
        <v>810</v>
      </c>
      <c r="L812" s="72">
        <v>-4.9999999999999396</v>
      </c>
    </row>
    <row r="813" spans="11:12" x14ac:dyDescent="0.4">
      <c r="K813" s="9">
        <v>811</v>
      </c>
      <c r="L813" s="72">
        <v>-4.89999999999994</v>
      </c>
    </row>
    <row r="814" spans="11:12" x14ac:dyDescent="0.4">
      <c r="K814" s="9">
        <v>812</v>
      </c>
      <c r="L814" s="72">
        <v>3.60000000000006</v>
      </c>
    </row>
    <row r="815" spans="11:12" x14ac:dyDescent="0.4">
      <c r="K815" s="9">
        <v>813</v>
      </c>
      <c r="L815" s="72">
        <v>-4.9999999999999396</v>
      </c>
    </row>
    <row r="816" spans="11:12" x14ac:dyDescent="0.4">
      <c r="K816" s="9">
        <v>814</v>
      </c>
      <c r="L816" s="72">
        <v>7.2000000000000597</v>
      </c>
    </row>
    <row r="817" spans="11:12" x14ac:dyDescent="0.4">
      <c r="K817" s="9">
        <v>815</v>
      </c>
      <c r="L817" s="72">
        <v>11.900000000000059</v>
      </c>
    </row>
    <row r="818" spans="11:12" x14ac:dyDescent="0.4">
      <c r="K818" s="9">
        <v>816</v>
      </c>
      <c r="L818" s="72">
        <v>-4.9999999999999396</v>
      </c>
    </row>
    <row r="819" spans="11:12" x14ac:dyDescent="0.4">
      <c r="K819" s="9">
        <v>817</v>
      </c>
      <c r="L819" s="72">
        <v>4.5000000000000604</v>
      </c>
    </row>
    <row r="820" spans="11:12" x14ac:dyDescent="0.4">
      <c r="K820" s="9">
        <v>818</v>
      </c>
      <c r="L820" s="72">
        <v>-6.0999999999999392</v>
      </c>
    </row>
    <row r="821" spans="11:12" x14ac:dyDescent="0.4">
      <c r="K821" s="9">
        <v>819</v>
      </c>
      <c r="L821" s="72">
        <v>-4.9999999999999396</v>
      </c>
    </row>
    <row r="822" spans="11:12" x14ac:dyDescent="0.4">
      <c r="K822" s="9">
        <v>820</v>
      </c>
      <c r="L822" s="72">
        <v>22.20000000000006</v>
      </c>
    </row>
    <row r="823" spans="11:12" x14ac:dyDescent="0.4">
      <c r="K823" s="9">
        <v>821</v>
      </c>
      <c r="L823" s="72">
        <v>28.00000000000006</v>
      </c>
    </row>
    <row r="824" spans="11:12" x14ac:dyDescent="0.4">
      <c r="K824" s="9">
        <v>822</v>
      </c>
      <c r="L824" s="72">
        <v>-4.9999999999999396</v>
      </c>
    </row>
    <row r="825" spans="11:12" x14ac:dyDescent="0.4">
      <c r="K825" s="9">
        <v>823</v>
      </c>
      <c r="L825" s="72">
        <v>-17.599999999999937</v>
      </c>
    </row>
    <row r="826" spans="11:12" x14ac:dyDescent="0.4">
      <c r="K826" s="9">
        <v>824</v>
      </c>
      <c r="L826" s="72">
        <v>2.5000000000000639</v>
      </c>
    </row>
    <row r="827" spans="11:12" x14ac:dyDescent="0.4">
      <c r="K827" s="9">
        <v>825</v>
      </c>
      <c r="L827" s="72">
        <v>-4.9999999999999361</v>
      </c>
    </row>
    <row r="828" spans="11:12" x14ac:dyDescent="0.4">
      <c r="K828" s="9">
        <v>826</v>
      </c>
      <c r="L828" s="72">
        <v>2.5000000000000639</v>
      </c>
    </row>
    <row r="829" spans="11:12" x14ac:dyDescent="0.4">
      <c r="K829" s="9">
        <v>827</v>
      </c>
      <c r="L829" s="72">
        <v>-22.599999999999937</v>
      </c>
    </row>
    <row r="830" spans="11:12" x14ac:dyDescent="0.4">
      <c r="K830" s="9">
        <v>828</v>
      </c>
      <c r="L830" s="72">
        <v>-4.9999999999999361</v>
      </c>
    </row>
    <row r="831" spans="11:12" x14ac:dyDescent="0.4">
      <c r="K831" s="9">
        <v>829</v>
      </c>
      <c r="L831" s="72">
        <v>-22.599999999999937</v>
      </c>
    </row>
    <row r="832" spans="11:12" x14ac:dyDescent="0.4">
      <c r="K832" s="9">
        <v>830</v>
      </c>
      <c r="L832" s="72">
        <v>2.0000000000000639</v>
      </c>
    </row>
    <row r="833" spans="11:12" x14ac:dyDescent="0.4">
      <c r="K833" s="9">
        <v>831</v>
      </c>
      <c r="L833" s="72">
        <v>-5.9999999999999361</v>
      </c>
    </row>
    <row r="834" spans="11:12" x14ac:dyDescent="0.4">
      <c r="K834" s="9">
        <v>832</v>
      </c>
      <c r="L834" s="72">
        <v>1.8000000000000638</v>
      </c>
    </row>
    <row r="835" spans="11:12" x14ac:dyDescent="0.4">
      <c r="K835" s="9">
        <v>833</v>
      </c>
      <c r="L835" s="72">
        <v>-12.599999999999937</v>
      </c>
    </row>
    <row r="836" spans="11:12" x14ac:dyDescent="0.4">
      <c r="K836" s="9">
        <v>834</v>
      </c>
      <c r="L836" s="72">
        <v>-5.9999999999999378</v>
      </c>
    </row>
    <row r="837" spans="11:12" x14ac:dyDescent="0.4">
      <c r="K837" s="9">
        <v>835</v>
      </c>
      <c r="L837" s="72">
        <v>40.900000000000063</v>
      </c>
    </row>
    <row r="838" spans="11:12" x14ac:dyDescent="0.4">
      <c r="K838" s="9">
        <v>836</v>
      </c>
      <c r="L838" s="72">
        <v>1.0000000000000639</v>
      </c>
    </row>
    <row r="839" spans="11:12" x14ac:dyDescent="0.4">
      <c r="K839" s="9">
        <v>837</v>
      </c>
      <c r="L839" s="72">
        <v>-5.9999999999999361</v>
      </c>
    </row>
    <row r="840" spans="11:12" x14ac:dyDescent="0.4">
      <c r="K840" s="9">
        <v>838</v>
      </c>
      <c r="L840" s="72">
        <v>0.30000000000006377</v>
      </c>
    </row>
    <row r="841" spans="11:12" x14ac:dyDescent="0.4">
      <c r="K841" s="9">
        <v>839</v>
      </c>
      <c r="L841" s="72">
        <v>6.3782312764715243E-14</v>
      </c>
    </row>
    <row r="842" spans="11:12" x14ac:dyDescent="0.4">
      <c r="K842" s="9">
        <v>840</v>
      </c>
      <c r="L842" s="72">
        <v>-5.9999999999999361</v>
      </c>
    </row>
    <row r="843" spans="11:12" x14ac:dyDescent="0.4">
      <c r="K843" s="9">
        <v>841</v>
      </c>
      <c r="L843" s="72">
        <v>18.300000000000065</v>
      </c>
    </row>
    <row r="844" spans="11:12" x14ac:dyDescent="0.4">
      <c r="K844" s="9">
        <v>842</v>
      </c>
      <c r="L844" s="72">
        <v>-15.699999999999935</v>
      </c>
    </row>
    <row r="845" spans="11:12" x14ac:dyDescent="0.4">
      <c r="K845" s="9">
        <v>843</v>
      </c>
      <c r="L845" s="72">
        <v>-5.9999999999999361</v>
      </c>
    </row>
    <row r="846" spans="11:12" x14ac:dyDescent="0.4">
      <c r="K846" s="9">
        <v>844</v>
      </c>
      <c r="L846" s="72">
        <v>-16.399999999999935</v>
      </c>
    </row>
    <row r="847" spans="11:12" x14ac:dyDescent="0.4">
      <c r="K847" s="9">
        <v>845</v>
      </c>
      <c r="L847" s="72">
        <v>-27.899999999999935</v>
      </c>
    </row>
    <row r="848" spans="11:12" x14ac:dyDescent="0.4">
      <c r="K848" s="9">
        <v>846</v>
      </c>
      <c r="L848" s="72">
        <v>-5.9999999999999361</v>
      </c>
    </row>
    <row r="849" spans="11:12" x14ac:dyDescent="0.4">
      <c r="K849" s="9">
        <v>847</v>
      </c>
      <c r="L849" s="72">
        <v>-23.199999999999935</v>
      </c>
    </row>
    <row r="850" spans="11:12" x14ac:dyDescent="0.4">
      <c r="K850" s="9">
        <v>848</v>
      </c>
      <c r="L850" s="72">
        <v>-32.499999999999936</v>
      </c>
    </row>
    <row r="851" spans="11:12" x14ac:dyDescent="0.4">
      <c r="K851" s="9">
        <v>849</v>
      </c>
      <c r="L851" s="72">
        <v>-5.9999999999999361</v>
      </c>
    </row>
    <row r="852" spans="11:12" x14ac:dyDescent="0.4">
      <c r="K852" s="9">
        <v>850</v>
      </c>
      <c r="L852" s="72">
        <v>-6.9999999999999361</v>
      </c>
    </row>
    <row r="853" spans="11:12" x14ac:dyDescent="0.4">
      <c r="K853" s="9">
        <v>851</v>
      </c>
      <c r="L853" s="72">
        <v>-23.999999999999936</v>
      </c>
    </row>
    <row r="854" spans="11:12" x14ac:dyDescent="0.4">
      <c r="K854" s="9">
        <v>852</v>
      </c>
      <c r="L854" s="72">
        <v>-5.9999999999999361</v>
      </c>
    </row>
    <row r="855" spans="11:12" x14ac:dyDescent="0.4">
      <c r="K855" s="9">
        <v>853</v>
      </c>
      <c r="L855" s="72">
        <v>13.800000000000065</v>
      </c>
    </row>
    <row r="856" spans="11:12" x14ac:dyDescent="0.4">
      <c r="K856" s="9">
        <v>854</v>
      </c>
      <c r="L856" s="72">
        <v>35.500000000000064</v>
      </c>
    </row>
    <row r="857" spans="11:12" x14ac:dyDescent="0.4">
      <c r="K857" s="9">
        <v>855</v>
      </c>
      <c r="L857" s="72">
        <v>-5.9999999999999361</v>
      </c>
    </row>
    <row r="858" spans="11:12" x14ac:dyDescent="0.4">
      <c r="K858" s="9">
        <v>856</v>
      </c>
      <c r="L858" s="72">
        <v>21.700000000000063</v>
      </c>
    </row>
    <row r="859" spans="11:12" x14ac:dyDescent="0.4">
      <c r="K859" s="9">
        <v>857</v>
      </c>
      <c r="L859" s="72">
        <v>19.900000000000063</v>
      </c>
    </row>
    <row r="860" spans="11:12" x14ac:dyDescent="0.4">
      <c r="K860" s="9">
        <v>858</v>
      </c>
      <c r="L860" s="72">
        <v>-5.9999999999999361</v>
      </c>
    </row>
    <row r="861" spans="11:12" x14ac:dyDescent="0.4">
      <c r="K861" s="9">
        <v>859</v>
      </c>
      <c r="L861" s="72">
        <v>1.5000000000000639</v>
      </c>
    </row>
    <row r="862" spans="11:12" x14ac:dyDescent="0.4">
      <c r="K862" s="9">
        <v>860</v>
      </c>
      <c r="L862" s="72">
        <v>39.500000000000064</v>
      </c>
    </row>
    <row r="863" spans="11:12" x14ac:dyDescent="0.4">
      <c r="K863" s="9">
        <v>861</v>
      </c>
      <c r="L863" s="72">
        <v>-5.9999999999999361</v>
      </c>
    </row>
    <row r="864" spans="11:12" x14ac:dyDescent="0.4">
      <c r="K864" s="9">
        <v>862</v>
      </c>
      <c r="L864" s="72">
        <v>25.500000000000064</v>
      </c>
    </row>
    <row r="865" spans="11:12" x14ac:dyDescent="0.4">
      <c r="K865" s="9">
        <v>863</v>
      </c>
      <c r="L865" s="72">
        <v>19.900000000000063</v>
      </c>
    </row>
    <row r="866" spans="11:12" x14ac:dyDescent="0.4">
      <c r="K866" s="9">
        <v>864</v>
      </c>
      <c r="L866" s="72">
        <v>-5.9999999999999361</v>
      </c>
    </row>
    <row r="867" spans="11:12" x14ac:dyDescent="0.4">
      <c r="K867" s="9">
        <v>865</v>
      </c>
      <c r="L867" s="72">
        <v>40.800000000000061</v>
      </c>
    </row>
    <row r="868" spans="11:12" x14ac:dyDescent="0.4">
      <c r="K868" s="9">
        <v>866</v>
      </c>
      <c r="L868" s="72">
        <v>20.300000000000061</v>
      </c>
    </row>
    <row r="869" spans="11:12" x14ac:dyDescent="0.4">
      <c r="K869" s="9">
        <v>867</v>
      </c>
      <c r="L869" s="72">
        <v>-5.9999999999999396</v>
      </c>
    </row>
    <row r="870" spans="11:12" x14ac:dyDescent="0.4">
      <c r="K870" s="9">
        <v>868</v>
      </c>
      <c r="L870" s="72">
        <v>46.500000000000057</v>
      </c>
    </row>
    <row r="871" spans="11:12" x14ac:dyDescent="0.4">
      <c r="K871" s="9">
        <v>869</v>
      </c>
      <c r="L871" s="72">
        <v>1.5000000000000568</v>
      </c>
    </row>
    <row r="872" spans="11:12" x14ac:dyDescent="0.4">
      <c r="K872" s="9">
        <v>870</v>
      </c>
      <c r="L872" s="72">
        <v>-5.9999999999999432</v>
      </c>
    </row>
    <row r="873" spans="11:12" x14ac:dyDescent="0.4">
      <c r="K873" s="9">
        <v>871</v>
      </c>
      <c r="L873" s="72">
        <v>-12.199999999999942</v>
      </c>
    </row>
    <row r="874" spans="11:12" x14ac:dyDescent="0.4">
      <c r="K874" s="9">
        <v>872</v>
      </c>
      <c r="L874" s="72">
        <v>-50.699999999999946</v>
      </c>
    </row>
    <row r="875" spans="11:12" x14ac:dyDescent="0.4">
      <c r="K875" s="9">
        <v>873</v>
      </c>
      <c r="L875" s="72">
        <v>-5.9999999999999432</v>
      </c>
    </row>
    <row r="876" spans="11:12" x14ac:dyDescent="0.4">
      <c r="K876" s="9">
        <v>874</v>
      </c>
      <c r="L876" s="72">
        <v>-14.799999999999944</v>
      </c>
    </row>
    <row r="877" spans="11:12" x14ac:dyDescent="0.4">
      <c r="K877" s="9">
        <v>875</v>
      </c>
      <c r="L877" s="72">
        <v>-50.199999999999946</v>
      </c>
    </row>
    <row r="878" spans="11:12" x14ac:dyDescent="0.4">
      <c r="K878" s="9">
        <v>876</v>
      </c>
      <c r="L878" s="72">
        <v>-5.9999999999999432</v>
      </c>
    </row>
    <row r="879" spans="11:12" x14ac:dyDescent="0.4">
      <c r="K879" s="9">
        <v>877</v>
      </c>
      <c r="L879" s="72">
        <v>12.500000000000057</v>
      </c>
    </row>
    <row r="880" spans="11:12" x14ac:dyDescent="0.4">
      <c r="K880" s="9">
        <v>878</v>
      </c>
      <c r="L880" s="72">
        <v>5.0000000000000568</v>
      </c>
    </row>
    <row r="881" spans="11:12" x14ac:dyDescent="0.4">
      <c r="K881" s="9">
        <v>879</v>
      </c>
      <c r="L881" s="72">
        <v>-6.9999999999999432</v>
      </c>
    </row>
    <row r="882" spans="11:12" x14ac:dyDescent="0.4">
      <c r="K882" s="9">
        <v>880</v>
      </c>
      <c r="L882" s="72">
        <v>26.100000000000058</v>
      </c>
    </row>
    <row r="883" spans="11:12" x14ac:dyDescent="0.4">
      <c r="K883" s="9">
        <v>881</v>
      </c>
      <c r="L883" s="72">
        <v>17.600000000000058</v>
      </c>
    </row>
    <row r="884" spans="11:12" x14ac:dyDescent="0.4">
      <c r="K884" s="9">
        <v>882</v>
      </c>
      <c r="L884" s="72">
        <v>-6.9999999999999432</v>
      </c>
    </row>
    <row r="885" spans="11:12" x14ac:dyDescent="0.4">
      <c r="K885" s="9">
        <v>883</v>
      </c>
      <c r="L885" s="72">
        <v>61.000000000000057</v>
      </c>
    </row>
    <row r="886" spans="11:12" x14ac:dyDescent="0.4">
      <c r="K886" s="9">
        <v>884</v>
      </c>
      <c r="L886" s="72">
        <v>13.000000000000057</v>
      </c>
    </row>
    <row r="887" spans="11:12" x14ac:dyDescent="0.4">
      <c r="K887" s="9">
        <v>885</v>
      </c>
      <c r="L887" s="72">
        <v>-6.9999999999999432</v>
      </c>
    </row>
    <row r="888" spans="11:12" x14ac:dyDescent="0.4">
      <c r="K888" s="9">
        <v>886</v>
      </c>
      <c r="L888" s="72">
        <v>-28.899999999999942</v>
      </c>
    </row>
    <row r="889" spans="11:12" x14ac:dyDescent="0.4">
      <c r="K889" s="9">
        <v>887</v>
      </c>
      <c r="L889" s="72">
        <v>-14.399999999999942</v>
      </c>
    </row>
    <row r="890" spans="11:12" x14ac:dyDescent="0.4">
      <c r="K890" s="9">
        <v>888</v>
      </c>
      <c r="L890" s="72">
        <v>-6.9999999999999414</v>
      </c>
    </row>
    <row r="891" spans="11:12" x14ac:dyDescent="0.4">
      <c r="K891" s="9">
        <v>889</v>
      </c>
      <c r="L891" s="72">
        <v>2.0000000000000586</v>
      </c>
    </row>
    <row r="892" spans="11:12" x14ac:dyDescent="0.4">
      <c r="K892" s="9">
        <v>890</v>
      </c>
      <c r="L892" s="72">
        <v>-24.199999999999939</v>
      </c>
    </row>
    <row r="893" spans="11:12" x14ac:dyDescent="0.4">
      <c r="K893" s="9">
        <v>891</v>
      </c>
      <c r="L893" s="72">
        <v>-6.9999999999999396</v>
      </c>
    </row>
    <row r="894" spans="11:12" x14ac:dyDescent="0.4">
      <c r="K894" s="9">
        <v>892</v>
      </c>
      <c r="L894" s="72">
        <v>11.70000000000006</v>
      </c>
    </row>
    <row r="895" spans="11:12" x14ac:dyDescent="0.4">
      <c r="K895" s="9">
        <v>893</v>
      </c>
      <c r="L895" s="72">
        <v>7.9000000000000599</v>
      </c>
    </row>
    <row r="896" spans="11:12" x14ac:dyDescent="0.4">
      <c r="K896" s="9">
        <v>894</v>
      </c>
      <c r="L896" s="72">
        <v>-6.9999999999999405</v>
      </c>
    </row>
    <row r="897" spans="11:12" x14ac:dyDescent="0.4">
      <c r="K897" s="9">
        <v>895</v>
      </c>
      <c r="L897" s="72">
        <v>19.600000000000062</v>
      </c>
    </row>
    <row r="898" spans="11:12" x14ac:dyDescent="0.4">
      <c r="K898" s="9">
        <v>896</v>
      </c>
      <c r="L898" s="72">
        <v>0.70000000000006324</v>
      </c>
    </row>
    <row r="899" spans="11:12" x14ac:dyDescent="0.4">
      <c r="K899" s="9">
        <v>897</v>
      </c>
      <c r="L899" s="72">
        <v>-6.9999999999999369</v>
      </c>
    </row>
    <row r="900" spans="11:12" x14ac:dyDescent="0.4">
      <c r="K900" s="9">
        <v>898</v>
      </c>
      <c r="L900" s="72">
        <v>12.000000000000064</v>
      </c>
    </row>
    <row r="901" spans="11:12" x14ac:dyDescent="0.4">
      <c r="K901" s="9">
        <v>899</v>
      </c>
      <c r="L901" s="72">
        <v>-6.5999999999999375</v>
      </c>
    </row>
    <row r="902" spans="11:12" x14ac:dyDescent="0.4">
      <c r="K902" s="9">
        <v>900</v>
      </c>
      <c r="L902" s="72">
        <v>-7.9999999999999378</v>
      </c>
    </row>
    <row r="903" spans="11:12" x14ac:dyDescent="0.4">
      <c r="K903" s="9">
        <v>901</v>
      </c>
      <c r="L903" s="72">
        <v>-53.399999999999935</v>
      </c>
    </row>
    <row r="904" spans="11:12" x14ac:dyDescent="0.4">
      <c r="K904" s="9">
        <v>902</v>
      </c>
      <c r="L904" s="72">
        <v>-13.899999999999935</v>
      </c>
    </row>
    <row r="905" spans="11:12" x14ac:dyDescent="0.4">
      <c r="K905" s="9">
        <v>903</v>
      </c>
      <c r="L905" s="72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0152-EF0F-4325-AA6C-EF0B059D2AA2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257</v>
      </c>
      <c r="C2" s="123"/>
      <c r="E2" s="33" t="s">
        <v>180</v>
      </c>
      <c r="F2" s="30" t="s">
        <v>181</v>
      </c>
      <c r="G2" s="17">
        <v>457</v>
      </c>
      <c r="H2" s="104">
        <f>IF(B$29=0,0,G2/B$29)</f>
        <v>0.84786641929499074</v>
      </c>
      <c r="I2" s="66">
        <v>9</v>
      </c>
      <c r="K2" s="7">
        <v>0</v>
      </c>
      <c r="L2" s="71">
        <v>0</v>
      </c>
      <c r="N2" s="86" t="s">
        <v>132</v>
      </c>
      <c r="O2" s="93">
        <f t="shared" ref="O2:O7" si="0">IF(P2=0,0,Q2/P2)</f>
        <v>1510.6719367588933</v>
      </c>
      <c r="P2" s="90">
        <v>253</v>
      </c>
      <c r="Q2" s="74">
        <v>382200</v>
      </c>
    </row>
    <row r="3" spans="1:17" x14ac:dyDescent="0.4">
      <c r="A3" s="26" t="s">
        <v>8</v>
      </c>
      <c r="B3" s="128">
        <v>1946</v>
      </c>
      <c r="C3" s="129"/>
      <c r="E3" s="34" t="s">
        <v>67</v>
      </c>
      <c r="F3" s="31" t="s">
        <v>23</v>
      </c>
      <c r="G3" s="18">
        <v>390</v>
      </c>
      <c r="H3" s="105">
        <f>IF(B$29=0,0,G3/B$29)</f>
        <v>0.72356215213358066</v>
      </c>
      <c r="I3" s="67">
        <v>5</v>
      </c>
      <c r="K3" s="9">
        <v>1</v>
      </c>
      <c r="L3" s="72">
        <v>15</v>
      </c>
      <c r="N3" s="87" t="s">
        <v>133</v>
      </c>
      <c r="O3" s="94">
        <f t="shared" si="0"/>
        <v>627.86885245901635</v>
      </c>
      <c r="P3" s="91">
        <v>244</v>
      </c>
      <c r="Q3" s="75">
        <v>153200</v>
      </c>
    </row>
    <row r="4" spans="1:17" x14ac:dyDescent="0.4">
      <c r="A4" s="26" t="s">
        <v>6</v>
      </c>
      <c r="B4" s="130">
        <v>1888.9999999999993</v>
      </c>
      <c r="C4" s="131"/>
      <c r="E4" s="34" t="s">
        <v>65</v>
      </c>
      <c r="F4" s="31" t="s">
        <v>21</v>
      </c>
      <c r="G4" s="18">
        <v>294</v>
      </c>
      <c r="H4" s="105">
        <f>IF(B$29=0,0,G4/B$29)</f>
        <v>0.54545454545454541</v>
      </c>
      <c r="I4" s="67">
        <v>7</v>
      </c>
      <c r="K4" s="9">
        <v>2</v>
      </c>
      <c r="L4" s="72">
        <v>14</v>
      </c>
      <c r="N4" s="87" t="s">
        <v>134</v>
      </c>
      <c r="O4" s="94">
        <f t="shared" si="0"/>
        <v>2042.9824561403509</v>
      </c>
      <c r="P4" s="91">
        <v>228</v>
      </c>
      <c r="Q4" s="75">
        <v>465800</v>
      </c>
    </row>
    <row r="5" spans="1:17" x14ac:dyDescent="0.4">
      <c r="A5" s="26" t="s">
        <v>7</v>
      </c>
      <c r="B5" s="132">
        <f>IF(B$2=0,0,B$4/B$2)</f>
        <v>7.3501945525291799</v>
      </c>
      <c r="C5" s="133"/>
      <c r="E5" s="34" t="s">
        <v>73</v>
      </c>
      <c r="F5" s="31" t="s">
        <v>28</v>
      </c>
      <c r="G5" s="18">
        <v>294</v>
      </c>
      <c r="H5" s="105">
        <f>IF(B$29=0,0,G5/B$29)</f>
        <v>0.54545454545454541</v>
      </c>
      <c r="I5" s="67">
        <v>9</v>
      </c>
      <c r="K5" s="9">
        <v>3</v>
      </c>
      <c r="L5" s="72">
        <v>29.1</v>
      </c>
      <c r="N5" s="87" t="s">
        <v>135</v>
      </c>
      <c r="O5" s="94">
        <f t="shared" si="0"/>
        <v>1670.7317073170732</v>
      </c>
      <c r="P5" s="91">
        <v>205</v>
      </c>
      <c r="Q5" s="75">
        <v>342500</v>
      </c>
    </row>
    <row r="6" spans="1:17" x14ac:dyDescent="0.4">
      <c r="A6" s="26" t="s">
        <v>1</v>
      </c>
      <c r="B6" s="134">
        <f>IF(B$2=0,0,(B$7*1+B$8*2+B$9*3)/B$2)</f>
        <v>1.7470817120622568</v>
      </c>
      <c r="C6" s="135"/>
      <c r="E6" s="34" t="s">
        <v>68</v>
      </c>
      <c r="F6" s="31" t="s">
        <v>24</v>
      </c>
      <c r="G6" s="18">
        <v>161</v>
      </c>
      <c r="H6" s="105">
        <f>IF(B$29=0,0,G6/B$29)</f>
        <v>0.29870129870129869</v>
      </c>
      <c r="I6" s="67">
        <v>8</v>
      </c>
      <c r="K6" s="9">
        <v>4</v>
      </c>
      <c r="L6" s="72">
        <v>114.30000000000001</v>
      </c>
      <c r="N6" s="87" t="s">
        <v>136</v>
      </c>
      <c r="O6" s="94">
        <f t="shared" si="0"/>
        <v>1381.6666666666667</v>
      </c>
      <c r="P6" s="91">
        <v>180</v>
      </c>
      <c r="Q6" s="75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5">
        <f>IF(B$29=0,0,G7/B$29)</f>
        <v>0.29870129870129869</v>
      </c>
      <c r="I7" s="67">
        <v>8</v>
      </c>
      <c r="K7" s="9">
        <v>5</v>
      </c>
      <c r="L7" s="72">
        <v>145.80000000000001</v>
      </c>
      <c r="N7" s="88" t="s">
        <v>137</v>
      </c>
      <c r="O7" s="95">
        <f t="shared" si="0"/>
        <v>1772.7891156462586</v>
      </c>
      <c r="P7" s="92">
        <v>147</v>
      </c>
      <c r="Q7" s="76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5">
        <f>IF(B$29=0,0,G8/B$29)</f>
        <v>0.17996289424860853</v>
      </c>
      <c r="I8" s="67">
        <v>2</v>
      </c>
      <c r="K8" s="9">
        <v>6</v>
      </c>
      <c r="L8" s="72">
        <v>97.800000000000011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5">
        <f>IF(B$29=0,0,G9/B$29)</f>
        <v>0.15398886827458255</v>
      </c>
      <c r="I9" s="67">
        <v>6</v>
      </c>
      <c r="K9" s="9">
        <v>7</v>
      </c>
      <c r="L9" s="72">
        <v>91.700000000000017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5">
        <f>IF(B$29=0,0,G10/B$29)</f>
        <v>0.12244897959183673</v>
      </c>
      <c r="I10" s="67">
        <v>7</v>
      </c>
      <c r="K10" s="9">
        <v>8</v>
      </c>
      <c r="L10" s="72">
        <v>55.700000000000017</v>
      </c>
      <c r="N10" s="86" t="s">
        <v>162</v>
      </c>
      <c r="O10" s="96">
        <f>IF(P10=0,0,Q10/P10)</f>
        <v>9.4370370370370402</v>
      </c>
      <c r="P10" s="90">
        <v>54</v>
      </c>
      <c r="Q10" s="78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5">
        <f>IF(B$29=0,0,G11/B$29)</f>
        <v>8.1632653061224483E-2</v>
      </c>
      <c r="I11" s="67">
        <v>9</v>
      </c>
      <c r="K11" s="9">
        <v>9</v>
      </c>
      <c r="L11" s="72">
        <v>14.700000000000017</v>
      </c>
      <c r="N11" s="87" t="s">
        <v>163</v>
      </c>
      <c r="O11" s="97">
        <f>IF(P11=0,0,Q11/P11)</f>
        <v>6.5573333333333332</v>
      </c>
      <c r="P11" s="91">
        <v>75</v>
      </c>
      <c r="Q11" s="79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5">
        <f>IF(B$29=0,0,G12/B$29)</f>
        <v>6.8645640074211506E-2</v>
      </c>
      <c r="I12" s="67">
        <v>7</v>
      </c>
      <c r="K12" s="9">
        <v>10</v>
      </c>
      <c r="L12" s="72">
        <v>-16.799999999999983</v>
      </c>
      <c r="N12" s="88" t="s">
        <v>164</v>
      </c>
      <c r="O12" s="98">
        <f>IF(P12=0,0,Q12/P12)</f>
        <v>6.8800000000000008</v>
      </c>
      <c r="P12" s="92">
        <v>125</v>
      </c>
      <c r="Q12" s="80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5">
        <f>IF(B$29=0,0,G13/B$29)</f>
        <v>5.9369202226345084E-2</v>
      </c>
      <c r="I13" s="67">
        <v>3</v>
      </c>
      <c r="K13" s="9">
        <v>11</v>
      </c>
      <c r="L13" s="72">
        <v>1.5000000000000178</v>
      </c>
      <c r="N13" s="4"/>
      <c r="O13" s="82"/>
      <c r="P13" s="84"/>
      <c r="Q13" s="82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5">
        <f>IF(B$29=0,0,G14/B$29)</f>
        <v>3.525046382189239E-2</v>
      </c>
      <c r="I14" s="67">
        <v>7</v>
      </c>
      <c r="K14" s="9">
        <v>12</v>
      </c>
      <c r="L14" s="72">
        <v>14.300000000000018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5">
        <f>IF(B$29=0,0,G15/B$29)</f>
        <v>2.0408163265306121E-2</v>
      </c>
      <c r="I15" s="67">
        <v>9</v>
      </c>
      <c r="K15" s="9">
        <v>13</v>
      </c>
      <c r="L15" s="72">
        <v>71.300000000000011</v>
      </c>
      <c r="N15" s="86" t="s">
        <v>214</v>
      </c>
      <c r="O15" s="96">
        <f>IF(P15=0,0,Q15/P15)</f>
        <v>125.9</v>
      </c>
      <c r="P15" s="90">
        <v>1</v>
      </c>
      <c r="Q15" s="78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5">
        <f>IF(B$29=0,0,G16/B$29)</f>
        <v>1.4842300556586271E-2</v>
      </c>
      <c r="I16" s="67">
        <v>9</v>
      </c>
      <c r="K16" s="9">
        <v>14</v>
      </c>
      <c r="L16" s="72">
        <v>27.300000000000011</v>
      </c>
      <c r="N16" s="87" t="s">
        <v>210</v>
      </c>
      <c r="O16" s="97">
        <f>IF(P16=0,0,Q16/P16)</f>
        <v>71.75</v>
      </c>
      <c r="P16" s="91">
        <v>4</v>
      </c>
      <c r="Q16" s="79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5">
        <f>IF(B$29=0,0,G17/B$29)</f>
        <v>1.2987012987012988E-2</v>
      </c>
      <c r="I17" s="67">
        <v>9</v>
      </c>
      <c r="K17" s="9">
        <v>15</v>
      </c>
      <c r="L17" s="72">
        <v>-9.6999999999999886</v>
      </c>
      <c r="N17" s="87" t="s">
        <v>172</v>
      </c>
      <c r="O17" s="97">
        <f>IF(P17=0,0,Q17/P17)</f>
        <v>29.464000000000002</v>
      </c>
      <c r="P17" s="91">
        <v>25</v>
      </c>
      <c r="Q17" s="79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5">
        <f>IF(B$29=0,0,G18/B$29)</f>
        <v>9.2764378478664197E-3</v>
      </c>
      <c r="I18" s="67">
        <v>9</v>
      </c>
      <c r="K18" s="9">
        <v>16</v>
      </c>
      <c r="L18" s="72">
        <v>-8.099999999999989</v>
      </c>
      <c r="N18" s="87" t="s">
        <v>169</v>
      </c>
      <c r="O18" s="97">
        <f>IF(P18=0,0,Q18/P18)</f>
        <v>26.587499999999995</v>
      </c>
      <c r="P18" s="91">
        <v>8</v>
      </c>
      <c r="Q18" s="79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5">
        <f>IF(B$29=0,0,G19/B$29)</f>
        <v>7.4211502782931356E-3</v>
      </c>
      <c r="I19" s="67">
        <v>3</v>
      </c>
      <c r="K19" s="9">
        <v>17</v>
      </c>
      <c r="L19" s="72">
        <v>-29.499999999999986</v>
      </c>
      <c r="N19" s="87" t="s">
        <v>168</v>
      </c>
      <c r="O19" s="97">
        <f>IF(P19=0,0,Q19/P19)</f>
        <v>17.15735294117647</v>
      </c>
      <c r="P19" s="91">
        <v>68</v>
      </c>
      <c r="Q19" s="79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5">
        <f>IF(B$29=0,0,G20/B$29)</f>
        <v>7.4211502782931356E-3</v>
      </c>
      <c r="I20" s="67">
        <v>4</v>
      </c>
      <c r="K20" s="9">
        <v>18</v>
      </c>
      <c r="L20" s="72">
        <v>-14.599999999999985</v>
      </c>
      <c r="N20" s="87" t="s">
        <v>167</v>
      </c>
      <c r="O20" s="97">
        <f>IF(P20=0,0,Q20/P20)</f>
        <v>11.685849056603773</v>
      </c>
      <c r="P20" s="91">
        <v>106</v>
      </c>
      <c r="Q20" s="79">
        <v>1238.7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74</v>
      </c>
      <c r="F21" s="31" t="s">
        <v>29</v>
      </c>
      <c r="G21" s="18">
        <v>3</v>
      </c>
      <c r="H21" s="105">
        <f>IF(B$29=0,0,G21/B$29)</f>
        <v>5.5658627087198514E-3</v>
      </c>
      <c r="I21" s="67">
        <v>5</v>
      </c>
      <c r="K21" s="9">
        <v>19</v>
      </c>
      <c r="L21" s="72">
        <v>42.600000000000016</v>
      </c>
      <c r="N21" s="87" t="s">
        <v>128</v>
      </c>
      <c r="O21" s="97">
        <f>IF(P21=0,0,Q21/P21)</f>
        <v>10.028813559322026</v>
      </c>
      <c r="P21" s="91">
        <v>118</v>
      </c>
      <c r="Q21" s="79">
        <v>1183.3999999999992</v>
      </c>
    </row>
    <row r="22" spans="1:17" x14ac:dyDescent="0.4">
      <c r="A22" s="26" t="s">
        <v>179</v>
      </c>
      <c r="B22" s="18">
        <v>32</v>
      </c>
      <c r="C22" s="107">
        <v>0</v>
      </c>
      <c r="E22" s="34" t="s">
        <v>86</v>
      </c>
      <c r="F22" s="31" t="s">
        <v>41</v>
      </c>
      <c r="G22" s="18">
        <v>3</v>
      </c>
      <c r="H22" s="105">
        <f>IF(B$29=0,0,G22/B$29)</f>
        <v>5.5658627087198514E-3</v>
      </c>
      <c r="I22" s="67">
        <v>3</v>
      </c>
      <c r="K22" s="9">
        <v>20</v>
      </c>
      <c r="L22" s="72">
        <v>68.800000000000011</v>
      </c>
      <c r="N22" s="87" t="s">
        <v>185</v>
      </c>
      <c r="O22" s="97">
        <f>IF(P22=0,0,Q22/P22)</f>
        <v>9.1555555555555568</v>
      </c>
      <c r="P22" s="91">
        <v>27</v>
      </c>
      <c r="Q22" s="79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5">
        <f>IF(B$29=0,0,G23/B$29)</f>
        <v>5.5658627087198514E-3</v>
      </c>
      <c r="I23" s="67">
        <v>4</v>
      </c>
      <c r="K23" s="9">
        <v>21</v>
      </c>
      <c r="L23" s="72">
        <v>125.30000000000001</v>
      </c>
      <c r="N23" s="87" t="s">
        <v>196</v>
      </c>
      <c r="O23" s="97">
        <f>IF(P23=0,0,Q23/P23)</f>
        <v>8</v>
      </c>
      <c r="P23" s="91">
        <v>1</v>
      </c>
      <c r="Q23" s="79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5">
        <f>IF(B$29=0,0,G24/B$29)</f>
        <v>3.7105751391465678E-3</v>
      </c>
      <c r="I24" s="67">
        <v>3</v>
      </c>
      <c r="K24" s="9">
        <v>22</v>
      </c>
      <c r="L24" s="72">
        <v>99.800000000000011</v>
      </c>
      <c r="N24" s="87" t="s">
        <v>129</v>
      </c>
      <c r="O24" s="97">
        <f>IF(P24=0,0,Q24/P24)</f>
        <v>4.0326732673267331</v>
      </c>
      <c r="P24" s="91">
        <v>101</v>
      </c>
      <c r="Q24" s="79">
        <v>407.3</v>
      </c>
    </row>
    <row r="25" spans="1:17" x14ac:dyDescent="0.4">
      <c r="A25" s="63" t="s">
        <v>142</v>
      </c>
      <c r="B25" s="118">
        <v>10</v>
      </c>
      <c r="C25" s="119"/>
      <c r="E25" s="34" t="s">
        <v>88</v>
      </c>
      <c r="F25" s="31" t="s">
        <v>43</v>
      </c>
      <c r="G25" s="18">
        <v>2</v>
      </c>
      <c r="H25" s="105">
        <f>IF(B$29=0,0,G25/B$29)</f>
        <v>3.7105751391465678E-3</v>
      </c>
      <c r="I25" s="67">
        <v>2</v>
      </c>
      <c r="K25" s="9">
        <v>23</v>
      </c>
      <c r="L25" s="72">
        <v>124.50000000000001</v>
      </c>
      <c r="N25" s="87" t="s">
        <v>174</v>
      </c>
      <c r="O25" s="97">
        <f>IF(P25=0,0,Q25/P25)</f>
        <v>1.0818181818181809</v>
      </c>
      <c r="P25" s="91">
        <v>55</v>
      </c>
      <c r="Q25" s="79">
        <v>59.49999999999995</v>
      </c>
    </row>
    <row r="26" spans="1:17" x14ac:dyDescent="0.4">
      <c r="A26" s="29" t="s">
        <v>152</v>
      </c>
      <c r="B26" s="120">
        <v>120200</v>
      </c>
      <c r="C26" s="121"/>
      <c r="E26" s="34" t="s">
        <v>91</v>
      </c>
      <c r="F26" s="31" t="s">
        <v>46</v>
      </c>
      <c r="G26" s="18">
        <v>1</v>
      </c>
      <c r="H26" s="105">
        <f>IF(B$29=0,0,G26/B$29)</f>
        <v>1.8552875695732839E-3</v>
      </c>
      <c r="I26" s="67">
        <v>2</v>
      </c>
      <c r="K26" s="9">
        <v>24</v>
      </c>
      <c r="L26" s="72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5">
        <f>IF(B$29=0,0,G27/B$29)</f>
        <v>1.8552875695732839E-3</v>
      </c>
      <c r="I27" s="67">
        <v>5</v>
      </c>
      <c r="K27" s="9">
        <v>25</v>
      </c>
      <c r="L27" s="72">
        <v>84.300000000000011</v>
      </c>
    </row>
    <row r="28" spans="1:17" x14ac:dyDescent="0.4">
      <c r="A28" s="25" t="s">
        <v>182</v>
      </c>
      <c r="B28" s="122">
        <v>1490</v>
      </c>
      <c r="C28" s="123"/>
      <c r="E28" s="34" t="s">
        <v>96</v>
      </c>
      <c r="F28" s="31" t="s">
        <v>51</v>
      </c>
      <c r="G28" s="18">
        <v>1</v>
      </c>
      <c r="H28" s="105">
        <f>IF(B$29=0,0,G28/B$29)</f>
        <v>1.8552875695732839E-3</v>
      </c>
      <c r="I28" s="67">
        <v>1</v>
      </c>
      <c r="K28" s="9">
        <v>26</v>
      </c>
      <c r="L28" s="72">
        <v>108.20000000000002</v>
      </c>
    </row>
    <row r="29" spans="1:17" x14ac:dyDescent="0.4">
      <c r="A29" s="28" t="s">
        <v>183</v>
      </c>
      <c r="B29" s="124">
        <v>539</v>
      </c>
      <c r="C29" s="125"/>
      <c r="E29" s="34" t="s">
        <v>107</v>
      </c>
      <c r="F29" s="31" t="s">
        <v>114</v>
      </c>
      <c r="G29" s="18">
        <v>1</v>
      </c>
      <c r="H29" s="105">
        <f>IF(B$29=0,0,G29/B$29)</f>
        <v>1.8552875695732839E-3</v>
      </c>
      <c r="I29" s="67">
        <v>1</v>
      </c>
      <c r="K29" s="9">
        <v>27</v>
      </c>
      <c r="L29" s="72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5">
        <f>IF(B$29=0,0,G31/B$29)</f>
        <v>0</v>
      </c>
      <c r="I31" s="67">
        <v>3</v>
      </c>
      <c r="K31" s="9">
        <v>29</v>
      </c>
      <c r="L31" s="72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5">
        <f>IF(B$29=0,0,G32/B$29)</f>
        <v>0</v>
      </c>
      <c r="I32" s="67">
        <v>1</v>
      </c>
      <c r="K32" s="9">
        <v>30</v>
      </c>
      <c r="L32" s="72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5">
        <f>IF(B$29=0,0,G33/B$29)</f>
        <v>0</v>
      </c>
      <c r="I33" s="67">
        <v>5</v>
      </c>
      <c r="K33" s="9">
        <v>31</v>
      </c>
      <c r="L33" s="72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137.20000000000005</v>
      </c>
    </row>
    <row r="51" spans="5:12" x14ac:dyDescent="0.4">
      <c r="K51" s="9">
        <v>49</v>
      </c>
      <c r="L51" s="72">
        <v>132.30000000000004</v>
      </c>
    </row>
    <row r="52" spans="5:12" x14ac:dyDescent="0.4">
      <c r="K52" s="9">
        <v>50</v>
      </c>
      <c r="L52" s="72">
        <v>145.10000000000005</v>
      </c>
    </row>
    <row r="53" spans="5:12" x14ac:dyDescent="0.4">
      <c r="K53" s="9">
        <v>51</v>
      </c>
      <c r="L53" s="72">
        <v>145.80000000000004</v>
      </c>
    </row>
    <row r="54" spans="5:12" x14ac:dyDescent="0.4">
      <c r="K54" s="9">
        <v>52</v>
      </c>
      <c r="L54" s="72">
        <v>139.10000000000005</v>
      </c>
    </row>
    <row r="55" spans="5:12" x14ac:dyDescent="0.4">
      <c r="K55" s="9">
        <v>53</v>
      </c>
      <c r="L55" s="72">
        <v>111.10000000000005</v>
      </c>
    </row>
    <row r="56" spans="5:12" x14ac:dyDescent="0.4">
      <c r="K56" s="9">
        <v>54</v>
      </c>
      <c r="L56" s="72">
        <v>127.80000000000005</v>
      </c>
    </row>
    <row r="57" spans="5:12" x14ac:dyDescent="0.4">
      <c r="K57" s="9">
        <v>55</v>
      </c>
      <c r="L57" s="72">
        <v>120.80000000000005</v>
      </c>
    </row>
    <row r="58" spans="5:12" x14ac:dyDescent="0.4">
      <c r="K58" s="9">
        <v>56</v>
      </c>
      <c r="L58" s="72">
        <v>152.40000000000006</v>
      </c>
    </row>
    <row r="59" spans="5:12" x14ac:dyDescent="0.4">
      <c r="K59" s="9">
        <v>57</v>
      </c>
      <c r="L59" s="72">
        <v>168.20000000000007</v>
      </c>
    </row>
    <row r="60" spans="5:12" x14ac:dyDescent="0.4">
      <c r="K60" s="9">
        <v>58</v>
      </c>
      <c r="L60" s="72">
        <v>225.20000000000007</v>
      </c>
    </row>
    <row r="61" spans="5:12" x14ac:dyDescent="0.4">
      <c r="K61" s="9">
        <v>59</v>
      </c>
      <c r="L61" s="72">
        <v>230.50000000000009</v>
      </c>
    </row>
    <row r="62" spans="5:12" x14ac:dyDescent="0.4">
      <c r="K62" s="9">
        <v>60</v>
      </c>
      <c r="L62" s="72">
        <v>184.40000000000009</v>
      </c>
    </row>
    <row r="63" spans="5:12" x14ac:dyDescent="0.4">
      <c r="K63" s="9">
        <v>61</v>
      </c>
      <c r="L63" s="72">
        <v>205.50000000000009</v>
      </c>
    </row>
    <row r="64" spans="5:12" x14ac:dyDescent="0.4">
      <c r="K64" s="9">
        <v>62</v>
      </c>
      <c r="L64" s="72">
        <v>139.50000000000009</v>
      </c>
    </row>
    <row r="65" spans="11:12" x14ac:dyDescent="0.4">
      <c r="K65" s="9">
        <v>63</v>
      </c>
      <c r="L65" s="72">
        <v>134.50000000000009</v>
      </c>
    </row>
    <row r="66" spans="11:12" x14ac:dyDescent="0.4">
      <c r="K66" s="9">
        <v>64</v>
      </c>
      <c r="L66" s="72">
        <v>135.50000000000009</v>
      </c>
    </row>
    <row r="67" spans="11:12" x14ac:dyDescent="0.4">
      <c r="K67" s="9">
        <v>65</v>
      </c>
      <c r="L67" s="72">
        <v>167.10000000000008</v>
      </c>
    </row>
    <row r="68" spans="11:12" x14ac:dyDescent="0.4">
      <c r="K68" s="9">
        <v>66</v>
      </c>
      <c r="L68" s="72">
        <v>148.10000000000008</v>
      </c>
    </row>
    <row r="69" spans="11:12" x14ac:dyDescent="0.4">
      <c r="K69" s="9">
        <v>67</v>
      </c>
      <c r="L69" s="72">
        <v>138.20000000000007</v>
      </c>
    </row>
    <row r="70" spans="11:12" x14ac:dyDescent="0.4">
      <c r="K70" s="9">
        <v>68</v>
      </c>
      <c r="L70" s="72">
        <v>139.10000000000008</v>
      </c>
    </row>
    <row r="71" spans="11:12" x14ac:dyDescent="0.4">
      <c r="K71" s="9">
        <v>69</v>
      </c>
      <c r="L71" s="72">
        <v>171.40000000000009</v>
      </c>
    </row>
    <row r="72" spans="11:12" x14ac:dyDescent="0.4">
      <c r="K72" s="9">
        <v>70</v>
      </c>
      <c r="L72" s="72">
        <v>199.8000000000001</v>
      </c>
    </row>
    <row r="73" spans="11:12" x14ac:dyDescent="0.4">
      <c r="K73" s="9">
        <v>71</v>
      </c>
      <c r="L73" s="72">
        <v>192.40000000000009</v>
      </c>
    </row>
    <row r="74" spans="11:12" x14ac:dyDescent="0.4">
      <c r="K74" s="9">
        <v>72</v>
      </c>
      <c r="L74" s="72">
        <v>210.7000000000001</v>
      </c>
    </row>
    <row r="75" spans="11:12" x14ac:dyDescent="0.4">
      <c r="K75" s="9">
        <v>73</v>
      </c>
      <c r="L75" s="72">
        <v>196.8000000000001</v>
      </c>
    </row>
    <row r="76" spans="11:12" x14ac:dyDescent="0.4">
      <c r="K76" s="9">
        <v>74</v>
      </c>
      <c r="L76" s="72">
        <v>236.8000000000001</v>
      </c>
    </row>
    <row r="77" spans="11:12" x14ac:dyDescent="0.4">
      <c r="K77" s="9">
        <v>75</v>
      </c>
      <c r="L77" s="72">
        <v>242.00000000000009</v>
      </c>
    </row>
    <row r="78" spans="11:12" x14ac:dyDescent="0.4">
      <c r="K78" s="9">
        <v>76</v>
      </c>
      <c r="L78" s="72">
        <v>228.3000000000001</v>
      </c>
    </row>
    <row r="79" spans="11:12" x14ac:dyDescent="0.4">
      <c r="K79" s="9">
        <v>77</v>
      </c>
      <c r="L79" s="72">
        <v>233.40000000000009</v>
      </c>
    </row>
    <row r="80" spans="11:12" x14ac:dyDescent="0.4">
      <c r="K80" s="9">
        <v>78</v>
      </c>
      <c r="L80" s="72">
        <v>265.30000000000007</v>
      </c>
    </row>
    <row r="81" spans="11:12" x14ac:dyDescent="0.4">
      <c r="K81" s="9">
        <v>79</v>
      </c>
      <c r="L81" s="72">
        <v>305.30000000000007</v>
      </c>
    </row>
    <row r="82" spans="11:12" x14ac:dyDescent="0.4">
      <c r="K82" s="9">
        <v>80</v>
      </c>
      <c r="L82" s="72">
        <v>327.80000000000007</v>
      </c>
    </row>
    <row r="83" spans="11:12" x14ac:dyDescent="0.4">
      <c r="K83" s="9">
        <v>81</v>
      </c>
      <c r="L83" s="72">
        <v>359.30000000000007</v>
      </c>
    </row>
    <row r="84" spans="11:12" x14ac:dyDescent="0.4">
      <c r="K84" s="9">
        <v>82</v>
      </c>
      <c r="L84" s="72">
        <v>419.10000000000008</v>
      </c>
    </row>
    <row r="85" spans="11:12" x14ac:dyDescent="0.4">
      <c r="K85" s="9">
        <v>83</v>
      </c>
      <c r="L85" s="72">
        <v>430.2000000000001</v>
      </c>
    </row>
    <row r="86" spans="11:12" x14ac:dyDescent="0.4">
      <c r="K86" s="9">
        <v>84</v>
      </c>
      <c r="L86" s="72">
        <v>431.80000000000013</v>
      </c>
    </row>
    <row r="87" spans="11:12" x14ac:dyDescent="0.4">
      <c r="K87" s="9">
        <v>85</v>
      </c>
      <c r="L87" s="72">
        <v>410.40000000000015</v>
      </c>
    </row>
    <row r="88" spans="11:12" x14ac:dyDescent="0.4">
      <c r="K88" s="9">
        <v>86</v>
      </c>
      <c r="L88" s="72">
        <v>413.90000000000015</v>
      </c>
    </row>
    <row r="89" spans="11:12" x14ac:dyDescent="0.4">
      <c r="K89" s="9">
        <v>87</v>
      </c>
      <c r="L89" s="72">
        <v>368.40000000000015</v>
      </c>
    </row>
    <row r="90" spans="11:12" x14ac:dyDescent="0.4">
      <c r="K90" s="9">
        <v>88</v>
      </c>
      <c r="L90" s="72">
        <v>367.80000000000013</v>
      </c>
    </row>
    <row r="91" spans="11:12" x14ac:dyDescent="0.4">
      <c r="K91" s="9">
        <v>89</v>
      </c>
      <c r="L91" s="72">
        <v>394.2000000000001</v>
      </c>
    </row>
    <row r="92" spans="11:12" x14ac:dyDescent="0.4">
      <c r="K92" s="9">
        <v>90</v>
      </c>
      <c r="L92" s="72">
        <v>403.90000000000009</v>
      </c>
    </row>
    <row r="93" spans="11:12" x14ac:dyDescent="0.4">
      <c r="K93" s="9">
        <v>91</v>
      </c>
      <c r="L93" s="72">
        <v>425.00000000000011</v>
      </c>
    </row>
    <row r="94" spans="11:12" x14ac:dyDescent="0.4">
      <c r="K94" s="9">
        <v>92</v>
      </c>
      <c r="L94" s="72">
        <v>468.10000000000014</v>
      </c>
    </row>
    <row r="95" spans="11:12" x14ac:dyDescent="0.4">
      <c r="K95" s="9">
        <v>93</v>
      </c>
      <c r="L95" s="72">
        <v>462.10000000000014</v>
      </c>
    </row>
    <row r="96" spans="11:12" x14ac:dyDescent="0.4">
      <c r="K96" s="9">
        <v>94</v>
      </c>
      <c r="L96" s="72">
        <v>424.60000000000014</v>
      </c>
    </row>
    <row r="97" spans="11:12" x14ac:dyDescent="0.4">
      <c r="K97" s="9">
        <v>95</v>
      </c>
      <c r="L97" s="72">
        <v>385.10000000000014</v>
      </c>
    </row>
    <row r="98" spans="11:12" x14ac:dyDescent="0.4">
      <c r="K98" s="9">
        <v>96</v>
      </c>
      <c r="L98" s="72">
        <v>396.20000000000016</v>
      </c>
    </row>
    <row r="99" spans="11:12" x14ac:dyDescent="0.4">
      <c r="K99" s="9">
        <v>97</v>
      </c>
      <c r="L99" s="72">
        <v>394.20000000000016</v>
      </c>
    </row>
    <row r="100" spans="11:12" x14ac:dyDescent="0.4">
      <c r="K100" s="9">
        <v>98</v>
      </c>
      <c r="L100" s="72">
        <v>437.70000000000016</v>
      </c>
    </row>
    <row r="101" spans="11:12" x14ac:dyDescent="0.4">
      <c r="K101" s="9">
        <v>99</v>
      </c>
      <c r="L101" s="72">
        <v>432.10000000000014</v>
      </c>
    </row>
    <row r="102" spans="11:12" x14ac:dyDescent="0.4">
      <c r="K102" s="9">
        <v>100</v>
      </c>
      <c r="L102" s="72">
        <v>424.70000000000016</v>
      </c>
    </row>
    <row r="103" spans="11:12" x14ac:dyDescent="0.4">
      <c r="K103" s="9">
        <v>101</v>
      </c>
      <c r="L103" s="72">
        <v>386.70000000000016</v>
      </c>
    </row>
    <row r="104" spans="11:12" x14ac:dyDescent="0.4">
      <c r="K104" s="9">
        <v>102</v>
      </c>
      <c r="L104" s="72">
        <v>367.90000000000015</v>
      </c>
    </row>
    <row r="105" spans="11:12" x14ac:dyDescent="0.4">
      <c r="K105" s="9">
        <v>103</v>
      </c>
      <c r="L105" s="72">
        <v>394.90000000000015</v>
      </c>
    </row>
    <row r="106" spans="11:12" x14ac:dyDescent="0.4">
      <c r="K106" s="9">
        <v>104</v>
      </c>
      <c r="L106" s="72">
        <v>439.50000000000017</v>
      </c>
    </row>
    <row r="107" spans="11:12" x14ac:dyDescent="0.4">
      <c r="K107" s="9">
        <v>105</v>
      </c>
      <c r="L107" s="72">
        <v>446.50000000000017</v>
      </c>
    </row>
    <row r="108" spans="11:12" x14ac:dyDescent="0.4">
      <c r="K108" s="9">
        <v>106</v>
      </c>
      <c r="L108" s="72">
        <v>435.20000000000016</v>
      </c>
    </row>
    <row r="109" spans="11:12" x14ac:dyDescent="0.4">
      <c r="K109" s="9">
        <v>107</v>
      </c>
      <c r="L109" s="72">
        <v>419.70000000000016</v>
      </c>
    </row>
    <row r="110" spans="11:12" x14ac:dyDescent="0.4">
      <c r="K110" s="9">
        <v>108</v>
      </c>
      <c r="L110" s="72">
        <v>400.40000000000015</v>
      </c>
    </row>
    <row r="111" spans="11:12" x14ac:dyDescent="0.4">
      <c r="K111" s="9">
        <v>109</v>
      </c>
      <c r="L111" s="72">
        <v>424.40000000000015</v>
      </c>
    </row>
    <row r="112" spans="11:12" x14ac:dyDescent="0.4">
      <c r="K112" s="9">
        <v>110</v>
      </c>
      <c r="L112" s="72">
        <v>443.90000000000015</v>
      </c>
    </row>
    <row r="113" spans="11:12" x14ac:dyDescent="0.4">
      <c r="K113" s="9">
        <v>111</v>
      </c>
      <c r="L113" s="72">
        <v>438.50000000000017</v>
      </c>
    </row>
    <row r="114" spans="11:12" x14ac:dyDescent="0.4">
      <c r="K114" s="9">
        <v>112</v>
      </c>
      <c r="L114" s="72">
        <v>494.50000000000017</v>
      </c>
    </row>
    <row r="115" spans="11:12" x14ac:dyDescent="0.4">
      <c r="K115" s="9">
        <v>113</v>
      </c>
      <c r="L115" s="72">
        <v>511.60000000000019</v>
      </c>
    </row>
    <row r="116" spans="11:12" x14ac:dyDescent="0.4">
      <c r="K116" s="9">
        <v>114</v>
      </c>
      <c r="L116" s="72">
        <v>473.60000000000019</v>
      </c>
    </row>
    <row r="117" spans="11:12" x14ac:dyDescent="0.4">
      <c r="K117" s="9">
        <v>115</v>
      </c>
      <c r="L117" s="72">
        <v>490.10000000000019</v>
      </c>
    </row>
    <row r="118" spans="11:12" x14ac:dyDescent="0.4">
      <c r="K118" s="9">
        <v>116</v>
      </c>
      <c r="L118" s="72">
        <v>505.4000000000002</v>
      </c>
    </row>
    <row r="119" spans="11:12" x14ac:dyDescent="0.4">
      <c r="K119" s="9">
        <v>117</v>
      </c>
      <c r="L119" s="72">
        <v>517.00000000000023</v>
      </c>
    </row>
    <row r="120" spans="11:12" x14ac:dyDescent="0.4">
      <c r="K120" s="9">
        <v>118</v>
      </c>
      <c r="L120" s="72">
        <v>533.9000000000002</v>
      </c>
    </row>
    <row r="121" spans="11:12" x14ac:dyDescent="0.4">
      <c r="K121" s="9">
        <v>119</v>
      </c>
      <c r="L121" s="72">
        <v>496.4000000000002</v>
      </c>
    </row>
    <row r="122" spans="11:12" x14ac:dyDescent="0.4">
      <c r="K122" s="9">
        <v>120</v>
      </c>
      <c r="L122" s="72">
        <v>534.9000000000002</v>
      </c>
    </row>
    <row r="123" spans="11:12" x14ac:dyDescent="0.4">
      <c r="K123" s="9">
        <v>121</v>
      </c>
      <c r="L123" s="72">
        <v>488.4000000000002</v>
      </c>
    </row>
    <row r="124" spans="11:12" x14ac:dyDescent="0.4">
      <c r="K124" s="9">
        <v>122</v>
      </c>
      <c r="L124" s="72">
        <v>501.60000000000019</v>
      </c>
    </row>
    <row r="125" spans="11:12" x14ac:dyDescent="0.4">
      <c r="K125" s="9">
        <v>123</v>
      </c>
      <c r="L125" s="72">
        <v>482.10000000000019</v>
      </c>
    </row>
    <row r="126" spans="11:12" x14ac:dyDescent="0.4">
      <c r="K126" s="9">
        <v>124</v>
      </c>
      <c r="L126" s="72">
        <v>523.50000000000023</v>
      </c>
    </row>
    <row r="127" spans="11:12" x14ac:dyDescent="0.4">
      <c r="K127" s="9">
        <v>125</v>
      </c>
      <c r="L127" s="72">
        <v>550.60000000000025</v>
      </c>
    </row>
    <row r="128" spans="11:12" x14ac:dyDescent="0.4">
      <c r="K128" s="9">
        <v>126</v>
      </c>
      <c r="L128" s="72">
        <v>559.10000000000025</v>
      </c>
    </row>
    <row r="129" spans="11:12" x14ac:dyDescent="0.4">
      <c r="K129" s="9">
        <v>127</v>
      </c>
      <c r="L129" s="72">
        <v>602.4000000000002</v>
      </c>
    </row>
    <row r="130" spans="11:12" x14ac:dyDescent="0.4">
      <c r="K130" s="9">
        <v>128</v>
      </c>
      <c r="L130" s="72">
        <v>628.4000000000002</v>
      </c>
    </row>
    <row r="131" spans="11:12" x14ac:dyDescent="0.4">
      <c r="K131" s="9">
        <v>129</v>
      </c>
      <c r="L131" s="72">
        <v>639.4000000000002</v>
      </c>
    </row>
    <row r="132" spans="11:12" x14ac:dyDescent="0.4">
      <c r="K132" s="9">
        <v>130</v>
      </c>
      <c r="L132" s="72">
        <v>680.4000000000002</v>
      </c>
    </row>
    <row r="133" spans="11:12" x14ac:dyDescent="0.4">
      <c r="K133" s="9">
        <v>131</v>
      </c>
      <c r="L133" s="72">
        <v>660.60000000000025</v>
      </c>
    </row>
    <row r="134" spans="11:12" x14ac:dyDescent="0.4">
      <c r="K134" s="9">
        <v>132</v>
      </c>
      <c r="L134" s="72">
        <v>698.20000000000027</v>
      </c>
    </row>
    <row r="135" spans="11:12" x14ac:dyDescent="0.4">
      <c r="K135" s="9">
        <v>133</v>
      </c>
      <c r="L135" s="72">
        <v>706.00000000000023</v>
      </c>
    </row>
    <row r="136" spans="11:12" x14ac:dyDescent="0.4">
      <c r="K136" s="9">
        <v>134</v>
      </c>
      <c r="L136" s="72">
        <v>774.10000000000025</v>
      </c>
    </row>
    <row r="137" spans="11:12" x14ac:dyDescent="0.4">
      <c r="K137" s="9">
        <v>135</v>
      </c>
      <c r="L137" s="72">
        <v>779.3000000000003</v>
      </c>
    </row>
    <row r="138" spans="11:12" x14ac:dyDescent="0.4">
      <c r="K138" s="9">
        <v>136</v>
      </c>
      <c r="L138" s="72">
        <v>795.50000000000034</v>
      </c>
    </row>
    <row r="139" spans="11:12" x14ac:dyDescent="0.4">
      <c r="K139" s="9">
        <v>137</v>
      </c>
      <c r="L139" s="72">
        <v>819.70000000000039</v>
      </c>
    </row>
    <row r="140" spans="11:12" x14ac:dyDescent="0.4">
      <c r="K140" s="9">
        <v>138</v>
      </c>
      <c r="L140" s="72">
        <v>840.30000000000041</v>
      </c>
    </row>
    <row r="141" spans="11:12" x14ac:dyDescent="0.4">
      <c r="K141" s="9">
        <v>139</v>
      </c>
      <c r="L141" s="72">
        <v>847.60000000000036</v>
      </c>
    </row>
    <row r="142" spans="11:12" x14ac:dyDescent="0.4">
      <c r="K142" s="9">
        <v>140</v>
      </c>
      <c r="L142" s="72">
        <v>852.40000000000032</v>
      </c>
    </row>
    <row r="143" spans="11:12" x14ac:dyDescent="0.4">
      <c r="K143" s="9">
        <v>141</v>
      </c>
      <c r="L143" s="72">
        <v>856.50000000000034</v>
      </c>
    </row>
    <row r="144" spans="11:12" x14ac:dyDescent="0.4">
      <c r="K144" s="9">
        <v>142</v>
      </c>
      <c r="L144" s="72">
        <v>844.50000000000034</v>
      </c>
    </row>
    <row r="145" spans="11:12" x14ac:dyDescent="0.4">
      <c r="K145" s="9">
        <v>143</v>
      </c>
      <c r="L145" s="72">
        <v>857.00000000000034</v>
      </c>
    </row>
    <row r="146" spans="11:12" x14ac:dyDescent="0.4">
      <c r="K146" s="9">
        <v>144</v>
      </c>
      <c r="L146" s="72">
        <v>844.10000000000036</v>
      </c>
    </row>
    <row r="147" spans="11:12" x14ac:dyDescent="0.4">
      <c r="K147" s="9">
        <v>145</v>
      </c>
      <c r="L147" s="72">
        <v>859.70000000000039</v>
      </c>
    </row>
    <row r="148" spans="11:12" x14ac:dyDescent="0.4">
      <c r="K148" s="9">
        <v>146</v>
      </c>
      <c r="L148" s="72">
        <v>875.30000000000041</v>
      </c>
    </row>
    <row r="149" spans="11:12" x14ac:dyDescent="0.4">
      <c r="K149" s="9">
        <v>147</v>
      </c>
      <c r="L149" s="72">
        <v>839.30000000000041</v>
      </c>
    </row>
    <row r="150" spans="11:12" x14ac:dyDescent="0.4">
      <c r="K150" s="9">
        <v>148</v>
      </c>
      <c r="L150" s="72">
        <v>809.70000000000039</v>
      </c>
    </row>
    <row r="151" spans="11:12" x14ac:dyDescent="0.4">
      <c r="K151" s="9">
        <v>149</v>
      </c>
      <c r="L151" s="72">
        <v>816.50000000000034</v>
      </c>
    </row>
    <row r="152" spans="11:12" x14ac:dyDescent="0.4">
      <c r="K152" s="9">
        <v>150</v>
      </c>
      <c r="L152" s="72">
        <v>802.50000000000034</v>
      </c>
    </row>
    <row r="153" spans="11:12" x14ac:dyDescent="0.4">
      <c r="K153" s="9">
        <v>151</v>
      </c>
      <c r="L153" s="72">
        <v>792.50000000000034</v>
      </c>
    </row>
    <row r="154" spans="11:12" x14ac:dyDescent="0.4">
      <c r="K154" s="9">
        <v>152</v>
      </c>
      <c r="L154" s="72">
        <v>837.10000000000036</v>
      </c>
    </row>
    <row r="155" spans="11:12" x14ac:dyDescent="0.4">
      <c r="K155" s="9">
        <v>153</v>
      </c>
      <c r="L155" s="72">
        <v>832.40000000000032</v>
      </c>
    </row>
    <row r="156" spans="11:12" x14ac:dyDescent="0.4">
      <c r="K156" s="9">
        <v>154</v>
      </c>
      <c r="L156" s="72">
        <v>846.8000000000003</v>
      </c>
    </row>
    <row r="157" spans="11:12" x14ac:dyDescent="0.4">
      <c r="K157" s="9">
        <v>155</v>
      </c>
      <c r="L157" s="72">
        <v>832.8000000000003</v>
      </c>
    </row>
    <row r="158" spans="11:12" x14ac:dyDescent="0.4">
      <c r="K158" s="9">
        <v>156</v>
      </c>
      <c r="L158" s="72">
        <v>839.90000000000032</v>
      </c>
    </row>
    <row r="159" spans="11:12" x14ac:dyDescent="0.4">
      <c r="K159" s="9">
        <v>157</v>
      </c>
      <c r="L159" s="72">
        <v>859.60000000000036</v>
      </c>
    </row>
    <row r="160" spans="11:12" x14ac:dyDescent="0.4">
      <c r="K160" s="9">
        <v>158</v>
      </c>
      <c r="L160" s="72">
        <v>883.40000000000032</v>
      </c>
    </row>
    <row r="161" spans="11:12" x14ac:dyDescent="0.4">
      <c r="K161" s="9">
        <v>159</v>
      </c>
      <c r="L161" s="72">
        <v>878.60000000000036</v>
      </c>
    </row>
    <row r="162" spans="11:12" x14ac:dyDescent="0.4">
      <c r="K162" s="9">
        <v>160</v>
      </c>
      <c r="L162" s="72">
        <v>911.10000000000036</v>
      </c>
    </row>
    <row r="163" spans="11:12" x14ac:dyDescent="0.4">
      <c r="K163" s="9">
        <v>161</v>
      </c>
      <c r="L163" s="72">
        <v>928.20000000000039</v>
      </c>
    </row>
    <row r="164" spans="11:12" x14ac:dyDescent="0.4">
      <c r="K164" s="9">
        <v>162</v>
      </c>
      <c r="L164" s="72">
        <v>940.50000000000034</v>
      </c>
    </row>
    <row r="165" spans="11:12" x14ac:dyDescent="0.4">
      <c r="K165" s="9">
        <v>163</v>
      </c>
      <c r="L165" s="72">
        <v>964.8000000000003</v>
      </c>
    </row>
    <row r="166" spans="11:12" x14ac:dyDescent="0.4">
      <c r="K166" s="9">
        <v>164</v>
      </c>
      <c r="L166" s="72">
        <v>952.60000000000025</v>
      </c>
    </row>
    <row r="167" spans="11:12" x14ac:dyDescent="0.4">
      <c r="K167" s="9">
        <v>165</v>
      </c>
      <c r="L167" s="72">
        <v>950.60000000000025</v>
      </c>
    </row>
    <row r="168" spans="11:12" x14ac:dyDescent="0.4">
      <c r="K168" s="9">
        <v>166</v>
      </c>
      <c r="L168" s="72">
        <v>910.00000000000023</v>
      </c>
    </row>
    <row r="169" spans="11:12" x14ac:dyDescent="0.4">
      <c r="K169" s="9">
        <v>167</v>
      </c>
      <c r="L169" s="72">
        <v>931.70000000000027</v>
      </c>
    </row>
    <row r="170" spans="11:12" x14ac:dyDescent="0.4">
      <c r="K170" s="9">
        <v>168</v>
      </c>
      <c r="L170" s="72">
        <v>972.40000000000032</v>
      </c>
    </row>
    <row r="171" spans="11:12" x14ac:dyDescent="0.4">
      <c r="K171" s="9">
        <v>169</v>
      </c>
      <c r="L171" s="72">
        <v>980.40000000000032</v>
      </c>
    </row>
    <row r="172" spans="11:12" x14ac:dyDescent="0.4">
      <c r="K172" s="9">
        <v>170</v>
      </c>
      <c r="L172" s="72">
        <v>988.10000000000036</v>
      </c>
    </row>
    <row r="173" spans="11:12" x14ac:dyDescent="0.4">
      <c r="K173" s="9">
        <v>171</v>
      </c>
      <c r="L173" s="72">
        <v>919.10000000000036</v>
      </c>
    </row>
    <row r="174" spans="11:12" x14ac:dyDescent="0.4">
      <c r="K174" s="9">
        <v>172</v>
      </c>
      <c r="L174" s="72">
        <v>916.10000000000036</v>
      </c>
    </row>
    <row r="175" spans="11:12" x14ac:dyDescent="0.4">
      <c r="K175" s="9">
        <v>173</v>
      </c>
      <c r="L175" s="72">
        <v>913.50000000000034</v>
      </c>
    </row>
    <row r="176" spans="11:12" x14ac:dyDescent="0.4">
      <c r="K176" s="9">
        <v>174</v>
      </c>
      <c r="L176" s="72">
        <v>972.50000000000034</v>
      </c>
    </row>
    <row r="177" spans="11:12" x14ac:dyDescent="0.4">
      <c r="K177" s="9">
        <v>175</v>
      </c>
      <c r="L177" s="72">
        <v>972.50000000000034</v>
      </c>
    </row>
    <row r="178" spans="11:12" x14ac:dyDescent="0.4">
      <c r="K178" s="9">
        <v>176</v>
      </c>
      <c r="L178" s="72">
        <v>952.00000000000034</v>
      </c>
    </row>
    <row r="179" spans="11:12" x14ac:dyDescent="0.4">
      <c r="K179" s="9">
        <v>177</v>
      </c>
      <c r="L179" s="72">
        <v>948.60000000000036</v>
      </c>
    </row>
    <row r="180" spans="11:12" x14ac:dyDescent="0.4">
      <c r="K180" s="9">
        <v>178</v>
      </c>
      <c r="L180" s="72">
        <v>988.10000000000036</v>
      </c>
    </row>
    <row r="181" spans="11:12" x14ac:dyDescent="0.4">
      <c r="K181" s="9">
        <v>179</v>
      </c>
      <c r="L181" s="72">
        <v>1049.1000000000004</v>
      </c>
    </row>
    <row r="182" spans="11:12" x14ac:dyDescent="0.4">
      <c r="K182" s="9">
        <v>180</v>
      </c>
      <c r="L182" s="72">
        <v>1060.8000000000004</v>
      </c>
    </row>
    <row r="183" spans="11:12" x14ac:dyDescent="0.4">
      <c r="K183" s="9">
        <v>181</v>
      </c>
      <c r="L183" s="72">
        <v>1076.9000000000003</v>
      </c>
    </row>
    <row r="184" spans="11:12" x14ac:dyDescent="0.4">
      <c r="K184" s="9">
        <v>182</v>
      </c>
      <c r="L184" s="72">
        <v>1134.4000000000003</v>
      </c>
    </row>
    <row r="185" spans="11:12" x14ac:dyDescent="0.4">
      <c r="K185" s="9">
        <v>183</v>
      </c>
      <c r="L185" s="72">
        <v>1121.9000000000003</v>
      </c>
    </row>
    <row r="186" spans="11:12" x14ac:dyDescent="0.4">
      <c r="K186" s="9">
        <v>184</v>
      </c>
      <c r="L186" s="72">
        <v>1132.6000000000004</v>
      </c>
    </row>
    <row r="187" spans="11:12" x14ac:dyDescent="0.4">
      <c r="K187" s="9">
        <v>185</v>
      </c>
      <c r="L187" s="72">
        <v>1163.7000000000003</v>
      </c>
    </row>
    <row r="188" spans="11:12" x14ac:dyDescent="0.4">
      <c r="K188" s="9">
        <v>186</v>
      </c>
      <c r="L188" s="72">
        <v>1173.9000000000003</v>
      </c>
    </row>
    <row r="189" spans="11:12" x14ac:dyDescent="0.4">
      <c r="K189" s="9">
        <v>187</v>
      </c>
      <c r="L189" s="72">
        <v>1182.2000000000003</v>
      </c>
    </row>
    <row r="190" spans="11:12" x14ac:dyDescent="0.4">
      <c r="K190" s="9">
        <v>188</v>
      </c>
      <c r="L190" s="72">
        <v>1180.3000000000002</v>
      </c>
    </row>
    <row r="191" spans="11:12" x14ac:dyDescent="0.4">
      <c r="K191" s="9">
        <v>189</v>
      </c>
      <c r="L191" s="72">
        <v>1180.8000000000002</v>
      </c>
    </row>
    <row r="192" spans="11:12" x14ac:dyDescent="0.4">
      <c r="K192" s="9">
        <v>190</v>
      </c>
      <c r="L192" s="72">
        <v>1228.8000000000002</v>
      </c>
    </row>
    <row r="193" spans="11:12" x14ac:dyDescent="0.4">
      <c r="K193" s="9">
        <v>191</v>
      </c>
      <c r="L193" s="72">
        <v>1251.6000000000001</v>
      </c>
    </row>
    <row r="194" spans="11:12" x14ac:dyDescent="0.4">
      <c r="K194" s="9">
        <v>192</v>
      </c>
      <c r="L194" s="72">
        <v>1257.6000000000001</v>
      </c>
    </row>
    <row r="195" spans="11:12" x14ac:dyDescent="0.4">
      <c r="K195" s="9">
        <v>193</v>
      </c>
      <c r="L195" s="72">
        <v>1240.6000000000001</v>
      </c>
    </row>
    <row r="196" spans="11:12" x14ac:dyDescent="0.4">
      <c r="K196" s="9">
        <v>194</v>
      </c>
      <c r="L196" s="72">
        <v>1221.7</v>
      </c>
    </row>
    <row r="197" spans="11:12" x14ac:dyDescent="0.4">
      <c r="K197" s="9">
        <v>195</v>
      </c>
      <c r="L197" s="72">
        <v>1258.4000000000001</v>
      </c>
    </row>
    <row r="198" spans="11:12" x14ac:dyDescent="0.4">
      <c r="K198" s="9">
        <v>196</v>
      </c>
      <c r="L198" s="72">
        <v>1270.8000000000002</v>
      </c>
    </row>
    <row r="199" spans="11:12" x14ac:dyDescent="0.4">
      <c r="K199" s="9">
        <v>197</v>
      </c>
      <c r="L199" s="72">
        <v>1284.8000000000002</v>
      </c>
    </row>
    <row r="200" spans="11:12" x14ac:dyDescent="0.4">
      <c r="K200" s="9">
        <v>198</v>
      </c>
      <c r="L200" s="72">
        <v>1291.6000000000001</v>
      </c>
    </row>
    <row r="201" spans="11:12" x14ac:dyDescent="0.4">
      <c r="K201" s="9">
        <v>199</v>
      </c>
      <c r="L201" s="72">
        <v>1284.0000000000002</v>
      </c>
    </row>
    <row r="202" spans="11:12" x14ac:dyDescent="0.4">
      <c r="K202" s="9">
        <v>200</v>
      </c>
      <c r="L202" s="72">
        <v>1297.7000000000003</v>
      </c>
    </row>
    <row r="203" spans="11:12" x14ac:dyDescent="0.4">
      <c r="K203" s="9">
        <v>201</v>
      </c>
      <c r="L203" s="72">
        <v>1298.0000000000002</v>
      </c>
    </row>
    <row r="204" spans="11:12" x14ac:dyDescent="0.4">
      <c r="K204" s="9">
        <v>202</v>
      </c>
      <c r="L204" s="72">
        <v>1292.6000000000001</v>
      </c>
    </row>
    <row r="205" spans="11:12" x14ac:dyDescent="0.4">
      <c r="K205" s="9">
        <v>203</v>
      </c>
      <c r="L205" s="72">
        <v>1249.4000000000001</v>
      </c>
    </row>
    <row r="206" spans="11:12" x14ac:dyDescent="0.4">
      <c r="K206" s="9">
        <v>204</v>
      </c>
      <c r="L206" s="72">
        <v>1267.6000000000001</v>
      </c>
    </row>
    <row r="207" spans="11:12" x14ac:dyDescent="0.4">
      <c r="K207" s="9">
        <v>205</v>
      </c>
      <c r="L207" s="72">
        <v>1290.4000000000001</v>
      </c>
    </row>
    <row r="208" spans="11:12" x14ac:dyDescent="0.4">
      <c r="K208" s="9">
        <v>206</v>
      </c>
      <c r="L208" s="72">
        <v>1298.5</v>
      </c>
    </row>
    <row r="209" spans="11:12" x14ac:dyDescent="0.4">
      <c r="K209" s="9">
        <v>207</v>
      </c>
      <c r="L209" s="72">
        <v>1303.5</v>
      </c>
    </row>
    <row r="210" spans="11:12" x14ac:dyDescent="0.4">
      <c r="K210" s="9">
        <v>208</v>
      </c>
      <c r="L210" s="72">
        <v>1264.5</v>
      </c>
    </row>
    <row r="211" spans="11:12" x14ac:dyDescent="0.4">
      <c r="K211" s="9">
        <v>209</v>
      </c>
      <c r="L211" s="72">
        <v>1272.7</v>
      </c>
    </row>
    <row r="212" spans="11:12" x14ac:dyDescent="0.4">
      <c r="K212" s="9">
        <v>210</v>
      </c>
      <c r="L212" s="72">
        <v>1285.7</v>
      </c>
    </row>
    <row r="213" spans="11:12" x14ac:dyDescent="0.4">
      <c r="K213" s="9">
        <v>211</v>
      </c>
      <c r="L213" s="72">
        <v>1295.8</v>
      </c>
    </row>
    <row r="214" spans="11:12" x14ac:dyDescent="0.4">
      <c r="K214" s="9">
        <v>212</v>
      </c>
      <c r="L214" s="72">
        <v>1317.5</v>
      </c>
    </row>
    <row r="215" spans="11:12" x14ac:dyDescent="0.4">
      <c r="K215" s="9">
        <v>213</v>
      </c>
      <c r="L215" s="72">
        <v>1277.0999999999999</v>
      </c>
    </row>
    <row r="216" spans="11:12" x14ac:dyDescent="0.4">
      <c r="K216" s="9">
        <v>214</v>
      </c>
      <c r="L216" s="72">
        <v>1329.1999999999998</v>
      </c>
    </row>
    <row r="217" spans="11:12" x14ac:dyDescent="0.4">
      <c r="K217" s="9">
        <v>215</v>
      </c>
      <c r="L217" s="72">
        <v>1333.6999999999998</v>
      </c>
    </row>
    <row r="218" spans="11:12" x14ac:dyDescent="0.4">
      <c r="K218" s="9">
        <v>216</v>
      </c>
      <c r="L218" s="72">
        <v>1318.6999999999998</v>
      </c>
    </row>
    <row r="219" spans="11:12" x14ac:dyDescent="0.4">
      <c r="K219" s="9">
        <v>217</v>
      </c>
      <c r="L219" s="72">
        <v>1326.4999999999998</v>
      </c>
    </row>
    <row r="220" spans="11:12" x14ac:dyDescent="0.4">
      <c r="K220" s="9">
        <v>218</v>
      </c>
      <c r="L220" s="72">
        <v>1345.0999999999997</v>
      </c>
    </row>
    <row r="221" spans="11:12" x14ac:dyDescent="0.4">
      <c r="K221" s="9">
        <v>219</v>
      </c>
      <c r="L221" s="72">
        <v>1351.2999999999997</v>
      </c>
    </row>
    <row r="222" spans="11:12" x14ac:dyDescent="0.4">
      <c r="K222" s="9">
        <v>220</v>
      </c>
      <c r="L222" s="72">
        <v>1363.8999999999996</v>
      </c>
    </row>
    <row r="223" spans="11:12" x14ac:dyDescent="0.4">
      <c r="K223" s="9">
        <v>221</v>
      </c>
      <c r="L223" s="72">
        <v>1377.2999999999997</v>
      </c>
    </row>
    <row r="224" spans="11:12" x14ac:dyDescent="0.4">
      <c r="K224" s="9">
        <v>222</v>
      </c>
      <c r="L224" s="72">
        <v>1383.3999999999996</v>
      </c>
    </row>
    <row r="225" spans="11:12" x14ac:dyDescent="0.4">
      <c r="K225" s="9">
        <v>223</v>
      </c>
      <c r="L225" s="72">
        <v>1450.0999999999997</v>
      </c>
    </row>
    <row r="226" spans="11:12" x14ac:dyDescent="0.4">
      <c r="K226" s="9">
        <v>224</v>
      </c>
      <c r="L226" s="72">
        <v>1411.9999999999998</v>
      </c>
    </row>
    <row r="227" spans="11:12" x14ac:dyDescent="0.4">
      <c r="K227" s="9">
        <v>225</v>
      </c>
      <c r="L227" s="72">
        <v>1434.9999999999998</v>
      </c>
    </row>
    <row r="228" spans="11:12" x14ac:dyDescent="0.4">
      <c r="K228" s="9">
        <v>226</v>
      </c>
      <c r="L228" s="72">
        <v>1444.4999999999998</v>
      </c>
    </row>
    <row r="229" spans="11:12" x14ac:dyDescent="0.4">
      <c r="K229" s="9">
        <v>227</v>
      </c>
      <c r="L229" s="72">
        <v>1449.4999999999998</v>
      </c>
    </row>
    <row r="230" spans="11:12" x14ac:dyDescent="0.4">
      <c r="K230" s="9">
        <v>228</v>
      </c>
      <c r="L230" s="72">
        <v>1457.2999999999997</v>
      </c>
    </row>
    <row r="231" spans="11:12" x14ac:dyDescent="0.4">
      <c r="K231" s="9">
        <v>229</v>
      </c>
      <c r="L231" s="72">
        <v>1499.5999999999997</v>
      </c>
    </row>
    <row r="232" spans="11:12" x14ac:dyDescent="0.4">
      <c r="K232" s="9">
        <v>230</v>
      </c>
      <c r="L232" s="72">
        <v>1540.2999999999997</v>
      </c>
    </row>
    <row r="233" spans="11:12" x14ac:dyDescent="0.4">
      <c r="K233" s="9">
        <v>231</v>
      </c>
      <c r="L233" s="72">
        <v>1540.3999999999996</v>
      </c>
    </row>
    <row r="234" spans="11:12" x14ac:dyDescent="0.4">
      <c r="K234" s="9">
        <v>232</v>
      </c>
      <c r="L234" s="72">
        <v>1552.5999999999997</v>
      </c>
    </row>
    <row r="235" spans="11:12" x14ac:dyDescent="0.4">
      <c r="K235" s="9">
        <v>233</v>
      </c>
      <c r="L235" s="72">
        <v>1562.0999999999997</v>
      </c>
    </row>
    <row r="236" spans="11:12" x14ac:dyDescent="0.4">
      <c r="K236" s="9">
        <v>234</v>
      </c>
      <c r="L236" s="72">
        <v>1589.2999999999997</v>
      </c>
    </row>
    <row r="237" spans="11:12" x14ac:dyDescent="0.4">
      <c r="K237" s="9">
        <v>235</v>
      </c>
      <c r="L237" s="72">
        <v>1576.6999999999998</v>
      </c>
    </row>
    <row r="238" spans="11:12" x14ac:dyDescent="0.4">
      <c r="K238" s="9">
        <v>236</v>
      </c>
      <c r="L238" s="72">
        <v>1584.1999999999998</v>
      </c>
    </row>
    <row r="239" spans="11:12" x14ac:dyDescent="0.4">
      <c r="K239" s="9">
        <v>237</v>
      </c>
      <c r="L239" s="72">
        <v>1591.9999999999998</v>
      </c>
    </row>
    <row r="240" spans="11:12" x14ac:dyDescent="0.4">
      <c r="K240" s="9">
        <v>238</v>
      </c>
      <c r="L240" s="72">
        <v>1638.8999999999999</v>
      </c>
    </row>
    <row r="241" spans="11:12" x14ac:dyDescent="0.4">
      <c r="K241" s="9">
        <v>239</v>
      </c>
      <c r="L241" s="72">
        <v>1645.1999999999998</v>
      </c>
    </row>
    <row r="242" spans="11:12" x14ac:dyDescent="0.4">
      <c r="K242" s="9">
        <v>240</v>
      </c>
      <c r="L242" s="72">
        <v>1669.4999999999998</v>
      </c>
    </row>
    <row r="243" spans="11:12" x14ac:dyDescent="0.4">
      <c r="K243" s="9">
        <v>241</v>
      </c>
      <c r="L243" s="72">
        <v>1659.0999999999997</v>
      </c>
    </row>
    <row r="244" spans="11:12" x14ac:dyDescent="0.4">
      <c r="K244" s="9">
        <v>242</v>
      </c>
      <c r="L244" s="72">
        <v>1658.0999999999997</v>
      </c>
    </row>
    <row r="245" spans="11:12" x14ac:dyDescent="0.4">
      <c r="K245" s="9">
        <v>243</v>
      </c>
      <c r="L245" s="72">
        <v>1677.8999999999996</v>
      </c>
    </row>
    <row r="246" spans="11:12" x14ac:dyDescent="0.4">
      <c r="K246" s="9">
        <v>244</v>
      </c>
      <c r="L246" s="72">
        <v>1705.5999999999997</v>
      </c>
    </row>
    <row r="247" spans="11:12" x14ac:dyDescent="0.4">
      <c r="K247" s="9">
        <v>245</v>
      </c>
      <c r="L247" s="72">
        <v>1713.0999999999997</v>
      </c>
    </row>
    <row r="248" spans="11:12" x14ac:dyDescent="0.4">
      <c r="K248" s="9">
        <v>246</v>
      </c>
      <c r="L248" s="72">
        <v>1744.5999999999997</v>
      </c>
    </row>
    <row r="249" spans="11:12" x14ac:dyDescent="0.4">
      <c r="K249" s="9">
        <v>247</v>
      </c>
      <c r="L249" s="72">
        <v>1797.0999999999997</v>
      </c>
    </row>
    <row r="250" spans="11:12" x14ac:dyDescent="0.4">
      <c r="K250" s="9">
        <v>248</v>
      </c>
      <c r="L250" s="72">
        <v>1790.8999999999996</v>
      </c>
    </row>
    <row r="251" spans="11:12" x14ac:dyDescent="0.4">
      <c r="K251" s="9">
        <v>249</v>
      </c>
      <c r="L251" s="72">
        <v>1782.0999999999997</v>
      </c>
    </row>
    <row r="252" spans="11:12" x14ac:dyDescent="0.4">
      <c r="K252" s="9">
        <v>250</v>
      </c>
      <c r="L252" s="72">
        <v>1800.5999999999997</v>
      </c>
    </row>
    <row r="253" spans="11:12" x14ac:dyDescent="0.4">
      <c r="K253" s="9">
        <v>251</v>
      </c>
      <c r="L253" s="72">
        <v>1833.6999999999996</v>
      </c>
    </row>
    <row r="254" spans="11:12" x14ac:dyDescent="0.4">
      <c r="K254" s="9">
        <v>252</v>
      </c>
      <c r="L254" s="72">
        <v>1901.6999999999996</v>
      </c>
    </row>
    <row r="255" spans="11:12" x14ac:dyDescent="0.4">
      <c r="K255" s="9">
        <v>253</v>
      </c>
      <c r="L255" s="72">
        <v>1879.7999999999995</v>
      </c>
    </row>
    <row r="256" spans="11:12" x14ac:dyDescent="0.4">
      <c r="K256" s="9">
        <v>254</v>
      </c>
      <c r="L256" s="72">
        <v>1888.7999999999995</v>
      </c>
    </row>
    <row r="257" spans="11:12" x14ac:dyDescent="0.4">
      <c r="K257" s="9">
        <v>255</v>
      </c>
      <c r="L257" s="72">
        <v>1915.3999999999994</v>
      </c>
    </row>
    <row r="258" spans="11:12" x14ac:dyDescent="0.4">
      <c r="K258" s="9">
        <v>256</v>
      </c>
      <c r="L258" s="72">
        <v>1934.3999999999994</v>
      </c>
    </row>
    <row r="259" spans="11:12" x14ac:dyDescent="0.4">
      <c r="K259" s="9">
        <v>257</v>
      </c>
      <c r="L259" s="72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ED09-39EE-4D1A-B1B0-4CA4039D0874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210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65</v>
      </c>
      <c r="F2" s="30" t="s">
        <v>21</v>
      </c>
      <c r="G2" s="17">
        <v>0</v>
      </c>
      <c r="H2" s="104">
        <f>IF(B$29=0,0,G2/B$29)</f>
        <v>0</v>
      </c>
      <c r="I2" s="66">
        <v>14</v>
      </c>
      <c r="K2" s="7">
        <v>0</v>
      </c>
      <c r="L2" s="71">
        <v>0</v>
      </c>
      <c r="N2" s="86" t="s">
        <v>132</v>
      </c>
      <c r="O2" s="93">
        <f t="shared" ref="O2:O7" si="0">IF(P2=0,0,Q2/P2)</f>
        <v>-9250</v>
      </c>
      <c r="P2" s="90">
        <v>4</v>
      </c>
      <c r="Q2" s="74">
        <v>-37000</v>
      </c>
    </row>
    <row r="3" spans="1:17" x14ac:dyDescent="0.4">
      <c r="A3" s="26" t="s">
        <v>8</v>
      </c>
      <c r="B3" s="128">
        <v>25</v>
      </c>
      <c r="C3" s="129"/>
      <c r="E3" s="34" t="s">
        <v>66</v>
      </c>
      <c r="F3" s="31" t="s">
        <v>22</v>
      </c>
      <c r="G3" s="18">
        <v>0</v>
      </c>
      <c r="H3" s="105">
        <f>IF(B$29=0,0,G3/B$29)</f>
        <v>0</v>
      </c>
      <c r="I3" s="67">
        <v>12</v>
      </c>
      <c r="K3" s="9">
        <v>1</v>
      </c>
      <c r="L3" s="72">
        <v>-22</v>
      </c>
      <c r="N3" s="87" t="s">
        <v>133</v>
      </c>
      <c r="O3" s="94">
        <f t="shared" si="0"/>
        <v>-7225</v>
      </c>
      <c r="P3" s="91">
        <v>4</v>
      </c>
      <c r="Q3" s="75">
        <v>-28900</v>
      </c>
    </row>
    <row r="4" spans="1:17" x14ac:dyDescent="0.4">
      <c r="A4" s="26" t="s">
        <v>6</v>
      </c>
      <c r="B4" s="130">
        <v>-132.1</v>
      </c>
      <c r="C4" s="131"/>
      <c r="E4" s="34" t="s">
        <v>67</v>
      </c>
      <c r="F4" s="31" t="s">
        <v>23</v>
      </c>
      <c r="G4" s="18">
        <v>0</v>
      </c>
      <c r="H4" s="105">
        <f>IF(B$29=0,0,G4/B$29)</f>
        <v>0</v>
      </c>
      <c r="I4" s="67">
        <v>14</v>
      </c>
      <c r="K4" s="9">
        <v>2</v>
      </c>
      <c r="L4" s="72">
        <v>-60.4</v>
      </c>
      <c r="N4" s="87" t="s">
        <v>134</v>
      </c>
      <c r="O4" s="94">
        <f t="shared" si="0"/>
        <v>-10875</v>
      </c>
      <c r="P4" s="91">
        <v>4</v>
      </c>
      <c r="Q4" s="75">
        <v>-43500</v>
      </c>
    </row>
    <row r="5" spans="1:17" x14ac:dyDescent="0.4">
      <c r="A5" s="26" t="s">
        <v>7</v>
      </c>
      <c r="B5" s="132">
        <f>IF(B$2=0,0,B$4/B$2)</f>
        <v>-33.024999999999999</v>
      </c>
      <c r="C5" s="133"/>
      <c r="E5" s="34" t="s">
        <v>68</v>
      </c>
      <c r="F5" s="31" t="s">
        <v>24</v>
      </c>
      <c r="G5" s="18">
        <v>0</v>
      </c>
      <c r="H5" s="105">
        <f>IF(B$29=0,0,G5/B$29)</f>
        <v>0</v>
      </c>
      <c r="I5" s="67">
        <v>14</v>
      </c>
      <c r="K5" s="9">
        <v>3</v>
      </c>
      <c r="L5" s="72">
        <v>-85.6</v>
      </c>
      <c r="N5" s="87" t="s">
        <v>135</v>
      </c>
      <c r="O5" s="94">
        <f t="shared" si="0"/>
        <v>-2850</v>
      </c>
      <c r="P5" s="91">
        <v>2</v>
      </c>
      <c r="Q5" s="75">
        <v>-5700</v>
      </c>
    </row>
    <row r="6" spans="1:17" x14ac:dyDescent="0.4">
      <c r="A6" s="26" t="s">
        <v>1</v>
      </c>
      <c r="B6" s="134">
        <f>IF(B$2=0,0,(B$7*1+B$8*2+B$9*3)/B$2)</f>
        <v>3</v>
      </c>
      <c r="C6" s="135"/>
      <c r="E6" s="34" t="s">
        <v>180</v>
      </c>
      <c r="F6" s="31" t="s">
        <v>181</v>
      </c>
      <c r="G6" s="18">
        <v>0</v>
      </c>
      <c r="H6" s="105">
        <f>IF(B$29=0,0,G6/B$29)</f>
        <v>0</v>
      </c>
      <c r="I6" s="67">
        <v>14</v>
      </c>
      <c r="K6" s="9">
        <v>4</v>
      </c>
      <c r="L6" s="72">
        <v>-132.1</v>
      </c>
      <c r="N6" s="87" t="s">
        <v>136</v>
      </c>
      <c r="O6" s="94">
        <f t="shared" si="0"/>
        <v>-6000</v>
      </c>
      <c r="P6" s="91">
        <v>2</v>
      </c>
      <c r="Q6" s="75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>IF(B$29=0,0,G7/B$29)</f>
        <v>0</v>
      </c>
      <c r="I7" s="67">
        <v>14</v>
      </c>
      <c r="N7" s="88" t="s">
        <v>137</v>
      </c>
      <c r="O7" s="95">
        <f t="shared" si="0"/>
        <v>-5000</v>
      </c>
      <c r="P7" s="92">
        <v>1</v>
      </c>
      <c r="Q7" s="76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>IF(B$29=0,0,G8/B$29)</f>
        <v>0</v>
      </c>
      <c r="I8" s="67">
        <v>13</v>
      </c>
      <c r="N8" s="14"/>
      <c r="O8" s="99"/>
      <c r="P8" s="83"/>
      <c r="Q8" s="81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5">
        <f>IF(B$29=0,0,G9/B$29)</f>
        <v>0</v>
      </c>
      <c r="I9" s="67">
        <v>12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5">
        <f>IF(B$29=0,0,G10/B$29)</f>
        <v>0</v>
      </c>
      <c r="I10" s="67">
        <v>12</v>
      </c>
      <c r="N10" s="86" t="s">
        <v>162</v>
      </c>
      <c r="O10" s="96">
        <f>IF(P10=0,0,Q10/P10)</f>
        <v>-30.2</v>
      </c>
      <c r="P10" s="90">
        <v>2</v>
      </c>
      <c r="Q10" s="78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>IF(B$29=0,0,G11/B$29)</f>
        <v>0</v>
      </c>
      <c r="I11" s="67">
        <v>14</v>
      </c>
      <c r="N11" s="87" t="s">
        <v>163</v>
      </c>
      <c r="O11" s="97">
        <f>IF(P11=0,0,Q11/P11)</f>
        <v>-25.2</v>
      </c>
      <c r="P11" s="91">
        <v>1</v>
      </c>
      <c r="Q11" s="79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>IF(B$29=0,0,G12/B$29)</f>
        <v>0</v>
      </c>
      <c r="I12" s="67">
        <v>7</v>
      </c>
      <c r="N12" s="88" t="s">
        <v>164</v>
      </c>
      <c r="O12" s="98">
        <f>IF(P12=0,0,Q12/P12)</f>
        <v>-46.5</v>
      </c>
      <c r="P12" s="92">
        <v>1</v>
      </c>
      <c r="Q12" s="80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>IF(B$29=0,0,G13/B$29)</f>
        <v>0</v>
      </c>
      <c r="I13" s="67">
        <v>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>IF(B$29=0,0,G15/B$29)</f>
        <v>0</v>
      </c>
      <c r="I15" s="67">
        <v>1</v>
      </c>
      <c r="N15" s="86" t="s">
        <v>174</v>
      </c>
      <c r="O15" s="96">
        <f>IF(P15=0,0,Q15/P15)</f>
        <v>-26.766666666666666</v>
      </c>
      <c r="P15" s="90">
        <v>3</v>
      </c>
      <c r="Q15" s="78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>IF(B$29=0,0,G16/B$29)</f>
        <v>0</v>
      </c>
      <c r="I16" s="67">
        <v>7</v>
      </c>
      <c r="N16" s="87" t="s">
        <v>196</v>
      </c>
      <c r="O16" s="97">
        <f>IF(P16=0,0,Q16/P16)</f>
        <v>-29</v>
      </c>
      <c r="P16" s="91">
        <v>1</v>
      </c>
      <c r="Q16" s="79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5">
        <f>IF(B$29=0,0,G17/B$29)</f>
        <v>0</v>
      </c>
      <c r="I17" s="67">
        <v>10</v>
      </c>
      <c r="N17" s="87" t="s">
        <v>127</v>
      </c>
      <c r="O17" s="97">
        <f>IF(P17=0,0,Q17/P17)</f>
        <v>-71.75</v>
      </c>
      <c r="P17" s="91">
        <v>4</v>
      </c>
      <c r="Q17" s="79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5">
        <f>IF(B$29=0,0,G18/B$29)</f>
        <v>0</v>
      </c>
      <c r="I18" s="67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>IF(B$29=0,0,G19/B$29)</f>
        <v>0</v>
      </c>
      <c r="I19" s="67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1</v>
      </c>
      <c r="C21" s="107">
        <v>0</v>
      </c>
      <c r="E21" s="34" t="s">
        <v>83</v>
      </c>
      <c r="F21" s="31" t="s">
        <v>38</v>
      </c>
      <c r="G21" s="18">
        <v>0</v>
      </c>
      <c r="H21" s="105">
        <f>IF(B$29=0,0,G21/B$29)</f>
        <v>0</v>
      </c>
      <c r="I21" s="67">
        <v>1</v>
      </c>
    </row>
    <row r="22" spans="1:17" x14ac:dyDescent="0.4">
      <c r="A22" s="26" t="s">
        <v>179</v>
      </c>
      <c r="B22" s="18">
        <v>4</v>
      </c>
      <c r="C22" s="107">
        <v>2</v>
      </c>
      <c r="E22" s="34" t="s">
        <v>84</v>
      </c>
      <c r="F22" s="31" t="s">
        <v>39</v>
      </c>
      <c r="G22" s="18">
        <v>0</v>
      </c>
      <c r="H22" s="105">
        <f>IF(B$29=0,0,G22/B$29)</f>
        <v>0</v>
      </c>
      <c r="I22" s="67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5">
        <f>IF(B$29=0,0,G23/B$29)</f>
        <v>0</v>
      </c>
      <c r="I23" s="67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5">
        <f>IF(B$29=0,0,G24/B$29)</f>
        <v>0</v>
      </c>
      <c r="I24" s="67">
        <v>6</v>
      </c>
    </row>
    <row r="25" spans="1:17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>IF(B$29=0,0,G25/B$29)</f>
        <v>0</v>
      </c>
      <c r="I25" s="67">
        <v>14</v>
      </c>
    </row>
    <row r="26" spans="1:17" x14ac:dyDescent="0.4">
      <c r="A26" s="29" t="s">
        <v>152</v>
      </c>
      <c r="B26" s="120">
        <v>13000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E7708-A50C-471B-A2CF-A7197D9524FF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196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67</v>
      </c>
      <c r="F2" s="30" t="s">
        <v>23</v>
      </c>
      <c r="G2" s="17">
        <v>5</v>
      </c>
      <c r="H2" s="104">
        <f>IF(B$29=0,0,G2/B$29)</f>
        <v>1.25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-7250</v>
      </c>
      <c r="P2" s="90">
        <v>4</v>
      </c>
      <c r="Q2" s="74">
        <v>-29000</v>
      </c>
    </row>
    <row r="3" spans="1:17" x14ac:dyDescent="0.4">
      <c r="A3" s="26" t="s">
        <v>8</v>
      </c>
      <c r="B3" s="128">
        <v>24</v>
      </c>
      <c r="C3" s="129"/>
      <c r="E3" s="34" t="s">
        <v>73</v>
      </c>
      <c r="F3" s="31" t="s">
        <v>28</v>
      </c>
      <c r="G3" s="18">
        <v>3</v>
      </c>
      <c r="H3" s="105">
        <f>IF(B$29=0,0,G3/B$29)</f>
        <v>0.75</v>
      </c>
      <c r="I3" s="67">
        <v>2</v>
      </c>
      <c r="K3" s="9">
        <v>1</v>
      </c>
      <c r="L3" s="72">
        <v>7</v>
      </c>
      <c r="N3" s="87" t="s">
        <v>133</v>
      </c>
      <c r="O3" s="94">
        <f t="shared" si="0"/>
        <v>-3166.6666666666665</v>
      </c>
      <c r="P3" s="91">
        <v>3</v>
      </c>
      <c r="Q3" s="75">
        <v>-9500</v>
      </c>
    </row>
    <row r="4" spans="1:17" x14ac:dyDescent="0.4">
      <c r="A4" s="26" t="s">
        <v>6</v>
      </c>
      <c r="B4" s="130">
        <v>-15.5</v>
      </c>
      <c r="C4" s="131"/>
      <c r="E4" s="34" t="s">
        <v>65</v>
      </c>
      <c r="F4" s="31" t="s">
        <v>21</v>
      </c>
      <c r="G4" s="18">
        <v>2</v>
      </c>
      <c r="H4" s="105">
        <f>IF(B$29=0,0,G4/B$29)</f>
        <v>0.5</v>
      </c>
      <c r="I4" s="67">
        <v>9</v>
      </c>
      <c r="K4" s="9">
        <v>2</v>
      </c>
      <c r="L4" s="72">
        <v>-24.5</v>
      </c>
      <c r="N4" s="87" t="s">
        <v>134</v>
      </c>
      <c r="O4" s="94">
        <f t="shared" si="0"/>
        <v>-3666.6666666666665</v>
      </c>
      <c r="P4" s="91">
        <v>3</v>
      </c>
      <c r="Q4" s="75">
        <v>-11000</v>
      </c>
    </row>
    <row r="5" spans="1:17" x14ac:dyDescent="0.4">
      <c r="A5" s="26" t="s">
        <v>7</v>
      </c>
      <c r="B5" s="132">
        <f>IF(B$2=0,0,B$4/B$2)</f>
        <v>-3.875</v>
      </c>
      <c r="C5" s="133"/>
      <c r="E5" s="34" t="s">
        <v>68</v>
      </c>
      <c r="F5" s="31" t="s">
        <v>24</v>
      </c>
      <c r="G5" s="18">
        <v>2</v>
      </c>
      <c r="H5" s="105">
        <f>IF(B$29=0,0,G5/B$29)</f>
        <v>0.5</v>
      </c>
      <c r="I5" s="67">
        <v>2</v>
      </c>
      <c r="K5" s="9">
        <v>3</v>
      </c>
      <c r="L5" s="72">
        <v>-26.5</v>
      </c>
      <c r="N5" s="87" t="s">
        <v>135</v>
      </c>
      <c r="O5" s="94">
        <f t="shared" si="0"/>
        <v>4000</v>
      </c>
      <c r="P5" s="91">
        <v>2</v>
      </c>
      <c r="Q5" s="75">
        <v>8000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180</v>
      </c>
      <c r="F6" s="31" t="s">
        <v>181</v>
      </c>
      <c r="G6" s="18">
        <v>2</v>
      </c>
      <c r="H6" s="105">
        <f>IF(B$29=0,0,G6/B$29)</f>
        <v>0.5</v>
      </c>
      <c r="I6" s="67">
        <v>13</v>
      </c>
      <c r="K6" s="9">
        <v>4</v>
      </c>
      <c r="L6" s="72">
        <v>-15.5</v>
      </c>
      <c r="N6" s="87" t="s">
        <v>136</v>
      </c>
      <c r="O6" s="94">
        <f t="shared" si="0"/>
        <v>21500</v>
      </c>
      <c r="P6" s="91">
        <v>2</v>
      </c>
      <c r="Q6" s="75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5">
        <f>IF(B$29=0,0,G7/B$29)</f>
        <v>0.5</v>
      </c>
      <c r="I7" s="67">
        <v>1</v>
      </c>
      <c r="N7" s="88" t="s">
        <v>137</v>
      </c>
      <c r="O7" s="95">
        <f t="shared" si="0"/>
        <v>-8500</v>
      </c>
      <c r="P7" s="92">
        <v>2</v>
      </c>
      <c r="Q7" s="76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5">
        <f>IF(B$29=0,0,G8/B$29)</f>
        <v>0.25</v>
      </c>
      <c r="I8" s="67">
        <v>10</v>
      </c>
      <c r="N8" s="14"/>
      <c r="O8" s="99"/>
      <c r="P8" s="83"/>
      <c r="Q8" s="81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5">
        <f>IF(B$29=0,0,G9/B$29)</f>
        <v>0.25</v>
      </c>
      <c r="I9" s="67">
        <v>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5">
        <f>IF(B$29=0,0,G10/B$29)</f>
        <v>0.25</v>
      </c>
      <c r="I10" s="67">
        <v>1</v>
      </c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5">
        <f>IF(B$29=0,0,G11/B$29)</f>
        <v>0.25</v>
      </c>
      <c r="I11" s="67">
        <v>1</v>
      </c>
      <c r="N11" s="87" t="s">
        <v>163</v>
      </c>
      <c r="O11" s="97">
        <f>IF(P11=0,0,Q11/P11)</f>
        <v>9</v>
      </c>
      <c r="P11" s="91">
        <v>2</v>
      </c>
      <c r="Q11" s="79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5">
        <f>IF(B$29=0,0,G12/B$29)</f>
        <v>0.25</v>
      </c>
      <c r="I12" s="67">
        <v>1</v>
      </c>
      <c r="N12" s="88" t="s">
        <v>164</v>
      </c>
      <c r="O12" s="98">
        <f>IF(P12=0,0,Q12/P12)</f>
        <v>-16.75</v>
      </c>
      <c r="P12" s="92">
        <v>2</v>
      </c>
      <c r="Q12" s="80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5">
        <f>IF(B$29=0,0,G14/B$29)</f>
        <v>0</v>
      </c>
      <c r="I14" s="67">
        <v>12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210</v>
      </c>
      <c r="O15" s="96">
        <f>IF(P15=0,0,Q15/P15)</f>
        <v>29</v>
      </c>
      <c r="P15" s="90">
        <v>1</v>
      </c>
      <c r="Q15" s="78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167</v>
      </c>
      <c r="O16" s="97">
        <f>IF(P16=0,0,Q16/P16)</f>
        <v>3.9666666666666663</v>
      </c>
      <c r="P16" s="91">
        <v>3</v>
      </c>
      <c r="Q16" s="79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127</v>
      </c>
      <c r="O17" s="97">
        <f>IF(P17=0,0,Q17/P17)</f>
        <v>-8</v>
      </c>
      <c r="P17" s="91">
        <v>1</v>
      </c>
      <c r="Q17" s="79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128</v>
      </c>
      <c r="O18" s="97">
        <f>IF(P18=0,0,Q18/P18)</f>
        <v>-26.466666666666669</v>
      </c>
      <c r="P18" s="91">
        <v>3</v>
      </c>
      <c r="Q18" s="79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11</v>
      </c>
      <c r="C22" s="107">
        <v>0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3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46000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19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4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586-D76B-41F5-A4B0-1AFFF2347C6B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142</v>
      </c>
      <c r="C2" s="123"/>
      <c r="E2" s="33" t="s">
        <v>180</v>
      </c>
      <c r="F2" s="30" t="s">
        <v>181</v>
      </c>
      <c r="G2" s="17">
        <v>179</v>
      </c>
      <c r="H2" s="104">
        <f>IF(B$29=0,0,G2/B$29)</f>
        <v>0.78854625550660795</v>
      </c>
      <c r="I2" s="66">
        <v>10</v>
      </c>
      <c r="K2" s="7">
        <v>0</v>
      </c>
      <c r="L2" s="71">
        <v>0</v>
      </c>
      <c r="N2" s="86" t="s">
        <v>132</v>
      </c>
      <c r="O2" s="93">
        <f t="shared" ref="O2:O7" si="0">IF(P2=0,0,Q2/P2)</f>
        <v>-1066.4285714285713</v>
      </c>
      <c r="P2" s="90">
        <v>140</v>
      </c>
      <c r="Q2" s="74">
        <v>-149300</v>
      </c>
    </row>
    <row r="3" spans="1:17" x14ac:dyDescent="0.4">
      <c r="A3" s="26" t="s">
        <v>8</v>
      </c>
      <c r="B3" s="128">
        <v>1103</v>
      </c>
      <c r="C3" s="129"/>
      <c r="E3" s="34" t="s">
        <v>67</v>
      </c>
      <c r="F3" s="31" t="s">
        <v>23</v>
      </c>
      <c r="G3" s="18">
        <v>153</v>
      </c>
      <c r="H3" s="105">
        <f>IF(B$29=0,0,G3/B$29)</f>
        <v>0.67400881057268724</v>
      </c>
      <c r="I3" s="67">
        <v>9</v>
      </c>
      <c r="K3" s="9">
        <v>1</v>
      </c>
      <c r="L3" s="72">
        <v>40.9</v>
      </c>
      <c r="N3" s="87" t="s">
        <v>133</v>
      </c>
      <c r="O3" s="94">
        <f t="shared" si="0"/>
        <v>-1137.5</v>
      </c>
      <c r="P3" s="91">
        <v>136</v>
      </c>
      <c r="Q3" s="75">
        <v>-154700</v>
      </c>
    </row>
    <row r="4" spans="1:17" x14ac:dyDescent="0.4">
      <c r="A4" s="26" t="s">
        <v>6</v>
      </c>
      <c r="B4" s="130">
        <v>-538.49999999999989</v>
      </c>
      <c r="C4" s="131"/>
      <c r="E4" s="34" t="s">
        <v>65</v>
      </c>
      <c r="F4" s="31" t="s">
        <v>21</v>
      </c>
      <c r="G4" s="18">
        <v>139</v>
      </c>
      <c r="H4" s="105">
        <f>IF(B$29=0,0,G4/B$29)</f>
        <v>0.61233480176211452</v>
      </c>
      <c r="I4" s="67">
        <v>4</v>
      </c>
      <c r="K4" s="9">
        <v>2</v>
      </c>
      <c r="L4" s="72">
        <v>-0.89999999999999858</v>
      </c>
      <c r="N4" s="87" t="s">
        <v>134</v>
      </c>
      <c r="O4" s="94">
        <f t="shared" si="0"/>
        <v>1198.4732824427481</v>
      </c>
      <c r="P4" s="91">
        <v>131</v>
      </c>
      <c r="Q4" s="75">
        <v>157000</v>
      </c>
    </row>
    <row r="5" spans="1:17" x14ac:dyDescent="0.4">
      <c r="A5" s="26" t="s">
        <v>7</v>
      </c>
      <c r="B5" s="132">
        <f>IF(B$2=0,0,B$4/B$2)</f>
        <v>-3.7922535211267596</v>
      </c>
      <c r="C5" s="133"/>
      <c r="E5" s="34" t="s">
        <v>73</v>
      </c>
      <c r="F5" s="31" t="s">
        <v>28</v>
      </c>
      <c r="G5" s="18">
        <v>115</v>
      </c>
      <c r="H5" s="105">
        <f>IF(B$29=0,0,G5/B$29)</f>
        <v>0.50660792951541855</v>
      </c>
      <c r="I5" s="67">
        <v>11</v>
      </c>
      <c r="K5" s="9">
        <v>3</v>
      </c>
      <c r="L5" s="72">
        <v>-36.4</v>
      </c>
      <c r="N5" s="87" t="s">
        <v>135</v>
      </c>
      <c r="O5" s="94">
        <f t="shared" si="0"/>
        <v>-956.41025641025647</v>
      </c>
      <c r="P5" s="91">
        <v>117</v>
      </c>
      <c r="Q5" s="75">
        <v>-111900</v>
      </c>
    </row>
    <row r="6" spans="1:17" x14ac:dyDescent="0.4">
      <c r="A6" s="26" t="s">
        <v>1</v>
      </c>
      <c r="B6" s="134">
        <f>IF(B$2=0,0,(B$7*1+B$8*2+B$9*3)/B$2)</f>
        <v>2.1056338028169015</v>
      </c>
      <c r="C6" s="135"/>
      <c r="E6" s="34" t="s">
        <v>69</v>
      </c>
      <c r="F6" s="31" t="s">
        <v>12</v>
      </c>
      <c r="G6" s="18">
        <v>84</v>
      </c>
      <c r="H6" s="105">
        <f>IF(B$29=0,0,G6/B$29)</f>
        <v>0.37004405286343611</v>
      </c>
      <c r="I6" s="67">
        <v>2</v>
      </c>
      <c r="K6" s="9">
        <v>4</v>
      </c>
      <c r="L6" s="72">
        <v>3.6000000000000014</v>
      </c>
      <c r="N6" s="87" t="s">
        <v>136</v>
      </c>
      <c r="O6" s="94">
        <f t="shared" si="0"/>
        <v>-1676.2376237623762</v>
      </c>
      <c r="P6" s="91">
        <v>101</v>
      </c>
      <c r="Q6" s="75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5">
        <f>IF(B$29=0,0,G7/B$29)</f>
        <v>0.29955947136563876</v>
      </c>
      <c r="I7" s="67">
        <v>7</v>
      </c>
      <c r="K7" s="9">
        <v>5</v>
      </c>
      <c r="L7" s="72">
        <v>14.600000000000001</v>
      </c>
      <c r="N7" s="88" t="s">
        <v>137</v>
      </c>
      <c r="O7" s="95">
        <f t="shared" si="0"/>
        <v>-1628.75</v>
      </c>
      <c r="P7" s="92">
        <v>80</v>
      </c>
      <c r="Q7" s="76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5">
        <f>IF(B$29=0,0,G8/B$29)</f>
        <v>0.1762114537444934</v>
      </c>
      <c r="I8" s="67">
        <v>4</v>
      </c>
      <c r="K8" s="9">
        <v>6</v>
      </c>
      <c r="L8" s="72">
        <v>47.6</v>
      </c>
      <c r="N8" s="14"/>
      <c r="O8" s="99"/>
      <c r="P8" s="83"/>
      <c r="Q8" s="81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5">
        <f>IF(B$29=0,0,G9/B$29)</f>
        <v>0.15859030837004406</v>
      </c>
      <c r="I9" s="67">
        <v>3</v>
      </c>
      <c r="K9" s="9">
        <v>7</v>
      </c>
      <c r="L9" s="72">
        <v>100.1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5">
        <f>IF(B$29=0,0,G10/B$29)</f>
        <v>0.14977973568281938</v>
      </c>
      <c r="I10" s="67">
        <v>5</v>
      </c>
      <c r="K10" s="9">
        <v>8</v>
      </c>
      <c r="L10" s="72">
        <v>60.199999999999996</v>
      </c>
      <c r="N10" s="86" t="s">
        <v>162</v>
      </c>
      <c r="O10" s="96">
        <f>IF(P10=0,0,Q10/P10)</f>
        <v>-7.8065217391304342</v>
      </c>
      <c r="P10" s="90">
        <v>46</v>
      </c>
      <c r="Q10" s="78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5">
        <f>IF(B$29=0,0,G11/B$29)</f>
        <v>0.13215859030837004</v>
      </c>
      <c r="I11" s="67">
        <v>3</v>
      </c>
      <c r="K11" s="9">
        <v>9</v>
      </c>
      <c r="L11" s="72">
        <v>24.4</v>
      </c>
      <c r="N11" s="87" t="s">
        <v>163</v>
      </c>
      <c r="O11" s="97">
        <f>IF(P11=0,0,Q11/P11)</f>
        <v>-3.9735849056603771</v>
      </c>
      <c r="P11" s="91">
        <v>53</v>
      </c>
      <c r="Q11" s="79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5">
        <f>IF(B$29=0,0,G12/B$29)</f>
        <v>8.8105726872246701E-2</v>
      </c>
      <c r="I12" s="67">
        <v>5</v>
      </c>
      <c r="K12" s="9">
        <v>10</v>
      </c>
      <c r="L12" s="72">
        <v>-20.100000000000001</v>
      </c>
      <c r="N12" s="88" t="s">
        <v>164</v>
      </c>
      <c r="O12" s="98">
        <f>IF(P12=0,0,Q12/P12)</f>
        <v>-0.44761904761904753</v>
      </c>
      <c r="P12" s="92">
        <v>42</v>
      </c>
      <c r="Q12" s="80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5">
        <f>IF(B$29=0,0,G13/B$29)</f>
        <v>7.0484581497797363E-2</v>
      </c>
      <c r="I13" s="67">
        <v>5</v>
      </c>
      <c r="K13" s="9">
        <v>11</v>
      </c>
      <c r="L13" s="72">
        <v>-3.6000000000000014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5">
        <f>IF(B$29=0,0,G14/B$29)</f>
        <v>4.405286343612335E-2</v>
      </c>
      <c r="I14" s="67">
        <v>4</v>
      </c>
      <c r="K14" s="9">
        <v>12</v>
      </c>
      <c r="L14" s="72">
        <v>-12.000000000000002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5">
        <f>IF(B$29=0,0,G15/B$29)</f>
        <v>3.0837004405286344E-2</v>
      </c>
      <c r="I15" s="67">
        <v>9</v>
      </c>
      <c r="K15" s="9">
        <v>13</v>
      </c>
      <c r="L15" s="72">
        <v>49.5</v>
      </c>
      <c r="N15" s="86" t="s">
        <v>169</v>
      </c>
      <c r="O15" s="96">
        <f>IF(P15=0,0,Q15/P15)</f>
        <v>53.3</v>
      </c>
      <c r="P15" s="90">
        <v>2</v>
      </c>
      <c r="Q15" s="78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5">
        <f>IF(B$29=0,0,G16/B$29)</f>
        <v>3.0837004405286344E-2</v>
      </c>
      <c r="I16" s="67">
        <v>2</v>
      </c>
      <c r="K16" s="9">
        <v>14</v>
      </c>
      <c r="L16" s="72">
        <v>33</v>
      </c>
      <c r="N16" s="87" t="s">
        <v>196</v>
      </c>
      <c r="O16" s="97">
        <f>IF(P16=0,0,Q16/P16)</f>
        <v>26.466666666666669</v>
      </c>
      <c r="P16" s="91">
        <v>3</v>
      </c>
      <c r="Q16" s="79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5">
        <f>IF(B$29=0,0,G17/B$29)</f>
        <v>2.2026431718061675E-2</v>
      </c>
      <c r="I17" s="67">
        <v>7</v>
      </c>
      <c r="K17" s="9">
        <v>15</v>
      </c>
      <c r="L17" s="72">
        <v>38.5</v>
      </c>
      <c r="N17" s="87" t="s">
        <v>168</v>
      </c>
      <c r="O17" s="97">
        <f>IF(P17=0,0,Q17/P17)</f>
        <v>22.345454545454547</v>
      </c>
      <c r="P17" s="91">
        <v>22</v>
      </c>
      <c r="Q17" s="79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5">
        <f>IF(B$29=0,0,G18/B$29)</f>
        <v>1.3215859030837005E-2</v>
      </c>
      <c r="I18" s="67">
        <v>8</v>
      </c>
      <c r="K18" s="9">
        <v>16</v>
      </c>
      <c r="L18" s="72">
        <v>14.600000000000001</v>
      </c>
      <c r="N18" s="87" t="s">
        <v>167</v>
      </c>
      <c r="O18" s="97">
        <f>IF(P18=0,0,Q18/P18)</f>
        <v>3.1104166666666644</v>
      </c>
      <c r="P18" s="91">
        <v>48</v>
      </c>
      <c r="Q18" s="79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5">
        <f>IF(B$29=0,0,G19/B$29)</f>
        <v>8.8105726872246704E-3</v>
      </c>
      <c r="I19" s="67">
        <v>1</v>
      </c>
      <c r="K19" s="9">
        <v>17</v>
      </c>
      <c r="L19" s="72">
        <v>13.900000000000002</v>
      </c>
      <c r="N19" s="87" t="s">
        <v>185</v>
      </c>
      <c r="O19" s="97">
        <f>IF(P19=0,0,Q19/P19)</f>
        <v>-0.14444444444444493</v>
      </c>
      <c r="P19" s="91">
        <v>9</v>
      </c>
      <c r="Q19" s="79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5">
        <f>IF(B$29=0,0,G20/B$29)</f>
        <v>8.8105726872246704E-3</v>
      </c>
      <c r="I20" s="67">
        <v>2</v>
      </c>
      <c r="K20" s="9">
        <v>18</v>
      </c>
      <c r="L20" s="72">
        <v>-21.999999999999996</v>
      </c>
      <c r="N20" s="87" t="s">
        <v>127</v>
      </c>
      <c r="O20" s="97">
        <f>IF(P20=0,0,Q20/P20)</f>
        <v>-10.028813559322026</v>
      </c>
      <c r="P20" s="91">
        <v>118</v>
      </c>
      <c r="Q20" s="79">
        <v>-1183.3999999999992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93</v>
      </c>
      <c r="F21" s="31" t="s">
        <v>48</v>
      </c>
      <c r="G21" s="18">
        <v>2</v>
      </c>
      <c r="H21" s="105">
        <f>IF(B$29=0,0,G21/B$29)</f>
        <v>8.8105726872246704E-3</v>
      </c>
      <c r="I21" s="67">
        <v>3</v>
      </c>
      <c r="K21" s="9">
        <v>19</v>
      </c>
      <c r="L21" s="72">
        <v>-26.699999999999996</v>
      </c>
      <c r="N21" s="87" t="s">
        <v>172</v>
      </c>
      <c r="O21" s="97">
        <f>IF(P21=0,0,Q21/P21)</f>
        <v>-10.366666666666665</v>
      </c>
      <c r="P21" s="91">
        <v>3</v>
      </c>
      <c r="Q21" s="79">
        <v>-31.099999999999998</v>
      </c>
    </row>
    <row r="22" spans="1:17" x14ac:dyDescent="0.4">
      <c r="A22" s="26" t="s">
        <v>179</v>
      </c>
      <c r="B22" s="18">
        <v>31</v>
      </c>
      <c r="C22" s="107">
        <v>8</v>
      </c>
      <c r="E22" s="34" t="s">
        <v>74</v>
      </c>
      <c r="F22" s="31" t="s">
        <v>29</v>
      </c>
      <c r="G22" s="18">
        <v>1</v>
      </c>
      <c r="H22" s="105">
        <f>IF(B$29=0,0,G22/B$29)</f>
        <v>4.4052863436123352E-3</v>
      </c>
      <c r="I22" s="67">
        <v>6</v>
      </c>
      <c r="K22" s="9">
        <v>20</v>
      </c>
      <c r="L22" s="72">
        <v>-57.899999999999991</v>
      </c>
      <c r="N22" s="87" t="s">
        <v>129</v>
      </c>
      <c r="O22" s="97">
        <f>IF(P22=0,0,Q22/P22)</f>
        <v>-13.897297297297296</v>
      </c>
      <c r="P22" s="91">
        <v>37</v>
      </c>
      <c r="Q22" s="79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5">
        <f>IF(B$29=0,0,G23/B$29)</f>
        <v>4.4052863436123352E-3</v>
      </c>
      <c r="I23" s="67">
        <v>1</v>
      </c>
      <c r="K23" s="9">
        <v>21</v>
      </c>
      <c r="L23" s="72">
        <v>-82.699999999999989</v>
      </c>
      <c r="N23" s="87" t="s">
        <v>174</v>
      </c>
      <c r="O23" s="97">
        <f>IF(P23=0,0,Q23/P23)</f>
        <v>-15.882051282051275</v>
      </c>
      <c r="P23" s="91">
        <v>39</v>
      </c>
      <c r="Q23" s="79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5">
        <f>IF(B$29=0,0,G24/B$29)</f>
        <v>4.4052863436123352E-3</v>
      </c>
      <c r="I24" s="67">
        <v>5</v>
      </c>
      <c r="K24" s="9">
        <v>22</v>
      </c>
      <c r="L24" s="72">
        <v>-94.6</v>
      </c>
      <c r="N24" s="87" t="s">
        <v>173</v>
      </c>
      <c r="O24" s="97">
        <f>IF(P24=0,0,Q24/P24)</f>
        <v>-29.333333333333332</v>
      </c>
      <c r="P24" s="91">
        <v>3</v>
      </c>
      <c r="Q24" s="79">
        <v>-88</v>
      </c>
    </row>
    <row r="25" spans="1:17" x14ac:dyDescent="0.4">
      <c r="A25" s="63" t="s">
        <v>142</v>
      </c>
      <c r="B25" s="118">
        <v>10</v>
      </c>
      <c r="C25" s="119"/>
      <c r="E25" s="34" t="s">
        <v>81</v>
      </c>
      <c r="F25" s="31" t="s">
        <v>36</v>
      </c>
      <c r="G25" s="18">
        <v>1</v>
      </c>
      <c r="H25" s="105">
        <f>IF(B$29=0,0,G25/B$29)</f>
        <v>4.4052863436123352E-3</v>
      </c>
      <c r="I25" s="67">
        <v>1</v>
      </c>
      <c r="K25" s="9">
        <v>23</v>
      </c>
      <c r="L25" s="72">
        <v>-111.3</v>
      </c>
    </row>
    <row r="26" spans="1:17" x14ac:dyDescent="0.4">
      <c r="A26" s="29" t="s">
        <v>152</v>
      </c>
      <c r="B26" s="120">
        <v>97700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4.4052863436123352E-3</v>
      </c>
      <c r="I26" s="67">
        <v>1</v>
      </c>
      <c r="K26" s="9">
        <v>24</v>
      </c>
      <c r="L26" s="72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5">
        <f>IF(B$29=0,0,G27/B$29)</f>
        <v>4.4052863436123352E-3</v>
      </c>
      <c r="I27" s="67">
        <v>1</v>
      </c>
      <c r="K27" s="9">
        <v>25</v>
      </c>
      <c r="L27" s="72">
        <v>-70.899999999999991</v>
      </c>
    </row>
    <row r="28" spans="1:17" x14ac:dyDescent="0.4">
      <c r="A28" s="25" t="s">
        <v>182</v>
      </c>
      <c r="B28" s="122">
        <v>842</v>
      </c>
      <c r="C28" s="123"/>
      <c r="E28" s="34" t="s">
        <v>77</v>
      </c>
      <c r="F28" s="31" t="s">
        <v>32</v>
      </c>
      <c r="G28" s="18">
        <v>0</v>
      </c>
      <c r="H28" s="105">
        <f>IF(B$29=0,0,G28/B$29)</f>
        <v>0</v>
      </c>
      <c r="I28" s="67">
        <v>1</v>
      </c>
      <c r="K28" s="9">
        <v>26</v>
      </c>
      <c r="L28" s="72">
        <v>-125.89999999999999</v>
      </c>
    </row>
    <row r="29" spans="1:17" x14ac:dyDescent="0.4">
      <c r="A29" s="28" t="s">
        <v>183</v>
      </c>
      <c r="B29" s="124">
        <v>227</v>
      </c>
      <c r="C29" s="125"/>
      <c r="E29" s="34" t="s">
        <v>78</v>
      </c>
      <c r="F29" s="31" t="s">
        <v>33</v>
      </c>
      <c r="G29" s="18">
        <v>0</v>
      </c>
      <c r="H29" s="105">
        <f>IF(B$29=0,0,G29/B$29)</f>
        <v>0</v>
      </c>
      <c r="I29" s="67">
        <v>7</v>
      </c>
      <c r="K29" s="9">
        <v>27</v>
      </c>
      <c r="L29" s="72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-288.79999999999995</v>
      </c>
    </row>
    <row r="51" spans="5:12" x14ac:dyDescent="0.4">
      <c r="K51" s="9">
        <v>49</v>
      </c>
      <c r="L51" s="72">
        <v>-282.99999999999994</v>
      </c>
    </row>
    <row r="52" spans="5:12" x14ac:dyDescent="0.4">
      <c r="K52" s="9">
        <v>50</v>
      </c>
      <c r="L52" s="72">
        <v>-287.09999999999997</v>
      </c>
    </row>
    <row r="53" spans="5:12" x14ac:dyDescent="0.4">
      <c r="K53" s="9">
        <v>51</v>
      </c>
      <c r="L53" s="72">
        <v>-269.59999999999997</v>
      </c>
    </row>
    <row r="54" spans="5:12" x14ac:dyDescent="0.4">
      <c r="K54" s="9">
        <v>52</v>
      </c>
      <c r="L54" s="72">
        <v>-308.09999999999997</v>
      </c>
    </row>
    <row r="55" spans="5:12" x14ac:dyDescent="0.4">
      <c r="K55" s="9">
        <v>53</v>
      </c>
      <c r="L55" s="72">
        <v>-336.49999999999994</v>
      </c>
    </row>
    <row r="56" spans="5:12" x14ac:dyDescent="0.4">
      <c r="K56" s="9">
        <v>54</v>
      </c>
      <c r="L56" s="72">
        <v>-378.89999999999992</v>
      </c>
    </row>
    <row r="57" spans="5:12" x14ac:dyDescent="0.4">
      <c r="K57" s="9">
        <v>55</v>
      </c>
      <c r="L57" s="72">
        <v>-364.2999999999999</v>
      </c>
    </row>
    <row r="58" spans="5:12" x14ac:dyDescent="0.4">
      <c r="K58" s="9">
        <v>56</v>
      </c>
      <c r="L58" s="72">
        <v>-316.2999999999999</v>
      </c>
    </row>
    <row r="59" spans="5:12" x14ac:dyDescent="0.4">
      <c r="K59" s="9">
        <v>57</v>
      </c>
      <c r="L59" s="72">
        <v>-312.49999999999989</v>
      </c>
    </row>
    <row r="60" spans="5:12" x14ac:dyDescent="0.4">
      <c r="K60" s="9">
        <v>58</v>
      </c>
      <c r="L60" s="72">
        <v>-254.59999999999988</v>
      </c>
    </row>
    <row r="61" spans="5:12" x14ac:dyDescent="0.4">
      <c r="K61" s="9">
        <v>59</v>
      </c>
      <c r="L61" s="72">
        <v>-205.09999999999988</v>
      </c>
    </row>
    <row r="62" spans="5:12" x14ac:dyDescent="0.4">
      <c r="K62" s="9">
        <v>60</v>
      </c>
      <c r="L62" s="72">
        <v>-214.59999999999988</v>
      </c>
    </row>
    <row r="63" spans="5:12" x14ac:dyDescent="0.4">
      <c r="K63" s="9">
        <v>61</v>
      </c>
      <c r="L63" s="72">
        <v>-211.89999999999989</v>
      </c>
    </row>
    <row r="64" spans="5:12" x14ac:dyDescent="0.4">
      <c r="K64" s="9">
        <v>62</v>
      </c>
      <c r="L64" s="72">
        <v>-250.89999999999989</v>
      </c>
    </row>
    <row r="65" spans="11:12" x14ac:dyDescent="0.4">
      <c r="K65" s="9">
        <v>63</v>
      </c>
      <c r="L65" s="72">
        <v>-290.99999999999989</v>
      </c>
    </row>
    <row r="66" spans="11:12" x14ac:dyDescent="0.4">
      <c r="K66" s="9">
        <v>64</v>
      </c>
      <c r="L66" s="72">
        <v>-356.99999999999989</v>
      </c>
    </row>
    <row r="67" spans="11:12" x14ac:dyDescent="0.4">
      <c r="K67" s="9">
        <v>65</v>
      </c>
      <c r="L67" s="72">
        <v>-381.09999999999991</v>
      </c>
    </row>
    <row r="68" spans="11:12" x14ac:dyDescent="0.4">
      <c r="K68" s="9">
        <v>66</v>
      </c>
      <c r="L68" s="72">
        <v>-378.49999999999989</v>
      </c>
    </row>
    <row r="69" spans="11:12" x14ac:dyDescent="0.4">
      <c r="K69" s="9">
        <v>67</v>
      </c>
      <c r="L69" s="72">
        <v>-371.19999999999987</v>
      </c>
    </row>
    <row r="70" spans="11:12" x14ac:dyDescent="0.4">
      <c r="K70" s="9">
        <v>68</v>
      </c>
      <c r="L70" s="72">
        <v>-407.2999999999999</v>
      </c>
    </row>
    <row r="71" spans="11:12" x14ac:dyDescent="0.4">
      <c r="K71" s="9">
        <v>69</v>
      </c>
      <c r="L71" s="72">
        <v>-412.49999999999989</v>
      </c>
    </row>
    <row r="72" spans="11:12" x14ac:dyDescent="0.4">
      <c r="K72" s="9">
        <v>70</v>
      </c>
      <c r="L72" s="72">
        <v>-379.49999999999989</v>
      </c>
    </row>
    <row r="73" spans="11:12" x14ac:dyDescent="0.4">
      <c r="K73" s="9">
        <v>71</v>
      </c>
      <c r="L73" s="72">
        <v>-374.2999999999999</v>
      </c>
    </row>
    <row r="74" spans="11:12" x14ac:dyDescent="0.4">
      <c r="K74" s="9">
        <v>72</v>
      </c>
      <c r="L74" s="72">
        <v>-409.7999999999999</v>
      </c>
    </row>
    <row r="75" spans="11:12" x14ac:dyDescent="0.4">
      <c r="K75" s="9">
        <v>73</v>
      </c>
      <c r="L75" s="72">
        <v>-393.59999999999991</v>
      </c>
    </row>
    <row r="76" spans="11:12" x14ac:dyDescent="0.4">
      <c r="K76" s="9">
        <v>74</v>
      </c>
      <c r="L76" s="72">
        <v>-399.49999999999989</v>
      </c>
    </row>
    <row r="77" spans="11:12" x14ac:dyDescent="0.4">
      <c r="K77" s="9">
        <v>75</v>
      </c>
      <c r="L77" s="72">
        <v>-419.69999999999987</v>
      </c>
    </row>
    <row r="78" spans="11:12" x14ac:dyDescent="0.4">
      <c r="K78" s="9">
        <v>76</v>
      </c>
      <c r="L78" s="72">
        <v>-369.69999999999987</v>
      </c>
    </row>
    <row r="79" spans="11:12" x14ac:dyDescent="0.4">
      <c r="K79" s="9">
        <v>77</v>
      </c>
      <c r="L79" s="72">
        <v>-381.7999999999999</v>
      </c>
    </row>
    <row r="80" spans="11:12" x14ac:dyDescent="0.4">
      <c r="K80" s="9">
        <v>78</v>
      </c>
      <c r="L80" s="72">
        <v>-365.99999999999989</v>
      </c>
    </row>
    <row r="81" spans="11:12" x14ac:dyDescent="0.4">
      <c r="K81" s="9">
        <v>79</v>
      </c>
      <c r="L81" s="72">
        <v>-383.99999999999989</v>
      </c>
    </row>
    <row r="82" spans="11:12" x14ac:dyDescent="0.4">
      <c r="K82" s="9">
        <v>80</v>
      </c>
      <c r="L82" s="72">
        <v>-390.7999999999999</v>
      </c>
    </row>
    <row r="83" spans="11:12" x14ac:dyDescent="0.4">
      <c r="K83" s="9">
        <v>81</v>
      </c>
      <c r="L83" s="72">
        <v>-378.99999999999989</v>
      </c>
    </row>
    <row r="84" spans="11:12" x14ac:dyDescent="0.4">
      <c r="K84" s="9">
        <v>82</v>
      </c>
      <c r="L84" s="72">
        <v>-398.59999999999991</v>
      </c>
    </row>
    <row r="85" spans="11:12" x14ac:dyDescent="0.4">
      <c r="K85" s="9">
        <v>83</v>
      </c>
      <c r="L85" s="72">
        <v>-397.39999999999992</v>
      </c>
    </row>
    <row r="86" spans="11:12" x14ac:dyDescent="0.4">
      <c r="K86" s="9">
        <v>84</v>
      </c>
      <c r="L86" s="72">
        <v>-371.89999999999992</v>
      </c>
    </row>
    <row r="87" spans="11:12" x14ac:dyDescent="0.4">
      <c r="K87" s="9">
        <v>85</v>
      </c>
      <c r="L87" s="72">
        <v>-409.89999999999992</v>
      </c>
    </row>
    <row r="88" spans="11:12" x14ac:dyDescent="0.4">
      <c r="K88" s="9">
        <v>86</v>
      </c>
      <c r="L88" s="72">
        <v>-386.39999999999992</v>
      </c>
    </row>
    <row r="89" spans="11:12" x14ac:dyDescent="0.4">
      <c r="K89" s="9">
        <v>87</v>
      </c>
      <c r="L89" s="72">
        <v>-360.69999999999993</v>
      </c>
    </row>
    <row r="90" spans="11:12" x14ac:dyDescent="0.4">
      <c r="K90" s="9">
        <v>88</v>
      </c>
      <c r="L90" s="72">
        <v>-377.49999999999994</v>
      </c>
    </row>
    <row r="91" spans="11:12" x14ac:dyDescent="0.4">
      <c r="K91" s="9">
        <v>89</v>
      </c>
      <c r="L91" s="72">
        <v>-410.29999999999995</v>
      </c>
    </row>
    <row r="92" spans="11:12" x14ac:dyDescent="0.4">
      <c r="K92" s="9">
        <v>90</v>
      </c>
      <c r="L92" s="72">
        <v>-405.79999999999995</v>
      </c>
    </row>
    <row r="93" spans="11:12" x14ac:dyDescent="0.4">
      <c r="K93" s="9">
        <v>91</v>
      </c>
      <c r="L93" s="72">
        <v>-395.29999999999995</v>
      </c>
    </row>
    <row r="94" spans="11:12" x14ac:dyDescent="0.4">
      <c r="K94" s="9">
        <v>92</v>
      </c>
      <c r="L94" s="72">
        <v>-365.49999999999994</v>
      </c>
    </row>
    <row r="95" spans="11:12" x14ac:dyDescent="0.4">
      <c r="K95" s="9">
        <v>93</v>
      </c>
      <c r="L95" s="72">
        <v>-401.99999999999994</v>
      </c>
    </row>
    <row r="96" spans="11:12" x14ac:dyDescent="0.4">
      <c r="K96" s="9">
        <v>94</v>
      </c>
      <c r="L96" s="72">
        <v>-372.59999999999997</v>
      </c>
    </row>
    <row r="97" spans="11:12" x14ac:dyDescent="0.4">
      <c r="K97" s="9">
        <v>95</v>
      </c>
      <c r="L97" s="72">
        <v>-399.4</v>
      </c>
    </row>
    <row r="98" spans="11:12" x14ac:dyDescent="0.4">
      <c r="K98" s="9">
        <v>96</v>
      </c>
      <c r="L98" s="72">
        <v>-381</v>
      </c>
    </row>
    <row r="99" spans="11:12" x14ac:dyDescent="0.4">
      <c r="K99" s="9">
        <v>97</v>
      </c>
      <c r="L99" s="72">
        <v>-393.5</v>
      </c>
    </row>
    <row r="100" spans="11:12" x14ac:dyDescent="0.4">
      <c r="K100" s="9">
        <v>98</v>
      </c>
      <c r="L100" s="72">
        <v>-333</v>
      </c>
    </row>
    <row r="101" spans="11:12" x14ac:dyDescent="0.4">
      <c r="K101" s="9">
        <v>99</v>
      </c>
      <c r="L101" s="72">
        <v>-362.5</v>
      </c>
    </row>
    <row r="102" spans="11:12" x14ac:dyDescent="0.4">
      <c r="K102" s="9">
        <v>100</v>
      </c>
      <c r="L102" s="72">
        <v>-376.4</v>
      </c>
    </row>
    <row r="103" spans="11:12" x14ac:dyDescent="0.4">
      <c r="K103" s="9">
        <v>101</v>
      </c>
      <c r="L103" s="72">
        <v>-374.7</v>
      </c>
    </row>
    <row r="104" spans="11:12" x14ac:dyDescent="0.4">
      <c r="K104" s="9">
        <v>102</v>
      </c>
      <c r="L104" s="72">
        <v>-401.4</v>
      </c>
    </row>
    <row r="105" spans="11:12" x14ac:dyDescent="0.4">
      <c r="K105" s="9">
        <v>103</v>
      </c>
      <c r="L105" s="72">
        <v>-426.9</v>
      </c>
    </row>
    <row r="106" spans="11:12" x14ac:dyDescent="0.4">
      <c r="K106" s="9">
        <v>104</v>
      </c>
      <c r="L106" s="72">
        <v>-436.4</v>
      </c>
    </row>
    <row r="107" spans="11:12" x14ac:dyDescent="0.4">
      <c r="K107" s="9">
        <v>105</v>
      </c>
      <c r="L107" s="72">
        <v>-425.59999999999997</v>
      </c>
    </row>
    <row r="108" spans="11:12" x14ac:dyDescent="0.4">
      <c r="K108" s="9">
        <v>106</v>
      </c>
      <c r="L108" s="72">
        <v>-438.49999999999994</v>
      </c>
    </row>
    <row r="109" spans="11:12" x14ac:dyDescent="0.4">
      <c r="K109" s="9">
        <v>107</v>
      </c>
      <c r="L109" s="72">
        <v>-433.59999999999997</v>
      </c>
    </row>
    <row r="110" spans="11:12" x14ac:dyDescent="0.4">
      <c r="K110" s="9">
        <v>108</v>
      </c>
      <c r="L110" s="72">
        <v>-426.99999999999994</v>
      </c>
    </row>
    <row r="111" spans="11:12" x14ac:dyDescent="0.4">
      <c r="K111" s="9">
        <v>109</v>
      </c>
      <c r="L111" s="72">
        <v>-462.89999999999992</v>
      </c>
    </row>
    <row r="112" spans="11:12" x14ac:dyDescent="0.4">
      <c r="K112" s="9">
        <v>110</v>
      </c>
      <c r="L112" s="72">
        <v>-486.2999999999999</v>
      </c>
    </row>
    <row r="113" spans="11:12" x14ac:dyDescent="0.4">
      <c r="K113" s="9">
        <v>111</v>
      </c>
      <c r="L113" s="72">
        <v>-468.39999999999992</v>
      </c>
    </row>
    <row r="114" spans="11:12" x14ac:dyDescent="0.4">
      <c r="K114" s="9">
        <v>112</v>
      </c>
      <c r="L114" s="72">
        <v>-447.69999999999993</v>
      </c>
    </row>
    <row r="115" spans="11:12" x14ac:dyDescent="0.4">
      <c r="K115" s="9">
        <v>113</v>
      </c>
      <c r="L115" s="72">
        <v>-384.99999999999994</v>
      </c>
    </row>
    <row r="116" spans="11:12" x14ac:dyDescent="0.4">
      <c r="K116" s="9">
        <v>114</v>
      </c>
      <c r="L116" s="72">
        <v>-372.69999999999993</v>
      </c>
    </row>
    <row r="117" spans="11:12" x14ac:dyDescent="0.4">
      <c r="K117" s="9">
        <v>115</v>
      </c>
      <c r="L117" s="72">
        <v>-388.19999999999993</v>
      </c>
    </row>
    <row r="118" spans="11:12" x14ac:dyDescent="0.4">
      <c r="K118" s="9">
        <v>116</v>
      </c>
      <c r="L118" s="72">
        <v>-383.99999999999994</v>
      </c>
    </row>
    <row r="119" spans="11:12" x14ac:dyDescent="0.4">
      <c r="K119" s="9">
        <v>117</v>
      </c>
      <c r="L119" s="72">
        <v>-374.39999999999992</v>
      </c>
    </row>
    <row r="120" spans="11:12" x14ac:dyDescent="0.4">
      <c r="K120" s="9">
        <v>118</v>
      </c>
      <c r="L120" s="72">
        <v>-374.2999999999999</v>
      </c>
    </row>
    <row r="121" spans="11:12" x14ac:dyDescent="0.4">
      <c r="K121" s="9">
        <v>119</v>
      </c>
      <c r="L121" s="72">
        <v>-394.7999999999999</v>
      </c>
    </row>
    <row r="122" spans="11:12" x14ac:dyDescent="0.4">
      <c r="K122" s="9">
        <v>120</v>
      </c>
      <c r="L122" s="72">
        <v>-433.89999999999992</v>
      </c>
    </row>
    <row r="123" spans="11:12" x14ac:dyDescent="0.4">
      <c r="K123" s="9">
        <v>121</v>
      </c>
      <c r="L123" s="72">
        <v>-396.99999999999994</v>
      </c>
    </row>
    <row r="124" spans="11:12" x14ac:dyDescent="0.4">
      <c r="K124" s="9">
        <v>122</v>
      </c>
      <c r="L124" s="72">
        <v>-408.49999999999994</v>
      </c>
    </row>
    <row r="125" spans="11:12" x14ac:dyDescent="0.4">
      <c r="K125" s="9">
        <v>123</v>
      </c>
      <c r="L125" s="72">
        <v>-451.69999999999993</v>
      </c>
    </row>
    <row r="126" spans="11:12" x14ac:dyDescent="0.4">
      <c r="K126" s="9">
        <v>124</v>
      </c>
      <c r="L126" s="72">
        <v>-442.69999999999993</v>
      </c>
    </row>
    <row r="127" spans="11:12" x14ac:dyDescent="0.4">
      <c r="K127" s="9">
        <v>125</v>
      </c>
      <c r="L127" s="72">
        <v>-444.69999999999993</v>
      </c>
    </row>
    <row r="128" spans="11:12" x14ac:dyDescent="0.4">
      <c r="K128" s="9">
        <v>126</v>
      </c>
      <c r="L128" s="72">
        <v>-411.39999999999992</v>
      </c>
    </row>
    <row r="129" spans="11:12" x14ac:dyDescent="0.4">
      <c r="K129" s="9">
        <v>127</v>
      </c>
      <c r="L129" s="72">
        <v>-410.89999999999992</v>
      </c>
    </row>
    <row r="130" spans="11:12" x14ac:dyDescent="0.4">
      <c r="K130" s="9">
        <v>128</v>
      </c>
      <c r="L130" s="72">
        <v>-416.19999999999993</v>
      </c>
    </row>
    <row r="131" spans="11:12" x14ac:dyDescent="0.4">
      <c r="K131" s="9">
        <v>129</v>
      </c>
      <c r="L131" s="72">
        <v>-423.99999999999994</v>
      </c>
    </row>
    <row r="132" spans="11:12" x14ac:dyDescent="0.4">
      <c r="K132" s="9">
        <v>130</v>
      </c>
      <c r="L132" s="72">
        <v>-426.59999999999997</v>
      </c>
    </row>
    <row r="133" spans="11:12" x14ac:dyDescent="0.4">
      <c r="K133" s="9">
        <v>131</v>
      </c>
      <c r="L133" s="72">
        <v>-441.09999999999997</v>
      </c>
    </row>
    <row r="134" spans="11:12" x14ac:dyDescent="0.4">
      <c r="K134" s="9">
        <v>132</v>
      </c>
      <c r="L134" s="72">
        <v>-449.7</v>
      </c>
    </row>
    <row r="135" spans="11:12" x14ac:dyDescent="0.4">
      <c r="K135" s="9">
        <v>133</v>
      </c>
      <c r="L135" s="72">
        <v>-489.59999999999997</v>
      </c>
    </row>
    <row r="136" spans="11:12" x14ac:dyDescent="0.4">
      <c r="K136" s="9">
        <v>134</v>
      </c>
      <c r="L136" s="72">
        <v>-489.9</v>
      </c>
    </row>
    <row r="137" spans="11:12" x14ac:dyDescent="0.4">
      <c r="K137" s="9">
        <v>135</v>
      </c>
      <c r="L137" s="72">
        <v>-480.2</v>
      </c>
    </row>
    <row r="138" spans="11:12" x14ac:dyDescent="0.4">
      <c r="K138" s="9">
        <v>136</v>
      </c>
      <c r="L138" s="72">
        <v>-497.4</v>
      </c>
    </row>
    <row r="139" spans="11:12" x14ac:dyDescent="0.4">
      <c r="K139" s="9">
        <v>137</v>
      </c>
      <c r="L139" s="72">
        <v>-505.9</v>
      </c>
    </row>
    <row r="140" spans="11:12" x14ac:dyDescent="0.4">
      <c r="K140" s="9">
        <v>138</v>
      </c>
      <c r="L140" s="72">
        <v>-553.9</v>
      </c>
    </row>
    <row r="141" spans="11:12" x14ac:dyDescent="0.4">
      <c r="K141" s="9">
        <v>139</v>
      </c>
      <c r="L141" s="72">
        <v>-539.4</v>
      </c>
    </row>
    <row r="142" spans="11:12" x14ac:dyDescent="0.4">
      <c r="K142" s="9">
        <v>140</v>
      </c>
      <c r="L142" s="72">
        <v>-522.19999999999993</v>
      </c>
    </row>
    <row r="143" spans="11:12" x14ac:dyDescent="0.4">
      <c r="K143" s="9">
        <v>141</v>
      </c>
      <c r="L143" s="72">
        <v>-537.09999999999991</v>
      </c>
    </row>
    <row r="144" spans="11:12" x14ac:dyDescent="0.4">
      <c r="K144" s="9">
        <v>142</v>
      </c>
      <c r="L144" s="72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4DF69-2AFE-43C0-B5EF-E5B4D9DA5B5F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65</v>
      </c>
      <c r="C2" s="123"/>
      <c r="E2" s="33" t="s">
        <v>180</v>
      </c>
      <c r="F2" s="30" t="s">
        <v>181</v>
      </c>
      <c r="G2" s="17">
        <v>69</v>
      </c>
      <c r="H2" s="104">
        <f>IF(B$29=0,0,G2/B$29)</f>
        <v>0.90789473684210531</v>
      </c>
      <c r="I2" s="66">
        <v>6</v>
      </c>
      <c r="K2" s="7">
        <v>0</v>
      </c>
      <c r="L2" s="71">
        <v>0</v>
      </c>
      <c r="N2" s="86" t="s">
        <v>132</v>
      </c>
      <c r="O2" s="93">
        <f t="shared" ref="O2:O7" si="0">IF(P2=0,0,Q2/P2)</f>
        <v>-164.61538461538461</v>
      </c>
      <c r="P2" s="90">
        <v>65</v>
      </c>
      <c r="Q2" s="74">
        <v>-10700</v>
      </c>
    </row>
    <row r="3" spans="1:17" x14ac:dyDescent="0.4">
      <c r="A3" s="26" t="s">
        <v>8</v>
      </c>
      <c r="B3" s="128">
        <v>474</v>
      </c>
      <c r="C3" s="129"/>
      <c r="E3" s="34" t="s">
        <v>67</v>
      </c>
      <c r="F3" s="31" t="s">
        <v>23</v>
      </c>
      <c r="G3" s="18">
        <v>65</v>
      </c>
      <c r="H3" s="105">
        <f>IF(B$29=0,0,G3/B$29)</f>
        <v>0.85526315789473684</v>
      </c>
      <c r="I3" s="67">
        <v>2</v>
      </c>
      <c r="K3" s="9">
        <v>1</v>
      </c>
      <c r="L3" s="72">
        <v>-39.9</v>
      </c>
      <c r="N3" s="87" t="s">
        <v>133</v>
      </c>
      <c r="O3" s="94">
        <f t="shared" si="0"/>
        <v>2222.5806451612902</v>
      </c>
      <c r="P3" s="91">
        <v>62</v>
      </c>
      <c r="Q3" s="75">
        <v>137800</v>
      </c>
    </row>
    <row r="4" spans="1:17" x14ac:dyDescent="0.4">
      <c r="A4" s="26" t="s">
        <v>6</v>
      </c>
      <c r="B4" s="130">
        <v>267.8</v>
      </c>
      <c r="C4" s="131"/>
      <c r="E4" s="34" t="s">
        <v>73</v>
      </c>
      <c r="F4" s="31" t="s">
        <v>28</v>
      </c>
      <c r="G4" s="18">
        <v>49</v>
      </c>
      <c r="H4" s="105">
        <f>IF(B$29=0,0,G4/B$29)</f>
        <v>0.64473684210526316</v>
      </c>
      <c r="I4" s="67">
        <v>4</v>
      </c>
      <c r="K4" s="9">
        <v>2</v>
      </c>
      <c r="L4" s="72">
        <v>-13.2</v>
      </c>
      <c r="N4" s="87" t="s">
        <v>134</v>
      </c>
      <c r="O4" s="94">
        <f t="shared" si="0"/>
        <v>-1800</v>
      </c>
      <c r="P4" s="91">
        <v>59</v>
      </c>
      <c r="Q4" s="75">
        <v>-106200</v>
      </c>
    </row>
    <row r="5" spans="1:17" x14ac:dyDescent="0.4">
      <c r="A5" s="26" t="s">
        <v>7</v>
      </c>
      <c r="B5" s="132">
        <f>IF(B$2=0,0,B$4/B$2)</f>
        <v>4.12</v>
      </c>
      <c r="C5" s="133"/>
      <c r="E5" s="34" t="s">
        <v>65</v>
      </c>
      <c r="F5" s="31" t="s">
        <v>21</v>
      </c>
      <c r="G5" s="18">
        <v>31</v>
      </c>
      <c r="H5" s="105">
        <f>IF(B$29=0,0,G5/B$29)</f>
        <v>0.40789473684210525</v>
      </c>
      <c r="I5" s="67">
        <v>11</v>
      </c>
      <c r="K5" s="9">
        <v>3</v>
      </c>
      <c r="L5" s="72">
        <v>-57.7</v>
      </c>
      <c r="N5" s="87" t="s">
        <v>135</v>
      </c>
      <c r="O5" s="94">
        <f t="shared" si="0"/>
        <v>-832</v>
      </c>
      <c r="P5" s="91">
        <v>50</v>
      </c>
      <c r="Q5" s="75">
        <v>-41600</v>
      </c>
    </row>
    <row r="6" spans="1:17" x14ac:dyDescent="0.4">
      <c r="A6" s="26" t="s">
        <v>1</v>
      </c>
      <c r="B6" s="134">
        <f>IF(B$2=0,0,(B$7*1+B$8*2+B$9*3)/B$2)</f>
        <v>1.9230769230769231</v>
      </c>
      <c r="C6" s="135"/>
      <c r="E6" s="34" t="s">
        <v>69</v>
      </c>
      <c r="F6" s="31" t="s">
        <v>12</v>
      </c>
      <c r="G6" s="18">
        <v>20</v>
      </c>
      <c r="H6" s="105">
        <f>IF(B$29=0,0,G6/B$29)</f>
        <v>0.26315789473684209</v>
      </c>
      <c r="I6" s="67">
        <v>9</v>
      </c>
      <c r="K6" s="9">
        <v>4</v>
      </c>
      <c r="L6" s="72">
        <v>-53.7</v>
      </c>
      <c r="N6" s="87" t="s">
        <v>136</v>
      </c>
      <c r="O6" s="94">
        <f t="shared" si="0"/>
        <v>6852.272727272727</v>
      </c>
      <c r="P6" s="91">
        <v>44</v>
      </c>
      <c r="Q6" s="75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5">
        <f>IF(B$29=0,0,G7/B$29)</f>
        <v>0.25</v>
      </c>
      <c r="I7" s="67">
        <v>9</v>
      </c>
      <c r="K7" s="9">
        <v>5</v>
      </c>
      <c r="L7" s="72">
        <v>-45.7</v>
      </c>
      <c r="N7" s="88" t="s">
        <v>137</v>
      </c>
      <c r="O7" s="95">
        <f t="shared" si="0"/>
        <v>-331.25</v>
      </c>
      <c r="P7" s="92">
        <v>32</v>
      </c>
      <c r="Q7" s="76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5">
        <f>IF(B$29=0,0,G8/B$29)</f>
        <v>0.10526315789473684</v>
      </c>
      <c r="I8" s="67">
        <v>11</v>
      </c>
      <c r="K8" s="9">
        <v>6</v>
      </c>
      <c r="L8" s="72">
        <v>-50.6</v>
      </c>
      <c r="N8" s="14"/>
      <c r="O8" s="99"/>
      <c r="P8" s="83"/>
      <c r="Q8" s="81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5">
        <f>IF(B$29=0,0,G9/B$29)</f>
        <v>0.10526315789473684</v>
      </c>
      <c r="I9" s="67">
        <v>4</v>
      </c>
      <c r="K9" s="9">
        <v>7</v>
      </c>
      <c r="L9" s="72">
        <v>-47.6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5">
        <f>IF(B$29=0,0,G10/B$29)</f>
        <v>7.8947368421052627E-2</v>
      </c>
      <c r="I10" s="67">
        <v>12</v>
      </c>
      <c r="K10" s="9">
        <v>8</v>
      </c>
      <c r="L10" s="72">
        <v>-59.1</v>
      </c>
      <c r="N10" s="86" t="s">
        <v>162</v>
      </c>
      <c r="O10" s="96">
        <f>IF(P10=0,0,Q10/P10)</f>
        <v>3.4350000000000001</v>
      </c>
      <c r="P10" s="90">
        <v>20</v>
      </c>
      <c r="Q10" s="78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5">
        <f>IF(B$29=0,0,G11/B$29)</f>
        <v>6.5789473684210523E-2</v>
      </c>
      <c r="I11" s="67">
        <v>11</v>
      </c>
      <c r="K11" s="9">
        <v>9</v>
      </c>
      <c r="L11" s="72">
        <v>-77.900000000000006</v>
      </c>
      <c r="N11" s="87" t="s">
        <v>163</v>
      </c>
      <c r="O11" s="97">
        <f>IF(P11=0,0,Q11/P11)</f>
        <v>5.4969696969696971</v>
      </c>
      <c r="P11" s="91">
        <v>33</v>
      </c>
      <c r="Q11" s="79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5">
        <f>IF(B$29=0,0,G12/B$29)</f>
        <v>6.5789473684210523E-2</v>
      </c>
      <c r="I12" s="67">
        <v>11</v>
      </c>
      <c r="K12" s="9">
        <v>10</v>
      </c>
      <c r="L12" s="72">
        <v>-78.900000000000006</v>
      </c>
      <c r="N12" s="88" t="s">
        <v>164</v>
      </c>
      <c r="O12" s="98">
        <f>IF(P12=0,0,Q12/P12)</f>
        <v>1.4749999999999996</v>
      </c>
      <c r="P12" s="92">
        <v>12</v>
      </c>
      <c r="Q12" s="80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5">
        <f>IF(B$29=0,0,G13/B$29)</f>
        <v>5.2631578947368418E-2</v>
      </c>
      <c r="I13" s="67">
        <v>3</v>
      </c>
      <c r="K13" s="9">
        <v>11</v>
      </c>
      <c r="L13" s="72">
        <v>-88.9</v>
      </c>
      <c r="N13" s="4"/>
      <c r="O13" s="82"/>
      <c r="P13" s="84"/>
      <c r="Q13" s="82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5">
        <f>IF(B$29=0,0,G14/B$29)</f>
        <v>3.9473684210526314E-2</v>
      </c>
      <c r="I14" s="67">
        <v>11</v>
      </c>
      <c r="K14" s="9">
        <v>12</v>
      </c>
      <c r="L14" s="72">
        <v>-23.5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5">
        <f>IF(B$29=0,0,G15/B$29)</f>
        <v>2.6315789473684209E-2</v>
      </c>
      <c r="I15" s="67">
        <v>11</v>
      </c>
      <c r="K15" s="9">
        <v>13</v>
      </c>
      <c r="L15" s="72">
        <v>-12.4</v>
      </c>
      <c r="N15" s="86" t="s">
        <v>185</v>
      </c>
      <c r="O15" s="96">
        <f>IF(P15=0,0,Q15/P15)</f>
        <v>34</v>
      </c>
      <c r="P15" s="90">
        <v>1</v>
      </c>
      <c r="Q15" s="78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5">
        <f>IF(B$29=0,0,G16/B$29)</f>
        <v>2.6315789473684209E-2</v>
      </c>
      <c r="I16" s="67">
        <v>3</v>
      </c>
      <c r="K16" s="9">
        <v>14</v>
      </c>
      <c r="L16" s="72">
        <v>38.6</v>
      </c>
      <c r="N16" s="87" t="s">
        <v>210</v>
      </c>
      <c r="O16" s="97">
        <f>IF(P16=0,0,Q16/P16)</f>
        <v>26.766666666666666</v>
      </c>
      <c r="P16" s="91">
        <v>3</v>
      </c>
      <c r="Q16" s="79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5">
        <f>IF(B$29=0,0,G17/B$29)</f>
        <v>1.3157894736842105E-2</v>
      </c>
      <c r="I17" s="67">
        <v>8</v>
      </c>
      <c r="K17" s="9">
        <v>15</v>
      </c>
      <c r="L17" s="72">
        <v>55.8</v>
      </c>
      <c r="N17" s="87" t="s">
        <v>172</v>
      </c>
      <c r="O17" s="97">
        <f>IF(P17=0,0,Q17/P17)</f>
        <v>24.85</v>
      </c>
      <c r="P17" s="91">
        <v>2</v>
      </c>
      <c r="Q17" s="79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5">
        <f>IF(B$29=0,0,G18/B$29)</f>
        <v>1.3157894736842105E-2</v>
      </c>
      <c r="I18" s="67">
        <v>1</v>
      </c>
      <c r="K18" s="9">
        <v>16</v>
      </c>
      <c r="L18" s="72">
        <v>40.299999999999997</v>
      </c>
      <c r="N18" s="87" t="s">
        <v>214</v>
      </c>
      <c r="O18" s="97">
        <f>IF(P18=0,0,Q18/P18)</f>
        <v>21.200000000000003</v>
      </c>
      <c r="P18" s="91">
        <v>3</v>
      </c>
      <c r="Q18" s="79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5">
        <f>IF(B$29=0,0,G19/B$29)</f>
        <v>0</v>
      </c>
      <c r="I19" s="67">
        <v>7</v>
      </c>
      <c r="K19" s="9">
        <v>17</v>
      </c>
      <c r="L19" s="72">
        <v>15.799999999999997</v>
      </c>
      <c r="N19" s="87" t="s">
        <v>168</v>
      </c>
      <c r="O19" s="97">
        <f>IF(P19=0,0,Q19/P19)</f>
        <v>16.333333333333332</v>
      </c>
      <c r="P19" s="91">
        <v>3</v>
      </c>
      <c r="Q19" s="79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-25.700000000000003</v>
      </c>
      <c r="N20" s="87" t="s">
        <v>128</v>
      </c>
      <c r="O20" s="97">
        <f>IF(P20=0,0,Q20/P20)</f>
        <v>15.882051282051275</v>
      </c>
      <c r="P20" s="91">
        <v>39</v>
      </c>
      <c r="Q20" s="79">
        <v>619.39999999999975</v>
      </c>
    </row>
    <row r="21" spans="1:17" x14ac:dyDescent="0.4">
      <c r="A21" s="26" t="s">
        <v>178</v>
      </c>
      <c r="B21" s="18">
        <v>5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-17.700000000000003</v>
      </c>
      <c r="N21" s="87" t="s">
        <v>169</v>
      </c>
      <c r="O21" s="97">
        <f>IF(P21=0,0,Q21/P21)</f>
        <v>9.65</v>
      </c>
      <c r="P21" s="91">
        <v>2</v>
      </c>
      <c r="Q21" s="79">
        <v>19.3</v>
      </c>
    </row>
    <row r="22" spans="1:17" x14ac:dyDescent="0.4">
      <c r="A22" s="26" t="s">
        <v>179</v>
      </c>
      <c r="B22" s="18">
        <v>28</v>
      </c>
      <c r="C22" s="107">
        <v>12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7.4999999999999964</v>
      </c>
      <c r="N22" s="87" t="s">
        <v>129</v>
      </c>
      <c r="O22" s="97">
        <f>IF(P22=0,0,Q22/P22)</f>
        <v>8.3750000000000036</v>
      </c>
      <c r="P22" s="91">
        <v>8</v>
      </c>
      <c r="Q22" s="79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69.8</v>
      </c>
      <c r="N23" s="87" t="s">
        <v>127</v>
      </c>
      <c r="O23" s="97">
        <f>IF(P23=0,0,Q23/P23)</f>
        <v>-1.0818181818181813</v>
      </c>
      <c r="P23" s="91">
        <v>55</v>
      </c>
      <c r="Q23" s="79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5">
        <f>IF(B$29=0,0,G24/B$29)</f>
        <v>0</v>
      </c>
      <c r="I24" s="67">
        <v>11</v>
      </c>
      <c r="K24" s="9">
        <v>22</v>
      </c>
      <c r="L24" s="72">
        <v>78.399999999999991</v>
      </c>
      <c r="N24" s="87" t="s">
        <v>173</v>
      </c>
      <c r="O24" s="97">
        <f>IF(P24=0,0,Q24/P24)</f>
        <v>-4.9000000000000004</v>
      </c>
      <c r="P24" s="91">
        <v>2</v>
      </c>
      <c r="Q24" s="79">
        <v>-9.8000000000000007</v>
      </c>
    </row>
    <row r="25" spans="1:17" x14ac:dyDescent="0.4">
      <c r="A25" s="63" t="s">
        <v>142</v>
      </c>
      <c r="B25" s="118">
        <v>7</v>
      </c>
      <c r="C25" s="119"/>
      <c r="E25" s="34" t="s">
        <v>81</v>
      </c>
      <c r="F25" s="31" t="s">
        <v>36</v>
      </c>
      <c r="G25" s="18">
        <v>0</v>
      </c>
      <c r="H25" s="105">
        <f>IF(B$29=0,0,G25/B$29)</f>
        <v>0</v>
      </c>
      <c r="I25" s="67">
        <v>3</v>
      </c>
      <c r="K25" s="9">
        <v>23</v>
      </c>
      <c r="L25" s="72">
        <v>93.199999999999989</v>
      </c>
      <c r="N25" s="87" t="s">
        <v>167</v>
      </c>
      <c r="O25" s="97">
        <f>IF(P25=0,0,Q25/P25)</f>
        <v>-8.8833333333333329</v>
      </c>
      <c r="P25" s="91">
        <v>12</v>
      </c>
      <c r="Q25" s="79">
        <v>-106.6</v>
      </c>
    </row>
    <row r="26" spans="1:17" x14ac:dyDescent="0.4">
      <c r="A26" s="29" t="s">
        <v>152</v>
      </c>
      <c r="B26" s="120">
        <v>118000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58.79999999999999</v>
      </c>
    </row>
    <row r="28" spans="1:17" x14ac:dyDescent="0.4">
      <c r="A28" s="25" t="s">
        <v>182</v>
      </c>
      <c r="B28" s="122">
        <v>236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141.79999999999998</v>
      </c>
    </row>
    <row r="29" spans="1:17" x14ac:dyDescent="0.4">
      <c r="A29" s="28" t="s">
        <v>183</v>
      </c>
      <c r="B29" s="124">
        <v>76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213.70000000000005</v>
      </c>
    </row>
    <row r="51" spans="5:12" x14ac:dyDescent="0.4">
      <c r="K51" s="9">
        <v>49</v>
      </c>
      <c r="L51" s="72">
        <v>210.90000000000003</v>
      </c>
    </row>
    <row r="52" spans="5:12" x14ac:dyDescent="0.4">
      <c r="K52" s="9">
        <v>50</v>
      </c>
      <c r="L52" s="72">
        <v>210.90000000000003</v>
      </c>
    </row>
    <row r="53" spans="5:12" x14ac:dyDescent="0.4">
      <c r="K53" s="9">
        <v>51</v>
      </c>
      <c r="L53" s="72">
        <v>289.60000000000002</v>
      </c>
    </row>
    <row r="54" spans="5:12" x14ac:dyDescent="0.4">
      <c r="K54" s="9">
        <v>52</v>
      </c>
      <c r="L54" s="72">
        <v>316.10000000000002</v>
      </c>
    </row>
    <row r="55" spans="5:12" x14ac:dyDescent="0.4">
      <c r="K55" s="9">
        <v>53</v>
      </c>
      <c r="L55" s="72">
        <v>265.60000000000002</v>
      </c>
    </row>
    <row r="56" spans="5:12" x14ac:dyDescent="0.4">
      <c r="K56" s="9">
        <v>54</v>
      </c>
      <c r="L56" s="72">
        <v>250.50000000000003</v>
      </c>
    </row>
    <row r="57" spans="5:12" x14ac:dyDescent="0.4">
      <c r="K57" s="9">
        <v>55</v>
      </c>
      <c r="L57" s="72">
        <v>266.40000000000003</v>
      </c>
    </row>
    <row r="58" spans="5:12" x14ac:dyDescent="0.4">
      <c r="K58" s="9">
        <v>56</v>
      </c>
      <c r="L58" s="72">
        <v>270.8</v>
      </c>
    </row>
    <row r="59" spans="5:12" x14ac:dyDescent="0.4">
      <c r="K59" s="9">
        <v>57</v>
      </c>
      <c r="L59" s="72">
        <v>257.3</v>
      </c>
    </row>
    <row r="60" spans="5:12" x14ac:dyDescent="0.4">
      <c r="K60" s="9">
        <v>58</v>
      </c>
      <c r="L60" s="72">
        <v>290.3</v>
      </c>
    </row>
    <row r="61" spans="5:12" x14ac:dyDescent="0.4">
      <c r="K61" s="9">
        <v>59</v>
      </c>
      <c r="L61" s="72">
        <v>280.3</v>
      </c>
    </row>
    <row r="62" spans="5:12" x14ac:dyDescent="0.4">
      <c r="K62" s="9">
        <v>60</v>
      </c>
      <c r="L62" s="72">
        <v>269.60000000000002</v>
      </c>
    </row>
    <row r="63" spans="5:12" x14ac:dyDescent="0.4">
      <c r="K63" s="9">
        <v>61</v>
      </c>
      <c r="L63" s="72">
        <v>256.20000000000005</v>
      </c>
    </row>
    <row r="64" spans="5:12" x14ac:dyDescent="0.4">
      <c r="K64" s="9">
        <v>62</v>
      </c>
      <c r="L64" s="72">
        <v>249.20000000000005</v>
      </c>
    </row>
    <row r="65" spans="11:12" x14ac:dyDescent="0.4">
      <c r="K65" s="9">
        <v>63</v>
      </c>
      <c r="L65" s="72">
        <v>243.20000000000005</v>
      </c>
    </row>
    <row r="66" spans="11:12" x14ac:dyDescent="0.4">
      <c r="K66" s="9">
        <v>64</v>
      </c>
      <c r="L66" s="72">
        <v>261.90000000000003</v>
      </c>
    </row>
    <row r="67" spans="11:12" x14ac:dyDescent="0.4">
      <c r="K67" s="9">
        <v>65</v>
      </c>
      <c r="L67" s="72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2BF5-A9BC-475F-99CB-CF45F32523AC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5</v>
      </c>
      <c r="C2" s="123"/>
      <c r="E2" s="33" t="s">
        <v>65</v>
      </c>
      <c r="F2" s="30" t="s">
        <v>21</v>
      </c>
      <c r="G2" s="17">
        <v>6</v>
      </c>
      <c r="H2" s="104">
        <f>IF(B$29=0,0,G2/B$29)</f>
        <v>0.66666666666666663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-2740</v>
      </c>
      <c r="P2" s="90">
        <v>5</v>
      </c>
      <c r="Q2" s="74">
        <v>-13700</v>
      </c>
    </row>
    <row r="3" spans="1:17" x14ac:dyDescent="0.4">
      <c r="A3" s="26" t="s">
        <v>8</v>
      </c>
      <c r="B3" s="128">
        <v>37</v>
      </c>
      <c r="C3" s="129"/>
      <c r="E3" s="34" t="s">
        <v>180</v>
      </c>
      <c r="F3" s="31" t="s">
        <v>181</v>
      </c>
      <c r="G3" s="18">
        <v>6</v>
      </c>
      <c r="H3" s="105">
        <f>IF(B$29=0,0,G3/B$29)</f>
        <v>0.66666666666666663</v>
      </c>
      <c r="I3" s="67">
        <v>11</v>
      </c>
      <c r="K3" s="9">
        <v>1</v>
      </c>
      <c r="L3" s="72">
        <v>-40.700000000000003</v>
      </c>
      <c r="N3" s="87" t="s">
        <v>133</v>
      </c>
      <c r="O3" s="94">
        <f t="shared" si="0"/>
        <v>1500</v>
      </c>
      <c r="P3" s="91">
        <v>5</v>
      </c>
      <c r="Q3" s="75">
        <v>7500</v>
      </c>
    </row>
    <row r="4" spans="1:17" x14ac:dyDescent="0.4">
      <c r="A4" s="26" t="s">
        <v>6</v>
      </c>
      <c r="B4" s="130">
        <v>-86.4</v>
      </c>
      <c r="C4" s="131"/>
      <c r="E4" s="34" t="s">
        <v>66</v>
      </c>
      <c r="F4" s="31" t="s">
        <v>22</v>
      </c>
      <c r="G4" s="18">
        <v>4</v>
      </c>
      <c r="H4" s="105">
        <f>IF(B$29=0,0,G4/B$29)</f>
        <v>0.44444444444444442</v>
      </c>
      <c r="I4" s="67">
        <v>1</v>
      </c>
      <c r="K4" s="9">
        <v>2</v>
      </c>
      <c r="L4" s="72">
        <v>-81.7</v>
      </c>
      <c r="N4" s="87" t="s">
        <v>134</v>
      </c>
      <c r="O4" s="94">
        <f t="shared" si="0"/>
        <v>-11250</v>
      </c>
      <c r="P4" s="91">
        <v>4</v>
      </c>
      <c r="Q4" s="75">
        <v>-45000</v>
      </c>
    </row>
    <row r="5" spans="1:17" x14ac:dyDescent="0.4">
      <c r="A5" s="26" t="s">
        <v>7</v>
      </c>
      <c r="B5" s="132">
        <f>IF(B$2=0,0,B$4/B$2)</f>
        <v>-17.28</v>
      </c>
      <c r="C5" s="133"/>
      <c r="E5" s="34" t="s">
        <v>73</v>
      </c>
      <c r="F5" s="31" t="s">
        <v>28</v>
      </c>
      <c r="G5" s="18">
        <v>4</v>
      </c>
      <c r="H5" s="105">
        <f>IF(B$29=0,0,G5/B$29)</f>
        <v>0.44444444444444442</v>
      </c>
      <c r="I5" s="67">
        <v>13</v>
      </c>
      <c r="K5" s="9">
        <v>3</v>
      </c>
      <c r="L5" s="72">
        <v>-88.9</v>
      </c>
      <c r="N5" s="87" t="s">
        <v>135</v>
      </c>
      <c r="O5" s="94">
        <f t="shared" si="0"/>
        <v>-12000</v>
      </c>
      <c r="P5" s="91">
        <v>3</v>
      </c>
      <c r="Q5" s="75">
        <v>-36000</v>
      </c>
    </row>
    <row r="6" spans="1:17" x14ac:dyDescent="0.4">
      <c r="A6" s="26" t="s">
        <v>1</v>
      </c>
      <c r="B6" s="134">
        <f>IF(B$2=0,0,(B$7*1+B$8*2+B$9*3)/B$2)</f>
        <v>2.2000000000000002</v>
      </c>
      <c r="C6" s="135"/>
      <c r="E6" s="34" t="s">
        <v>69</v>
      </c>
      <c r="F6" s="31" t="s">
        <v>12</v>
      </c>
      <c r="G6" s="18">
        <v>3</v>
      </c>
      <c r="H6" s="105">
        <f>IF(B$29=0,0,G6/B$29)</f>
        <v>0.33333333333333331</v>
      </c>
      <c r="I6" s="67">
        <v>3</v>
      </c>
      <c r="K6" s="9">
        <v>4</v>
      </c>
      <c r="L6" s="72">
        <v>-109.2</v>
      </c>
      <c r="N6" s="87" t="s">
        <v>136</v>
      </c>
      <c r="O6" s="94">
        <f t="shared" si="0"/>
        <v>5400</v>
      </c>
      <c r="P6" s="91">
        <v>2</v>
      </c>
      <c r="Q6" s="75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5">
        <f>IF(B$29=0,0,G7/B$29)</f>
        <v>0.22222222222222221</v>
      </c>
      <c r="I7" s="67">
        <v>10</v>
      </c>
      <c r="K7" s="9">
        <v>5</v>
      </c>
      <c r="L7" s="72">
        <v>-86.4</v>
      </c>
      <c r="N7" s="88" t="s">
        <v>137</v>
      </c>
      <c r="O7" s="95">
        <f t="shared" si="0"/>
        <v>-5000</v>
      </c>
      <c r="P7" s="92">
        <v>2</v>
      </c>
      <c r="Q7" s="76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5">
        <f>IF(B$29=0,0,G8/B$29)</f>
        <v>0.22222222222222221</v>
      </c>
      <c r="I8" s="67">
        <v>1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5">
        <f>IF(B$29=0,0,G9/B$29)</f>
        <v>0.1111111111111111</v>
      </c>
      <c r="I9" s="67">
        <v>13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5">
        <f>IF(B$29=0,0,G10/B$29)</f>
        <v>0.1111111111111111</v>
      </c>
      <c r="I10" s="67">
        <v>9</v>
      </c>
      <c r="N10" s="86" t="s">
        <v>162</v>
      </c>
      <c r="O10" s="96">
        <f>IF(P10=0,0,Q10/P10)</f>
        <v>-24.1</v>
      </c>
      <c r="P10" s="90">
        <v>2</v>
      </c>
      <c r="Q10" s="78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5">
        <f>IF(B$29=0,0,G11/B$29)</f>
        <v>0.1111111111111111</v>
      </c>
      <c r="I11" s="67">
        <v>3</v>
      </c>
      <c r="N11" s="87" t="s">
        <v>163</v>
      </c>
      <c r="O11" s="97">
        <f>IF(P11=0,0,Q11/P11)</f>
        <v>-12.733333333333334</v>
      </c>
      <c r="P11" s="91">
        <v>3</v>
      </c>
      <c r="Q11" s="79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5">
        <f>IF(B$29=0,0,G12/B$29)</f>
        <v>0</v>
      </c>
      <c r="I12" s="67">
        <v>12</v>
      </c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5">
        <f>IF(B$29=0,0,G15/B$29)</f>
        <v>0</v>
      </c>
      <c r="I15" s="67">
        <v>6</v>
      </c>
      <c r="N15" s="86" t="s">
        <v>167</v>
      </c>
      <c r="O15" s="96">
        <f>IF(P15=0,0,Q15/P15)</f>
        <v>17.200000000000003</v>
      </c>
      <c r="P15" s="90">
        <v>2</v>
      </c>
      <c r="Q15" s="78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5">
        <f>IF(B$29=0,0,G16/B$29)</f>
        <v>0</v>
      </c>
      <c r="I16" s="67">
        <v>7</v>
      </c>
      <c r="N16" s="87" t="s">
        <v>172</v>
      </c>
      <c r="O16" s="97">
        <f>IF(P16=0,0,Q16/P16)</f>
        <v>-13.45</v>
      </c>
      <c r="P16" s="91">
        <v>2</v>
      </c>
      <c r="Q16" s="79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5">
        <f>IF(B$29=0,0,G17/B$29)</f>
        <v>0</v>
      </c>
      <c r="I17" s="67">
        <v>1</v>
      </c>
      <c r="N17" s="87" t="s">
        <v>174</v>
      </c>
      <c r="O17" s="97">
        <f>IF(P17=0,0,Q17/P17)</f>
        <v>-21.200000000000003</v>
      </c>
      <c r="P17" s="91">
        <v>3</v>
      </c>
      <c r="Q17" s="79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5">
        <f>IF(B$29=0,0,G18/B$29)</f>
        <v>0</v>
      </c>
      <c r="I18" s="67">
        <v>7</v>
      </c>
      <c r="N18" s="87" t="s">
        <v>173</v>
      </c>
      <c r="O18" s="97">
        <f>IF(P18=0,0,Q18/P18)</f>
        <v>-38.6</v>
      </c>
      <c r="P18" s="91">
        <v>2</v>
      </c>
      <c r="Q18" s="79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5">
        <f>IF(B$29=0,0,G19/B$29)</f>
        <v>0</v>
      </c>
      <c r="I19" s="67">
        <v>10</v>
      </c>
      <c r="N19" s="87" t="s">
        <v>127</v>
      </c>
      <c r="O19" s="97">
        <f>IF(P19=0,0,Q19/P19)</f>
        <v>-125.9</v>
      </c>
      <c r="P19" s="91">
        <v>1</v>
      </c>
      <c r="Q19" s="79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5">
        <f>IF(B$29=0,0,G20/B$29)</f>
        <v>0</v>
      </c>
      <c r="I20" s="67">
        <v>3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82</v>
      </c>
      <c r="F21" s="31" t="s">
        <v>37</v>
      </c>
      <c r="G21" s="18">
        <v>0</v>
      </c>
      <c r="H21" s="105">
        <f>IF(B$29=0,0,G21/B$29)</f>
        <v>0</v>
      </c>
      <c r="I21" s="67">
        <v>10</v>
      </c>
    </row>
    <row r="22" spans="1:17" x14ac:dyDescent="0.4">
      <c r="A22" s="26" t="s">
        <v>179</v>
      </c>
      <c r="B22" s="18">
        <v>10</v>
      </c>
      <c r="C22" s="107">
        <v>10</v>
      </c>
      <c r="E22" s="34" t="s">
        <v>83</v>
      </c>
      <c r="F22" s="31" t="s">
        <v>38</v>
      </c>
      <c r="G22" s="18">
        <v>0</v>
      </c>
      <c r="H22" s="105">
        <f>IF(B$29=0,0,G22/B$29)</f>
        <v>0</v>
      </c>
      <c r="I22" s="67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5">
        <f>IF(B$29=0,0,G23/B$29)</f>
        <v>0</v>
      </c>
      <c r="I23" s="67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5">
        <f>IF(B$29=0,0,G24/B$29)</f>
        <v>0</v>
      </c>
      <c r="I24" s="67">
        <v>5</v>
      </c>
    </row>
    <row r="25" spans="1:17" x14ac:dyDescent="0.4">
      <c r="A25" s="63" t="s">
        <v>142</v>
      </c>
      <c r="B25" s="118">
        <v>3</v>
      </c>
      <c r="C25" s="119"/>
      <c r="E25" s="34" t="s">
        <v>86</v>
      </c>
      <c r="F25" s="31" t="s">
        <v>41</v>
      </c>
      <c r="G25" s="18">
        <v>0</v>
      </c>
      <c r="H25" s="105">
        <f>IF(B$29=0,0,G25/B$29)</f>
        <v>0</v>
      </c>
      <c r="I25" s="67">
        <v>6</v>
      </c>
    </row>
    <row r="26" spans="1:17" x14ac:dyDescent="0.4">
      <c r="A26" s="29" t="s">
        <v>152</v>
      </c>
      <c r="B26" s="120">
        <v>57800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31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9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3C28-37A6-447B-BE36-6D560107A26B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85</v>
      </c>
      <c r="C2" s="123"/>
      <c r="E2" s="33" t="s">
        <v>180</v>
      </c>
      <c r="F2" s="30" t="s">
        <v>181</v>
      </c>
      <c r="G2" s="17">
        <v>118</v>
      </c>
      <c r="H2" s="104">
        <f>IF(B$29=0,0,G2/B$29)</f>
        <v>0.88721804511278191</v>
      </c>
      <c r="I2" s="66">
        <v>7</v>
      </c>
      <c r="K2" s="7">
        <v>0</v>
      </c>
      <c r="L2" s="71">
        <v>0</v>
      </c>
      <c r="N2" s="86" t="s">
        <v>132</v>
      </c>
      <c r="O2" s="93">
        <f t="shared" ref="O2:O7" si="0">IF(P2=0,0,Q2/P2)</f>
        <v>-968.23529411764707</v>
      </c>
      <c r="P2" s="90">
        <v>85</v>
      </c>
      <c r="Q2" s="74">
        <v>-82300</v>
      </c>
    </row>
    <row r="3" spans="1:17" x14ac:dyDescent="0.4">
      <c r="A3" s="26" t="s">
        <v>8</v>
      </c>
      <c r="B3" s="128">
        <v>660</v>
      </c>
      <c r="C3" s="129"/>
      <c r="E3" s="34" t="s">
        <v>67</v>
      </c>
      <c r="F3" s="31" t="s">
        <v>23</v>
      </c>
      <c r="G3" s="18">
        <v>94</v>
      </c>
      <c r="H3" s="105">
        <f>IF(B$29=0,0,G3/B$29)</f>
        <v>0.70676691729323304</v>
      </c>
      <c r="I3" s="67">
        <v>7</v>
      </c>
      <c r="K3" s="9">
        <v>1</v>
      </c>
      <c r="L3" s="72">
        <v>68.2</v>
      </c>
      <c r="N3" s="87" t="s">
        <v>133</v>
      </c>
      <c r="O3" s="94">
        <f t="shared" si="0"/>
        <v>-3073.75</v>
      </c>
      <c r="P3" s="91">
        <v>80</v>
      </c>
      <c r="Q3" s="75">
        <v>-245900</v>
      </c>
    </row>
    <row r="4" spans="1:17" x14ac:dyDescent="0.4">
      <c r="A4" s="26" t="s">
        <v>6</v>
      </c>
      <c r="B4" s="130">
        <v>-559</v>
      </c>
      <c r="C4" s="131"/>
      <c r="E4" s="34" t="s">
        <v>73</v>
      </c>
      <c r="F4" s="31" t="s">
        <v>28</v>
      </c>
      <c r="G4" s="18">
        <v>78</v>
      </c>
      <c r="H4" s="105">
        <f>IF(B$29=0,0,G4/B$29)</f>
        <v>0.5864661654135338</v>
      </c>
      <c r="I4" s="67">
        <v>5</v>
      </c>
      <c r="K4" s="9">
        <v>2</v>
      </c>
      <c r="L4" s="72">
        <v>58.5</v>
      </c>
      <c r="N4" s="87" t="s">
        <v>134</v>
      </c>
      <c r="O4" s="94">
        <f t="shared" si="0"/>
        <v>-1090.2777777777778</v>
      </c>
      <c r="P4" s="91">
        <v>72</v>
      </c>
      <c r="Q4" s="75">
        <v>-78500</v>
      </c>
    </row>
    <row r="5" spans="1:17" x14ac:dyDescent="0.4">
      <c r="A5" s="26" t="s">
        <v>7</v>
      </c>
      <c r="B5" s="132">
        <f>IF(B$2=0,0,B$4/B$2)</f>
        <v>-6.5764705882352938</v>
      </c>
      <c r="C5" s="133"/>
      <c r="E5" s="34" t="s">
        <v>65</v>
      </c>
      <c r="F5" s="31" t="s">
        <v>21</v>
      </c>
      <c r="G5" s="18">
        <v>62</v>
      </c>
      <c r="H5" s="105">
        <f>IF(B$29=0,0,G5/B$29)</f>
        <v>0.46616541353383456</v>
      </c>
      <c r="I5" s="67">
        <v>10</v>
      </c>
      <c r="K5" s="9">
        <v>3</v>
      </c>
      <c r="L5" s="72">
        <v>82.1</v>
      </c>
      <c r="N5" s="87" t="s">
        <v>135</v>
      </c>
      <c r="O5" s="94">
        <f t="shared" si="0"/>
        <v>-556.52173913043475</v>
      </c>
      <c r="P5" s="91">
        <v>69</v>
      </c>
      <c r="Q5" s="75">
        <v>-38400</v>
      </c>
    </row>
    <row r="6" spans="1:17" x14ac:dyDescent="0.4">
      <c r="A6" s="26" t="s">
        <v>1</v>
      </c>
      <c r="B6" s="134">
        <f>IF(B$2=0,0,(B$7*1+B$8*2+B$9*3)/B$2)</f>
        <v>2.2117647058823531</v>
      </c>
      <c r="C6" s="135"/>
      <c r="E6" s="34" t="s">
        <v>69</v>
      </c>
      <c r="F6" s="31" t="s">
        <v>12</v>
      </c>
      <c r="G6" s="18">
        <v>43</v>
      </c>
      <c r="H6" s="105">
        <f>IF(B$29=0,0,G6/B$29)</f>
        <v>0.32330827067669171</v>
      </c>
      <c r="I6" s="67">
        <v>4</v>
      </c>
      <c r="K6" s="9">
        <v>4</v>
      </c>
      <c r="L6" s="72">
        <v>57.699999999999996</v>
      </c>
      <c r="N6" s="87" t="s">
        <v>136</v>
      </c>
      <c r="O6" s="94">
        <f t="shared" si="0"/>
        <v>-1555.1724137931035</v>
      </c>
      <c r="P6" s="91">
        <v>58</v>
      </c>
      <c r="Q6" s="75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5">
        <f>IF(B$29=0,0,G7/B$29)</f>
        <v>0.15037593984962405</v>
      </c>
      <c r="I7" s="67">
        <v>4</v>
      </c>
      <c r="K7" s="9">
        <v>5</v>
      </c>
      <c r="L7" s="72">
        <v>123.69999999999999</v>
      </c>
      <c r="N7" s="88" t="s">
        <v>137</v>
      </c>
      <c r="O7" s="95">
        <f t="shared" si="0"/>
        <v>-887.23404255319144</v>
      </c>
      <c r="P7" s="92">
        <v>47</v>
      </c>
      <c r="Q7" s="76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5">
        <f>IF(B$29=0,0,G8/B$29)</f>
        <v>0.14285714285714285</v>
      </c>
      <c r="I8" s="67">
        <v>12</v>
      </c>
      <c r="K8" s="9">
        <v>6</v>
      </c>
      <c r="L8" s="72">
        <v>125.19999999999999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5">
        <f>IF(B$29=0,0,G9/B$29)</f>
        <v>0.12781954887218044</v>
      </c>
      <c r="I9" s="67">
        <v>8</v>
      </c>
      <c r="K9" s="9">
        <v>7</v>
      </c>
      <c r="L9" s="72">
        <v>129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5">
        <f>IF(B$29=0,0,G10/B$29)</f>
        <v>8.2706766917293228E-2</v>
      </c>
      <c r="I10" s="67">
        <v>11</v>
      </c>
      <c r="K10" s="9">
        <v>8</v>
      </c>
      <c r="L10" s="72">
        <v>96.5</v>
      </c>
      <c r="N10" s="86" t="s">
        <v>162</v>
      </c>
      <c r="O10" s="96">
        <f>IF(P10=0,0,Q10/P10)</f>
        <v>-8.5526315789473717</v>
      </c>
      <c r="P10" s="90">
        <v>38</v>
      </c>
      <c r="Q10" s="78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5">
        <f>IF(B$29=0,0,G11/B$29)</f>
        <v>7.5187969924812026E-2</v>
      </c>
      <c r="I11" s="67">
        <v>10</v>
      </c>
      <c r="K11" s="9">
        <v>9</v>
      </c>
      <c r="L11" s="72">
        <v>82.8</v>
      </c>
      <c r="N11" s="87" t="s">
        <v>163</v>
      </c>
      <c r="O11" s="97">
        <f>IF(P11=0,0,Q11/P11)</f>
        <v>-5.708695652173911</v>
      </c>
      <c r="P11" s="91">
        <v>23</v>
      </c>
      <c r="Q11" s="79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5">
        <f>IF(B$29=0,0,G12/B$29)</f>
        <v>5.2631578947368418E-2</v>
      </c>
      <c r="I12" s="67">
        <v>4</v>
      </c>
      <c r="K12" s="9">
        <v>10</v>
      </c>
      <c r="L12" s="72">
        <v>110.5</v>
      </c>
      <c r="N12" s="88" t="s">
        <v>164</v>
      </c>
      <c r="O12" s="98">
        <f>IF(P12=0,0,Q12/P12)</f>
        <v>-4.2791666666666668</v>
      </c>
      <c r="P12" s="92">
        <v>24</v>
      </c>
      <c r="Q12" s="80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5">
        <f>IF(B$29=0,0,G13/B$29)</f>
        <v>3.7593984962406013E-2</v>
      </c>
      <c r="I13" s="67">
        <v>4</v>
      </c>
      <c r="K13" s="9">
        <v>11</v>
      </c>
      <c r="L13" s="72">
        <v>71.599999999999994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5">
        <f>IF(B$29=0,0,G14/B$29)</f>
        <v>3.7593984962406013E-2</v>
      </c>
      <c r="I14" s="67">
        <v>12</v>
      </c>
      <c r="K14" s="9">
        <v>12</v>
      </c>
      <c r="L14" s="72">
        <v>33.599999999999994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5">
        <f>IF(B$29=0,0,G15/B$29)</f>
        <v>3.007518796992481E-2</v>
      </c>
      <c r="I15" s="67">
        <v>6</v>
      </c>
      <c r="K15" s="9">
        <v>13</v>
      </c>
      <c r="L15" s="72">
        <v>13.299999999999994</v>
      </c>
      <c r="N15" s="86" t="s">
        <v>172</v>
      </c>
      <c r="O15" s="96">
        <f>IF(P15=0,0,Q15/P15)</f>
        <v>26.95</v>
      </c>
      <c r="P15" s="90">
        <v>6</v>
      </c>
      <c r="Q15" s="78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5">
        <f>IF(B$29=0,0,G16/B$29)</f>
        <v>2.2556390977443608E-2</v>
      </c>
      <c r="I16" s="67">
        <v>4</v>
      </c>
      <c r="K16" s="9">
        <v>14</v>
      </c>
      <c r="L16" s="72">
        <v>4.7999999999999936</v>
      </c>
      <c r="N16" s="87" t="s">
        <v>129</v>
      </c>
      <c r="O16" s="97">
        <f>IF(P16=0,0,Q16/P16)</f>
        <v>6.7891891891891882</v>
      </c>
      <c r="P16" s="91">
        <v>37</v>
      </c>
      <c r="Q16" s="79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5">
        <f>IF(B$29=0,0,G17/B$29)</f>
        <v>1.5037593984962405E-2</v>
      </c>
      <c r="I17" s="67">
        <v>11</v>
      </c>
      <c r="K17" s="9">
        <v>15</v>
      </c>
      <c r="L17" s="72">
        <v>-33.700000000000003</v>
      </c>
      <c r="N17" s="87" t="s">
        <v>167</v>
      </c>
      <c r="O17" s="97">
        <f>IF(P17=0,0,Q17/P17)</f>
        <v>-0.35263157894736707</v>
      </c>
      <c r="P17" s="91">
        <v>19</v>
      </c>
      <c r="Q17" s="79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5">
        <f>IF(B$29=0,0,G18/B$29)</f>
        <v>7.5187969924812026E-3</v>
      </c>
      <c r="I18" s="67">
        <v>2</v>
      </c>
      <c r="K18" s="9">
        <v>16</v>
      </c>
      <c r="L18" s="72">
        <v>-45.300000000000004</v>
      </c>
      <c r="N18" s="87" t="s">
        <v>174</v>
      </c>
      <c r="O18" s="97">
        <f>IF(P18=0,0,Q18/P18)</f>
        <v>-16.333333333333332</v>
      </c>
      <c r="P18" s="91">
        <v>3</v>
      </c>
      <c r="Q18" s="79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5">
        <f>IF(B$29=0,0,G19/B$29)</f>
        <v>7.5187969924812026E-3</v>
      </c>
      <c r="I19" s="67">
        <v>3</v>
      </c>
      <c r="K19" s="9">
        <v>17</v>
      </c>
      <c r="L19" s="72">
        <v>-45.000000000000007</v>
      </c>
      <c r="N19" s="87" t="s">
        <v>127</v>
      </c>
      <c r="O19" s="97">
        <f>IF(P19=0,0,Q19/P19)</f>
        <v>-17.15735294117647</v>
      </c>
      <c r="P19" s="91">
        <v>68</v>
      </c>
      <c r="Q19" s="79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5">
        <f>IF(B$29=0,0,G20/B$29)</f>
        <v>0</v>
      </c>
      <c r="I20" s="67">
        <v>7</v>
      </c>
      <c r="K20" s="9">
        <v>18</v>
      </c>
      <c r="L20" s="72">
        <v>-30.300000000000008</v>
      </c>
      <c r="N20" s="87" t="s">
        <v>128</v>
      </c>
      <c r="O20" s="97">
        <f>IF(P20=0,0,Q20/P20)</f>
        <v>-22.345454545454551</v>
      </c>
      <c r="P20" s="91">
        <v>22</v>
      </c>
      <c r="Q20" s="79">
        <v>-491.60000000000014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75</v>
      </c>
      <c r="F21" s="31" t="s">
        <v>30</v>
      </c>
      <c r="G21" s="18">
        <v>0</v>
      </c>
      <c r="H21" s="105">
        <f>IF(B$29=0,0,G21/B$29)</f>
        <v>0</v>
      </c>
      <c r="I21" s="67">
        <v>6</v>
      </c>
      <c r="K21" s="9">
        <v>19</v>
      </c>
      <c r="L21" s="72">
        <v>17.699999999999992</v>
      </c>
      <c r="N21" s="87" t="s">
        <v>185</v>
      </c>
      <c r="O21" s="97">
        <f>IF(P21=0,0,Q21/P21)</f>
        <v>-24.993333333333332</v>
      </c>
      <c r="P21" s="91">
        <v>15</v>
      </c>
      <c r="Q21" s="79">
        <v>-374.9</v>
      </c>
    </row>
    <row r="22" spans="1:17" x14ac:dyDescent="0.4">
      <c r="A22" s="26" t="s">
        <v>179</v>
      </c>
      <c r="B22" s="18">
        <v>26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  <c r="K23" s="9">
        <v>21</v>
      </c>
      <c r="L23" s="72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  <c r="K24" s="9">
        <v>22</v>
      </c>
      <c r="L24" s="72">
        <v>-4.7000000000000064</v>
      </c>
    </row>
    <row r="25" spans="1:17" x14ac:dyDescent="0.4">
      <c r="A25" s="63" t="s">
        <v>142</v>
      </c>
      <c r="B25" s="118">
        <v>6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  <c r="K25" s="9">
        <v>23</v>
      </c>
      <c r="L25" s="72">
        <v>-18.600000000000009</v>
      </c>
    </row>
    <row r="26" spans="1:17" x14ac:dyDescent="0.4">
      <c r="A26" s="29" t="s">
        <v>152</v>
      </c>
      <c r="B26" s="120">
        <v>103200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  <c r="K26" s="9">
        <v>24</v>
      </c>
      <c r="L26" s="72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-37.900000000000006</v>
      </c>
    </row>
    <row r="28" spans="1:17" x14ac:dyDescent="0.4">
      <c r="A28" s="25" t="s">
        <v>182</v>
      </c>
      <c r="B28" s="122">
        <v>480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  <c r="K28" s="9">
        <v>26</v>
      </c>
      <c r="L28" s="72">
        <v>-59.800000000000004</v>
      </c>
    </row>
    <row r="29" spans="1:17" x14ac:dyDescent="0.4">
      <c r="A29" s="28" t="s">
        <v>183</v>
      </c>
      <c r="B29" s="124">
        <v>133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  <c r="K29" s="9">
        <v>27</v>
      </c>
      <c r="L29" s="72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  <c r="K30" s="9">
        <v>28</v>
      </c>
      <c r="L30" s="72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  <c r="K31" s="9">
        <v>29</v>
      </c>
      <c r="L31" s="72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-386.4</v>
      </c>
    </row>
    <row r="51" spans="5:12" x14ac:dyDescent="0.4">
      <c r="K51" s="9">
        <v>49</v>
      </c>
      <c r="L51" s="72">
        <v>-402.29999999999995</v>
      </c>
    </row>
    <row r="52" spans="5:12" x14ac:dyDescent="0.4">
      <c r="K52" s="9">
        <v>50</v>
      </c>
      <c r="L52" s="72">
        <v>-396.29999999999995</v>
      </c>
    </row>
    <row r="53" spans="5:12" x14ac:dyDescent="0.4">
      <c r="K53" s="9">
        <v>51</v>
      </c>
      <c r="L53" s="72">
        <v>-417.29999999999995</v>
      </c>
    </row>
    <row r="54" spans="5:12" x14ac:dyDescent="0.4">
      <c r="K54" s="9">
        <v>52</v>
      </c>
      <c r="L54" s="72">
        <v>-421.29999999999995</v>
      </c>
    </row>
    <row r="55" spans="5:12" x14ac:dyDescent="0.4">
      <c r="K55" s="9">
        <v>53</v>
      </c>
      <c r="L55" s="72">
        <v>-451.69999999999993</v>
      </c>
    </row>
    <row r="56" spans="5:12" x14ac:dyDescent="0.4">
      <c r="K56" s="9">
        <v>54</v>
      </c>
      <c r="L56" s="72">
        <v>-445.09999999999991</v>
      </c>
    </row>
    <row r="57" spans="5:12" x14ac:dyDescent="0.4">
      <c r="K57" s="9">
        <v>55</v>
      </c>
      <c r="L57" s="72">
        <v>-465.59999999999991</v>
      </c>
    </row>
    <row r="58" spans="5:12" x14ac:dyDescent="0.4">
      <c r="K58" s="9">
        <v>56</v>
      </c>
      <c r="L58" s="72">
        <v>-502.59999999999991</v>
      </c>
    </row>
    <row r="59" spans="5:12" x14ac:dyDescent="0.4">
      <c r="K59" s="9">
        <v>57</v>
      </c>
      <c r="L59" s="72">
        <v>-533.29999999999995</v>
      </c>
    </row>
    <row r="60" spans="5:12" x14ac:dyDescent="0.4">
      <c r="K60" s="9">
        <v>58</v>
      </c>
      <c r="L60" s="72">
        <v>-573.29999999999995</v>
      </c>
    </row>
    <row r="61" spans="5:12" x14ac:dyDescent="0.4">
      <c r="K61" s="9">
        <v>59</v>
      </c>
      <c r="L61" s="72">
        <v>-550.79999999999995</v>
      </c>
    </row>
    <row r="62" spans="5:12" x14ac:dyDescent="0.4">
      <c r="K62" s="9">
        <v>60</v>
      </c>
      <c r="L62" s="72">
        <v>-535.29999999999995</v>
      </c>
    </row>
    <row r="63" spans="5:12" x14ac:dyDescent="0.4">
      <c r="K63" s="9">
        <v>61</v>
      </c>
      <c r="L63" s="72">
        <v>-492.29999999999995</v>
      </c>
    </row>
    <row r="64" spans="5:12" x14ac:dyDescent="0.4">
      <c r="K64" s="9">
        <v>62</v>
      </c>
      <c r="L64" s="72">
        <v>-511.9</v>
      </c>
    </row>
    <row r="65" spans="11:12" x14ac:dyDescent="0.4">
      <c r="K65" s="9">
        <v>63</v>
      </c>
      <c r="L65" s="72">
        <v>-524.1</v>
      </c>
    </row>
    <row r="66" spans="11:12" x14ac:dyDescent="0.4">
      <c r="K66" s="9">
        <v>64</v>
      </c>
      <c r="L66" s="72">
        <v>-535.9</v>
      </c>
    </row>
    <row r="67" spans="11:12" x14ac:dyDescent="0.4">
      <c r="K67" s="9">
        <v>65</v>
      </c>
      <c r="L67" s="72">
        <v>-494.59999999999997</v>
      </c>
    </row>
    <row r="68" spans="11:12" x14ac:dyDescent="0.4">
      <c r="K68" s="9">
        <v>66</v>
      </c>
      <c r="L68" s="72">
        <v>-483.2</v>
      </c>
    </row>
    <row r="69" spans="11:12" x14ac:dyDescent="0.4">
      <c r="K69" s="9">
        <v>67</v>
      </c>
      <c r="L69" s="72">
        <v>-466.7</v>
      </c>
    </row>
    <row r="70" spans="11:12" x14ac:dyDescent="0.4">
      <c r="K70" s="9">
        <v>68</v>
      </c>
      <c r="L70" s="72">
        <v>-462</v>
      </c>
    </row>
    <row r="71" spans="11:12" x14ac:dyDescent="0.4">
      <c r="K71" s="9">
        <v>69</v>
      </c>
      <c r="L71" s="72">
        <v>-472.6</v>
      </c>
    </row>
    <row r="72" spans="11:12" x14ac:dyDescent="0.4">
      <c r="K72" s="9">
        <v>70</v>
      </c>
      <c r="L72" s="72">
        <v>-466.8</v>
      </c>
    </row>
    <row r="73" spans="11:12" x14ac:dyDescent="0.4">
      <c r="K73" s="9">
        <v>71</v>
      </c>
      <c r="L73" s="72">
        <v>-446.7</v>
      </c>
    </row>
    <row r="74" spans="11:12" x14ac:dyDescent="0.4">
      <c r="K74" s="9">
        <v>72</v>
      </c>
      <c r="L74" s="72">
        <v>-471.8</v>
      </c>
    </row>
    <row r="75" spans="11:12" x14ac:dyDescent="0.4">
      <c r="K75" s="9">
        <v>73</v>
      </c>
      <c r="L75" s="72">
        <v>-486.2</v>
      </c>
    </row>
    <row r="76" spans="11:12" x14ac:dyDescent="0.4">
      <c r="K76" s="9">
        <v>74</v>
      </c>
      <c r="L76" s="72">
        <v>-520.20000000000005</v>
      </c>
    </row>
    <row r="77" spans="11:12" x14ac:dyDescent="0.4">
      <c r="K77" s="9">
        <v>75</v>
      </c>
      <c r="L77" s="72">
        <v>-493.70000000000005</v>
      </c>
    </row>
    <row r="78" spans="11:12" x14ac:dyDescent="0.4">
      <c r="K78" s="9">
        <v>76</v>
      </c>
      <c r="L78" s="72">
        <v>-475.70000000000005</v>
      </c>
    </row>
    <row r="79" spans="11:12" x14ac:dyDescent="0.4">
      <c r="K79" s="9">
        <v>77</v>
      </c>
      <c r="L79" s="72">
        <v>-517.20000000000005</v>
      </c>
    </row>
    <row r="80" spans="11:12" x14ac:dyDescent="0.4">
      <c r="K80" s="9">
        <v>78</v>
      </c>
      <c r="L80" s="72">
        <v>-519</v>
      </c>
    </row>
    <row r="81" spans="11:12" x14ac:dyDescent="0.4">
      <c r="K81" s="9">
        <v>79</v>
      </c>
      <c r="L81" s="72">
        <v>-481</v>
      </c>
    </row>
    <row r="82" spans="11:12" x14ac:dyDescent="0.4">
      <c r="K82" s="9">
        <v>80</v>
      </c>
      <c r="L82" s="72">
        <v>-434.2</v>
      </c>
    </row>
    <row r="83" spans="11:12" x14ac:dyDescent="0.4">
      <c r="K83" s="9">
        <v>81</v>
      </c>
      <c r="L83" s="72">
        <v>-479.2</v>
      </c>
    </row>
    <row r="84" spans="11:12" x14ac:dyDescent="0.4">
      <c r="K84" s="9">
        <v>82</v>
      </c>
      <c r="L84" s="72">
        <v>-517.70000000000005</v>
      </c>
    </row>
    <row r="85" spans="11:12" x14ac:dyDescent="0.4">
      <c r="K85" s="9">
        <v>83</v>
      </c>
      <c r="L85" s="72">
        <v>-521.5</v>
      </c>
    </row>
    <row r="86" spans="11:12" x14ac:dyDescent="0.4">
      <c r="K86" s="9">
        <v>84</v>
      </c>
      <c r="L86" s="72">
        <v>-540.4</v>
      </c>
    </row>
    <row r="87" spans="11:12" x14ac:dyDescent="0.4">
      <c r="K87" s="9">
        <v>85</v>
      </c>
      <c r="L87" s="72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C999-FC6A-4747-8D64-857D3BD9A191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123</v>
      </c>
      <c r="C2" s="123"/>
      <c r="E2" s="33" t="s">
        <v>180</v>
      </c>
      <c r="F2" s="30" t="s">
        <v>181</v>
      </c>
      <c r="G2" s="17">
        <v>220</v>
      </c>
      <c r="H2" s="104">
        <f>IF(B$29=0,0,G2/B$29)</f>
        <v>0.90909090909090906</v>
      </c>
      <c r="I2" s="66">
        <v>5</v>
      </c>
      <c r="K2" s="7">
        <v>0</v>
      </c>
      <c r="L2" s="71">
        <v>0</v>
      </c>
      <c r="N2" s="86" t="s">
        <v>132</v>
      </c>
      <c r="O2" s="93">
        <f t="shared" ref="O2:O7" si="0">IF(P2=0,0,Q2/P2)</f>
        <v>1019.00826446281</v>
      </c>
      <c r="P2" s="90">
        <v>121</v>
      </c>
      <c r="Q2" s="74">
        <v>123300</v>
      </c>
    </row>
    <row r="3" spans="1:17" x14ac:dyDescent="0.4">
      <c r="A3" s="26" t="s">
        <v>8</v>
      </c>
      <c r="B3" s="128">
        <v>934</v>
      </c>
      <c r="C3" s="129"/>
      <c r="E3" s="34" t="s">
        <v>67</v>
      </c>
      <c r="F3" s="31" t="s">
        <v>23</v>
      </c>
      <c r="G3" s="18">
        <v>182</v>
      </c>
      <c r="H3" s="105">
        <f>IF(B$29=0,0,G3/B$29)</f>
        <v>0.75206611570247939</v>
      </c>
      <c r="I3" s="67">
        <v>4</v>
      </c>
      <c r="K3" s="9">
        <v>1</v>
      </c>
      <c r="L3" s="72">
        <v>-36.700000000000003</v>
      </c>
      <c r="N3" s="87" t="s">
        <v>133</v>
      </c>
      <c r="O3" s="94">
        <f t="shared" si="0"/>
        <v>620.17543859649118</v>
      </c>
      <c r="P3" s="91">
        <v>114</v>
      </c>
      <c r="Q3" s="75">
        <v>70700</v>
      </c>
    </row>
    <row r="4" spans="1:17" x14ac:dyDescent="0.4">
      <c r="A4" s="26" t="s">
        <v>6</v>
      </c>
      <c r="B4" s="130">
        <v>201.39999999999984</v>
      </c>
      <c r="C4" s="131"/>
      <c r="E4" s="34" t="s">
        <v>73</v>
      </c>
      <c r="F4" s="31" t="s">
        <v>28</v>
      </c>
      <c r="G4" s="18">
        <v>139</v>
      </c>
      <c r="H4" s="105">
        <f>IF(B$29=0,0,G4/B$29)</f>
        <v>0.57438016528925617</v>
      </c>
      <c r="I4" s="67">
        <v>7</v>
      </c>
      <c r="K4" s="9">
        <v>2</v>
      </c>
      <c r="L4" s="72">
        <v>-45.300000000000004</v>
      </c>
      <c r="N4" s="87" t="s">
        <v>134</v>
      </c>
      <c r="O4" s="94">
        <f t="shared" si="0"/>
        <v>-58.490566037735846</v>
      </c>
      <c r="P4" s="91">
        <v>106</v>
      </c>
      <c r="Q4" s="75">
        <v>-6200</v>
      </c>
    </row>
    <row r="5" spans="1:17" x14ac:dyDescent="0.4">
      <c r="A5" s="26" t="s">
        <v>7</v>
      </c>
      <c r="B5" s="132">
        <f>IF(B$2=0,0,B$4/B$2)</f>
        <v>1.6373983739837386</v>
      </c>
      <c r="C5" s="133"/>
      <c r="E5" s="34" t="s">
        <v>65</v>
      </c>
      <c r="F5" s="31" t="s">
        <v>21</v>
      </c>
      <c r="G5" s="18">
        <v>131</v>
      </c>
      <c r="H5" s="105">
        <f>IF(B$29=0,0,G5/B$29)</f>
        <v>0.54132231404958675</v>
      </c>
      <c r="I5" s="67">
        <v>8</v>
      </c>
      <c r="K5" s="9">
        <v>3</v>
      </c>
      <c r="L5" s="72">
        <v>-81.7</v>
      </c>
      <c r="N5" s="87" t="s">
        <v>135</v>
      </c>
      <c r="O5" s="94">
        <f t="shared" si="0"/>
        <v>-810</v>
      </c>
      <c r="P5" s="91">
        <v>100</v>
      </c>
      <c r="Q5" s="75">
        <v>-81000</v>
      </c>
    </row>
    <row r="6" spans="1:17" x14ac:dyDescent="0.4">
      <c r="A6" s="26" t="s">
        <v>1</v>
      </c>
      <c r="B6" s="134">
        <f>IF(B$2=0,0,(B$7*1+B$8*2+B$9*3)/B$2)</f>
        <v>1.9268292682926829</v>
      </c>
      <c r="C6" s="135"/>
      <c r="E6" s="34" t="s">
        <v>68</v>
      </c>
      <c r="F6" s="31" t="s">
        <v>24</v>
      </c>
      <c r="G6" s="18">
        <v>86</v>
      </c>
      <c r="H6" s="105">
        <f>IF(B$29=0,0,G6/B$29)</f>
        <v>0.35537190082644626</v>
      </c>
      <c r="I6" s="67">
        <v>5</v>
      </c>
      <c r="K6" s="9">
        <v>4</v>
      </c>
      <c r="L6" s="72">
        <v>-114.30000000000001</v>
      </c>
      <c r="N6" s="87" t="s">
        <v>136</v>
      </c>
      <c r="O6" s="94">
        <f t="shared" si="0"/>
        <v>1012.6436781609195</v>
      </c>
      <c r="P6" s="91">
        <v>87</v>
      </c>
      <c r="Q6" s="75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5">
        <f>IF(B$29=0,0,G7/B$29)</f>
        <v>0.31818181818181818</v>
      </c>
      <c r="I7" s="67">
        <v>5</v>
      </c>
      <c r="K7" s="9">
        <v>5</v>
      </c>
      <c r="L7" s="72">
        <v>-136.30000000000001</v>
      </c>
      <c r="N7" s="88" t="s">
        <v>137</v>
      </c>
      <c r="O7" s="95">
        <f t="shared" si="0"/>
        <v>-462.16216216216219</v>
      </c>
      <c r="P7" s="92">
        <v>74</v>
      </c>
      <c r="Q7" s="76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5">
        <f>IF(B$29=0,0,G8/B$29)</f>
        <v>0.17768595041322313</v>
      </c>
      <c r="I8" s="67">
        <v>2</v>
      </c>
      <c r="K8" s="9">
        <v>6</v>
      </c>
      <c r="L8" s="72">
        <v>-100.80000000000001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5">
        <f>IF(B$29=0,0,G9/B$29)</f>
        <v>0.1487603305785124</v>
      </c>
      <c r="I9" s="67">
        <v>9</v>
      </c>
      <c r="K9" s="9">
        <v>7</v>
      </c>
      <c r="L9" s="72">
        <v>-106.20000000000002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5">
        <f>IF(B$29=0,0,G10/B$29)</f>
        <v>0.11983471074380166</v>
      </c>
      <c r="I10" s="67">
        <v>8</v>
      </c>
      <c r="K10" s="9">
        <v>8</v>
      </c>
      <c r="L10" s="72">
        <v>-52.300000000000018</v>
      </c>
      <c r="N10" s="86" t="s">
        <v>162</v>
      </c>
      <c r="O10" s="96">
        <f>IF(P10=0,0,Q10/P10)</f>
        <v>3.925454545454544</v>
      </c>
      <c r="P10" s="90">
        <v>55</v>
      </c>
      <c r="Q10" s="78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5">
        <f>IF(B$29=0,0,G11/B$29)</f>
        <v>8.6776859504132234E-2</v>
      </c>
      <c r="I11" s="67">
        <v>8</v>
      </c>
      <c r="K11" s="9">
        <v>9</v>
      </c>
      <c r="L11" s="72">
        <v>-53.500000000000021</v>
      </c>
      <c r="N11" s="87" t="s">
        <v>163</v>
      </c>
      <c r="O11" s="97">
        <f>IF(P11=0,0,Q11/P11)</f>
        <v>-5.3428571428571434</v>
      </c>
      <c r="P11" s="91">
        <v>35</v>
      </c>
      <c r="Q11" s="79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5">
        <f>IF(B$29=0,0,G12/B$29)</f>
        <v>7.0247933884297523E-2</v>
      </c>
      <c r="I12" s="67">
        <v>2</v>
      </c>
      <c r="K12" s="9">
        <v>10</v>
      </c>
      <c r="L12" s="72">
        <v>-72.800000000000026</v>
      </c>
      <c r="N12" s="88" t="s">
        <v>164</v>
      </c>
      <c r="O12" s="98">
        <f>IF(P12=0,0,Q12/P12)</f>
        <v>4.4451612903225808</v>
      </c>
      <c r="P12" s="92">
        <v>31</v>
      </c>
      <c r="Q12" s="80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5">
        <f>IF(B$29=0,0,G13/B$29)</f>
        <v>5.7851239669421489E-2</v>
      </c>
      <c r="I13" s="67">
        <v>1</v>
      </c>
      <c r="K13" s="9">
        <v>11</v>
      </c>
      <c r="L13" s="72">
        <v>-69.800000000000026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5">
        <f>IF(B$29=0,0,G14/B$29)</f>
        <v>4.1322314049586778E-2</v>
      </c>
      <c r="I14" s="67">
        <v>5</v>
      </c>
      <c r="K14" s="9">
        <v>12</v>
      </c>
      <c r="L14" s="72">
        <v>-54.300000000000026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5">
        <f>IF(B$29=0,0,G15/B$29)</f>
        <v>4.1322314049586778E-2</v>
      </c>
      <c r="I15" s="67">
        <v>10</v>
      </c>
      <c r="K15" s="9">
        <v>13</v>
      </c>
      <c r="L15" s="72">
        <v>-43.200000000000024</v>
      </c>
      <c r="N15" s="86" t="s">
        <v>169</v>
      </c>
      <c r="O15" s="96">
        <f>IF(P15=0,0,Q15/P15)</f>
        <v>33.4</v>
      </c>
      <c r="P15" s="90">
        <v>1</v>
      </c>
      <c r="Q15" s="78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5">
        <f>IF(B$29=0,0,G16/B$29)</f>
        <v>3.3057851239669422E-2</v>
      </c>
      <c r="I16" s="67">
        <v>8</v>
      </c>
      <c r="K16" s="9">
        <v>14</v>
      </c>
      <c r="L16" s="72">
        <v>-50.400000000000027</v>
      </c>
      <c r="N16" s="87" t="s">
        <v>172</v>
      </c>
      <c r="O16" s="97">
        <f>IF(P16=0,0,Q16/P16)</f>
        <v>14.79166666666667</v>
      </c>
      <c r="P16" s="91">
        <v>12</v>
      </c>
      <c r="Q16" s="79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5">
        <f>IF(B$29=0,0,G17/B$29)</f>
        <v>2.4793388429752067E-2</v>
      </c>
      <c r="I17" s="67">
        <v>4</v>
      </c>
      <c r="K17" s="9">
        <v>15</v>
      </c>
      <c r="L17" s="72">
        <v>23.89999999999997</v>
      </c>
      <c r="N17" s="87" t="s">
        <v>167</v>
      </c>
      <c r="O17" s="97">
        <f>IF(P17=0,0,Q17/P17)</f>
        <v>14.631707317073168</v>
      </c>
      <c r="P17" s="91">
        <v>41</v>
      </c>
      <c r="Q17" s="79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5">
        <f>IF(B$29=0,0,G18/B$29)</f>
        <v>1.6528925619834711E-2</v>
      </c>
      <c r="I18" s="67">
        <v>2</v>
      </c>
      <c r="K18" s="9">
        <v>16</v>
      </c>
      <c r="L18" s="72">
        <v>58.89999999999997</v>
      </c>
      <c r="N18" s="87" t="s">
        <v>128</v>
      </c>
      <c r="O18" s="97">
        <f>IF(P18=0,0,Q18/P18)</f>
        <v>13.897297297297296</v>
      </c>
      <c r="P18" s="91">
        <v>37</v>
      </c>
      <c r="Q18" s="79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5">
        <f>IF(B$29=0,0,G19/B$29)</f>
        <v>8.2644628099173556E-3</v>
      </c>
      <c r="I19" s="67">
        <v>2</v>
      </c>
      <c r="K19" s="9">
        <v>17</v>
      </c>
      <c r="L19" s="72">
        <v>58.599999999999973</v>
      </c>
      <c r="N19" s="87" t="s">
        <v>185</v>
      </c>
      <c r="O19" s="97">
        <f>IF(P19=0,0,Q19/P19)</f>
        <v>4.2166666666666677</v>
      </c>
      <c r="P19" s="91">
        <v>6</v>
      </c>
      <c r="Q19" s="79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5">
        <f>IF(B$29=0,0,G20/B$29)</f>
        <v>8.2644628099173556E-3</v>
      </c>
      <c r="I20" s="67">
        <v>10</v>
      </c>
      <c r="K20" s="9">
        <v>18</v>
      </c>
      <c r="L20" s="72">
        <v>122.59999999999997</v>
      </c>
      <c r="N20" s="87" t="s">
        <v>127</v>
      </c>
      <c r="O20" s="97">
        <f>IF(P20=0,0,Q20/P20)</f>
        <v>-4.0326732673267331</v>
      </c>
      <c r="P20" s="91">
        <v>101</v>
      </c>
      <c r="Q20" s="79">
        <v>-407.30000000000007</v>
      </c>
    </row>
    <row r="21" spans="1:17" x14ac:dyDescent="0.4">
      <c r="A21" s="26" t="s">
        <v>178</v>
      </c>
      <c r="B21" s="18">
        <v>6</v>
      </c>
      <c r="C21" s="107">
        <v>2</v>
      </c>
      <c r="E21" s="34" t="s">
        <v>94</v>
      </c>
      <c r="F21" s="31" t="s">
        <v>49</v>
      </c>
      <c r="G21" s="18">
        <v>2</v>
      </c>
      <c r="H21" s="105">
        <f>IF(B$29=0,0,G21/B$29)</f>
        <v>8.2644628099173556E-3</v>
      </c>
      <c r="I21" s="67">
        <v>2</v>
      </c>
      <c r="K21" s="9">
        <v>19</v>
      </c>
      <c r="L21" s="72">
        <v>125.69999999999996</v>
      </c>
      <c r="N21" s="87" t="s">
        <v>173</v>
      </c>
      <c r="O21" s="97">
        <f>IF(P21=0,0,Q21/P21)</f>
        <v>-5.8666666666666671</v>
      </c>
      <c r="P21" s="91">
        <v>3</v>
      </c>
      <c r="Q21" s="79">
        <v>-17.600000000000001</v>
      </c>
    </row>
    <row r="22" spans="1:17" x14ac:dyDescent="0.4">
      <c r="A22" s="26" t="s">
        <v>179</v>
      </c>
      <c r="B22" s="18">
        <v>26</v>
      </c>
      <c r="C22" s="107">
        <v>3</v>
      </c>
      <c r="E22" s="34" t="s">
        <v>75</v>
      </c>
      <c r="F22" s="31" t="s">
        <v>30</v>
      </c>
      <c r="G22" s="18">
        <v>1</v>
      </c>
      <c r="H22" s="105">
        <f>IF(B$29=0,0,G22/B$29)</f>
        <v>4.1322314049586778E-3</v>
      </c>
      <c r="I22" s="67">
        <v>2</v>
      </c>
      <c r="K22" s="9">
        <v>20</v>
      </c>
      <c r="L22" s="72">
        <v>126.89999999999996</v>
      </c>
      <c r="N22" s="87" t="s">
        <v>168</v>
      </c>
      <c r="O22" s="97">
        <f>IF(P22=0,0,Q22/P22)</f>
        <v>-6.7891891891891909</v>
      </c>
      <c r="P22" s="91">
        <v>37</v>
      </c>
      <c r="Q22" s="79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5">
        <f>IF(B$29=0,0,G23/B$29)</f>
        <v>4.1322314049586778E-3</v>
      </c>
      <c r="I23" s="67">
        <v>6</v>
      </c>
      <c r="K23" s="9">
        <v>21</v>
      </c>
      <c r="L23" s="72">
        <v>129.69999999999996</v>
      </c>
      <c r="N23" s="87" t="s">
        <v>174</v>
      </c>
      <c r="O23" s="97">
        <f>IF(P23=0,0,Q23/P23)</f>
        <v>-8.3750000000000036</v>
      </c>
      <c r="P23" s="91">
        <v>8</v>
      </c>
      <c r="Q23" s="79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5">
        <f>IF(B$29=0,0,G24/B$29)</f>
        <v>4.1322314049586778E-3</v>
      </c>
      <c r="I24" s="67">
        <v>2</v>
      </c>
      <c r="K24" s="9">
        <v>22</v>
      </c>
      <c r="L24" s="72">
        <v>174.29999999999995</v>
      </c>
    </row>
    <row r="25" spans="1:17" x14ac:dyDescent="0.4">
      <c r="A25" s="63" t="s">
        <v>142</v>
      </c>
      <c r="B25" s="118">
        <v>9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172.89999999999995</v>
      </c>
    </row>
    <row r="26" spans="1:17" x14ac:dyDescent="0.4">
      <c r="A26" s="29" t="s">
        <v>152</v>
      </c>
      <c r="B26" s="120">
        <v>109300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117.39999999999993</v>
      </c>
    </row>
    <row r="28" spans="1:17" x14ac:dyDescent="0.4">
      <c r="A28" s="25" t="s">
        <v>182</v>
      </c>
      <c r="B28" s="122">
        <v>808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128.69999999999993</v>
      </c>
    </row>
    <row r="29" spans="1:17" x14ac:dyDescent="0.4">
      <c r="A29" s="28" t="s">
        <v>183</v>
      </c>
      <c r="B29" s="124">
        <v>242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194.09999999999994</v>
      </c>
    </row>
    <row r="51" spans="5:12" x14ac:dyDescent="0.4">
      <c r="K51" s="9">
        <v>49</v>
      </c>
      <c r="L51" s="72">
        <v>211.89999999999995</v>
      </c>
    </row>
    <row r="52" spans="5:12" x14ac:dyDescent="0.4">
      <c r="K52" s="9">
        <v>50</v>
      </c>
      <c r="L52" s="72">
        <v>185.49999999999994</v>
      </c>
    </row>
    <row r="53" spans="5:12" x14ac:dyDescent="0.4">
      <c r="K53" s="9">
        <v>51</v>
      </c>
      <c r="L53" s="72">
        <v>195.99999999999994</v>
      </c>
    </row>
    <row r="54" spans="5:12" x14ac:dyDescent="0.4">
      <c r="K54" s="9">
        <v>52</v>
      </c>
      <c r="L54" s="72">
        <v>195.59999999999994</v>
      </c>
    </row>
    <row r="55" spans="5:12" x14ac:dyDescent="0.4">
      <c r="K55" s="9">
        <v>53</v>
      </c>
      <c r="L55" s="72">
        <v>213.69999999999993</v>
      </c>
    </row>
    <row r="56" spans="5:12" x14ac:dyDescent="0.4">
      <c r="K56" s="9">
        <v>54</v>
      </c>
      <c r="L56" s="72">
        <v>236.49999999999994</v>
      </c>
    </row>
    <row r="57" spans="5:12" x14ac:dyDescent="0.4">
      <c r="K57" s="9">
        <v>55</v>
      </c>
      <c r="L57" s="72">
        <v>223.69999999999993</v>
      </c>
    </row>
    <row r="58" spans="5:12" x14ac:dyDescent="0.4">
      <c r="K58" s="9">
        <v>56</v>
      </c>
      <c r="L58" s="72">
        <v>259.69999999999993</v>
      </c>
    </row>
    <row r="59" spans="5:12" x14ac:dyDescent="0.4">
      <c r="K59" s="9">
        <v>57</v>
      </c>
      <c r="L59" s="72">
        <v>210.59999999999994</v>
      </c>
    </row>
    <row r="60" spans="5:12" x14ac:dyDescent="0.4">
      <c r="K60" s="9">
        <v>58</v>
      </c>
      <c r="L60" s="72">
        <v>207.99999999999994</v>
      </c>
    </row>
    <row r="61" spans="5:12" x14ac:dyDescent="0.4">
      <c r="K61" s="9">
        <v>59</v>
      </c>
      <c r="L61" s="72">
        <v>220.49999999999994</v>
      </c>
    </row>
    <row r="62" spans="5:12" x14ac:dyDescent="0.4">
      <c r="K62" s="9">
        <v>60</v>
      </c>
      <c r="L62" s="72">
        <v>232.79999999999995</v>
      </c>
    </row>
    <row r="63" spans="5:12" x14ac:dyDescent="0.4">
      <c r="K63" s="9">
        <v>61</v>
      </c>
      <c r="L63" s="72">
        <v>233.69999999999996</v>
      </c>
    </row>
    <row r="64" spans="5:12" x14ac:dyDescent="0.4">
      <c r="K64" s="9">
        <v>62</v>
      </c>
      <c r="L64" s="72">
        <v>229.89999999999995</v>
      </c>
    </row>
    <row r="65" spans="11:12" x14ac:dyDescent="0.4">
      <c r="K65" s="9">
        <v>63</v>
      </c>
      <c r="L65" s="72">
        <v>217.99999999999994</v>
      </c>
    </row>
    <row r="66" spans="11:12" x14ac:dyDescent="0.4">
      <c r="K66" s="9">
        <v>64</v>
      </c>
      <c r="L66" s="72">
        <v>200.49999999999994</v>
      </c>
    </row>
    <row r="67" spans="11:12" x14ac:dyDescent="0.4">
      <c r="K67" s="9">
        <v>65</v>
      </c>
      <c r="L67" s="72">
        <v>207.79999999999995</v>
      </c>
    </row>
    <row r="68" spans="11:12" x14ac:dyDescent="0.4">
      <c r="K68" s="9">
        <v>66</v>
      </c>
      <c r="L68" s="72">
        <v>203.19999999999996</v>
      </c>
    </row>
    <row r="69" spans="11:12" x14ac:dyDescent="0.4">
      <c r="K69" s="9">
        <v>67</v>
      </c>
      <c r="L69" s="72">
        <v>217.29999999999995</v>
      </c>
    </row>
    <row r="70" spans="11:12" x14ac:dyDescent="0.4">
      <c r="K70" s="9">
        <v>68</v>
      </c>
      <c r="L70" s="72">
        <v>178.79999999999995</v>
      </c>
    </row>
    <row r="71" spans="11:12" x14ac:dyDescent="0.4">
      <c r="K71" s="9">
        <v>69</v>
      </c>
      <c r="L71" s="72">
        <v>187.69999999999996</v>
      </c>
    </row>
    <row r="72" spans="11:12" x14ac:dyDescent="0.4">
      <c r="K72" s="9">
        <v>70</v>
      </c>
      <c r="L72" s="72">
        <v>217.39999999999995</v>
      </c>
    </row>
    <row r="73" spans="11:12" x14ac:dyDescent="0.4">
      <c r="K73" s="9">
        <v>71</v>
      </c>
      <c r="L73" s="72">
        <v>196.69999999999996</v>
      </c>
    </row>
    <row r="74" spans="11:12" x14ac:dyDescent="0.4">
      <c r="K74" s="9">
        <v>72</v>
      </c>
      <c r="L74" s="72">
        <v>158.69999999999996</v>
      </c>
    </row>
    <row r="75" spans="11:12" x14ac:dyDescent="0.4">
      <c r="K75" s="9">
        <v>73</v>
      </c>
      <c r="L75" s="72">
        <v>194.69999999999996</v>
      </c>
    </row>
    <row r="76" spans="11:12" x14ac:dyDescent="0.4">
      <c r="K76" s="9">
        <v>74</v>
      </c>
      <c r="L76" s="72">
        <v>224.59999999999997</v>
      </c>
    </row>
    <row r="77" spans="11:12" x14ac:dyDescent="0.4">
      <c r="K77" s="9">
        <v>75</v>
      </c>
      <c r="L77" s="72">
        <v>248.09999999999997</v>
      </c>
    </row>
    <row r="78" spans="11:12" x14ac:dyDescent="0.4">
      <c r="K78" s="9">
        <v>76</v>
      </c>
      <c r="L78" s="72">
        <v>242.29999999999995</v>
      </c>
    </row>
    <row r="79" spans="11:12" x14ac:dyDescent="0.4">
      <c r="K79" s="9">
        <v>77</v>
      </c>
      <c r="L79" s="72">
        <v>239.29999999999995</v>
      </c>
    </row>
    <row r="80" spans="11:12" x14ac:dyDescent="0.4">
      <c r="K80" s="9">
        <v>78</v>
      </c>
      <c r="L80" s="72">
        <v>232.59999999999997</v>
      </c>
    </row>
    <row r="81" spans="11:12" x14ac:dyDescent="0.4">
      <c r="K81" s="9">
        <v>79</v>
      </c>
      <c r="L81" s="72">
        <v>212.29999999999995</v>
      </c>
    </row>
    <row r="82" spans="11:12" x14ac:dyDescent="0.4">
      <c r="K82" s="9">
        <v>80</v>
      </c>
      <c r="L82" s="72">
        <v>239.79999999999995</v>
      </c>
    </row>
    <row r="83" spans="11:12" x14ac:dyDescent="0.4">
      <c r="K83" s="9">
        <v>81</v>
      </c>
      <c r="L83" s="72">
        <v>245.49999999999994</v>
      </c>
    </row>
    <row r="84" spans="11:12" x14ac:dyDescent="0.4">
      <c r="K84" s="9">
        <v>82</v>
      </c>
      <c r="L84" s="72">
        <v>258.69999999999993</v>
      </c>
    </row>
    <row r="85" spans="11:12" x14ac:dyDescent="0.4">
      <c r="K85" s="9">
        <v>83</v>
      </c>
      <c r="L85" s="72">
        <v>251.69999999999993</v>
      </c>
    </row>
    <row r="86" spans="11:12" x14ac:dyDescent="0.4">
      <c r="K86" s="9">
        <v>84</v>
      </c>
      <c r="L86" s="72">
        <v>271.99999999999994</v>
      </c>
    </row>
    <row r="87" spans="11:12" x14ac:dyDescent="0.4">
      <c r="K87" s="9">
        <v>85</v>
      </c>
      <c r="L87" s="72">
        <v>265.99999999999994</v>
      </c>
    </row>
    <row r="88" spans="11:12" x14ac:dyDescent="0.4">
      <c r="K88" s="9">
        <v>86</v>
      </c>
      <c r="L88" s="72">
        <v>239.79999999999995</v>
      </c>
    </row>
    <row r="89" spans="11:12" x14ac:dyDescent="0.4">
      <c r="K89" s="9">
        <v>87</v>
      </c>
      <c r="L89" s="72">
        <v>275.79999999999995</v>
      </c>
    </row>
    <row r="90" spans="11:12" x14ac:dyDescent="0.4">
      <c r="K90" s="9">
        <v>88</v>
      </c>
      <c r="L90" s="72">
        <v>276.09999999999997</v>
      </c>
    </row>
    <row r="91" spans="11:12" x14ac:dyDescent="0.4">
      <c r="K91" s="9">
        <v>89</v>
      </c>
      <c r="L91" s="72">
        <v>259.49999999999994</v>
      </c>
    </row>
    <row r="92" spans="11:12" x14ac:dyDescent="0.4">
      <c r="K92" s="9">
        <v>90</v>
      </c>
      <c r="L92" s="72">
        <v>286.89999999999992</v>
      </c>
    </row>
    <row r="93" spans="11:12" x14ac:dyDescent="0.4">
      <c r="K93" s="9">
        <v>91</v>
      </c>
      <c r="L93" s="72">
        <v>252.39999999999992</v>
      </c>
    </row>
    <row r="94" spans="11:12" x14ac:dyDescent="0.4">
      <c r="K94" s="9">
        <v>92</v>
      </c>
      <c r="L94" s="72">
        <v>278.59999999999991</v>
      </c>
    </row>
    <row r="95" spans="11:12" x14ac:dyDescent="0.4">
      <c r="K95" s="9">
        <v>93</v>
      </c>
      <c r="L95" s="72">
        <v>264.7999999999999</v>
      </c>
    </row>
    <row r="96" spans="11:12" x14ac:dyDescent="0.4">
      <c r="K96" s="9">
        <v>94</v>
      </c>
      <c r="L96" s="72">
        <v>247.89999999999989</v>
      </c>
    </row>
    <row r="97" spans="11:12" x14ac:dyDescent="0.4">
      <c r="K97" s="9">
        <v>95</v>
      </c>
      <c r="L97" s="72">
        <v>222.49999999999989</v>
      </c>
    </row>
    <row r="98" spans="11:12" x14ac:dyDescent="0.4">
      <c r="K98" s="9">
        <v>96</v>
      </c>
      <c r="L98" s="72">
        <v>234.99999999999989</v>
      </c>
    </row>
    <row r="99" spans="11:12" x14ac:dyDescent="0.4">
      <c r="K99" s="9">
        <v>97</v>
      </c>
      <c r="L99" s="72">
        <v>252.19999999999987</v>
      </c>
    </row>
    <row r="100" spans="11:12" x14ac:dyDescent="0.4">
      <c r="K100" s="9">
        <v>98</v>
      </c>
      <c r="L100" s="72">
        <v>221.59999999999988</v>
      </c>
    </row>
    <row r="101" spans="11:12" x14ac:dyDescent="0.4">
      <c r="K101" s="9">
        <v>99</v>
      </c>
      <c r="L101" s="72">
        <v>245.39999999999989</v>
      </c>
    </row>
    <row r="102" spans="11:12" x14ac:dyDescent="0.4">
      <c r="K102" s="9">
        <v>100</v>
      </c>
      <c r="L102" s="72">
        <v>252.89999999999989</v>
      </c>
    </row>
    <row r="103" spans="11:12" x14ac:dyDescent="0.4">
      <c r="K103" s="9">
        <v>101</v>
      </c>
      <c r="L103" s="72">
        <v>270.69999999999987</v>
      </c>
    </row>
    <row r="104" spans="11:12" x14ac:dyDescent="0.4">
      <c r="K104" s="9">
        <v>102</v>
      </c>
      <c r="L104" s="72">
        <v>248.89999999999986</v>
      </c>
    </row>
    <row r="105" spans="11:12" x14ac:dyDescent="0.4">
      <c r="K105" s="9">
        <v>103</v>
      </c>
      <c r="L105" s="72">
        <v>250.99999999999986</v>
      </c>
    </row>
    <row r="106" spans="11:12" x14ac:dyDescent="0.4">
      <c r="K106" s="9">
        <v>104</v>
      </c>
      <c r="L106" s="72">
        <v>256.59999999999985</v>
      </c>
    </row>
    <row r="107" spans="11:12" x14ac:dyDescent="0.4">
      <c r="K107" s="9">
        <v>105</v>
      </c>
      <c r="L107" s="72">
        <v>207.59999999999985</v>
      </c>
    </row>
    <row r="108" spans="11:12" x14ac:dyDescent="0.4">
      <c r="K108" s="9">
        <v>106</v>
      </c>
      <c r="L108" s="72">
        <v>192.19999999999985</v>
      </c>
    </row>
    <row r="109" spans="11:12" x14ac:dyDescent="0.4">
      <c r="K109" s="9">
        <v>107</v>
      </c>
      <c r="L109" s="72">
        <v>234.69999999999985</v>
      </c>
    </row>
    <row r="110" spans="11:12" x14ac:dyDescent="0.4">
      <c r="K110" s="9">
        <v>108</v>
      </c>
      <c r="L110" s="72">
        <v>243.69999999999985</v>
      </c>
    </row>
    <row r="111" spans="11:12" x14ac:dyDescent="0.4">
      <c r="K111" s="9">
        <v>109</v>
      </c>
      <c r="L111" s="72">
        <v>184.79999999999984</v>
      </c>
    </row>
    <row r="112" spans="11:12" x14ac:dyDescent="0.4">
      <c r="K112" s="9">
        <v>110</v>
      </c>
      <c r="L112" s="72">
        <v>225.49999999999983</v>
      </c>
    </row>
    <row r="113" spans="11:12" x14ac:dyDescent="0.4">
      <c r="K113" s="9">
        <v>111</v>
      </c>
      <c r="L113" s="72">
        <v>216.99999999999983</v>
      </c>
    </row>
    <row r="114" spans="11:12" x14ac:dyDescent="0.4">
      <c r="K114" s="9">
        <v>112</v>
      </c>
      <c r="L114" s="72">
        <v>225.49999999999983</v>
      </c>
    </row>
    <row r="115" spans="11:12" x14ac:dyDescent="0.4">
      <c r="K115" s="9">
        <v>113</v>
      </c>
      <c r="L115" s="72">
        <v>250.09999999999982</v>
      </c>
    </row>
    <row r="116" spans="11:12" x14ac:dyDescent="0.4">
      <c r="K116" s="9">
        <v>114</v>
      </c>
      <c r="L116" s="72">
        <v>271.99999999999983</v>
      </c>
    </row>
    <row r="117" spans="11:12" x14ac:dyDescent="0.4">
      <c r="K117" s="9">
        <v>115</v>
      </c>
      <c r="L117" s="72">
        <v>262.69999999999982</v>
      </c>
    </row>
    <row r="118" spans="11:12" x14ac:dyDescent="0.4">
      <c r="K118" s="9">
        <v>116</v>
      </c>
      <c r="L118" s="72">
        <v>245.69999999999982</v>
      </c>
    </row>
    <row r="119" spans="11:12" x14ac:dyDescent="0.4">
      <c r="K119" s="9">
        <v>117</v>
      </c>
      <c r="L119" s="72">
        <v>267.39999999999981</v>
      </c>
    </row>
    <row r="120" spans="11:12" x14ac:dyDescent="0.4">
      <c r="K120" s="9">
        <v>118</v>
      </c>
      <c r="L120" s="72">
        <v>221.89999999999981</v>
      </c>
    </row>
    <row r="121" spans="11:12" x14ac:dyDescent="0.4">
      <c r="K121" s="9">
        <v>119</v>
      </c>
      <c r="L121" s="72">
        <v>216.29999999999981</v>
      </c>
    </row>
    <row r="122" spans="11:12" x14ac:dyDescent="0.4">
      <c r="K122" s="9">
        <v>120</v>
      </c>
      <c r="L122" s="72">
        <v>195.79999999999981</v>
      </c>
    </row>
    <row r="123" spans="11:12" x14ac:dyDescent="0.4">
      <c r="K123" s="9">
        <v>121</v>
      </c>
      <c r="L123" s="72">
        <v>169.59999999999982</v>
      </c>
    </row>
    <row r="124" spans="11:12" x14ac:dyDescent="0.4">
      <c r="K124" s="9">
        <v>122</v>
      </c>
      <c r="L124" s="72">
        <v>161.89999999999984</v>
      </c>
    </row>
    <row r="125" spans="11:12" x14ac:dyDescent="0.4">
      <c r="K125" s="9">
        <v>123</v>
      </c>
      <c r="L125" s="72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97C-578C-4534-A92D-7D285FFFBF54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185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33</v>
      </c>
      <c r="C2" s="123"/>
      <c r="E2" s="33" t="s">
        <v>180</v>
      </c>
      <c r="F2" s="30" t="s">
        <v>181</v>
      </c>
      <c r="G2" s="17">
        <v>43</v>
      </c>
      <c r="H2" s="104">
        <f>IF(B$29=0,0,G2/B$29)</f>
        <v>0.9555555555555556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327.27272727272725</v>
      </c>
      <c r="P2" s="90">
        <v>33</v>
      </c>
      <c r="Q2" s="74">
        <v>10800</v>
      </c>
    </row>
    <row r="3" spans="1:17" x14ac:dyDescent="0.4">
      <c r="A3" s="26" t="s">
        <v>8</v>
      </c>
      <c r="B3" s="128">
        <v>270</v>
      </c>
      <c r="C3" s="129"/>
      <c r="E3" s="34" t="s">
        <v>65</v>
      </c>
      <c r="F3" s="31" t="s">
        <v>21</v>
      </c>
      <c r="G3" s="18">
        <v>30</v>
      </c>
      <c r="H3" s="105">
        <f>IF(B$29=0,0,G3/B$29)</f>
        <v>0.66666666666666663</v>
      </c>
      <c r="I3" s="67">
        <v>1</v>
      </c>
      <c r="K3" s="9">
        <v>1</v>
      </c>
      <c r="L3" s="72">
        <v>-14.4</v>
      </c>
      <c r="N3" s="87" t="s">
        <v>133</v>
      </c>
      <c r="O3" s="94">
        <f t="shared" si="0"/>
        <v>2145.1612903225805</v>
      </c>
      <c r="P3" s="91">
        <v>31</v>
      </c>
      <c r="Q3" s="75">
        <v>66500</v>
      </c>
    </row>
    <row r="4" spans="1:17" x14ac:dyDescent="0.4">
      <c r="A4" s="26" t="s">
        <v>6</v>
      </c>
      <c r="B4" s="130">
        <v>-9.3999999999999773</v>
      </c>
      <c r="C4" s="131"/>
      <c r="E4" s="34" t="s">
        <v>68</v>
      </c>
      <c r="F4" s="31" t="s">
        <v>24</v>
      </c>
      <c r="G4" s="18">
        <v>24</v>
      </c>
      <c r="H4" s="105">
        <f>IF(B$29=0,0,G4/B$29)</f>
        <v>0.53333333333333333</v>
      </c>
      <c r="I4" s="67">
        <v>1</v>
      </c>
      <c r="K4" s="9">
        <v>2</v>
      </c>
      <c r="L4" s="72">
        <v>37.6</v>
      </c>
      <c r="N4" s="87" t="s">
        <v>134</v>
      </c>
      <c r="O4" s="94">
        <f t="shared" si="0"/>
        <v>-867.85714285714289</v>
      </c>
      <c r="P4" s="91">
        <v>28</v>
      </c>
      <c r="Q4" s="75">
        <v>-24300</v>
      </c>
    </row>
    <row r="5" spans="1:17" x14ac:dyDescent="0.4">
      <c r="A5" s="26" t="s">
        <v>7</v>
      </c>
      <c r="B5" s="132">
        <f>IF(B$2=0,0,B$4/B$2)</f>
        <v>-0.28484848484848418</v>
      </c>
      <c r="C5" s="133"/>
      <c r="E5" s="34" t="s">
        <v>67</v>
      </c>
      <c r="F5" s="31" t="s">
        <v>23</v>
      </c>
      <c r="G5" s="18">
        <v>23</v>
      </c>
      <c r="H5" s="105">
        <f>IF(B$29=0,0,G5/B$29)</f>
        <v>0.51111111111111107</v>
      </c>
      <c r="I5" s="67">
        <v>12</v>
      </c>
      <c r="K5" s="9">
        <v>3</v>
      </c>
      <c r="L5" s="72">
        <v>-2.7999999999999972</v>
      </c>
      <c r="N5" s="87" t="s">
        <v>135</v>
      </c>
      <c r="O5" s="94">
        <f t="shared" si="0"/>
        <v>469.23076923076923</v>
      </c>
      <c r="P5" s="91">
        <v>26</v>
      </c>
      <c r="Q5" s="75">
        <v>12200</v>
      </c>
    </row>
    <row r="6" spans="1:17" x14ac:dyDescent="0.4">
      <c r="A6" s="26" t="s">
        <v>1</v>
      </c>
      <c r="B6" s="134">
        <f>IF(B$2=0,0,(B$7*1+B$8*2+B$9*3)/B$2)</f>
        <v>2.0606060606060606</v>
      </c>
      <c r="C6" s="135"/>
      <c r="E6" s="34" t="s">
        <v>73</v>
      </c>
      <c r="F6" s="31" t="s">
        <v>28</v>
      </c>
      <c r="G6" s="18">
        <v>21</v>
      </c>
      <c r="H6" s="105">
        <f>IF(B$29=0,0,G6/B$29)</f>
        <v>0.46666666666666667</v>
      </c>
      <c r="I6" s="67">
        <v>12</v>
      </c>
      <c r="K6" s="9">
        <v>4</v>
      </c>
      <c r="L6" s="72">
        <v>-44.3</v>
      </c>
      <c r="N6" s="87" t="s">
        <v>136</v>
      </c>
      <c r="O6" s="94">
        <f t="shared" si="0"/>
        <v>-1950</v>
      </c>
      <c r="P6" s="91">
        <v>22</v>
      </c>
      <c r="Q6" s="75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5">
        <f>IF(B$29=0,0,G7/B$29)</f>
        <v>0.37777777777777777</v>
      </c>
      <c r="I7" s="67">
        <v>1</v>
      </c>
      <c r="K7" s="9">
        <v>5</v>
      </c>
      <c r="L7" s="72">
        <v>8.2000000000000028</v>
      </c>
      <c r="N7" s="88" t="s">
        <v>137</v>
      </c>
      <c r="O7" s="95">
        <f t="shared" si="0"/>
        <v>-1668.421052631579</v>
      </c>
      <c r="P7" s="92">
        <v>19</v>
      </c>
      <c r="Q7" s="76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5">
        <f>IF(B$29=0,0,G8/B$29)</f>
        <v>0.15555555555555556</v>
      </c>
      <c r="I8" s="67">
        <v>3</v>
      </c>
      <c r="K8" s="9">
        <v>6</v>
      </c>
      <c r="L8" s="72">
        <v>23.200000000000003</v>
      </c>
      <c r="N8" s="14"/>
      <c r="O8" s="99"/>
      <c r="P8" s="83"/>
      <c r="Q8" s="81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5">
        <f>IF(B$29=0,0,G9/B$29)</f>
        <v>0.15555555555555556</v>
      </c>
      <c r="I9" s="67">
        <v>7</v>
      </c>
      <c r="K9" s="9">
        <v>7</v>
      </c>
      <c r="L9" s="72">
        <v>40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5">
        <f>IF(B$29=0,0,G10/B$29)</f>
        <v>0.1111111111111111</v>
      </c>
      <c r="I10" s="67">
        <v>9</v>
      </c>
      <c r="K10" s="9">
        <v>8</v>
      </c>
      <c r="L10" s="72">
        <v>4.2000000000000028</v>
      </c>
      <c r="N10" s="86" t="s">
        <v>162</v>
      </c>
      <c r="O10" s="96">
        <f>IF(P10=0,0,Q10/P10)</f>
        <v>5.815384615384616</v>
      </c>
      <c r="P10" s="90">
        <v>13</v>
      </c>
      <c r="Q10" s="78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5">
        <f>IF(B$29=0,0,G11/B$29)</f>
        <v>8.8888888888888892E-2</v>
      </c>
      <c r="I11" s="67">
        <v>7</v>
      </c>
      <c r="K11" s="9">
        <v>9</v>
      </c>
      <c r="L11" s="72">
        <v>6.8000000000000025</v>
      </c>
      <c r="N11" s="87" t="s">
        <v>163</v>
      </c>
      <c r="O11" s="97">
        <f>IF(P11=0,0,Q11/P11)</f>
        <v>6.8181818181818157</v>
      </c>
      <c r="P11" s="91">
        <v>11</v>
      </c>
      <c r="Q11" s="79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5">
        <f>IF(B$29=0,0,G12/B$29)</f>
        <v>4.4444444444444446E-2</v>
      </c>
      <c r="I12" s="67">
        <v>7</v>
      </c>
      <c r="K12" s="9">
        <v>10</v>
      </c>
      <c r="L12" s="72">
        <v>56.800000000000004</v>
      </c>
      <c r="N12" s="88" t="s">
        <v>164</v>
      </c>
      <c r="O12" s="98">
        <f>IF(P12=0,0,Q12/P12)</f>
        <v>-17.777777777777779</v>
      </c>
      <c r="P12" s="92">
        <v>9</v>
      </c>
      <c r="Q12" s="80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5">
        <f>IF(B$29=0,0,G13/B$29)</f>
        <v>4.4444444444444446E-2</v>
      </c>
      <c r="I13" s="67">
        <v>3</v>
      </c>
      <c r="K13" s="9">
        <v>11</v>
      </c>
      <c r="L13" s="72">
        <v>69.300000000000011</v>
      </c>
      <c r="N13" s="4"/>
      <c r="O13" s="82"/>
      <c r="P13" s="84"/>
      <c r="Q13" s="82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5">
        <f>IF(B$29=0,0,G14/B$29)</f>
        <v>2.2222222222222223E-2</v>
      </c>
      <c r="I14" s="67">
        <v>1</v>
      </c>
      <c r="K14" s="9">
        <v>12</v>
      </c>
      <c r="L14" s="72">
        <v>80.800000000000011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5">
        <f>IF(B$29=0,0,G15/B$29)</f>
        <v>2.2222222222222223E-2</v>
      </c>
      <c r="I15" s="67">
        <v>5</v>
      </c>
      <c r="K15" s="9">
        <v>13</v>
      </c>
      <c r="L15" s="72">
        <v>155.10000000000002</v>
      </c>
      <c r="N15" s="86" t="s">
        <v>168</v>
      </c>
      <c r="O15" s="96">
        <f>IF(P15=0,0,Q15/P15)</f>
        <v>24.993333333333332</v>
      </c>
      <c r="P15" s="90">
        <v>15</v>
      </c>
      <c r="Q15" s="78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5">
        <f>IF(B$29=0,0,G16/B$29)</f>
        <v>2.2222222222222223E-2</v>
      </c>
      <c r="I16" s="67">
        <v>10</v>
      </c>
      <c r="K16" s="9">
        <v>14</v>
      </c>
      <c r="L16" s="72">
        <v>147.10000000000002</v>
      </c>
      <c r="N16" s="87" t="s">
        <v>128</v>
      </c>
      <c r="O16" s="97">
        <f>IF(P16=0,0,Q16/P16)</f>
        <v>0.14444444444444493</v>
      </c>
      <c r="P16" s="91">
        <v>9</v>
      </c>
      <c r="Q16" s="79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5">
        <f>IF(B$29=0,0,G17/B$29)</f>
        <v>2.2222222222222223E-2</v>
      </c>
      <c r="I17" s="67">
        <v>13</v>
      </c>
      <c r="K17" s="9">
        <v>15</v>
      </c>
      <c r="L17" s="72">
        <v>148.80000000000001</v>
      </c>
      <c r="N17" s="87" t="s">
        <v>129</v>
      </c>
      <c r="O17" s="97">
        <f>IF(P17=0,0,Q17/P17)</f>
        <v>-4.2166666666666677</v>
      </c>
      <c r="P17" s="91">
        <v>6</v>
      </c>
      <c r="Q17" s="79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5">
        <f>IF(B$29=0,0,G18/B$29)</f>
        <v>2.2222222222222223E-2</v>
      </c>
      <c r="I18" s="67">
        <v>5</v>
      </c>
      <c r="K18" s="9">
        <v>16</v>
      </c>
      <c r="L18" s="72">
        <v>152.30000000000001</v>
      </c>
      <c r="N18" s="87" t="s">
        <v>169</v>
      </c>
      <c r="O18" s="97">
        <f>IF(P18=0,0,Q18/P18)</f>
        <v>-4.3000000000000007</v>
      </c>
      <c r="P18" s="91">
        <v>4</v>
      </c>
      <c r="Q18" s="79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5">
        <f>IF(B$29=0,0,G19/B$29)</f>
        <v>2.2222222222222223E-2</v>
      </c>
      <c r="I19" s="67">
        <v>1</v>
      </c>
      <c r="K19" s="9">
        <v>17</v>
      </c>
      <c r="L19" s="72">
        <v>178.10000000000002</v>
      </c>
      <c r="N19" s="87" t="s">
        <v>127</v>
      </c>
      <c r="O19" s="97">
        <f>IF(P19=0,0,Q19/P19)</f>
        <v>-9.155555555555555</v>
      </c>
      <c r="P19" s="91">
        <v>27</v>
      </c>
      <c r="Q19" s="79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155.00000000000003</v>
      </c>
      <c r="N20" s="87" t="s">
        <v>167</v>
      </c>
      <c r="O20" s="97">
        <f>IF(P20=0,0,Q20/P20)</f>
        <v>-19.925000000000004</v>
      </c>
      <c r="P20" s="91">
        <v>4</v>
      </c>
      <c r="Q20" s="79">
        <v>-79.700000000000017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143.60000000000002</v>
      </c>
      <c r="N21" s="87" t="s">
        <v>174</v>
      </c>
      <c r="O21" s="97">
        <f>IF(P21=0,0,Q21/P21)</f>
        <v>-34</v>
      </c>
      <c r="P21" s="91">
        <v>1</v>
      </c>
      <c r="Q21" s="79">
        <v>-34</v>
      </c>
    </row>
    <row r="22" spans="1:17" x14ac:dyDescent="0.4">
      <c r="A22" s="26" t="s">
        <v>179</v>
      </c>
      <c r="B22" s="18">
        <v>23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5">
        <f>IF(B$29=0,0,G24/B$29)</f>
        <v>0</v>
      </c>
      <c r="I24" s="67">
        <v>3</v>
      </c>
      <c r="K24" s="9">
        <v>22</v>
      </c>
      <c r="L24" s="72">
        <v>101.30000000000003</v>
      </c>
    </row>
    <row r="25" spans="1:17" x14ac:dyDescent="0.4">
      <c r="A25" s="63" t="s">
        <v>142</v>
      </c>
      <c r="B25" s="118">
        <v>7</v>
      </c>
      <c r="C25" s="119"/>
      <c r="E25" s="34" t="s">
        <v>82</v>
      </c>
      <c r="F25" s="31" t="s">
        <v>37</v>
      </c>
      <c r="G25" s="18">
        <v>0</v>
      </c>
      <c r="H25" s="105">
        <f>IF(B$29=0,0,G25/B$29)</f>
        <v>0</v>
      </c>
      <c r="I25" s="67">
        <v>10</v>
      </c>
      <c r="K25" s="9">
        <v>23</v>
      </c>
      <c r="L25" s="72">
        <v>53.800000000000026</v>
      </c>
    </row>
    <row r="26" spans="1:17" x14ac:dyDescent="0.4">
      <c r="A26" s="29" t="s">
        <v>152</v>
      </c>
      <c r="B26" s="120">
        <v>109300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79.500000000000028</v>
      </c>
    </row>
    <row r="28" spans="1:17" x14ac:dyDescent="0.4">
      <c r="A28" s="25" t="s">
        <v>182</v>
      </c>
      <c r="B28" s="122">
        <v>188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51.10000000000003</v>
      </c>
    </row>
    <row r="29" spans="1:17" x14ac:dyDescent="0.4">
      <c r="A29" s="28" t="s">
        <v>183</v>
      </c>
      <c r="B29" s="124">
        <v>45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B0D6-135B-4000-852A-765FF7C59041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131</v>
      </c>
      <c r="C2" s="123"/>
      <c r="E2" s="33" t="s">
        <v>180</v>
      </c>
      <c r="F2" s="30" t="s">
        <v>181</v>
      </c>
      <c r="G2" s="17">
        <v>254</v>
      </c>
      <c r="H2" s="104">
        <f>IF(B$29=0,0,G2/B$29)</f>
        <v>0.91366906474820142</v>
      </c>
      <c r="I2" s="66">
        <v>4</v>
      </c>
      <c r="K2" s="7">
        <v>0</v>
      </c>
      <c r="L2" s="71">
        <v>0</v>
      </c>
      <c r="N2" s="86" t="s">
        <v>132</v>
      </c>
      <c r="O2" s="93">
        <f t="shared" ref="O2:O7" si="0">IF(P2=0,0,Q2/P2)</f>
        <v>-1304.724409448819</v>
      </c>
      <c r="P2" s="90">
        <v>127</v>
      </c>
      <c r="Q2" s="74">
        <v>-165700</v>
      </c>
    </row>
    <row r="3" spans="1:17" x14ac:dyDescent="0.4">
      <c r="A3" s="26" t="s">
        <v>8</v>
      </c>
      <c r="B3" s="128">
        <v>1016</v>
      </c>
      <c r="C3" s="129"/>
      <c r="E3" s="34" t="s">
        <v>67</v>
      </c>
      <c r="F3" s="31" t="s">
        <v>23</v>
      </c>
      <c r="G3" s="18">
        <v>213</v>
      </c>
      <c r="H3" s="105">
        <f>IF(B$29=0,0,G3/B$29)</f>
        <v>0.76618705035971224</v>
      </c>
      <c r="I3" s="67">
        <v>3</v>
      </c>
      <c r="K3" s="9">
        <v>1</v>
      </c>
      <c r="L3" s="72">
        <v>3.9</v>
      </c>
      <c r="N3" s="87" t="s">
        <v>133</v>
      </c>
      <c r="O3" s="94">
        <f t="shared" si="0"/>
        <v>444</v>
      </c>
      <c r="P3" s="91">
        <v>125</v>
      </c>
      <c r="Q3" s="75">
        <v>55500</v>
      </c>
    </row>
    <row r="4" spans="1:17" x14ac:dyDescent="0.4">
      <c r="A4" s="26" t="s">
        <v>6</v>
      </c>
      <c r="B4" s="130">
        <v>-461.2999999999999</v>
      </c>
      <c r="C4" s="131"/>
      <c r="E4" s="34" t="s">
        <v>65</v>
      </c>
      <c r="F4" s="31" t="s">
        <v>21</v>
      </c>
      <c r="G4" s="18">
        <v>169</v>
      </c>
      <c r="H4" s="105">
        <f>IF(B$29=0,0,G4/B$29)</f>
        <v>0.6079136690647482</v>
      </c>
      <c r="I4" s="67">
        <v>5</v>
      </c>
      <c r="K4" s="9">
        <v>2</v>
      </c>
      <c r="L4" s="72">
        <v>-33.9</v>
      </c>
      <c r="N4" s="87" t="s">
        <v>134</v>
      </c>
      <c r="O4" s="94">
        <f t="shared" si="0"/>
        <v>-257.14285714285717</v>
      </c>
      <c r="P4" s="91">
        <v>119</v>
      </c>
      <c r="Q4" s="75">
        <v>-30600</v>
      </c>
    </row>
    <row r="5" spans="1:17" x14ac:dyDescent="0.4">
      <c r="A5" s="26" t="s">
        <v>7</v>
      </c>
      <c r="B5" s="132">
        <f>IF(B$2=0,0,B$4/B$2)</f>
        <v>-3.5213740458015259</v>
      </c>
      <c r="C5" s="133"/>
      <c r="E5" s="34" t="s">
        <v>73</v>
      </c>
      <c r="F5" s="31" t="s">
        <v>28</v>
      </c>
      <c r="G5" s="18">
        <v>163</v>
      </c>
      <c r="H5" s="105">
        <f>IF(B$29=0,0,G5/B$29)</f>
        <v>0.58633093525179858</v>
      </c>
      <c r="I5" s="67">
        <v>6</v>
      </c>
      <c r="K5" s="9">
        <v>3</v>
      </c>
      <c r="L5" s="72">
        <v>-70.099999999999994</v>
      </c>
      <c r="N5" s="87" t="s">
        <v>135</v>
      </c>
      <c r="O5" s="94">
        <f t="shared" si="0"/>
        <v>57.943925233644862</v>
      </c>
      <c r="P5" s="91">
        <v>107</v>
      </c>
      <c r="Q5" s="75">
        <v>6200</v>
      </c>
    </row>
    <row r="6" spans="1:17" x14ac:dyDescent="0.4">
      <c r="A6" s="26" t="s">
        <v>1</v>
      </c>
      <c r="B6" s="134">
        <f>IF(B$2=0,0,(B$7*1+B$8*2+B$9*3)/B$2)</f>
        <v>2.1603053435114505</v>
      </c>
      <c r="C6" s="135"/>
      <c r="E6" s="34" t="s">
        <v>68</v>
      </c>
      <c r="F6" s="31" t="s">
        <v>24</v>
      </c>
      <c r="G6" s="18">
        <v>102</v>
      </c>
      <c r="H6" s="105">
        <f>IF(B$29=0,0,G6/B$29)</f>
        <v>0.36690647482014388</v>
      </c>
      <c r="I6" s="67">
        <v>4</v>
      </c>
      <c r="K6" s="9">
        <v>4</v>
      </c>
      <c r="L6" s="72">
        <v>-35.099999999999994</v>
      </c>
      <c r="N6" s="87" t="s">
        <v>136</v>
      </c>
      <c r="O6" s="94">
        <f t="shared" si="0"/>
        <v>-2685.8585858585857</v>
      </c>
      <c r="P6" s="91">
        <v>99</v>
      </c>
      <c r="Q6" s="75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5">
        <f>IF(B$29=0,0,G7/B$29)</f>
        <v>0.31294964028776978</v>
      </c>
      <c r="I7" s="67">
        <v>6</v>
      </c>
      <c r="K7" s="9">
        <v>5</v>
      </c>
      <c r="L7" s="72">
        <v>-80.099999999999994</v>
      </c>
      <c r="N7" s="88" t="s">
        <v>137</v>
      </c>
      <c r="O7" s="95">
        <f t="shared" si="0"/>
        <v>635.80246913580243</v>
      </c>
      <c r="P7" s="92">
        <v>81</v>
      </c>
      <c r="Q7" s="76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5">
        <f>IF(B$29=0,0,G8/B$29)</f>
        <v>0.15467625899280577</v>
      </c>
      <c r="I8" s="67">
        <v>5</v>
      </c>
      <c r="K8" s="9">
        <v>6</v>
      </c>
      <c r="L8" s="72">
        <v>-116.1</v>
      </c>
      <c r="N8" s="14"/>
      <c r="O8" s="99"/>
      <c r="P8" s="83"/>
      <c r="Q8" s="81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5">
        <f>IF(B$29=0,0,G9/B$29)</f>
        <v>0.12589928057553956</v>
      </c>
      <c r="I9" s="67">
        <v>10</v>
      </c>
      <c r="K9" s="9">
        <v>7</v>
      </c>
      <c r="L9" s="72">
        <v>-147.4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5">
        <f>IF(B$29=0,0,G10/B$29)</f>
        <v>0.1223021582733813</v>
      </c>
      <c r="I10" s="67">
        <v>4</v>
      </c>
      <c r="K10" s="9">
        <v>8</v>
      </c>
      <c r="L10" s="72">
        <v>-146</v>
      </c>
      <c r="N10" s="86" t="s">
        <v>162</v>
      </c>
      <c r="O10" s="96">
        <f>IF(P10=0,0,Q10/P10)</f>
        <v>-9.8355555555555565</v>
      </c>
      <c r="P10" s="90">
        <v>45</v>
      </c>
      <c r="Q10" s="78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5">
        <f>IF(B$29=0,0,G11/B$29)</f>
        <v>0.11151079136690648</v>
      </c>
      <c r="I11" s="67">
        <v>9</v>
      </c>
      <c r="K11" s="9">
        <v>9</v>
      </c>
      <c r="L11" s="72">
        <v>-173</v>
      </c>
      <c r="N11" s="87" t="s">
        <v>163</v>
      </c>
      <c r="O11" s="97">
        <f>IF(P11=0,0,Q11/P11)</f>
        <v>1.8440000000000001</v>
      </c>
      <c r="P11" s="91">
        <v>50</v>
      </c>
      <c r="Q11" s="79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5">
        <f>IF(B$29=0,0,G12/B$29)</f>
        <v>8.6330935251798566E-2</v>
      </c>
      <c r="I12" s="67">
        <v>6</v>
      </c>
      <c r="K12" s="9">
        <v>10</v>
      </c>
      <c r="L12" s="72">
        <v>-206.1</v>
      </c>
      <c r="N12" s="88" t="s">
        <v>164</v>
      </c>
      <c r="O12" s="98">
        <f>IF(P12=0,0,Q12/P12)</f>
        <v>4.2424242424242378E-2</v>
      </c>
      <c r="P12" s="92">
        <v>33</v>
      </c>
      <c r="Q12" s="80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5">
        <f>IF(B$29=0,0,G13/B$29)</f>
        <v>3.5971223021582732E-2</v>
      </c>
      <c r="I13" s="67">
        <v>5</v>
      </c>
      <c r="K13" s="9">
        <v>11</v>
      </c>
      <c r="L13" s="72">
        <v>-174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5">
        <f>IF(B$29=0,0,G14/B$29)</f>
        <v>2.8776978417266189E-2</v>
      </c>
      <c r="I14" s="67">
        <v>10</v>
      </c>
      <c r="K14" s="9">
        <v>12</v>
      </c>
      <c r="L14" s="72">
        <v>-197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5">
        <f>IF(B$29=0,0,G15/B$29)</f>
        <v>2.8776978417266189E-2</v>
      </c>
      <c r="I15" s="67">
        <v>9</v>
      </c>
      <c r="K15" s="9">
        <v>13</v>
      </c>
      <c r="L15" s="72">
        <v>-235</v>
      </c>
      <c r="N15" s="86" t="s">
        <v>169</v>
      </c>
      <c r="O15" s="96">
        <f>IF(P15=0,0,Q15/P15)</f>
        <v>28.18</v>
      </c>
      <c r="P15" s="90">
        <v>5</v>
      </c>
      <c r="Q15" s="78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5">
        <f>IF(B$29=0,0,G16/B$29)</f>
        <v>2.1582733812949641E-2</v>
      </c>
      <c r="I16" s="67">
        <v>8</v>
      </c>
      <c r="K16" s="9">
        <v>14</v>
      </c>
      <c r="L16" s="72">
        <v>-231</v>
      </c>
      <c r="N16" s="87" t="s">
        <v>173</v>
      </c>
      <c r="O16" s="97">
        <f>IF(P16=0,0,Q16/P16)</f>
        <v>25.3</v>
      </c>
      <c r="P16" s="91">
        <v>2</v>
      </c>
      <c r="Q16" s="79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5">
        <f>IF(B$29=0,0,G17/B$29)</f>
        <v>2.1582733812949641E-2</v>
      </c>
      <c r="I17" s="67">
        <v>6</v>
      </c>
      <c r="K17" s="9">
        <v>15</v>
      </c>
      <c r="L17" s="72">
        <v>-212.5</v>
      </c>
      <c r="N17" s="87" t="s">
        <v>185</v>
      </c>
      <c r="O17" s="97">
        <f>IF(P17=0,0,Q17/P17)</f>
        <v>19.924999999999997</v>
      </c>
      <c r="P17" s="91">
        <v>4</v>
      </c>
      <c r="Q17" s="79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5">
        <f>IF(B$29=0,0,G18/B$29)</f>
        <v>1.4388489208633094E-2</v>
      </c>
      <c r="I18" s="67">
        <v>3</v>
      </c>
      <c r="K18" s="9">
        <v>16</v>
      </c>
      <c r="L18" s="72">
        <v>-233.2</v>
      </c>
      <c r="N18" s="87" t="s">
        <v>172</v>
      </c>
      <c r="O18" s="97">
        <f>IF(P18=0,0,Q18/P18)</f>
        <v>13.440000000000001</v>
      </c>
      <c r="P18" s="91">
        <v>20</v>
      </c>
      <c r="Q18" s="79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5">
        <f>IF(B$29=0,0,G19/B$29)</f>
        <v>1.4388489208633094E-2</v>
      </c>
      <c r="I19" s="67">
        <v>6</v>
      </c>
      <c r="K19" s="9">
        <v>17</v>
      </c>
      <c r="L19" s="72">
        <v>-268.7</v>
      </c>
      <c r="N19" s="87" t="s">
        <v>174</v>
      </c>
      <c r="O19" s="97">
        <f>IF(P19=0,0,Q19/P19)</f>
        <v>8.8833333333333329</v>
      </c>
      <c r="P19" s="91">
        <v>12</v>
      </c>
      <c r="Q19" s="79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5">
        <f>IF(B$29=0,0,G20/B$29)</f>
        <v>1.0791366906474821E-2</v>
      </c>
      <c r="I20" s="67">
        <v>1</v>
      </c>
      <c r="K20" s="9">
        <v>18</v>
      </c>
      <c r="L20" s="72">
        <v>-295.8</v>
      </c>
      <c r="N20" s="87" t="s">
        <v>168</v>
      </c>
      <c r="O20" s="97">
        <f>IF(P20=0,0,Q20/P20)</f>
        <v>0.35263157894736707</v>
      </c>
      <c r="P20" s="91">
        <v>19</v>
      </c>
      <c r="Q20" s="79">
        <v>6.6999999999999744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94</v>
      </c>
      <c r="F21" s="31" t="s">
        <v>49</v>
      </c>
      <c r="G21" s="18">
        <v>2</v>
      </c>
      <c r="H21" s="105">
        <f>IF(B$29=0,0,G21/B$29)</f>
        <v>7.1942446043165471E-3</v>
      </c>
      <c r="I21" s="67">
        <v>3</v>
      </c>
      <c r="K21" s="9">
        <v>19</v>
      </c>
      <c r="L21" s="72">
        <v>-273.2</v>
      </c>
      <c r="N21" s="87" t="s">
        <v>128</v>
      </c>
      <c r="O21" s="97">
        <f>IF(P21=0,0,Q21/P21)</f>
        <v>-3.1104166666666635</v>
      </c>
      <c r="P21" s="91">
        <v>48</v>
      </c>
      <c r="Q21" s="79">
        <v>-149.29999999999984</v>
      </c>
    </row>
    <row r="22" spans="1:17" x14ac:dyDescent="0.4">
      <c r="A22" s="26" t="s">
        <v>179</v>
      </c>
      <c r="B22" s="18">
        <v>30</v>
      </c>
      <c r="C22" s="107">
        <v>10</v>
      </c>
      <c r="E22" s="34" t="s">
        <v>75</v>
      </c>
      <c r="F22" s="31" t="s">
        <v>30</v>
      </c>
      <c r="G22" s="18">
        <v>1</v>
      </c>
      <c r="H22" s="105">
        <f>IF(B$29=0,0,G22/B$29)</f>
        <v>3.5971223021582736E-3</v>
      </c>
      <c r="I22" s="67">
        <v>4</v>
      </c>
      <c r="K22" s="9">
        <v>20</v>
      </c>
      <c r="L22" s="72">
        <v>-270</v>
      </c>
      <c r="N22" s="87" t="s">
        <v>196</v>
      </c>
      <c r="O22" s="97">
        <f>IF(P22=0,0,Q22/P22)</f>
        <v>-3.9666666666666663</v>
      </c>
      <c r="P22" s="91">
        <v>3</v>
      </c>
      <c r="Q22" s="79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5">
        <f>IF(B$29=0,0,G23/B$29)</f>
        <v>3.5971223021582736E-3</v>
      </c>
      <c r="I23" s="67">
        <v>6</v>
      </c>
      <c r="K23" s="9">
        <v>21</v>
      </c>
      <c r="L23" s="72">
        <v>-242</v>
      </c>
      <c r="N23" s="87" t="s">
        <v>127</v>
      </c>
      <c r="O23" s="97">
        <f>IF(P23=0,0,Q23/P23)</f>
        <v>-11.685849056603772</v>
      </c>
      <c r="P23" s="91">
        <v>106</v>
      </c>
      <c r="Q23" s="79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5">
        <f>IF(B$29=0,0,G24/B$29)</f>
        <v>3.5971223021582736E-3</v>
      </c>
      <c r="I24" s="67">
        <v>3</v>
      </c>
      <c r="K24" s="9">
        <v>22</v>
      </c>
      <c r="L24" s="72">
        <v>-202.9</v>
      </c>
      <c r="N24" s="87" t="s">
        <v>129</v>
      </c>
      <c r="O24" s="97">
        <f>IF(P24=0,0,Q24/P24)</f>
        <v>-14.63170731707317</v>
      </c>
      <c r="P24" s="91">
        <v>41</v>
      </c>
      <c r="Q24" s="79">
        <v>-599.9</v>
      </c>
    </row>
    <row r="25" spans="1:17" x14ac:dyDescent="0.4">
      <c r="A25" s="63" t="s">
        <v>142</v>
      </c>
      <c r="B25" s="118">
        <v>7</v>
      </c>
      <c r="C25" s="119"/>
      <c r="E25" s="34" t="s">
        <v>86</v>
      </c>
      <c r="F25" s="31" t="s">
        <v>41</v>
      </c>
      <c r="G25" s="18">
        <v>1</v>
      </c>
      <c r="H25" s="105">
        <f>IF(B$29=0,0,G25/B$29)</f>
        <v>3.5971223021582736E-3</v>
      </c>
      <c r="I25" s="67">
        <v>5</v>
      </c>
      <c r="K25" s="9">
        <v>23</v>
      </c>
      <c r="L25" s="72">
        <v>-200.9</v>
      </c>
      <c r="N25" s="87" t="s">
        <v>214</v>
      </c>
      <c r="O25" s="97">
        <f>IF(P25=0,0,Q25/P25)</f>
        <v>-17.200000000000003</v>
      </c>
      <c r="P25" s="91">
        <v>2</v>
      </c>
      <c r="Q25" s="79">
        <v>-34.400000000000006</v>
      </c>
    </row>
    <row r="26" spans="1:17" x14ac:dyDescent="0.4">
      <c r="A26" s="29" t="s">
        <v>152</v>
      </c>
      <c r="B26" s="120">
        <v>124700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3.5971223021582736E-3</v>
      </c>
      <c r="I26" s="67">
        <v>3</v>
      </c>
      <c r="K26" s="9">
        <v>24</v>
      </c>
      <c r="L26" s="72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5">
        <f>IF(B$29=0,0,G27/B$29)</f>
        <v>3.5971223021582736E-3</v>
      </c>
      <c r="I27" s="67">
        <v>1</v>
      </c>
      <c r="K27" s="9">
        <v>25</v>
      </c>
      <c r="L27" s="72">
        <v>-216.89999999999998</v>
      </c>
    </row>
    <row r="28" spans="1:17" x14ac:dyDescent="0.4">
      <c r="A28" s="25" t="s">
        <v>182</v>
      </c>
      <c r="B28" s="122">
        <v>979</v>
      </c>
      <c r="C28" s="123"/>
      <c r="E28" s="34" t="s">
        <v>93</v>
      </c>
      <c r="F28" s="31" t="s">
        <v>48</v>
      </c>
      <c r="G28" s="18">
        <v>1</v>
      </c>
      <c r="H28" s="105">
        <f>IF(B$29=0,0,G28/B$29)</f>
        <v>3.5971223021582736E-3</v>
      </c>
      <c r="I28" s="67">
        <v>6</v>
      </c>
      <c r="K28" s="9">
        <v>26</v>
      </c>
      <c r="L28" s="72">
        <v>-256.29999999999995</v>
      </c>
    </row>
    <row r="29" spans="1:17" x14ac:dyDescent="0.4">
      <c r="A29" s="28" t="s">
        <v>183</v>
      </c>
      <c r="B29" s="124">
        <v>278</v>
      </c>
      <c r="C29" s="125"/>
      <c r="E29" s="34" t="s">
        <v>77</v>
      </c>
      <c r="F29" s="31" t="s">
        <v>32</v>
      </c>
      <c r="G29" s="18">
        <v>0</v>
      </c>
      <c r="H29" s="105">
        <f>IF(B$29=0,0,G29/B$29)</f>
        <v>0</v>
      </c>
      <c r="I29" s="67">
        <v>1</v>
      </c>
      <c r="K29" s="9">
        <v>27</v>
      </c>
      <c r="L29" s="72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5">
        <f>IF(B$29=0,0,G31/B$29)</f>
        <v>0</v>
      </c>
      <c r="I31" s="67">
        <v>1</v>
      </c>
      <c r="K31" s="9">
        <v>29</v>
      </c>
      <c r="L31" s="72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5">
        <f>IF(B$29=0,0,G32/B$29)</f>
        <v>0</v>
      </c>
      <c r="I32" s="67">
        <v>3</v>
      </c>
      <c r="K32" s="9">
        <v>30</v>
      </c>
      <c r="L32" s="72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-359.19999999999993</v>
      </c>
    </row>
    <row r="51" spans="5:12" x14ac:dyDescent="0.4">
      <c r="K51" s="9">
        <v>49</v>
      </c>
      <c r="L51" s="72">
        <v>-364.49999999999994</v>
      </c>
    </row>
    <row r="52" spans="5:12" x14ac:dyDescent="0.4">
      <c r="K52" s="9">
        <v>50</v>
      </c>
      <c r="L52" s="72">
        <v>-399.99999999999994</v>
      </c>
    </row>
    <row r="53" spans="5:12" x14ac:dyDescent="0.4">
      <c r="K53" s="9">
        <v>51</v>
      </c>
      <c r="L53" s="72">
        <v>-409.99999999999994</v>
      </c>
    </row>
    <row r="54" spans="5:12" x14ac:dyDescent="0.4">
      <c r="K54" s="9">
        <v>52</v>
      </c>
      <c r="L54" s="72">
        <v>-426.39999999999992</v>
      </c>
    </row>
    <row r="55" spans="5:12" x14ac:dyDescent="0.4">
      <c r="K55" s="9">
        <v>53</v>
      </c>
      <c r="L55" s="72">
        <v>-399.89999999999992</v>
      </c>
    </row>
    <row r="56" spans="5:12" x14ac:dyDescent="0.4">
      <c r="K56" s="9">
        <v>54</v>
      </c>
      <c r="L56" s="72">
        <v>-411.19999999999993</v>
      </c>
    </row>
    <row r="57" spans="5:12" x14ac:dyDescent="0.4">
      <c r="K57" s="9">
        <v>55</v>
      </c>
      <c r="L57" s="72">
        <v>-420.49999999999994</v>
      </c>
    </row>
    <row r="58" spans="5:12" x14ac:dyDescent="0.4">
      <c r="K58" s="9">
        <v>56</v>
      </c>
      <c r="L58" s="72">
        <v>-395.39999999999992</v>
      </c>
    </row>
    <row r="59" spans="5:12" x14ac:dyDescent="0.4">
      <c r="K59" s="9">
        <v>57</v>
      </c>
      <c r="L59" s="72">
        <v>-428.89999999999992</v>
      </c>
    </row>
    <row r="60" spans="5:12" x14ac:dyDescent="0.4">
      <c r="K60" s="9">
        <v>58</v>
      </c>
      <c r="L60" s="72">
        <v>-466.39999999999992</v>
      </c>
    </row>
    <row r="61" spans="5:12" x14ac:dyDescent="0.4">
      <c r="K61" s="9">
        <v>59</v>
      </c>
      <c r="L61" s="72">
        <v>-475.7999999999999</v>
      </c>
    </row>
    <row r="62" spans="5:12" x14ac:dyDescent="0.4">
      <c r="K62" s="9">
        <v>60</v>
      </c>
      <c r="L62" s="72">
        <v>-475.2999999999999</v>
      </c>
    </row>
    <row r="63" spans="5:12" x14ac:dyDescent="0.4">
      <c r="K63" s="9">
        <v>61</v>
      </c>
      <c r="L63" s="72">
        <v>-487.39999999999992</v>
      </c>
    </row>
    <row r="64" spans="5:12" x14ac:dyDescent="0.4">
      <c r="K64" s="9">
        <v>62</v>
      </c>
      <c r="L64" s="72">
        <v>-492.59999999999991</v>
      </c>
    </row>
    <row r="65" spans="11:12" x14ac:dyDescent="0.4">
      <c r="K65" s="9">
        <v>63</v>
      </c>
      <c r="L65" s="72">
        <v>-416.09999999999991</v>
      </c>
    </row>
    <row r="66" spans="11:12" x14ac:dyDescent="0.4">
      <c r="K66" s="9">
        <v>64</v>
      </c>
      <c r="L66" s="72">
        <v>-451.89999999999992</v>
      </c>
    </row>
    <row r="67" spans="11:12" x14ac:dyDescent="0.4">
      <c r="K67" s="9">
        <v>65</v>
      </c>
      <c r="L67" s="72">
        <v>-454.09999999999991</v>
      </c>
    </row>
    <row r="68" spans="11:12" x14ac:dyDescent="0.4">
      <c r="K68" s="9">
        <v>66</v>
      </c>
      <c r="L68" s="72">
        <v>-470.99999999999989</v>
      </c>
    </row>
    <row r="69" spans="11:12" x14ac:dyDescent="0.4">
      <c r="K69" s="9">
        <v>67</v>
      </c>
      <c r="L69" s="72">
        <v>-508.39999999999986</v>
      </c>
    </row>
    <row r="70" spans="11:12" x14ac:dyDescent="0.4">
      <c r="K70" s="9">
        <v>68</v>
      </c>
      <c r="L70" s="72">
        <v>-418.69999999999987</v>
      </c>
    </row>
    <row r="71" spans="11:12" x14ac:dyDescent="0.4">
      <c r="K71" s="9">
        <v>69</v>
      </c>
      <c r="L71" s="72">
        <v>-387.49999999999989</v>
      </c>
    </row>
    <row r="72" spans="11:12" x14ac:dyDescent="0.4">
      <c r="K72" s="9">
        <v>70</v>
      </c>
      <c r="L72" s="72">
        <v>-347.2999999999999</v>
      </c>
    </row>
    <row r="73" spans="11:12" x14ac:dyDescent="0.4">
      <c r="K73" s="9">
        <v>71</v>
      </c>
      <c r="L73" s="72">
        <v>-368.2999999999999</v>
      </c>
    </row>
    <row r="74" spans="11:12" x14ac:dyDescent="0.4">
      <c r="K74" s="9">
        <v>72</v>
      </c>
      <c r="L74" s="72">
        <v>-404.2999999999999</v>
      </c>
    </row>
    <row r="75" spans="11:12" x14ac:dyDescent="0.4">
      <c r="K75" s="9">
        <v>73</v>
      </c>
      <c r="L75" s="72">
        <v>-413.69999999999987</v>
      </c>
    </row>
    <row r="76" spans="11:12" x14ac:dyDescent="0.4">
      <c r="K76" s="9">
        <v>74</v>
      </c>
      <c r="L76" s="72">
        <v>-399.19999999999987</v>
      </c>
    </row>
    <row r="77" spans="11:12" x14ac:dyDescent="0.4">
      <c r="K77" s="9">
        <v>75</v>
      </c>
      <c r="L77" s="72">
        <v>-438.59999999999985</v>
      </c>
    </row>
    <row r="78" spans="11:12" x14ac:dyDescent="0.4">
      <c r="K78" s="9">
        <v>76</v>
      </c>
      <c r="L78" s="72">
        <v>-437.19999999999987</v>
      </c>
    </row>
    <row r="79" spans="11:12" x14ac:dyDescent="0.4">
      <c r="K79" s="9">
        <v>77</v>
      </c>
      <c r="L79" s="72">
        <v>-439.99999999999989</v>
      </c>
    </row>
    <row r="80" spans="11:12" x14ac:dyDescent="0.4">
      <c r="K80" s="9">
        <v>78</v>
      </c>
      <c r="L80" s="72">
        <v>-428.19999999999987</v>
      </c>
    </row>
    <row r="81" spans="11:12" x14ac:dyDescent="0.4">
      <c r="K81" s="9">
        <v>79</v>
      </c>
      <c r="L81" s="72">
        <v>-443.2999999999999</v>
      </c>
    </row>
    <row r="82" spans="11:12" x14ac:dyDescent="0.4">
      <c r="K82" s="9">
        <v>80</v>
      </c>
      <c r="L82" s="72">
        <v>-454.99999999999989</v>
      </c>
    </row>
    <row r="83" spans="11:12" x14ac:dyDescent="0.4">
      <c r="K83" s="9">
        <v>81</v>
      </c>
      <c r="L83" s="72">
        <v>-398.59999999999991</v>
      </c>
    </row>
    <row r="84" spans="11:12" x14ac:dyDescent="0.4">
      <c r="K84" s="9">
        <v>82</v>
      </c>
      <c r="L84" s="72">
        <v>-353.59999999999991</v>
      </c>
    </row>
    <row r="85" spans="11:12" x14ac:dyDescent="0.4">
      <c r="K85" s="9">
        <v>83</v>
      </c>
      <c r="L85" s="72">
        <v>-354.2999999999999</v>
      </c>
    </row>
    <row r="86" spans="11:12" x14ac:dyDescent="0.4">
      <c r="K86" s="9">
        <v>84</v>
      </c>
      <c r="L86" s="72">
        <v>-344.19999999999987</v>
      </c>
    </row>
    <row r="87" spans="11:12" x14ac:dyDescent="0.4">
      <c r="K87" s="9">
        <v>85</v>
      </c>
      <c r="L87" s="72">
        <v>-379.99999999999989</v>
      </c>
    </row>
    <row r="88" spans="11:12" x14ac:dyDescent="0.4">
      <c r="K88" s="9">
        <v>86</v>
      </c>
      <c r="L88" s="72">
        <v>-383.7999999999999</v>
      </c>
    </row>
    <row r="89" spans="11:12" x14ac:dyDescent="0.4">
      <c r="K89" s="9">
        <v>87</v>
      </c>
      <c r="L89" s="72">
        <v>-397.49999999999989</v>
      </c>
    </row>
    <row r="90" spans="11:12" x14ac:dyDescent="0.4">
      <c r="K90" s="9">
        <v>88</v>
      </c>
      <c r="L90" s="72">
        <v>-438.49999999999989</v>
      </c>
    </row>
    <row r="91" spans="11:12" x14ac:dyDescent="0.4">
      <c r="K91" s="9">
        <v>89</v>
      </c>
      <c r="L91" s="72">
        <v>-481.59999999999991</v>
      </c>
    </row>
    <row r="92" spans="11:12" x14ac:dyDescent="0.4">
      <c r="K92" s="9">
        <v>90</v>
      </c>
      <c r="L92" s="72">
        <v>-481.59999999999991</v>
      </c>
    </row>
    <row r="93" spans="11:12" x14ac:dyDescent="0.4">
      <c r="K93" s="9">
        <v>91</v>
      </c>
      <c r="L93" s="72">
        <v>-485.2999999999999</v>
      </c>
    </row>
    <row r="94" spans="11:12" x14ac:dyDescent="0.4">
      <c r="K94" s="9">
        <v>92</v>
      </c>
      <c r="L94" s="72">
        <v>-521.79999999999995</v>
      </c>
    </row>
    <row r="95" spans="11:12" x14ac:dyDescent="0.4">
      <c r="K95" s="9">
        <v>93</v>
      </c>
      <c r="L95" s="72">
        <v>-563.19999999999993</v>
      </c>
    </row>
    <row r="96" spans="11:12" x14ac:dyDescent="0.4">
      <c r="K96" s="9">
        <v>94</v>
      </c>
      <c r="L96" s="72">
        <v>-560.99999999999989</v>
      </c>
    </row>
    <row r="97" spans="11:12" x14ac:dyDescent="0.4">
      <c r="K97" s="9">
        <v>95</v>
      </c>
      <c r="L97" s="72">
        <v>-544.39999999999986</v>
      </c>
    </row>
    <row r="98" spans="11:12" x14ac:dyDescent="0.4">
      <c r="K98" s="9">
        <v>96</v>
      </c>
      <c r="L98" s="72">
        <v>-513.59999999999991</v>
      </c>
    </row>
    <row r="99" spans="11:12" x14ac:dyDescent="0.4">
      <c r="K99" s="9">
        <v>97</v>
      </c>
      <c r="L99" s="72">
        <v>-449.89999999999992</v>
      </c>
    </row>
    <row r="100" spans="11:12" x14ac:dyDescent="0.4">
      <c r="K100" s="9">
        <v>98</v>
      </c>
      <c r="L100" s="72">
        <v>-478.69999999999993</v>
      </c>
    </row>
    <row r="101" spans="11:12" x14ac:dyDescent="0.4">
      <c r="K101" s="9">
        <v>99</v>
      </c>
      <c r="L101" s="72">
        <v>-455.19999999999993</v>
      </c>
    </row>
    <row r="102" spans="11:12" x14ac:dyDescent="0.4">
      <c r="K102" s="9">
        <v>100</v>
      </c>
      <c r="L102" s="72">
        <v>-505.69999999999993</v>
      </c>
    </row>
    <row r="103" spans="11:12" x14ac:dyDescent="0.4">
      <c r="K103" s="9">
        <v>101</v>
      </c>
      <c r="L103" s="72">
        <v>-503.89999999999992</v>
      </c>
    </row>
    <row r="104" spans="11:12" x14ac:dyDescent="0.4">
      <c r="K104" s="9">
        <v>102</v>
      </c>
      <c r="L104" s="72">
        <v>-452.59999999999991</v>
      </c>
    </row>
    <row r="105" spans="11:12" x14ac:dyDescent="0.4">
      <c r="K105" s="9">
        <v>103</v>
      </c>
      <c r="L105" s="72">
        <v>-477.69999999999993</v>
      </c>
    </row>
    <row r="106" spans="11:12" x14ac:dyDescent="0.4">
      <c r="K106" s="9">
        <v>104</v>
      </c>
      <c r="L106" s="72">
        <v>-477.19999999999993</v>
      </c>
    </row>
    <row r="107" spans="11:12" x14ac:dyDescent="0.4">
      <c r="K107" s="9">
        <v>105</v>
      </c>
      <c r="L107" s="72">
        <v>-478.09999999999991</v>
      </c>
    </row>
    <row r="108" spans="11:12" x14ac:dyDescent="0.4">
      <c r="K108" s="9">
        <v>106</v>
      </c>
      <c r="L108" s="72">
        <v>-419.89999999999992</v>
      </c>
    </row>
    <row r="109" spans="11:12" x14ac:dyDescent="0.4">
      <c r="K109" s="9">
        <v>107</v>
      </c>
      <c r="L109" s="72">
        <v>-436.69999999999993</v>
      </c>
    </row>
    <row r="110" spans="11:12" x14ac:dyDescent="0.4">
      <c r="K110" s="9">
        <v>108</v>
      </c>
      <c r="L110" s="72">
        <v>-453.29999999999995</v>
      </c>
    </row>
    <row r="111" spans="11:12" x14ac:dyDescent="0.4">
      <c r="K111" s="9">
        <v>109</v>
      </c>
      <c r="L111" s="72">
        <v>-448.79999999999995</v>
      </c>
    </row>
    <row r="112" spans="11:12" x14ac:dyDescent="0.4">
      <c r="K112" s="9">
        <v>110</v>
      </c>
      <c r="L112" s="72">
        <v>-447.99999999999994</v>
      </c>
    </row>
    <row r="113" spans="11:12" x14ac:dyDescent="0.4">
      <c r="K113" s="9">
        <v>111</v>
      </c>
      <c r="L113" s="72">
        <v>-470.39999999999992</v>
      </c>
    </row>
    <row r="114" spans="11:12" x14ac:dyDescent="0.4">
      <c r="K114" s="9">
        <v>112</v>
      </c>
      <c r="L114" s="72">
        <v>-471.19999999999993</v>
      </c>
    </row>
    <row r="115" spans="11:12" x14ac:dyDescent="0.4">
      <c r="K115" s="9">
        <v>113</v>
      </c>
      <c r="L115" s="72">
        <v>-469.39999999999992</v>
      </c>
    </row>
    <row r="116" spans="11:12" x14ac:dyDescent="0.4">
      <c r="K116" s="9">
        <v>114</v>
      </c>
      <c r="L116" s="72">
        <v>-475.09999999999991</v>
      </c>
    </row>
    <row r="117" spans="11:12" x14ac:dyDescent="0.4">
      <c r="K117" s="9">
        <v>115</v>
      </c>
      <c r="L117" s="72">
        <v>-443.39999999999992</v>
      </c>
    </row>
    <row r="118" spans="11:12" x14ac:dyDescent="0.4">
      <c r="K118" s="9">
        <v>116</v>
      </c>
      <c r="L118" s="72">
        <v>-440.39999999999992</v>
      </c>
    </row>
    <row r="119" spans="11:12" x14ac:dyDescent="0.4">
      <c r="K119" s="9">
        <v>117</v>
      </c>
      <c r="L119" s="72">
        <v>-453.39999999999992</v>
      </c>
    </row>
    <row r="120" spans="11:12" x14ac:dyDescent="0.4">
      <c r="K120" s="9">
        <v>118</v>
      </c>
      <c r="L120" s="72">
        <v>-470.2999999999999</v>
      </c>
    </row>
    <row r="121" spans="11:12" x14ac:dyDescent="0.4">
      <c r="K121" s="9">
        <v>119</v>
      </c>
      <c r="L121" s="72">
        <v>-469.19999999999987</v>
      </c>
    </row>
    <row r="122" spans="11:12" x14ac:dyDescent="0.4">
      <c r="K122" s="9">
        <v>120</v>
      </c>
      <c r="L122" s="72">
        <v>-502.19999999999987</v>
      </c>
    </row>
    <row r="123" spans="11:12" x14ac:dyDescent="0.4">
      <c r="K123" s="9">
        <v>121</v>
      </c>
      <c r="L123" s="72">
        <v>-509.69999999999987</v>
      </c>
    </row>
    <row r="124" spans="11:12" x14ac:dyDescent="0.4">
      <c r="K124" s="9">
        <v>122</v>
      </c>
      <c r="L124" s="72">
        <v>-492.09999999999985</v>
      </c>
    </row>
    <row r="125" spans="11:12" x14ac:dyDescent="0.4">
      <c r="K125" s="9">
        <v>123</v>
      </c>
      <c r="L125" s="72">
        <v>-500.09999999999985</v>
      </c>
    </row>
    <row r="126" spans="11:12" x14ac:dyDescent="0.4">
      <c r="K126" s="9">
        <v>124</v>
      </c>
      <c r="L126" s="72">
        <v>-493.49999999999983</v>
      </c>
    </row>
    <row r="127" spans="11:12" x14ac:dyDescent="0.4">
      <c r="K127" s="9">
        <v>125</v>
      </c>
      <c r="L127" s="72">
        <v>-500.99999999999983</v>
      </c>
    </row>
    <row r="128" spans="11:12" x14ac:dyDescent="0.4">
      <c r="K128" s="9">
        <v>126</v>
      </c>
      <c r="L128" s="72">
        <v>-456.29999999999984</v>
      </c>
    </row>
    <row r="129" spans="11:12" x14ac:dyDescent="0.4">
      <c r="K129" s="9">
        <v>127</v>
      </c>
      <c r="L129" s="72">
        <v>-412.09999999999985</v>
      </c>
    </row>
    <row r="130" spans="11:12" x14ac:dyDescent="0.4">
      <c r="K130" s="9">
        <v>128</v>
      </c>
      <c r="L130" s="72">
        <v>-424.09999999999985</v>
      </c>
    </row>
    <row r="131" spans="11:12" x14ac:dyDescent="0.4">
      <c r="K131" s="9">
        <v>129</v>
      </c>
      <c r="L131" s="72">
        <v>-448.69999999999987</v>
      </c>
    </row>
    <row r="132" spans="11:12" x14ac:dyDescent="0.4">
      <c r="K132" s="9">
        <v>130</v>
      </c>
      <c r="L132" s="72">
        <v>-468.69999999999987</v>
      </c>
    </row>
    <row r="133" spans="11:12" x14ac:dyDescent="0.4">
      <c r="K133" s="9">
        <v>131</v>
      </c>
      <c r="L133" s="72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CA5C-3A1A-46AE-954B-A8BA2F3EC643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173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</v>
      </c>
      <c r="C2" s="123"/>
      <c r="E2" s="33" t="s">
        <v>65</v>
      </c>
      <c r="F2" s="30" t="s">
        <v>21</v>
      </c>
      <c r="G2" s="17">
        <v>12</v>
      </c>
      <c r="H2" s="104">
        <f>IF(B$29=0,0,G2/B$29)</f>
        <v>0.63157894736842102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7650</v>
      </c>
      <c r="P2" s="90">
        <v>6</v>
      </c>
      <c r="Q2" s="74">
        <v>45900</v>
      </c>
    </row>
    <row r="3" spans="1:17" x14ac:dyDescent="0.4">
      <c r="A3" s="26" t="s">
        <v>8</v>
      </c>
      <c r="B3" s="128">
        <v>50</v>
      </c>
      <c r="C3" s="129"/>
      <c r="E3" s="34" t="s">
        <v>67</v>
      </c>
      <c r="F3" s="31" t="s">
        <v>23</v>
      </c>
      <c r="G3" s="18">
        <v>12</v>
      </c>
      <c r="H3" s="105">
        <f>IF(B$29=0,0,G3/B$29)</f>
        <v>0.63157894736842102</v>
      </c>
      <c r="I3" s="67">
        <v>11</v>
      </c>
      <c r="K3" s="9">
        <v>1</v>
      </c>
      <c r="L3" s="72">
        <v>28.3</v>
      </c>
      <c r="N3" s="87" t="s">
        <v>133</v>
      </c>
      <c r="O3" s="94">
        <f t="shared" si="0"/>
        <v>-6450</v>
      </c>
      <c r="P3" s="91">
        <v>6</v>
      </c>
      <c r="Q3" s="75">
        <v>-38700</v>
      </c>
    </row>
    <row r="4" spans="1:17" x14ac:dyDescent="0.4">
      <c r="A4" s="26" t="s">
        <v>6</v>
      </c>
      <c r="B4" s="130">
        <v>47</v>
      </c>
      <c r="C4" s="131"/>
      <c r="E4" s="34" t="s">
        <v>180</v>
      </c>
      <c r="F4" s="31" t="s">
        <v>181</v>
      </c>
      <c r="G4" s="18">
        <v>12</v>
      </c>
      <c r="H4" s="105">
        <f>IF(B$29=0,0,G4/B$29)</f>
        <v>0.63157894736842102</v>
      </c>
      <c r="I4" s="67">
        <v>12</v>
      </c>
      <c r="K4" s="9">
        <v>2</v>
      </c>
      <c r="L4" s="72">
        <v>71.3</v>
      </c>
      <c r="N4" s="87" t="s">
        <v>134</v>
      </c>
      <c r="O4" s="94">
        <f t="shared" si="0"/>
        <v>-1500</v>
      </c>
      <c r="P4" s="91">
        <v>6</v>
      </c>
      <c r="Q4" s="75">
        <v>-9000</v>
      </c>
    </row>
    <row r="5" spans="1:17" x14ac:dyDescent="0.4">
      <c r="A5" s="26" t="s">
        <v>7</v>
      </c>
      <c r="B5" s="132">
        <f>IF(B$2=0,0,B$4/B$2)</f>
        <v>7.833333333333333</v>
      </c>
      <c r="C5" s="133"/>
      <c r="E5" s="34" t="s">
        <v>73</v>
      </c>
      <c r="F5" s="31" t="s">
        <v>28</v>
      </c>
      <c r="G5" s="18">
        <v>10</v>
      </c>
      <c r="H5" s="105">
        <f>IF(B$29=0,0,G5/B$29)</f>
        <v>0.52631578947368418</v>
      </c>
      <c r="I5" s="67">
        <v>10</v>
      </c>
      <c r="K5" s="9">
        <v>3</v>
      </c>
      <c r="L5" s="72">
        <v>57.3</v>
      </c>
      <c r="N5" s="87" t="s">
        <v>135</v>
      </c>
      <c r="O5" s="94">
        <f t="shared" si="0"/>
        <v>10700</v>
      </c>
      <c r="P5" s="91">
        <v>4</v>
      </c>
      <c r="Q5" s="75">
        <v>42800</v>
      </c>
    </row>
    <row r="6" spans="1:17" x14ac:dyDescent="0.4">
      <c r="A6" s="26" t="s">
        <v>1</v>
      </c>
      <c r="B6" s="134">
        <f>IF(B$2=0,0,(B$7*1+B$8*2+B$9*3)/B$2)</f>
        <v>1.8333333333333333</v>
      </c>
      <c r="C6" s="135"/>
      <c r="E6" s="34" t="s">
        <v>68</v>
      </c>
      <c r="F6" s="31" t="s">
        <v>24</v>
      </c>
      <c r="G6" s="18">
        <v>7</v>
      </c>
      <c r="H6" s="105">
        <f>IF(B$29=0,0,G6/B$29)</f>
        <v>0.36842105263157893</v>
      </c>
      <c r="I6" s="67">
        <v>3</v>
      </c>
      <c r="K6" s="9">
        <v>4</v>
      </c>
      <c r="L6" s="72">
        <v>64.5</v>
      </c>
      <c r="N6" s="87" t="s">
        <v>136</v>
      </c>
      <c r="O6" s="94">
        <f t="shared" si="0"/>
        <v>-1000</v>
      </c>
      <c r="P6" s="91">
        <v>4</v>
      </c>
      <c r="Q6" s="75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5">
        <f>IF(B$29=0,0,G7/B$29)</f>
        <v>0.21052631578947367</v>
      </c>
      <c r="I7" s="67">
        <v>12</v>
      </c>
      <c r="K7" s="9">
        <v>5</v>
      </c>
      <c r="L7" s="72">
        <v>89</v>
      </c>
      <c r="N7" s="88" t="s">
        <v>137</v>
      </c>
      <c r="O7" s="95">
        <f t="shared" si="0"/>
        <v>2500</v>
      </c>
      <c r="P7" s="92">
        <v>4</v>
      </c>
      <c r="Q7" s="76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5">
        <f>IF(B$29=0,0,G8/B$29)</f>
        <v>0.21052631578947367</v>
      </c>
      <c r="I8" s="67">
        <v>1</v>
      </c>
      <c r="K8" s="9">
        <v>6</v>
      </c>
      <c r="L8" s="72">
        <v>47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5">
        <f>IF(B$29=0,0,G9/B$29)</f>
        <v>0.15789473684210525</v>
      </c>
      <c r="I9" s="67">
        <v>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5">
        <f>IF(B$29=0,0,G10/B$29)</f>
        <v>0.15789473684210525</v>
      </c>
      <c r="I10" s="67">
        <v>4</v>
      </c>
      <c r="N10" s="86" t="s">
        <v>162</v>
      </c>
      <c r="O10" s="96">
        <f>IF(P10=0,0,Q10/P10)</f>
        <v>-6.85</v>
      </c>
      <c r="P10" s="90">
        <v>2</v>
      </c>
      <c r="Q10" s="78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5">
        <f>IF(B$29=0,0,G11/B$29)</f>
        <v>0.15789473684210525</v>
      </c>
      <c r="I11" s="67">
        <v>2</v>
      </c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5">
        <f>IF(B$29=0,0,G12/B$29)</f>
        <v>0.15789473684210525</v>
      </c>
      <c r="I12" s="67">
        <v>6</v>
      </c>
      <c r="N12" s="88" t="s">
        <v>164</v>
      </c>
      <c r="O12" s="98">
        <f>IF(P12=0,0,Q12/P12)</f>
        <v>15.175000000000001</v>
      </c>
      <c r="P12" s="92">
        <v>4</v>
      </c>
      <c r="Q12" s="80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5">
        <f>IF(B$29=0,0,G13/B$29)</f>
        <v>5.2631578947368418E-2</v>
      </c>
      <c r="I13" s="67">
        <v>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5">
        <f>IF(B$29=0,0,G14/B$29)</f>
        <v>5.2631578947368418E-2</v>
      </c>
      <c r="I14" s="67">
        <v>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214</v>
      </c>
      <c r="O15" s="96">
        <f>IF(P15=0,0,Q15/P15)</f>
        <v>38.6</v>
      </c>
      <c r="P15" s="90">
        <v>2</v>
      </c>
      <c r="Q15" s="78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128</v>
      </c>
      <c r="O16" s="97">
        <f>IF(P16=0,0,Q16/P16)</f>
        <v>29.333333333333332</v>
      </c>
      <c r="P16" s="91">
        <v>3</v>
      </c>
      <c r="Q16" s="79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129</v>
      </c>
      <c r="O17" s="97">
        <f>IF(P17=0,0,Q17/P17)</f>
        <v>5.8666666666666671</v>
      </c>
      <c r="P17" s="91">
        <v>3</v>
      </c>
      <c r="Q17" s="79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174</v>
      </c>
      <c r="O18" s="97">
        <f>IF(P18=0,0,Q18/P18)</f>
        <v>4.9000000000000004</v>
      </c>
      <c r="P18" s="91">
        <v>2</v>
      </c>
      <c r="Q18" s="79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-25.3</v>
      </c>
      <c r="P19" s="91">
        <v>2</v>
      </c>
      <c r="Q19" s="79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17</v>
      </c>
      <c r="C22" s="107">
        <v>2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84</v>
      </c>
      <c r="F25" s="31" t="s">
        <v>39</v>
      </c>
      <c r="G25" s="18">
        <v>0</v>
      </c>
      <c r="H25" s="105">
        <f>IF(B$29=0,0,G25/B$29)</f>
        <v>0</v>
      </c>
      <c r="I25" s="67">
        <v>12</v>
      </c>
    </row>
    <row r="26" spans="1:17" x14ac:dyDescent="0.4">
      <c r="A26" s="29" t="s">
        <v>152</v>
      </c>
      <c r="B26" s="120">
        <v>78000</v>
      </c>
      <c r="C26" s="121"/>
      <c r="E26" s="34" t="s">
        <v>85</v>
      </c>
      <c r="F26" s="31" t="s">
        <v>40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5">
        <f>IF(B$29=0,0,G27/B$29)</f>
        <v>0</v>
      </c>
      <c r="I27" s="67">
        <v>6</v>
      </c>
    </row>
    <row r="28" spans="1:17" x14ac:dyDescent="0.4">
      <c r="A28" s="25" t="s">
        <v>182</v>
      </c>
      <c r="B28" s="122">
        <v>50</v>
      </c>
      <c r="C28" s="123"/>
      <c r="E28" s="34" t="s">
        <v>88</v>
      </c>
      <c r="F28" s="31" t="s">
        <v>43</v>
      </c>
      <c r="G28" s="18">
        <v>0</v>
      </c>
      <c r="H28" s="105">
        <f>IF(B$29=0,0,G28/B$29)</f>
        <v>0</v>
      </c>
      <c r="I28" s="67">
        <v>5</v>
      </c>
    </row>
    <row r="29" spans="1:17" x14ac:dyDescent="0.4">
      <c r="A29" s="28" t="s">
        <v>183</v>
      </c>
      <c r="B29" s="124">
        <v>19</v>
      </c>
      <c r="C29" s="125"/>
      <c r="E29" s="34" t="s">
        <v>89</v>
      </c>
      <c r="F29" s="31" t="s">
        <v>44</v>
      </c>
      <c r="G29" s="18">
        <v>0</v>
      </c>
      <c r="H29" s="105">
        <f>IF(B$29=0,0,G29/B$29)</f>
        <v>0</v>
      </c>
      <c r="I29" s="67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5">
        <f>IF(B$29=0,0,G30/B$29)</f>
        <v>0</v>
      </c>
      <c r="I30" s="67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B187-6A03-4FAF-97CC-F1BE607A8883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172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36</v>
      </c>
      <c r="C2" s="123"/>
      <c r="E2" s="33" t="s">
        <v>180</v>
      </c>
      <c r="F2" s="30" t="s">
        <v>181</v>
      </c>
      <c r="G2" s="17">
        <v>55</v>
      </c>
      <c r="H2" s="104">
        <f>IF(B$29=0,0,G2/B$29)</f>
        <v>0.9821428571428571</v>
      </c>
      <c r="I2" s="66">
        <v>2</v>
      </c>
      <c r="K2" s="7">
        <v>0</v>
      </c>
      <c r="L2" s="71">
        <v>0</v>
      </c>
      <c r="N2" s="86" t="s">
        <v>132</v>
      </c>
      <c r="O2" s="93">
        <f t="shared" ref="O2:O7" si="0">IF(P2=0,0,Q2/P2)</f>
        <v>-2341.6666666666665</v>
      </c>
      <c r="P2" s="90">
        <v>36</v>
      </c>
      <c r="Q2" s="74">
        <v>-84300</v>
      </c>
    </row>
    <row r="3" spans="1:17" x14ac:dyDescent="0.4">
      <c r="A3" s="26" t="s">
        <v>8</v>
      </c>
      <c r="B3" s="128">
        <v>279</v>
      </c>
      <c r="C3" s="129"/>
      <c r="E3" s="34" t="s">
        <v>73</v>
      </c>
      <c r="F3" s="31" t="s">
        <v>28</v>
      </c>
      <c r="G3" s="18">
        <v>41</v>
      </c>
      <c r="H3" s="105">
        <f>IF(B$29=0,0,G3/B$29)</f>
        <v>0.7321428571428571</v>
      </c>
      <c r="I3" s="67">
        <v>3</v>
      </c>
      <c r="K3" s="9">
        <v>1</v>
      </c>
      <c r="L3" s="72">
        <v>15</v>
      </c>
      <c r="N3" s="87" t="s">
        <v>133</v>
      </c>
      <c r="O3" s="94">
        <f t="shared" si="0"/>
        <v>644.44444444444446</v>
      </c>
      <c r="P3" s="91">
        <v>36</v>
      </c>
      <c r="Q3" s="75">
        <v>23200</v>
      </c>
    </row>
    <row r="4" spans="1:17" x14ac:dyDescent="0.4">
      <c r="A4" s="26" t="s">
        <v>6</v>
      </c>
      <c r="B4" s="130">
        <v>-455.89999999999992</v>
      </c>
      <c r="C4" s="131"/>
      <c r="E4" s="34" t="s">
        <v>67</v>
      </c>
      <c r="F4" s="31" t="s">
        <v>23</v>
      </c>
      <c r="G4" s="18">
        <v>38</v>
      </c>
      <c r="H4" s="105">
        <f>IF(B$29=0,0,G4/B$29)</f>
        <v>0.6785714285714286</v>
      </c>
      <c r="I4" s="67">
        <v>8</v>
      </c>
      <c r="K4" s="9">
        <v>2</v>
      </c>
      <c r="L4" s="72">
        <v>-24.299999999999997</v>
      </c>
      <c r="N4" s="87" t="s">
        <v>134</v>
      </c>
      <c r="O4" s="94">
        <f t="shared" si="0"/>
        <v>-5609.375</v>
      </c>
      <c r="P4" s="91">
        <v>32</v>
      </c>
      <c r="Q4" s="75">
        <v>-179500</v>
      </c>
    </row>
    <row r="5" spans="1:17" x14ac:dyDescent="0.4">
      <c r="A5" s="26" t="s">
        <v>7</v>
      </c>
      <c r="B5" s="132">
        <f>IF(B$2=0,0,B$4/B$2)</f>
        <v>-12.663888888888886</v>
      </c>
      <c r="C5" s="133"/>
      <c r="E5" s="34" t="s">
        <v>65</v>
      </c>
      <c r="F5" s="31" t="s">
        <v>21</v>
      </c>
      <c r="G5" s="18">
        <v>17</v>
      </c>
      <c r="H5" s="105">
        <f>IF(B$29=0,0,G5/B$29)</f>
        <v>0.30357142857142855</v>
      </c>
      <c r="I5" s="67">
        <v>12</v>
      </c>
      <c r="K5" s="9">
        <v>3</v>
      </c>
      <c r="L5" s="72">
        <v>-15.599999999999998</v>
      </c>
      <c r="N5" s="87" t="s">
        <v>135</v>
      </c>
      <c r="O5" s="94">
        <f t="shared" si="0"/>
        <v>-3203.4482758620688</v>
      </c>
      <c r="P5" s="91">
        <v>29</v>
      </c>
      <c r="Q5" s="75">
        <v>-92900</v>
      </c>
    </row>
    <row r="6" spans="1:17" x14ac:dyDescent="0.4">
      <c r="A6" s="26" t="s">
        <v>1</v>
      </c>
      <c r="B6" s="134">
        <f>IF(B$2=0,0,(B$7*1+B$8*2+B$9*3)/B$2)</f>
        <v>2.3888888888888888</v>
      </c>
      <c r="C6" s="135"/>
      <c r="E6" s="34" t="s">
        <v>69</v>
      </c>
      <c r="F6" s="31" t="s">
        <v>12</v>
      </c>
      <c r="G6" s="18">
        <v>14</v>
      </c>
      <c r="H6" s="105">
        <f>IF(B$29=0,0,G6/B$29)</f>
        <v>0.25</v>
      </c>
      <c r="I6" s="67">
        <v>10</v>
      </c>
      <c r="K6" s="9">
        <v>4</v>
      </c>
      <c r="L6" s="72">
        <v>5.1000000000000014</v>
      </c>
      <c r="N6" s="87" t="s">
        <v>136</v>
      </c>
      <c r="O6" s="94">
        <f t="shared" si="0"/>
        <v>-2922.2222222222222</v>
      </c>
      <c r="P6" s="91">
        <v>27</v>
      </c>
      <c r="Q6" s="75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5">
        <f>IF(B$29=0,0,G7/B$29)</f>
        <v>0.16071428571428573</v>
      </c>
      <c r="I7" s="67">
        <v>2</v>
      </c>
      <c r="K7" s="9">
        <v>5</v>
      </c>
      <c r="L7" s="72">
        <v>9.6000000000000014</v>
      </c>
      <c r="N7" s="88" t="s">
        <v>137</v>
      </c>
      <c r="O7" s="95">
        <f t="shared" si="0"/>
        <v>-2071.4285714285716</v>
      </c>
      <c r="P7" s="92">
        <v>21</v>
      </c>
      <c r="Q7" s="76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5">
        <f>IF(B$29=0,0,G8/B$29)</f>
        <v>0.16071428571428573</v>
      </c>
      <c r="I8" s="67">
        <v>5</v>
      </c>
      <c r="K8" s="9">
        <v>6</v>
      </c>
      <c r="L8" s="72">
        <v>2.2000000000000011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5">
        <f>IF(B$29=0,0,G9/B$29)</f>
        <v>0.10714285714285714</v>
      </c>
      <c r="I9" s="67">
        <v>13</v>
      </c>
      <c r="K9" s="9">
        <v>7</v>
      </c>
      <c r="L9" s="72">
        <v>27.200000000000003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5">
        <f>IF(B$29=0,0,G10/B$29)</f>
        <v>0.10714285714285714</v>
      </c>
      <c r="I10" s="67">
        <v>5</v>
      </c>
      <c r="K10" s="9">
        <v>8</v>
      </c>
      <c r="L10" s="72">
        <v>-4.4999999999999964</v>
      </c>
      <c r="N10" s="86" t="s">
        <v>162</v>
      </c>
      <c r="O10" s="96">
        <f>IF(P10=0,0,Q10/P10)</f>
        <v>-15.350000000000001</v>
      </c>
      <c r="P10" s="90">
        <v>12</v>
      </c>
      <c r="Q10" s="78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5">
        <f>IF(B$29=0,0,G11/B$29)</f>
        <v>0.10714285714285714</v>
      </c>
      <c r="I11" s="67">
        <v>4</v>
      </c>
      <c r="K11" s="9">
        <v>9</v>
      </c>
      <c r="L11" s="72">
        <v>-9.3999999999999968</v>
      </c>
      <c r="N11" s="87" t="s">
        <v>163</v>
      </c>
      <c r="O11" s="97">
        <f>IF(P11=0,0,Q11/P11)</f>
        <v>-14.470000000000002</v>
      </c>
      <c r="P11" s="91">
        <v>10</v>
      </c>
      <c r="Q11" s="79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5">
        <f>IF(B$29=0,0,G12/B$29)</f>
        <v>8.9285714285714288E-2</v>
      </c>
      <c r="I12" s="67">
        <v>10</v>
      </c>
      <c r="K12" s="9">
        <v>10</v>
      </c>
      <c r="L12" s="72">
        <v>-24.299999999999997</v>
      </c>
      <c r="N12" s="88" t="s">
        <v>164</v>
      </c>
      <c r="O12" s="98">
        <f>IF(P12=0,0,Q12/P12)</f>
        <v>-9.0714285714285712</v>
      </c>
      <c r="P12" s="92">
        <v>14</v>
      </c>
      <c r="Q12" s="80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5">
        <f>IF(B$29=0,0,G13/B$29)</f>
        <v>5.3571428571428568E-2</v>
      </c>
      <c r="I13" s="67">
        <v>2</v>
      </c>
      <c r="K13" s="9">
        <v>11</v>
      </c>
      <c r="L13" s="72">
        <v>-70</v>
      </c>
      <c r="N13" s="4"/>
      <c r="O13" s="82"/>
      <c r="P13" s="84"/>
      <c r="Q13" s="82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5">
        <f>IF(B$29=0,0,G14/B$29)</f>
        <v>5.3571428571428568E-2</v>
      </c>
      <c r="I14" s="67">
        <v>2</v>
      </c>
      <c r="K14" s="9">
        <v>12</v>
      </c>
      <c r="L14" s="72">
        <v>-43.8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5">
        <f>IF(B$29=0,0,G15/B$29)</f>
        <v>3.5714285714285712E-2</v>
      </c>
      <c r="I15" s="67">
        <v>12</v>
      </c>
      <c r="K15" s="9">
        <v>13</v>
      </c>
      <c r="L15" s="72">
        <v>-11.099999999999994</v>
      </c>
      <c r="N15" s="86" t="s">
        <v>214</v>
      </c>
      <c r="O15" s="96">
        <f>IF(P15=0,0,Q15/P15)</f>
        <v>13.450000000000001</v>
      </c>
      <c r="P15" s="90">
        <v>2</v>
      </c>
      <c r="Q15" s="78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5">
        <f>IF(B$29=0,0,G16/B$29)</f>
        <v>3.5714285714285712E-2</v>
      </c>
      <c r="I16" s="67">
        <v>8</v>
      </c>
      <c r="K16" s="9">
        <v>14</v>
      </c>
      <c r="L16" s="72">
        <v>-5.7999999999999945</v>
      </c>
      <c r="N16" s="87" t="s">
        <v>128</v>
      </c>
      <c r="O16" s="97">
        <f>IF(P16=0,0,Q16/P16)</f>
        <v>10.366666666666665</v>
      </c>
      <c r="P16" s="91">
        <v>3</v>
      </c>
      <c r="Q16" s="79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5">
        <f>IF(B$29=0,0,G17/B$29)</f>
        <v>3.5714285714285712E-2</v>
      </c>
      <c r="I17" s="67">
        <v>3</v>
      </c>
      <c r="K17" s="9">
        <v>15</v>
      </c>
      <c r="L17" s="72">
        <v>-44.199999999999996</v>
      </c>
      <c r="N17" s="87" t="s">
        <v>167</v>
      </c>
      <c r="O17" s="97">
        <f>IF(P17=0,0,Q17/P17)</f>
        <v>-13.440000000000001</v>
      </c>
      <c r="P17" s="91">
        <v>20</v>
      </c>
      <c r="Q17" s="79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5">
        <f>IF(B$29=0,0,G18/B$29)</f>
        <v>1.7857142857142856E-2</v>
      </c>
      <c r="I18" s="67">
        <v>1</v>
      </c>
      <c r="K18" s="9">
        <v>16</v>
      </c>
      <c r="L18" s="72">
        <v>-25.599999999999994</v>
      </c>
      <c r="N18" s="87" t="s">
        <v>129</v>
      </c>
      <c r="O18" s="97">
        <f>IF(P18=0,0,Q18/P18)</f>
        <v>-14.79166666666667</v>
      </c>
      <c r="P18" s="91">
        <v>12</v>
      </c>
      <c r="Q18" s="79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5">
        <f>IF(B$29=0,0,G19/B$29)</f>
        <v>1.7857142857142856E-2</v>
      </c>
      <c r="I19" s="67">
        <v>1</v>
      </c>
      <c r="K19" s="9">
        <v>17</v>
      </c>
      <c r="L19" s="72">
        <v>-39.799999999999997</v>
      </c>
      <c r="N19" s="87" t="s">
        <v>169</v>
      </c>
      <c r="O19" s="97">
        <f>IF(P19=0,0,Q19/P19)</f>
        <v>-15.2</v>
      </c>
      <c r="P19" s="91">
        <v>2</v>
      </c>
      <c r="Q19" s="79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5">
        <f>IF(B$29=0,0,G20/B$29)</f>
        <v>1.7857142857142856E-2</v>
      </c>
      <c r="I20" s="67">
        <v>8</v>
      </c>
      <c r="K20" s="9">
        <v>18</v>
      </c>
      <c r="L20" s="72">
        <v>-60.4</v>
      </c>
      <c r="N20" s="87" t="s">
        <v>174</v>
      </c>
      <c r="O20" s="97">
        <f>IF(P20=0,0,Q20/P20)</f>
        <v>-24.85</v>
      </c>
      <c r="P20" s="91">
        <v>2</v>
      </c>
      <c r="Q20" s="79">
        <v>-49.7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93</v>
      </c>
      <c r="F21" s="31" t="s">
        <v>48</v>
      </c>
      <c r="G21" s="18">
        <v>1</v>
      </c>
      <c r="H21" s="105">
        <f>IF(B$29=0,0,G21/B$29)</f>
        <v>1.7857142857142856E-2</v>
      </c>
      <c r="I21" s="67">
        <v>2</v>
      </c>
      <c r="K21" s="9">
        <v>19</v>
      </c>
      <c r="L21" s="72">
        <v>-60</v>
      </c>
      <c r="N21" s="87" t="s">
        <v>168</v>
      </c>
      <c r="O21" s="97">
        <f>IF(P21=0,0,Q21/P21)</f>
        <v>-26.95</v>
      </c>
      <c r="P21" s="91">
        <v>6</v>
      </c>
      <c r="Q21" s="79">
        <v>-161.69999999999999</v>
      </c>
    </row>
    <row r="22" spans="1:17" x14ac:dyDescent="0.4">
      <c r="A22" s="26" t="s">
        <v>179</v>
      </c>
      <c r="B22" s="18">
        <v>21</v>
      </c>
      <c r="C22" s="107">
        <v>3</v>
      </c>
      <c r="E22" s="34" t="s">
        <v>74</v>
      </c>
      <c r="F22" s="31" t="s">
        <v>29</v>
      </c>
      <c r="G22" s="18">
        <v>0</v>
      </c>
      <c r="H22" s="105">
        <f>IF(B$29=0,0,G22/B$29)</f>
        <v>0</v>
      </c>
      <c r="I22" s="67">
        <v>7</v>
      </c>
      <c r="K22" s="9">
        <v>20</v>
      </c>
      <c r="L22" s="72">
        <v>-88.2</v>
      </c>
      <c r="N22" s="87" t="s">
        <v>127</v>
      </c>
      <c r="O22" s="97">
        <f>IF(P22=0,0,Q22/P22)</f>
        <v>-29.463999999999995</v>
      </c>
      <c r="P22" s="91">
        <v>25</v>
      </c>
      <c r="Q22" s="79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5">
        <f>IF(B$29=0,0,G23/B$29)</f>
        <v>0</v>
      </c>
      <c r="I23" s="67">
        <v>6</v>
      </c>
      <c r="K23" s="9">
        <v>21</v>
      </c>
      <c r="L23" s="72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5">
        <f>IF(B$29=0,0,G24/B$29)</f>
        <v>0</v>
      </c>
      <c r="I24" s="67">
        <v>7</v>
      </c>
      <c r="K24" s="9">
        <v>22</v>
      </c>
      <c r="L24" s="72">
        <v>-149.30000000000001</v>
      </c>
    </row>
    <row r="25" spans="1:17" x14ac:dyDescent="0.4">
      <c r="A25" s="63" t="s">
        <v>142</v>
      </c>
      <c r="B25" s="118">
        <v>5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-150.30000000000001</v>
      </c>
    </row>
    <row r="26" spans="1:17" x14ac:dyDescent="0.4">
      <c r="A26" s="29" t="s">
        <v>152</v>
      </c>
      <c r="B26" s="120">
        <v>67700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-240.00000000000003</v>
      </c>
    </row>
    <row r="28" spans="1:17" x14ac:dyDescent="0.4">
      <c r="A28" s="25" t="s">
        <v>182</v>
      </c>
      <c r="B28" s="122">
        <v>279</v>
      </c>
      <c r="C28" s="123"/>
      <c r="E28" s="34" t="s">
        <v>85</v>
      </c>
      <c r="F28" s="31" t="s">
        <v>40</v>
      </c>
      <c r="G28" s="18">
        <v>0</v>
      </c>
      <c r="H28" s="105">
        <f>IF(B$29=0,0,G28/B$29)</f>
        <v>0</v>
      </c>
      <c r="I28" s="67">
        <v>5</v>
      </c>
      <c r="K28" s="9">
        <v>26</v>
      </c>
      <c r="L28" s="72">
        <v>-277</v>
      </c>
    </row>
    <row r="29" spans="1:17" x14ac:dyDescent="0.4">
      <c r="A29" s="28" t="s">
        <v>183</v>
      </c>
      <c r="B29" s="124">
        <v>56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607AC-5ABC-49C5-9EB1-3650681D4E1E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</v>
      </c>
      <c r="C2" s="123"/>
      <c r="E2" s="33" t="s">
        <v>180</v>
      </c>
      <c r="F2" s="30" t="s">
        <v>181</v>
      </c>
      <c r="G2" s="17">
        <v>19</v>
      </c>
      <c r="H2" s="104">
        <f>IF(B$29=0,0,G2/B$29)</f>
        <v>1.1176470588235294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-350</v>
      </c>
      <c r="P2" s="90">
        <v>12</v>
      </c>
      <c r="Q2" s="74">
        <v>-4200</v>
      </c>
    </row>
    <row r="3" spans="1:17" x14ac:dyDescent="0.4">
      <c r="A3" s="26" t="s">
        <v>8</v>
      </c>
      <c r="B3" s="128">
        <v>88</v>
      </c>
      <c r="C3" s="129"/>
      <c r="E3" s="34" t="s">
        <v>73</v>
      </c>
      <c r="F3" s="31" t="s">
        <v>28</v>
      </c>
      <c r="G3" s="18">
        <v>14</v>
      </c>
      <c r="H3" s="105">
        <f>IF(B$29=0,0,G3/B$29)</f>
        <v>0.82352941176470584</v>
      </c>
      <c r="I3" s="67">
        <v>1</v>
      </c>
      <c r="K3" s="9">
        <v>1</v>
      </c>
      <c r="L3" s="72">
        <v>4</v>
      </c>
      <c r="N3" s="87" t="s">
        <v>133</v>
      </c>
      <c r="O3" s="94">
        <f t="shared" si="0"/>
        <v>-3308.3333333333335</v>
      </c>
      <c r="P3" s="91">
        <v>12</v>
      </c>
      <c r="Q3" s="75">
        <v>-39700</v>
      </c>
    </row>
    <row r="4" spans="1:17" x14ac:dyDescent="0.4">
      <c r="A4" s="26" t="s">
        <v>6</v>
      </c>
      <c r="B4" s="130">
        <v>-155.1</v>
      </c>
      <c r="C4" s="131"/>
      <c r="E4" s="34" t="s">
        <v>67</v>
      </c>
      <c r="F4" s="31" t="s">
        <v>23</v>
      </c>
      <c r="G4" s="18">
        <v>11</v>
      </c>
      <c r="H4" s="105">
        <f>IF(B$29=0,0,G4/B$29)</f>
        <v>0.6470588235294118</v>
      </c>
      <c r="I4" s="67">
        <v>10</v>
      </c>
      <c r="K4" s="9">
        <v>2</v>
      </c>
      <c r="L4" s="72">
        <v>3.7</v>
      </c>
      <c r="N4" s="87" t="s">
        <v>134</v>
      </c>
      <c r="O4" s="94">
        <f t="shared" si="0"/>
        <v>-7000</v>
      </c>
      <c r="P4" s="91">
        <v>12</v>
      </c>
      <c r="Q4" s="75">
        <v>-84000</v>
      </c>
    </row>
    <row r="5" spans="1:17" x14ac:dyDescent="0.4">
      <c r="A5" s="26" t="s">
        <v>7</v>
      </c>
      <c r="B5" s="132">
        <f>IF(B$2=0,0,B$4/B$2)</f>
        <v>-12.924999999999999</v>
      </c>
      <c r="C5" s="133"/>
      <c r="E5" s="34" t="s">
        <v>65</v>
      </c>
      <c r="F5" s="31" t="s">
        <v>21</v>
      </c>
      <c r="G5" s="18">
        <v>5</v>
      </c>
      <c r="H5" s="105">
        <f>IF(B$29=0,0,G5/B$29)</f>
        <v>0.29411764705882354</v>
      </c>
      <c r="I5" s="67">
        <v>13</v>
      </c>
      <c r="K5" s="9">
        <v>3</v>
      </c>
      <c r="L5" s="72">
        <v>27.8</v>
      </c>
      <c r="N5" s="87" t="s">
        <v>135</v>
      </c>
      <c r="O5" s="94">
        <f t="shared" si="0"/>
        <v>-244.44444444444446</v>
      </c>
      <c r="P5" s="91">
        <v>9</v>
      </c>
      <c r="Q5" s="75">
        <v>-2200</v>
      </c>
    </row>
    <row r="6" spans="1:17" x14ac:dyDescent="0.4">
      <c r="A6" s="26" t="s">
        <v>1</v>
      </c>
      <c r="B6" s="134">
        <f>IF(B$2=0,0,(B$7*1+B$8*2+B$9*3)/B$2)</f>
        <v>2.4166666666666665</v>
      </c>
      <c r="C6" s="135"/>
      <c r="E6" s="34" t="s">
        <v>68</v>
      </c>
      <c r="F6" s="31" t="s">
        <v>24</v>
      </c>
      <c r="G6" s="18">
        <v>3</v>
      </c>
      <c r="H6" s="105">
        <f>IF(B$29=0,0,G6/B$29)</f>
        <v>0.17647058823529413</v>
      </c>
      <c r="I6" s="67">
        <v>11</v>
      </c>
      <c r="K6" s="9">
        <v>4</v>
      </c>
      <c r="L6" s="72">
        <v>52.3</v>
      </c>
      <c r="N6" s="87" t="s">
        <v>136</v>
      </c>
      <c r="O6" s="94">
        <f t="shared" si="0"/>
        <v>-2737.5</v>
      </c>
      <c r="P6" s="91">
        <v>8</v>
      </c>
      <c r="Q6" s="75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5">
        <f>IF(B$29=0,0,G7/B$29)</f>
        <v>0.17647058823529413</v>
      </c>
      <c r="I7" s="67">
        <v>13</v>
      </c>
      <c r="K7" s="9">
        <v>5</v>
      </c>
      <c r="L7" s="72">
        <v>15</v>
      </c>
      <c r="N7" s="88" t="s">
        <v>137</v>
      </c>
      <c r="O7" s="95">
        <f t="shared" si="0"/>
        <v>-516.66666666666663</v>
      </c>
      <c r="P7" s="92">
        <v>6</v>
      </c>
      <c r="Q7" s="76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5">
        <f>IF(B$29=0,0,G8/B$29)</f>
        <v>0.17647058823529413</v>
      </c>
      <c r="I8" s="67">
        <v>2</v>
      </c>
      <c r="K8" s="9">
        <v>6</v>
      </c>
      <c r="L8" s="72">
        <v>-20.5</v>
      </c>
      <c r="N8" s="14"/>
      <c r="O8" s="99"/>
      <c r="P8" s="83"/>
      <c r="Q8" s="81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5">
        <f>IF(B$29=0,0,G9/B$29)</f>
        <v>0.17647058823529413</v>
      </c>
      <c r="I9" s="67">
        <v>3</v>
      </c>
      <c r="K9" s="9">
        <v>7</v>
      </c>
      <c r="L9" s="72">
        <v>-31.8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5">
        <f>IF(B$29=0,0,G10/B$29)</f>
        <v>0.11764705882352941</v>
      </c>
      <c r="I10" s="67">
        <v>3</v>
      </c>
      <c r="K10" s="9">
        <v>8</v>
      </c>
      <c r="L10" s="72">
        <v>-31.1</v>
      </c>
      <c r="N10" s="86" t="s">
        <v>162</v>
      </c>
      <c r="O10" s="96">
        <f>IF(P10=0,0,Q10/P10)</f>
        <v>-14.266666666666664</v>
      </c>
      <c r="P10" s="90">
        <v>9</v>
      </c>
      <c r="Q10" s="78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5">
        <f>IF(B$29=0,0,G11/B$29)</f>
        <v>5.8823529411764705E-2</v>
      </c>
      <c r="I11" s="67">
        <v>2</v>
      </c>
      <c r="K11" s="9">
        <v>9</v>
      </c>
      <c r="L11" s="72">
        <v>-70.599999999999994</v>
      </c>
      <c r="N11" s="87" t="s">
        <v>163</v>
      </c>
      <c r="O11" s="97">
        <f>IF(P11=0,0,Q11/P11)</f>
        <v>-7.6999999999999993</v>
      </c>
      <c r="P11" s="91">
        <v>2</v>
      </c>
      <c r="Q11" s="79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5">
        <f>IF(B$29=0,0,G12/B$29)</f>
        <v>5.8823529411764705E-2</v>
      </c>
      <c r="I12" s="67">
        <v>1</v>
      </c>
      <c r="K12" s="9">
        <v>10</v>
      </c>
      <c r="L12" s="72">
        <v>-115.89999999999999</v>
      </c>
      <c r="N12" s="88" t="s">
        <v>164</v>
      </c>
      <c r="O12" s="98">
        <f>IF(P12=0,0,Q12/P12)</f>
        <v>-11.3</v>
      </c>
      <c r="P12" s="92">
        <v>1</v>
      </c>
      <c r="Q12" s="80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5">
        <f>IF(B$29=0,0,G13/B$29)</f>
        <v>5.8823529411764705E-2</v>
      </c>
      <c r="I13" s="67">
        <v>9</v>
      </c>
      <c r="K13" s="9">
        <v>11</v>
      </c>
      <c r="L13" s="72">
        <v>-143.6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5">
        <f>IF(B$29=0,0,G14/B$29)</f>
        <v>0</v>
      </c>
      <c r="I14" s="67">
        <v>12</v>
      </c>
      <c r="K14" s="9">
        <v>12</v>
      </c>
      <c r="L14" s="72">
        <v>-155.1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5">
        <f>IF(B$29=0,0,G15/B$29)</f>
        <v>0</v>
      </c>
      <c r="I15" s="67">
        <v>13</v>
      </c>
      <c r="N15" s="86" t="s">
        <v>172</v>
      </c>
      <c r="O15" s="96">
        <f>IF(P15=0,0,Q15/P15)</f>
        <v>15.200000000000001</v>
      </c>
      <c r="P15" s="90">
        <v>2</v>
      </c>
      <c r="Q15" s="78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5">
        <f>IF(B$29=0,0,G16/B$29)</f>
        <v>0</v>
      </c>
      <c r="I16" s="67">
        <v>12</v>
      </c>
      <c r="N16" s="87" t="s">
        <v>185</v>
      </c>
      <c r="O16" s="97">
        <f>IF(P16=0,0,Q16/P16)</f>
        <v>4.3000000000000007</v>
      </c>
      <c r="P16" s="91">
        <v>4</v>
      </c>
      <c r="Q16" s="79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5">
        <f>IF(B$29=0,0,G17/B$29)</f>
        <v>0</v>
      </c>
      <c r="I17" s="67">
        <v>7</v>
      </c>
      <c r="N17" s="87" t="s">
        <v>174</v>
      </c>
      <c r="O17" s="97">
        <f>IF(P17=0,0,Q17/P17)</f>
        <v>-9.65</v>
      </c>
      <c r="P17" s="91">
        <v>2</v>
      </c>
      <c r="Q17" s="79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5">
        <f>IF(B$29=0,0,G18/B$29)</f>
        <v>0</v>
      </c>
      <c r="I18" s="67">
        <v>6</v>
      </c>
      <c r="N18" s="87" t="s">
        <v>127</v>
      </c>
      <c r="O18" s="97">
        <f>IF(P18=0,0,Q18/P18)</f>
        <v>-26.587499999999995</v>
      </c>
      <c r="P18" s="91">
        <v>8</v>
      </c>
      <c r="Q18" s="79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-28.18</v>
      </c>
      <c r="P19" s="91">
        <v>5</v>
      </c>
      <c r="Q19" s="79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5">
        <f>IF(B$29=0,0,G20/B$29)</f>
        <v>0</v>
      </c>
      <c r="I20" s="67">
        <v>1</v>
      </c>
      <c r="N20" s="87" t="s">
        <v>129</v>
      </c>
      <c r="O20" s="97">
        <f>IF(P20=0,0,Q20/P20)</f>
        <v>-33.4</v>
      </c>
      <c r="P20" s="91">
        <v>1</v>
      </c>
      <c r="Q20" s="79">
        <v>-33.4</v>
      </c>
    </row>
    <row r="21" spans="1:17" x14ac:dyDescent="0.4">
      <c r="A21" s="26" t="s">
        <v>178</v>
      </c>
      <c r="B21" s="18">
        <v>2</v>
      </c>
      <c r="C21" s="107">
        <v>0</v>
      </c>
      <c r="E21" s="34" t="s">
        <v>78</v>
      </c>
      <c r="F21" s="31" t="s">
        <v>33</v>
      </c>
      <c r="G21" s="18">
        <v>0</v>
      </c>
      <c r="H21" s="105">
        <f>IF(B$29=0,0,G21/B$29)</f>
        <v>0</v>
      </c>
      <c r="I21" s="67">
        <v>7</v>
      </c>
      <c r="N21" s="87" t="s">
        <v>128</v>
      </c>
      <c r="O21" s="97">
        <f>IF(P21=0,0,Q21/P21)</f>
        <v>-53.3</v>
      </c>
      <c r="P21" s="91">
        <v>2</v>
      </c>
      <c r="Q21" s="79">
        <v>-106.6</v>
      </c>
    </row>
    <row r="22" spans="1:17" x14ac:dyDescent="0.4">
      <c r="A22" s="26" t="s">
        <v>179</v>
      </c>
      <c r="B22" s="18">
        <v>13</v>
      </c>
      <c r="C22" s="107">
        <v>1</v>
      </c>
      <c r="E22" s="34" t="s">
        <v>79</v>
      </c>
      <c r="F22" s="31" t="s">
        <v>34</v>
      </c>
      <c r="G22" s="18">
        <v>0</v>
      </c>
      <c r="H22" s="105">
        <f>IF(B$29=0,0,G22/B$29)</f>
        <v>0</v>
      </c>
      <c r="I22" s="67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59500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88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17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FF0D-5EA7-4217-8EF3-3B41AC847DFE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169</v>
      </c>
      <c r="B1" s="41" t="s">
        <v>169</v>
      </c>
      <c r="C1" s="41" t="s">
        <v>169</v>
      </c>
      <c r="D1" s="42" t="s">
        <v>169</v>
      </c>
      <c r="E1" s="41" t="s">
        <v>169</v>
      </c>
      <c r="F1" s="41" t="s">
        <v>169</v>
      </c>
      <c r="G1" s="41" t="s">
        <v>169</v>
      </c>
      <c r="H1" s="41" t="s">
        <v>169</v>
      </c>
      <c r="I1" s="41" t="s">
        <v>169</v>
      </c>
      <c r="J1" s="41" t="s">
        <v>169</v>
      </c>
      <c r="K1" s="41" t="s">
        <v>169</v>
      </c>
      <c r="L1" s="41" t="s">
        <v>169</v>
      </c>
      <c r="M1" s="41" t="s">
        <v>169</v>
      </c>
      <c r="N1" s="41" t="s">
        <v>169</v>
      </c>
      <c r="O1" s="41" t="s">
        <v>169</v>
      </c>
      <c r="P1" s="41" t="s">
        <v>169</v>
      </c>
      <c r="Q1" s="41" t="s">
        <v>169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5BA7-8137-4448-9092-CBB40132A088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C07-71E6-4026-876C-3BC27047A9F0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F5DB-0AF0-4576-B59B-84B80F537B60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39A5-665A-442B-BC6C-7427F17C504A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185</v>
      </c>
      <c r="B1" s="41" t="s">
        <v>185</v>
      </c>
      <c r="C1" s="41" t="s">
        <v>185</v>
      </c>
      <c r="D1" s="42" t="s">
        <v>185</v>
      </c>
      <c r="E1" s="41" t="s">
        <v>185</v>
      </c>
      <c r="F1" s="41" t="s">
        <v>185</v>
      </c>
      <c r="G1" s="41" t="s">
        <v>185</v>
      </c>
      <c r="H1" s="41" t="s">
        <v>185</v>
      </c>
      <c r="I1" s="41" t="s">
        <v>185</v>
      </c>
      <c r="J1" s="41" t="s">
        <v>185</v>
      </c>
      <c r="K1" s="41" t="s">
        <v>185</v>
      </c>
      <c r="L1" s="41" t="s">
        <v>185</v>
      </c>
      <c r="M1" s="41" t="s">
        <v>185</v>
      </c>
      <c r="N1" s="41" t="s">
        <v>185</v>
      </c>
      <c r="O1" s="41" t="s">
        <v>185</v>
      </c>
      <c r="P1" s="41" t="s">
        <v>185</v>
      </c>
      <c r="Q1" s="41" t="s">
        <v>185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E0F4-44AB-4569-B838-DBDCBB4D88E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F81B-75D9-47CC-B729-7BF0F642BD0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432A-6121-4158-AAA9-C9259D804B63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214</v>
      </c>
      <c r="B1" s="41" t="s">
        <v>214</v>
      </c>
      <c r="C1" s="41" t="s">
        <v>214</v>
      </c>
      <c r="D1" s="42" t="s">
        <v>214</v>
      </c>
      <c r="E1" s="41" t="s">
        <v>214</v>
      </c>
      <c r="F1" s="41" t="s">
        <v>214</v>
      </c>
      <c r="G1" s="41" t="s">
        <v>214</v>
      </c>
      <c r="H1" s="41" t="s">
        <v>214</v>
      </c>
      <c r="I1" s="41" t="s">
        <v>214</v>
      </c>
      <c r="J1" s="41" t="s">
        <v>214</v>
      </c>
      <c r="K1" s="41" t="s">
        <v>214</v>
      </c>
      <c r="L1" s="41" t="s">
        <v>214</v>
      </c>
      <c r="M1" s="41" t="s">
        <v>214</v>
      </c>
      <c r="N1" s="41" t="s">
        <v>214</v>
      </c>
      <c r="O1" s="41" t="s">
        <v>214</v>
      </c>
      <c r="P1" s="41" t="s">
        <v>214</v>
      </c>
      <c r="Q1" s="41" t="s">
        <v>214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D977-95CD-4176-A4B2-3882A777BEC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174</v>
      </c>
      <c r="B1" s="41" t="s">
        <v>174</v>
      </c>
      <c r="C1" s="41" t="s">
        <v>174</v>
      </c>
      <c r="D1" s="42" t="s">
        <v>174</v>
      </c>
      <c r="E1" s="41" t="s">
        <v>174</v>
      </c>
      <c r="F1" s="41" t="s">
        <v>174</v>
      </c>
      <c r="G1" s="41" t="s">
        <v>174</v>
      </c>
      <c r="H1" s="41" t="s">
        <v>174</v>
      </c>
      <c r="I1" s="41" t="s">
        <v>174</v>
      </c>
      <c r="J1" s="41" t="s">
        <v>174</v>
      </c>
      <c r="K1" s="41" t="s">
        <v>174</v>
      </c>
      <c r="L1" s="41" t="s">
        <v>174</v>
      </c>
      <c r="M1" s="41" t="s">
        <v>174</v>
      </c>
      <c r="N1" s="41" t="s">
        <v>174</v>
      </c>
      <c r="O1" s="41" t="s">
        <v>174</v>
      </c>
      <c r="P1" s="41" t="s">
        <v>174</v>
      </c>
      <c r="Q1" s="41" t="s">
        <v>174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F134-A5FE-4473-847A-95568D266910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A35E-7957-4C1B-BABA-E04D7E58221D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196</v>
      </c>
      <c r="B1" s="41" t="s">
        <v>196</v>
      </c>
      <c r="C1" s="41" t="s">
        <v>196</v>
      </c>
      <c r="D1" s="42" t="s">
        <v>196</v>
      </c>
      <c r="E1" s="41" t="s">
        <v>196</v>
      </c>
      <c r="F1" s="41" t="s">
        <v>196</v>
      </c>
      <c r="G1" s="41" t="s">
        <v>196</v>
      </c>
      <c r="H1" s="41" t="s">
        <v>196</v>
      </c>
      <c r="I1" s="41" t="s">
        <v>196</v>
      </c>
      <c r="J1" s="41" t="s">
        <v>196</v>
      </c>
      <c r="K1" s="41" t="s">
        <v>196</v>
      </c>
      <c r="L1" s="41" t="s">
        <v>196</v>
      </c>
      <c r="M1" s="41" t="s">
        <v>196</v>
      </c>
      <c r="N1" s="41" t="s">
        <v>196</v>
      </c>
      <c r="O1" s="41" t="s">
        <v>196</v>
      </c>
      <c r="P1" s="41" t="s">
        <v>196</v>
      </c>
      <c r="Q1" s="41" t="s">
        <v>196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D350-94D5-438C-AFAE-67CE4AEAFDB8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210</v>
      </c>
      <c r="B1" s="41" t="s">
        <v>210</v>
      </c>
      <c r="C1" s="41" t="s">
        <v>210</v>
      </c>
      <c r="D1" s="42" t="s">
        <v>210</v>
      </c>
      <c r="E1" s="41" t="s">
        <v>210</v>
      </c>
      <c r="F1" s="41" t="s">
        <v>210</v>
      </c>
      <c r="G1" s="41" t="s">
        <v>210</v>
      </c>
      <c r="H1" s="41" t="s">
        <v>210</v>
      </c>
      <c r="I1" s="41" t="s">
        <v>210</v>
      </c>
      <c r="J1" s="41" t="s">
        <v>210</v>
      </c>
      <c r="K1" s="41" t="s">
        <v>210</v>
      </c>
      <c r="L1" s="41" t="s">
        <v>210</v>
      </c>
      <c r="M1" s="41" t="s">
        <v>210</v>
      </c>
      <c r="N1" s="41" t="s">
        <v>210</v>
      </c>
      <c r="O1" s="41" t="s">
        <v>210</v>
      </c>
      <c r="P1" s="41" t="s">
        <v>210</v>
      </c>
      <c r="Q1" s="41" t="s">
        <v>210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2BDA6-C3F5-42F7-8747-DF3641DCE12A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3854-42B0-4706-8BFA-3AA5BCAE19DB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/>
      <c r="C1" s="127"/>
      <c r="E1" s="101" t="s">
        <v>165</v>
      </c>
      <c r="F1" s="109" t="s">
        <v>116</v>
      </c>
      <c r="G1" s="108" t="s">
        <v>117</v>
      </c>
      <c r="H1" s="102" t="s">
        <v>118</v>
      </c>
      <c r="I1" s="109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0</v>
      </c>
      <c r="C2" s="123"/>
      <c r="E2" s="33" t="s">
        <v>65</v>
      </c>
      <c r="F2" s="30" t="s">
        <v>21</v>
      </c>
      <c r="G2" s="17">
        <v>0</v>
      </c>
      <c r="H2" s="104">
        <f t="shared" ref="H2:H50" si="0">IF(B$29=0,0,G2/B$29)</f>
        <v>0</v>
      </c>
      <c r="I2" s="66"/>
      <c r="K2" s="7">
        <v>0</v>
      </c>
      <c r="L2" s="71">
        <v>0</v>
      </c>
      <c r="N2" s="86" t="s">
        <v>132</v>
      </c>
      <c r="O2" s="93">
        <f t="shared" ref="O2:O7" si="1">IF(P2=0,0,Q2/P2)</f>
        <v>0</v>
      </c>
      <c r="P2" s="90">
        <v>0</v>
      </c>
      <c r="Q2" s="74">
        <v>0</v>
      </c>
    </row>
    <row r="3" spans="1:17" x14ac:dyDescent="0.4">
      <c r="A3" s="26" t="s">
        <v>8</v>
      </c>
      <c r="B3" s="128">
        <v>0</v>
      </c>
      <c r="C3" s="129"/>
      <c r="E3" s="34" t="s">
        <v>66</v>
      </c>
      <c r="F3" s="31" t="s">
        <v>22</v>
      </c>
      <c r="G3" s="18">
        <v>0</v>
      </c>
      <c r="H3" s="105">
        <f t="shared" si="0"/>
        <v>0</v>
      </c>
      <c r="I3" s="67"/>
      <c r="N3" s="87" t="s">
        <v>133</v>
      </c>
      <c r="O3" s="94">
        <f t="shared" si="1"/>
        <v>0</v>
      </c>
      <c r="P3" s="91">
        <v>0</v>
      </c>
      <c r="Q3" s="75">
        <v>0</v>
      </c>
    </row>
    <row r="4" spans="1:17" x14ac:dyDescent="0.4">
      <c r="A4" s="26" t="s">
        <v>6</v>
      </c>
      <c r="B4" s="130">
        <v>0</v>
      </c>
      <c r="C4" s="131"/>
      <c r="E4" s="34" t="s">
        <v>67</v>
      </c>
      <c r="F4" s="31" t="s">
        <v>23</v>
      </c>
      <c r="G4" s="18">
        <v>0</v>
      </c>
      <c r="H4" s="105">
        <f t="shared" si="0"/>
        <v>0</v>
      </c>
      <c r="I4" s="67"/>
      <c r="N4" s="87" t="s">
        <v>134</v>
      </c>
      <c r="O4" s="94">
        <f t="shared" si="1"/>
        <v>0</v>
      </c>
      <c r="P4" s="91">
        <v>0</v>
      </c>
      <c r="Q4" s="75">
        <v>0</v>
      </c>
    </row>
    <row r="5" spans="1:17" x14ac:dyDescent="0.4">
      <c r="A5" s="26" t="s">
        <v>7</v>
      </c>
      <c r="B5" s="132">
        <f>IF(B$2=0,0,B$4/B$2)</f>
        <v>0</v>
      </c>
      <c r="C5" s="133"/>
      <c r="E5" s="34" t="s">
        <v>68</v>
      </c>
      <c r="F5" s="31" t="s">
        <v>24</v>
      </c>
      <c r="G5" s="18">
        <v>0</v>
      </c>
      <c r="H5" s="105">
        <f t="shared" si="0"/>
        <v>0</v>
      </c>
      <c r="I5" s="67"/>
      <c r="N5" s="87" t="s">
        <v>135</v>
      </c>
      <c r="O5" s="94">
        <f t="shared" si="1"/>
        <v>0</v>
      </c>
      <c r="P5" s="91">
        <v>0</v>
      </c>
      <c r="Q5" s="75">
        <v>0</v>
      </c>
    </row>
    <row r="6" spans="1:17" x14ac:dyDescent="0.4">
      <c r="A6" s="26" t="s">
        <v>1</v>
      </c>
      <c r="B6" s="134">
        <f>IF(B$2=0,0,(B$7*1+B$8*2+B$9*3)/B$2)</f>
        <v>0</v>
      </c>
      <c r="C6" s="135"/>
      <c r="E6" s="34" t="s">
        <v>180</v>
      </c>
      <c r="F6" s="31" t="s">
        <v>181</v>
      </c>
      <c r="G6" s="18">
        <v>0</v>
      </c>
      <c r="H6" s="105">
        <f t="shared" si="0"/>
        <v>0</v>
      </c>
      <c r="I6" s="67"/>
      <c r="N6" s="87" t="s">
        <v>136</v>
      </c>
      <c r="O6" s="94">
        <f t="shared" si="1"/>
        <v>0</v>
      </c>
      <c r="P6" s="91">
        <v>0</v>
      </c>
      <c r="Q6" s="75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 t="shared" si="0"/>
        <v>0</v>
      </c>
      <c r="I7" s="67"/>
      <c r="N7" s="88" t="s">
        <v>137</v>
      </c>
      <c r="O7" s="95">
        <f t="shared" si="1"/>
        <v>0</v>
      </c>
      <c r="P7" s="92">
        <v>0</v>
      </c>
      <c r="Q7" s="76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 t="shared" si="0"/>
        <v>0</v>
      </c>
      <c r="I8" s="67"/>
      <c r="N8" s="14"/>
      <c r="O8" s="99"/>
      <c r="P8" s="83"/>
      <c r="Q8" s="81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5">
        <f t="shared" si="0"/>
        <v>0</v>
      </c>
      <c r="I9" s="67"/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5">
        <f t="shared" si="0"/>
        <v>0</v>
      </c>
      <c r="I10" s="67"/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 t="shared" si="0"/>
        <v>0</v>
      </c>
      <c r="I11" s="67"/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 t="shared" si="0"/>
        <v>0</v>
      </c>
      <c r="I12" s="67"/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 t="shared" si="0"/>
        <v>0</v>
      </c>
      <c r="I13" s="67"/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 t="shared" si="0"/>
        <v>0</v>
      </c>
      <c r="I14" s="67"/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 t="shared" si="0"/>
        <v>0</v>
      </c>
      <c r="I15" s="67"/>
      <c r="N15" s="86"/>
      <c r="O15" s="96"/>
      <c r="P15" s="90"/>
      <c r="Q15" s="78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 t="shared" si="0"/>
        <v>0</v>
      </c>
      <c r="I16" s="67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5">
        <f t="shared" si="0"/>
        <v>0</v>
      </c>
      <c r="I17" s="67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5">
        <f t="shared" si="0"/>
        <v>0</v>
      </c>
      <c r="I18" s="67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 t="shared" si="0"/>
        <v>0</v>
      </c>
      <c r="I19" s="67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5">
        <f t="shared" si="0"/>
        <v>0</v>
      </c>
      <c r="I20" s="67"/>
    </row>
    <row r="21" spans="1:9" x14ac:dyDescent="0.4">
      <c r="A21" s="26" t="s">
        <v>178</v>
      </c>
      <c r="B21" s="18">
        <v>0</v>
      </c>
      <c r="C21" s="107">
        <v>0</v>
      </c>
      <c r="E21" s="34" t="s">
        <v>83</v>
      </c>
      <c r="F21" s="31" t="s">
        <v>38</v>
      </c>
      <c r="G21" s="18">
        <v>0</v>
      </c>
      <c r="H21" s="105">
        <f t="shared" si="0"/>
        <v>0</v>
      </c>
      <c r="I21" s="67"/>
    </row>
    <row r="22" spans="1:9" x14ac:dyDescent="0.4">
      <c r="A22" s="26" t="s">
        <v>179</v>
      </c>
      <c r="B22" s="18">
        <v>0</v>
      </c>
      <c r="C22" s="107">
        <v>0</v>
      </c>
      <c r="E22" s="34" t="s">
        <v>84</v>
      </c>
      <c r="F22" s="31" t="s">
        <v>39</v>
      </c>
      <c r="G22" s="18">
        <v>0</v>
      </c>
      <c r="H22" s="105">
        <f t="shared" si="0"/>
        <v>0</v>
      </c>
      <c r="I22" s="67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5">
        <f t="shared" si="0"/>
        <v>0</v>
      </c>
      <c r="I23" s="67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5">
        <f t="shared" si="0"/>
        <v>0</v>
      </c>
      <c r="I24" s="67"/>
    </row>
    <row r="25" spans="1:9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 t="shared" si="0"/>
        <v>0</v>
      </c>
      <c r="I25" s="67"/>
    </row>
    <row r="26" spans="1:9" x14ac:dyDescent="0.4">
      <c r="A26" s="29" t="s">
        <v>152</v>
      </c>
      <c r="B26" s="120">
        <v>0</v>
      </c>
      <c r="C26" s="121"/>
      <c r="E26" s="34" t="s">
        <v>88</v>
      </c>
      <c r="F26" s="31" t="s">
        <v>43</v>
      </c>
      <c r="G26" s="18">
        <v>0</v>
      </c>
      <c r="H26" s="105">
        <f t="shared" si="0"/>
        <v>0</v>
      </c>
      <c r="I26" s="67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 t="shared" si="0"/>
        <v>0</v>
      </c>
      <c r="I27" s="67"/>
    </row>
    <row r="28" spans="1:9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 t="shared" si="0"/>
        <v>0</v>
      </c>
      <c r="I28" s="67"/>
    </row>
    <row r="29" spans="1:9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 t="shared" si="0"/>
        <v>0</v>
      </c>
      <c r="I29" s="67"/>
    </row>
    <row r="30" spans="1:9" x14ac:dyDescent="0.4">
      <c r="E30" s="34" t="s">
        <v>92</v>
      </c>
      <c r="F30" s="31" t="s">
        <v>47</v>
      </c>
      <c r="G30" s="18">
        <v>0</v>
      </c>
      <c r="H30" s="105">
        <f t="shared" si="0"/>
        <v>0</v>
      </c>
      <c r="I30" s="67"/>
    </row>
    <row r="31" spans="1:9" x14ac:dyDescent="0.4">
      <c r="E31" s="34" t="s">
        <v>93</v>
      </c>
      <c r="F31" s="31" t="s">
        <v>48</v>
      </c>
      <c r="G31" s="18">
        <v>0</v>
      </c>
      <c r="H31" s="105">
        <f t="shared" si="0"/>
        <v>0</v>
      </c>
      <c r="I31" s="67"/>
    </row>
    <row r="32" spans="1:9" x14ac:dyDescent="0.4">
      <c r="E32" s="34" t="s">
        <v>94</v>
      </c>
      <c r="F32" s="31" t="s">
        <v>49</v>
      </c>
      <c r="G32" s="18">
        <v>0</v>
      </c>
      <c r="H32" s="105">
        <f t="shared" si="0"/>
        <v>0</v>
      </c>
      <c r="I32" s="67"/>
    </row>
    <row r="33" spans="5:9" x14ac:dyDescent="0.4">
      <c r="E33" s="34" t="s">
        <v>95</v>
      </c>
      <c r="F33" s="31" t="s">
        <v>50</v>
      </c>
      <c r="G33" s="18">
        <v>0</v>
      </c>
      <c r="H33" s="105">
        <f t="shared" si="0"/>
        <v>0</v>
      </c>
      <c r="I33" s="67"/>
    </row>
    <row r="34" spans="5:9" x14ac:dyDescent="0.4">
      <c r="E34" s="34" t="s">
        <v>96</v>
      </c>
      <c r="F34" s="31" t="s">
        <v>51</v>
      </c>
      <c r="G34" s="18">
        <v>0</v>
      </c>
      <c r="H34" s="105">
        <f t="shared" si="0"/>
        <v>0</v>
      </c>
      <c r="I34" s="67"/>
    </row>
    <row r="35" spans="5:9" x14ac:dyDescent="0.4">
      <c r="E35" s="34" t="s">
        <v>97</v>
      </c>
      <c r="F35" s="31" t="s">
        <v>52</v>
      </c>
      <c r="G35" s="18">
        <v>0</v>
      </c>
      <c r="H35" s="105">
        <f t="shared" si="0"/>
        <v>0</v>
      </c>
      <c r="I35" s="67"/>
    </row>
    <row r="36" spans="5:9" x14ac:dyDescent="0.4">
      <c r="E36" s="34" t="s">
        <v>98</v>
      </c>
      <c r="F36" s="31" t="s">
        <v>53</v>
      </c>
      <c r="G36" s="18">
        <v>0</v>
      </c>
      <c r="H36" s="105">
        <f t="shared" si="0"/>
        <v>0</v>
      </c>
      <c r="I36" s="67"/>
    </row>
    <row r="37" spans="5:9" x14ac:dyDescent="0.4">
      <c r="E37" s="34" t="s">
        <v>99</v>
      </c>
      <c r="F37" s="31" t="s">
        <v>54</v>
      </c>
      <c r="G37" s="18">
        <v>0</v>
      </c>
      <c r="H37" s="105">
        <f t="shared" si="0"/>
        <v>0</v>
      </c>
      <c r="I37" s="67"/>
    </row>
    <row r="38" spans="5:9" x14ac:dyDescent="0.4">
      <c r="E38" s="34" t="s">
        <v>100</v>
      </c>
      <c r="F38" s="31" t="s">
        <v>55</v>
      </c>
      <c r="G38" s="18">
        <v>0</v>
      </c>
      <c r="H38" s="105">
        <f t="shared" si="0"/>
        <v>0</v>
      </c>
      <c r="I38" s="67"/>
    </row>
    <row r="39" spans="5:9" x14ac:dyDescent="0.4">
      <c r="E39" s="34" t="s">
        <v>101</v>
      </c>
      <c r="F39" s="31" t="s">
        <v>56</v>
      </c>
      <c r="G39" s="18">
        <v>0</v>
      </c>
      <c r="H39" s="105">
        <f t="shared" si="0"/>
        <v>0</v>
      </c>
      <c r="I39" s="67"/>
    </row>
    <row r="40" spans="5:9" x14ac:dyDescent="0.4">
      <c r="E40" s="34" t="s">
        <v>102</v>
      </c>
      <c r="F40" s="31" t="s">
        <v>57</v>
      </c>
      <c r="G40" s="18">
        <v>0</v>
      </c>
      <c r="H40" s="105">
        <f t="shared" si="0"/>
        <v>0</v>
      </c>
      <c r="I40" s="67"/>
    </row>
    <row r="41" spans="5:9" x14ac:dyDescent="0.4">
      <c r="E41" s="34" t="s">
        <v>103</v>
      </c>
      <c r="F41" s="31" t="s">
        <v>58</v>
      </c>
      <c r="G41" s="18">
        <v>0</v>
      </c>
      <c r="H41" s="105">
        <f t="shared" si="0"/>
        <v>0</v>
      </c>
      <c r="I41" s="67"/>
    </row>
    <row r="42" spans="5:9" x14ac:dyDescent="0.4">
      <c r="E42" s="34" t="s">
        <v>104</v>
      </c>
      <c r="F42" s="31" t="s">
        <v>59</v>
      </c>
      <c r="G42" s="18">
        <v>0</v>
      </c>
      <c r="H42" s="105">
        <f t="shared" si="0"/>
        <v>0</v>
      </c>
      <c r="I42" s="67"/>
    </row>
    <row r="43" spans="5:9" x14ac:dyDescent="0.4">
      <c r="E43" s="34" t="s">
        <v>105</v>
      </c>
      <c r="F43" s="31" t="s">
        <v>60</v>
      </c>
      <c r="G43" s="18">
        <v>0</v>
      </c>
      <c r="H43" s="105">
        <f t="shared" si="0"/>
        <v>0</v>
      </c>
      <c r="I43" s="67"/>
    </row>
    <row r="44" spans="5:9" x14ac:dyDescent="0.4">
      <c r="E44" s="34" t="s">
        <v>106</v>
      </c>
      <c r="F44" s="31" t="s">
        <v>113</v>
      </c>
      <c r="G44" s="18">
        <v>0</v>
      </c>
      <c r="H44" s="105">
        <f t="shared" si="0"/>
        <v>0</v>
      </c>
      <c r="I44" s="67"/>
    </row>
    <row r="45" spans="5:9" x14ac:dyDescent="0.4">
      <c r="E45" s="34" t="s">
        <v>107</v>
      </c>
      <c r="F45" s="31" t="s">
        <v>114</v>
      </c>
      <c r="G45" s="18">
        <v>0</v>
      </c>
      <c r="H45" s="105">
        <f t="shared" si="0"/>
        <v>0</v>
      </c>
      <c r="I45" s="67"/>
    </row>
    <row r="46" spans="5:9" x14ac:dyDescent="0.4">
      <c r="E46" s="34" t="s">
        <v>108</v>
      </c>
      <c r="F46" s="31" t="s">
        <v>115</v>
      </c>
      <c r="G46" s="18">
        <v>0</v>
      </c>
      <c r="H46" s="105">
        <f t="shared" si="0"/>
        <v>0</v>
      </c>
      <c r="I46" s="67"/>
    </row>
    <row r="47" spans="5:9" x14ac:dyDescent="0.4">
      <c r="E47" s="34" t="s">
        <v>109</v>
      </c>
      <c r="F47" s="31" t="s">
        <v>61</v>
      </c>
      <c r="G47" s="18">
        <v>0</v>
      </c>
      <c r="H47" s="105">
        <f t="shared" si="0"/>
        <v>0</v>
      </c>
      <c r="I47" s="67"/>
    </row>
    <row r="48" spans="5:9" x14ac:dyDescent="0.4">
      <c r="E48" s="34" t="s">
        <v>110</v>
      </c>
      <c r="F48" s="31" t="s">
        <v>62</v>
      </c>
      <c r="G48" s="18">
        <v>0</v>
      </c>
      <c r="H48" s="105">
        <f t="shared" si="0"/>
        <v>0</v>
      </c>
      <c r="I48" s="67"/>
    </row>
    <row r="49" spans="5:9" x14ac:dyDescent="0.4">
      <c r="E49" s="34" t="s">
        <v>111</v>
      </c>
      <c r="F49" s="31" t="s">
        <v>63</v>
      </c>
      <c r="G49" s="18">
        <v>0</v>
      </c>
      <c r="H49" s="105">
        <f t="shared" si="0"/>
        <v>0</v>
      </c>
      <c r="I49" s="67"/>
    </row>
    <row r="50" spans="5:9" x14ac:dyDescent="0.4">
      <c r="E50" s="35" t="s">
        <v>112</v>
      </c>
      <c r="F50" s="32" t="s">
        <v>64</v>
      </c>
      <c r="G50" s="20">
        <v>0</v>
      </c>
      <c r="H50" s="106">
        <f t="shared" si="0"/>
        <v>0</v>
      </c>
      <c r="I50" s="68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2019-04-21T01:23:44Z</dcterms:modified>
</cp:coreProperties>
</file>