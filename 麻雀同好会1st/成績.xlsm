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4DCB9C2F-5FC4-4463-9DD5-E1841555536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22" r:id="rId6"/>
    <sheet name="だいち" sheetId="4324" r:id="rId7"/>
    <sheet name="かこたろう" sheetId="4326" r:id="rId8"/>
    <sheet name="ともき" sheetId="4328" r:id="rId9"/>
    <sheet name="りくと" sheetId="4330" r:id="rId10"/>
    <sheet name="いっしー" sheetId="4332" r:id="rId11"/>
    <sheet name="がくと" sheetId="4334" r:id="rId12"/>
    <sheet name="たかの" sheetId="4336" r:id="rId13"/>
    <sheet name="ただ" sheetId="4338" r:id="rId14"/>
    <sheet name="やがさき" sheetId="4340" r:id="rId15"/>
    <sheet name="れんたろう" sheetId="4342" r:id="rId16"/>
    <sheet name="あさひ" sheetId="4344" r:id="rId17"/>
    <sheet name="まっつん" sheetId="4346" r:id="rId18"/>
    <sheet name="ぱぱ" sheetId="4348" r:id="rId19"/>
    <sheet name="ぱぱ2" sheetId="4349" state="hidden" r:id="rId20"/>
    <sheet name="まっつん2" sheetId="4347" state="hidden" r:id="rId21"/>
    <sheet name="あさひ2" sheetId="4345" state="hidden" r:id="rId22"/>
    <sheet name="れんたろう2" sheetId="4343" state="hidden" r:id="rId23"/>
    <sheet name="やがさき2" sheetId="4341" state="hidden" r:id="rId24"/>
    <sheet name="ただ2" sheetId="4339" state="hidden" r:id="rId25"/>
    <sheet name="たかの2" sheetId="4337" state="hidden" r:id="rId26"/>
    <sheet name="がくと2" sheetId="4335" state="hidden" r:id="rId27"/>
    <sheet name="いっしー2" sheetId="4333" state="hidden" r:id="rId28"/>
    <sheet name="りくと2" sheetId="4331" state="hidden" r:id="rId29"/>
    <sheet name="ともき2" sheetId="4329" state="hidden" r:id="rId30"/>
    <sheet name="かこたろう2" sheetId="4327" state="hidden" r:id="rId31"/>
    <sheet name="だいち2" sheetId="4325" state="hidden" r:id="rId32"/>
    <sheet name="全体2" sheetId="432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4324" l="1"/>
  <c r="O15" i="4338"/>
  <c r="O20" i="4348"/>
  <c r="O15" i="4342" l="1"/>
  <c r="O19" i="4348"/>
  <c r="O15" i="4330" l="1"/>
  <c r="O21" i="4348"/>
  <c r="O18" i="4340" l="1"/>
  <c r="O18" i="4348"/>
  <c r="O16" i="4348"/>
  <c r="O18" i="4324"/>
  <c r="O21" i="4332"/>
  <c r="O17" i="4332"/>
  <c r="O15" i="4348"/>
  <c r="O17" i="4348"/>
  <c r="H51" i="4348"/>
  <c r="H50" i="4348"/>
  <c r="H49" i="4348"/>
  <c r="H48" i="4348"/>
  <c r="H47" i="4348"/>
  <c r="H46" i="4348"/>
  <c r="H45" i="4348"/>
  <c r="H44" i="4348"/>
  <c r="H43" i="4348"/>
  <c r="H42" i="4348"/>
  <c r="H41" i="4348"/>
  <c r="H40" i="4348"/>
  <c r="H39" i="4348"/>
  <c r="H38" i="4348"/>
  <c r="H37" i="4348"/>
  <c r="H36" i="4348"/>
  <c r="H35" i="4348"/>
  <c r="H34" i="4348"/>
  <c r="H33" i="4348"/>
  <c r="H32" i="4348"/>
  <c r="H31" i="4348"/>
  <c r="H30" i="4348"/>
  <c r="H9" i="4348"/>
  <c r="H29" i="4348"/>
  <c r="H28" i="4348"/>
  <c r="H13" i="4348"/>
  <c r="H27" i="4348"/>
  <c r="C25" i="4348"/>
  <c r="H26" i="4348"/>
  <c r="H10" i="4348"/>
  <c r="H25" i="4348"/>
  <c r="B22" i="4348"/>
  <c r="H12" i="4348"/>
  <c r="H24" i="4348"/>
  <c r="C20" i="4348"/>
  <c r="H23" i="4348"/>
  <c r="H11" i="4348"/>
  <c r="H22" i="4348"/>
  <c r="B17" i="4348"/>
  <c r="C18" i="4348" s="1"/>
  <c r="H21" i="4348"/>
  <c r="C16" i="4348"/>
  <c r="H20" i="4348"/>
  <c r="C15" i="4348"/>
  <c r="H19" i="4348"/>
  <c r="C14" i="4348"/>
  <c r="H18" i="4348"/>
  <c r="C13" i="4348"/>
  <c r="O12" i="4348"/>
  <c r="H17" i="4348"/>
  <c r="C12" i="4348"/>
  <c r="O11" i="4348"/>
  <c r="H3" i="4348"/>
  <c r="C11" i="4348"/>
  <c r="O10" i="4348"/>
  <c r="H16" i="4348"/>
  <c r="C10" i="4348"/>
  <c r="H8" i="4348"/>
  <c r="C9" i="4348"/>
  <c r="H15" i="4348"/>
  <c r="C8" i="4348"/>
  <c r="O7" i="4348"/>
  <c r="H7" i="4348"/>
  <c r="C7" i="4348"/>
  <c r="O6" i="4348"/>
  <c r="H2" i="4348"/>
  <c r="B6" i="4348"/>
  <c r="O5" i="4348"/>
  <c r="H6" i="4348"/>
  <c r="B5" i="4348"/>
  <c r="O4" i="4348"/>
  <c r="H4" i="4348"/>
  <c r="O3" i="4348"/>
  <c r="H14" i="4348"/>
  <c r="O2" i="4348"/>
  <c r="H5" i="4348"/>
  <c r="O20" i="4346"/>
  <c r="O19" i="4346"/>
  <c r="O17" i="4322"/>
  <c r="C17" i="4348" l="1"/>
  <c r="C19" i="4348"/>
  <c r="B21" i="4348"/>
  <c r="O15" i="4332" l="1"/>
  <c r="O21" i="4340"/>
  <c r="O20" i="4340"/>
  <c r="O17" i="4342"/>
  <c r="O19" i="4330" l="1"/>
  <c r="O16" i="4340"/>
  <c r="O19" i="4338"/>
  <c r="O17" i="4340"/>
  <c r="O21" i="4330" l="1"/>
  <c r="O16" i="4346"/>
  <c r="O22" i="4346" l="1"/>
  <c r="O17" i="4324"/>
  <c r="O21" i="4338" l="1"/>
  <c r="O17" i="4344"/>
  <c r="O15" i="4334"/>
  <c r="O16" i="4334"/>
  <c r="O18" i="4342"/>
  <c r="O25" i="4342"/>
  <c r="O15" i="4346"/>
  <c r="O17" i="4346"/>
  <c r="O19" i="4332"/>
  <c r="O18" i="4336"/>
  <c r="O21" i="4346" l="1"/>
  <c r="O18" i="4346"/>
  <c r="H51" i="4346"/>
  <c r="H50" i="4346"/>
  <c r="H49" i="4346"/>
  <c r="H48" i="4346"/>
  <c r="H47" i="4346"/>
  <c r="H46" i="4346"/>
  <c r="H45" i="4346"/>
  <c r="H44" i="4346"/>
  <c r="H43" i="4346"/>
  <c r="H42" i="4346"/>
  <c r="H41" i="4346"/>
  <c r="H40" i="4346"/>
  <c r="H39" i="4346"/>
  <c r="H38" i="4346"/>
  <c r="H37" i="4346"/>
  <c r="H36" i="4346"/>
  <c r="H35" i="4346"/>
  <c r="H34" i="4346"/>
  <c r="H33" i="4346"/>
  <c r="H21" i="4346"/>
  <c r="H20" i="4346"/>
  <c r="H32" i="4346"/>
  <c r="H8" i="4346"/>
  <c r="H31" i="4346"/>
  <c r="H30" i="4346"/>
  <c r="H11" i="4346"/>
  <c r="H19" i="4346"/>
  <c r="C25" i="4346"/>
  <c r="H29" i="4346"/>
  <c r="H7" i="4346"/>
  <c r="H28" i="4346"/>
  <c r="B22" i="4346"/>
  <c r="H14" i="4346"/>
  <c r="H27" i="4346"/>
  <c r="C20" i="4346"/>
  <c r="H26" i="4346"/>
  <c r="H17" i="4346"/>
  <c r="H13" i="4346"/>
  <c r="B17" i="4346"/>
  <c r="C18" i="4346" s="1"/>
  <c r="H18" i="4346"/>
  <c r="C16" i="4346"/>
  <c r="H25" i="4346"/>
  <c r="C15" i="4346"/>
  <c r="H24" i="4346"/>
  <c r="C14" i="4346"/>
  <c r="H23" i="4346"/>
  <c r="C13" i="4346"/>
  <c r="O12" i="4346"/>
  <c r="H22" i="4346"/>
  <c r="C12" i="4346"/>
  <c r="O11" i="4346"/>
  <c r="H3" i="4346"/>
  <c r="C11" i="4346"/>
  <c r="O10" i="4346"/>
  <c r="H16" i="4346"/>
  <c r="C10" i="4346"/>
  <c r="H10" i="4346"/>
  <c r="C9" i="4346"/>
  <c r="H15" i="4346"/>
  <c r="C8" i="4346"/>
  <c r="O7" i="4346"/>
  <c r="H6" i="4346"/>
  <c r="C7" i="4346"/>
  <c r="O6" i="4346"/>
  <c r="H2" i="4346"/>
  <c r="B6" i="4346"/>
  <c r="O5" i="4346"/>
  <c r="H9" i="4346"/>
  <c r="B5" i="4346"/>
  <c r="O4" i="4346"/>
  <c r="H4" i="4346"/>
  <c r="O3" i="4346"/>
  <c r="H12" i="4346"/>
  <c r="O2" i="4346"/>
  <c r="H5" i="4346"/>
  <c r="O15" i="4336"/>
  <c r="O16" i="4338"/>
  <c r="O18" i="4322"/>
  <c r="O24" i="4332"/>
  <c r="O18" i="4334"/>
  <c r="O18" i="4344"/>
  <c r="O15" i="4344"/>
  <c r="C17" i="4346" l="1"/>
  <c r="C19" i="4346"/>
  <c r="B21" i="4346"/>
  <c r="O22" i="4342" l="1"/>
  <c r="O16" i="4330"/>
  <c r="O16" i="4328"/>
  <c r="O18" i="4328"/>
  <c r="O16" i="4342"/>
  <c r="O24" i="4330"/>
  <c r="O27" i="4322"/>
  <c r="O19" i="4344"/>
  <c r="O16" i="4344"/>
  <c r="H51" i="4344"/>
  <c r="H50" i="4344"/>
  <c r="H49" i="4344"/>
  <c r="H48" i="4344"/>
  <c r="H47" i="4344"/>
  <c r="H46" i="4344"/>
  <c r="H45" i="4344"/>
  <c r="H44" i="4344"/>
  <c r="H43" i="4344"/>
  <c r="H42" i="4344"/>
  <c r="H41" i="4344"/>
  <c r="H40" i="4344"/>
  <c r="H39" i="4344"/>
  <c r="H38" i="4344"/>
  <c r="H37" i="4344"/>
  <c r="H36" i="4344"/>
  <c r="H35" i="4344"/>
  <c r="H34" i="4344"/>
  <c r="H33" i="4344"/>
  <c r="H32" i="4344"/>
  <c r="H14" i="4344"/>
  <c r="H31" i="4344"/>
  <c r="H12" i="4344"/>
  <c r="H30" i="4344"/>
  <c r="H29" i="4344"/>
  <c r="H11" i="4344"/>
  <c r="H28" i="4344"/>
  <c r="C25" i="4344"/>
  <c r="H27" i="4344"/>
  <c r="H26" i="4344"/>
  <c r="H25" i="4344"/>
  <c r="B22" i="4344"/>
  <c r="H24" i="4344"/>
  <c r="H23" i="4344"/>
  <c r="C20" i="4344"/>
  <c r="H22" i="4344"/>
  <c r="H21" i="4344"/>
  <c r="H20" i="4344"/>
  <c r="B17" i="4344"/>
  <c r="C18" i="4344" s="1"/>
  <c r="H19" i="4344"/>
  <c r="C16" i="4344"/>
  <c r="H18" i="4344"/>
  <c r="C15" i="4344"/>
  <c r="H17" i="4344"/>
  <c r="C14" i="4344"/>
  <c r="H16" i="4344"/>
  <c r="C13" i="4344"/>
  <c r="O12" i="4344"/>
  <c r="H15" i="4344"/>
  <c r="C12" i="4344"/>
  <c r="O11" i="4344"/>
  <c r="H5" i="4344"/>
  <c r="C11" i="4344"/>
  <c r="O10" i="4344"/>
  <c r="H13" i="4344"/>
  <c r="C10" i="4344"/>
  <c r="H8" i="4344"/>
  <c r="C9" i="4344"/>
  <c r="H10" i="4344"/>
  <c r="C8" i="4344"/>
  <c r="O7" i="4344"/>
  <c r="H7" i="4344"/>
  <c r="C7" i="4344"/>
  <c r="O6" i="4344"/>
  <c r="H4" i="4344"/>
  <c r="B6" i="4344"/>
  <c r="O5" i="4344"/>
  <c r="H6" i="4344"/>
  <c r="B5" i="4344"/>
  <c r="O4" i="4344"/>
  <c r="H3" i="4344"/>
  <c r="O3" i="4344"/>
  <c r="H9" i="4344"/>
  <c r="O2" i="4344"/>
  <c r="H2" i="4344"/>
  <c r="C17" i="4344" l="1"/>
  <c r="C19" i="4344"/>
  <c r="B21" i="4344"/>
  <c r="O17" i="4336" l="1"/>
  <c r="O20" i="4342"/>
  <c r="O17" i="4330"/>
  <c r="O20" i="4336"/>
  <c r="O23" i="4338" l="1"/>
  <c r="O22" i="4332"/>
  <c r="O17" i="4338" l="1"/>
  <c r="O24" i="4342"/>
  <c r="O25" i="4332" l="1"/>
  <c r="O19" i="4342"/>
  <c r="O18" i="4330" l="1"/>
  <c r="O23" i="4342"/>
  <c r="O21" i="4342"/>
  <c r="H51" i="4342"/>
  <c r="H50" i="4342"/>
  <c r="H49" i="4342"/>
  <c r="H48" i="4342"/>
  <c r="H47" i="4342"/>
  <c r="H46" i="4342"/>
  <c r="H45" i="4342"/>
  <c r="H44" i="4342"/>
  <c r="H43" i="4342"/>
  <c r="H42" i="4342"/>
  <c r="H41" i="4342"/>
  <c r="H40" i="4342"/>
  <c r="H39" i="4342"/>
  <c r="H38" i="4342"/>
  <c r="H37" i="4342"/>
  <c r="H36" i="4342"/>
  <c r="H35" i="4342"/>
  <c r="H34" i="4342"/>
  <c r="H21" i="4342"/>
  <c r="H28" i="4342"/>
  <c r="H17" i="4342"/>
  <c r="H27" i="4342"/>
  <c r="H9" i="4342"/>
  <c r="H33" i="4342"/>
  <c r="H26" i="4342"/>
  <c r="H12" i="4342"/>
  <c r="H25" i="4342"/>
  <c r="C25" i="4342"/>
  <c r="H24" i="4342"/>
  <c r="H15" i="4342"/>
  <c r="H32" i="4342"/>
  <c r="B22" i="4342"/>
  <c r="H16" i="4342"/>
  <c r="H31" i="4342"/>
  <c r="C20" i="4342"/>
  <c r="H30" i="4342"/>
  <c r="H19" i="4342"/>
  <c r="H13" i="4342"/>
  <c r="B17" i="4342"/>
  <c r="B21" i="4342" s="1"/>
  <c r="H23" i="4342"/>
  <c r="C16" i="4342"/>
  <c r="H29" i="4342"/>
  <c r="C15" i="4342"/>
  <c r="H20" i="4342"/>
  <c r="C14" i="4342"/>
  <c r="H22" i="4342"/>
  <c r="C13" i="4342"/>
  <c r="O12" i="4342"/>
  <c r="H18" i="4342"/>
  <c r="C12" i="4342"/>
  <c r="O11" i="4342"/>
  <c r="H5" i="4342"/>
  <c r="C11" i="4342"/>
  <c r="O10" i="4342"/>
  <c r="H14" i="4342"/>
  <c r="C10" i="4342"/>
  <c r="H10" i="4342"/>
  <c r="C9" i="4342"/>
  <c r="H8" i="4342"/>
  <c r="C8" i="4342"/>
  <c r="O7" i="4342"/>
  <c r="H7" i="4342"/>
  <c r="C7" i="4342"/>
  <c r="O6" i="4342"/>
  <c r="H2" i="4342"/>
  <c r="B6" i="4342"/>
  <c r="O5" i="4342"/>
  <c r="H6" i="4342"/>
  <c r="B5" i="4342"/>
  <c r="O4" i="4342"/>
  <c r="H3" i="4342"/>
  <c r="O3" i="4342"/>
  <c r="H11" i="4342"/>
  <c r="O2" i="4342"/>
  <c r="H4" i="4342"/>
  <c r="O20" i="4324"/>
  <c r="O22" i="4322"/>
  <c r="C18" i="4342" l="1"/>
  <c r="C17" i="4342"/>
  <c r="C19" i="4342"/>
  <c r="O22" i="4330" l="1"/>
  <c r="O18" i="4338"/>
  <c r="O15" i="4340" l="1"/>
  <c r="O19" i="4340"/>
  <c r="H51" i="4340"/>
  <c r="H50" i="4340"/>
  <c r="H49" i="4340"/>
  <c r="H48" i="4340"/>
  <c r="H47" i="4340"/>
  <c r="H46" i="4340"/>
  <c r="H45" i="4340"/>
  <c r="H44" i="4340"/>
  <c r="H43" i="4340"/>
  <c r="H42" i="4340"/>
  <c r="H41" i="4340"/>
  <c r="H40" i="4340"/>
  <c r="H39" i="4340"/>
  <c r="H38" i="4340"/>
  <c r="H37" i="4340"/>
  <c r="H36" i="4340"/>
  <c r="H35" i="4340"/>
  <c r="H34" i="4340"/>
  <c r="H33" i="4340"/>
  <c r="H19" i="4340"/>
  <c r="H18" i="4340"/>
  <c r="H32" i="4340"/>
  <c r="H9" i="4340"/>
  <c r="H31" i="4340"/>
  <c r="H30" i="4340"/>
  <c r="H17" i="4340"/>
  <c r="H29" i="4340"/>
  <c r="C25" i="4340"/>
  <c r="H28" i="4340"/>
  <c r="H16" i="4340"/>
  <c r="H27" i="4340"/>
  <c r="B22" i="4340"/>
  <c r="H26" i="4340"/>
  <c r="H25" i="4340"/>
  <c r="C20" i="4340"/>
  <c r="H24" i="4340"/>
  <c r="H15" i="4340"/>
  <c r="C18" i="4340"/>
  <c r="H13" i="4340"/>
  <c r="B17" i="4340"/>
  <c r="B21" i="4340" s="1"/>
  <c r="H23" i="4340"/>
  <c r="C16" i="4340"/>
  <c r="H22" i="4340"/>
  <c r="C15" i="4340"/>
  <c r="H21" i="4340"/>
  <c r="C14" i="4340"/>
  <c r="H20" i="4340"/>
  <c r="C13" i="4340"/>
  <c r="O12" i="4340"/>
  <c r="H14" i="4340"/>
  <c r="C12" i="4340"/>
  <c r="O11" i="4340"/>
  <c r="H6" i="4340"/>
  <c r="C11" i="4340"/>
  <c r="O10" i="4340"/>
  <c r="H12" i="4340"/>
  <c r="C10" i="4340"/>
  <c r="H11" i="4340"/>
  <c r="C9" i="4340"/>
  <c r="H10" i="4340"/>
  <c r="C8" i="4340"/>
  <c r="O7" i="4340"/>
  <c r="H7" i="4340"/>
  <c r="C7" i="4340"/>
  <c r="O6" i="4340"/>
  <c r="H2" i="4340"/>
  <c r="B6" i="4340"/>
  <c r="O5" i="4340"/>
  <c r="H4" i="4340"/>
  <c r="B5" i="4340"/>
  <c r="O4" i="4340"/>
  <c r="H5" i="4340"/>
  <c r="O3" i="4340"/>
  <c r="H8" i="4340"/>
  <c r="O2" i="4340"/>
  <c r="H3" i="4340"/>
  <c r="O21" i="4336"/>
  <c r="O22" i="4324"/>
  <c r="O23" i="4322"/>
  <c r="C19" i="4340" l="1"/>
  <c r="C17" i="4340"/>
  <c r="O16" i="4332" l="1"/>
  <c r="O15" i="4326"/>
  <c r="O22" i="4338" l="1"/>
  <c r="O20" i="4338"/>
  <c r="H51" i="4338"/>
  <c r="H50" i="4338"/>
  <c r="H49" i="4338"/>
  <c r="H48" i="4338"/>
  <c r="H47" i="4338"/>
  <c r="H46" i="4338"/>
  <c r="H45" i="4338"/>
  <c r="H44" i="4338"/>
  <c r="H43" i="4338"/>
  <c r="H42" i="4338"/>
  <c r="H41" i="4338"/>
  <c r="H40" i="4338"/>
  <c r="H39" i="4338"/>
  <c r="H38" i="4338"/>
  <c r="H37" i="4338"/>
  <c r="H36" i="4338"/>
  <c r="H35" i="4338"/>
  <c r="H34" i="4338"/>
  <c r="H21" i="4338"/>
  <c r="H33" i="4338"/>
  <c r="H17" i="4338"/>
  <c r="H32" i="4338"/>
  <c r="H9" i="4338"/>
  <c r="H31" i="4338"/>
  <c r="H30" i="4338"/>
  <c r="H15" i="4338"/>
  <c r="H29" i="4338"/>
  <c r="C25" i="4338"/>
  <c r="H24" i="4338"/>
  <c r="H16" i="4338"/>
  <c r="H28" i="4338"/>
  <c r="B22" i="4338"/>
  <c r="H14" i="4338"/>
  <c r="H27" i="4338"/>
  <c r="C20" i="4338"/>
  <c r="H26" i="4338"/>
  <c r="H20" i="4338"/>
  <c r="H13" i="4338"/>
  <c r="B17" i="4338"/>
  <c r="C18" i="4338" s="1"/>
  <c r="H19" i="4338"/>
  <c r="C16" i="4338"/>
  <c r="H25" i="4338"/>
  <c r="C15" i="4338"/>
  <c r="H23" i="4338"/>
  <c r="C14" i="4338"/>
  <c r="H22" i="4338"/>
  <c r="C13" i="4338"/>
  <c r="O12" i="4338"/>
  <c r="H18" i="4338"/>
  <c r="C12" i="4338"/>
  <c r="O11" i="4338"/>
  <c r="H4" i="4338"/>
  <c r="C11" i="4338"/>
  <c r="O10" i="4338"/>
  <c r="H12" i="4338"/>
  <c r="C10" i="4338"/>
  <c r="H11" i="4338"/>
  <c r="C9" i="4338"/>
  <c r="H8" i="4338"/>
  <c r="C8" i="4338"/>
  <c r="O7" i="4338"/>
  <c r="H7" i="4338"/>
  <c r="C7" i="4338"/>
  <c r="O6" i="4338"/>
  <c r="H2" i="4338"/>
  <c r="B6" i="4338"/>
  <c r="O5" i="4338"/>
  <c r="H6" i="4338"/>
  <c r="B5" i="4338"/>
  <c r="O4" i="4338"/>
  <c r="H3" i="4338"/>
  <c r="O3" i="4338"/>
  <c r="H10" i="4338"/>
  <c r="O2" i="4338"/>
  <c r="H5" i="4338"/>
  <c r="O19" i="4336"/>
  <c r="O16" i="4336"/>
  <c r="H51" i="4336"/>
  <c r="H50" i="4336"/>
  <c r="H49" i="4336"/>
  <c r="H48" i="4336"/>
  <c r="H47" i="4336"/>
  <c r="H46" i="4336"/>
  <c r="H45" i="4336"/>
  <c r="H44" i="4336"/>
  <c r="H43" i="4336"/>
  <c r="H42" i="4336"/>
  <c r="H41" i="4336"/>
  <c r="H40" i="4336"/>
  <c r="H39" i="4336"/>
  <c r="H38" i="4336"/>
  <c r="H37" i="4336"/>
  <c r="H36" i="4336"/>
  <c r="H35" i="4336"/>
  <c r="H34" i="4336"/>
  <c r="H33" i="4336"/>
  <c r="H32" i="4336"/>
  <c r="H31" i="4336"/>
  <c r="H30" i="4336"/>
  <c r="H10" i="4336"/>
  <c r="H29" i="4336"/>
  <c r="H28" i="4336"/>
  <c r="H14" i="4336"/>
  <c r="H27" i="4336"/>
  <c r="C25" i="4336"/>
  <c r="H26" i="4336"/>
  <c r="H17" i="4336"/>
  <c r="H25" i="4336"/>
  <c r="B22" i="4336"/>
  <c r="H15" i="4336"/>
  <c r="H24" i="4336"/>
  <c r="C20" i="4336"/>
  <c r="H23" i="4336"/>
  <c r="H16" i="4336"/>
  <c r="H13" i="4336"/>
  <c r="B17" i="4336"/>
  <c r="C19" i="4336" s="1"/>
  <c r="H19" i="4336"/>
  <c r="C16" i="4336"/>
  <c r="H22" i="4336"/>
  <c r="C15" i="4336"/>
  <c r="H18" i="4336"/>
  <c r="C14" i="4336"/>
  <c r="H21" i="4336"/>
  <c r="C13" i="4336"/>
  <c r="O12" i="4336"/>
  <c r="H20" i="4336"/>
  <c r="C12" i="4336"/>
  <c r="O11" i="4336"/>
  <c r="H4" i="4336"/>
  <c r="C11" i="4336"/>
  <c r="O10" i="4336"/>
  <c r="H12" i="4336"/>
  <c r="C10" i="4336"/>
  <c r="H11" i="4336"/>
  <c r="C9" i="4336"/>
  <c r="H9" i="4336"/>
  <c r="C8" i="4336"/>
  <c r="O7" i="4336"/>
  <c r="H6" i="4336"/>
  <c r="C7" i="4336"/>
  <c r="O6" i="4336"/>
  <c r="H2" i="4336"/>
  <c r="B6" i="4336"/>
  <c r="O5" i="4336"/>
  <c r="H8" i="4336"/>
  <c r="B5" i="4336"/>
  <c r="O4" i="4336"/>
  <c r="H3" i="4336"/>
  <c r="O3" i="4336"/>
  <c r="H7" i="4336"/>
  <c r="O2" i="4336"/>
  <c r="H5" i="4336"/>
  <c r="O24" i="4324"/>
  <c r="O19" i="4324"/>
  <c r="O24" i="4322"/>
  <c r="O19" i="4322"/>
  <c r="B21" i="4338" l="1"/>
  <c r="C19" i="4338"/>
  <c r="C17" i="4338"/>
  <c r="C17" i="4336"/>
  <c r="B21" i="4336"/>
  <c r="C18" i="4336"/>
  <c r="O18" i="4332" l="1"/>
  <c r="O19" i="4334"/>
  <c r="O17" i="4334"/>
  <c r="H51" i="4334"/>
  <c r="H50" i="4334"/>
  <c r="H49" i="4334"/>
  <c r="H48" i="4334"/>
  <c r="H47" i="4334"/>
  <c r="H46" i="4334"/>
  <c r="H45" i="4334"/>
  <c r="H44" i="4334"/>
  <c r="H43" i="4334"/>
  <c r="H42" i="4334"/>
  <c r="H41" i="4334"/>
  <c r="H40" i="4334"/>
  <c r="H39" i="4334"/>
  <c r="H38" i="4334"/>
  <c r="H37" i="4334"/>
  <c r="H36" i="4334"/>
  <c r="H35" i="4334"/>
  <c r="H34" i="4334"/>
  <c r="H33" i="4334"/>
  <c r="H32" i="4334"/>
  <c r="H31" i="4334"/>
  <c r="H30" i="4334"/>
  <c r="H29" i="4334"/>
  <c r="H28" i="4334"/>
  <c r="H27" i="4334"/>
  <c r="H11" i="4334"/>
  <c r="H26" i="4334"/>
  <c r="C25" i="4334"/>
  <c r="H25" i="4334"/>
  <c r="H24" i="4334"/>
  <c r="H23" i="4334"/>
  <c r="B22" i="4334"/>
  <c r="H22" i="4334"/>
  <c r="H21" i="4334"/>
  <c r="C20" i="4334"/>
  <c r="H20" i="4334"/>
  <c r="H8" i="4334"/>
  <c r="H19" i="4334"/>
  <c r="B17" i="4334"/>
  <c r="B21" i="4334" s="1"/>
  <c r="H18" i="4334"/>
  <c r="C16" i="4334"/>
  <c r="H17" i="4334"/>
  <c r="C15" i="4334"/>
  <c r="H16" i="4334"/>
  <c r="C14" i="4334"/>
  <c r="H15" i="4334"/>
  <c r="C13" i="4334"/>
  <c r="O12" i="4334"/>
  <c r="H14" i="4334"/>
  <c r="C12" i="4334"/>
  <c r="O11" i="4334"/>
  <c r="H5" i="4334"/>
  <c r="C11" i="4334"/>
  <c r="O10" i="4334"/>
  <c r="H13" i="4334"/>
  <c r="C10" i="4334"/>
  <c r="H12" i="4334"/>
  <c r="C9" i="4334"/>
  <c r="H10" i="4334"/>
  <c r="C8" i="4334"/>
  <c r="O7" i="4334"/>
  <c r="H6" i="4334"/>
  <c r="C7" i="4334"/>
  <c r="O6" i="4334"/>
  <c r="H3" i="4334"/>
  <c r="B6" i="4334"/>
  <c r="O5" i="4334"/>
  <c r="H7" i="4334"/>
  <c r="B5" i="4334"/>
  <c r="O4" i="4334"/>
  <c r="H9" i="4334"/>
  <c r="O3" i="4334"/>
  <c r="H4" i="4334"/>
  <c r="O2" i="4334"/>
  <c r="H2" i="4334"/>
  <c r="O15" i="4324"/>
  <c r="O16" i="4322"/>
  <c r="C18" i="4334" l="1"/>
  <c r="C19" i="4334"/>
  <c r="C17" i="4334"/>
  <c r="O20" i="4332" l="1"/>
  <c r="O23" i="4332"/>
  <c r="H51" i="4332"/>
  <c r="H50" i="4332"/>
  <c r="H49" i="4332"/>
  <c r="H48" i="4332"/>
  <c r="H47" i="4332"/>
  <c r="H46" i="4332"/>
  <c r="H45" i="4332"/>
  <c r="H44" i="4332"/>
  <c r="H43" i="4332"/>
  <c r="H42" i="4332"/>
  <c r="H41" i="4332"/>
  <c r="H40" i="4332"/>
  <c r="H39" i="4332"/>
  <c r="H38" i="4332"/>
  <c r="H37" i="4332"/>
  <c r="H36" i="4332"/>
  <c r="H35" i="4332"/>
  <c r="H34" i="4332"/>
  <c r="H18" i="4332"/>
  <c r="H33" i="4332"/>
  <c r="H16" i="4332"/>
  <c r="H32" i="4332"/>
  <c r="H10" i="4332"/>
  <c r="H31" i="4332"/>
  <c r="H30" i="4332"/>
  <c r="H14" i="4332"/>
  <c r="H29" i="4332"/>
  <c r="C25" i="4332"/>
  <c r="H28" i="4332"/>
  <c r="H9" i="4332"/>
  <c r="H27" i="4332"/>
  <c r="B22" i="4332"/>
  <c r="H13" i="4332"/>
  <c r="H26" i="4332"/>
  <c r="C20" i="4332"/>
  <c r="H25" i="4332"/>
  <c r="H24" i="4332"/>
  <c r="H17" i="4332"/>
  <c r="B17" i="4332"/>
  <c r="B21" i="4332" s="1"/>
  <c r="H23" i="4332"/>
  <c r="C16" i="4332"/>
  <c r="H22" i="4332"/>
  <c r="C15" i="4332"/>
  <c r="H21" i="4332"/>
  <c r="C14" i="4332"/>
  <c r="H20" i="4332"/>
  <c r="C13" i="4332"/>
  <c r="O12" i="4332"/>
  <c r="H19" i="4332"/>
  <c r="C12" i="4332"/>
  <c r="O11" i="4332"/>
  <c r="H4" i="4332"/>
  <c r="C11" i="4332"/>
  <c r="O10" i="4332"/>
  <c r="H15" i="4332"/>
  <c r="C10" i="4332"/>
  <c r="H12" i="4332"/>
  <c r="C9" i="4332"/>
  <c r="H8" i="4332"/>
  <c r="C8" i="4332"/>
  <c r="O7" i="4332"/>
  <c r="H6" i="4332"/>
  <c r="C7" i="4332"/>
  <c r="O6" i="4332"/>
  <c r="H2" i="4332"/>
  <c r="B6" i="4332"/>
  <c r="O5" i="4332"/>
  <c r="H7" i="4332"/>
  <c r="B5" i="4332"/>
  <c r="O4" i="4332"/>
  <c r="H3" i="4332"/>
  <c r="O3" i="4332"/>
  <c r="H11" i="4332"/>
  <c r="O2" i="4332"/>
  <c r="H5" i="4332"/>
  <c r="O20" i="4330"/>
  <c r="O23" i="4330"/>
  <c r="H51" i="4330"/>
  <c r="H50" i="4330"/>
  <c r="H49" i="4330"/>
  <c r="H48" i="4330"/>
  <c r="H47" i="4330"/>
  <c r="H46" i="4330"/>
  <c r="H45" i="4330"/>
  <c r="H44" i="4330"/>
  <c r="H43" i="4330"/>
  <c r="H42" i="4330"/>
  <c r="H41" i="4330"/>
  <c r="H40" i="4330"/>
  <c r="H39" i="4330"/>
  <c r="H38" i="4330"/>
  <c r="H37" i="4330"/>
  <c r="H36" i="4330"/>
  <c r="H35" i="4330"/>
  <c r="H34" i="4330"/>
  <c r="H33" i="4330"/>
  <c r="H21" i="4330"/>
  <c r="H16" i="4330"/>
  <c r="H32" i="4330"/>
  <c r="H8" i="4330"/>
  <c r="H27" i="4330"/>
  <c r="H26" i="4330"/>
  <c r="H12" i="4330"/>
  <c r="H20" i="4330"/>
  <c r="C25" i="4330"/>
  <c r="H19" i="4330"/>
  <c r="H13" i="4330"/>
  <c r="H31" i="4330"/>
  <c r="B22" i="4330"/>
  <c r="H14" i="4330"/>
  <c r="H25" i="4330"/>
  <c r="C20" i="4330"/>
  <c r="H30" i="4330"/>
  <c r="H18" i="4330"/>
  <c r="H17" i="4330"/>
  <c r="B17" i="4330"/>
  <c r="B21" i="4330" s="1"/>
  <c r="H29" i="4330"/>
  <c r="C16" i="4330"/>
  <c r="H28" i="4330"/>
  <c r="C15" i="4330"/>
  <c r="H24" i="4330"/>
  <c r="C14" i="4330"/>
  <c r="H23" i="4330"/>
  <c r="C13" i="4330"/>
  <c r="O12" i="4330"/>
  <c r="H22" i="4330"/>
  <c r="C12" i="4330"/>
  <c r="O11" i="4330"/>
  <c r="H5" i="4330"/>
  <c r="C11" i="4330"/>
  <c r="O10" i="4330"/>
  <c r="H15" i="4330"/>
  <c r="C10" i="4330"/>
  <c r="H11" i="4330"/>
  <c r="C9" i="4330"/>
  <c r="H9" i="4330"/>
  <c r="C8" i="4330"/>
  <c r="O7" i="4330"/>
  <c r="H6" i="4330"/>
  <c r="C7" i="4330"/>
  <c r="O6" i="4330"/>
  <c r="H2" i="4330"/>
  <c r="B6" i="4330"/>
  <c r="O5" i="4330"/>
  <c r="H7" i="4330"/>
  <c r="B5" i="4330"/>
  <c r="O4" i="4330"/>
  <c r="H3" i="4330"/>
  <c r="O3" i="4330"/>
  <c r="H10" i="4330"/>
  <c r="O2" i="4330"/>
  <c r="H4" i="4330"/>
  <c r="O25" i="4324"/>
  <c r="O21" i="4324"/>
  <c r="O25" i="4322"/>
  <c r="O21" i="4322"/>
  <c r="C18" i="4332" l="1"/>
  <c r="C17" i="4332"/>
  <c r="C19" i="4332"/>
  <c r="C18" i="4330"/>
  <c r="C17" i="4330"/>
  <c r="C19" i="4330"/>
  <c r="O15" i="4328" l="1"/>
  <c r="O17" i="4328"/>
  <c r="H51" i="4328"/>
  <c r="H50" i="4328"/>
  <c r="H49" i="4328"/>
  <c r="H48" i="4328"/>
  <c r="H47" i="4328"/>
  <c r="H46" i="4328"/>
  <c r="H45" i="4328"/>
  <c r="H44" i="4328"/>
  <c r="H43" i="4328"/>
  <c r="H42" i="4328"/>
  <c r="H41" i="4328"/>
  <c r="H40" i="4328"/>
  <c r="H39" i="4328"/>
  <c r="H38" i="4328"/>
  <c r="H37" i="4328"/>
  <c r="H36" i="4328"/>
  <c r="H35" i="4328"/>
  <c r="H34" i="4328"/>
  <c r="H33" i="4328"/>
  <c r="H32" i="4328"/>
  <c r="H31" i="4328"/>
  <c r="H30" i="4328"/>
  <c r="H7" i="4328"/>
  <c r="H29" i="4328"/>
  <c r="H28" i="4328"/>
  <c r="H12" i="4328"/>
  <c r="H27" i="4328"/>
  <c r="C25" i="4328"/>
  <c r="H26" i="4328"/>
  <c r="H11" i="4328"/>
  <c r="H25" i="4328"/>
  <c r="B22" i="4328"/>
  <c r="H24" i="4328"/>
  <c r="H23" i="4328"/>
  <c r="C20" i="4328"/>
  <c r="H22" i="4328"/>
  <c r="H21" i="4328"/>
  <c r="H20" i="4328"/>
  <c r="B17" i="4328"/>
  <c r="B21" i="4328" s="1"/>
  <c r="H19" i="4328"/>
  <c r="C16" i="4328"/>
  <c r="H18" i="4328"/>
  <c r="C15" i="4328"/>
  <c r="H17" i="4328"/>
  <c r="C14" i="4328"/>
  <c r="H16" i="4328"/>
  <c r="C13" i="4328"/>
  <c r="O12" i="4328"/>
  <c r="H15" i="4328"/>
  <c r="C12" i="4328"/>
  <c r="O11" i="4328"/>
  <c r="H3" i="4328"/>
  <c r="C11" i="4328"/>
  <c r="O10" i="4328"/>
  <c r="H10" i="4328"/>
  <c r="C10" i="4328"/>
  <c r="H14" i="4328"/>
  <c r="C9" i="4328"/>
  <c r="H9" i="4328"/>
  <c r="C8" i="4328"/>
  <c r="O7" i="4328"/>
  <c r="H8" i="4328"/>
  <c r="C7" i="4328"/>
  <c r="O6" i="4328"/>
  <c r="H6" i="4328"/>
  <c r="B6" i="4328"/>
  <c r="O5" i="4328"/>
  <c r="H5" i="4328"/>
  <c r="B5" i="4328"/>
  <c r="O4" i="4328"/>
  <c r="H2" i="4328"/>
  <c r="O3" i="4328"/>
  <c r="H13" i="4328"/>
  <c r="O2" i="4328"/>
  <c r="H4" i="4328"/>
  <c r="O17" i="4326"/>
  <c r="O16" i="4326"/>
  <c r="H51" i="4326"/>
  <c r="H50" i="4326"/>
  <c r="H49" i="4326"/>
  <c r="H48" i="4326"/>
  <c r="H47" i="4326"/>
  <c r="H46" i="4326"/>
  <c r="H45" i="4326"/>
  <c r="H44" i="4326"/>
  <c r="H43" i="4326"/>
  <c r="H42" i="4326"/>
  <c r="H41" i="4326"/>
  <c r="H40" i="4326"/>
  <c r="H39" i="4326"/>
  <c r="H38" i="4326"/>
  <c r="H37" i="4326"/>
  <c r="H36" i="4326"/>
  <c r="H35" i="4326"/>
  <c r="H34" i="4326"/>
  <c r="H33" i="4326"/>
  <c r="H32" i="4326"/>
  <c r="H31" i="4326"/>
  <c r="H30" i="4326"/>
  <c r="H29" i="4326"/>
  <c r="H28" i="4326"/>
  <c r="H27" i="4326"/>
  <c r="H26" i="4326"/>
  <c r="H25" i="4326"/>
  <c r="C25" i="4326"/>
  <c r="H24" i="4326"/>
  <c r="H23" i="4326"/>
  <c r="H22" i="4326"/>
  <c r="B22" i="4326"/>
  <c r="H21" i="4326"/>
  <c r="H20" i="4326"/>
  <c r="C20" i="4326"/>
  <c r="H19" i="4326"/>
  <c r="H18" i="4326"/>
  <c r="C18" i="4326"/>
  <c r="H17" i="4326"/>
  <c r="C17" i="4326"/>
  <c r="B17" i="4326"/>
  <c r="B21" i="4326" s="1"/>
  <c r="H16" i="4326"/>
  <c r="C16" i="4326"/>
  <c r="H15" i="4326"/>
  <c r="C15" i="4326"/>
  <c r="H14" i="4326"/>
  <c r="C14" i="4326"/>
  <c r="H13" i="4326"/>
  <c r="C13" i="4326"/>
  <c r="O12" i="4326"/>
  <c r="H12" i="4326"/>
  <c r="C12" i="4326"/>
  <c r="O11" i="4326"/>
  <c r="H11" i="4326"/>
  <c r="C11" i="4326"/>
  <c r="O10" i="4326"/>
  <c r="H10" i="4326"/>
  <c r="C10" i="4326"/>
  <c r="H9" i="4326"/>
  <c r="C9" i="4326"/>
  <c r="H8" i="4326"/>
  <c r="C8" i="4326"/>
  <c r="O7" i="4326"/>
  <c r="H7" i="4326"/>
  <c r="C7" i="4326"/>
  <c r="O6" i="4326"/>
  <c r="H6" i="4326"/>
  <c r="B6" i="4326"/>
  <c r="O5" i="4326"/>
  <c r="H5" i="4326"/>
  <c r="B5" i="4326"/>
  <c r="O4" i="4326"/>
  <c r="H4" i="4326"/>
  <c r="O3" i="4326"/>
  <c r="H3" i="4326"/>
  <c r="O2" i="4326"/>
  <c r="H2" i="4326"/>
  <c r="O26" i="4322"/>
  <c r="O23" i="4324"/>
  <c r="O16" i="4324"/>
  <c r="H51" i="4324"/>
  <c r="H50" i="4324"/>
  <c r="H49" i="4324"/>
  <c r="H48" i="4324"/>
  <c r="H47" i="4324"/>
  <c r="H29" i="4324"/>
  <c r="H46" i="4324"/>
  <c r="H45" i="4324"/>
  <c r="H44" i="4324"/>
  <c r="H43" i="4324"/>
  <c r="H42" i="4324"/>
  <c r="H41" i="4324"/>
  <c r="H40" i="4324"/>
  <c r="H39" i="4324"/>
  <c r="H38" i="4324"/>
  <c r="H37" i="4324"/>
  <c r="H28" i="4324"/>
  <c r="H36" i="4324"/>
  <c r="H27" i="4324"/>
  <c r="H23" i="4324"/>
  <c r="H16" i="4324"/>
  <c r="H26" i="4324"/>
  <c r="H8" i="4324"/>
  <c r="H35" i="4324"/>
  <c r="H25" i="4324"/>
  <c r="H12" i="4324"/>
  <c r="H22" i="4324"/>
  <c r="C25" i="4324"/>
  <c r="H34" i="4324"/>
  <c r="H14" i="4324"/>
  <c r="H33" i="4324"/>
  <c r="B22" i="4324"/>
  <c r="H15" i="4324"/>
  <c r="H32" i="4324"/>
  <c r="C20" i="4324"/>
  <c r="H31" i="4324"/>
  <c r="H18" i="4324"/>
  <c r="H17" i="4324"/>
  <c r="B17" i="4324"/>
  <c r="B21" i="4324" s="1"/>
  <c r="H20" i="4324"/>
  <c r="C16" i="4324"/>
  <c r="H30" i="4324"/>
  <c r="C15" i="4324"/>
  <c r="H19" i="4324"/>
  <c r="C14" i="4324"/>
  <c r="H24" i="4324"/>
  <c r="C13" i="4324"/>
  <c r="O12" i="4324"/>
  <c r="H21" i="4324"/>
  <c r="C12" i="4324"/>
  <c r="O11" i="4324"/>
  <c r="H5" i="4324"/>
  <c r="C11" i="4324"/>
  <c r="O10" i="4324"/>
  <c r="H13" i="4324"/>
  <c r="C10" i="4324"/>
  <c r="H11" i="4324"/>
  <c r="C9" i="4324"/>
  <c r="H9" i="4324"/>
  <c r="C8" i="4324"/>
  <c r="O7" i="4324"/>
  <c r="H7" i="4324"/>
  <c r="C7" i="4324"/>
  <c r="O6" i="4324"/>
  <c r="H2" i="4324"/>
  <c r="B6" i="4324"/>
  <c r="O5" i="4324"/>
  <c r="H6" i="4324"/>
  <c r="B5" i="4324"/>
  <c r="O4" i="4324"/>
  <c r="H3" i="4324"/>
  <c r="O3" i="4324"/>
  <c r="H10" i="4324"/>
  <c r="O2" i="4324"/>
  <c r="O20" i="4322"/>
  <c r="O15" i="4322"/>
  <c r="H51" i="4322"/>
  <c r="H50" i="4322"/>
  <c r="H49" i="4322"/>
  <c r="H48" i="4322"/>
  <c r="H47" i="4322"/>
  <c r="H32" i="4322"/>
  <c r="H46" i="4322"/>
  <c r="H45" i="4322"/>
  <c r="H44" i="4322"/>
  <c r="H43" i="4322"/>
  <c r="H42" i="4322"/>
  <c r="H41" i="4322"/>
  <c r="H40" i="4322"/>
  <c r="H39" i="4322"/>
  <c r="H38" i="4322"/>
  <c r="H37" i="4322"/>
  <c r="H31" i="4322"/>
  <c r="H36" i="4322"/>
  <c r="H24" i="4322"/>
  <c r="H22" i="4322"/>
  <c r="H17" i="4322"/>
  <c r="H28" i="4322"/>
  <c r="H8" i="4322"/>
  <c r="H30" i="4322"/>
  <c r="H27" i="4322"/>
  <c r="H12" i="4322"/>
  <c r="H23" i="4322"/>
  <c r="C25" i="4322"/>
  <c r="H26" i="4322"/>
  <c r="H14" i="4322"/>
  <c r="H35" i="4322"/>
  <c r="B22" i="4322"/>
  <c r="H15" i="4322"/>
  <c r="H29" i="4322"/>
  <c r="C20" i="4322"/>
  <c r="H34" i="4322"/>
  <c r="H18" i="4322"/>
  <c r="H16" i="4322"/>
  <c r="B17" i="4322"/>
  <c r="B21" i="4322" s="1"/>
  <c r="H21" i="4322"/>
  <c r="C16" i="4322"/>
  <c r="H33" i="4322"/>
  <c r="C15" i="4322"/>
  <c r="H20" i="4322"/>
  <c r="C14" i="4322"/>
  <c r="H25" i="4322"/>
  <c r="C13" i="4322"/>
  <c r="O12" i="4322"/>
  <c r="H19" i="4322"/>
  <c r="C12" i="4322"/>
  <c r="O11" i="4322"/>
  <c r="H4" i="4322"/>
  <c r="C11" i="4322"/>
  <c r="O10" i="4322"/>
  <c r="H13" i="4322"/>
  <c r="C10" i="4322"/>
  <c r="H11" i="4322"/>
  <c r="C9" i="4322"/>
  <c r="H9" i="4322"/>
  <c r="C8" i="4322"/>
  <c r="O7" i="4322"/>
  <c r="H6" i="4322"/>
  <c r="C7" i="4322"/>
  <c r="O6" i="4322"/>
  <c r="H2" i="4322"/>
  <c r="B6" i="4322"/>
  <c r="O5" i="4322"/>
  <c r="H7" i="4322"/>
  <c r="B5" i="4322"/>
  <c r="O4" i="4322"/>
  <c r="H3" i="4322"/>
  <c r="O3" i="4322"/>
  <c r="H10" i="4322"/>
  <c r="O2" i="4322"/>
  <c r="H5" i="4322"/>
  <c r="C19" i="4326" l="1"/>
  <c r="C18" i="4328"/>
  <c r="C17" i="4328"/>
  <c r="C19" i="4328"/>
  <c r="C18" i="4324"/>
  <c r="C17" i="4324"/>
  <c r="C19" i="4324"/>
  <c r="C17" i="4322"/>
  <c r="C18" i="4322"/>
  <c r="C19" i="4322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<sst xmlns="http://schemas.openxmlformats.org/spreadsheetml/2006/main" count="3627" uniqueCount="266">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</sst>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A-4FDC-AAB9-6254A5C1F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0-4233-AF3A-F3A1C3A88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0-4A06-8D24-33D1F1F69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7-4FF5-AB78-58C8729D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C-4EF7-B697-7D81ABD06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7-404B-9118-DDC93306C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B-40AA-B3A1-1A95A5A42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C5B-B2A8-D799F6091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5E-4C25-A835-9C34C31F5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E-4B42-B6A3-A0C59A33E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83-4ED0-B902-0FD305767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6D-4394-81E0-25A1F18CC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71-4940-82D9-DD55F92F9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A-4A0F-8C00-A135937FC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6-4A9E-B7CB-5B19F9D8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C1-4009-858B-2856EDA54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FB-4C11-9970-21DC4CC7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8-4DCD-8929-7619802F1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B-4108-84DD-7BFF184D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F-4726-B1EF-14353172D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B-4F93-9624-883812D28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A-4A18-ACC1-A92F88D3E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C-49C4-BFB2-B57801C7D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1-4FEB-9118-16ECCDD78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8-45F9-B8CC-9D05D6963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5-4698-9DAB-F593A675A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4-4417-B111-15DDF9CBD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B-4980-84D9-DED1FA8C0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3"/>
      <c r="C1" s="144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5">
        <v>0</v>
      </c>
      <c r="C2" s="146"/>
      <c r="E2" s="64" t="s">
        <v>67</v>
      </c>
      <c r="F2" s="28" t="s">
        <v>21</v>
      </c>
      <c r="G2" s="14">
        <v>0</v>
      </c>
      <c r="H2" s="140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47">
        <v>0</v>
      </c>
      <c r="C3" s="148"/>
      <c r="E3" s="65" t="s">
        <v>68</v>
      </c>
      <c r="F3" s="29" t="s">
        <v>22</v>
      </c>
      <c r="G3" s="15">
        <v>0</v>
      </c>
      <c r="H3" s="141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49">
        <v>0</v>
      </c>
      <c r="C4" s="150"/>
      <c r="E4" s="65" t="s">
        <v>69</v>
      </c>
      <c r="F4" s="29" t="s">
        <v>23</v>
      </c>
      <c r="G4" s="15">
        <v>0</v>
      </c>
      <c r="H4" s="141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1">
        <f>IF(B$2=0,0,B$4/B$2)</f>
        <v>0</v>
      </c>
      <c r="C5" s="152"/>
      <c r="E5" s="65" t="s">
        <v>70</v>
      </c>
      <c r="F5" s="29" t="s">
        <v>24</v>
      </c>
      <c r="G5" s="15">
        <v>0</v>
      </c>
      <c r="H5" s="141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7">
        <f>IF(B$2=0,0,(B$7*1+B$8*2+B$9*3)/B$2)</f>
        <v>0</v>
      </c>
      <c r="C6" s="158"/>
      <c r="E6" s="65" t="s">
        <v>71</v>
      </c>
      <c r="F6" s="29" t="s">
        <v>25</v>
      </c>
      <c r="G6" s="15">
        <v>0</v>
      </c>
      <c r="H6" s="141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41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41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41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41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41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41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41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41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41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41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41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41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41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41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41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41">
        <f t="shared" si="0"/>
        <v>0</v>
      </c>
      <c r="I22" s="100"/>
    </row>
    <row r="23" spans="1:9" x14ac:dyDescent="0.4">
      <c r="A23" s="96" t="s">
        <v>158</v>
      </c>
      <c r="B23" s="155">
        <v>0</v>
      </c>
      <c r="C23" s="156"/>
      <c r="E23" s="65" t="s">
        <v>88</v>
      </c>
      <c r="F23" s="29" t="s">
        <v>41</v>
      </c>
      <c r="G23" s="15">
        <v>0</v>
      </c>
      <c r="H23" s="141">
        <f t="shared" si="0"/>
        <v>0</v>
      </c>
      <c r="I23" s="100"/>
    </row>
    <row r="24" spans="1:9" x14ac:dyDescent="0.4">
      <c r="A24" s="60" t="s">
        <v>199</v>
      </c>
      <c r="B24" s="153">
        <v>0</v>
      </c>
      <c r="C24" s="154"/>
      <c r="E24" s="65" t="s">
        <v>89</v>
      </c>
      <c r="F24" s="29" t="s">
        <v>42</v>
      </c>
      <c r="G24" s="15">
        <v>0</v>
      </c>
      <c r="H24" s="141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41">
        <f t="shared" si="0"/>
        <v>0</v>
      </c>
      <c r="I25" s="100"/>
    </row>
    <row r="26" spans="1:9" x14ac:dyDescent="0.4">
      <c r="A26" s="22" t="s">
        <v>126</v>
      </c>
      <c r="B26" s="145">
        <v>0</v>
      </c>
      <c r="C26" s="146"/>
      <c r="E26" s="65" t="s">
        <v>91</v>
      </c>
      <c r="F26" s="29" t="s">
        <v>44</v>
      </c>
      <c r="G26" s="15">
        <v>0</v>
      </c>
      <c r="H26" s="141">
        <f t="shared" si="0"/>
        <v>0</v>
      </c>
      <c r="I26" s="100"/>
    </row>
    <row r="27" spans="1:9" x14ac:dyDescent="0.4">
      <c r="A27" s="25" t="s">
        <v>127</v>
      </c>
      <c r="B27" s="159">
        <v>0</v>
      </c>
      <c r="C27" s="160"/>
      <c r="E27" s="65" t="s">
        <v>92</v>
      </c>
      <c r="F27" s="29" t="s">
        <v>45</v>
      </c>
      <c r="G27" s="15">
        <v>0</v>
      </c>
      <c r="H27" s="141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41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41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41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41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41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41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41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41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41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41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41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41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41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41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41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41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41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41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41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41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41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41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41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2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259</v>
      </c>
      <c r="B63" s="33">
        <v>43516.112210648149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260</v>
      </c>
      <c r="B64" s="33">
        <v>43517.085462962961</v>
      </c>
      <c r="C64" s="32" t="s">
        <v>140</v>
      </c>
      <c r="D64" s="32" t="s">
        <v>141</v>
      </c>
      <c r="E64" s="32" t="s">
        <v>142</v>
      </c>
    </row>
    <row r="65" spans="1:9" x14ac:dyDescent="0.4">
      <c r="A65" s="32" t="s">
        <v>261</v>
      </c>
      <c r="B65" s="33">
        <v>43518.086493055554</v>
      </c>
      <c r="C65" s="32" t="s">
        <v>140</v>
      </c>
      <c r="D65" s="32" t="s">
        <v>141</v>
      </c>
      <c r="E65" s="32" t="s">
        <v>142</v>
      </c>
      <c r="F65" s="32" t="s">
        <v>143</v>
      </c>
      <c r="G65" s="32" t="s">
        <v>144</v>
      </c>
      <c r="H65" s="32" t="s">
        <v>145</v>
      </c>
      <c r="I65" s="32" t="s">
        <v>146</v>
      </c>
    </row>
    <row r="66" spans="1:9" x14ac:dyDescent="0.4">
      <c r="A66" s="32" t="s">
        <v>262</v>
      </c>
      <c r="B66" s="33">
        <v>43519.136712962965</v>
      </c>
      <c r="C66" s="32" t="s">
        <v>140</v>
      </c>
      <c r="D66" s="32" t="s">
        <v>141</v>
      </c>
      <c r="E66" s="32" t="s">
        <v>142</v>
      </c>
      <c r="F66" s="32" t="s">
        <v>143</v>
      </c>
      <c r="G66" s="32" t="s">
        <v>144</v>
      </c>
      <c r="H66" s="32" t="s">
        <v>145</v>
      </c>
    </row>
    <row r="67" spans="1:9" x14ac:dyDescent="0.4">
      <c r="A67" s="32" t="s">
        <v>263</v>
      </c>
      <c r="B67" s="33">
        <v>43519.991956018515</v>
      </c>
      <c r="C67" s="32" t="s">
        <v>140</v>
      </c>
      <c r="D67" s="32" t="s">
        <v>141</v>
      </c>
    </row>
    <row r="68" spans="1:9" x14ac:dyDescent="0.4">
      <c r="A68" s="32" t="s">
        <v>264</v>
      </c>
      <c r="B68" s="33">
        <v>43522.000497685185</v>
      </c>
      <c r="C68" s="32" t="s">
        <v>140</v>
      </c>
      <c r="D68" s="32" t="s">
        <v>141</v>
      </c>
      <c r="E68" s="32" t="s">
        <v>142</v>
      </c>
    </row>
    <row r="69" spans="1:9" x14ac:dyDescent="0.4">
      <c r="A69" s="32" t="s">
        <v>265</v>
      </c>
      <c r="B69" s="33">
        <v>43523.108391203707</v>
      </c>
      <c r="C69" s="32" t="s">
        <v>140</v>
      </c>
      <c r="D69" s="32" t="s">
        <v>141</v>
      </c>
      <c r="E69" s="32" t="s">
        <v>142</v>
      </c>
      <c r="F69" s="32" t="s">
        <v>143</v>
      </c>
      <c r="G69" s="32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5" t="s">
        <v>6</v>
      </c>
      <c r="C1" s="166"/>
      <c r="D1" s="165" t="s">
        <v>7</v>
      </c>
      <c r="E1" s="166"/>
      <c r="F1" s="165" t="s">
        <v>16</v>
      </c>
      <c r="G1" s="166"/>
      <c r="H1" s="165" t="s">
        <v>15</v>
      </c>
      <c r="I1" s="166"/>
      <c r="J1" s="165" t="s">
        <v>246</v>
      </c>
      <c r="K1" s="166"/>
      <c r="L1" s="165" t="s">
        <v>195</v>
      </c>
      <c r="M1" s="166"/>
      <c r="N1" s="165" t="s">
        <v>196</v>
      </c>
      <c r="O1" s="166"/>
      <c r="P1" s="165" t="s">
        <v>5</v>
      </c>
      <c r="Q1" s="166"/>
      <c r="R1" s="165" t="s">
        <v>17</v>
      </c>
      <c r="S1" s="166"/>
      <c r="T1" s="165" t="s">
        <v>18</v>
      </c>
      <c r="U1" s="166"/>
      <c r="V1" s="165" t="s">
        <v>156</v>
      </c>
      <c r="W1" s="166"/>
      <c r="X1" s="165" t="s">
        <v>241</v>
      </c>
      <c r="Y1" s="166"/>
      <c r="Z1" s="165" t="s">
        <v>129</v>
      </c>
      <c r="AA1" s="166"/>
      <c r="AB1" s="165" t="s">
        <v>124</v>
      </c>
      <c r="AC1" s="166"/>
      <c r="AD1" s="165" t="s">
        <v>132</v>
      </c>
      <c r="AE1" s="166"/>
      <c r="AF1" s="165" t="s">
        <v>197</v>
      </c>
      <c r="AG1" s="166"/>
      <c r="AH1" s="165" t="s">
        <v>160</v>
      </c>
      <c r="AI1" s="166"/>
      <c r="AJ1" s="165" t="s">
        <v>198</v>
      </c>
      <c r="AK1" s="166"/>
      <c r="AL1" s="165" t="s">
        <v>200</v>
      </c>
      <c r="AM1" s="166"/>
      <c r="AN1" s="165" t="s">
        <v>247</v>
      </c>
      <c r="AO1" s="166"/>
    </row>
    <row r="2" spans="1:41" x14ac:dyDescent="0.4">
      <c r="A2" s="74" t="s">
        <v>245</v>
      </c>
      <c r="B2" s="163"/>
      <c r="C2" s="164"/>
      <c r="D2" s="163"/>
      <c r="E2" s="164"/>
      <c r="F2" s="161">
        <v>0.98958538314843147</v>
      </c>
      <c r="G2" s="162"/>
      <c r="H2" s="161">
        <v>0.95380429845991133</v>
      </c>
      <c r="I2" s="162"/>
      <c r="J2" s="161">
        <v>0.98713195971000567</v>
      </c>
      <c r="K2" s="162"/>
      <c r="L2" s="161">
        <v>0.95399667438912072</v>
      </c>
      <c r="M2" s="162"/>
      <c r="N2" s="161">
        <v>0.87315585199931134</v>
      </c>
      <c r="O2" s="162"/>
      <c r="P2" s="161">
        <v>0.51166694345448704</v>
      </c>
      <c r="Q2" s="162"/>
      <c r="R2" s="161">
        <v>1.5216394420860329E-2</v>
      </c>
      <c r="S2" s="162"/>
      <c r="T2" s="161">
        <v>0.94798337750363881</v>
      </c>
      <c r="U2" s="162"/>
      <c r="V2" s="161">
        <v>0.98095000995696047</v>
      </c>
      <c r="W2" s="162"/>
      <c r="X2" s="161">
        <v>0.49827481207411578</v>
      </c>
      <c r="Y2" s="162"/>
      <c r="Z2" s="161">
        <v>0.73525354530875719</v>
      </c>
      <c r="AA2" s="162"/>
      <c r="AB2" s="161">
        <v>-0.48377428268283323</v>
      </c>
      <c r="AC2" s="162"/>
      <c r="AD2" s="161">
        <v>0.85955747233440749</v>
      </c>
      <c r="AE2" s="162"/>
      <c r="AF2" s="161">
        <v>0.57279582140055951</v>
      </c>
      <c r="AG2" s="162"/>
      <c r="AH2" s="161">
        <v>8.7330372452855909E-2</v>
      </c>
      <c r="AI2" s="162"/>
      <c r="AJ2" s="161">
        <v>0.74287790225753092</v>
      </c>
      <c r="AK2" s="162"/>
      <c r="AL2" s="161">
        <v>0.85413357470287621</v>
      </c>
      <c r="AM2" s="162"/>
      <c r="AN2" s="161">
        <v>0.13914947854333359</v>
      </c>
      <c r="AO2" s="162"/>
    </row>
    <row r="3" spans="1:41" x14ac:dyDescent="0.4">
      <c r="A3" s="76">
        <v>1</v>
      </c>
      <c r="B3" s="77" t="s">
        <v>133</v>
      </c>
      <c r="C3" s="78">
        <v>1888.9999999999993</v>
      </c>
      <c r="D3" s="79" t="s">
        <v>194</v>
      </c>
      <c r="E3" s="102">
        <v>7.833333333333333</v>
      </c>
      <c r="F3" s="79" t="s">
        <v>133</v>
      </c>
      <c r="G3" s="80">
        <v>1.7470817120622568</v>
      </c>
      <c r="H3" s="79" t="s">
        <v>194</v>
      </c>
      <c r="I3" s="81">
        <v>0.5</v>
      </c>
      <c r="J3" s="79" t="s">
        <v>133</v>
      </c>
      <c r="K3" s="81">
        <v>0.19844357976653695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0.35483870967741937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267.8</v>
      </c>
      <c r="D4" s="89" t="s">
        <v>133</v>
      </c>
      <c r="E4" s="103">
        <v>7.3501945525291799</v>
      </c>
      <c r="F4" s="89" t="s">
        <v>194</v>
      </c>
      <c r="G4" s="90">
        <v>1.8333333333333333</v>
      </c>
      <c r="H4" s="89" t="s">
        <v>133</v>
      </c>
      <c r="I4" s="91">
        <v>0.45136186770428016</v>
      </c>
      <c r="J4" s="89" t="s">
        <v>167</v>
      </c>
      <c r="K4" s="91">
        <v>0.25</v>
      </c>
      <c r="L4" s="89" t="s">
        <v>133</v>
      </c>
      <c r="M4" s="92">
        <v>0.35714285714285715</v>
      </c>
      <c r="N4" s="89" t="s">
        <v>133</v>
      </c>
      <c r="O4" s="92">
        <v>0.14028776978417265</v>
      </c>
      <c r="P4" s="89" t="s">
        <v>138</v>
      </c>
      <c r="Q4" s="93">
        <v>11054.794520547945</v>
      </c>
      <c r="R4" s="89" t="s">
        <v>157</v>
      </c>
      <c r="S4" s="93">
        <v>-8745.2830188679254</v>
      </c>
      <c r="T4" s="89" t="s">
        <v>133</v>
      </c>
      <c r="U4" s="91">
        <v>9.727626459143969E-2</v>
      </c>
      <c r="V4" s="89" t="s">
        <v>133</v>
      </c>
      <c r="W4" s="91">
        <v>0.1867704280155642</v>
      </c>
      <c r="X4" s="89" t="s">
        <v>133</v>
      </c>
      <c r="Y4" s="91">
        <v>0.10116731517509728</v>
      </c>
      <c r="Z4" s="89" t="s">
        <v>194</v>
      </c>
      <c r="AA4" s="92">
        <v>0.42</v>
      </c>
      <c r="AB4" s="89" t="s">
        <v>135</v>
      </c>
      <c r="AC4" s="92">
        <v>0.29661016949152541</v>
      </c>
      <c r="AD4" s="89" t="s">
        <v>133</v>
      </c>
      <c r="AE4" s="92">
        <v>0.65486725663716816</v>
      </c>
      <c r="AF4" s="89" t="s">
        <v>194</v>
      </c>
      <c r="AG4" s="92">
        <v>0.5</v>
      </c>
      <c r="AH4" s="89" t="s">
        <v>136</v>
      </c>
      <c r="AI4" s="92">
        <v>0.47826086956521741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201.39999999999984</v>
      </c>
      <c r="D5" s="89" t="s">
        <v>135</v>
      </c>
      <c r="E5" s="103">
        <v>4.12</v>
      </c>
      <c r="F5" s="89" t="s">
        <v>135</v>
      </c>
      <c r="G5" s="90">
        <v>1.9230769230769231</v>
      </c>
      <c r="H5" s="89" t="s">
        <v>137</v>
      </c>
      <c r="I5" s="91">
        <v>0.37398373983739835</v>
      </c>
      <c r="J5" s="89" t="s">
        <v>135</v>
      </c>
      <c r="K5" s="91">
        <v>0.26153846153846155</v>
      </c>
      <c r="L5" s="89" t="s">
        <v>135</v>
      </c>
      <c r="M5" s="92">
        <v>0.34388185654008441</v>
      </c>
      <c r="N5" s="89" t="s">
        <v>135</v>
      </c>
      <c r="O5" s="92">
        <v>0.15400843881856541</v>
      </c>
      <c r="P5" s="89" t="s">
        <v>134</v>
      </c>
      <c r="Q5" s="93">
        <v>10792.708333333334</v>
      </c>
      <c r="R5" s="89" t="s">
        <v>135</v>
      </c>
      <c r="S5" s="93">
        <v>-8854.7945205479446</v>
      </c>
      <c r="T5" s="89" t="s">
        <v>135</v>
      </c>
      <c r="U5" s="91">
        <v>0.1076923076923077</v>
      </c>
      <c r="V5" s="89" t="s">
        <v>137</v>
      </c>
      <c r="W5" s="91">
        <v>0.17073170731707318</v>
      </c>
      <c r="X5" s="89" t="s">
        <v>139</v>
      </c>
      <c r="Y5" s="91">
        <v>9.1603053435114504E-2</v>
      </c>
      <c r="Z5" s="89" t="s">
        <v>138</v>
      </c>
      <c r="AA5" s="92">
        <v>0.30851063829787234</v>
      </c>
      <c r="AB5" s="89" t="s">
        <v>136</v>
      </c>
      <c r="AC5" s="92">
        <v>0.28333333333333333</v>
      </c>
      <c r="AD5" s="89" t="s">
        <v>194</v>
      </c>
      <c r="AE5" s="92">
        <v>0.61904761904761907</v>
      </c>
      <c r="AF5" s="89" t="s">
        <v>133</v>
      </c>
      <c r="AG5" s="92">
        <v>0.49196141479099681</v>
      </c>
      <c r="AH5" s="89" t="s">
        <v>134</v>
      </c>
      <c r="AI5" s="92">
        <v>0.4548611111111111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1.6373983739837386</v>
      </c>
      <c r="F6" s="89" t="s">
        <v>137</v>
      </c>
      <c r="G6" s="90">
        <v>1.9268292682926829</v>
      </c>
      <c r="H6" s="89" t="s">
        <v>135</v>
      </c>
      <c r="I6" s="91">
        <v>0.33846153846153848</v>
      </c>
      <c r="J6" s="89" t="s">
        <v>137</v>
      </c>
      <c r="K6" s="91">
        <v>0.30081300813008133</v>
      </c>
      <c r="L6" s="89" t="s">
        <v>161</v>
      </c>
      <c r="M6" s="92">
        <v>0.30104257167680276</v>
      </c>
      <c r="N6" s="89" t="s">
        <v>137</v>
      </c>
      <c r="O6" s="92">
        <v>0.16059957173447537</v>
      </c>
      <c r="P6" s="89" t="s">
        <v>139</v>
      </c>
      <c r="Q6" s="93">
        <v>10578.125</v>
      </c>
      <c r="R6" s="89" t="s">
        <v>138</v>
      </c>
      <c r="S6" s="93">
        <v>-8859.5744680851058</v>
      </c>
      <c r="T6" s="89" t="s">
        <v>137</v>
      </c>
      <c r="U6" s="91">
        <v>0.11382113821138211</v>
      </c>
      <c r="V6" s="89" t="s">
        <v>135</v>
      </c>
      <c r="W6" s="91">
        <v>0.16923076923076924</v>
      </c>
      <c r="X6" s="89" t="s">
        <v>138</v>
      </c>
      <c r="Y6" s="91">
        <v>9.0909090909090912E-2</v>
      </c>
      <c r="Z6" s="89" t="s">
        <v>133</v>
      </c>
      <c r="AA6" s="92">
        <v>0.30335570469798656</v>
      </c>
      <c r="AB6" s="89" t="s">
        <v>250</v>
      </c>
      <c r="AC6" s="92">
        <v>0.27272727272727271</v>
      </c>
      <c r="AD6" s="89" t="s">
        <v>139</v>
      </c>
      <c r="AE6" s="92">
        <v>0.58445945945945943</v>
      </c>
      <c r="AF6" s="89" t="s">
        <v>135</v>
      </c>
      <c r="AG6" s="92">
        <v>0.42857142857142855</v>
      </c>
      <c r="AH6" s="89" t="s">
        <v>138</v>
      </c>
      <c r="AI6" s="92">
        <v>0.45205479452054792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161</v>
      </c>
      <c r="C7" s="88">
        <v>-7.9999999999999343</v>
      </c>
      <c r="D7" s="89" t="s">
        <v>161</v>
      </c>
      <c r="E7" s="103">
        <v>-8.8593576965669257E-3</v>
      </c>
      <c r="F7" s="89" t="s">
        <v>161</v>
      </c>
      <c r="G7" s="90">
        <v>2</v>
      </c>
      <c r="H7" s="89" t="s">
        <v>138</v>
      </c>
      <c r="I7" s="91">
        <v>0.33333333333333331</v>
      </c>
      <c r="J7" s="89" t="s">
        <v>161</v>
      </c>
      <c r="K7" s="91">
        <v>0.33333333333333331</v>
      </c>
      <c r="L7" s="89" t="s">
        <v>137</v>
      </c>
      <c r="M7" s="92">
        <v>0.29871520342612418</v>
      </c>
      <c r="N7" s="89" t="s">
        <v>167</v>
      </c>
      <c r="O7" s="92">
        <v>0.16666666666666666</v>
      </c>
      <c r="P7" s="89" t="s">
        <v>137</v>
      </c>
      <c r="Q7" s="93">
        <v>10381.362007168458</v>
      </c>
      <c r="R7" s="89" t="s">
        <v>137</v>
      </c>
      <c r="S7" s="93">
        <v>-9180.6666666666661</v>
      </c>
      <c r="T7" s="89" t="s">
        <v>161</v>
      </c>
      <c r="U7" s="91">
        <v>0.15171650055370986</v>
      </c>
      <c r="V7" s="89" t="s">
        <v>194</v>
      </c>
      <c r="W7" s="91">
        <v>0.16666666666666666</v>
      </c>
      <c r="X7" s="89" t="s">
        <v>137</v>
      </c>
      <c r="Y7" s="91">
        <v>8.943089430894309E-2</v>
      </c>
      <c r="Z7" s="89" t="s">
        <v>139</v>
      </c>
      <c r="AA7" s="92">
        <v>0.30234933605720121</v>
      </c>
      <c r="AB7" s="89" t="s">
        <v>161</v>
      </c>
      <c r="AC7" s="92">
        <v>0.21785063752276868</v>
      </c>
      <c r="AD7" s="89" t="s">
        <v>161</v>
      </c>
      <c r="AE7" s="92">
        <v>0.5837595907928389</v>
      </c>
      <c r="AF7" s="89" t="s">
        <v>161</v>
      </c>
      <c r="AG7" s="92">
        <v>0.40050167224080269</v>
      </c>
      <c r="AH7" s="89" t="s">
        <v>139</v>
      </c>
      <c r="AI7" s="92">
        <v>0.4375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138</v>
      </c>
      <c r="C8" s="88">
        <v>-9.3999999999999773</v>
      </c>
      <c r="D8" s="89" t="s">
        <v>138</v>
      </c>
      <c r="E8" s="103">
        <v>-0.28484848484848418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0.28346456692913385</v>
      </c>
      <c r="N8" s="89" t="s">
        <v>161</v>
      </c>
      <c r="O8" s="92">
        <v>0.17043150883289893</v>
      </c>
      <c r="P8" s="89" t="s">
        <v>161</v>
      </c>
      <c r="Q8" s="93">
        <v>10092.544492544492</v>
      </c>
      <c r="R8" s="89" t="s">
        <v>250</v>
      </c>
      <c r="S8" s="93">
        <v>-9190.9090909090901</v>
      </c>
      <c r="T8" s="89" t="s">
        <v>194</v>
      </c>
      <c r="U8" s="91">
        <v>0.16666666666666666</v>
      </c>
      <c r="V8" s="89" t="s">
        <v>161</v>
      </c>
      <c r="W8" s="91">
        <v>0.15171650055370986</v>
      </c>
      <c r="X8" s="89" t="s">
        <v>250</v>
      </c>
      <c r="Y8" s="91">
        <v>8.3333333333333329E-2</v>
      </c>
      <c r="Z8" s="89" t="s">
        <v>137</v>
      </c>
      <c r="AA8" s="92">
        <v>0.29702970297029702</v>
      </c>
      <c r="AB8" s="89" t="s">
        <v>137</v>
      </c>
      <c r="AC8" s="92">
        <v>0.21534653465346534</v>
      </c>
      <c r="AD8" s="89" t="s">
        <v>135</v>
      </c>
      <c r="AE8" s="92">
        <v>0.58181818181818179</v>
      </c>
      <c r="AF8" s="89" t="s">
        <v>139</v>
      </c>
      <c r="AG8" s="92">
        <v>0.39226519337016574</v>
      </c>
      <c r="AH8" s="89" t="s">
        <v>137</v>
      </c>
      <c r="AI8" s="92">
        <v>0.43727598566308246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139</v>
      </c>
      <c r="E9" s="103">
        <v>-3.5213740458015259</v>
      </c>
      <c r="F9" s="89" t="s">
        <v>138</v>
      </c>
      <c r="G9" s="90">
        <v>2.0606060606060606</v>
      </c>
      <c r="H9" s="89" t="s">
        <v>134</v>
      </c>
      <c r="I9" s="91">
        <v>0.28873239436619719</v>
      </c>
      <c r="J9" s="89" t="s">
        <v>138</v>
      </c>
      <c r="K9" s="91">
        <v>0.39393939393939392</v>
      </c>
      <c r="L9" s="89" t="s">
        <v>136</v>
      </c>
      <c r="M9" s="92">
        <v>0.27878787878787881</v>
      </c>
      <c r="N9" s="89" t="s">
        <v>138</v>
      </c>
      <c r="O9" s="92">
        <v>0.17407407407407408</v>
      </c>
      <c r="P9" s="89" t="s">
        <v>133</v>
      </c>
      <c r="Q9" s="93">
        <v>9923.1654676258986</v>
      </c>
      <c r="R9" s="89" t="s">
        <v>133</v>
      </c>
      <c r="S9" s="93">
        <v>-9277.6556776556772</v>
      </c>
      <c r="T9" s="89" t="s">
        <v>139</v>
      </c>
      <c r="U9" s="91">
        <v>0.17557251908396945</v>
      </c>
      <c r="V9" s="89" t="s">
        <v>138</v>
      </c>
      <c r="W9" s="91">
        <v>0.15151515151515152</v>
      </c>
      <c r="X9" s="89" t="s">
        <v>161</v>
      </c>
      <c r="Y9" s="91">
        <v>7.9734219269102985E-2</v>
      </c>
      <c r="Z9" s="89" t="s">
        <v>134</v>
      </c>
      <c r="AA9" s="92">
        <v>0.28978622327790976</v>
      </c>
      <c r="AB9" s="89" t="s">
        <v>138</v>
      </c>
      <c r="AC9" s="92">
        <v>0.21276595744680851</v>
      </c>
      <c r="AD9" s="89" t="s">
        <v>134</v>
      </c>
      <c r="AE9" s="92">
        <v>0.57786885245901642</v>
      </c>
      <c r="AF9" s="89" t="s">
        <v>134</v>
      </c>
      <c r="AG9" s="92">
        <v>0.39189189189189189</v>
      </c>
      <c r="AH9" s="89" t="s">
        <v>135</v>
      </c>
      <c r="AI9" s="92">
        <v>0.42944785276073622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134</v>
      </c>
      <c r="E10" s="103">
        <v>-3.7922535211267596</v>
      </c>
      <c r="F10" s="89" t="s">
        <v>134</v>
      </c>
      <c r="G10" s="90">
        <v>2.1056338028169015</v>
      </c>
      <c r="H10" s="89" t="s">
        <v>167</v>
      </c>
      <c r="I10" s="91">
        <v>0.25</v>
      </c>
      <c r="J10" s="89" t="s">
        <v>134</v>
      </c>
      <c r="K10" s="91">
        <v>0.39436619718309857</v>
      </c>
      <c r="L10" s="89" t="s">
        <v>138</v>
      </c>
      <c r="M10" s="92">
        <v>0.27037037037037037</v>
      </c>
      <c r="N10" s="89" t="s">
        <v>157</v>
      </c>
      <c r="O10" s="92">
        <v>0.18996415770609318</v>
      </c>
      <c r="P10" s="89" t="s">
        <v>135</v>
      </c>
      <c r="Q10" s="93">
        <v>9707.3619631901838</v>
      </c>
      <c r="R10" s="89" t="s">
        <v>161</v>
      </c>
      <c r="S10" s="93">
        <v>-9359.0484282073066</v>
      </c>
      <c r="T10" s="89" t="s">
        <v>138</v>
      </c>
      <c r="U10" s="91">
        <v>0.18181818181818182</v>
      </c>
      <c r="V10" s="89" t="s">
        <v>139</v>
      </c>
      <c r="W10" s="91">
        <v>0.14503816793893129</v>
      </c>
      <c r="X10" s="89" t="s">
        <v>134</v>
      </c>
      <c r="Y10" s="91">
        <v>7.746478873239436E-2</v>
      </c>
      <c r="Z10" s="89" t="s">
        <v>161</v>
      </c>
      <c r="AA10" s="92">
        <v>0.2848816029143898</v>
      </c>
      <c r="AB10" s="89" t="s">
        <v>133</v>
      </c>
      <c r="AC10" s="92">
        <v>0.20872483221476509</v>
      </c>
      <c r="AD10" s="89" t="s">
        <v>137</v>
      </c>
      <c r="AE10" s="92">
        <v>0.55833333333333335</v>
      </c>
      <c r="AF10" s="89" t="s">
        <v>137</v>
      </c>
      <c r="AG10" s="92">
        <v>0.37931034482758619</v>
      </c>
      <c r="AH10" s="89" t="s">
        <v>161</v>
      </c>
      <c r="AI10" s="92">
        <v>0.42279942279942279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167</v>
      </c>
      <c r="E11" s="103">
        <v>-3.875</v>
      </c>
      <c r="F11" s="89" t="s">
        <v>139</v>
      </c>
      <c r="G11" s="90">
        <v>2.1603053435114505</v>
      </c>
      <c r="H11" s="89" t="s">
        <v>139</v>
      </c>
      <c r="I11" s="91">
        <v>0.24427480916030533</v>
      </c>
      <c r="J11" s="89" t="s">
        <v>171</v>
      </c>
      <c r="K11" s="91">
        <v>0.4</v>
      </c>
      <c r="L11" s="89" t="s">
        <v>171</v>
      </c>
      <c r="M11" s="92">
        <v>0.27027027027027029</v>
      </c>
      <c r="N11" s="89" t="s">
        <v>134</v>
      </c>
      <c r="O11" s="92">
        <v>0.19038984587488667</v>
      </c>
      <c r="P11" s="89" t="s">
        <v>157</v>
      </c>
      <c r="Q11" s="93">
        <v>9373.2142857142862</v>
      </c>
      <c r="R11" s="89" t="s">
        <v>139</v>
      </c>
      <c r="S11" s="93">
        <v>-9493.4010152284263</v>
      </c>
      <c r="T11" s="89" t="s">
        <v>136</v>
      </c>
      <c r="U11" s="91">
        <v>0.18823529411764706</v>
      </c>
      <c r="V11" s="89" t="s">
        <v>134</v>
      </c>
      <c r="W11" s="91">
        <v>0.11971830985915492</v>
      </c>
      <c r="X11" s="89" t="s">
        <v>136</v>
      </c>
      <c r="Y11" s="91">
        <v>4.7058823529411764E-2</v>
      </c>
      <c r="Z11" s="89" t="s">
        <v>136</v>
      </c>
      <c r="AA11" s="92">
        <v>0.27291666666666664</v>
      </c>
      <c r="AB11" s="89" t="s">
        <v>139</v>
      </c>
      <c r="AC11" s="92">
        <v>0.18488253319713993</v>
      </c>
      <c r="AD11" s="89" t="s">
        <v>138</v>
      </c>
      <c r="AE11" s="92">
        <v>0.5</v>
      </c>
      <c r="AF11" s="89" t="s">
        <v>136</v>
      </c>
      <c r="AG11" s="92">
        <v>0.36764705882352944</v>
      </c>
      <c r="AH11" s="89" t="s">
        <v>250</v>
      </c>
      <c r="AI11" s="92">
        <v>0.41176470588235292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-155.1</v>
      </c>
      <c r="D12" s="89" t="s">
        <v>136</v>
      </c>
      <c r="E12" s="103">
        <v>-6.5764705882352938</v>
      </c>
      <c r="F12" s="89" t="s">
        <v>171</v>
      </c>
      <c r="G12" s="90">
        <v>2.2000000000000002</v>
      </c>
      <c r="H12" s="89" t="s">
        <v>136</v>
      </c>
      <c r="I12" s="91">
        <v>0.22352941176470589</v>
      </c>
      <c r="J12" s="89" t="s">
        <v>139</v>
      </c>
      <c r="K12" s="91">
        <v>0.40458015267175573</v>
      </c>
      <c r="L12" s="89" t="s">
        <v>134</v>
      </c>
      <c r="M12" s="92">
        <v>0.26110607434270172</v>
      </c>
      <c r="N12" s="89" t="s">
        <v>136</v>
      </c>
      <c r="O12" s="92">
        <v>0.19090909090909092</v>
      </c>
      <c r="P12" s="89" t="s">
        <v>194</v>
      </c>
      <c r="Q12" s="93">
        <v>9163.1578947368416</v>
      </c>
      <c r="R12" s="89" t="s">
        <v>134</v>
      </c>
      <c r="S12" s="93">
        <v>-9621.4285714285706</v>
      </c>
      <c r="T12" s="89" t="s">
        <v>134</v>
      </c>
      <c r="U12" s="91">
        <v>0.19014084507042253</v>
      </c>
      <c r="V12" s="89" t="s">
        <v>136</v>
      </c>
      <c r="W12" s="91">
        <v>0.11764705882352941</v>
      </c>
      <c r="X12" s="89" t="s">
        <v>135</v>
      </c>
      <c r="Y12" s="91">
        <v>4.6153846153846156E-2</v>
      </c>
      <c r="Z12" s="89" t="s">
        <v>171</v>
      </c>
      <c r="AA12" s="92">
        <v>0.25806451612903225</v>
      </c>
      <c r="AB12" s="89" t="s">
        <v>134</v>
      </c>
      <c r="AC12" s="92">
        <v>0.17577197149643706</v>
      </c>
      <c r="AD12" s="89" t="s">
        <v>136</v>
      </c>
      <c r="AE12" s="92">
        <v>0.48854961832061067</v>
      </c>
      <c r="AF12" s="89" t="s">
        <v>250</v>
      </c>
      <c r="AG12" s="92">
        <v>0.33333333333333331</v>
      </c>
      <c r="AH12" s="89" t="s">
        <v>133</v>
      </c>
      <c r="AI12" s="92">
        <v>0.38705035971223023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-455.89999999999992</v>
      </c>
      <c r="D13" s="89" t="s">
        <v>157</v>
      </c>
      <c r="E13" s="103">
        <v>-12.663888888888886</v>
      </c>
      <c r="F13" s="89" t="s">
        <v>136</v>
      </c>
      <c r="G13" s="90">
        <v>2.2117647058823531</v>
      </c>
      <c r="H13" s="89" t="s">
        <v>171</v>
      </c>
      <c r="I13" s="91">
        <v>0.2</v>
      </c>
      <c r="J13" s="89" t="s">
        <v>136</v>
      </c>
      <c r="K13" s="91">
        <v>0.43529411764705883</v>
      </c>
      <c r="L13" s="89" t="s">
        <v>167</v>
      </c>
      <c r="M13" s="92">
        <v>0.25</v>
      </c>
      <c r="N13" s="89" t="s">
        <v>139</v>
      </c>
      <c r="O13" s="92">
        <v>0.19389763779527558</v>
      </c>
      <c r="P13" s="89" t="s">
        <v>136</v>
      </c>
      <c r="Q13" s="93">
        <v>8946.1956521739139</v>
      </c>
      <c r="R13" s="89" t="s">
        <v>136</v>
      </c>
      <c r="S13" s="93">
        <v>-9651.5873015873021</v>
      </c>
      <c r="T13" s="89" t="s">
        <v>157</v>
      </c>
      <c r="U13" s="91">
        <v>0.27777777777777779</v>
      </c>
      <c r="V13" s="89" t="s">
        <v>157</v>
      </c>
      <c r="W13" s="91">
        <v>8.3333333333333329E-2</v>
      </c>
      <c r="X13" s="89" t="s">
        <v>157</v>
      </c>
      <c r="Y13" s="91">
        <v>0</v>
      </c>
      <c r="Z13" s="89" t="s">
        <v>135</v>
      </c>
      <c r="AA13" s="92">
        <v>0.23305084745762711</v>
      </c>
      <c r="AB13" s="89" t="s">
        <v>171</v>
      </c>
      <c r="AC13" s="92">
        <v>0.16129032258064516</v>
      </c>
      <c r="AD13" s="89" t="s">
        <v>157</v>
      </c>
      <c r="AE13" s="92">
        <v>0.46153846153846156</v>
      </c>
      <c r="AF13" s="89" t="s">
        <v>157</v>
      </c>
      <c r="AG13" s="92">
        <v>0.28282828282828282</v>
      </c>
      <c r="AH13" s="89" t="s">
        <v>157</v>
      </c>
      <c r="AI13" s="92">
        <v>0.375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139</v>
      </c>
      <c r="C14" s="88">
        <v>-461.2999999999999</v>
      </c>
      <c r="D14" s="89" t="s">
        <v>250</v>
      </c>
      <c r="E14" s="103">
        <v>-12.924999999999999</v>
      </c>
      <c r="F14" s="89" t="s">
        <v>157</v>
      </c>
      <c r="G14" s="90">
        <v>2.3888888888888888</v>
      </c>
      <c r="H14" s="89" t="s">
        <v>157</v>
      </c>
      <c r="I14" s="91">
        <v>0.19444444444444445</v>
      </c>
      <c r="J14" s="89" t="s">
        <v>157</v>
      </c>
      <c r="K14" s="91">
        <v>0.58333333333333337</v>
      </c>
      <c r="L14" s="89" t="s">
        <v>157</v>
      </c>
      <c r="M14" s="92">
        <v>0.20071684587813621</v>
      </c>
      <c r="N14" s="89" t="s">
        <v>171</v>
      </c>
      <c r="O14" s="92">
        <v>0.21621621621621623</v>
      </c>
      <c r="P14" s="89" t="s">
        <v>250</v>
      </c>
      <c r="Q14" s="93">
        <v>8670.5882352941171</v>
      </c>
      <c r="R14" s="89" t="s">
        <v>194</v>
      </c>
      <c r="S14" s="93">
        <v>-10025</v>
      </c>
      <c r="T14" s="89" t="s">
        <v>250</v>
      </c>
      <c r="U14" s="91">
        <v>0.33333333333333331</v>
      </c>
      <c r="V14" s="89" t="s">
        <v>250</v>
      </c>
      <c r="W14" s="91">
        <v>8.3333333333333329E-2</v>
      </c>
      <c r="X14" s="89" t="s">
        <v>166</v>
      </c>
      <c r="Y14" s="91">
        <v>0</v>
      </c>
      <c r="Z14" s="89" t="s">
        <v>157</v>
      </c>
      <c r="AA14" s="92">
        <v>0.13978494623655913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0.22500000000000001</v>
      </c>
      <c r="AH14" s="89" t="s">
        <v>167</v>
      </c>
      <c r="AI14" s="92">
        <v>0.33333333333333331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134</v>
      </c>
      <c r="C15" s="88">
        <v>-538.49999999999989</v>
      </c>
      <c r="D15" s="89" t="s">
        <v>171</v>
      </c>
      <c r="E15" s="103">
        <v>-17.28</v>
      </c>
      <c r="F15" s="89" t="s">
        <v>250</v>
      </c>
      <c r="G15" s="90">
        <v>2.4166666666666665</v>
      </c>
      <c r="H15" s="89" t="s">
        <v>250</v>
      </c>
      <c r="I15" s="91">
        <v>0.16666666666666666</v>
      </c>
      <c r="J15" s="89" t="s">
        <v>250</v>
      </c>
      <c r="K15" s="91">
        <v>0.58333333333333337</v>
      </c>
      <c r="L15" s="89" t="s">
        <v>250</v>
      </c>
      <c r="M15" s="92">
        <v>0.19318181818181818</v>
      </c>
      <c r="N15" s="89" t="s">
        <v>250</v>
      </c>
      <c r="O15" s="92">
        <v>0.25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250</v>
      </c>
      <c r="AA15" s="92">
        <v>0.13636363636363635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136</v>
      </c>
      <c r="C16" s="88">
        <v>-559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53422-63B7-432D-8F40-BF1EEE4D885D}">
  <sheetPr codeName="Sheet4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161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903</v>
      </c>
      <c r="C2" s="146"/>
      <c r="E2" s="64" t="s">
        <v>71</v>
      </c>
      <c r="F2" s="61" t="s">
        <v>25</v>
      </c>
      <c r="G2" s="48">
        <v>1434</v>
      </c>
      <c r="H2" s="140">
        <f t="shared" ref="H2:H33" si="0">IF(B$27=0,0,G2/B$27)</f>
        <v>0.8717325227963526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-15.712682379349046</v>
      </c>
      <c r="P2" s="124">
        <v>891</v>
      </c>
      <c r="Q2" s="108">
        <v>-14000</v>
      </c>
    </row>
    <row r="3" spans="1:17" x14ac:dyDescent="0.4">
      <c r="A3" s="57" t="s">
        <v>8</v>
      </c>
      <c r="B3" s="147">
        <v>6906</v>
      </c>
      <c r="C3" s="148"/>
      <c r="E3" s="65" t="s">
        <v>69</v>
      </c>
      <c r="F3" s="62" t="s">
        <v>23</v>
      </c>
      <c r="G3" s="49">
        <v>1187</v>
      </c>
      <c r="H3" s="141">
        <f t="shared" si="0"/>
        <v>0.721580547112462</v>
      </c>
      <c r="I3" s="100">
        <v>6</v>
      </c>
      <c r="K3" s="40">
        <v>1</v>
      </c>
      <c r="L3" s="105">
        <v>15</v>
      </c>
      <c r="N3" s="121" t="s">
        <v>148</v>
      </c>
      <c r="O3" s="128">
        <f t="shared" si="1"/>
        <v>-3.4965034965034967</v>
      </c>
      <c r="P3" s="125">
        <v>858</v>
      </c>
      <c r="Q3" s="109">
        <v>-3000</v>
      </c>
    </row>
    <row r="4" spans="1:17" x14ac:dyDescent="0.4">
      <c r="A4" s="57" t="s">
        <v>6</v>
      </c>
      <c r="B4" s="149">
        <v>-7.9999999999999343</v>
      </c>
      <c r="C4" s="150"/>
      <c r="E4" s="65" t="s">
        <v>76</v>
      </c>
      <c r="F4" s="62" t="s">
        <v>29</v>
      </c>
      <c r="G4" s="49">
        <v>931</v>
      </c>
      <c r="H4" s="141">
        <f t="shared" si="0"/>
        <v>0.56595744680851068</v>
      </c>
      <c r="I4" s="100">
        <v>8</v>
      </c>
      <c r="K4" s="40">
        <v>2</v>
      </c>
      <c r="L4" s="105">
        <v>-7</v>
      </c>
      <c r="N4" s="121" t="s">
        <v>149</v>
      </c>
      <c r="O4" s="128">
        <f t="shared" si="1"/>
        <v>6.2189054726368163</v>
      </c>
      <c r="P4" s="125">
        <v>804</v>
      </c>
      <c r="Q4" s="109">
        <v>5000</v>
      </c>
    </row>
    <row r="5" spans="1:17" x14ac:dyDescent="0.4">
      <c r="A5" s="57" t="s">
        <v>7</v>
      </c>
      <c r="B5" s="151">
        <f>IF(B$2=0,0,B$4/B$2)</f>
        <v>-8.8593576965669257E-3</v>
      </c>
      <c r="C5" s="152"/>
      <c r="E5" s="65" t="s">
        <v>67</v>
      </c>
      <c r="F5" s="62" t="s">
        <v>21</v>
      </c>
      <c r="G5" s="49">
        <v>898</v>
      </c>
      <c r="H5" s="141">
        <f t="shared" si="0"/>
        <v>0.54589665653495445</v>
      </c>
      <c r="I5" s="100">
        <v>6</v>
      </c>
      <c r="K5" s="40">
        <v>3</v>
      </c>
      <c r="L5" s="105">
        <v>0</v>
      </c>
      <c r="N5" s="121" t="s">
        <v>150</v>
      </c>
      <c r="O5" s="128">
        <f t="shared" si="1"/>
        <v>2.7662517289073305</v>
      </c>
      <c r="P5" s="125">
        <v>723</v>
      </c>
      <c r="Q5" s="109">
        <v>2000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72</v>
      </c>
      <c r="F6" s="62" t="s">
        <v>12</v>
      </c>
      <c r="G6" s="49">
        <v>514</v>
      </c>
      <c r="H6" s="141">
        <f t="shared" si="0"/>
        <v>0.31246200607902735</v>
      </c>
      <c r="I6" s="100">
        <v>7</v>
      </c>
      <c r="K6" s="40">
        <v>4</v>
      </c>
      <c r="L6" s="105">
        <v>-1</v>
      </c>
      <c r="N6" s="121" t="s">
        <v>151</v>
      </c>
      <c r="O6" s="128">
        <f t="shared" si="1"/>
        <v>11.0062893081761</v>
      </c>
      <c r="P6" s="125">
        <v>636</v>
      </c>
      <c r="Q6" s="109">
        <v>7000</v>
      </c>
    </row>
    <row r="7" spans="1:17" x14ac:dyDescent="0.4">
      <c r="A7" s="57" t="s">
        <v>2</v>
      </c>
      <c r="B7" s="49">
        <v>301</v>
      </c>
      <c r="C7" s="41">
        <f>IF(B$2=0,0,B7/B$2)</f>
        <v>0.33333333333333331</v>
      </c>
      <c r="E7" s="65" t="s">
        <v>70</v>
      </c>
      <c r="F7" s="62" t="s">
        <v>24</v>
      </c>
      <c r="G7" s="49">
        <v>499</v>
      </c>
      <c r="H7" s="141">
        <f t="shared" si="0"/>
        <v>0.30334346504559273</v>
      </c>
      <c r="I7" s="100">
        <v>6</v>
      </c>
      <c r="K7" s="40">
        <v>5</v>
      </c>
      <c r="L7" s="105">
        <v>39.9</v>
      </c>
      <c r="N7" s="122" t="s">
        <v>152</v>
      </c>
      <c r="O7" s="129">
        <f t="shared" si="1"/>
        <v>-9.6899224806201545</v>
      </c>
      <c r="P7" s="126">
        <v>516</v>
      </c>
      <c r="Q7" s="110">
        <v>-5000</v>
      </c>
    </row>
    <row r="8" spans="1:17" x14ac:dyDescent="0.4">
      <c r="A8" s="57" t="s">
        <v>3</v>
      </c>
      <c r="B8" s="49">
        <v>301</v>
      </c>
      <c r="C8" s="41">
        <f>IF(B$2=0,0,B8/B$2)</f>
        <v>0.33333333333333331</v>
      </c>
      <c r="E8" s="65" t="s">
        <v>94</v>
      </c>
      <c r="F8" s="62" t="s">
        <v>47</v>
      </c>
      <c r="G8" s="49">
        <v>249</v>
      </c>
      <c r="H8" s="141">
        <f t="shared" si="0"/>
        <v>0.1513677811550152</v>
      </c>
      <c r="I8" s="100">
        <v>8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301</v>
      </c>
      <c r="C9" s="42">
        <f t="shared" ref="C9" si="2">IF(B$2=0,0,B9/B$2)</f>
        <v>0.33333333333333331</v>
      </c>
      <c r="E9" s="65" t="s">
        <v>73</v>
      </c>
      <c r="F9" s="62" t="s">
        <v>26</v>
      </c>
      <c r="G9" s="49">
        <v>242</v>
      </c>
      <c r="H9" s="141">
        <f t="shared" si="0"/>
        <v>0.14711246200607903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137</v>
      </c>
      <c r="C10" s="42">
        <f>IF(B$2=0,0,B10/B$2)</f>
        <v>0.15171650055370986</v>
      </c>
      <c r="E10" s="65" t="s">
        <v>68</v>
      </c>
      <c r="F10" s="62" t="s">
        <v>22</v>
      </c>
      <c r="G10" s="49">
        <v>204</v>
      </c>
      <c r="H10" s="141">
        <f t="shared" si="0"/>
        <v>0.12401215805471125</v>
      </c>
      <c r="I10" s="100">
        <v>6</v>
      </c>
      <c r="K10" s="40">
        <v>8</v>
      </c>
      <c r="L10" s="105">
        <v>-26.699999999999996</v>
      </c>
      <c r="N10" s="120" t="s">
        <v>253</v>
      </c>
      <c r="O10" s="130">
        <f>IF(P10=0,0,Q10/P10)</f>
        <v>-2.3214765100671131</v>
      </c>
      <c r="P10" s="124">
        <v>298</v>
      </c>
      <c r="Q10" s="112">
        <v>-691.79999999999973</v>
      </c>
    </row>
    <row r="11" spans="1:17" x14ac:dyDescent="0.4">
      <c r="A11" s="58" t="s">
        <v>155</v>
      </c>
      <c r="B11" s="50">
        <v>137</v>
      </c>
      <c r="C11" s="42">
        <f>IF(B$2=0,0,B11/B$2)</f>
        <v>0.15171650055370986</v>
      </c>
      <c r="E11" s="65" t="s">
        <v>74</v>
      </c>
      <c r="F11" s="62" t="s">
        <v>27</v>
      </c>
      <c r="G11" s="49">
        <v>161</v>
      </c>
      <c r="H11" s="141">
        <f t="shared" si="0"/>
        <v>9.7872340425531917E-2</v>
      </c>
      <c r="I11" s="100">
        <v>6</v>
      </c>
      <c r="K11" s="40">
        <v>9</v>
      </c>
      <c r="L11" s="105">
        <v>3.5527136788005009E-15</v>
      </c>
      <c r="N11" s="121" t="s">
        <v>254</v>
      </c>
      <c r="O11" s="131">
        <f>IF(P11=0,0,Q11/P11)</f>
        <v>0.35570469798657767</v>
      </c>
      <c r="P11" s="125">
        <v>298</v>
      </c>
      <c r="Q11" s="113">
        <v>106.00000000000014</v>
      </c>
    </row>
    <row r="12" spans="1:17" x14ac:dyDescent="0.4">
      <c r="A12" s="59" t="s">
        <v>239</v>
      </c>
      <c r="B12" s="51">
        <v>72</v>
      </c>
      <c r="C12" s="44">
        <f>IF(B$2=0,0,B12/B$2)</f>
        <v>7.9734219269102985E-2</v>
      </c>
      <c r="E12" s="65" t="s">
        <v>91</v>
      </c>
      <c r="F12" s="62" t="s">
        <v>44</v>
      </c>
      <c r="G12" s="49">
        <v>112</v>
      </c>
      <c r="H12" s="141">
        <f t="shared" si="0"/>
        <v>6.8085106382978725E-2</v>
      </c>
      <c r="I12" s="100">
        <v>8</v>
      </c>
      <c r="K12" s="40">
        <v>10</v>
      </c>
      <c r="L12" s="105">
        <v>85.2</v>
      </c>
      <c r="N12" s="122" t="s">
        <v>255</v>
      </c>
      <c r="O12" s="132">
        <f>IF(P12=0,0,Q12/P12)</f>
        <v>1.9389261744966448</v>
      </c>
      <c r="P12" s="126">
        <v>298</v>
      </c>
      <c r="Q12" s="114">
        <v>577.80000000000018</v>
      </c>
    </row>
    <row r="13" spans="1:17" x14ac:dyDescent="0.4">
      <c r="A13" s="60" t="s">
        <v>128</v>
      </c>
      <c r="B13" s="52">
        <v>1564</v>
      </c>
      <c r="C13" s="46">
        <f>IF(B$26=0,0,B13/B$26)</f>
        <v>0.2848816029143898</v>
      </c>
      <c r="E13" s="65" t="s">
        <v>75</v>
      </c>
      <c r="F13" s="62" t="s">
        <v>28</v>
      </c>
      <c r="G13" s="49">
        <v>79</v>
      </c>
      <c r="H13" s="141">
        <f t="shared" si="0"/>
        <v>4.8024316109422489E-2</v>
      </c>
      <c r="I13" s="100">
        <v>6</v>
      </c>
      <c r="K13" s="40">
        <v>11</v>
      </c>
      <c r="L13" s="105">
        <v>44.5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1196</v>
      </c>
      <c r="C14" s="41">
        <f>IF(B$26=0,0,B14/B$26)</f>
        <v>0.21785063752276868</v>
      </c>
      <c r="E14" s="65" t="s">
        <v>88</v>
      </c>
      <c r="F14" s="62" t="s">
        <v>41</v>
      </c>
      <c r="G14" s="49">
        <v>74</v>
      </c>
      <c r="H14" s="141">
        <f t="shared" si="0"/>
        <v>4.4984802431610946E-2</v>
      </c>
      <c r="I14" s="100">
        <v>6</v>
      </c>
      <c r="K14" s="40">
        <v>12</v>
      </c>
      <c r="L14" s="105">
        <v>0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913</v>
      </c>
      <c r="C15" s="39">
        <f>IF(B$13=0,0,B15/B$13)</f>
        <v>0.5837595907928389</v>
      </c>
      <c r="E15" s="65" t="s">
        <v>86</v>
      </c>
      <c r="F15" s="62" t="s">
        <v>39</v>
      </c>
      <c r="G15" s="49">
        <v>49</v>
      </c>
      <c r="H15" s="141">
        <f t="shared" si="0"/>
        <v>2.9787234042553193E-2</v>
      </c>
      <c r="I15" s="100">
        <v>7</v>
      </c>
      <c r="K15" s="40">
        <v>13</v>
      </c>
      <c r="L15" s="105">
        <v>31.5</v>
      </c>
      <c r="N15" s="120" t="s">
        <v>166</v>
      </c>
      <c r="O15" s="130">
        <f t="shared" ref="O15:O27" si="3"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479</v>
      </c>
      <c r="C16" s="39">
        <f>IF(B$14=0,0,B16/B$14)</f>
        <v>0.40050167224080269</v>
      </c>
      <c r="E16" s="65" t="s">
        <v>82</v>
      </c>
      <c r="F16" s="62" t="s">
        <v>35</v>
      </c>
      <c r="G16" s="49">
        <v>47</v>
      </c>
      <c r="H16" s="141">
        <f t="shared" si="0"/>
        <v>2.8571428571428571E-2</v>
      </c>
      <c r="I16" s="100">
        <v>6</v>
      </c>
      <c r="K16" s="40">
        <v>14</v>
      </c>
      <c r="L16" s="105">
        <v>-4</v>
      </c>
      <c r="N16" s="121" t="s">
        <v>171</v>
      </c>
      <c r="O16" s="131">
        <f t="shared" si="3"/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2079</v>
      </c>
      <c r="C17" s="39">
        <f>IF(B$3=0,0,B17/B$3)</f>
        <v>0.30104257167680276</v>
      </c>
      <c r="E17" s="65" t="s">
        <v>96</v>
      </c>
      <c r="F17" s="62" t="s">
        <v>49</v>
      </c>
      <c r="G17" s="49">
        <v>32</v>
      </c>
      <c r="H17" s="141">
        <f t="shared" si="0"/>
        <v>1.9452887537993922E-2</v>
      </c>
      <c r="I17" s="100">
        <v>7</v>
      </c>
      <c r="K17" s="40">
        <v>15</v>
      </c>
      <c r="L17" s="105">
        <v>0</v>
      </c>
      <c r="N17" s="121" t="s">
        <v>250</v>
      </c>
      <c r="O17" s="131">
        <f t="shared" si="3"/>
        <v>19.387499999999999</v>
      </c>
      <c r="P17" s="125">
        <v>24</v>
      </c>
      <c r="Q17" s="113">
        <v>465.29999999999995</v>
      </c>
    </row>
    <row r="18" spans="1:17" x14ac:dyDescent="0.4">
      <c r="A18" s="57" t="s">
        <v>12</v>
      </c>
      <c r="B18" s="49">
        <v>879</v>
      </c>
      <c r="C18" s="41">
        <f>IF(B$17=0,0,B18/B$17)</f>
        <v>0.42279942279942279</v>
      </c>
      <c r="E18" s="65" t="s">
        <v>83</v>
      </c>
      <c r="F18" s="62" t="s">
        <v>36</v>
      </c>
      <c r="G18" s="49">
        <v>23</v>
      </c>
      <c r="H18" s="141">
        <f t="shared" si="0"/>
        <v>1.3981762917933131E-2</v>
      </c>
      <c r="I18" s="100">
        <v>7</v>
      </c>
      <c r="K18" s="40">
        <v>16</v>
      </c>
      <c r="L18" s="105">
        <v>-48</v>
      </c>
      <c r="N18" s="121" t="s">
        <v>157</v>
      </c>
      <c r="O18" s="131">
        <f t="shared" si="3"/>
        <v>18.981944444444455</v>
      </c>
      <c r="P18" s="125">
        <v>72</v>
      </c>
      <c r="Q18" s="113">
        <v>1366.7000000000007</v>
      </c>
    </row>
    <row r="19" spans="1:17" x14ac:dyDescent="0.4">
      <c r="A19" s="57" t="s">
        <v>11</v>
      </c>
      <c r="B19" s="49">
        <v>1200</v>
      </c>
      <c r="C19" s="41">
        <f>IF(B$17=0,0,B19/B$17)</f>
        <v>0.57720057720057716</v>
      </c>
      <c r="E19" s="65" t="s">
        <v>77</v>
      </c>
      <c r="F19" s="62" t="s">
        <v>30</v>
      </c>
      <c r="G19" s="49">
        <v>13</v>
      </c>
      <c r="H19" s="141">
        <f t="shared" si="0"/>
        <v>7.9027355623100311E-3</v>
      </c>
      <c r="I19" s="100">
        <v>4</v>
      </c>
      <c r="K19" s="40">
        <v>17</v>
      </c>
      <c r="L19" s="105">
        <v>-8</v>
      </c>
      <c r="N19" s="121" t="s">
        <v>136</v>
      </c>
      <c r="O19" s="131">
        <f t="shared" si="3"/>
        <v>9.8588235294117634</v>
      </c>
      <c r="P19" s="125">
        <v>170</v>
      </c>
      <c r="Q19" s="113">
        <v>1675.9999999999998</v>
      </c>
    </row>
    <row r="20" spans="1:17" x14ac:dyDescent="0.4">
      <c r="A20" s="57" t="s">
        <v>13</v>
      </c>
      <c r="B20" s="49">
        <v>1177</v>
      </c>
      <c r="C20" s="41">
        <f>IF(B$3=0,0,B20/B$3)</f>
        <v>0.17043150883289893</v>
      </c>
      <c r="E20" s="65" t="s">
        <v>79</v>
      </c>
      <c r="F20" s="62" t="s">
        <v>32</v>
      </c>
      <c r="G20" s="49">
        <v>10</v>
      </c>
      <c r="H20" s="141">
        <f t="shared" si="0"/>
        <v>6.0790273556231003E-3</v>
      </c>
      <c r="I20" s="100">
        <v>4</v>
      </c>
      <c r="K20" s="40">
        <v>18</v>
      </c>
      <c r="L20" s="105">
        <v>0</v>
      </c>
      <c r="N20" s="121" t="s">
        <v>167</v>
      </c>
      <c r="O20" s="131">
        <f t="shared" si="3"/>
        <v>5.8125</v>
      </c>
      <c r="P20" s="125">
        <v>8</v>
      </c>
      <c r="Q20" s="113">
        <v>46.5</v>
      </c>
    </row>
    <row r="21" spans="1:17" x14ac:dyDescent="0.4">
      <c r="A21" s="57" t="s">
        <v>5</v>
      </c>
      <c r="B21" s="53">
        <f>IF(B$17=0,0,C21/B$17)</f>
        <v>10092.544492544492</v>
      </c>
      <c r="C21" s="43">
        <v>20982400</v>
      </c>
      <c r="E21" s="65" t="s">
        <v>81</v>
      </c>
      <c r="F21" s="62" t="s">
        <v>34</v>
      </c>
      <c r="G21" s="49">
        <v>9</v>
      </c>
      <c r="H21" s="141">
        <f t="shared" si="0"/>
        <v>5.47112462006079E-3</v>
      </c>
      <c r="I21" s="100">
        <v>5</v>
      </c>
      <c r="K21" s="40">
        <v>19</v>
      </c>
      <c r="L21" s="105">
        <v>-6.1</v>
      </c>
      <c r="N21" s="121" t="s">
        <v>134</v>
      </c>
      <c r="O21" s="131">
        <f t="shared" si="3"/>
        <v>5.6707746478873222</v>
      </c>
      <c r="P21" s="125">
        <v>284</v>
      </c>
      <c r="Q21" s="113">
        <v>1610.4999999999995</v>
      </c>
    </row>
    <row r="22" spans="1:17" x14ac:dyDescent="0.4">
      <c r="A22" s="59" t="s">
        <v>14</v>
      </c>
      <c r="B22" s="54">
        <f>IF(B$20=0,0,C22/B$20)</f>
        <v>-9359.0484282073066</v>
      </c>
      <c r="C22" s="47">
        <v>-11015600</v>
      </c>
      <c r="E22" s="65" t="s">
        <v>97</v>
      </c>
      <c r="F22" s="62" t="s">
        <v>50</v>
      </c>
      <c r="G22" s="49">
        <v>8</v>
      </c>
      <c r="H22" s="141">
        <f t="shared" si="0"/>
        <v>4.8632218844984806E-3</v>
      </c>
      <c r="I22" s="100">
        <v>5</v>
      </c>
      <c r="K22" s="40">
        <v>20</v>
      </c>
      <c r="L22" s="105">
        <v>4.9000000000000004</v>
      </c>
      <c r="N22" s="121" t="s">
        <v>139</v>
      </c>
      <c r="O22" s="131">
        <f t="shared" si="3"/>
        <v>5.2706106870228986</v>
      </c>
      <c r="P22" s="125">
        <v>262</v>
      </c>
      <c r="Q22" s="113">
        <v>1380.8999999999994</v>
      </c>
    </row>
    <row r="23" spans="1:17" x14ac:dyDescent="0.4">
      <c r="A23" s="96" t="s">
        <v>158</v>
      </c>
      <c r="B23" s="155">
        <v>10</v>
      </c>
      <c r="C23" s="156"/>
      <c r="E23" s="65" t="s">
        <v>90</v>
      </c>
      <c r="F23" s="62" t="s">
        <v>43</v>
      </c>
      <c r="G23" s="49">
        <v>7</v>
      </c>
      <c r="H23" s="141">
        <f t="shared" si="0"/>
        <v>4.2553191489361703E-3</v>
      </c>
      <c r="I23" s="100">
        <v>4</v>
      </c>
      <c r="K23" s="40">
        <v>21</v>
      </c>
      <c r="L23" s="105">
        <v>0</v>
      </c>
      <c r="N23" s="121" t="s">
        <v>138</v>
      </c>
      <c r="O23" s="131">
        <f t="shared" si="3"/>
        <v>0.41212121212121355</v>
      </c>
      <c r="P23" s="125">
        <v>66</v>
      </c>
      <c r="Q23" s="113">
        <v>27.200000000000095</v>
      </c>
    </row>
    <row r="24" spans="1:17" x14ac:dyDescent="0.4">
      <c r="A24" s="60" t="s">
        <v>199</v>
      </c>
      <c r="B24" s="153">
        <v>124700</v>
      </c>
      <c r="C24" s="154"/>
      <c r="E24" s="65" t="s">
        <v>98</v>
      </c>
      <c r="F24" s="62" t="s">
        <v>51</v>
      </c>
      <c r="G24" s="49">
        <v>6</v>
      </c>
      <c r="H24" s="141">
        <f t="shared" si="0"/>
        <v>3.64741641337386E-3</v>
      </c>
      <c r="I24" s="100">
        <v>4</v>
      </c>
      <c r="K24" s="40">
        <v>22</v>
      </c>
      <c r="L24" s="105">
        <v>-36</v>
      </c>
      <c r="N24" s="121" t="s">
        <v>137</v>
      </c>
      <c r="O24" s="131">
        <f t="shared" si="3"/>
        <v>-2.4682926829268288</v>
      </c>
      <c r="P24" s="125">
        <v>246</v>
      </c>
      <c r="Q24" s="113">
        <v>-607.19999999999993</v>
      </c>
    </row>
    <row r="25" spans="1:17" x14ac:dyDescent="0.4">
      <c r="A25" s="59" t="s">
        <v>159</v>
      </c>
      <c r="B25" s="67">
        <v>20</v>
      </c>
      <c r="C25" s="44">
        <f>IF(B$3=0,0,B25/B$3)</f>
        <v>2.8960324355632784E-3</v>
      </c>
      <c r="E25" s="65" t="s">
        <v>78</v>
      </c>
      <c r="F25" s="62" t="s">
        <v>31</v>
      </c>
      <c r="G25" s="49">
        <v>5</v>
      </c>
      <c r="H25" s="141">
        <f t="shared" si="0"/>
        <v>3.0395136778115501E-3</v>
      </c>
      <c r="I25" s="100">
        <v>5</v>
      </c>
      <c r="K25" s="40">
        <v>23</v>
      </c>
      <c r="L25" s="105">
        <v>-3</v>
      </c>
      <c r="N25" s="121" t="s">
        <v>135</v>
      </c>
      <c r="O25" s="131">
        <f t="shared" si="3"/>
        <v>-6.2030769230769174</v>
      </c>
      <c r="P25" s="125">
        <v>130</v>
      </c>
      <c r="Q25" s="113">
        <v>-806.3999999999993</v>
      </c>
    </row>
    <row r="26" spans="1:17" x14ac:dyDescent="0.4">
      <c r="A26" s="56" t="s">
        <v>126</v>
      </c>
      <c r="B26" s="145">
        <v>5490</v>
      </c>
      <c r="C26" s="146"/>
      <c r="E26" s="65" t="s">
        <v>89</v>
      </c>
      <c r="F26" s="62" t="s">
        <v>42</v>
      </c>
      <c r="G26" s="49">
        <v>4</v>
      </c>
      <c r="H26" s="141">
        <f t="shared" si="0"/>
        <v>2.4316109422492403E-3</v>
      </c>
      <c r="I26" s="100">
        <v>4</v>
      </c>
      <c r="K26" s="40">
        <v>24</v>
      </c>
      <c r="L26" s="105">
        <v>0</v>
      </c>
      <c r="N26" s="121" t="s">
        <v>133</v>
      </c>
      <c r="O26" s="131">
        <f t="shared" si="3"/>
        <v>-11.036964980544747</v>
      </c>
      <c r="P26" s="125">
        <v>514</v>
      </c>
      <c r="Q26" s="113">
        <v>-5673</v>
      </c>
    </row>
    <row r="27" spans="1:17" x14ac:dyDescent="0.4">
      <c r="A27" s="59" t="s">
        <v>127</v>
      </c>
      <c r="B27" s="159">
        <v>1645</v>
      </c>
      <c r="C27" s="160"/>
      <c r="E27" s="65" t="s">
        <v>92</v>
      </c>
      <c r="F27" s="62" t="s">
        <v>45</v>
      </c>
      <c r="G27" s="49">
        <v>4</v>
      </c>
      <c r="H27" s="141">
        <f t="shared" si="0"/>
        <v>2.4316109422492403E-3</v>
      </c>
      <c r="I27" s="100">
        <v>4</v>
      </c>
      <c r="K27" s="40">
        <v>25</v>
      </c>
      <c r="L27" s="105">
        <v>-41</v>
      </c>
      <c r="N27" s="121" t="s">
        <v>194</v>
      </c>
      <c r="O27" s="131">
        <f t="shared" si="3"/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41">
        <f t="shared" si="0"/>
        <v>1.2158054711246201E-3</v>
      </c>
      <c r="I28" s="100">
        <v>3</v>
      </c>
      <c r="K28" s="40">
        <v>26</v>
      </c>
      <c r="L28" s="105">
        <v>11.5</v>
      </c>
    </row>
    <row r="29" spans="1:17" x14ac:dyDescent="0.4">
      <c r="E29" s="65" t="s">
        <v>85</v>
      </c>
      <c r="F29" s="62" t="s">
        <v>38</v>
      </c>
      <c r="G29" s="49">
        <v>1</v>
      </c>
      <c r="H29" s="141">
        <f t="shared" si="0"/>
        <v>6.0790273556231007E-4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41">
        <f t="shared" si="0"/>
        <v>6.0790273556231007E-4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41">
        <f t="shared" si="0"/>
        <v>6.0790273556231007E-4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41">
        <f t="shared" si="0"/>
        <v>6.0790273556231007E-4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41">
        <f t="shared" si="0"/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41">
        <f t="shared" ref="H34:H65" si="4"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41">
        <f t="shared" si="4"/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41">
        <f t="shared" si="4"/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41">
        <f t="shared" si="4"/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41">
        <f t="shared" si="4"/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41">
        <f t="shared" si="4"/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41">
        <f t="shared" si="4"/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41">
        <f t="shared" si="4"/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41">
        <f t="shared" si="4"/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41">
        <f t="shared" si="4"/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41">
        <f t="shared" si="4"/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41">
        <f t="shared" si="4"/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41">
        <f t="shared" si="4"/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 t="shared" si="4"/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 t="shared" si="4"/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 t="shared" si="4"/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 t="shared" si="4"/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 t="shared" si="4"/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  <row r="771" spans="11:12" x14ac:dyDescent="0.4">
      <c r="K771" s="40">
        <v>769</v>
      </c>
      <c r="L771" s="105">
        <v>1.200000000000057</v>
      </c>
    </row>
    <row r="772" spans="11:12" x14ac:dyDescent="0.4">
      <c r="K772" s="40">
        <v>770</v>
      </c>
      <c r="L772" s="105">
        <v>5.700000000000057</v>
      </c>
    </row>
    <row r="773" spans="11:12" x14ac:dyDescent="0.4">
      <c r="K773" s="40">
        <v>771</v>
      </c>
      <c r="L773" s="105">
        <v>-4.9999999999999423</v>
      </c>
    </row>
    <row r="774" spans="11:12" x14ac:dyDescent="0.4">
      <c r="K774" s="40">
        <v>772</v>
      </c>
      <c r="L774" s="105">
        <v>7.6000000000000574</v>
      </c>
    </row>
    <row r="775" spans="11:12" x14ac:dyDescent="0.4">
      <c r="K775" s="40">
        <v>773</v>
      </c>
      <c r="L775" s="105">
        <v>8.4000000000000572</v>
      </c>
    </row>
    <row r="776" spans="11:12" x14ac:dyDescent="0.4">
      <c r="K776" s="40">
        <v>774</v>
      </c>
      <c r="L776" s="105">
        <v>-4.9999999999999432</v>
      </c>
    </row>
    <row r="777" spans="11:12" x14ac:dyDescent="0.4">
      <c r="K777" s="40">
        <v>775</v>
      </c>
      <c r="L777" s="105">
        <v>-0.99999999999994316</v>
      </c>
    </row>
    <row r="778" spans="11:12" x14ac:dyDescent="0.4">
      <c r="K778" s="40">
        <v>776</v>
      </c>
      <c r="L778" s="105">
        <v>-38.29999999999994</v>
      </c>
    </row>
    <row r="779" spans="11:12" x14ac:dyDescent="0.4">
      <c r="K779" s="40">
        <v>777</v>
      </c>
      <c r="L779" s="105">
        <v>-4.9999999999999432</v>
      </c>
    </row>
    <row r="780" spans="11:12" x14ac:dyDescent="0.4">
      <c r="K780" s="40">
        <v>778</v>
      </c>
      <c r="L780" s="105">
        <v>30.000000000000057</v>
      </c>
    </row>
    <row r="781" spans="11:12" x14ac:dyDescent="0.4">
      <c r="K781" s="40">
        <v>779</v>
      </c>
      <c r="L781" s="105">
        <v>-5.4999999999999432</v>
      </c>
    </row>
    <row r="782" spans="11:12" x14ac:dyDescent="0.4">
      <c r="K782" s="40">
        <v>780</v>
      </c>
      <c r="L782" s="105">
        <v>-4.9999999999999432</v>
      </c>
    </row>
    <row r="783" spans="11:12" x14ac:dyDescent="0.4">
      <c r="K783" s="40">
        <v>781</v>
      </c>
      <c r="L783" s="105">
        <v>8.4000000000000572</v>
      </c>
    </row>
    <row r="784" spans="11:12" x14ac:dyDescent="0.4">
      <c r="K784" s="40">
        <v>782</v>
      </c>
      <c r="L784" s="105">
        <v>17.400000000000055</v>
      </c>
    </row>
    <row r="785" spans="11:12" x14ac:dyDescent="0.4">
      <c r="K785" s="40">
        <v>783</v>
      </c>
      <c r="L785" s="105">
        <v>-4.9999999999999432</v>
      </c>
    </row>
    <row r="786" spans="11:12" x14ac:dyDescent="0.4">
      <c r="K786" s="40">
        <v>784</v>
      </c>
      <c r="L786" s="105">
        <v>1.1000000000000565</v>
      </c>
    </row>
    <row r="787" spans="11:12" x14ac:dyDescent="0.4">
      <c r="K787" s="40">
        <v>785</v>
      </c>
      <c r="L787" s="105">
        <v>-4.1999999999999433</v>
      </c>
    </row>
    <row r="788" spans="11:12" x14ac:dyDescent="0.4">
      <c r="K788" s="40">
        <v>786</v>
      </c>
      <c r="L788" s="105">
        <v>-4.9999999999999432</v>
      </c>
    </row>
    <row r="789" spans="11:12" x14ac:dyDescent="0.4">
      <c r="K789" s="40">
        <v>787</v>
      </c>
      <c r="L789" s="105">
        <v>61.70000000000006</v>
      </c>
    </row>
    <row r="790" spans="11:12" x14ac:dyDescent="0.4">
      <c r="K790" s="40">
        <v>788</v>
      </c>
      <c r="L790" s="105">
        <v>2.8000000000000611</v>
      </c>
    </row>
    <row r="791" spans="11:12" x14ac:dyDescent="0.4">
      <c r="K791" s="40">
        <v>789</v>
      </c>
      <c r="L791" s="105">
        <v>-4.9999999999999387</v>
      </c>
    </row>
    <row r="792" spans="11:12" x14ac:dyDescent="0.4">
      <c r="K792" s="40">
        <v>790</v>
      </c>
      <c r="L792" s="105">
        <v>-43.099999999999937</v>
      </c>
    </row>
    <row r="793" spans="11:12" x14ac:dyDescent="0.4">
      <c r="K793" s="40">
        <v>791</v>
      </c>
      <c r="L793" s="105">
        <v>-2.3999999999999346</v>
      </c>
    </row>
    <row r="794" spans="11:12" x14ac:dyDescent="0.4">
      <c r="K794" s="40">
        <v>792</v>
      </c>
      <c r="L794" s="105">
        <v>-4.9999999999999343</v>
      </c>
    </row>
    <row r="795" spans="11:12" x14ac:dyDescent="0.4">
      <c r="K795" s="40">
        <v>793</v>
      </c>
      <c r="L795" s="105">
        <v>18.000000000000064</v>
      </c>
    </row>
    <row r="796" spans="11:12" x14ac:dyDescent="0.4">
      <c r="K796" s="40">
        <v>794</v>
      </c>
      <c r="L796" s="105">
        <v>9.5000000000000639</v>
      </c>
    </row>
    <row r="797" spans="11:12" x14ac:dyDescent="0.4">
      <c r="K797" s="40">
        <v>795</v>
      </c>
      <c r="L797" s="105">
        <v>-4.9999999999999361</v>
      </c>
    </row>
    <row r="798" spans="11:12" x14ac:dyDescent="0.4">
      <c r="K798" s="40">
        <v>796</v>
      </c>
      <c r="L798" s="105">
        <v>4.5000000000000639</v>
      </c>
    </row>
    <row r="799" spans="11:12" x14ac:dyDescent="0.4">
      <c r="K799" s="40">
        <v>797</v>
      </c>
      <c r="L799" s="105">
        <v>-6.7999999999999368</v>
      </c>
    </row>
    <row r="800" spans="11:12" x14ac:dyDescent="0.4">
      <c r="K800" s="40">
        <v>798</v>
      </c>
      <c r="L800" s="105">
        <v>-4.9999999999999369</v>
      </c>
    </row>
    <row r="801" spans="11:12" x14ac:dyDescent="0.4">
      <c r="K801" s="40">
        <v>799</v>
      </c>
      <c r="L801" s="105">
        <v>6.3060667798708891E-14</v>
      </c>
    </row>
    <row r="802" spans="11:12" x14ac:dyDescent="0.4">
      <c r="K802" s="40">
        <v>800</v>
      </c>
      <c r="L802" s="105">
        <v>0.70000000000006302</v>
      </c>
    </row>
    <row r="803" spans="11:12" x14ac:dyDescent="0.4">
      <c r="K803" s="40">
        <v>801</v>
      </c>
      <c r="L803" s="105">
        <v>-4.9999999999999369</v>
      </c>
    </row>
    <row r="804" spans="11:12" x14ac:dyDescent="0.4">
      <c r="K804" s="40">
        <v>802</v>
      </c>
      <c r="L804" s="105">
        <v>2.8000000000000629</v>
      </c>
    </row>
    <row r="805" spans="11:12" x14ac:dyDescent="0.4">
      <c r="K805" s="40">
        <v>803</v>
      </c>
      <c r="L805" s="105">
        <v>-36.699999999999939</v>
      </c>
    </row>
    <row r="806" spans="11:12" x14ac:dyDescent="0.4">
      <c r="K806" s="40">
        <v>804</v>
      </c>
      <c r="L806" s="105">
        <v>-4.9999999999999396</v>
      </c>
    </row>
    <row r="807" spans="11:12" x14ac:dyDescent="0.4">
      <c r="K807" s="40">
        <v>805</v>
      </c>
      <c r="L807" s="105">
        <v>37.300000000000054</v>
      </c>
    </row>
    <row r="808" spans="11:12" x14ac:dyDescent="0.4">
      <c r="K808" s="40">
        <v>806</v>
      </c>
      <c r="L808" s="105">
        <v>-7.9999999999999432</v>
      </c>
    </row>
    <row r="809" spans="11:12" x14ac:dyDescent="0.4">
      <c r="K809" s="40">
        <v>807</v>
      </c>
      <c r="L809" s="105">
        <v>-4.9999999999999432</v>
      </c>
    </row>
    <row r="810" spans="11:12" x14ac:dyDescent="0.4">
      <c r="K810" s="40">
        <v>808</v>
      </c>
      <c r="L810" s="105">
        <v>35.70000000000006</v>
      </c>
    </row>
    <row r="811" spans="11:12" x14ac:dyDescent="0.4">
      <c r="K811" s="40">
        <v>809</v>
      </c>
      <c r="L811" s="105">
        <v>8.0000000000000604</v>
      </c>
    </row>
    <row r="812" spans="11:12" x14ac:dyDescent="0.4">
      <c r="K812" s="40">
        <v>810</v>
      </c>
      <c r="L812" s="105">
        <v>-4.9999999999999396</v>
      </c>
    </row>
    <row r="813" spans="11:12" x14ac:dyDescent="0.4">
      <c r="K813" s="40">
        <v>811</v>
      </c>
      <c r="L813" s="105">
        <v>-4.89999999999994</v>
      </c>
    </row>
    <row r="814" spans="11:12" x14ac:dyDescent="0.4">
      <c r="K814" s="40">
        <v>812</v>
      </c>
      <c r="L814" s="105">
        <v>3.60000000000006</v>
      </c>
    </row>
    <row r="815" spans="11:12" x14ac:dyDescent="0.4">
      <c r="K815" s="40">
        <v>813</v>
      </c>
      <c r="L815" s="105">
        <v>-4.9999999999999396</v>
      </c>
    </row>
    <row r="816" spans="11:12" x14ac:dyDescent="0.4">
      <c r="K816" s="40">
        <v>814</v>
      </c>
      <c r="L816" s="105">
        <v>7.2000000000000597</v>
      </c>
    </row>
    <row r="817" spans="11:12" x14ac:dyDescent="0.4">
      <c r="K817" s="40">
        <v>815</v>
      </c>
      <c r="L817" s="105">
        <v>11.900000000000059</v>
      </c>
    </row>
    <row r="818" spans="11:12" x14ac:dyDescent="0.4">
      <c r="K818" s="40">
        <v>816</v>
      </c>
      <c r="L818" s="105">
        <v>-4.9999999999999396</v>
      </c>
    </row>
    <row r="819" spans="11:12" x14ac:dyDescent="0.4">
      <c r="K819" s="40">
        <v>817</v>
      </c>
      <c r="L819" s="105">
        <v>4.5000000000000604</v>
      </c>
    </row>
    <row r="820" spans="11:12" x14ac:dyDescent="0.4">
      <c r="K820" s="40">
        <v>818</v>
      </c>
      <c r="L820" s="105">
        <v>-6.0999999999999392</v>
      </c>
    </row>
    <row r="821" spans="11:12" x14ac:dyDescent="0.4">
      <c r="K821" s="40">
        <v>819</v>
      </c>
      <c r="L821" s="105">
        <v>-4.9999999999999396</v>
      </c>
    </row>
    <row r="822" spans="11:12" x14ac:dyDescent="0.4">
      <c r="K822" s="40">
        <v>820</v>
      </c>
      <c r="L822" s="105">
        <v>22.20000000000006</v>
      </c>
    </row>
    <row r="823" spans="11:12" x14ac:dyDescent="0.4">
      <c r="K823" s="40">
        <v>821</v>
      </c>
      <c r="L823" s="105">
        <v>28.00000000000006</v>
      </c>
    </row>
    <row r="824" spans="11:12" x14ac:dyDescent="0.4">
      <c r="K824" s="40">
        <v>822</v>
      </c>
      <c r="L824" s="105">
        <v>-4.9999999999999396</v>
      </c>
    </row>
    <row r="825" spans="11:12" x14ac:dyDescent="0.4">
      <c r="K825" s="40">
        <v>823</v>
      </c>
      <c r="L825" s="105">
        <v>-17.599999999999937</v>
      </c>
    </row>
    <row r="826" spans="11:12" x14ac:dyDescent="0.4">
      <c r="K826" s="40">
        <v>824</v>
      </c>
      <c r="L826" s="105">
        <v>2.5000000000000639</v>
      </c>
    </row>
    <row r="827" spans="11:12" x14ac:dyDescent="0.4">
      <c r="K827" s="40">
        <v>825</v>
      </c>
      <c r="L827" s="105">
        <v>-4.9999999999999361</v>
      </c>
    </row>
    <row r="828" spans="11:12" x14ac:dyDescent="0.4">
      <c r="K828" s="40">
        <v>826</v>
      </c>
      <c r="L828" s="105">
        <v>2.5000000000000639</v>
      </c>
    </row>
    <row r="829" spans="11:12" x14ac:dyDescent="0.4">
      <c r="K829" s="40">
        <v>827</v>
      </c>
      <c r="L829" s="105">
        <v>-22.599999999999937</v>
      </c>
    </row>
    <row r="830" spans="11:12" x14ac:dyDescent="0.4">
      <c r="K830" s="40">
        <v>828</v>
      </c>
      <c r="L830" s="105">
        <v>-4.9999999999999361</v>
      </c>
    </row>
    <row r="831" spans="11:12" x14ac:dyDescent="0.4">
      <c r="K831" s="40">
        <v>829</v>
      </c>
      <c r="L831" s="105">
        <v>-22.599999999999937</v>
      </c>
    </row>
    <row r="832" spans="11:12" x14ac:dyDescent="0.4">
      <c r="K832" s="40">
        <v>830</v>
      </c>
      <c r="L832" s="105">
        <v>2.0000000000000639</v>
      </c>
    </row>
    <row r="833" spans="11:12" x14ac:dyDescent="0.4">
      <c r="K833" s="40">
        <v>831</v>
      </c>
      <c r="L833" s="105">
        <v>-5.9999999999999361</v>
      </c>
    </row>
    <row r="834" spans="11:12" x14ac:dyDescent="0.4">
      <c r="K834" s="40">
        <v>832</v>
      </c>
      <c r="L834" s="105">
        <v>1.8000000000000638</v>
      </c>
    </row>
    <row r="835" spans="11:12" x14ac:dyDescent="0.4">
      <c r="K835" s="40">
        <v>833</v>
      </c>
      <c r="L835" s="105">
        <v>-12.599999999999937</v>
      </c>
    </row>
    <row r="836" spans="11:12" x14ac:dyDescent="0.4">
      <c r="K836" s="40">
        <v>834</v>
      </c>
      <c r="L836" s="105">
        <v>-5.9999999999999378</v>
      </c>
    </row>
    <row r="837" spans="11:12" x14ac:dyDescent="0.4">
      <c r="K837" s="40">
        <v>835</v>
      </c>
      <c r="L837" s="105">
        <v>40.900000000000063</v>
      </c>
    </row>
    <row r="838" spans="11:12" x14ac:dyDescent="0.4">
      <c r="K838" s="40">
        <v>836</v>
      </c>
      <c r="L838" s="105">
        <v>1.0000000000000639</v>
      </c>
    </row>
    <row r="839" spans="11:12" x14ac:dyDescent="0.4">
      <c r="K839" s="40">
        <v>837</v>
      </c>
      <c r="L839" s="105">
        <v>-5.9999999999999361</v>
      </c>
    </row>
    <row r="840" spans="11:12" x14ac:dyDescent="0.4">
      <c r="K840" s="40">
        <v>838</v>
      </c>
      <c r="L840" s="105">
        <v>0.30000000000006377</v>
      </c>
    </row>
    <row r="841" spans="11:12" x14ac:dyDescent="0.4">
      <c r="K841" s="40">
        <v>839</v>
      </c>
      <c r="L841" s="105">
        <v>6.3782312764715243E-14</v>
      </c>
    </row>
    <row r="842" spans="11:12" x14ac:dyDescent="0.4">
      <c r="K842" s="40">
        <v>840</v>
      </c>
      <c r="L842" s="105">
        <v>-5.9999999999999361</v>
      </c>
    </row>
    <row r="843" spans="11:12" x14ac:dyDescent="0.4">
      <c r="K843" s="40">
        <v>841</v>
      </c>
      <c r="L843" s="105">
        <v>18.300000000000065</v>
      </c>
    </row>
    <row r="844" spans="11:12" x14ac:dyDescent="0.4">
      <c r="K844" s="40">
        <v>842</v>
      </c>
      <c r="L844" s="105">
        <v>-15.699999999999935</v>
      </c>
    </row>
    <row r="845" spans="11:12" x14ac:dyDescent="0.4">
      <c r="K845" s="40">
        <v>843</v>
      </c>
      <c r="L845" s="105">
        <v>-5.9999999999999361</v>
      </c>
    </row>
    <row r="846" spans="11:12" x14ac:dyDescent="0.4">
      <c r="K846" s="40">
        <v>844</v>
      </c>
      <c r="L846" s="105">
        <v>-16.399999999999935</v>
      </c>
    </row>
    <row r="847" spans="11:12" x14ac:dyDescent="0.4">
      <c r="K847" s="40">
        <v>845</v>
      </c>
      <c r="L847" s="105">
        <v>-27.899999999999935</v>
      </c>
    </row>
    <row r="848" spans="11:12" x14ac:dyDescent="0.4">
      <c r="K848" s="40">
        <v>846</v>
      </c>
      <c r="L848" s="105">
        <v>-5.9999999999999361</v>
      </c>
    </row>
    <row r="849" spans="11:12" x14ac:dyDescent="0.4">
      <c r="K849" s="40">
        <v>847</v>
      </c>
      <c r="L849" s="105">
        <v>-23.199999999999935</v>
      </c>
    </row>
    <row r="850" spans="11:12" x14ac:dyDescent="0.4">
      <c r="K850" s="40">
        <v>848</v>
      </c>
      <c r="L850" s="105">
        <v>-32.499999999999936</v>
      </c>
    </row>
    <row r="851" spans="11:12" x14ac:dyDescent="0.4">
      <c r="K851" s="40">
        <v>849</v>
      </c>
      <c r="L851" s="105">
        <v>-5.9999999999999361</v>
      </c>
    </row>
    <row r="852" spans="11:12" x14ac:dyDescent="0.4">
      <c r="K852" s="40">
        <v>850</v>
      </c>
      <c r="L852" s="105">
        <v>-6.9999999999999361</v>
      </c>
    </row>
    <row r="853" spans="11:12" x14ac:dyDescent="0.4">
      <c r="K853" s="40">
        <v>851</v>
      </c>
      <c r="L853" s="105">
        <v>-23.999999999999936</v>
      </c>
    </row>
    <row r="854" spans="11:12" x14ac:dyDescent="0.4">
      <c r="K854" s="40">
        <v>852</v>
      </c>
      <c r="L854" s="105">
        <v>-5.9999999999999361</v>
      </c>
    </row>
    <row r="855" spans="11:12" x14ac:dyDescent="0.4">
      <c r="K855" s="40">
        <v>853</v>
      </c>
      <c r="L855" s="105">
        <v>13.800000000000065</v>
      </c>
    </row>
    <row r="856" spans="11:12" x14ac:dyDescent="0.4">
      <c r="K856" s="40">
        <v>854</v>
      </c>
      <c r="L856" s="105">
        <v>35.500000000000064</v>
      </c>
    </row>
    <row r="857" spans="11:12" x14ac:dyDescent="0.4">
      <c r="K857" s="40">
        <v>855</v>
      </c>
      <c r="L857" s="105">
        <v>-5.9999999999999361</v>
      </c>
    </row>
    <row r="858" spans="11:12" x14ac:dyDescent="0.4">
      <c r="K858" s="40">
        <v>856</v>
      </c>
      <c r="L858" s="105">
        <v>21.700000000000063</v>
      </c>
    </row>
    <row r="859" spans="11:12" x14ac:dyDescent="0.4">
      <c r="K859" s="40">
        <v>857</v>
      </c>
      <c r="L859" s="105">
        <v>19.900000000000063</v>
      </c>
    </row>
    <row r="860" spans="11:12" x14ac:dyDescent="0.4">
      <c r="K860" s="40">
        <v>858</v>
      </c>
      <c r="L860" s="105">
        <v>-5.9999999999999361</v>
      </c>
    </row>
    <row r="861" spans="11:12" x14ac:dyDescent="0.4">
      <c r="K861" s="40">
        <v>859</v>
      </c>
      <c r="L861" s="105">
        <v>1.5000000000000639</v>
      </c>
    </row>
    <row r="862" spans="11:12" x14ac:dyDescent="0.4">
      <c r="K862" s="40">
        <v>860</v>
      </c>
      <c r="L862" s="105">
        <v>39.500000000000064</v>
      </c>
    </row>
    <row r="863" spans="11:12" x14ac:dyDescent="0.4">
      <c r="K863" s="40">
        <v>861</v>
      </c>
      <c r="L863" s="105">
        <v>-5.9999999999999361</v>
      </c>
    </row>
    <row r="864" spans="11:12" x14ac:dyDescent="0.4">
      <c r="K864" s="40">
        <v>862</v>
      </c>
      <c r="L864" s="105">
        <v>25.500000000000064</v>
      </c>
    </row>
    <row r="865" spans="11:12" x14ac:dyDescent="0.4">
      <c r="K865" s="40">
        <v>863</v>
      </c>
      <c r="L865" s="105">
        <v>19.900000000000063</v>
      </c>
    </row>
    <row r="866" spans="11:12" x14ac:dyDescent="0.4">
      <c r="K866" s="40">
        <v>864</v>
      </c>
      <c r="L866" s="105">
        <v>-5.9999999999999361</v>
      </c>
    </row>
    <row r="867" spans="11:12" x14ac:dyDescent="0.4">
      <c r="K867" s="40">
        <v>865</v>
      </c>
      <c r="L867" s="105">
        <v>40.800000000000061</v>
      </c>
    </row>
    <row r="868" spans="11:12" x14ac:dyDescent="0.4">
      <c r="K868" s="40">
        <v>866</v>
      </c>
      <c r="L868" s="105">
        <v>20.300000000000061</v>
      </c>
    </row>
    <row r="869" spans="11:12" x14ac:dyDescent="0.4">
      <c r="K869" s="40">
        <v>867</v>
      </c>
      <c r="L869" s="105">
        <v>-5.9999999999999396</v>
      </c>
    </row>
    <row r="870" spans="11:12" x14ac:dyDescent="0.4">
      <c r="K870" s="40">
        <v>868</v>
      </c>
      <c r="L870" s="105">
        <v>46.500000000000057</v>
      </c>
    </row>
    <row r="871" spans="11:12" x14ac:dyDescent="0.4">
      <c r="K871" s="40">
        <v>869</v>
      </c>
      <c r="L871" s="105">
        <v>1.5000000000000568</v>
      </c>
    </row>
    <row r="872" spans="11:12" x14ac:dyDescent="0.4">
      <c r="K872" s="40">
        <v>870</v>
      </c>
      <c r="L872" s="105">
        <v>-5.9999999999999432</v>
      </c>
    </row>
    <row r="873" spans="11:12" x14ac:dyDescent="0.4">
      <c r="K873" s="40">
        <v>871</v>
      </c>
      <c r="L873" s="105">
        <v>-12.199999999999942</v>
      </c>
    </row>
    <row r="874" spans="11:12" x14ac:dyDescent="0.4">
      <c r="K874" s="40">
        <v>872</v>
      </c>
      <c r="L874" s="105">
        <v>-50.699999999999946</v>
      </c>
    </row>
    <row r="875" spans="11:12" x14ac:dyDescent="0.4">
      <c r="K875" s="40">
        <v>873</v>
      </c>
      <c r="L875" s="105">
        <v>-5.9999999999999432</v>
      </c>
    </row>
    <row r="876" spans="11:12" x14ac:dyDescent="0.4">
      <c r="K876" s="40">
        <v>874</v>
      </c>
      <c r="L876" s="105">
        <v>-14.799999999999944</v>
      </c>
    </row>
    <row r="877" spans="11:12" x14ac:dyDescent="0.4">
      <c r="K877" s="40">
        <v>875</v>
      </c>
      <c r="L877" s="105">
        <v>-50.199999999999946</v>
      </c>
    </row>
    <row r="878" spans="11:12" x14ac:dyDescent="0.4">
      <c r="K878" s="40">
        <v>876</v>
      </c>
      <c r="L878" s="105">
        <v>-5.9999999999999432</v>
      </c>
    </row>
    <row r="879" spans="11:12" x14ac:dyDescent="0.4">
      <c r="K879" s="40">
        <v>877</v>
      </c>
      <c r="L879" s="105">
        <v>12.500000000000057</v>
      </c>
    </row>
    <row r="880" spans="11:12" x14ac:dyDescent="0.4">
      <c r="K880" s="40">
        <v>878</v>
      </c>
      <c r="L880" s="105">
        <v>5.0000000000000568</v>
      </c>
    </row>
    <row r="881" spans="11:12" x14ac:dyDescent="0.4">
      <c r="K881" s="40">
        <v>879</v>
      </c>
      <c r="L881" s="105">
        <v>-6.9999999999999432</v>
      </c>
    </row>
    <row r="882" spans="11:12" x14ac:dyDescent="0.4">
      <c r="K882" s="40">
        <v>880</v>
      </c>
      <c r="L882" s="105">
        <v>26.100000000000058</v>
      </c>
    </row>
    <row r="883" spans="11:12" x14ac:dyDescent="0.4">
      <c r="K883" s="40">
        <v>881</v>
      </c>
      <c r="L883" s="105">
        <v>17.600000000000058</v>
      </c>
    </row>
    <row r="884" spans="11:12" x14ac:dyDescent="0.4">
      <c r="K884" s="40">
        <v>882</v>
      </c>
      <c r="L884" s="105">
        <v>-6.9999999999999432</v>
      </c>
    </row>
    <row r="885" spans="11:12" x14ac:dyDescent="0.4">
      <c r="K885" s="40">
        <v>883</v>
      </c>
      <c r="L885" s="105">
        <v>61.000000000000057</v>
      </c>
    </row>
    <row r="886" spans="11:12" x14ac:dyDescent="0.4">
      <c r="K886" s="40">
        <v>884</v>
      </c>
      <c r="L886" s="105">
        <v>13.000000000000057</v>
      </c>
    </row>
    <row r="887" spans="11:12" x14ac:dyDescent="0.4">
      <c r="K887" s="40">
        <v>885</v>
      </c>
      <c r="L887" s="105">
        <v>-6.9999999999999432</v>
      </c>
    </row>
    <row r="888" spans="11:12" x14ac:dyDescent="0.4">
      <c r="K888" s="40">
        <v>886</v>
      </c>
      <c r="L888" s="105">
        <v>-28.899999999999942</v>
      </c>
    </row>
    <row r="889" spans="11:12" x14ac:dyDescent="0.4">
      <c r="K889" s="40">
        <v>887</v>
      </c>
      <c r="L889" s="105">
        <v>-14.399999999999942</v>
      </c>
    </row>
    <row r="890" spans="11:12" x14ac:dyDescent="0.4">
      <c r="K890" s="40">
        <v>888</v>
      </c>
      <c r="L890" s="105">
        <v>-6.9999999999999414</v>
      </c>
    </row>
    <row r="891" spans="11:12" x14ac:dyDescent="0.4">
      <c r="K891" s="40">
        <v>889</v>
      </c>
      <c r="L891" s="105">
        <v>2.0000000000000586</v>
      </c>
    </row>
    <row r="892" spans="11:12" x14ac:dyDescent="0.4">
      <c r="K892" s="40">
        <v>890</v>
      </c>
      <c r="L892" s="105">
        <v>-24.199999999999939</v>
      </c>
    </row>
    <row r="893" spans="11:12" x14ac:dyDescent="0.4">
      <c r="K893" s="40">
        <v>891</v>
      </c>
      <c r="L893" s="105">
        <v>-6.9999999999999396</v>
      </c>
    </row>
    <row r="894" spans="11:12" x14ac:dyDescent="0.4">
      <c r="K894" s="40">
        <v>892</v>
      </c>
      <c r="L894" s="105">
        <v>11.70000000000006</v>
      </c>
    </row>
    <row r="895" spans="11:12" x14ac:dyDescent="0.4">
      <c r="K895" s="40">
        <v>893</v>
      </c>
      <c r="L895" s="105">
        <v>7.9000000000000599</v>
      </c>
    </row>
    <row r="896" spans="11:12" x14ac:dyDescent="0.4">
      <c r="K896" s="40">
        <v>894</v>
      </c>
      <c r="L896" s="105">
        <v>-6.9999999999999405</v>
      </c>
    </row>
    <row r="897" spans="11:12" x14ac:dyDescent="0.4">
      <c r="K897" s="40">
        <v>895</v>
      </c>
      <c r="L897" s="105">
        <v>19.600000000000062</v>
      </c>
    </row>
    <row r="898" spans="11:12" x14ac:dyDescent="0.4">
      <c r="K898" s="40">
        <v>896</v>
      </c>
      <c r="L898" s="105">
        <v>0.70000000000006324</v>
      </c>
    </row>
    <row r="899" spans="11:12" x14ac:dyDescent="0.4">
      <c r="K899" s="40">
        <v>897</v>
      </c>
      <c r="L899" s="105">
        <v>-6.9999999999999369</v>
      </c>
    </row>
    <row r="900" spans="11:12" x14ac:dyDescent="0.4">
      <c r="K900" s="40">
        <v>898</v>
      </c>
      <c r="L900" s="105">
        <v>12.000000000000064</v>
      </c>
    </row>
    <row r="901" spans="11:12" x14ac:dyDescent="0.4">
      <c r="K901" s="40">
        <v>899</v>
      </c>
      <c r="L901" s="105">
        <v>-6.5999999999999375</v>
      </c>
    </row>
    <row r="902" spans="11:12" x14ac:dyDescent="0.4">
      <c r="K902" s="40">
        <v>900</v>
      </c>
      <c r="L902" s="105">
        <v>-7.9999999999999378</v>
      </c>
    </row>
    <row r="903" spans="11:12" x14ac:dyDescent="0.4">
      <c r="K903" s="40">
        <v>901</v>
      </c>
      <c r="L903" s="105">
        <v>-53.399999999999935</v>
      </c>
    </row>
    <row r="904" spans="11:12" x14ac:dyDescent="0.4">
      <c r="K904" s="40">
        <v>902</v>
      </c>
      <c r="L904" s="105">
        <v>-13.899999999999935</v>
      </c>
    </row>
    <row r="905" spans="11:12" x14ac:dyDescent="0.4">
      <c r="K905" s="40">
        <v>903</v>
      </c>
      <c r="L905" s="105">
        <v>-7.9999999999999343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A44C-5776-466D-A9ED-E795383AC03D}">
  <sheetPr codeName="Sheet7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133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257</v>
      </c>
      <c r="C2" s="146"/>
      <c r="E2" s="64" t="s">
        <v>71</v>
      </c>
      <c r="F2" s="61" t="s">
        <v>25</v>
      </c>
      <c r="G2" s="48">
        <v>457</v>
      </c>
      <c r="H2" s="140">
        <f t="shared" ref="H2:H33" si="0">IF(B$27=0,0,G2/B$27)</f>
        <v>0.84786641929499074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1510.6719367588933</v>
      </c>
      <c r="P2" s="124">
        <v>253</v>
      </c>
      <c r="Q2" s="108">
        <v>382200</v>
      </c>
    </row>
    <row r="3" spans="1:17" x14ac:dyDescent="0.4">
      <c r="A3" s="57" t="s">
        <v>8</v>
      </c>
      <c r="B3" s="147">
        <v>1946</v>
      </c>
      <c r="C3" s="148"/>
      <c r="E3" s="65" t="s">
        <v>69</v>
      </c>
      <c r="F3" s="62" t="s">
        <v>23</v>
      </c>
      <c r="G3" s="49">
        <v>390</v>
      </c>
      <c r="H3" s="141">
        <f t="shared" si="0"/>
        <v>0.72356215213358066</v>
      </c>
      <c r="I3" s="100">
        <v>5</v>
      </c>
      <c r="K3" s="40">
        <v>1</v>
      </c>
      <c r="L3" s="105">
        <v>15</v>
      </c>
      <c r="N3" s="121" t="s">
        <v>148</v>
      </c>
      <c r="O3" s="128">
        <f t="shared" si="1"/>
        <v>627.86885245901635</v>
      </c>
      <c r="P3" s="125">
        <v>244</v>
      </c>
      <c r="Q3" s="109">
        <v>153200</v>
      </c>
    </row>
    <row r="4" spans="1:17" x14ac:dyDescent="0.4">
      <c r="A4" s="57" t="s">
        <v>6</v>
      </c>
      <c r="B4" s="149">
        <v>1888.9999999999993</v>
      </c>
      <c r="C4" s="150"/>
      <c r="E4" s="65" t="s">
        <v>67</v>
      </c>
      <c r="F4" s="62" t="s">
        <v>21</v>
      </c>
      <c r="G4" s="49">
        <v>294</v>
      </c>
      <c r="H4" s="141">
        <f t="shared" si="0"/>
        <v>0.54545454545454541</v>
      </c>
      <c r="I4" s="100">
        <v>7</v>
      </c>
      <c r="K4" s="40">
        <v>2</v>
      </c>
      <c r="L4" s="105">
        <v>14</v>
      </c>
      <c r="N4" s="121" t="s">
        <v>149</v>
      </c>
      <c r="O4" s="128">
        <f t="shared" si="1"/>
        <v>2042.9824561403509</v>
      </c>
      <c r="P4" s="125">
        <v>228</v>
      </c>
      <c r="Q4" s="109">
        <v>465800</v>
      </c>
    </row>
    <row r="5" spans="1:17" x14ac:dyDescent="0.4">
      <c r="A5" s="57" t="s">
        <v>7</v>
      </c>
      <c r="B5" s="151">
        <f>IF(B$2=0,0,B$4/B$2)</f>
        <v>7.3501945525291799</v>
      </c>
      <c r="C5" s="152"/>
      <c r="E5" s="65" t="s">
        <v>76</v>
      </c>
      <c r="F5" s="62" t="s">
        <v>29</v>
      </c>
      <c r="G5" s="49">
        <v>294</v>
      </c>
      <c r="H5" s="141">
        <f t="shared" si="0"/>
        <v>0.54545454545454541</v>
      </c>
      <c r="I5" s="100">
        <v>9</v>
      </c>
      <c r="K5" s="40">
        <v>3</v>
      </c>
      <c r="L5" s="105">
        <v>29.1</v>
      </c>
      <c r="N5" s="121" t="s">
        <v>150</v>
      </c>
      <c r="O5" s="128">
        <f t="shared" si="1"/>
        <v>1670.7317073170732</v>
      </c>
      <c r="P5" s="125">
        <v>205</v>
      </c>
      <c r="Q5" s="109">
        <v>342500</v>
      </c>
    </row>
    <row r="6" spans="1:17" x14ac:dyDescent="0.4">
      <c r="A6" s="57" t="s">
        <v>1</v>
      </c>
      <c r="B6" s="157">
        <f>IF(B$2=0,0,(B$7*1+B$8*2+B$9*3)/B$2)</f>
        <v>1.7470817120622568</v>
      </c>
      <c r="C6" s="158"/>
      <c r="E6" s="65" t="s">
        <v>70</v>
      </c>
      <c r="F6" s="62" t="s">
        <v>24</v>
      </c>
      <c r="G6" s="49">
        <v>161</v>
      </c>
      <c r="H6" s="141">
        <f t="shared" si="0"/>
        <v>0.29870129870129869</v>
      </c>
      <c r="I6" s="100">
        <v>8</v>
      </c>
      <c r="K6" s="40">
        <v>4</v>
      </c>
      <c r="L6" s="105">
        <v>114.30000000000001</v>
      </c>
      <c r="N6" s="121" t="s">
        <v>151</v>
      </c>
      <c r="O6" s="128">
        <f t="shared" si="1"/>
        <v>1381.6666666666667</v>
      </c>
      <c r="P6" s="125">
        <v>180</v>
      </c>
      <c r="Q6" s="109">
        <v>248700</v>
      </c>
    </row>
    <row r="7" spans="1:17" x14ac:dyDescent="0.4">
      <c r="A7" s="57" t="s">
        <v>2</v>
      </c>
      <c r="B7" s="49">
        <v>116</v>
      </c>
      <c r="C7" s="41">
        <f>IF(B$2=0,0,B7/B$2)</f>
        <v>0.45136186770428016</v>
      </c>
      <c r="E7" s="65" t="s">
        <v>72</v>
      </c>
      <c r="F7" s="62" t="s">
        <v>12</v>
      </c>
      <c r="G7" s="49">
        <v>161</v>
      </c>
      <c r="H7" s="141">
        <f t="shared" si="0"/>
        <v>0.29870129870129869</v>
      </c>
      <c r="I7" s="100">
        <v>8</v>
      </c>
      <c r="K7" s="40">
        <v>5</v>
      </c>
      <c r="L7" s="105">
        <v>145.80000000000001</v>
      </c>
      <c r="N7" s="122" t="s">
        <v>152</v>
      </c>
      <c r="O7" s="129">
        <f t="shared" si="1"/>
        <v>1772.7891156462586</v>
      </c>
      <c r="P7" s="126">
        <v>147</v>
      </c>
      <c r="Q7" s="110">
        <v>260600</v>
      </c>
    </row>
    <row r="8" spans="1:17" x14ac:dyDescent="0.4">
      <c r="A8" s="57" t="s">
        <v>3</v>
      </c>
      <c r="B8" s="49">
        <v>90</v>
      </c>
      <c r="C8" s="41">
        <f>IF(B$2=0,0,B8/B$2)</f>
        <v>0.35019455252918286</v>
      </c>
      <c r="E8" s="65" t="s">
        <v>94</v>
      </c>
      <c r="F8" s="62" t="s">
        <v>47</v>
      </c>
      <c r="G8" s="49">
        <v>97</v>
      </c>
      <c r="H8" s="141">
        <f t="shared" si="0"/>
        <v>0.17996289424860853</v>
      </c>
      <c r="I8" s="100">
        <v>2</v>
      </c>
      <c r="K8" s="40">
        <v>6</v>
      </c>
      <c r="L8" s="105">
        <v>97.800000000000011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51</v>
      </c>
      <c r="C9" s="42">
        <f t="shared" ref="C9" si="2">IF(B$2=0,0,B9/B$2)</f>
        <v>0.19844357976653695</v>
      </c>
      <c r="E9" s="65" t="s">
        <v>73</v>
      </c>
      <c r="F9" s="62" t="s">
        <v>26</v>
      </c>
      <c r="G9" s="49">
        <v>83</v>
      </c>
      <c r="H9" s="141">
        <f t="shared" si="0"/>
        <v>0.15398886827458255</v>
      </c>
      <c r="I9" s="100">
        <v>6</v>
      </c>
      <c r="K9" s="40">
        <v>7</v>
      </c>
      <c r="L9" s="105">
        <v>91.700000000000017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25</v>
      </c>
      <c r="C10" s="42">
        <f>IF(B$2=0,0,B10/B$2)</f>
        <v>9.727626459143969E-2</v>
      </c>
      <c r="E10" s="65" t="s">
        <v>68</v>
      </c>
      <c r="F10" s="62" t="s">
        <v>22</v>
      </c>
      <c r="G10" s="49">
        <v>66</v>
      </c>
      <c r="H10" s="141">
        <f t="shared" si="0"/>
        <v>0.12244897959183673</v>
      </c>
      <c r="I10" s="100">
        <v>7</v>
      </c>
      <c r="K10" s="40">
        <v>8</v>
      </c>
      <c r="L10" s="105">
        <v>55.700000000000017</v>
      </c>
      <c r="N10" s="120" t="s">
        <v>253</v>
      </c>
      <c r="O10" s="130">
        <f>IF(P10=0,0,Q10/P10)</f>
        <v>9.4370370370370402</v>
      </c>
      <c r="P10" s="124">
        <v>54</v>
      </c>
      <c r="Q10" s="112">
        <v>509.60000000000019</v>
      </c>
    </row>
    <row r="11" spans="1:17" x14ac:dyDescent="0.4">
      <c r="A11" s="58" t="s">
        <v>155</v>
      </c>
      <c r="B11" s="50">
        <v>48</v>
      </c>
      <c r="C11" s="42">
        <f>IF(B$2=0,0,B11/B$2)</f>
        <v>0.1867704280155642</v>
      </c>
      <c r="E11" s="65" t="s">
        <v>74</v>
      </c>
      <c r="F11" s="62" t="s">
        <v>27</v>
      </c>
      <c r="G11" s="49">
        <v>44</v>
      </c>
      <c r="H11" s="141">
        <f t="shared" si="0"/>
        <v>8.1632653061224483E-2</v>
      </c>
      <c r="I11" s="100">
        <v>9</v>
      </c>
      <c r="K11" s="40">
        <v>9</v>
      </c>
      <c r="L11" s="105">
        <v>14.700000000000017</v>
      </c>
      <c r="N11" s="121" t="s">
        <v>254</v>
      </c>
      <c r="O11" s="131">
        <f>IF(P11=0,0,Q11/P11)</f>
        <v>6.5573333333333332</v>
      </c>
      <c r="P11" s="125">
        <v>75</v>
      </c>
      <c r="Q11" s="113">
        <v>491.8</v>
      </c>
    </row>
    <row r="12" spans="1:17" x14ac:dyDescent="0.4">
      <c r="A12" s="59" t="s">
        <v>239</v>
      </c>
      <c r="B12" s="51">
        <v>26</v>
      </c>
      <c r="C12" s="44">
        <f>IF(B$2=0,0,B12/B$2)</f>
        <v>0.10116731517509728</v>
      </c>
      <c r="E12" s="65" t="s">
        <v>91</v>
      </c>
      <c r="F12" s="62" t="s">
        <v>44</v>
      </c>
      <c r="G12" s="49">
        <v>37</v>
      </c>
      <c r="H12" s="141">
        <f t="shared" si="0"/>
        <v>6.8645640074211506E-2</v>
      </c>
      <c r="I12" s="100">
        <v>7</v>
      </c>
      <c r="K12" s="40">
        <v>10</v>
      </c>
      <c r="L12" s="105">
        <v>-16.799999999999983</v>
      </c>
      <c r="N12" s="122" t="s">
        <v>255</v>
      </c>
      <c r="O12" s="132">
        <f>IF(P12=0,0,Q12/P12)</f>
        <v>6.8800000000000008</v>
      </c>
      <c r="P12" s="126">
        <v>125</v>
      </c>
      <c r="Q12" s="114">
        <v>860.00000000000011</v>
      </c>
    </row>
    <row r="13" spans="1:17" x14ac:dyDescent="0.4">
      <c r="A13" s="60" t="s">
        <v>128</v>
      </c>
      <c r="B13" s="52">
        <v>452</v>
      </c>
      <c r="C13" s="46">
        <f>IF(B$26=0,0,B13/B$26)</f>
        <v>0.30335570469798656</v>
      </c>
      <c r="E13" s="65" t="s">
        <v>75</v>
      </c>
      <c r="F13" s="62" t="s">
        <v>28</v>
      </c>
      <c r="G13" s="49">
        <v>32</v>
      </c>
      <c r="H13" s="141">
        <f t="shared" si="0"/>
        <v>5.9369202226345084E-2</v>
      </c>
      <c r="I13" s="100">
        <v>3</v>
      </c>
      <c r="K13" s="40">
        <v>11</v>
      </c>
      <c r="L13" s="105">
        <v>1.5000000000000178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311</v>
      </c>
      <c r="C14" s="41">
        <f>IF(B$26=0,0,B14/B$26)</f>
        <v>0.20872483221476509</v>
      </c>
      <c r="E14" s="65" t="s">
        <v>88</v>
      </c>
      <c r="F14" s="62" t="s">
        <v>41</v>
      </c>
      <c r="G14" s="49">
        <v>19</v>
      </c>
      <c r="H14" s="141">
        <f t="shared" si="0"/>
        <v>3.525046382189239E-2</v>
      </c>
      <c r="I14" s="100">
        <v>7</v>
      </c>
      <c r="K14" s="40">
        <v>12</v>
      </c>
      <c r="L14" s="105">
        <v>14.300000000000018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296</v>
      </c>
      <c r="C15" s="39">
        <f>IF(B$13=0,0,B15/B$13)</f>
        <v>0.65486725663716816</v>
      </c>
      <c r="E15" s="65" t="s">
        <v>86</v>
      </c>
      <c r="F15" s="62" t="s">
        <v>39</v>
      </c>
      <c r="G15" s="49">
        <v>11</v>
      </c>
      <c r="H15" s="141">
        <f t="shared" si="0"/>
        <v>2.0408163265306121E-2</v>
      </c>
      <c r="I15" s="100">
        <v>9</v>
      </c>
      <c r="K15" s="40">
        <v>13</v>
      </c>
      <c r="L15" s="105">
        <v>71.300000000000011</v>
      </c>
      <c r="N15" s="120" t="s">
        <v>171</v>
      </c>
      <c r="O15" s="130">
        <f t="shared" ref="O15:O25" si="3"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153</v>
      </c>
      <c r="C16" s="39">
        <f>IF(B$14=0,0,B16/B$14)</f>
        <v>0.49196141479099681</v>
      </c>
      <c r="E16" s="65" t="s">
        <v>96</v>
      </c>
      <c r="F16" s="62" t="s">
        <v>49</v>
      </c>
      <c r="G16" s="49">
        <v>8</v>
      </c>
      <c r="H16" s="141">
        <f t="shared" si="0"/>
        <v>1.4842300556586271E-2</v>
      </c>
      <c r="I16" s="100">
        <v>9</v>
      </c>
      <c r="K16" s="40">
        <v>14</v>
      </c>
      <c r="L16" s="105">
        <v>27.300000000000011</v>
      </c>
      <c r="N16" s="121" t="s">
        <v>166</v>
      </c>
      <c r="O16" s="131">
        <f t="shared" si="3"/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695</v>
      </c>
      <c r="C17" s="39">
        <f>IF(B$3=0,0,B17/B$3)</f>
        <v>0.35714285714285715</v>
      </c>
      <c r="E17" s="65" t="s">
        <v>82</v>
      </c>
      <c r="F17" s="62" t="s">
        <v>35</v>
      </c>
      <c r="G17" s="49">
        <v>7</v>
      </c>
      <c r="H17" s="141">
        <f t="shared" si="0"/>
        <v>1.2987012987012988E-2</v>
      </c>
      <c r="I17" s="100">
        <v>9</v>
      </c>
      <c r="K17" s="40">
        <v>15</v>
      </c>
      <c r="L17" s="105">
        <v>-9.6999999999999886</v>
      </c>
      <c r="N17" s="121" t="s">
        <v>157</v>
      </c>
      <c r="O17" s="131">
        <f t="shared" si="3"/>
        <v>29.464000000000002</v>
      </c>
      <c r="P17" s="125">
        <v>25</v>
      </c>
      <c r="Q17" s="113">
        <v>736.6</v>
      </c>
    </row>
    <row r="18" spans="1:17" x14ac:dyDescent="0.4">
      <c r="A18" s="57" t="s">
        <v>12</v>
      </c>
      <c r="B18" s="49">
        <v>269</v>
      </c>
      <c r="C18" s="41">
        <f>IF(B$17=0,0,B18/B$17)</f>
        <v>0.38705035971223023</v>
      </c>
      <c r="E18" s="65" t="s">
        <v>83</v>
      </c>
      <c r="F18" s="62" t="s">
        <v>36</v>
      </c>
      <c r="G18" s="49">
        <v>5</v>
      </c>
      <c r="H18" s="141">
        <f t="shared" si="0"/>
        <v>9.2764378478664197E-3</v>
      </c>
      <c r="I18" s="100">
        <v>9</v>
      </c>
      <c r="K18" s="40">
        <v>16</v>
      </c>
      <c r="L18" s="105">
        <v>-8.099999999999989</v>
      </c>
      <c r="N18" s="121" t="s">
        <v>250</v>
      </c>
      <c r="O18" s="131">
        <f t="shared" si="3"/>
        <v>26.587499999999995</v>
      </c>
      <c r="P18" s="125">
        <v>8</v>
      </c>
      <c r="Q18" s="113">
        <v>212.69999999999996</v>
      </c>
    </row>
    <row r="19" spans="1:17" x14ac:dyDescent="0.4">
      <c r="A19" s="57" t="s">
        <v>11</v>
      </c>
      <c r="B19" s="49">
        <v>426</v>
      </c>
      <c r="C19" s="41">
        <f>IF(B$17=0,0,B19/B$17)</f>
        <v>0.61294964028776977</v>
      </c>
      <c r="E19" s="65" t="s">
        <v>79</v>
      </c>
      <c r="F19" s="62" t="s">
        <v>32</v>
      </c>
      <c r="G19" s="49">
        <v>4</v>
      </c>
      <c r="H19" s="141">
        <f t="shared" si="0"/>
        <v>7.4211502782931356E-3</v>
      </c>
      <c r="I19" s="100">
        <v>3</v>
      </c>
      <c r="K19" s="40">
        <v>17</v>
      </c>
      <c r="L19" s="105">
        <v>-29.499999999999986</v>
      </c>
      <c r="N19" s="121" t="s">
        <v>136</v>
      </c>
      <c r="O19" s="131">
        <f t="shared" si="3"/>
        <v>17.15735294117647</v>
      </c>
      <c r="P19" s="125">
        <v>68</v>
      </c>
      <c r="Q19" s="113">
        <v>1166.7</v>
      </c>
    </row>
    <row r="20" spans="1:17" x14ac:dyDescent="0.4">
      <c r="A20" s="57" t="s">
        <v>13</v>
      </c>
      <c r="B20" s="49">
        <v>273</v>
      </c>
      <c r="C20" s="41">
        <f>IF(B$3=0,0,B20/B$3)</f>
        <v>0.14028776978417265</v>
      </c>
      <c r="E20" s="65" t="s">
        <v>81</v>
      </c>
      <c r="F20" s="62" t="s">
        <v>34</v>
      </c>
      <c r="G20" s="49">
        <v>4</v>
      </c>
      <c r="H20" s="141">
        <f t="shared" si="0"/>
        <v>7.4211502782931356E-3</v>
      </c>
      <c r="I20" s="100">
        <v>4</v>
      </c>
      <c r="K20" s="40">
        <v>18</v>
      </c>
      <c r="L20" s="105">
        <v>-14.599999999999985</v>
      </c>
      <c r="N20" s="121" t="s">
        <v>139</v>
      </c>
      <c r="O20" s="131">
        <f t="shared" si="3"/>
        <v>11.685849056603773</v>
      </c>
      <c r="P20" s="125">
        <v>106</v>
      </c>
      <c r="Q20" s="113">
        <v>1238.7</v>
      </c>
    </row>
    <row r="21" spans="1:17" x14ac:dyDescent="0.4">
      <c r="A21" s="57" t="s">
        <v>5</v>
      </c>
      <c r="B21" s="53">
        <f>IF(B$17=0,0,C21/B$17)</f>
        <v>9923.1654676258986</v>
      </c>
      <c r="C21" s="43">
        <v>6896600</v>
      </c>
      <c r="E21" s="65" t="s">
        <v>77</v>
      </c>
      <c r="F21" s="62" t="s">
        <v>30</v>
      </c>
      <c r="G21" s="49">
        <v>3</v>
      </c>
      <c r="H21" s="141">
        <f t="shared" si="0"/>
        <v>5.5658627087198514E-3</v>
      </c>
      <c r="I21" s="100">
        <v>5</v>
      </c>
      <c r="K21" s="40">
        <v>19</v>
      </c>
      <c r="L21" s="105">
        <v>42.600000000000016</v>
      </c>
      <c r="N21" s="121" t="s">
        <v>134</v>
      </c>
      <c r="O21" s="131">
        <f t="shared" si="3"/>
        <v>10.028813559322026</v>
      </c>
      <c r="P21" s="125">
        <v>118</v>
      </c>
      <c r="Q21" s="113">
        <v>1183.3999999999992</v>
      </c>
    </row>
    <row r="22" spans="1:17" x14ac:dyDescent="0.4">
      <c r="A22" s="59" t="s">
        <v>14</v>
      </c>
      <c r="B22" s="54">
        <f>IF(B$20=0,0,C22/B$20)</f>
        <v>-9277.6556776556772</v>
      </c>
      <c r="C22" s="47">
        <v>-2532800</v>
      </c>
      <c r="E22" s="65" t="s">
        <v>90</v>
      </c>
      <c r="F22" s="62" t="s">
        <v>43</v>
      </c>
      <c r="G22" s="49">
        <v>3</v>
      </c>
      <c r="H22" s="141">
        <f t="shared" si="0"/>
        <v>5.5658627087198514E-3</v>
      </c>
      <c r="I22" s="100">
        <v>3</v>
      </c>
      <c r="K22" s="40">
        <v>20</v>
      </c>
      <c r="L22" s="105">
        <v>68.800000000000011</v>
      </c>
      <c r="N22" s="121" t="s">
        <v>138</v>
      </c>
      <c r="O22" s="131">
        <f t="shared" si="3"/>
        <v>9.1555555555555568</v>
      </c>
      <c r="P22" s="125">
        <v>27</v>
      </c>
      <c r="Q22" s="113">
        <v>247.20000000000005</v>
      </c>
    </row>
    <row r="23" spans="1:17" x14ac:dyDescent="0.4">
      <c r="A23" s="96" t="s">
        <v>158</v>
      </c>
      <c r="B23" s="155">
        <v>10</v>
      </c>
      <c r="C23" s="156"/>
      <c r="E23" s="65" t="s">
        <v>97</v>
      </c>
      <c r="F23" s="62" t="s">
        <v>50</v>
      </c>
      <c r="G23" s="49">
        <v>3</v>
      </c>
      <c r="H23" s="141">
        <f t="shared" si="0"/>
        <v>5.5658627087198514E-3</v>
      </c>
      <c r="I23" s="100">
        <v>4</v>
      </c>
      <c r="K23" s="40">
        <v>21</v>
      </c>
      <c r="L23" s="105">
        <v>125.30000000000001</v>
      </c>
      <c r="N23" s="121" t="s">
        <v>167</v>
      </c>
      <c r="O23" s="131">
        <f t="shared" si="3"/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53">
        <v>120200</v>
      </c>
      <c r="C24" s="154"/>
      <c r="E24" s="65" t="s">
        <v>78</v>
      </c>
      <c r="F24" s="62" t="s">
        <v>31</v>
      </c>
      <c r="G24" s="49">
        <v>2</v>
      </c>
      <c r="H24" s="141">
        <f t="shared" si="0"/>
        <v>3.7105751391465678E-3</v>
      </c>
      <c r="I24" s="100">
        <v>3</v>
      </c>
      <c r="K24" s="40">
        <v>22</v>
      </c>
      <c r="L24" s="105">
        <v>99.800000000000011</v>
      </c>
      <c r="N24" s="121" t="s">
        <v>137</v>
      </c>
      <c r="O24" s="131">
        <f t="shared" si="3"/>
        <v>4.0326732673267331</v>
      </c>
      <c r="P24" s="125">
        <v>101</v>
      </c>
      <c r="Q24" s="113">
        <v>407.3</v>
      </c>
    </row>
    <row r="25" spans="1:17" x14ac:dyDescent="0.4">
      <c r="A25" s="59" t="s">
        <v>159</v>
      </c>
      <c r="B25" s="67">
        <v>2</v>
      </c>
      <c r="C25" s="44">
        <f>IF(B$3=0,0,B25/B$3)</f>
        <v>1.0277492291880781E-3</v>
      </c>
      <c r="E25" s="65" t="s">
        <v>92</v>
      </c>
      <c r="F25" s="62" t="s">
        <v>45</v>
      </c>
      <c r="G25" s="49">
        <v>2</v>
      </c>
      <c r="H25" s="141">
        <f t="shared" si="0"/>
        <v>3.7105751391465678E-3</v>
      </c>
      <c r="I25" s="100">
        <v>2</v>
      </c>
      <c r="K25" s="40">
        <v>23</v>
      </c>
      <c r="L25" s="105">
        <v>124.50000000000001</v>
      </c>
      <c r="N25" s="121" t="s">
        <v>135</v>
      </c>
      <c r="O25" s="131">
        <f t="shared" si="3"/>
        <v>1.0818181818181809</v>
      </c>
      <c r="P25" s="125">
        <v>55</v>
      </c>
      <c r="Q25" s="113">
        <v>59.49999999999995</v>
      </c>
    </row>
    <row r="26" spans="1:17" x14ac:dyDescent="0.4">
      <c r="A26" s="56" t="s">
        <v>126</v>
      </c>
      <c r="B26" s="145">
        <v>1490</v>
      </c>
      <c r="C26" s="146"/>
      <c r="E26" s="65" t="s">
        <v>95</v>
      </c>
      <c r="F26" s="62" t="s">
        <v>48</v>
      </c>
      <c r="G26" s="49">
        <v>1</v>
      </c>
      <c r="H26" s="141">
        <f t="shared" si="0"/>
        <v>1.8552875695732839E-3</v>
      </c>
      <c r="I26" s="100">
        <v>2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59">
        <v>539</v>
      </c>
      <c r="C27" s="160"/>
      <c r="E27" s="65" t="s">
        <v>98</v>
      </c>
      <c r="F27" s="62" t="s">
        <v>51</v>
      </c>
      <c r="G27" s="49">
        <v>1</v>
      </c>
      <c r="H27" s="141">
        <f t="shared" si="0"/>
        <v>1.8552875695732839E-3</v>
      </c>
      <c r="I27" s="100">
        <v>5</v>
      </c>
      <c r="K27" s="40">
        <v>25</v>
      </c>
      <c r="L27" s="105">
        <v>84.300000000000011</v>
      </c>
    </row>
    <row r="28" spans="1:17" x14ac:dyDescent="0.4">
      <c r="E28" s="65" t="s">
        <v>100</v>
      </c>
      <c r="F28" s="62" t="s">
        <v>53</v>
      </c>
      <c r="G28" s="49">
        <v>1</v>
      </c>
      <c r="H28" s="141">
        <f t="shared" si="0"/>
        <v>1.8552875695732839E-3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111</v>
      </c>
      <c r="F29" s="62" t="s">
        <v>118</v>
      </c>
      <c r="G29" s="49">
        <v>1</v>
      </c>
      <c r="H29" s="141">
        <f t="shared" si="0"/>
        <v>1.8552875695732839E-3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41">
        <f t="shared" si="0"/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41">
        <f t="shared" si="0"/>
        <v>0</v>
      </c>
      <c r="I31" s="100">
        <v>1</v>
      </c>
      <c r="K31" s="40">
        <v>29</v>
      </c>
      <c r="L31" s="105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41">
        <f t="shared" si="0"/>
        <v>0</v>
      </c>
      <c r="I32" s="100">
        <v>3</v>
      </c>
      <c r="K32" s="40">
        <v>30</v>
      </c>
      <c r="L32" s="105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41">
        <f t="shared" si="0"/>
        <v>0</v>
      </c>
      <c r="I33" s="100">
        <v>1</v>
      </c>
      <c r="K33" s="40">
        <v>31</v>
      </c>
      <c r="L33" s="105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41">
        <f t="shared" ref="H34:H65" si="4">IF(B$27=0,0,G34/B$27)</f>
        <v>0</v>
      </c>
      <c r="I34" s="100">
        <v>5</v>
      </c>
      <c r="K34" s="40">
        <v>32</v>
      </c>
      <c r="L34" s="105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41">
        <f t="shared" si="4"/>
        <v>0</v>
      </c>
      <c r="I35" s="100">
        <v>3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41">
        <f t="shared" si="4"/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41">
        <f t="shared" si="4"/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41">
        <f t="shared" si="4"/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41">
        <f t="shared" si="4"/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41">
        <f t="shared" si="4"/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41">
        <f t="shared" si="4"/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41">
        <f t="shared" si="4"/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41">
        <f t="shared" si="4"/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41">
        <f t="shared" si="4"/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41">
        <f t="shared" si="4"/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41">
        <f t="shared" si="4"/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 t="shared" si="4"/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 t="shared" si="4"/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 t="shared" si="4"/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 t="shared" si="4"/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 t="shared" si="4"/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  <row r="221" spans="11:12" x14ac:dyDescent="0.4">
      <c r="K221" s="40">
        <v>219</v>
      </c>
      <c r="L221" s="105">
        <v>1351.2999999999997</v>
      </c>
    </row>
    <row r="222" spans="11:12" x14ac:dyDescent="0.4">
      <c r="K222" s="40">
        <v>220</v>
      </c>
      <c r="L222" s="105">
        <v>1363.8999999999996</v>
      </c>
    </row>
    <row r="223" spans="11:12" x14ac:dyDescent="0.4">
      <c r="K223" s="40">
        <v>221</v>
      </c>
      <c r="L223" s="105">
        <v>1377.2999999999997</v>
      </c>
    </row>
    <row r="224" spans="11:12" x14ac:dyDescent="0.4">
      <c r="K224" s="40">
        <v>222</v>
      </c>
      <c r="L224" s="105">
        <v>1383.3999999999996</v>
      </c>
    </row>
    <row r="225" spans="11:12" x14ac:dyDescent="0.4">
      <c r="K225" s="40">
        <v>223</v>
      </c>
      <c r="L225" s="105">
        <v>1450.0999999999997</v>
      </c>
    </row>
    <row r="226" spans="11:12" x14ac:dyDescent="0.4">
      <c r="K226" s="40">
        <v>224</v>
      </c>
      <c r="L226" s="105">
        <v>1411.9999999999998</v>
      </c>
    </row>
    <row r="227" spans="11:12" x14ac:dyDescent="0.4">
      <c r="K227" s="40">
        <v>225</v>
      </c>
      <c r="L227" s="105">
        <v>1434.9999999999998</v>
      </c>
    </row>
    <row r="228" spans="11:12" x14ac:dyDescent="0.4">
      <c r="K228" s="40">
        <v>226</v>
      </c>
      <c r="L228" s="105">
        <v>1444.4999999999998</v>
      </c>
    </row>
    <row r="229" spans="11:12" x14ac:dyDescent="0.4">
      <c r="K229" s="40">
        <v>227</v>
      </c>
      <c r="L229" s="105">
        <v>1449.4999999999998</v>
      </c>
    </row>
    <row r="230" spans="11:12" x14ac:dyDescent="0.4">
      <c r="K230" s="40">
        <v>228</v>
      </c>
      <c r="L230" s="105">
        <v>1457.2999999999997</v>
      </c>
    </row>
    <row r="231" spans="11:12" x14ac:dyDescent="0.4">
      <c r="K231" s="40">
        <v>229</v>
      </c>
      <c r="L231" s="105">
        <v>1499.5999999999997</v>
      </c>
    </row>
    <row r="232" spans="11:12" x14ac:dyDescent="0.4">
      <c r="K232" s="40">
        <v>230</v>
      </c>
      <c r="L232" s="105">
        <v>1540.2999999999997</v>
      </c>
    </row>
    <row r="233" spans="11:12" x14ac:dyDescent="0.4">
      <c r="K233" s="40">
        <v>231</v>
      </c>
      <c r="L233" s="105">
        <v>1540.3999999999996</v>
      </c>
    </row>
    <row r="234" spans="11:12" x14ac:dyDescent="0.4">
      <c r="K234" s="40">
        <v>232</v>
      </c>
      <c r="L234" s="105">
        <v>1552.5999999999997</v>
      </c>
    </row>
    <row r="235" spans="11:12" x14ac:dyDescent="0.4">
      <c r="K235" s="40">
        <v>233</v>
      </c>
      <c r="L235" s="105">
        <v>1562.0999999999997</v>
      </c>
    </row>
    <row r="236" spans="11:12" x14ac:dyDescent="0.4">
      <c r="K236" s="40">
        <v>234</v>
      </c>
      <c r="L236" s="105">
        <v>1589.2999999999997</v>
      </c>
    </row>
    <row r="237" spans="11:12" x14ac:dyDescent="0.4">
      <c r="K237" s="40">
        <v>235</v>
      </c>
      <c r="L237" s="105">
        <v>1576.6999999999998</v>
      </c>
    </row>
    <row r="238" spans="11:12" x14ac:dyDescent="0.4">
      <c r="K238" s="40">
        <v>236</v>
      </c>
      <c r="L238" s="105">
        <v>1584.1999999999998</v>
      </c>
    </row>
    <row r="239" spans="11:12" x14ac:dyDescent="0.4">
      <c r="K239" s="40">
        <v>237</v>
      </c>
      <c r="L239" s="105">
        <v>1591.9999999999998</v>
      </c>
    </row>
    <row r="240" spans="11:12" x14ac:dyDescent="0.4">
      <c r="K240" s="40">
        <v>238</v>
      </c>
      <c r="L240" s="105">
        <v>1638.8999999999999</v>
      </c>
    </row>
    <row r="241" spans="11:12" x14ac:dyDescent="0.4">
      <c r="K241" s="40">
        <v>239</v>
      </c>
      <c r="L241" s="105">
        <v>1645.1999999999998</v>
      </c>
    </row>
    <row r="242" spans="11:12" x14ac:dyDescent="0.4">
      <c r="K242" s="40">
        <v>240</v>
      </c>
      <c r="L242" s="105">
        <v>1669.4999999999998</v>
      </c>
    </row>
    <row r="243" spans="11:12" x14ac:dyDescent="0.4">
      <c r="K243" s="40">
        <v>241</v>
      </c>
      <c r="L243" s="105">
        <v>1659.0999999999997</v>
      </c>
    </row>
    <row r="244" spans="11:12" x14ac:dyDescent="0.4">
      <c r="K244" s="40">
        <v>242</v>
      </c>
      <c r="L244" s="105">
        <v>1658.0999999999997</v>
      </c>
    </row>
    <row r="245" spans="11:12" x14ac:dyDescent="0.4">
      <c r="K245" s="40">
        <v>243</v>
      </c>
      <c r="L245" s="105">
        <v>1677.8999999999996</v>
      </c>
    </row>
    <row r="246" spans="11:12" x14ac:dyDescent="0.4">
      <c r="K246" s="40">
        <v>244</v>
      </c>
      <c r="L246" s="105">
        <v>1705.5999999999997</v>
      </c>
    </row>
    <row r="247" spans="11:12" x14ac:dyDescent="0.4">
      <c r="K247" s="40">
        <v>245</v>
      </c>
      <c r="L247" s="105">
        <v>1713.0999999999997</v>
      </c>
    </row>
    <row r="248" spans="11:12" x14ac:dyDescent="0.4">
      <c r="K248" s="40">
        <v>246</v>
      </c>
      <c r="L248" s="105">
        <v>1744.5999999999997</v>
      </c>
    </row>
    <row r="249" spans="11:12" x14ac:dyDescent="0.4">
      <c r="K249" s="40">
        <v>247</v>
      </c>
      <c r="L249" s="105">
        <v>1797.0999999999997</v>
      </c>
    </row>
    <row r="250" spans="11:12" x14ac:dyDescent="0.4">
      <c r="K250" s="40">
        <v>248</v>
      </c>
      <c r="L250" s="105">
        <v>1790.8999999999996</v>
      </c>
    </row>
    <row r="251" spans="11:12" x14ac:dyDescent="0.4">
      <c r="K251" s="40">
        <v>249</v>
      </c>
      <c r="L251" s="105">
        <v>1782.0999999999997</v>
      </c>
    </row>
    <row r="252" spans="11:12" x14ac:dyDescent="0.4">
      <c r="K252" s="40">
        <v>250</v>
      </c>
      <c r="L252" s="105">
        <v>1800.5999999999997</v>
      </c>
    </row>
    <row r="253" spans="11:12" x14ac:dyDescent="0.4">
      <c r="K253" s="40">
        <v>251</v>
      </c>
      <c r="L253" s="105">
        <v>1833.6999999999996</v>
      </c>
    </row>
    <row r="254" spans="11:12" x14ac:dyDescent="0.4">
      <c r="K254" s="40">
        <v>252</v>
      </c>
      <c r="L254" s="105">
        <v>1901.6999999999996</v>
      </c>
    </row>
    <row r="255" spans="11:12" x14ac:dyDescent="0.4">
      <c r="K255" s="40">
        <v>253</v>
      </c>
      <c r="L255" s="105">
        <v>1879.7999999999995</v>
      </c>
    </row>
    <row r="256" spans="11:12" x14ac:dyDescent="0.4">
      <c r="K256" s="40">
        <v>254</v>
      </c>
      <c r="L256" s="105">
        <v>1888.7999999999995</v>
      </c>
    </row>
    <row r="257" spans="11:12" x14ac:dyDescent="0.4">
      <c r="K257" s="40">
        <v>255</v>
      </c>
      <c r="L257" s="105">
        <v>1915.3999999999994</v>
      </c>
    </row>
    <row r="258" spans="11:12" x14ac:dyDescent="0.4">
      <c r="K258" s="40">
        <v>256</v>
      </c>
      <c r="L258" s="105">
        <v>1934.3999999999994</v>
      </c>
    </row>
    <row r="259" spans="11:12" x14ac:dyDescent="0.4">
      <c r="K259" s="40">
        <v>257</v>
      </c>
      <c r="L259" s="105">
        <v>1888.9999999999993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8824-C5CF-41CC-A321-3AC377A79448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166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4</v>
      </c>
      <c r="C2" s="146"/>
      <c r="E2" s="64" t="s">
        <v>67</v>
      </c>
      <c r="F2" s="61" t="s">
        <v>21</v>
      </c>
      <c r="G2" s="48">
        <v>0</v>
      </c>
      <c r="H2" s="140">
        <f t="shared" ref="H2:H33" si="0"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47">
        <v>25</v>
      </c>
      <c r="C3" s="148"/>
      <c r="E3" s="65" t="s">
        <v>68</v>
      </c>
      <c r="F3" s="62" t="s">
        <v>22</v>
      </c>
      <c r="G3" s="49">
        <v>0</v>
      </c>
      <c r="H3" s="141">
        <f t="shared" si="0"/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1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49">
        <v>-132.1</v>
      </c>
      <c r="C4" s="150"/>
      <c r="E4" s="65" t="s">
        <v>69</v>
      </c>
      <c r="F4" s="62" t="s">
        <v>23</v>
      </c>
      <c r="G4" s="49">
        <v>0</v>
      </c>
      <c r="H4" s="141">
        <f t="shared" si="0"/>
        <v>0</v>
      </c>
      <c r="I4" s="100">
        <v>14</v>
      </c>
      <c r="K4" s="40">
        <v>2</v>
      </c>
      <c r="L4" s="105">
        <v>-60.4</v>
      </c>
      <c r="N4" s="121" t="s">
        <v>149</v>
      </c>
      <c r="O4" s="128">
        <f t="shared" si="1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1">
        <f>IF(B$2=0,0,B$4/B$2)</f>
        <v>-33.024999999999999</v>
      </c>
      <c r="C5" s="152"/>
      <c r="E5" s="65" t="s">
        <v>70</v>
      </c>
      <c r="F5" s="62" t="s">
        <v>24</v>
      </c>
      <c r="G5" s="49">
        <v>0</v>
      </c>
      <c r="H5" s="141">
        <f t="shared" si="0"/>
        <v>0</v>
      </c>
      <c r="I5" s="100">
        <v>14</v>
      </c>
      <c r="K5" s="40">
        <v>3</v>
      </c>
      <c r="L5" s="105">
        <v>-85.6</v>
      </c>
      <c r="N5" s="121" t="s">
        <v>150</v>
      </c>
      <c r="O5" s="128">
        <f t="shared" si="1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57">
        <f>IF(B$2=0,0,(B$7*1+B$8*2+B$9*3)/B$2)</f>
        <v>3</v>
      </c>
      <c r="C6" s="158"/>
      <c r="E6" s="65" t="s">
        <v>71</v>
      </c>
      <c r="F6" s="62" t="s">
        <v>25</v>
      </c>
      <c r="G6" s="49">
        <v>0</v>
      </c>
      <c r="H6" s="141">
        <f t="shared" si="0"/>
        <v>0</v>
      </c>
      <c r="I6" s="100">
        <v>14</v>
      </c>
      <c r="K6" s="40">
        <v>4</v>
      </c>
      <c r="L6" s="105">
        <v>-132.1</v>
      </c>
      <c r="N6" s="121" t="s">
        <v>151</v>
      </c>
      <c r="O6" s="128">
        <f t="shared" si="1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41">
        <f t="shared" si="0"/>
        <v>0</v>
      </c>
      <c r="I7" s="100">
        <v>14</v>
      </c>
      <c r="N7" s="122" t="s">
        <v>152</v>
      </c>
      <c r="O7" s="129">
        <f t="shared" si="1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41">
        <f t="shared" si="0"/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2">IF(B$2=0,0,B9/B$2)</f>
        <v>1</v>
      </c>
      <c r="E9" s="65" t="s">
        <v>74</v>
      </c>
      <c r="F9" s="62" t="s">
        <v>27</v>
      </c>
      <c r="G9" s="49">
        <v>0</v>
      </c>
      <c r="H9" s="141">
        <f t="shared" si="0"/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41">
        <f t="shared" si="0"/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41">
        <f t="shared" si="0"/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41">
        <f t="shared" si="0"/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41">
        <f t="shared" si="0"/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41">
        <f t="shared" si="0"/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41">
        <f t="shared" si="0"/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41">
        <f t="shared" si="0"/>
        <v>0</v>
      </c>
      <c r="I16" s="100">
        <v>7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41">
        <f t="shared" si="0"/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41">
        <f t="shared" si="0"/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41">
        <f t="shared" si="0"/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41">
        <f t="shared" si="0"/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41">
        <f t="shared" si="0"/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41">
        <f t="shared" si="0"/>
        <v>0</v>
      </c>
      <c r="I22" s="100">
        <v>1</v>
      </c>
    </row>
    <row r="23" spans="1:17" x14ac:dyDescent="0.4">
      <c r="A23" s="96" t="s">
        <v>158</v>
      </c>
      <c r="B23" s="155">
        <v>0</v>
      </c>
      <c r="C23" s="156"/>
      <c r="E23" s="65" t="s">
        <v>88</v>
      </c>
      <c r="F23" s="62" t="s">
        <v>41</v>
      </c>
      <c r="G23" s="49">
        <v>0</v>
      </c>
      <c r="H23" s="141">
        <f t="shared" si="0"/>
        <v>0</v>
      </c>
      <c r="I23" s="100">
        <v>12</v>
      </c>
    </row>
    <row r="24" spans="1:17" x14ac:dyDescent="0.4">
      <c r="A24" s="60" t="s">
        <v>199</v>
      </c>
      <c r="B24" s="153">
        <v>13000</v>
      </c>
      <c r="C24" s="154"/>
      <c r="E24" s="65" t="s">
        <v>89</v>
      </c>
      <c r="F24" s="62" t="s">
        <v>42</v>
      </c>
      <c r="G24" s="49">
        <v>0</v>
      </c>
      <c r="H24" s="141">
        <f t="shared" si="0"/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41">
        <f t="shared" si="0"/>
        <v>0</v>
      </c>
      <c r="I25" s="100">
        <v>6</v>
      </c>
    </row>
    <row r="26" spans="1:17" x14ac:dyDescent="0.4">
      <c r="A26" s="56" t="s">
        <v>126</v>
      </c>
      <c r="B26" s="145">
        <v>0</v>
      </c>
      <c r="C26" s="146"/>
      <c r="E26" s="65" t="s">
        <v>91</v>
      </c>
      <c r="F26" s="62" t="s">
        <v>44</v>
      </c>
      <c r="G26" s="49">
        <v>0</v>
      </c>
      <c r="H26" s="141">
        <f t="shared" si="0"/>
        <v>0</v>
      </c>
      <c r="I26" s="100">
        <v>14</v>
      </c>
    </row>
    <row r="27" spans="1:17" x14ac:dyDescent="0.4">
      <c r="A27" s="59" t="s">
        <v>127</v>
      </c>
      <c r="B27" s="159">
        <v>0</v>
      </c>
      <c r="C27" s="160"/>
      <c r="E27" s="65" t="s">
        <v>92</v>
      </c>
      <c r="F27" s="62" t="s">
        <v>45</v>
      </c>
      <c r="G27" s="49">
        <v>0</v>
      </c>
      <c r="H27" s="141">
        <f t="shared" si="0"/>
        <v>0</v>
      </c>
      <c r="I27" s="100">
        <v>5</v>
      </c>
    </row>
    <row r="28" spans="1:17" x14ac:dyDescent="0.4">
      <c r="E28" s="65" t="s">
        <v>93</v>
      </c>
      <c r="F28" s="62" t="s">
        <v>46</v>
      </c>
      <c r="G28" s="49">
        <v>0</v>
      </c>
      <c r="H28" s="141">
        <f t="shared" si="0"/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41">
        <f t="shared" si="0"/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 t="shared" si="0"/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 t="shared" si="0"/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 t="shared" si="0"/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 t="shared" si="0"/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 t="shared" ref="H34:H65" si="3"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 t="shared" si="3"/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 t="shared" si="3"/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 t="shared" si="3"/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 t="shared" si="3"/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 t="shared" si="3"/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 t="shared" si="3"/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 t="shared" si="3"/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 t="shared" si="3"/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 t="shared" si="3"/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 t="shared" si="3"/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 t="shared" si="3"/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 t="shared" si="3"/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 t="shared" si="3"/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 t="shared" si="3"/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 t="shared" si="3"/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 t="shared" si="3"/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 t="shared" si="3"/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EB5BD-A1D2-48FF-B7CC-97ABD27F89C8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167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4</v>
      </c>
      <c r="C2" s="146"/>
      <c r="E2" s="64" t="s">
        <v>69</v>
      </c>
      <c r="F2" s="61" t="s">
        <v>23</v>
      </c>
      <c r="G2" s="48">
        <v>5</v>
      </c>
      <c r="H2" s="140">
        <f t="shared" ref="H2:H33" si="0"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47">
        <v>24</v>
      </c>
      <c r="C3" s="148"/>
      <c r="E3" s="65" t="s">
        <v>76</v>
      </c>
      <c r="F3" s="62" t="s">
        <v>29</v>
      </c>
      <c r="G3" s="49">
        <v>3</v>
      </c>
      <c r="H3" s="141">
        <f t="shared" si="0"/>
        <v>0.75</v>
      </c>
      <c r="I3" s="100">
        <v>2</v>
      </c>
      <c r="K3" s="40">
        <v>1</v>
      </c>
      <c r="L3" s="105">
        <v>7</v>
      </c>
      <c r="N3" s="121" t="s">
        <v>148</v>
      </c>
      <c r="O3" s="128">
        <f t="shared" si="1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49">
        <v>-15.5</v>
      </c>
      <c r="C4" s="150"/>
      <c r="E4" s="65" t="s">
        <v>67</v>
      </c>
      <c r="F4" s="62" t="s">
        <v>21</v>
      </c>
      <c r="G4" s="49">
        <v>2</v>
      </c>
      <c r="H4" s="141">
        <f t="shared" si="0"/>
        <v>0.5</v>
      </c>
      <c r="I4" s="100">
        <v>9</v>
      </c>
      <c r="K4" s="40">
        <v>2</v>
      </c>
      <c r="L4" s="105">
        <v>-24.5</v>
      </c>
      <c r="N4" s="121" t="s">
        <v>149</v>
      </c>
      <c r="O4" s="128">
        <f t="shared" si="1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1">
        <f>IF(B$2=0,0,B$4/B$2)</f>
        <v>-3.875</v>
      </c>
      <c r="C5" s="152"/>
      <c r="E5" s="65" t="s">
        <v>70</v>
      </c>
      <c r="F5" s="62" t="s">
        <v>24</v>
      </c>
      <c r="G5" s="49">
        <v>2</v>
      </c>
      <c r="H5" s="141">
        <f t="shared" si="0"/>
        <v>0.5</v>
      </c>
      <c r="I5" s="100">
        <v>2</v>
      </c>
      <c r="K5" s="40">
        <v>3</v>
      </c>
      <c r="L5" s="105">
        <v>-26.5</v>
      </c>
      <c r="N5" s="121" t="s">
        <v>150</v>
      </c>
      <c r="O5" s="128">
        <f t="shared" si="1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71</v>
      </c>
      <c r="F6" s="62" t="s">
        <v>25</v>
      </c>
      <c r="G6" s="49">
        <v>2</v>
      </c>
      <c r="H6" s="141">
        <f t="shared" si="0"/>
        <v>0.5</v>
      </c>
      <c r="I6" s="100">
        <v>13</v>
      </c>
      <c r="K6" s="40">
        <v>4</v>
      </c>
      <c r="L6" s="105">
        <v>-15.5</v>
      </c>
      <c r="N6" s="121" t="s">
        <v>151</v>
      </c>
      <c r="O6" s="128">
        <f t="shared" si="1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41">
        <f t="shared" si="0"/>
        <v>0.5</v>
      </c>
      <c r="I7" s="100">
        <v>1</v>
      </c>
      <c r="N7" s="122" t="s">
        <v>152</v>
      </c>
      <c r="O7" s="129">
        <f t="shared" si="1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41">
        <f t="shared" si="0"/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2">IF(B$2=0,0,B9/B$2)</f>
        <v>0.25</v>
      </c>
      <c r="E9" s="65" t="s">
        <v>73</v>
      </c>
      <c r="F9" s="62" t="s">
        <v>26</v>
      </c>
      <c r="G9" s="49">
        <v>1</v>
      </c>
      <c r="H9" s="141">
        <f t="shared" si="0"/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41">
        <f t="shared" si="0"/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41">
        <f t="shared" si="0"/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41">
        <f t="shared" si="0"/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41">
        <f t="shared" si="0"/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41">
        <f t="shared" si="0"/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41">
        <f t="shared" si="0"/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41">
        <f t="shared" si="0"/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41">
        <f t="shared" si="0"/>
        <v>0</v>
      </c>
      <c r="I17" s="100">
        <v>7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41">
        <f t="shared" si="0"/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41">
        <f t="shared" si="0"/>
        <v>0</v>
      </c>
      <c r="I19" s="100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41">
        <f t="shared" si="0"/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41">
        <f t="shared" si="0"/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41">
        <f t="shared" si="0"/>
        <v>0</v>
      </c>
      <c r="I22" s="100">
        <v>1</v>
      </c>
    </row>
    <row r="23" spans="1:17" x14ac:dyDescent="0.4">
      <c r="A23" s="96" t="s">
        <v>158</v>
      </c>
      <c r="B23" s="155">
        <v>3</v>
      </c>
      <c r="C23" s="156"/>
      <c r="E23" s="65" t="s">
        <v>85</v>
      </c>
      <c r="F23" s="62" t="s">
        <v>38</v>
      </c>
      <c r="G23" s="49">
        <v>0</v>
      </c>
      <c r="H23" s="141">
        <f t="shared" si="0"/>
        <v>0</v>
      </c>
      <c r="I23" s="100">
        <v>3</v>
      </c>
    </row>
    <row r="24" spans="1:17" x14ac:dyDescent="0.4">
      <c r="A24" s="60" t="s">
        <v>199</v>
      </c>
      <c r="B24" s="153">
        <v>46000</v>
      </c>
      <c r="C24" s="154"/>
      <c r="E24" s="65" t="s">
        <v>86</v>
      </c>
      <c r="F24" s="62" t="s">
        <v>39</v>
      </c>
      <c r="G24" s="49">
        <v>0</v>
      </c>
      <c r="H24" s="141">
        <f t="shared" si="0"/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 t="shared" si="0"/>
        <v>0</v>
      </c>
      <c r="I25" s="100">
        <v>1</v>
      </c>
    </row>
    <row r="26" spans="1:17" x14ac:dyDescent="0.4">
      <c r="A26" s="56" t="s">
        <v>126</v>
      </c>
      <c r="B26" s="145">
        <v>19</v>
      </c>
      <c r="C26" s="146"/>
      <c r="E26" s="65" t="s">
        <v>89</v>
      </c>
      <c r="F26" s="62" t="s">
        <v>42</v>
      </c>
      <c r="G26" s="49">
        <v>0</v>
      </c>
      <c r="H26" s="141">
        <f t="shared" si="0"/>
        <v>0</v>
      </c>
      <c r="I26" s="100">
        <v>5</v>
      </c>
    </row>
    <row r="27" spans="1:17" x14ac:dyDescent="0.4">
      <c r="A27" s="59" t="s">
        <v>127</v>
      </c>
      <c r="B27" s="159">
        <v>4</v>
      </c>
      <c r="C27" s="160"/>
      <c r="E27" s="65" t="s">
        <v>90</v>
      </c>
      <c r="F27" s="62" t="s">
        <v>43</v>
      </c>
      <c r="G27" s="49">
        <v>0</v>
      </c>
      <c r="H27" s="141">
        <f t="shared" si="0"/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 t="shared" si="0"/>
        <v>0</v>
      </c>
      <c r="I28" s="100">
        <v>5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 t="shared" si="0"/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 t="shared" si="0"/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 t="shared" si="0"/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 t="shared" si="0"/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 t="shared" si="0"/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 t="shared" ref="H34:H65" si="3"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 t="shared" si="3"/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 t="shared" si="3"/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 t="shared" si="3"/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 t="shared" si="3"/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 t="shared" si="3"/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 t="shared" si="3"/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 t="shared" si="3"/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 t="shared" si="3"/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 t="shared" si="3"/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 t="shared" si="3"/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 t="shared" si="3"/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 t="shared" si="3"/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 t="shared" si="3"/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 t="shared" si="3"/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 t="shared" si="3"/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 t="shared" si="3"/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 t="shared" si="3"/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2F20-71A3-4B45-9E2F-FBA704E96211}">
  <sheetPr codeName="Sheet1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134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142</v>
      </c>
      <c r="C2" s="146"/>
      <c r="E2" s="64" t="s">
        <v>71</v>
      </c>
      <c r="F2" s="61" t="s">
        <v>25</v>
      </c>
      <c r="G2" s="48">
        <v>179</v>
      </c>
      <c r="H2" s="140">
        <f t="shared" ref="H2:H33" si="0">IF(B$27=0,0,G2/B$27)</f>
        <v>0.78854625550660795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-1066.4285714285713</v>
      </c>
      <c r="P2" s="124">
        <v>140</v>
      </c>
      <c r="Q2" s="108">
        <v>-149300</v>
      </c>
    </row>
    <row r="3" spans="1:17" x14ac:dyDescent="0.4">
      <c r="A3" s="57" t="s">
        <v>8</v>
      </c>
      <c r="B3" s="147">
        <v>1103</v>
      </c>
      <c r="C3" s="148"/>
      <c r="E3" s="65" t="s">
        <v>69</v>
      </c>
      <c r="F3" s="62" t="s">
        <v>23</v>
      </c>
      <c r="G3" s="49">
        <v>153</v>
      </c>
      <c r="H3" s="141">
        <f t="shared" si="0"/>
        <v>0.67400881057268724</v>
      </c>
      <c r="I3" s="100">
        <v>9</v>
      </c>
      <c r="K3" s="40">
        <v>1</v>
      </c>
      <c r="L3" s="105">
        <v>40.9</v>
      </c>
      <c r="N3" s="121" t="s">
        <v>148</v>
      </c>
      <c r="O3" s="128">
        <f t="shared" si="1"/>
        <v>-1137.5</v>
      </c>
      <c r="P3" s="125">
        <v>136</v>
      </c>
      <c r="Q3" s="109">
        <v>-154700</v>
      </c>
    </row>
    <row r="4" spans="1:17" x14ac:dyDescent="0.4">
      <c r="A4" s="57" t="s">
        <v>6</v>
      </c>
      <c r="B4" s="149">
        <v>-538.49999999999989</v>
      </c>
      <c r="C4" s="150"/>
      <c r="E4" s="65" t="s">
        <v>67</v>
      </c>
      <c r="F4" s="62" t="s">
        <v>21</v>
      </c>
      <c r="G4" s="49">
        <v>139</v>
      </c>
      <c r="H4" s="141">
        <f t="shared" si="0"/>
        <v>0.61233480176211452</v>
      </c>
      <c r="I4" s="100">
        <v>4</v>
      </c>
      <c r="K4" s="40">
        <v>2</v>
      </c>
      <c r="L4" s="105">
        <v>-0.89999999999999858</v>
      </c>
      <c r="N4" s="121" t="s">
        <v>149</v>
      </c>
      <c r="O4" s="128">
        <f t="shared" si="1"/>
        <v>1198.4732824427481</v>
      </c>
      <c r="P4" s="125">
        <v>131</v>
      </c>
      <c r="Q4" s="109">
        <v>157000</v>
      </c>
    </row>
    <row r="5" spans="1:17" x14ac:dyDescent="0.4">
      <c r="A5" s="57" t="s">
        <v>7</v>
      </c>
      <c r="B5" s="151">
        <f>IF(B$2=0,0,B$4/B$2)</f>
        <v>-3.7922535211267596</v>
      </c>
      <c r="C5" s="152"/>
      <c r="E5" s="65" t="s">
        <v>76</v>
      </c>
      <c r="F5" s="62" t="s">
        <v>29</v>
      </c>
      <c r="G5" s="49">
        <v>115</v>
      </c>
      <c r="H5" s="141">
        <f t="shared" si="0"/>
        <v>0.50660792951541855</v>
      </c>
      <c r="I5" s="100">
        <v>11</v>
      </c>
      <c r="K5" s="40">
        <v>3</v>
      </c>
      <c r="L5" s="105">
        <v>-36.4</v>
      </c>
      <c r="N5" s="121" t="s">
        <v>150</v>
      </c>
      <c r="O5" s="128">
        <f t="shared" si="1"/>
        <v>-956.41025641025647</v>
      </c>
      <c r="P5" s="125">
        <v>117</v>
      </c>
      <c r="Q5" s="109">
        <v>-111900</v>
      </c>
    </row>
    <row r="6" spans="1:17" x14ac:dyDescent="0.4">
      <c r="A6" s="57" t="s">
        <v>1</v>
      </c>
      <c r="B6" s="157">
        <f>IF(B$2=0,0,(B$7*1+B$8*2+B$9*3)/B$2)</f>
        <v>2.1056338028169015</v>
      </c>
      <c r="C6" s="158"/>
      <c r="E6" s="65" t="s">
        <v>72</v>
      </c>
      <c r="F6" s="62" t="s">
        <v>12</v>
      </c>
      <c r="G6" s="49">
        <v>84</v>
      </c>
      <c r="H6" s="141">
        <f t="shared" si="0"/>
        <v>0.37004405286343611</v>
      </c>
      <c r="I6" s="100">
        <v>2</v>
      </c>
      <c r="K6" s="40">
        <v>4</v>
      </c>
      <c r="L6" s="105">
        <v>3.6000000000000014</v>
      </c>
      <c r="N6" s="121" t="s">
        <v>151</v>
      </c>
      <c r="O6" s="128">
        <f t="shared" si="1"/>
        <v>-1676.2376237623762</v>
      </c>
      <c r="P6" s="125">
        <v>101</v>
      </c>
      <c r="Q6" s="109">
        <v>-169300</v>
      </c>
    </row>
    <row r="7" spans="1:17" x14ac:dyDescent="0.4">
      <c r="A7" s="57" t="s">
        <v>2</v>
      </c>
      <c r="B7" s="49">
        <v>41</v>
      </c>
      <c r="C7" s="41">
        <f>IF(B$2=0,0,B7/B$2)</f>
        <v>0.28873239436619719</v>
      </c>
      <c r="E7" s="65" t="s">
        <v>70</v>
      </c>
      <c r="F7" s="62" t="s">
        <v>24</v>
      </c>
      <c r="G7" s="49">
        <v>68</v>
      </c>
      <c r="H7" s="141">
        <f t="shared" si="0"/>
        <v>0.29955947136563876</v>
      </c>
      <c r="I7" s="100">
        <v>7</v>
      </c>
      <c r="K7" s="40">
        <v>5</v>
      </c>
      <c r="L7" s="105">
        <v>14.600000000000001</v>
      </c>
      <c r="N7" s="122" t="s">
        <v>152</v>
      </c>
      <c r="O7" s="129">
        <f t="shared" si="1"/>
        <v>-1628.75</v>
      </c>
      <c r="P7" s="126">
        <v>80</v>
      </c>
      <c r="Q7" s="110">
        <v>-130300</v>
      </c>
    </row>
    <row r="8" spans="1:17" x14ac:dyDescent="0.4">
      <c r="A8" s="57" t="s">
        <v>3</v>
      </c>
      <c r="B8" s="49">
        <v>45</v>
      </c>
      <c r="C8" s="41">
        <f>IF(B$2=0,0,B8/B$2)</f>
        <v>0.31690140845070425</v>
      </c>
      <c r="E8" s="65" t="s">
        <v>94</v>
      </c>
      <c r="F8" s="62" t="s">
        <v>47</v>
      </c>
      <c r="G8" s="49">
        <v>40</v>
      </c>
      <c r="H8" s="141">
        <f t="shared" si="0"/>
        <v>0.1762114537444934</v>
      </c>
      <c r="I8" s="100">
        <v>4</v>
      </c>
      <c r="K8" s="40">
        <v>6</v>
      </c>
      <c r="L8" s="105">
        <v>47.6</v>
      </c>
      <c r="N8" s="45"/>
      <c r="O8" s="133"/>
      <c r="P8" s="117"/>
      <c r="Q8" s="115"/>
    </row>
    <row r="9" spans="1:17" x14ac:dyDescent="0.4">
      <c r="A9" s="58" t="s">
        <v>4</v>
      </c>
      <c r="B9" s="50">
        <v>56</v>
      </c>
      <c r="C9" s="42">
        <f t="shared" ref="C9" si="2">IF(B$2=0,0,B9/B$2)</f>
        <v>0.39436619718309857</v>
      </c>
      <c r="E9" s="65" t="s">
        <v>73</v>
      </c>
      <c r="F9" s="62" t="s">
        <v>26</v>
      </c>
      <c r="G9" s="49">
        <v>36</v>
      </c>
      <c r="H9" s="141">
        <f t="shared" si="0"/>
        <v>0.15859030837004406</v>
      </c>
      <c r="I9" s="100">
        <v>3</v>
      </c>
      <c r="K9" s="40">
        <v>7</v>
      </c>
      <c r="L9" s="105">
        <v>100.1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27</v>
      </c>
      <c r="C10" s="42">
        <f>IF(B$2=0,0,B10/B$2)</f>
        <v>0.19014084507042253</v>
      </c>
      <c r="E10" s="65" t="s">
        <v>68</v>
      </c>
      <c r="F10" s="62" t="s">
        <v>22</v>
      </c>
      <c r="G10" s="49">
        <v>34</v>
      </c>
      <c r="H10" s="141">
        <f t="shared" si="0"/>
        <v>0.14977973568281938</v>
      </c>
      <c r="I10" s="100">
        <v>5</v>
      </c>
      <c r="K10" s="40">
        <v>8</v>
      </c>
      <c r="L10" s="105">
        <v>60.199999999999996</v>
      </c>
      <c r="N10" s="120" t="s">
        <v>253</v>
      </c>
      <c r="O10" s="130">
        <f>IF(P10=0,0,Q10/P10)</f>
        <v>-7.8065217391304342</v>
      </c>
      <c r="P10" s="124">
        <v>46</v>
      </c>
      <c r="Q10" s="112">
        <v>-359.09999999999997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0.11971830985915492</v>
      </c>
      <c r="E11" s="65" t="s">
        <v>74</v>
      </c>
      <c r="F11" s="62" t="s">
        <v>27</v>
      </c>
      <c r="G11" s="49">
        <v>30</v>
      </c>
      <c r="H11" s="141">
        <f t="shared" si="0"/>
        <v>0.13215859030837004</v>
      </c>
      <c r="I11" s="100">
        <v>3</v>
      </c>
      <c r="K11" s="40">
        <v>9</v>
      </c>
      <c r="L11" s="105">
        <v>24.4</v>
      </c>
      <c r="N11" s="121" t="s">
        <v>254</v>
      </c>
      <c r="O11" s="131">
        <f>IF(P11=0,0,Q11/P11)</f>
        <v>-3.9735849056603771</v>
      </c>
      <c r="P11" s="125">
        <v>53</v>
      </c>
      <c r="Q11" s="113">
        <v>-210.6</v>
      </c>
    </row>
    <row r="12" spans="1:17" x14ac:dyDescent="0.4">
      <c r="A12" s="59" t="s">
        <v>239</v>
      </c>
      <c r="B12" s="51">
        <v>11</v>
      </c>
      <c r="C12" s="44">
        <f>IF(B$2=0,0,B12/B$2)</f>
        <v>7.746478873239436E-2</v>
      </c>
      <c r="E12" s="65" t="s">
        <v>91</v>
      </c>
      <c r="F12" s="62" t="s">
        <v>44</v>
      </c>
      <c r="G12" s="49">
        <v>20</v>
      </c>
      <c r="H12" s="141">
        <f t="shared" si="0"/>
        <v>8.8105726872246701E-2</v>
      </c>
      <c r="I12" s="100">
        <v>5</v>
      </c>
      <c r="K12" s="40">
        <v>10</v>
      </c>
      <c r="L12" s="105">
        <v>-20.100000000000001</v>
      </c>
      <c r="N12" s="122" t="s">
        <v>255</v>
      </c>
      <c r="O12" s="132">
        <f>IF(P12=0,0,Q12/P12)</f>
        <v>-0.44761904761904753</v>
      </c>
      <c r="P12" s="126">
        <v>42</v>
      </c>
      <c r="Q12" s="114">
        <v>-18.799999999999997</v>
      </c>
    </row>
    <row r="13" spans="1:17" x14ac:dyDescent="0.4">
      <c r="A13" s="60" t="s">
        <v>128</v>
      </c>
      <c r="B13" s="52">
        <v>244</v>
      </c>
      <c r="C13" s="46">
        <f>IF(B$26=0,0,B13/B$26)</f>
        <v>0.28978622327790976</v>
      </c>
      <c r="E13" s="65" t="s">
        <v>88</v>
      </c>
      <c r="F13" s="62" t="s">
        <v>41</v>
      </c>
      <c r="G13" s="49">
        <v>16</v>
      </c>
      <c r="H13" s="141">
        <f t="shared" si="0"/>
        <v>7.0484581497797363E-2</v>
      </c>
      <c r="I13" s="100">
        <v>5</v>
      </c>
      <c r="K13" s="40">
        <v>11</v>
      </c>
      <c r="L13" s="105">
        <v>-3.6000000000000014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148</v>
      </c>
      <c r="C14" s="41">
        <f>IF(B$26=0,0,B14/B$26)</f>
        <v>0.17577197149643706</v>
      </c>
      <c r="E14" s="65" t="s">
        <v>86</v>
      </c>
      <c r="F14" s="62" t="s">
        <v>39</v>
      </c>
      <c r="G14" s="49">
        <v>10</v>
      </c>
      <c r="H14" s="141">
        <f t="shared" si="0"/>
        <v>4.405286343612335E-2</v>
      </c>
      <c r="I14" s="100">
        <v>4</v>
      </c>
      <c r="K14" s="40">
        <v>12</v>
      </c>
      <c r="L14" s="105">
        <v>-12.000000000000002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141</v>
      </c>
      <c r="C15" s="39">
        <f>IF(B$13=0,0,B15/B$13)</f>
        <v>0.57786885245901642</v>
      </c>
      <c r="E15" s="65" t="s">
        <v>75</v>
      </c>
      <c r="F15" s="62" t="s">
        <v>28</v>
      </c>
      <c r="G15" s="49">
        <v>7</v>
      </c>
      <c r="H15" s="141">
        <f t="shared" si="0"/>
        <v>3.0837004405286344E-2</v>
      </c>
      <c r="I15" s="100">
        <v>9</v>
      </c>
      <c r="K15" s="40">
        <v>13</v>
      </c>
      <c r="L15" s="105">
        <v>49.5</v>
      </c>
      <c r="N15" s="120" t="s">
        <v>250</v>
      </c>
      <c r="O15" s="130">
        <f t="shared" ref="O15:O24" si="3"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58</v>
      </c>
      <c r="C16" s="39">
        <f>IF(B$14=0,0,B16/B$14)</f>
        <v>0.39189189189189189</v>
      </c>
      <c r="E16" s="65" t="s">
        <v>96</v>
      </c>
      <c r="F16" s="62" t="s">
        <v>49</v>
      </c>
      <c r="G16" s="49">
        <v>7</v>
      </c>
      <c r="H16" s="141">
        <f t="shared" si="0"/>
        <v>3.0837004405286344E-2</v>
      </c>
      <c r="I16" s="100">
        <v>2</v>
      </c>
      <c r="K16" s="40">
        <v>14</v>
      </c>
      <c r="L16" s="105">
        <v>33</v>
      </c>
      <c r="N16" s="121" t="s">
        <v>167</v>
      </c>
      <c r="O16" s="131">
        <f t="shared" si="3"/>
        <v>26.466666666666669</v>
      </c>
      <c r="P16" s="125">
        <v>3</v>
      </c>
      <c r="Q16" s="113">
        <v>79.400000000000006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0.26110607434270172</v>
      </c>
      <c r="E17" s="65" t="s">
        <v>82</v>
      </c>
      <c r="F17" s="62" t="s">
        <v>35</v>
      </c>
      <c r="G17" s="49">
        <v>5</v>
      </c>
      <c r="H17" s="141">
        <f t="shared" si="0"/>
        <v>2.2026431718061675E-2</v>
      </c>
      <c r="I17" s="100">
        <v>7</v>
      </c>
      <c r="K17" s="40">
        <v>15</v>
      </c>
      <c r="L17" s="105">
        <v>38.5</v>
      </c>
      <c r="N17" s="121" t="s">
        <v>136</v>
      </c>
      <c r="O17" s="131">
        <f t="shared" si="3"/>
        <v>22.345454545454547</v>
      </c>
      <c r="P17" s="125">
        <v>22</v>
      </c>
      <c r="Q17" s="113">
        <v>491.6</v>
      </c>
    </row>
    <row r="18" spans="1:17" x14ac:dyDescent="0.4">
      <c r="A18" s="57" t="s">
        <v>12</v>
      </c>
      <c r="B18" s="49">
        <v>131</v>
      </c>
      <c r="C18" s="41">
        <f>IF(B$17=0,0,B18/B$17)</f>
        <v>0.4548611111111111</v>
      </c>
      <c r="E18" s="65" t="s">
        <v>83</v>
      </c>
      <c r="F18" s="62" t="s">
        <v>36</v>
      </c>
      <c r="G18" s="49">
        <v>3</v>
      </c>
      <c r="H18" s="141">
        <f t="shared" si="0"/>
        <v>1.3215859030837005E-2</v>
      </c>
      <c r="I18" s="100">
        <v>8</v>
      </c>
      <c r="K18" s="40">
        <v>16</v>
      </c>
      <c r="L18" s="105">
        <v>14.600000000000001</v>
      </c>
      <c r="N18" s="121" t="s">
        <v>139</v>
      </c>
      <c r="O18" s="131">
        <f t="shared" si="3"/>
        <v>3.1104166666666644</v>
      </c>
      <c r="P18" s="125">
        <v>48</v>
      </c>
      <c r="Q18" s="113">
        <v>149.2999999999999</v>
      </c>
    </row>
    <row r="19" spans="1:17" x14ac:dyDescent="0.4">
      <c r="A19" s="57" t="s">
        <v>11</v>
      </c>
      <c r="B19" s="49">
        <v>157</v>
      </c>
      <c r="C19" s="41">
        <f>IF(B$17=0,0,B19/B$17)</f>
        <v>0.54513888888888884</v>
      </c>
      <c r="E19" s="65" t="s">
        <v>89</v>
      </c>
      <c r="F19" s="62" t="s">
        <v>42</v>
      </c>
      <c r="G19" s="49">
        <v>2</v>
      </c>
      <c r="H19" s="141">
        <f t="shared" si="0"/>
        <v>8.8105726872246704E-3</v>
      </c>
      <c r="I19" s="100">
        <v>1</v>
      </c>
      <c r="K19" s="40">
        <v>17</v>
      </c>
      <c r="L19" s="105">
        <v>13.900000000000002</v>
      </c>
      <c r="N19" s="121" t="s">
        <v>138</v>
      </c>
      <c r="O19" s="131">
        <f t="shared" si="3"/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210</v>
      </c>
      <c r="C20" s="41">
        <f>IF(B$3=0,0,B20/B$3)</f>
        <v>0.19038984587488667</v>
      </c>
      <c r="E20" s="65" t="s">
        <v>90</v>
      </c>
      <c r="F20" s="62" t="s">
        <v>43</v>
      </c>
      <c r="G20" s="49">
        <v>2</v>
      </c>
      <c r="H20" s="141">
        <f t="shared" si="0"/>
        <v>8.8105726872246704E-3</v>
      </c>
      <c r="I20" s="100">
        <v>2</v>
      </c>
      <c r="K20" s="40">
        <v>18</v>
      </c>
      <c r="L20" s="105">
        <v>-21.999999999999996</v>
      </c>
      <c r="N20" s="121" t="s">
        <v>133</v>
      </c>
      <c r="O20" s="131">
        <f t="shared" si="3"/>
        <v>-10.028813559322026</v>
      </c>
      <c r="P20" s="125">
        <v>118</v>
      </c>
      <c r="Q20" s="113">
        <v>-1183.3999999999992</v>
      </c>
    </row>
    <row r="21" spans="1:17" x14ac:dyDescent="0.4">
      <c r="A21" s="57" t="s">
        <v>5</v>
      </c>
      <c r="B21" s="53">
        <f>IF(B$17=0,0,C21/B$17)</f>
        <v>10792.708333333334</v>
      </c>
      <c r="C21" s="43">
        <v>3108300</v>
      </c>
      <c r="E21" s="65" t="s">
        <v>97</v>
      </c>
      <c r="F21" s="62" t="s">
        <v>50</v>
      </c>
      <c r="G21" s="49">
        <v>2</v>
      </c>
      <c r="H21" s="141">
        <f t="shared" si="0"/>
        <v>8.8105726872246704E-3</v>
      </c>
      <c r="I21" s="100">
        <v>3</v>
      </c>
      <c r="K21" s="40">
        <v>19</v>
      </c>
      <c r="L21" s="105">
        <v>-26.699999999999996</v>
      </c>
      <c r="N21" s="121" t="s">
        <v>157</v>
      </c>
      <c r="O21" s="131">
        <f t="shared" si="3"/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-9621.4285714285706</v>
      </c>
      <c r="C22" s="47">
        <v>-2020500</v>
      </c>
      <c r="E22" s="65" t="s">
        <v>77</v>
      </c>
      <c r="F22" s="62" t="s">
        <v>30</v>
      </c>
      <c r="G22" s="49">
        <v>1</v>
      </c>
      <c r="H22" s="141">
        <f t="shared" si="0"/>
        <v>4.4052863436123352E-3</v>
      </c>
      <c r="I22" s="100">
        <v>6</v>
      </c>
      <c r="K22" s="40">
        <v>20</v>
      </c>
      <c r="L22" s="105">
        <v>-57.899999999999991</v>
      </c>
      <c r="N22" s="121" t="s">
        <v>137</v>
      </c>
      <c r="O22" s="131">
        <f t="shared" si="3"/>
        <v>-13.897297297297296</v>
      </c>
      <c r="P22" s="125">
        <v>37</v>
      </c>
      <c r="Q22" s="113">
        <v>-514.19999999999993</v>
      </c>
    </row>
    <row r="23" spans="1:17" x14ac:dyDescent="0.4">
      <c r="A23" s="96" t="s">
        <v>158</v>
      </c>
      <c r="B23" s="155">
        <v>10</v>
      </c>
      <c r="C23" s="156"/>
      <c r="E23" s="65" t="s">
        <v>78</v>
      </c>
      <c r="F23" s="62" t="s">
        <v>31</v>
      </c>
      <c r="G23" s="49">
        <v>1</v>
      </c>
      <c r="H23" s="141">
        <f t="shared" si="0"/>
        <v>4.4052863436123352E-3</v>
      </c>
      <c r="I23" s="100">
        <v>1</v>
      </c>
      <c r="K23" s="40">
        <v>21</v>
      </c>
      <c r="L23" s="105">
        <v>-82.699999999999989</v>
      </c>
      <c r="N23" s="121" t="s">
        <v>135</v>
      </c>
      <c r="O23" s="131">
        <f t="shared" si="3"/>
        <v>-15.882051282051275</v>
      </c>
      <c r="P23" s="125">
        <v>39</v>
      </c>
      <c r="Q23" s="113">
        <v>-619.39999999999975</v>
      </c>
    </row>
    <row r="24" spans="1:17" x14ac:dyDescent="0.4">
      <c r="A24" s="60" t="s">
        <v>199</v>
      </c>
      <c r="B24" s="153">
        <v>97700</v>
      </c>
      <c r="C24" s="154"/>
      <c r="E24" s="65" t="s">
        <v>79</v>
      </c>
      <c r="F24" s="62" t="s">
        <v>32</v>
      </c>
      <c r="G24" s="49">
        <v>1</v>
      </c>
      <c r="H24" s="141">
        <f t="shared" si="0"/>
        <v>4.4052863436123352E-3</v>
      </c>
      <c r="I24" s="100">
        <v>5</v>
      </c>
      <c r="K24" s="40">
        <v>22</v>
      </c>
      <c r="L24" s="105">
        <v>-94.6</v>
      </c>
      <c r="N24" s="121" t="s">
        <v>194</v>
      </c>
      <c r="O24" s="131">
        <f t="shared" si="3"/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3.6264732547597461E-3</v>
      </c>
      <c r="E25" s="65" t="s">
        <v>85</v>
      </c>
      <c r="F25" s="62" t="s">
        <v>38</v>
      </c>
      <c r="G25" s="49">
        <v>1</v>
      </c>
      <c r="H25" s="141">
        <f t="shared" si="0"/>
        <v>4.4052863436123352E-3</v>
      </c>
      <c r="I25" s="100">
        <v>1</v>
      </c>
      <c r="K25" s="40">
        <v>23</v>
      </c>
      <c r="L25" s="105">
        <v>-111.3</v>
      </c>
    </row>
    <row r="26" spans="1:17" x14ac:dyDescent="0.4">
      <c r="A26" s="56" t="s">
        <v>126</v>
      </c>
      <c r="B26" s="145">
        <v>842</v>
      </c>
      <c r="C26" s="146"/>
      <c r="E26" s="65" t="s">
        <v>92</v>
      </c>
      <c r="F26" s="62" t="s">
        <v>45</v>
      </c>
      <c r="G26" s="49">
        <v>1</v>
      </c>
      <c r="H26" s="141">
        <f t="shared" si="0"/>
        <v>4.4052863436123352E-3</v>
      </c>
      <c r="I26" s="100">
        <v>1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59">
        <v>227</v>
      </c>
      <c r="C27" s="160"/>
      <c r="E27" s="65" t="s">
        <v>93</v>
      </c>
      <c r="F27" s="62" t="s">
        <v>46</v>
      </c>
      <c r="G27" s="49">
        <v>1</v>
      </c>
      <c r="H27" s="141">
        <f t="shared" si="0"/>
        <v>4.4052863436123352E-3</v>
      </c>
      <c r="I27" s="100">
        <v>1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41">
        <f t="shared" si="0"/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41">
        <f t="shared" si="0"/>
        <v>0</v>
      </c>
      <c r="I29" s="100">
        <v>7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41">
        <f t="shared" si="0"/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41">
        <f t="shared" si="0"/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 t="shared" si="0"/>
        <v>0</v>
      </c>
      <c r="I32" s="100">
        <v>4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 t="shared" si="0"/>
        <v>0</v>
      </c>
      <c r="I33" s="100">
        <v>6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 t="shared" ref="H34:H65" si="4"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 t="shared" si="4"/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 t="shared" si="4"/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 t="shared" si="4"/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 t="shared" si="4"/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 t="shared" si="4"/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 t="shared" si="4"/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 t="shared" si="4"/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 t="shared" si="4"/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 t="shared" si="4"/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 t="shared" si="4"/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 t="shared" si="4"/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 t="shared" si="4"/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 t="shared" si="4"/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 t="shared" si="4"/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 t="shared" si="4"/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 t="shared" si="4"/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 t="shared" si="4"/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  <row r="128" spans="11:12" x14ac:dyDescent="0.4">
      <c r="K128" s="40">
        <v>126</v>
      </c>
      <c r="L128" s="105">
        <v>-411.39999999999992</v>
      </c>
    </row>
    <row r="129" spans="11:12" x14ac:dyDescent="0.4">
      <c r="K129" s="40">
        <v>127</v>
      </c>
      <c r="L129" s="105">
        <v>-410.89999999999992</v>
      </c>
    </row>
    <row r="130" spans="11:12" x14ac:dyDescent="0.4">
      <c r="K130" s="40">
        <v>128</v>
      </c>
      <c r="L130" s="105">
        <v>-416.19999999999993</v>
      </c>
    </row>
    <row r="131" spans="11:12" x14ac:dyDescent="0.4">
      <c r="K131" s="40">
        <v>129</v>
      </c>
      <c r="L131" s="105">
        <v>-423.99999999999994</v>
      </c>
    </row>
    <row r="132" spans="11:12" x14ac:dyDescent="0.4">
      <c r="K132" s="40">
        <v>130</v>
      </c>
      <c r="L132" s="105">
        <v>-426.59999999999997</v>
      </c>
    </row>
    <row r="133" spans="11:12" x14ac:dyDescent="0.4">
      <c r="K133" s="40">
        <v>131</v>
      </c>
      <c r="L133" s="105">
        <v>-441.09999999999997</v>
      </c>
    </row>
    <row r="134" spans="11:12" x14ac:dyDescent="0.4">
      <c r="K134" s="40">
        <v>132</v>
      </c>
      <c r="L134" s="105">
        <v>-449.7</v>
      </c>
    </row>
    <row r="135" spans="11:12" x14ac:dyDescent="0.4">
      <c r="K135" s="40">
        <v>133</v>
      </c>
      <c r="L135" s="105">
        <v>-489.59999999999997</v>
      </c>
    </row>
    <row r="136" spans="11:12" x14ac:dyDescent="0.4">
      <c r="K136" s="40">
        <v>134</v>
      </c>
      <c r="L136" s="105">
        <v>-489.9</v>
      </c>
    </row>
    <row r="137" spans="11:12" x14ac:dyDescent="0.4">
      <c r="K137" s="40">
        <v>135</v>
      </c>
      <c r="L137" s="105">
        <v>-480.2</v>
      </c>
    </row>
    <row r="138" spans="11:12" x14ac:dyDescent="0.4">
      <c r="K138" s="40">
        <v>136</v>
      </c>
      <c r="L138" s="105">
        <v>-497.4</v>
      </c>
    </row>
    <row r="139" spans="11:12" x14ac:dyDescent="0.4">
      <c r="K139" s="40">
        <v>137</v>
      </c>
      <c r="L139" s="105">
        <v>-505.9</v>
      </c>
    </row>
    <row r="140" spans="11:12" x14ac:dyDescent="0.4">
      <c r="K140" s="40">
        <v>138</v>
      </c>
      <c r="L140" s="105">
        <v>-553.9</v>
      </c>
    </row>
    <row r="141" spans="11:12" x14ac:dyDescent="0.4">
      <c r="K141" s="40">
        <v>139</v>
      </c>
      <c r="L141" s="105">
        <v>-539.4</v>
      </c>
    </row>
    <row r="142" spans="11:12" x14ac:dyDescent="0.4">
      <c r="K142" s="40">
        <v>140</v>
      </c>
      <c r="L142" s="105">
        <v>-522.19999999999993</v>
      </c>
    </row>
    <row r="143" spans="11:12" x14ac:dyDescent="0.4">
      <c r="K143" s="40">
        <v>141</v>
      </c>
      <c r="L143" s="105">
        <v>-537.09999999999991</v>
      </c>
    </row>
    <row r="144" spans="11:12" x14ac:dyDescent="0.4">
      <c r="K144" s="40">
        <v>142</v>
      </c>
      <c r="L144" s="105">
        <v>-538.49999999999989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5FF0-287B-43BE-BBC5-8AEEDA8BE13E}">
  <sheetPr codeName="Sheet15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135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65</v>
      </c>
      <c r="C2" s="146"/>
      <c r="E2" s="64" t="s">
        <v>71</v>
      </c>
      <c r="F2" s="61" t="s">
        <v>25</v>
      </c>
      <c r="G2" s="48">
        <v>69</v>
      </c>
      <c r="H2" s="140">
        <f t="shared" ref="H2:H33" si="0">IF(B$27=0,0,G2/B$27)</f>
        <v>0.90789473684210531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-164.61538461538461</v>
      </c>
      <c r="P2" s="124">
        <v>65</v>
      </c>
      <c r="Q2" s="108">
        <v>-10700</v>
      </c>
    </row>
    <row r="3" spans="1:17" x14ac:dyDescent="0.4">
      <c r="A3" s="57" t="s">
        <v>8</v>
      </c>
      <c r="B3" s="147">
        <v>474</v>
      </c>
      <c r="C3" s="148"/>
      <c r="E3" s="65" t="s">
        <v>69</v>
      </c>
      <c r="F3" s="62" t="s">
        <v>23</v>
      </c>
      <c r="G3" s="49">
        <v>65</v>
      </c>
      <c r="H3" s="141">
        <f t="shared" si="0"/>
        <v>0.85526315789473684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1"/>
        <v>2222.5806451612902</v>
      </c>
      <c r="P3" s="125">
        <v>62</v>
      </c>
      <c r="Q3" s="109">
        <v>137800</v>
      </c>
    </row>
    <row r="4" spans="1:17" x14ac:dyDescent="0.4">
      <c r="A4" s="57" t="s">
        <v>6</v>
      </c>
      <c r="B4" s="149">
        <v>267.8</v>
      </c>
      <c r="C4" s="150"/>
      <c r="E4" s="65" t="s">
        <v>76</v>
      </c>
      <c r="F4" s="62" t="s">
        <v>29</v>
      </c>
      <c r="G4" s="49">
        <v>49</v>
      </c>
      <c r="H4" s="141">
        <f t="shared" si="0"/>
        <v>0.64473684210526316</v>
      </c>
      <c r="I4" s="100">
        <v>4</v>
      </c>
      <c r="K4" s="40">
        <v>2</v>
      </c>
      <c r="L4" s="105">
        <v>-13.2</v>
      </c>
      <c r="N4" s="121" t="s">
        <v>149</v>
      </c>
      <c r="O4" s="128">
        <f t="shared" si="1"/>
        <v>-1800</v>
      </c>
      <c r="P4" s="125">
        <v>59</v>
      </c>
      <c r="Q4" s="109">
        <v>-106200</v>
      </c>
    </row>
    <row r="5" spans="1:17" x14ac:dyDescent="0.4">
      <c r="A5" s="57" t="s">
        <v>7</v>
      </c>
      <c r="B5" s="151">
        <f>IF(B$2=0,0,B$4/B$2)</f>
        <v>4.12</v>
      </c>
      <c r="C5" s="152"/>
      <c r="E5" s="65" t="s">
        <v>67</v>
      </c>
      <c r="F5" s="62" t="s">
        <v>21</v>
      </c>
      <c r="G5" s="49">
        <v>31</v>
      </c>
      <c r="H5" s="141">
        <f t="shared" si="0"/>
        <v>0.40789473684210525</v>
      </c>
      <c r="I5" s="100">
        <v>11</v>
      </c>
      <c r="K5" s="40">
        <v>3</v>
      </c>
      <c r="L5" s="105">
        <v>-57.7</v>
      </c>
      <c r="N5" s="121" t="s">
        <v>150</v>
      </c>
      <c r="O5" s="128">
        <f t="shared" si="1"/>
        <v>-832</v>
      </c>
      <c r="P5" s="125">
        <v>50</v>
      </c>
      <c r="Q5" s="109">
        <v>-41600</v>
      </c>
    </row>
    <row r="6" spans="1:17" x14ac:dyDescent="0.4">
      <c r="A6" s="57" t="s">
        <v>1</v>
      </c>
      <c r="B6" s="157">
        <f>IF(B$2=0,0,(B$7*1+B$8*2+B$9*3)/B$2)</f>
        <v>1.9230769230769231</v>
      </c>
      <c r="C6" s="158"/>
      <c r="E6" s="65" t="s">
        <v>72</v>
      </c>
      <c r="F6" s="62" t="s">
        <v>12</v>
      </c>
      <c r="G6" s="49">
        <v>20</v>
      </c>
      <c r="H6" s="141">
        <f t="shared" si="0"/>
        <v>0.26315789473684209</v>
      </c>
      <c r="I6" s="100">
        <v>9</v>
      </c>
      <c r="K6" s="40">
        <v>4</v>
      </c>
      <c r="L6" s="105">
        <v>-53.7</v>
      </c>
      <c r="N6" s="121" t="s">
        <v>151</v>
      </c>
      <c r="O6" s="128">
        <f t="shared" si="1"/>
        <v>6852.272727272727</v>
      </c>
      <c r="P6" s="125">
        <v>44</v>
      </c>
      <c r="Q6" s="109">
        <v>301500</v>
      </c>
    </row>
    <row r="7" spans="1:17" x14ac:dyDescent="0.4">
      <c r="A7" s="57" t="s">
        <v>2</v>
      </c>
      <c r="B7" s="49">
        <v>22</v>
      </c>
      <c r="C7" s="41">
        <f>IF(B$2=0,0,B7/B$2)</f>
        <v>0.33846153846153848</v>
      </c>
      <c r="E7" s="65" t="s">
        <v>70</v>
      </c>
      <c r="F7" s="62" t="s">
        <v>24</v>
      </c>
      <c r="G7" s="49">
        <v>19</v>
      </c>
      <c r="H7" s="141">
        <f t="shared" si="0"/>
        <v>0.25</v>
      </c>
      <c r="I7" s="100">
        <v>9</v>
      </c>
      <c r="K7" s="40">
        <v>5</v>
      </c>
      <c r="L7" s="105">
        <v>-45.7</v>
      </c>
      <c r="N7" s="122" t="s">
        <v>152</v>
      </c>
      <c r="O7" s="129">
        <f t="shared" si="1"/>
        <v>-331.25</v>
      </c>
      <c r="P7" s="126">
        <v>32</v>
      </c>
      <c r="Q7" s="110">
        <v>-10600</v>
      </c>
    </row>
    <row r="8" spans="1:17" x14ac:dyDescent="0.4">
      <c r="A8" s="57" t="s">
        <v>3</v>
      </c>
      <c r="B8" s="49">
        <v>26</v>
      </c>
      <c r="C8" s="41">
        <f>IF(B$2=0,0,B8/B$2)</f>
        <v>0.4</v>
      </c>
      <c r="E8" s="65" t="s">
        <v>73</v>
      </c>
      <c r="F8" s="62" t="s">
        <v>26</v>
      </c>
      <c r="G8" s="49">
        <v>8</v>
      </c>
      <c r="H8" s="141">
        <f t="shared" si="0"/>
        <v>0.10526315789473684</v>
      </c>
      <c r="I8" s="100">
        <v>11</v>
      </c>
      <c r="K8" s="40">
        <v>6</v>
      </c>
      <c r="L8" s="105">
        <v>-50.6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2">IF(B$2=0,0,B9/B$2)</f>
        <v>0.26153846153846155</v>
      </c>
      <c r="E9" s="65" t="s">
        <v>88</v>
      </c>
      <c r="F9" s="62" t="s">
        <v>41</v>
      </c>
      <c r="G9" s="49">
        <v>8</v>
      </c>
      <c r="H9" s="141">
        <f t="shared" si="0"/>
        <v>0.10526315789473684</v>
      </c>
      <c r="I9" s="100">
        <v>4</v>
      </c>
      <c r="K9" s="40">
        <v>7</v>
      </c>
      <c r="L9" s="105">
        <v>-47.6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0.1076923076923077</v>
      </c>
      <c r="E10" s="65" t="s">
        <v>94</v>
      </c>
      <c r="F10" s="62" t="s">
        <v>47</v>
      </c>
      <c r="G10" s="49">
        <v>6</v>
      </c>
      <c r="H10" s="141">
        <f t="shared" si="0"/>
        <v>7.8947368421052627E-2</v>
      </c>
      <c r="I10" s="100">
        <v>12</v>
      </c>
      <c r="K10" s="40">
        <v>8</v>
      </c>
      <c r="L10" s="105">
        <v>-59.1</v>
      </c>
      <c r="N10" s="120" t="s">
        <v>253</v>
      </c>
      <c r="O10" s="130">
        <f>IF(P10=0,0,Q10/P10)</f>
        <v>3.4350000000000001</v>
      </c>
      <c r="P10" s="124">
        <v>20</v>
      </c>
      <c r="Q10" s="112">
        <v>68.7</v>
      </c>
    </row>
    <row r="11" spans="1:17" x14ac:dyDescent="0.4">
      <c r="A11" s="58" t="s">
        <v>155</v>
      </c>
      <c r="B11" s="50">
        <v>11</v>
      </c>
      <c r="C11" s="42">
        <f>IF(B$2=0,0,B11/B$2)</f>
        <v>0.16923076923076924</v>
      </c>
      <c r="E11" s="65" t="s">
        <v>68</v>
      </c>
      <c r="F11" s="62" t="s">
        <v>22</v>
      </c>
      <c r="G11" s="49">
        <v>5</v>
      </c>
      <c r="H11" s="141">
        <f t="shared" si="0"/>
        <v>6.5789473684210523E-2</v>
      </c>
      <c r="I11" s="100">
        <v>11</v>
      </c>
      <c r="K11" s="40">
        <v>9</v>
      </c>
      <c r="L11" s="105">
        <v>-77.900000000000006</v>
      </c>
      <c r="N11" s="121" t="s">
        <v>254</v>
      </c>
      <c r="O11" s="131">
        <f>IF(P11=0,0,Q11/P11)</f>
        <v>5.4969696969696971</v>
      </c>
      <c r="P11" s="125">
        <v>33</v>
      </c>
      <c r="Q11" s="113">
        <v>181.4</v>
      </c>
    </row>
    <row r="12" spans="1:17" x14ac:dyDescent="0.4">
      <c r="A12" s="59" t="s">
        <v>239</v>
      </c>
      <c r="B12" s="51">
        <v>3</v>
      </c>
      <c r="C12" s="44">
        <f>IF(B$2=0,0,B12/B$2)</f>
        <v>4.6153846153846156E-2</v>
      </c>
      <c r="E12" s="65" t="s">
        <v>74</v>
      </c>
      <c r="F12" s="62" t="s">
        <v>27</v>
      </c>
      <c r="G12" s="49">
        <v>5</v>
      </c>
      <c r="H12" s="141">
        <f t="shared" si="0"/>
        <v>6.5789473684210523E-2</v>
      </c>
      <c r="I12" s="100">
        <v>11</v>
      </c>
      <c r="K12" s="40">
        <v>10</v>
      </c>
      <c r="L12" s="105">
        <v>-78.900000000000006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55</v>
      </c>
      <c r="C13" s="46">
        <f>IF(B$26=0,0,B13/B$26)</f>
        <v>0.23305084745762711</v>
      </c>
      <c r="E13" s="65" t="s">
        <v>86</v>
      </c>
      <c r="F13" s="62" t="s">
        <v>39</v>
      </c>
      <c r="G13" s="49">
        <v>4</v>
      </c>
      <c r="H13" s="141">
        <f t="shared" si="0"/>
        <v>5.2631578947368418E-2</v>
      </c>
      <c r="I13" s="100">
        <v>3</v>
      </c>
      <c r="K13" s="40">
        <v>11</v>
      </c>
      <c r="L13" s="105">
        <v>-88.9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70</v>
      </c>
      <c r="C14" s="41">
        <f>IF(B$26=0,0,B14/B$26)</f>
        <v>0.29661016949152541</v>
      </c>
      <c r="E14" s="65" t="s">
        <v>91</v>
      </c>
      <c r="F14" s="62" t="s">
        <v>44</v>
      </c>
      <c r="G14" s="49">
        <v>3</v>
      </c>
      <c r="H14" s="141">
        <f t="shared" si="0"/>
        <v>3.9473684210526314E-2</v>
      </c>
      <c r="I14" s="100">
        <v>11</v>
      </c>
      <c r="K14" s="40">
        <v>12</v>
      </c>
      <c r="L14" s="105">
        <v>-23.5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32</v>
      </c>
      <c r="C15" s="39">
        <f>IF(B$13=0,0,B15/B$13)</f>
        <v>0.58181818181818179</v>
      </c>
      <c r="E15" s="65" t="s">
        <v>75</v>
      </c>
      <c r="F15" s="62" t="s">
        <v>28</v>
      </c>
      <c r="G15" s="49">
        <v>2</v>
      </c>
      <c r="H15" s="141">
        <f t="shared" si="0"/>
        <v>2.6315789473684209E-2</v>
      </c>
      <c r="I15" s="100">
        <v>11</v>
      </c>
      <c r="K15" s="40">
        <v>13</v>
      </c>
      <c r="L15" s="105">
        <v>-12.4</v>
      </c>
      <c r="N15" s="120" t="s">
        <v>138</v>
      </c>
      <c r="O15" s="130">
        <f t="shared" ref="O15:O25" si="3"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30</v>
      </c>
      <c r="C16" s="39">
        <f>IF(B$14=0,0,B16/B$14)</f>
        <v>0.42857142857142855</v>
      </c>
      <c r="E16" s="65" t="s">
        <v>96</v>
      </c>
      <c r="F16" s="62" t="s">
        <v>49</v>
      </c>
      <c r="G16" s="49">
        <v>2</v>
      </c>
      <c r="H16" s="141">
        <f t="shared" si="0"/>
        <v>2.6315789473684209E-2</v>
      </c>
      <c r="I16" s="100">
        <v>3</v>
      </c>
      <c r="K16" s="40">
        <v>14</v>
      </c>
      <c r="L16" s="105">
        <v>38.6</v>
      </c>
      <c r="N16" s="121" t="s">
        <v>166</v>
      </c>
      <c r="O16" s="131">
        <f t="shared" si="3"/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163</v>
      </c>
      <c r="C17" s="39">
        <f>IF(B$3=0,0,B17/B$3)</f>
        <v>0.34388185654008441</v>
      </c>
      <c r="E17" s="65" t="s">
        <v>82</v>
      </c>
      <c r="F17" s="62" t="s">
        <v>35</v>
      </c>
      <c r="G17" s="49">
        <v>1</v>
      </c>
      <c r="H17" s="141">
        <f t="shared" si="0"/>
        <v>1.3157894736842105E-2</v>
      </c>
      <c r="I17" s="100">
        <v>8</v>
      </c>
      <c r="K17" s="40">
        <v>15</v>
      </c>
      <c r="L17" s="105">
        <v>55.8</v>
      </c>
      <c r="N17" s="121" t="s">
        <v>157</v>
      </c>
      <c r="O17" s="131">
        <f t="shared" si="3"/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70</v>
      </c>
      <c r="C18" s="41">
        <f>IF(B$17=0,0,B18/B$17)</f>
        <v>0.42944785276073622</v>
      </c>
      <c r="E18" s="65" t="s">
        <v>98</v>
      </c>
      <c r="F18" s="62" t="s">
        <v>51</v>
      </c>
      <c r="G18" s="49">
        <v>1</v>
      </c>
      <c r="H18" s="141">
        <f t="shared" si="0"/>
        <v>1.3157894736842105E-2</v>
      </c>
      <c r="I18" s="100">
        <v>1</v>
      </c>
      <c r="K18" s="40">
        <v>16</v>
      </c>
      <c r="L18" s="105">
        <v>40.299999999999997</v>
      </c>
      <c r="N18" s="121" t="s">
        <v>171</v>
      </c>
      <c r="O18" s="131">
        <f t="shared" si="3"/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93</v>
      </c>
      <c r="C19" s="41">
        <f>IF(B$17=0,0,B19/B$17)</f>
        <v>0.57055214723926384</v>
      </c>
      <c r="E19" s="65" t="s">
        <v>77</v>
      </c>
      <c r="F19" s="62" t="s">
        <v>30</v>
      </c>
      <c r="G19" s="49">
        <v>0</v>
      </c>
      <c r="H19" s="141">
        <f t="shared" si="0"/>
        <v>0</v>
      </c>
      <c r="I19" s="100">
        <v>7</v>
      </c>
      <c r="K19" s="40">
        <v>17</v>
      </c>
      <c r="L19" s="105">
        <v>15.799999999999997</v>
      </c>
      <c r="N19" s="121" t="s">
        <v>136</v>
      </c>
      <c r="O19" s="131">
        <f t="shared" si="3"/>
        <v>16.333333333333332</v>
      </c>
      <c r="P19" s="125">
        <v>3</v>
      </c>
      <c r="Q19" s="113">
        <v>48.999999999999993</v>
      </c>
    </row>
    <row r="20" spans="1:17" x14ac:dyDescent="0.4">
      <c r="A20" s="57" t="s">
        <v>13</v>
      </c>
      <c r="B20" s="49">
        <v>73</v>
      </c>
      <c r="C20" s="41">
        <f>IF(B$3=0,0,B20/B$3)</f>
        <v>0.15400843881856541</v>
      </c>
      <c r="E20" s="65" t="s">
        <v>78</v>
      </c>
      <c r="F20" s="62" t="s">
        <v>31</v>
      </c>
      <c r="G20" s="49">
        <v>0</v>
      </c>
      <c r="H20" s="141">
        <f t="shared" si="0"/>
        <v>0</v>
      </c>
      <c r="I20" s="100">
        <v>6</v>
      </c>
      <c r="K20" s="40">
        <v>18</v>
      </c>
      <c r="L20" s="105">
        <v>-25.700000000000003</v>
      </c>
      <c r="N20" s="121" t="s">
        <v>134</v>
      </c>
      <c r="O20" s="131">
        <f t="shared" si="3"/>
        <v>15.882051282051275</v>
      </c>
      <c r="P20" s="125">
        <v>39</v>
      </c>
      <c r="Q20" s="113">
        <v>619.39999999999975</v>
      </c>
    </row>
    <row r="21" spans="1:17" x14ac:dyDescent="0.4">
      <c r="A21" s="57" t="s">
        <v>5</v>
      </c>
      <c r="B21" s="53">
        <f>IF(B$17=0,0,C21/B$17)</f>
        <v>9707.3619631901838</v>
      </c>
      <c r="C21" s="43">
        <v>1582300</v>
      </c>
      <c r="E21" s="65" t="s">
        <v>79</v>
      </c>
      <c r="F21" s="62" t="s">
        <v>32</v>
      </c>
      <c r="G21" s="49">
        <v>0</v>
      </c>
      <c r="H21" s="141">
        <f t="shared" si="0"/>
        <v>0</v>
      </c>
      <c r="I21" s="100">
        <v>7</v>
      </c>
      <c r="K21" s="40">
        <v>19</v>
      </c>
      <c r="L21" s="105">
        <v>-17.700000000000003</v>
      </c>
      <c r="N21" s="121" t="s">
        <v>250</v>
      </c>
      <c r="O21" s="131">
        <f t="shared" si="3"/>
        <v>9.65</v>
      </c>
      <c r="P21" s="125">
        <v>2</v>
      </c>
      <c r="Q21" s="113">
        <v>19.3</v>
      </c>
    </row>
    <row r="22" spans="1:17" x14ac:dyDescent="0.4">
      <c r="A22" s="59" t="s">
        <v>14</v>
      </c>
      <c r="B22" s="54">
        <f>IF(B$20=0,0,C22/B$20)</f>
        <v>-8854.7945205479446</v>
      </c>
      <c r="C22" s="47">
        <v>-646400</v>
      </c>
      <c r="E22" s="65" t="s">
        <v>80</v>
      </c>
      <c r="F22" s="62" t="s">
        <v>33</v>
      </c>
      <c r="G22" s="49">
        <v>0</v>
      </c>
      <c r="H22" s="141">
        <f t="shared" si="0"/>
        <v>0</v>
      </c>
      <c r="I22" s="100">
        <v>1</v>
      </c>
      <c r="K22" s="40">
        <v>20</v>
      </c>
      <c r="L22" s="105">
        <v>7.4999999999999964</v>
      </c>
      <c r="N22" s="121" t="s">
        <v>137</v>
      </c>
      <c r="O22" s="131">
        <f t="shared" si="3"/>
        <v>8.3750000000000036</v>
      </c>
      <c r="P22" s="125">
        <v>8</v>
      </c>
      <c r="Q22" s="113">
        <v>67.000000000000028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0</v>
      </c>
      <c r="H23" s="141">
        <f t="shared" si="0"/>
        <v>0</v>
      </c>
      <c r="I23" s="100">
        <v>7</v>
      </c>
      <c r="K23" s="40">
        <v>21</v>
      </c>
      <c r="L23" s="105">
        <v>69.8</v>
      </c>
      <c r="N23" s="121" t="s">
        <v>133</v>
      </c>
      <c r="O23" s="131">
        <f t="shared" si="3"/>
        <v>-1.0818181818181813</v>
      </c>
      <c r="P23" s="125">
        <v>55</v>
      </c>
      <c r="Q23" s="113">
        <v>-59.499999999999979</v>
      </c>
    </row>
    <row r="24" spans="1:17" x14ac:dyDescent="0.4">
      <c r="A24" s="60" t="s">
        <v>199</v>
      </c>
      <c r="B24" s="153">
        <v>118000</v>
      </c>
      <c r="C24" s="154"/>
      <c r="E24" s="65" t="s">
        <v>83</v>
      </c>
      <c r="F24" s="62" t="s">
        <v>36</v>
      </c>
      <c r="G24" s="49">
        <v>0</v>
      </c>
      <c r="H24" s="141">
        <f t="shared" si="0"/>
        <v>0</v>
      </c>
      <c r="I24" s="100">
        <v>11</v>
      </c>
      <c r="K24" s="40">
        <v>22</v>
      </c>
      <c r="L24" s="105">
        <v>78.399999999999991</v>
      </c>
      <c r="N24" s="121" t="s">
        <v>194</v>
      </c>
      <c r="O24" s="131">
        <f t="shared" si="3"/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2.1097046413502108E-3</v>
      </c>
      <c r="E25" s="65" t="s">
        <v>84</v>
      </c>
      <c r="F25" s="62" t="s">
        <v>37</v>
      </c>
      <c r="G25" s="49">
        <v>0</v>
      </c>
      <c r="H25" s="141">
        <f t="shared" si="0"/>
        <v>0</v>
      </c>
      <c r="I25" s="100">
        <v>1</v>
      </c>
      <c r="K25" s="40">
        <v>23</v>
      </c>
      <c r="L25" s="105">
        <v>93.199999999999989</v>
      </c>
      <c r="N25" s="121" t="s">
        <v>139</v>
      </c>
      <c r="O25" s="131">
        <f t="shared" si="3"/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5">
        <v>236</v>
      </c>
      <c r="C26" s="146"/>
      <c r="E26" s="65" t="s">
        <v>85</v>
      </c>
      <c r="F26" s="62" t="s">
        <v>38</v>
      </c>
      <c r="G26" s="49">
        <v>0</v>
      </c>
      <c r="H26" s="141">
        <f t="shared" si="0"/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59">
        <v>76</v>
      </c>
      <c r="C27" s="160"/>
      <c r="E27" s="65" t="s">
        <v>87</v>
      </c>
      <c r="F27" s="62" t="s">
        <v>40</v>
      </c>
      <c r="G27" s="49">
        <v>0</v>
      </c>
      <c r="H27" s="141">
        <f t="shared" si="0"/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41">
        <f t="shared" si="0"/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 t="shared" si="0"/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 t="shared" si="0"/>
        <v>0</v>
      </c>
      <c r="I30" s="100">
        <v>5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 t="shared" si="0"/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 t="shared" si="0"/>
        <v>0</v>
      </c>
      <c r="I32" s="100">
        <v>4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41">
        <f t="shared" si="0"/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 t="shared" ref="H34:H65" si="4"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 t="shared" si="4"/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 t="shared" si="4"/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 t="shared" si="4"/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 t="shared" si="4"/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 t="shared" si="4"/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 t="shared" si="4"/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 t="shared" si="4"/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 t="shared" si="4"/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 t="shared" si="4"/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 t="shared" si="4"/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 t="shared" si="4"/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 t="shared" si="4"/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 t="shared" si="4"/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 t="shared" si="4"/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 t="shared" si="4"/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 t="shared" si="4"/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 t="shared" si="4"/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  <row r="62" spans="5:12" x14ac:dyDescent="0.4">
      <c r="K62" s="40">
        <v>60</v>
      </c>
      <c r="L62" s="105">
        <v>269.60000000000002</v>
      </c>
    </row>
    <row r="63" spans="5:12" x14ac:dyDescent="0.4">
      <c r="K63" s="40">
        <v>61</v>
      </c>
      <c r="L63" s="105">
        <v>256.20000000000005</v>
      </c>
    </row>
    <row r="64" spans="5:12" x14ac:dyDescent="0.4">
      <c r="K64" s="40">
        <v>62</v>
      </c>
      <c r="L64" s="105">
        <v>249.20000000000005</v>
      </c>
    </row>
    <row r="65" spans="11:12" x14ac:dyDescent="0.4">
      <c r="K65" s="40">
        <v>63</v>
      </c>
      <c r="L65" s="105">
        <v>243.20000000000005</v>
      </c>
    </row>
    <row r="66" spans="11:12" x14ac:dyDescent="0.4">
      <c r="K66" s="40">
        <v>64</v>
      </c>
      <c r="L66" s="105">
        <v>261.90000000000003</v>
      </c>
    </row>
    <row r="67" spans="11:12" x14ac:dyDescent="0.4">
      <c r="K67" s="40">
        <v>65</v>
      </c>
      <c r="L67" s="105">
        <v>267.8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A7E32-53D2-464D-A1EF-0A60D8D8DB10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171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5</v>
      </c>
      <c r="C2" s="146"/>
      <c r="E2" s="64" t="s">
        <v>67</v>
      </c>
      <c r="F2" s="61" t="s">
        <v>21</v>
      </c>
      <c r="G2" s="48">
        <v>6</v>
      </c>
      <c r="H2" s="140">
        <f t="shared" ref="H2:H33" si="0">IF(B$27=0,0,G2/B$27)</f>
        <v>0.66666666666666663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47">
        <v>37</v>
      </c>
      <c r="C3" s="148"/>
      <c r="E3" s="65" t="s">
        <v>71</v>
      </c>
      <c r="F3" s="62" t="s">
        <v>25</v>
      </c>
      <c r="G3" s="49">
        <v>6</v>
      </c>
      <c r="H3" s="141">
        <f t="shared" si="0"/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1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49">
        <v>-86.4</v>
      </c>
      <c r="C4" s="150"/>
      <c r="E4" s="65" t="s">
        <v>68</v>
      </c>
      <c r="F4" s="62" t="s">
        <v>22</v>
      </c>
      <c r="G4" s="49">
        <v>4</v>
      </c>
      <c r="H4" s="141">
        <f t="shared" si="0"/>
        <v>0.44444444444444442</v>
      </c>
      <c r="I4" s="100">
        <v>1</v>
      </c>
      <c r="K4" s="40">
        <v>2</v>
      </c>
      <c r="L4" s="105">
        <v>-81.7</v>
      </c>
      <c r="N4" s="121" t="s">
        <v>149</v>
      </c>
      <c r="O4" s="128">
        <f t="shared" si="1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1">
        <f>IF(B$2=0,0,B$4/B$2)</f>
        <v>-17.28</v>
      </c>
      <c r="C5" s="152"/>
      <c r="E5" s="65" t="s">
        <v>76</v>
      </c>
      <c r="F5" s="62" t="s">
        <v>29</v>
      </c>
      <c r="G5" s="49">
        <v>4</v>
      </c>
      <c r="H5" s="141">
        <f t="shared" si="0"/>
        <v>0.44444444444444442</v>
      </c>
      <c r="I5" s="100">
        <v>13</v>
      </c>
      <c r="K5" s="40">
        <v>3</v>
      </c>
      <c r="L5" s="105">
        <v>-88.9</v>
      </c>
      <c r="N5" s="121" t="s">
        <v>150</v>
      </c>
      <c r="O5" s="128">
        <f t="shared" si="1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57">
        <f>IF(B$2=0,0,(B$7*1+B$8*2+B$9*3)/B$2)</f>
        <v>2.2000000000000002</v>
      </c>
      <c r="C6" s="158"/>
      <c r="E6" s="65" t="s">
        <v>72</v>
      </c>
      <c r="F6" s="62" t="s">
        <v>12</v>
      </c>
      <c r="G6" s="49">
        <v>3</v>
      </c>
      <c r="H6" s="141">
        <f t="shared" si="0"/>
        <v>0.33333333333333331</v>
      </c>
      <c r="I6" s="100">
        <v>3</v>
      </c>
      <c r="K6" s="40">
        <v>4</v>
      </c>
      <c r="L6" s="105">
        <v>-109.2</v>
      </c>
      <c r="N6" s="121" t="s">
        <v>151</v>
      </c>
      <c r="O6" s="128">
        <f t="shared" si="1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41">
        <f t="shared" si="0"/>
        <v>0.22222222222222221</v>
      </c>
      <c r="I7" s="100">
        <v>10</v>
      </c>
      <c r="K7" s="40">
        <v>5</v>
      </c>
      <c r="L7" s="105">
        <v>-86.4</v>
      </c>
      <c r="N7" s="122" t="s">
        <v>152</v>
      </c>
      <c r="O7" s="129">
        <f t="shared" si="1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41">
        <f t="shared" si="0"/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2">IF(B$2=0,0,B9/B$2)</f>
        <v>0.4</v>
      </c>
      <c r="E9" s="65" t="s">
        <v>69</v>
      </c>
      <c r="F9" s="62" t="s">
        <v>23</v>
      </c>
      <c r="G9" s="49">
        <v>1</v>
      </c>
      <c r="H9" s="141">
        <f t="shared" si="0"/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41">
        <f t="shared" si="0"/>
        <v>0.1111111111111111</v>
      </c>
      <c r="I10" s="100">
        <v>9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41">
        <f t="shared" si="0"/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41">
        <f t="shared" si="0"/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41">
        <f t="shared" si="0"/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41">
        <f t="shared" si="0"/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41">
        <f t="shared" si="0"/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41">
        <f t="shared" si="0"/>
        <v>0</v>
      </c>
      <c r="I16" s="100">
        <v>7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41">
        <f t="shared" si="0"/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41">
        <f t="shared" si="0"/>
        <v>0</v>
      </c>
      <c r="I18" s="100">
        <v>7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41">
        <f t="shared" si="0"/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41">
        <f t="shared" si="0"/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41">
        <f t="shared" si="0"/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41">
        <f t="shared" si="0"/>
        <v>0</v>
      </c>
      <c r="I22" s="100">
        <v>10</v>
      </c>
    </row>
    <row r="23" spans="1:17" x14ac:dyDescent="0.4">
      <c r="A23" s="96" t="s">
        <v>158</v>
      </c>
      <c r="B23" s="155">
        <v>3</v>
      </c>
      <c r="C23" s="156"/>
      <c r="E23" s="65" t="s">
        <v>87</v>
      </c>
      <c r="F23" s="62" t="s">
        <v>40</v>
      </c>
      <c r="G23" s="49">
        <v>0</v>
      </c>
      <c r="H23" s="141">
        <f t="shared" si="0"/>
        <v>0</v>
      </c>
      <c r="I23" s="100">
        <v>1</v>
      </c>
    </row>
    <row r="24" spans="1:17" x14ac:dyDescent="0.4">
      <c r="A24" s="60" t="s">
        <v>199</v>
      </c>
      <c r="B24" s="153">
        <v>57800</v>
      </c>
      <c r="C24" s="154"/>
      <c r="E24" s="65" t="s">
        <v>88</v>
      </c>
      <c r="F24" s="62" t="s">
        <v>41</v>
      </c>
      <c r="G24" s="49">
        <v>0</v>
      </c>
      <c r="H24" s="141">
        <f t="shared" si="0"/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41">
        <f t="shared" si="0"/>
        <v>0</v>
      </c>
      <c r="I25" s="100">
        <v>5</v>
      </c>
    </row>
    <row r="26" spans="1:17" x14ac:dyDescent="0.4">
      <c r="A26" s="56" t="s">
        <v>126</v>
      </c>
      <c r="B26" s="145">
        <v>31</v>
      </c>
      <c r="C26" s="146"/>
      <c r="E26" s="65" t="s">
        <v>90</v>
      </c>
      <c r="F26" s="62" t="s">
        <v>43</v>
      </c>
      <c r="G26" s="49">
        <v>0</v>
      </c>
      <c r="H26" s="141">
        <f t="shared" si="0"/>
        <v>0</v>
      </c>
      <c r="I26" s="100">
        <v>6</v>
      </c>
    </row>
    <row r="27" spans="1:17" x14ac:dyDescent="0.4">
      <c r="A27" s="59" t="s">
        <v>127</v>
      </c>
      <c r="B27" s="159">
        <v>9</v>
      </c>
      <c r="C27" s="160"/>
      <c r="E27" s="65" t="s">
        <v>92</v>
      </c>
      <c r="F27" s="62" t="s">
        <v>45</v>
      </c>
      <c r="G27" s="49">
        <v>0</v>
      </c>
      <c r="H27" s="141">
        <f t="shared" si="0"/>
        <v>0</v>
      </c>
      <c r="I27" s="100">
        <v>5</v>
      </c>
    </row>
    <row r="28" spans="1:17" x14ac:dyDescent="0.4">
      <c r="E28" s="65" t="s">
        <v>93</v>
      </c>
      <c r="F28" s="62" t="s">
        <v>46</v>
      </c>
      <c r="G28" s="49">
        <v>0</v>
      </c>
      <c r="H28" s="141">
        <f t="shared" si="0"/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41">
        <f t="shared" si="0"/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 t="shared" si="0"/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 t="shared" si="0"/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 t="shared" si="0"/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 t="shared" si="0"/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 t="shared" ref="H34:H65" si="3"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 t="shared" si="3"/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 t="shared" si="3"/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 t="shared" si="3"/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 t="shared" si="3"/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 t="shared" si="3"/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 t="shared" si="3"/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 t="shared" si="3"/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 t="shared" si="3"/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 t="shared" si="3"/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 t="shared" si="3"/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 t="shared" si="3"/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 t="shared" si="3"/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 t="shared" si="3"/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 t="shared" si="3"/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 t="shared" si="3"/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 t="shared" si="3"/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 t="shared" si="3"/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399AC-E6BC-41A8-AA33-80203A8B86A3}">
  <sheetPr codeName="Sheet19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136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85</v>
      </c>
      <c r="C2" s="146"/>
      <c r="E2" s="64" t="s">
        <v>71</v>
      </c>
      <c r="F2" s="61" t="s">
        <v>25</v>
      </c>
      <c r="G2" s="48">
        <v>118</v>
      </c>
      <c r="H2" s="140">
        <f t="shared" ref="H2:H33" si="0">IF(B$27=0,0,G2/B$27)</f>
        <v>0.88721804511278191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-968.23529411764707</v>
      </c>
      <c r="P2" s="124">
        <v>85</v>
      </c>
      <c r="Q2" s="108">
        <v>-82300</v>
      </c>
    </row>
    <row r="3" spans="1:17" x14ac:dyDescent="0.4">
      <c r="A3" s="57" t="s">
        <v>8</v>
      </c>
      <c r="B3" s="147">
        <v>660</v>
      </c>
      <c r="C3" s="148"/>
      <c r="E3" s="65" t="s">
        <v>69</v>
      </c>
      <c r="F3" s="62" t="s">
        <v>23</v>
      </c>
      <c r="G3" s="49">
        <v>94</v>
      </c>
      <c r="H3" s="141">
        <f t="shared" si="0"/>
        <v>0.70676691729323304</v>
      </c>
      <c r="I3" s="100">
        <v>7</v>
      </c>
      <c r="K3" s="40">
        <v>1</v>
      </c>
      <c r="L3" s="105">
        <v>68.2</v>
      </c>
      <c r="N3" s="121" t="s">
        <v>148</v>
      </c>
      <c r="O3" s="128">
        <f t="shared" si="1"/>
        <v>-3073.75</v>
      </c>
      <c r="P3" s="125">
        <v>80</v>
      </c>
      <c r="Q3" s="109">
        <v>-245900</v>
      </c>
    </row>
    <row r="4" spans="1:17" x14ac:dyDescent="0.4">
      <c r="A4" s="57" t="s">
        <v>6</v>
      </c>
      <c r="B4" s="149">
        <v>-559</v>
      </c>
      <c r="C4" s="150"/>
      <c r="E4" s="65" t="s">
        <v>76</v>
      </c>
      <c r="F4" s="62" t="s">
        <v>29</v>
      </c>
      <c r="G4" s="49">
        <v>78</v>
      </c>
      <c r="H4" s="141">
        <f t="shared" si="0"/>
        <v>0.5864661654135338</v>
      </c>
      <c r="I4" s="100">
        <v>5</v>
      </c>
      <c r="K4" s="40">
        <v>2</v>
      </c>
      <c r="L4" s="105">
        <v>58.5</v>
      </c>
      <c r="N4" s="121" t="s">
        <v>149</v>
      </c>
      <c r="O4" s="128">
        <f t="shared" si="1"/>
        <v>-1090.2777777777778</v>
      </c>
      <c r="P4" s="125">
        <v>72</v>
      </c>
      <c r="Q4" s="109">
        <v>-78500</v>
      </c>
    </row>
    <row r="5" spans="1:17" x14ac:dyDescent="0.4">
      <c r="A5" s="57" t="s">
        <v>7</v>
      </c>
      <c r="B5" s="151">
        <f>IF(B$2=0,0,B$4/B$2)</f>
        <v>-6.5764705882352938</v>
      </c>
      <c r="C5" s="152"/>
      <c r="E5" s="65" t="s">
        <v>67</v>
      </c>
      <c r="F5" s="62" t="s">
        <v>21</v>
      </c>
      <c r="G5" s="49">
        <v>62</v>
      </c>
      <c r="H5" s="141">
        <f t="shared" si="0"/>
        <v>0.46616541353383456</v>
      </c>
      <c r="I5" s="100">
        <v>10</v>
      </c>
      <c r="K5" s="40">
        <v>3</v>
      </c>
      <c r="L5" s="105">
        <v>82.1</v>
      </c>
      <c r="N5" s="121" t="s">
        <v>150</v>
      </c>
      <c r="O5" s="128">
        <f t="shared" si="1"/>
        <v>-556.52173913043475</v>
      </c>
      <c r="P5" s="125">
        <v>69</v>
      </c>
      <c r="Q5" s="109">
        <v>-38400</v>
      </c>
    </row>
    <row r="6" spans="1:17" x14ac:dyDescent="0.4">
      <c r="A6" s="57" t="s">
        <v>1</v>
      </c>
      <c r="B6" s="157">
        <f>IF(B$2=0,0,(B$7*1+B$8*2+B$9*3)/B$2)</f>
        <v>2.2117647058823531</v>
      </c>
      <c r="C6" s="158"/>
      <c r="E6" s="65" t="s">
        <v>72</v>
      </c>
      <c r="F6" s="62" t="s">
        <v>12</v>
      </c>
      <c r="G6" s="49">
        <v>43</v>
      </c>
      <c r="H6" s="141">
        <f t="shared" si="0"/>
        <v>0.32330827067669171</v>
      </c>
      <c r="I6" s="100">
        <v>4</v>
      </c>
      <c r="K6" s="40">
        <v>4</v>
      </c>
      <c r="L6" s="105">
        <v>57.699999999999996</v>
      </c>
      <c r="N6" s="121" t="s">
        <v>151</v>
      </c>
      <c r="O6" s="128">
        <f t="shared" si="1"/>
        <v>-1555.1724137931035</v>
      </c>
      <c r="P6" s="125">
        <v>58</v>
      </c>
      <c r="Q6" s="109">
        <v>-90200</v>
      </c>
    </row>
    <row r="7" spans="1:17" x14ac:dyDescent="0.4">
      <c r="A7" s="57" t="s">
        <v>2</v>
      </c>
      <c r="B7" s="49">
        <v>19</v>
      </c>
      <c r="C7" s="41">
        <f>IF(B$2=0,0,B7/B$2)</f>
        <v>0.22352941176470589</v>
      </c>
      <c r="E7" s="65" t="s">
        <v>68</v>
      </c>
      <c r="F7" s="62" t="s">
        <v>22</v>
      </c>
      <c r="G7" s="49">
        <v>20</v>
      </c>
      <c r="H7" s="141">
        <f t="shared" si="0"/>
        <v>0.15037593984962405</v>
      </c>
      <c r="I7" s="100">
        <v>4</v>
      </c>
      <c r="K7" s="40">
        <v>5</v>
      </c>
      <c r="L7" s="105">
        <v>123.69999999999999</v>
      </c>
      <c r="N7" s="122" t="s">
        <v>152</v>
      </c>
      <c r="O7" s="129">
        <f t="shared" si="1"/>
        <v>-887.23404255319144</v>
      </c>
      <c r="P7" s="126">
        <v>47</v>
      </c>
      <c r="Q7" s="110">
        <v>-41700</v>
      </c>
    </row>
    <row r="8" spans="1:17" x14ac:dyDescent="0.4">
      <c r="A8" s="57" t="s">
        <v>3</v>
      </c>
      <c r="B8" s="49">
        <v>29</v>
      </c>
      <c r="C8" s="41">
        <f>IF(B$2=0,0,B8/B$2)</f>
        <v>0.3411764705882353</v>
      </c>
      <c r="E8" s="65" t="s">
        <v>70</v>
      </c>
      <c r="F8" s="62" t="s">
        <v>24</v>
      </c>
      <c r="G8" s="49">
        <v>19</v>
      </c>
      <c r="H8" s="141">
        <f t="shared" si="0"/>
        <v>0.14285714285714285</v>
      </c>
      <c r="I8" s="100">
        <v>12</v>
      </c>
      <c r="K8" s="40">
        <v>6</v>
      </c>
      <c r="L8" s="105">
        <v>125.19999999999999</v>
      </c>
      <c r="N8" s="45"/>
      <c r="O8" s="133"/>
      <c r="P8" s="117"/>
      <c r="Q8" s="115"/>
    </row>
    <row r="9" spans="1:17" x14ac:dyDescent="0.4">
      <c r="A9" s="58" t="s">
        <v>4</v>
      </c>
      <c r="B9" s="50">
        <v>37</v>
      </c>
      <c r="C9" s="42">
        <f t="shared" ref="C9" si="2">IF(B$2=0,0,B9/B$2)</f>
        <v>0.43529411764705883</v>
      </c>
      <c r="E9" s="65" t="s">
        <v>73</v>
      </c>
      <c r="F9" s="62" t="s">
        <v>26</v>
      </c>
      <c r="G9" s="49">
        <v>17</v>
      </c>
      <c r="H9" s="141">
        <f t="shared" si="0"/>
        <v>0.12781954887218044</v>
      </c>
      <c r="I9" s="100">
        <v>8</v>
      </c>
      <c r="K9" s="40">
        <v>7</v>
      </c>
      <c r="L9" s="105">
        <v>129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16</v>
      </c>
      <c r="C10" s="42">
        <f>IF(B$2=0,0,B10/B$2)</f>
        <v>0.18823529411764706</v>
      </c>
      <c r="E10" s="65" t="s">
        <v>94</v>
      </c>
      <c r="F10" s="62" t="s">
        <v>47</v>
      </c>
      <c r="G10" s="49">
        <v>11</v>
      </c>
      <c r="H10" s="141">
        <f t="shared" si="0"/>
        <v>8.2706766917293228E-2</v>
      </c>
      <c r="I10" s="100">
        <v>11</v>
      </c>
      <c r="K10" s="40">
        <v>8</v>
      </c>
      <c r="L10" s="105">
        <v>96.5</v>
      </c>
      <c r="N10" s="120" t="s">
        <v>253</v>
      </c>
      <c r="O10" s="130">
        <f>IF(P10=0,0,Q10/P10)</f>
        <v>-8.5526315789473717</v>
      </c>
      <c r="P10" s="124">
        <v>38</v>
      </c>
      <c r="Q10" s="112">
        <v>-325.00000000000011</v>
      </c>
    </row>
    <row r="11" spans="1:17" x14ac:dyDescent="0.4">
      <c r="A11" s="58" t="s">
        <v>155</v>
      </c>
      <c r="B11" s="50">
        <v>10</v>
      </c>
      <c r="C11" s="42">
        <f>IF(B$2=0,0,B11/B$2)</f>
        <v>0.11764705882352941</v>
      </c>
      <c r="E11" s="65" t="s">
        <v>74</v>
      </c>
      <c r="F11" s="62" t="s">
        <v>27</v>
      </c>
      <c r="G11" s="49">
        <v>10</v>
      </c>
      <c r="H11" s="141">
        <f t="shared" si="0"/>
        <v>7.5187969924812026E-2</v>
      </c>
      <c r="I11" s="100">
        <v>10</v>
      </c>
      <c r="K11" s="40">
        <v>9</v>
      </c>
      <c r="L11" s="105">
        <v>82.8</v>
      </c>
      <c r="N11" s="121" t="s">
        <v>254</v>
      </c>
      <c r="O11" s="131">
        <f>IF(P11=0,0,Q11/P11)</f>
        <v>-5.708695652173911</v>
      </c>
      <c r="P11" s="125">
        <v>23</v>
      </c>
      <c r="Q11" s="113">
        <v>-131.29999999999995</v>
      </c>
    </row>
    <row r="12" spans="1:17" x14ac:dyDescent="0.4">
      <c r="A12" s="59" t="s">
        <v>239</v>
      </c>
      <c r="B12" s="51">
        <v>4</v>
      </c>
      <c r="C12" s="44">
        <f>IF(B$2=0,0,B12/B$2)</f>
        <v>4.7058823529411764E-2</v>
      </c>
      <c r="E12" s="65" t="s">
        <v>75</v>
      </c>
      <c r="F12" s="62" t="s">
        <v>28</v>
      </c>
      <c r="G12" s="49">
        <v>7</v>
      </c>
      <c r="H12" s="141">
        <f t="shared" si="0"/>
        <v>5.2631578947368418E-2</v>
      </c>
      <c r="I12" s="100">
        <v>4</v>
      </c>
      <c r="K12" s="40">
        <v>10</v>
      </c>
      <c r="L12" s="105">
        <v>110.5</v>
      </c>
      <c r="N12" s="122" t="s">
        <v>255</v>
      </c>
      <c r="O12" s="132">
        <f>IF(P12=0,0,Q12/P12)</f>
        <v>-4.2791666666666668</v>
      </c>
      <c r="P12" s="126">
        <v>24</v>
      </c>
      <c r="Q12" s="114">
        <v>-102.7</v>
      </c>
    </row>
    <row r="13" spans="1:17" x14ac:dyDescent="0.4">
      <c r="A13" s="60" t="s">
        <v>128</v>
      </c>
      <c r="B13" s="52">
        <v>131</v>
      </c>
      <c r="C13" s="46">
        <f>IF(B$26=0,0,B13/B$26)</f>
        <v>0.27291666666666664</v>
      </c>
      <c r="E13" s="65" t="s">
        <v>82</v>
      </c>
      <c r="F13" s="62" t="s">
        <v>35</v>
      </c>
      <c r="G13" s="49">
        <v>5</v>
      </c>
      <c r="H13" s="141">
        <f t="shared" si="0"/>
        <v>3.7593984962406013E-2</v>
      </c>
      <c r="I13" s="100">
        <v>4</v>
      </c>
      <c r="K13" s="40">
        <v>11</v>
      </c>
      <c r="L13" s="105">
        <v>71.599999999999994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136</v>
      </c>
      <c r="C14" s="41">
        <f>IF(B$26=0,0,B14/B$26)</f>
        <v>0.28333333333333333</v>
      </c>
      <c r="E14" s="65" t="s">
        <v>91</v>
      </c>
      <c r="F14" s="62" t="s">
        <v>44</v>
      </c>
      <c r="G14" s="49">
        <v>5</v>
      </c>
      <c r="H14" s="141">
        <f t="shared" si="0"/>
        <v>3.7593984962406013E-2</v>
      </c>
      <c r="I14" s="100">
        <v>12</v>
      </c>
      <c r="K14" s="40">
        <v>12</v>
      </c>
      <c r="L14" s="105">
        <v>33.599999999999994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64</v>
      </c>
      <c r="C15" s="39">
        <f>IF(B$13=0,0,B15/B$13)</f>
        <v>0.48854961832061067</v>
      </c>
      <c r="E15" s="65" t="s">
        <v>86</v>
      </c>
      <c r="F15" s="62" t="s">
        <v>39</v>
      </c>
      <c r="G15" s="49">
        <v>4</v>
      </c>
      <c r="H15" s="141">
        <f t="shared" si="0"/>
        <v>3.007518796992481E-2</v>
      </c>
      <c r="I15" s="100">
        <v>6</v>
      </c>
      <c r="K15" s="40">
        <v>13</v>
      </c>
      <c r="L15" s="105">
        <v>13.299999999999994</v>
      </c>
      <c r="N15" s="120" t="s">
        <v>157</v>
      </c>
      <c r="O15" s="130">
        <f t="shared" ref="O15:O21" si="3">IF(P15=0,0,Q15/P15)</f>
        <v>26.95</v>
      </c>
      <c r="P15" s="124">
        <v>6</v>
      </c>
      <c r="Q15" s="112">
        <v>161.69999999999999</v>
      </c>
    </row>
    <row r="16" spans="1:17" x14ac:dyDescent="0.4">
      <c r="A16" s="56" t="s">
        <v>131</v>
      </c>
      <c r="B16" s="48">
        <v>50</v>
      </c>
      <c r="C16" s="39">
        <f>IF(B$14=0,0,B16/B$14)</f>
        <v>0.36764705882352944</v>
      </c>
      <c r="E16" s="65" t="s">
        <v>83</v>
      </c>
      <c r="F16" s="62" t="s">
        <v>36</v>
      </c>
      <c r="G16" s="49">
        <v>3</v>
      </c>
      <c r="H16" s="141">
        <f t="shared" si="0"/>
        <v>2.2556390977443608E-2</v>
      </c>
      <c r="I16" s="100">
        <v>4</v>
      </c>
      <c r="K16" s="40">
        <v>14</v>
      </c>
      <c r="L16" s="105">
        <v>4.7999999999999936</v>
      </c>
      <c r="N16" s="121" t="s">
        <v>137</v>
      </c>
      <c r="O16" s="131">
        <f t="shared" si="3"/>
        <v>6.7891891891891882</v>
      </c>
      <c r="P16" s="125">
        <v>37</v>
      </c>
      <c r="Q16" s="113">
        <v>251.19999999999996</v>
      </c>
    </row>
    <row r="17" spans="1:17" x14ac:dyDescent="0.4">
      <c r="A17" s="56" t="s">
        <v>10</v>
      </c>
      <c r="B17" s="48">
        <f>B19+B18</f>
        <v>184</v>
      </c>
      <c r="C17" s="39">
        <f>IF(B$3=0,0,B17/B$3)</f>
        <v>0.27878787878787881</v>
      </c>
      <c r="E17" s="65" t="s">
        <v>88</v>
      </c>
      <c r="F17" s="62" t="s">
        <v>41</v>
      </c>
      <c r="G17" s="49">
        <v>2</v>
      </c>
      <c r="H17" s="141">
        <f t="shared" si="0"/>
        <v>1.5037593984962405E-2</v>
      </c>
      <c r="I17" s="100">
        <v>11</v>
      </c>
      <c r="K17" s="40">
        <v>15</v>
      </c>
      <c r="L17" s="105">
        <v>-33.700000000000003</v>
      </c>
      <c r="N17" s="121" t="s">
        <v>139</v>
      </c>
      <c r="O17" s="131">
        <f t="shared" si="3"/>
        <v>-0.35263157894736707</v>
      </c>
      <c r="P17" s="125">
        <v>19</v>
      </c>
      <c r="Q17" s="113">
        <v>-6.6999999999999744</v>
      </c>
    </row>
    <row r="18" spans="1:17" x14ac:dyDescent="0.4">
      <c r="A18" s="57" t="s">
        <v>12</v>
      </c>
      <c r="B18" s="49">
        <v>88</v>
      </c>
      <c r="C18" s="41">
        <f>IF(B$17=0,0,B18/B$17)</f>
        <v>0.47826086956521741</v>
      </c>
      <c r="E18" s="65" t="s">
        <v>79</v>
      </c>
      <c r="F18" s="62" t="s">
        <v>32</v>
      </c>
      <c r="G18" s="49">
        <v>1</v>
      </c>
      <c r="H18" s="141">
        <f t="shared" si="0"/>
        <v>7.5187969924812026E-3</v>
      </c>
      <c r="I18" s="100">
        <v>2</v>
      </c>
      <c r="K18" s="40">
        <v>16</v>
      </c>
      <c r="L18" s="105">
        <v>-45.300000000000004</v>
      </c>
      <c r="N18" s="121" t="s">
        <v>135</v>
      </c>
      <c r="O18" s="131">
        <f t="shared" si="3"/>
        <v>-16.333333333333332</v>
      </c>
      <c r="P18" s="125">
        <v>3</v>
      </c>
      <c r="Q18" s="113">
        <v>-49</v>
      </c>
    </row>
    <row r="19" spans="1:17" x14ac:dyDescent="0.4">
      <c r="A19" s="57" t="s">
        <v>11</v>
      </c>
      <c r="B19" s="49">
        <v>96</v>
      </c>
      <c r="C19" s="41">
        <f>IF(B$17=0,0,B19/B$17)</f>
        <v>0.52173913043478259</v>
      </c>
      <c r="E19" s="65" t="s">
        <v>81</v>
      </c>
      <c r="F19" s="62" t="s">
        <v>34</v>
      </c>
      <c r="G19" s="49">
        <v>1</v>
      </c>
      <c r="H19" s="141">
        <f t="shared" si="0"/>
        <v>7.5187969924812026E-3</v>
      </c>
      <c r="I19" s="100">
        <v>3</v>
      </c>
      <c r="K19" s="40">
        <v>17</v>
      </c>
      <c r="L19" s="105">
        <v>-45.000000000000007</v>
      </c>
      <c r="N19" s="121" t="s">
        <v>133</v>
      </c>
      <c r="O19" s="131">
        <f t="shared" si="3"/>
        <v>-17.15735294117647</v>
      </c>
      <c r="P19" s="125">
        <v>68</v>
      </c>
      <c r="Q19" s="113">
        <v>-1166.7</v>
      </c>
    </row>
    <row r="20" spans="1:17" x14ac:dyDescent="0.4">
      <c r="A20" s="57" t="s">
        <v>13</v>
      </c>
      <c r="B20" s="49">
        <v>126</v>
      </c>
      <c r="C20" s="41">
        <f>IF(B$3=0,0,B20/B$3)</f>
        <v>0.19090909090909092</v>
      </c>
      <c r="E20" s="65" t="s">
        <v>77</v>
      </c>
      <c r="F20" s="62" t="s">
        <v>30</v>
      </c>
      <c r="G20" s="49">
        <v>0</v>
      </c>
      <c r="H20" s="141">
        <f t="shared" si="0"/>
        <v>0</v>
      </c>
      <c r="I20" s="100">
        <v>7</v>
      </c>
      <c r="K20" s="40">
        <v>18</v>
      </c>
      <c r="L20" s="105">
        <v>-30.300000000000008</v>
      </c>
      <c r="N20" s="121" t="s">
        <v>134</v>
      </c>
      <c r="O20" s="131">
        <f t="shared" si="3"/>
        <v>-22.345454545454551</v>
      </c>
      <c r="P20" s="125">
        <v>22</v>
      </c>
      <c r="Q20" s="113">
        <v>-491.60000000000014</v>
      </c>
    </row>
    <row r="21" spans="1:17" x14ac:dyDescent="0.4">
      <c r="A21" s="57" t="s">
        <v>5</v>
      </c>
      <c r="B21" s="53">
        <f>IF(B$17=0,0,C21/B$17)</f>
        <v>8946.1956521739139</v>
      </c>
      <c r="C21" s="43">
        <v>1646100</v>
      </c>
      <c r="E21" s="65" t="s">
        <v>78</v>
      </c>
      <c r="F21" s="62" t="s">
        <v>31</v>
      </c>
      <c r="G21" s="49">
        <v>0</v>
      </c>
      <c r="H21" s="141">
        <f t="shared" si="0"/>
        <v>0</v>
      </c>
      <c r="I21" s="100">
        <v>6</v>
      </c>
      <c r="K21" s="40">
        <v>19</v>
      </c>
      <c r="L21" s="105">
        <v>17.699999999999992</v>
      </c>
      <c r="N21" s="121" t="s">
        <v>138</v>
      </c>
      <c r="O21" s="131">
        <f t="shared" si="3"/>
        <v>-24.993333333333332</v>
      </c>
      <c r="P21" s="125">
        <v>15</v>
      </c>
      <c r="Q21" s="113">
        <v>-374.9</v>
      </c>
    </row>
    <row r="22" spans="1:17" x14ac:dyDescent="0.4">
      <c r="A22" s="59" t="s">
        <v>14</v>
      </c>
      <c r="B22" s="54">
        <f>IF(B$20=0,0,C22/B$20)</f>
        <v>-9651.5873015873021</v>
      </c>
      <c r="C22" s="47">
        <v>-1216100</v>
      </c>
      <c r="E22" s="65" t="s">
        <v>80</v>
      </c>
      <c r="F22" s="62" t="s">
        <v>33</v>
      </c>
      <c r="G22" s="49">
        <v>0</v>
      </c>
      <c r="H22" s="141">
        <f t="shared" si="0"/>
        <v>0</v>
      </c>
      <c r="I22" s="100">
        <v>1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55">
        <v>6</v>
      </c>
      <c r="C23" s="156"/>
      <c r="E23" s="65" t="s">
        <v>84</v>
      </c>
      <c r="F23" s="62" t="s">
        <v>37</v>
      </c>
      <c r="G23" s="49">
        <v>0</v>
      </c>
      <c r="H23" s="141">
        <f t="shared" si="0"/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53">
        <v>103200</v>
      </c>
      <c r="C24" s="154"/>
      <c r="E24" s="65" t="s">
        <v>85</v>
      </c>
      <c r="F24" s="62" t="s">
        <v>38</v>
      </c>
      <c r="G24" s="49">
        <v>0</v>
      </c>
      <c r="H24" s="141">
        <f t="shared" si="0"/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3.0303030303030303E-3</v>
      </c>
      <c r="E25" s="65" t="s">
        <v>87</v>
      </c>
      <c r="F25" s="62" t="s">
        <v>40</v>
      </c>
      <c r="G25" s="49">
        <v>0</v>
      </c>
      <c r="H25" s="141">
        <f t="shared" si="0"/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45">
        <v>480</v>
      </c>
      <c r="C26" s="146"/>
      <c r="E26" s="65" t="s">
        <v>89</v>
      </c>
      <c r="F26" s="62" t="s">
        <v>42</v>
      </c>
      <c r="G26" s="49">
        <v>0</v>
      </c>
      <c r="H26" s="141">
        <f t="shared" si="0"/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59">
        <v>133</v>
      </c>
      <c r="C27" s="160"/>
      <c r="E27" s="65" t="s">
        <v>90</v>
      </c>
      <c r="F27" s="62" t="s">
        <v>43</v>
      </c>
      <c r="G27" s="49">
        <v>0</v>
      </c>
      <c r="H27" s="141">
        <f t="shared" si="0"/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 t="shared" si="0"/>
        <v>0</v>
      </c>
      <c r="I28" s="100">
        <v>5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 t="shared" si="0"/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 t="shared" si="0"/>
        <v>0</v>
      </c>
      <c r="I30" s="100">
        <v>4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 t="shared" si="0"/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 t="shared" si="0"/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 t="shared" si="0"/>
        <v>0</v>
      </c>
      <c r="I33" s="100">
        <v>6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 t="shared" ref="H34:H65" si="4"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 t="shared" si="4"/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 t="shared" si="4"/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 t="shared" si="4"/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 t="shared" si="4"/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 t="shared" si="4"/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 t="shared" si="4"/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 t="shared" si="4"/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 t="shared" si="4"/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 t="shared" si="4"/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 t="shared" si="4"/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 t="shared" si="4"/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 t="shared" si="4"/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 t="shared" si="4"/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 t="shared" si="4"/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 t="shared" si="4"/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 t="shared" si="4"/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 t="shared" si="4"/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  <row r="70" spans="11:12" x14ac:dyDescent="0.4">
      <c r="K70" s="40">
        <v>68</v>
      </c>
      <c r="L70" s="105">
        <v>-462</v>
      </c>
    </row>
    <row r="71" spans="11:12" x14ac:dyDescent="0.4">
      <c r="K71" s="40">
        <v>69</v>
      </c>
      <c r="L71" s="105">
        <v>-472.6</v>
      </c>
    </row>
    <row r="72" spans="11:12" x14ac:dyDescent="0.4">
      <c r="K72" s="40">
        <v>70</v>
      </c>
      <c r="L72" s="105">
        <v>-466.8</v>
      </c>
    </row>
    <row r="73" spans="11:12" x14ac:dyDescent="0.4">
      <c r="K73" s="40">
        <v>71</v>
      </c>
      <c r="L73" s="105">
        <v>-446.7</v>
      </c>
    </row>
    <row r="74" spans="11:12" x14ac:dyDescent="0.4">
      <c r="K74" s="40">
        <v>72</v>
      </c>
      <c r="L74" s="105">
        <v>-471.8</v>
      </c>
    </row>
    <row r="75" spans="11:12" x14ac:dyDescent="0.4">
      <c r="K75" s="40">
        <v>73</v>
      </c>
      <c r="L75" s="105">
        <v>-486.2</v>
      </c>
    </row>
    <row r="76" spans="11:12" x14ac:dyDescent="0.4">
      <c r="K76" s="40">
        <v>74</v>
      </c>
      <c r="L76" s="105">
        <v>-520.20000000000005</v>
      </c>
    </row>
    <row r="77" spans="11:12" x14ac:dyDescent="0.4">
      <c r="K77" s="40">
        <v>75</v>
      </c>
      <c r="L77" s="105">
        <v>-493.70000000000005</v>
      </c>
    </row>
    <row r="78" spans="11:12" x14ac:dyDescent="0.4">
      <c r="K78" s="40">
        <v>76</v>
      </c>
      <c r="L78" s="105">
        <v>-475.70000000000005</v>
      </c>
    </row>
    <row r="79" spans="11:12" x14ac:dyDescent="0.4">
      <c r="K79" s="40">
        <v>77</v>
      </c>
      <c r="L79" s="105">
        <v>-517.20000000000005</v>
      </c>
    </row>
    <row r="80" spans="11:12" x14ac:dyDescent="0.4">
      <c r="K80" s="40">
        <v>78</v>
      </c>
      <c r="L80" s="105">
        <v>-519</v>
      </c>
    </row>
    <row r="81" spans="11:12" x14ac:dyDescent="0.4">
      <c r="K81" s="40">
        <v>79</v>
      </c>
      <c r="L81" s="105">
        <v>-481</v>
      </c>
    </row>
    <row r="82" spans="11:12" x14ac:dyDescent="0.4">
      <c r="K82" s="40">
        <v>80</v>
      </c>
      <c r="L82" s="105">
        <v>-434.2</v>
      </c>
    </row>
    <row r="83" spans="11:12" x14ac:dyDescent="0.4">
      <c r="K83" s="40">
        <v>81</v>
      </c>
      <c r="L83" s="105">
        <v>-479.2</v>
      </c>
    </row>
    <row r="84" spans="11:12" x14ac:dyDescent="0.4">
      <c r="K84" s="40">
        <v>82</v>
      </c>
      <c r="L84" s="105">
        <v>-517.70000000000005</v>
      </c>
    </row>
    <row r="85" spans="11:12" x14ac:dyDescent="0.4">
      <c r="K85" s="40">
        <v>83</v>
      </c>
      <c r="L85" s="105">
        <v>-521.5</v>
      </c>
    </row>
    <row r="86" spans="11:12" x14ac:dyDescent="0.4">
      <c r="K86" s="40">
        <v>84</v>
      </c>
      <c r="L86" s="105">
        <v>-540.4</v>
      </c>
    </row>
    <row r="87" spans="11:12" x14ac:dyDescent="0.4">
      <c r="K87" s="40">
        <v>85</v>
      </c>
      <c r="L87" s="105">
        <v>-559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45B95-1128-4726-A951-A2EA4121D215}">
  <sheetPr codeName="Sheet21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137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123</v>
      </c>
      <c r="C2" s="146"/>
      <c r="E2" s="64" t="s">
        <v>71</v>
      </c>
      <c r="F2" s="61" t="s">
        <v>25</v>
      </c>
      <c r="G2" s="48">
        <v>220</v>
      </c>
      <c r="H2" s="140">
        <f t="shared" ref="H2:H33" si="0">IF(B$27=0,0,G2/B$27)</f>
        <v>0.90909090909090906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1019.00826446281</v>
      </c>
      <c r="P2" s="124">
        <v>121</v>
      </c>
      <c r="Q2" s="108">
        <v>123300</v>
      </c>
    </row>
    <row r="3" spans="1:17" x14ac:dyDescent="0.4">
      <c r="A3" s="57" t="s">
        <v>8</v>
      </c>
      <c r="B3" s="147">
        <v>934</v>
      </c>
      <c r="C3" s="148"/>
      <c r="E3" s="65" t="s">
        <v>69</v>
      </c>
      <c r="F3" s="62" t="s">
        <v>23</v>
      </c>
      <c r="G3" s="49">
        <v>182</v>
      </c>
      <c r="H3" s="141">
        <f t="shared" si="0"/>
        <v>0.75206611570247939</v>
      </c>
      <c r="I3" s="100">
        <v>4</v>
      </c>
      <c r="K3" s="40">
        <v>1</v>
      </c>
      <c r="L3" s="105">
        <v>-36.700000000000003</v>
      </c>
      <c r="N3" s="121" t="s">
        <v>148</v>
      </c>
      <c r="O3" s="128">
        <f t="shared" si="1"/>
        <v>620.17543859649118</v>
      </c>
      <c r="P3" s="125">
        <v>114</v>
      </c>
      <c r="Q3" s="109">
        <v>70700</v>
      </c>
    </row>
    <row r="4" spans="1:17" x14ac:dyDescent="0.4">
      <c r="A4" s="57" t="s">
        <v>6</v>
      </c>
      <c r="B4" s="149">
        <v>201.39999999999984</v>
      </c>
      <c r="C4" s="150"/>
      <c r="E4" s="65" t="s">
        <v>76</v>
      </c>
      <c r="F4" s="62" t="s">
        <v>29</v>
      </c>
      <c r="G4" s="49">
        <v>139</v>
      </c>
      <c r="H4" s="141">
        <f t="shared" si="0"/>
        <v>0.57438016528925617</v>
      </c>
      <c r="I4" s="100">
        <v>7</v>
      </c>
      <c r="K4" s="40">
        <v>2</v>
      </c>
      <c r="L4" s="105">
        <v>-45.300000000000004</v>
      </c>
      <c r="N4" s="121" t="s">
        <v>149</v>
      </c>
      <c r="O4" s="128">
        <f t="shared" si="1"/>
        <v>-58.490566037735846</v>
      </c>
      <c r="P4" s="125">
        <v>106</v>
      </c>
      <c r="Q4" s="109">
        <v>-6200</v>
      </c>
    </row>
    <row r="5" spans="1:17" x14ac:dyDescent="0.4">
      <c r="A5" s="57" t="s">
        <v>7</v>
      </c>
      <c r="B5" s="151">
        <f>IF(B$2=0,0,B$4/B$2)</f>
        <v>1.6373983739837386</v>
      </c>
      <c r="C5" s="152"/>
      <c r="E5" s="65" t="s">
        <v>67</v>
      </c>
      <c r="F5" s="62" t="s">
        <v>21</v>
      </c>
      <c r="G5" s="49">
        <v>131</v>
      </c>
      <c r="H5" s="141">
        <f t="shared" si="0"/>
        <v>0.54132231404958675</v>
      </c>
      <c r="I5" s="100">
        <v>8</v>
      </c>
      <c r="K5" s="40">
        <v>3</v>
      </c>
      <c r="L5" s="105">
        <v>-81.7</v>
      </c>
      <c r="N5" s="121" t="s">
        <v>150</v>
      </c>
      <c r="O5" s="128">
        <f t="shared" si="1"/>
        <v>-810</v>
      </c>
      <c r="P5" s="125">
        <v>100</v>
      </c>
      <c r="Q5" s="109">
        <v>-81000</v>
      </c>
    </row>
    <row r="6" spans="1:17" x14ac:dyDescent="0.4">
      <c r="A6" s="57" t="s">
        <v>1</v>
      </c>
      <c r="B6" s="157">
        <f>IF(B$2=0,0,(B$7*1+B$8*2+B$9*3)/B$2)</f>
        <v>1.9268292682926829</v>
      </c>
      <c r="C6" s="158"/>
      <c r="E6" s="65" t="s">
        <v>70</v>
      </c>
      <c r="F6" s="62" t="s">
        <v>24</v>
      </c>
      <c r="G6" s="49">
        <v>86</v>
      </c>
      <c r="H6" s="141">
        <f t="shared" si="0"/>
        <v>0.35537190082644626</v>
      </c>
      <c r="I6" s="100">
        <v>5</v>
      </c>
      <c r="K6" s="40">
        <v>4</v>
      </c>
      <c r="L6" s="105">
        <v>-114.30000000000001</v>
      </c>
      <c r="N6" s="121" t="s">
        <v>151</v>
      </c>
      <c r="O6" s="128">
        <f t="shared" si="1"/>
        <v>1012.6436781609195</v>
      </c>
      <c r="P6" s="125">
        <v>87</v>
      </c>
      <c r="Q6" s="109">
        <v>88100</v>
      </c>
    </row>
    <row r="7" spans="1:17" x14ac:dyDescent="0.4">
      <c r="A7" s="57" t="s">
        <v>2</v>
      </c>
      <c r="B7" s="49">
        <v>46</v>
      </c>
      <c r="C7" s="41">
        <f>IF(B$2=0,0,B7/B$2)</f>
        <v>0.37398373983739835</v>
      </c>
      <c r="E7" s="65" t="s">
        <v>72</v>
      </c>
      <c r="F7" s="62" t="s">
        <v>12</v>
      </c>
      <c r="G7" s="49">
        <v>77</v>
      </c>
      <c r="H7" s="141">
        <f t="shared" si="0"/>
        <v>0.31818181818181818</v>
      </c>
      <c r="I7" s="100">
        <v>5</v>
      </c>
      <c r="K7" s="40">
        <v>5</v>
      </c>
      <c r="L7" s="105">
        <v>-136.30000000000001</v>
      </c>
      <c r="N7" s="122" t="s">
        <v>152</v>
      </c>
      <c r="O7" s="129">
        <f t="shared" si="1"/>
        <v>-462.16216216216219</v>
      </c>
      <c r="P7" s="126">
        <v>74</v>
      </c>
      <c r="Q7" s="110">
        <v>-34200</v>
      </c>
    </row>
    <row r="8" spans="1:17" x14ac:dyDescent="0.4">
      <c r="A8" s="57" t="s">
        <v>3</v>
      </c>
      <c r="B8" s="49">
        <v>40</v>
      </c>
      <c r="C8" s="41">
        <f>IF(B$2=0,0,B8/B$2)</f>
        <v>0.32520325203252032</v>
      </c>
      <c r="E8" s="65" t="s">
        <v>73</v>
      </c>
      <c r="F8" s="62" t="s">
        <v>26</v>
      </c>
      <c r="G8" s="49">
        <v>43</v>
      </c>
      <c r="H8" s="141">
        <f t="shared" si="0"/>
        <v>0.17768595041322313</v>
      </c>
      <c r="I8" s="100">
        <v>2</v>
      </c>
      <c r="K8" s="40">
        <v>6</v>
      </c>
      <c r="L8" s="105">
        <v>-100.80000000000001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37</v>
      </c>
      <c r="C9" s="42">
        <f t="shared" ref="C9" si="2">IF(B$2=0,0,B9/B$2)</f>
        <v>0.30081300813008133</v>
      </c>
      <c r="E9" s="65" t="s">
        <v>94</v>
      </c>
      <c r="F9" s="62" t="s">
        <v>47</v>
      </c>
      <c r="G9" s="49">
        <v>36</v>
      </c>
      <c r="H9" s="141">
        <f t="shared" si="0"/>
        <v>0.1487603305785124</v>
      </c>
      <c r="I9" s="100">
        <v>9</v>
      </c>
      <c r="K9" s="40">
        <v>7</v>
      </c>
      <c r="L9" s="105">
        <v>-106.20000000000002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14</v>
      </c>
      <c r="C10" s="42">
        <f>IF(B$2=0,0,B10/B$2)</f>
        <v>0.11382113821138211</v>
      </c>
      <c r="E10" s="65" t="s">
        <v>68</v>
      </c>
      <c r="F10" s="62" t="s">
        <v>22</v>
      </c>
      <c r="G10" s="49">
        <v>29</v>
      </c>
      <c r="H10" s="141">
        <f t="shared" si="0"/>
        <v>0.11983471074380166</v>
      </c>
      <c r="I10" s="100">
        <v>8</v>
      </c>
      <c r="K10" s="40">
        <v>8</v>
      </c>
      <c r="L10" s="105">
        <v>-52.300000000000018</v>
      </c>
      <c r="N10" s="120" t="s">
        <v>253</v>
      </c>
      <c r="O10" s="130">
        <f>IF(P10=0,0,Q10/P10)</f>
        <v>3.925454545454544</v>
      </c>
      <c r="P10" s="124">
        <v>55</v>
      </c>
      <c r="Q10" s="112">
        <v>215.89999999999992</v>
      </c>
    </row>
    <row r="11" spans="1:17" x14ac:dyDescent="0.4">
      <c r="A11" s="58" t="s">
        <v>155</v>
      </c>
      <c r="B11" s="50">
        <v>21</v>
      </c>
      <c r="C11" s="42">
        <f>IF(B$2=0,0,B11/B$2)</f>
        <v>0.17073170731707318</v>
      </c>
      <c r="E11" s="65" t="s">
        <v>74</v>
      </c>
      <c r="F11" s="62" t="s">
        <v>27</v>
      </c>
      <c r="G11" s="49">
        <v>21</v>
      </c>
      <c r="H11" s="141">
        <f t="shared" si="0"/>
        <v>8.6776859504132234E-2</v>
      </c>
      <c r="I11" s="100">
        <v>8</v>
      </c>
      <c r="K11" s="40">
        <v>9</v>
      </c>
      <c r="L11" s="105">
        <v>-53.500000000000021</v>
      </c>
      <c r="N11" s="121" t="s">
        <v>254</v>
      </c>
      <c r="O11" s="131">
        <f>IF(P11=0,0,Q11/P11)</f>
        <v>-5.3428571428571434</v>
      </c>
      <c r="P11" s="125">
        <v>35</v>
      </c>
      <c r="Q11" s="113">
        <v>-187.00000000000003</v>
      </c>
    </row>
    <row r="12" spans="1:17" x14ac:dyDescent="0.4">
      <c r="A12" s="59" t="s">
        <v>239</v>
      </c>
      <c r="B12" s="51">
        <v>11</v>
      </c>
      <c r="C12" s="44">
        <f>IF(B$2=0,0,B12/B$2)</f>
        <v>8.943089430894309E-2</v>
      </c>
      <c r="E12" s="65" t="s">
        <v>75</v>
      </c>
      <c r="F12" s="62" t="s">
        <v>28</v>
      </c>
      <c r="G12" s="49">
        <v>17</v>
      </c>
      <c r="H12" s="141">
        <f t="shared" si="0"/>
        <v>7.0247933884297523E-2</v>
      </c>
      <c r="I12" s="100">
        <v>2</v>
      </c>
      <c r="K12" s="40">
        <v>10</v>
      </c>
      <c r="L12" s="105">
        <v>-72.800000000000026</v>
      </c>
      <c r="N12" s="122" t="s">
        <v>255</v>
      </c>
      <c r="O12" s="132">
        <f>IF(P12=0,0,Q12/P12)</f>
        <v>4.4451612903225808</v>
      </c>
      <c r="P12" s="126">
        <v>31</v>
      </c>
      <c r="Q12" s="114">
        <v>137.80000000000001</v>
      </c>
    </row>
    <row r="13" spans="1:17" x14ac:dyDescent="0.4">
      <c r="A13" s="60" t="s">
        <v>128</v>
      </c>
      <c r="B13" s="52">
        <v>240</v>
      </c>
      <c r="C13" s="46">
        <f>IF(B$26=0,0,B13/B$26)</f>
        <v>0.29702970297029702</v>
      </c>
      <c r="E13" s="65" t="s">
        <v>82</v>
      </c>
      <c r="F13" s="62" t="s">
        <v>35</v>
      </c>
      <c r="G13" s="49">
        <v>14</v>
      </c>
      <c r="H13" s="141">
        <f t="shared" si="0"/>
        <v>5.7851239669421489E-2</v>
      </c>
      <c r="I13" s="100">
        <v>1</v>
      </c>
      <c r="K13" s="40">
        <v>11</v>
      </c>
      <c r="L13" s="105">
        <v>-69.800000000000026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174</v>
      </c>
      <c r="C14" s="41">
        <f>IF(B$26=0,0,B14/B$26)</f>
        <v>0.21534653465346534</v>
      </c>
      <c r="E14" s="65" t="s">
        <v>86</v>
      </c>
      <c r="F14" s="62" t="s">
        <v>39</v>
      </c>
      <c r="G14" s="49">
        <v>10</v>
      </c>
      <c r="H14" s="141">
        <f t="shared" si="0"/>
        <v>4.1322314049586778E-2</v>
      </c>
      <c r="I14" s="100">
        <v>5</v>
      </c>
      <c r="K14" s="40">
        <v>12</v>
      </c>
      <c r="L14" s="105">
        <v>-54.300000000000026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134</v>
      </c>
      <c r="C15" s="39">
        <f>IF(B$13=0,0,B15/B$13)</f>
        <v>0.55833333333333335</v>
      </c>
      <c r="E15" s="65" t="s">
        <v>91</v>
      </c>
      <c r="F15" s="62" t="s">
        <v>44</v>
      </c>
      <c r="G15" s="49">
        <v>10</v>
      </c>
      <c r="H15" s="141">
        <f t="shared" si="0"/>
        <v>4.1322314049586778E-2</v>
      </c>
      <c r="I15" s="100">
        <v>10</v>
      </c>
      <c r="K15" s="40">
        <v>13</v>
      </c>
      <c r="L15" s="105">
        <v>-43.200000000000024</v>
      </c>
      <c r="N15" s="120" t="s">
        <v>250</v>
      </c>
      <c r="O15" s="130">
        <f t="shared" ref="O15:O23" si="3">IF(P15=0,0,Q15/P15)</f>
        <v>33.4</v>
      </c>
      <c r="P15" s="124">
        <v>1</v>
      </c>
      <c r="Q15" s="112">
        <v>33.4</v>
      </c>
    </row>
    <row r="16" spans="1:17" x14ac:dyDescent="0.4">
      <c r="A16" s="56" t="s">
        <v>131</v>
      </c>
      <c r="B16" s="48">
        <v>66</v>
      </c>
      <c r="C16" s="39">
        <f>IF(B$14=0,0,B16/B$14)</f>
        <v>0.37931034482758619</v>
      </c>
      <c r="E16" s="65" t="s">
        <v>88</v>
      </c>
      <c r="F16" s="62" t="s">
        <v>41</v>
      </c>
      <c r="G16" s="49">
        <v>8</v>
      </c>
      <c r="H16" s="141">
        <f t="shared" si="0"/>
        <v>3.3057851239669422E-2</v>
      </c>
      <c r="I16" s="100">
        <v>8</v>
      </c>
      <c r="K16" s="40">
        <v>14</v>
      </c>
      <c r="L16" s="105">
        <v>-50.400000000000027</v>
      </c>
      <c r="N16" s="121" t="s">
        <v>157</v>
      </c>
      <c r="O16" s="131">
        <f t="shared" si="3"/>
        <v>14.79166666666667</v>
      </c>
      <c r="P16" s="125">
        <v>12</v>
      </c>
      <c r="Q16" s="113">
        <v>177.50000000000003</v>
      </c>
    </row>
    <row r="17" spans="1:17" x14ac:dyDescent="0.4">
      <c r="A17" s="56" t="s">
        <v>10</v>
      </c>
      <c r="B17" s="48">
        <f>B19+B18</f>
        <v>279</v>
      </c>
      <c r="C17" s="39">
        <f>IF(B$3=0,0,B17/B$3)</f>
        <v>0.29871520342612418</v>
      </c>
      <c r="E17" s="65" t="s">
        <v>96</v>
      </c>
      <c r="F17" s="62" t="s">
        <v>49</v>
      </c>
      <c r="G17" s="49">
        <v>6</v>
      </c>
      <c r="H17" s="141">
        <f t="shared" si="0"/>
        <v>2.4793388429752067E-2</v>
      </c>
      <c r="I17" s="100">
        <v>4</v>
      </c>
      <c r="K17" s="40">
        <v>15</v>
      </c>
      <c r="L17" s="105">
        <v>23.89999999999997</v>
      </c>
      <c r="N17" s="121" t="s">
        <v>139</v>
      </c>
      <c r="O17" s="131">
        <f t="shared" si="3"/>
        <v>14.631707317073168</v>
      </c>
      <c r="P17" s="125">
        <v>41</v>
      </c>
      <c r="Q17" s="113">
        <v>599.89999999999986</v>
      </c>
    </row>
    <row r="18" spans="1:17" x14ac:dyDescent="0.4">
      <c r="A18" s="57" t="s">
        <v>12</v>
      </c>
      <c r="B18" s="49">
        <v>122</v>
      </c>
      <c r="C18" s="41">
        <f>IF(B$17=0,0,B18/B$17)</f>
        <v>0.43727598566308246</v>
      </c>
      <c r="E18" s="65" t="s">
        <v>77</v>
      </c>
      <c r="F18" s="62" t="s">
        <v>30</v>
      </c>
      <c r="G18" s="49">
        <v>4</v>
      </c>
      <c r="H18" s="141">
        <f t="shared" si="0"/>
        <v>1.6528925619834711E-2</v>
      </c>
      <c r="I18" s="100">
        <v>2</v>
      </c>
      <c r="K18" s="40">
        <v>16</v>
      </c>
      <c r="L18" s="105">
        <v>58.89999999999997</v>
      </c>
      <c r="N18" s="121" t="s">
        <v>134</v>
      </c>
      <c r="O18" s="131">
        <f t="shared" si="3"/>
        <v>13.897297297297296</v>
      </c>
      <c r="P18" s="125">
        <v>37</v>
      </c>
      <c r="Q18" s="113">
        <v>514.19999999999993</v>
      </c>
    </row>
    <row r="19" spans="1:17" x14ac:dyDescent="0.4">
      <c r="A19" s="57" t="s">
        <v>11</v>
      </c>
      <c r="B19" s="49">
        <v>157</v>
      </c>
      <c r="C19" s="41">
        <f>IF(B$17=0,0,B19/B$17)</f>
        <v>0.56272401433691754</v>
      </c>
      <c r="E19" s="65" t="s">
        <v>81</v>
      </c>
      <c r="F19" s="62" t="s">
        <v>34</v>
      </c>
      <c r="G19" s="49">
        <v>2</v>
      </c>
      <c r="H19" s="141">
        <f t="shared" si="0"/>
        <v>8.2644628099173556E-3</v>
      </c>
      <c r="I19" s="100">
        <v>2</v>
      </c>
      <c r="K19" s="40">
        <v>17</v>
      </c>
      <c r="L19" s="105">
        <v>58.599999999999973</v>
      </c>
      <c r="N19" s="121" t="s">
        <v>138</v>
      </c>
      <c r="O19" s="131">
        <f t="shared" si="3"/>
        <v>4.2166666666666677</v>
      </c>
      <c r="P19" s="125">
        <v>6</v>
      </c>
      <c r="Q19" s="113">
        <v>25.300000000000004</v>
      </c>
    </row>
    <row r="20" spans="1:17" x14ac:dyDescent="0.4">
      <c r="A20" s="57" t="s">
        <v>13</v>
      </c>
      <c r="B20" s="49">
        <v>150</v>
      </c>
      <c r="C20" s="41">
        <f>IF(B$3=0,0,B20/B$3)</f>
        <v>0.16059957173447537</v>
      </c>
      <c r="E20" s="65" t="s">
        <v>83</v>
      </c>
      <c r="F20" s="62" t="s">
        <v>36</v>
      </c>
      <c r="G20" s="49">
        <v>2</v>
      </c>
      <c r="H20" s="141">
        <f t="shared" si="0"/>
        <v>8.2644628099173556E-3</v>
      </c>
      <c r="I20" s="100">
        <v>10</v>
      </c>
      <c r="K20" s="40">
        <v>18</v>
      </c>
      <c r="L20" s="105">
        <v>122.59999999999997</v>
      </c>
      <c r="N20" s="121" t="s">
        <v>133</v>
      </c>
      <c r="O20" s="131">
        <f t="shared" si="3"/>
        <v>-4.0326732673267331</v>
      </c>
      <c r="P20" s="125">
        <v>101</v>
      </c>
      <c r="Q20" s="113">
        <v>-407.30000000000007</v>
      </c>
    </row>
    <row r="21" spans="1:17" x14ac:dyDescent="0.4">
      <c r="A21" s="57" t="s">
        <v>5</v>
      </c>
      <c r="B21" s="53">
        <f>IF(B$17=0,0,C21/B$17)</f>
        <v>10381.362007168458</v>
      </c>
      <c r="C21" s="43">
        <v>2896400</v>
      </c>
      <c r="E21" s="65" t="s">
        <v>98</v>
      </c>
      <c r="F21" s="62" t="s">
        <v>51</v>
      </c>
      <c r="G21" s="49">
        <v>2</v>
      </c>
      <c r="H21" s="141">
        <f t="shared" si="0"/>
        <v>8.2644628099173556E-3</v>
      </c>
      <c r="I21" s="100">
        <v>2</v>
      </c>
      <c r="K21" s="40">
        <v>19</v>
      </c>
      <c r="L21" s="105">
        <v>125.69999999999996</v>
      </c>
      <c r="N21" s="121" t="s">
        <v>194</v>
      </c>
      <c r="O21" s="131">
        <f t="shared" si="3"/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-9180.6666666666661</v>
      </c>
      <c r="C22" s="47">
        <v>-1377100</v>
      </c>
      <c r="E22" s="65" t="s">
        <v>78</v>
      </c>
      <c r="F22" s="62" t="s">
        <v>31</v>
      </c>
      <c r="G22" s="49">
        <v>1</v>
      </c>
      <c r="H22" s="141">
        <f t="shared" si="0"/>
        <v>4.1322314049586778E-3</v>
      </c>
      <c r="I22" s="100">
        <v>2</v>
      </c>
      <c r="K22" s="40">
        <v>20</v>
      </c>
      <c r="L22" s="105">
        <v>126.89999999999996</v>
      </c>
      <c r="N22" s="121" t="s">
        <v>136</v>
      </c>
      <c r="O22" s="131">
        <f t="shared" si="3"/>
        <v>-6.7891891891891909</v>
      </c>
      <c r="P22" s="125">
        <v>37</v>
      </c>
      <c r="Q22" s="113">
        <v>-251.20000000000007</v>
      </c>
    </row>
    <row r="23" spans="1:17" x14ac:dyDescent="0.4">
      <c r="A23" s="96" t="s">
        <v>158</v>
      </c>
      <c r="B23" s="155">
        <v>9</v>
      </c>
      <c r="C23" s="156"/>
      <c r="E23" s="65" t="s">
        <v>79</v>
      </c>
      <c r="F23" s="62" t="s">
        <v>32</v>
      </c>
      <c r="G23" s="49">
        <v>1</v>
      </c>
      <c r="H23" s="141">
        <f t="shared" si="0"/>
        <v>4.1322314049586778E-3</v>
      </c>
      <c r="I23" s="100">
        <v>6</v>
      </c>
      <c r="K23" s="40">
        <v>21</v>
      </c>
      <c r="L23" s="105">
        <v>129.69999999999996</v>
      </c>
      <c r="N23" s="121" t="s">
        <v>135</v>
      </c>
      <c r="O23" s="131">
        <f t="shared" si="3"/>
        <v>-8.3750000000000036</v>
      </c>
      <c r="P23" s="125">
        <v>8</v>
      </c>
      <c r="Q23" s="113">
        <v>-67.000000000000028</v>
      </c>
    </row>
    <row r="24" spans="1:17" x14ac:dyDescent="0.4">
      <c r="A24" s="60" t="s">
        <v>199</v>
      </c>
      <c r="B24" s="153">
        <v>109300</v>
      </c>
      <c r="C24" s="154"/>
      <c r="E24" s="65" t="s">
        <v>89</v>
      </c>
      <c r="F24" s="62" t="s">
        <v>42</v>
      </c>
      <c r="G24" s="49">
        <v>1</v>
      </c>
      <c r="H24" s="141">
        <f t="shared" si="0"/>
        <v>4.1322314049586778E-3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3.2119914346895075E-3</v>
      </c>
      <c r="E25" s="65" t="s">
        <v>80</v>
      </c>
      <c r="F25" s="62" t="s">
        <v>33</v>
      </c>
      <c r="G25" s="49">
        <v>0</v>
      </c>
      <c r="H25" s="141">
        <f t="shared" si="0"/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45">
        <v>808</v>
      </c>
      <c r="C26" s="146"/>
      <c r="E26" s="65" t="s">
        <v>84</v>
      </c>
      <c r="F26" s="62" t="s">
        <v>37</v>
      </c>
      <c r="G26" s="49">
        <v>0</v>
      </c>
      <c r="H26" s="141">
        <f t="shared" si="0"/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59">
        <v>242</v>
      </c>
      <c r="C27" s="160"/>
      <c r="E27" s="65" t="s">
        <v>85</v>
      </c>
      <c r="F27" s="62" t="s">
        <v>38</v>
      </c>
      <c r="G27" s="49">
        <v>0</v>
      </c>
      <c r="H27" s="141">
        <f t="shared" si="0"/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41">
        <f t="shared" si="0"/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 t="shared" si="0"/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 t="shared" si="0"/>
        <v>0</v>
      </c>
      <c r="I30" s="100">
        <v>5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 t="shared" si="0"/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 t="shared" si="0"/>
        <v>0</v>
      </c>
      <c r="I32" s="100">
        <v>4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41">
        <f t="shared" si="0"/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 t="shared" ref="H34:H65" si="4"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 t="shared" si="4"/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 t="shared" si="4"/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 t="shared" si="4"/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 t="shared" si="4"/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 t="shared" si="4"/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 t="shared" si="4"/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 t="shared" si="4"/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 t="shared" si="4"/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 t="shared" si="4"/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 t="shared" si="4"/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 t="shared" si="4"/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 t="shared" si="4"/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 t="shared" si="4"/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 t="shared" si="4"/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 t="shared" si="4"/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 t="shared" si="4"/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 t="shared" si="4"/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  <row r="110" spans="11:12" x14ac:dyDescent="0.4">
      <c r="K110" s="40">
        <v>108</v>
      </c>
      <c r="L110" s="105">
        <v>243.69999999999985</v>
      </c>
    </row>
    <row r="111" spans="11:12" x14ac:dyDescent="0.4">
      <c r="K111" s="40">
        <v>109</v>
      </c>
      <c r="L111" s="105">
        <v>184.79999999999984</v>
      </c>
    </row>
    <row r="112" spans="11:12" x14ac:dyDescent="0.4">
      <c r="K112" s="40">
        <v>110</v>
      </c>
      <c r="L112" s="105">
        <v>225.49999999999983</v>
      </c>
    </row>
    <row r="113" spans="11:12" x14ac:dyDescent="0.4">
      <c r="K113" s="40">
        <v>111</v>
      </c>
      <c r="L113" s="105">
        <v>216.99999999999983</v>
      </c>
    </row>
    <row r="114" spans="11:12" x14ac:dyDescent="0.4">
      <c r="K114" s="40">
        <v>112</v>
      </c>
      <c r="L114" s="105">
        <v>225.49999999999983</v>
      </c>
    </row>
    <row r="115" spans="11:12" x14ac:dyDescent="0.4">
      <c r="K115" s="40">
        <v>113</v>
      </c>
      <c r="L115" s="105">
        <v>250.09999999999982</v>
      </c>
    </row>
    <row r="116" spans="11:12" x14ac:dyDescent="0.4">
      <c r="K116" s="40">
        <v>114</v>
      </c>
      <c r="L116" s="105">
        <v>271.99999999999983</v>
      </c>
    </row>
    <row r="117" spans="11:12" x14ac:dyDescent="0.4">
      <c r="K117" s="40">
        <v>115</v>
      </c>
      <c r="L117" s="105">
        <v>262.69999999999982</v>
      </c>
    </row>
    <row r="118" spans="11:12" x14ac:dyDescent="0.4">
      <c r="K118" s="40">
        <v>116</v>
      </c>
      <c r="L118" s="105">
        <v>245.69999999999982</v>
      </c>
    </row>
    <row r="119" spans="11:12" x14ac:dyDescent="0.4">
      <c r="K119" s="40">
        <v>117</v>
      </c>
      <c r="L119" s="105">
        <v>267.39999999999981</v>
      </c>
    </row>
    <row r="120" spans="11:12" x14ac:dyDescent="0.4">
      <c r="K120" s="40">
        <v>118</v>
      </c>
      <c r="L120" s="105">
        <v>221.89999999999981</v>
      </c>
    </row>
    <row r="121" spans="11:12" x14ac:dyDescent="0.4">
      <c r="K121" s="40">
        <v>119</v>
      </c>
      <c r="L121" s="105">
        <v>216.29999999999981</v>
      </c>
    </row>
    <row r="122" spans="11:12" x14ac:dyDescent="0.4">
      <c r="K122" s="40">
        <v>120</v>
      </c>
      <c r="L122" s="105">
        <v>195.79999999999981</v>
      </c>
    </row>
    <row r="123" spans="11:12" x14ac:dyDescent="0.4">
      <c r="K123" s="40">
        <v>121</v>
      </c>
      <c r="L123" s="105">
        <v>169.59999999999982</v>
      </c>
    </row>
    <row r="124" spans="11:12" x14ac:dyDescent="0.4">
      <c r="K124" s="40">
        <v>122</v>
      </c>
      <c r="L124" s="105">
        <v>161.89999999999984</v>
      </c>
    </row>
    <row r="125" spans="11:12" x14ac:dyDescent="0.4">
      <c r="K125" s="40">
        <v>123</v>
      </c>
      <c r="L125" s="105">
        <v>201.39999999999984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FA2E9-1BEF-4F8A-98FC-8654333B6811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138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33</v>
      </c>
      <c r="C2" s="146"/>
      <c r="E2" s="64" t="s">
        <v>71</v>
      </c>
      <c r="F2" s="61" t="s">
        <v>25</v>
      </c>
      <c r="G2" s="48">
        <v>43</v>
      </c>
      <c r="H2" s="140">
        <f t="shared" ref="H2:H33" si="0">IF(B$27=0,0,G2/B$27)</f>
        <v>0.9555555555555556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327.27272727272725</v>
      </c>
      <c r="P2" s="124">
        <v>33</v>
      </c>
      <c r="Q2" s="108">
        <v>10800</v>
      </c>
    </row>
    <row r="3" spans="1:17" x14ac:dyDescent="0.4">
      <c r="A3" s="57" t="s">
        <v>8</v>
      </c>
      <c r="B3" s="147">
        <v>270</v>
      </c>
      <c r="C3" s="148"/>
      <c r="E3" s="65" t="s">
        <v>67</v>
      </c>
      <c r="F3" s="62" t="s">
        <v>21</v>
      </c>
      <c r="G3" s="49">
        <v>30</v>
      </c>
      <c r="H3" s="141">
        <f t="shared" si="0"/>
        <v>0.66666666666666663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1"/>
        <v>2145.1612903225805</v>
      </c>
      <c r="P3" s="125">
        <v>31</v>
      </c>
      <c r="Q3" s="109">
        <v>66500</v>
      </c>
    </row>
    <row r="4" spans="1:17" x14ac:dyDescent="0.4">
      <c r="A4" s="57" t="s">
        <v>6</v>
      </c>
      <c r="B4" s="149">
        <v>-9.3999999999999773</v>
      </c>
      <c r="C4" s="150"/>
      <c r="E4" s="65" t="s">
        <v>70</v>
      </c>
      <c r="F4" s="62" t="s">
        <v>24</v>
      </c>
      <c r="G4" s="49">
        <v>24</v>
      </c>
      <c r="H4" s="141">
        <f t="shared" si="0"/>
        <v>0.53333333333333333</v>
      </c>
      <c r="I4" s="100">
        <v>1</v>
      </c>
      <c r="K4" s="40">
        <v>2</v>
      </c>
      <c r="L4" s="105">
        <v>37.6</v>
      </c>
      <c r="N4" s="121" t="s">
        <v>149</v>
      </c>
      <c r="O4" s="128">
        <f t="shared" si="1"/>
        <v>-867.85714285714289</v>
      </c>
      <c r="P4" s="125">
        <v>28</v>
      </c>
      <c r="Q4" s="109">
        <v>-24300</v>
      </c>
    </row>
    <row r="5" spans="1:17" x14ac:dyDescent="0.4">
      <c r="A5" s="57" t="s">
        <v>7</v>
      </c>
      <c r="B5" s="151">
        <f>IF(B$2=0,0,B$4/B$2)</f>
        <v>-0.28484848484848418</v>
      </c>
      <c r="C5" s="152"/>
      <c r="E5" s="65" t="s">
        <v>69</v>
      </c>
      <c r="F5" s="62" t="s">
        <v>23</v>
      </c>
      <c r="G5" s="49">
        <v>23</v>
      </c>
      <c r="H5" s="141">
        <f t="shared" si="0"/>
        <v>0.51111111111111107</v>
      </c>
      <c r="I5" s="100">
        <v>12</v>
      </c>
      <c r="K5" s="40">
        <v>3</v>
      </c>
      <c r="L5" s="105">
        <v>-2.7999999999999972</v>
      </c>
      <c r="N5" s="121" t="s">
        <v>150</v>
      </c>
      <c r="O5" s="128">
        <f t="shared" si="1"/>
        <v>469.23076923076923</v>
      </c>
      <c r="P5" s="125">
        <v>26</v>
      </c>
      <c r="Q5" s="109">
        <v>12200</v>
      </c>
    </row>
    <row r="6" spans="1:17" x14ac:dyDescent="0.4">
      <c r="A6" s="57" t="s">
        <v>1</v>
      </c>
      <c r="B6" s="157">
        <f>IF(B$2=0,0,(B$7*1+B$8*2+B$9*3)/B$2)</f>
        <v>2.0606060606060606</v>
      </c>
      <c r="C6" s="158"/>
      <c r="E6" s="65" t="s">
        <v>76</v>
      </c>
      <c r="F6" s="62" t="s">
        <v>29</v>
      </c>
      <c r="G6" s="49">
        <v>21</v>
      </c>
      <c r="H6" s="141">
        <f t="shared" si="0"/>
        <v>0.46666666666666667</v>
      </c>
      <c r="I6" s="100">
        <v>12</v>
      </c>
      <c r="K6" s="40">
        <v>4</v>
      </c>
      <c r="L6" s="105">
        <v>-44.3</v>
      </c>
      <c r="N6" s="121" t="s">
        <v>151</v>
      </c>
      <c r="O6" s="128">
        <f t="shared" si="1"/>
        <v>-1950</v>
      </c>
      <c r="P6" s="125">
        <v>22</v>
      </c>
      <c r="Q6" s="109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41">
        <f t="shared" si="0"/>
        <v>0.37777777777777777</v>
      </c>
      <c r="I7" s="100">
        <v>1</v>
      </c>
      <c r="K7" s="40">
        <v>5</v>
      </c>
      <c r="L7" s="105">
        <v>8.2000000000000028</v>
      </c>
      <c r="N7" s="122" t="s">
        <v>152</v>
      </c>
      <c r="O7" s="129">
        <f t="shared" si="1"/>
        <v>-1668.421052631579</v>
      </c>
      <c r="P7" s="126">
        <v>19</v>
      </c>
      <c r="Q7" s="110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41">
        <f t="shared" si="0"/>
        <v>0.15555555555555556</v>
      </c>
      <c r="I8" s="100">
        <v>3</v>
      </c>
      <c r="K8" s="40">
        <v>6</v>
      </c>
      <c r="L8" s="105">
        <v>23.200000000000003</v>
      </c>
      <c r="N8" s="45"/>
      <c r="O8" s="133"/>
      <c r="P8" s="117"/>
      <c r="Q8" s="115"/>
    </row>
    <row r="9" spans="1:17" x14ac:dyDescent="0.4">
      <c r="A9" s="58" t="s">
        <v>4</v>
      </c>
      <c r="B9" s="50">
        <v>13</v>
      </c>
      <c r="C9" s="42">
        <f t="shared" ref="C9" si="2">IF(B$2=0,0,B9/B$2)</f>
        <v>0.39393939393939392</v>
      </c>
      <c r="E9" s="65" t="s">
        <v>94</v>
      </c>
      <c r="F9" s="62" t="s">
        <v>47</v>
      </c>
      <c r="G9" s="49">
        <v>7</v>
      </c>
      <c r="H9" s="141">
        <f t="shared" si="0"/>
        <v>0.15555555555555556</v>
      </c>
      <c r="I9" s="100">
        <v>7</v>
      </c>
      <c r="K9" s="40">
        <v>7</v>
      </c>
      <c r="L9" s="105">
        <v>40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41">
        <f t="shared" si="0"/>
        <v>0.1111111111111111</v>
      </c>
      <c r="I10" s="100">
        <v>9</v>
      </c>
      <c r="K10" s="40">
        <v>8</v>
      </c>
      <c r="L10" s="105">
        <v>4.2000000000000028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41">
        <f t="shared" si="0"/>
        <v>8.8888888888888892E-2</v>
      </c>
      <c r="I11" s="100">
        <v>7</v>
      </c>
      <c r="K11" s="40">
        <v>9</v>
      </c>
      <c r="L11" s="105">
        <v>6.8000000000000025</v>
      </c>
      <c r="N11" s="121" t="s">
        <v>254</v>
      </c>
      <c r="O11" s="131">
        <f>IF(P11=0,0,Q11/P11)</f>
        <v>6.8181818181818157</v>
      </c>
      <c r="P11" s="125">
        <v>11</v>
      </c>
      <c r="Q11" s="113">
        <v>74.999999999999972</v>
      </c>
    </row>
    <row r="12" spans="1:17" x14ac:dyDescent="0.4">
      <c r="A12" s="59" t="s">
        <v>239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41">
        <f t="shared" si="0"/>
        <v>4.4444444444444446E-2</v>
      </c>
      <c r="I12" s="100">
        <v>7</v>
      </c>
      <c r="K12" s="40">
        <v>10</v>
      </c>
      <c r="L12" s="105">
        <v>56.800000000000004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58</v>
      </c>
      <c r="C13" s="46">
        <f>IF(B$26=0,0,B13/B$26)</f>
        <v>0.30851063829787234</v>
      </c>
      <c r="E13" s="65" t="s">
        <v>82</v>
      </c>
      <c r="F13" s="62" t="s">
        <v>35</v>
      </c>
      <c r="G13" s="49">
        <v>2</v>
      </c>
      <c r="H13" s="141">
        <f t="shared" si="0"/>
        <v>4.4444444444444446E-2</v>
      </c>
      <c r="I13" s="100">
        <v>3</v>
      </c>
      <c r="K13" s="40">
        <v>11</v>
      </c>
      <c r="L13" s="105">
        <v>69.300000000000011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40</v>
      </c>
      <c r="C14" s="41">
        <f>IF(B$26=0,0,B14/B$26)</f>
        <v>0.21276595744680851</v>
      </c>
      <c r="E14" s="65" t="s">
        <v>77</v>
      </c>
      <c r="F14" s="62" t="s">
        <v>30</v>
      </c>
      <c r="G14" s="49">
        <v>1</v>
      </c>
      <c r="H14" s="141">
        <f t="shared" si="0"/>
        <v>2.2222222222222223E-2</v>
      </c>
      <c r="I14" s="100">
        <v>1</v>
      </c>
      <c r="K14" s="40">
        <v>12</v>
      </c>
      <c r="L14" s="105">
        <v>80.800000000000011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41">
        <f t="shared" si="0"/>
        <v>2.2222222222222223E-2</v>
      </c>
      <c r="I15" s="100">
        <v>5</v>
      </c>
      <c r="K15" s="40">
        <v>13</v>
      </c>
      <c r="L15" s="105">
        <v>155.10000000000002</v>
      </c>
      <c r="N15" s="120" t="s">
        <v>136</v>
      </c>
      <c r="O15" s="130">
        <f t="shared" ref="O15:O21" si="3"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41">
        <f t="shared" si="0"/>
        <v>2.2222222222222223E-2</v>
      </c>
      <c r="I16" s="100">
        <v>10</v>
      </c>
      <c r="K16" s="40">
        <v>14</v>
      </c>
      <c r="L16" s="105">
        <v>147.10000000000002</v>
      </c>
      <c r="N16" s="121" t="s">
        <v>134</v>
      </c>
      <c r="O16" s="131">
        <f t="shared" si="3"/>
        <v>0.14444444444444493</v>
      </c>
      <c r="P16" s="125">
        <v>9</v>
      </c>
      <c r="Q16" s="113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41">
        <f t="shared" si="0"/>
        <v>2.2222222222222223E-2</v>
      </c>
      <c r="I17" s="100">
        <v>13</v>
      </c>
      <c r="K17" s="40">
        <v>15</v>
      </c>
      <c r="L17" s="105">
        <v>148.80000000000001</v>
      </c>
      <c r="N17" s="121" t="s">
        <v>137</v>
      </c>
      <c r="O17" s="131">
        <f t="shared" si="3"/>
        <v>-4.2166666666666677</v>
      </c>
      <c r="P17" s="125">
        <v>6</v>
      </c>
      <c r="Q17" s="113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41">
        <f t="shared" si="0"/>
        <v>2.2222222222222223E-2</v>
      </c>
      <c r="I18" s="100">
        <v>5</v>
      </c>
      <c r="K18" s="40">
        <v>16</v>
      </c>
      <c r="L18" s="105">
        <v>152.30000000000001</v>
      </c>
      <c r="N18" s="121" t="s">
        <v>250</v>
      </c>
      <c r="O18" s="131">
        <f t="shared" si="3"/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41">
        <f t="shared" si="0"/>
        <v>2.2222222222222223E-2</v>
      </c>
      <c r="I19" s="100">
        <v>1</v>
      </c>
      <c r="K19" s="40">
        <v>17</v>
      </c>
      <c r="L19" s="105">
        <v>178.10000000000002</v>
      </c>
      <c r="N19" s="121" t="s">
        <v>133</v>
      </c>
      <c r="O19" s="131">
        <f t="shared" si="3"/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41">
        <f t="shared" si="0"/>
        <v>0</v>
      </c>
      <c r="I20" s="100">
        <v>6</v>
      </c>
      <c r="K20" s="40">
        <v>18</v>
      </c>
      <c r="L20" s="105">
        <v>155.00000000000003</v>
      </c>
      <c r="N20" s="121" t="s">
        <v>139</v>
      </c>
      <c r="O20" s="131">
        <f t="shared" si="3"/>
        <v>-19.925000000000004</v>
      </c>
      <c r="P20" s="125">
        <v>4</v>
      </c>
      <c r="Q20" s="113">
        <v>-79.700000000000017</v>
      </c>
    </row>
    <row r="21" spans="1:17" x14ac:dyDescent="0.4">
      <c r="A21" s="57" t="s">
        <v>5</v>
      </c>
      <c r="B21" s="53">
        <f>IF(B$17=0,0,C21/B$17)</f>
        <v>11054.794520547945</v>
      </c>
      <c r="C21" s="43">
        <v>807000</v>
      </c>
      <c r="E21" s="65" t="s">
        <v>79</v>
      </c>
      <c r="F21" s="62" t="s">
        <v>32</v>
      </c>
      <c r="G21" s="49">
        <v>0</v>
      </c>
      <c r="H21" s="141">
        <f t="shared" si="0"/>
        <v>0</v>
      </c>
      <c r="I21" s="100">
        <v>7</v>
      </c>
      <c r="K21" s="40">
        <v>19</v>
      </c>
      <c r="L21" s="105">
        <v>143.60000000000002</v>
      </c>
      <c r="N21" s="121" t="s">
        <v>135</v>
      </c>
      <c r="O21" s="131">
        <f t="shared" si="3"/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-8859.5744680851058</v>
      </c>
      <c r="C22" s="47">
        <v>-416400</v>
      </c>
      <c r="E22" s="65" t="s">
        <v>80</v>
      </c>
      <c r="F22" s="62" t="s">
        <v>33</v>
      </c>
      <c r="G22" s="49">
        <v>0</v>
      </c>
      <c r="H22" s="141">
        <f t="shared" si="0"/>
        <v>0</v>
      </c>
      <c r="I22" s="100">
        <v>1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0</v>
      </c>
      <c r="H23" s="141">
        <f t="shared" si="0"/>
        <v>0</v>
      </c>
      <c r="I23" s="100">
        <v>7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53">
        <v>109300</v>
      </c>
      <c r="C24" s="154"/>
      <c r="E24" s="65" t="s">
        <v>84</v>
      </c>
      <c r="F24" s="62" t="s">
        <v>37</v>
      </c>
      <c r="G24" s="49">
        <v>0</v>
      </c>
      <c r="H24" s="141">
        <f t="shared" si="0"/>
        <v>0</v>
      </c>
      <c r="I24" s="100">
        <v>1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41">
        <f t="shared" si="0"/>
        <v>0</v>
      </c>
      <c r="I25" s="100">
        <v>3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45">
        <v>188</v>
      </c>
      <c r="C26" s="146"/>
      <c r="E26" s="65" t="s">
        <v>86</v>
      </c>
      <c r="F26" s="62" t="s">
        <v>39</v>
      </c>
      <c r="G26" s="49">
        <v>0</v>
      </c>
      <c r="H26" s="141">
        <f t="shared" si="0"/>
        <v>0</v>
      </c>
      <c r="I26" s="100">
        <v>10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59">
        <v>45</v>
      </c>
      <c r="C27" s="160"/>
      <c r="E27" s="65" t="s">
        <v>87</v>
      </c>
      <c r="F27" s="62" t="s">
        <v>40</v>
      </c>
      <c r="G27" s="49">
        <v>0</v>
      </c>
      <c r="H27" s="141">
        <f t="shared" si="0"/>
        <v>0</v>
      </c>
      <c r="I27" s="100">
        <v>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41">
        <f t="shared" si="0"/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 t="shared" si="0"/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 t="shared" si="0"/>
        <v>0</v>
      </c>
      <c r="I30" s="100">
        <v>5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 t="shared" si="0"/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 t="shared" si="0"/>
        <v>0</v>
      </c>
      <c r="I32" s="100">
        <v>4</v>
      </c>
      <c r="K32" s="40">
        <v>30</v>
      </c>
      <c r="L32" s="105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 t="shared" si="0"/>
        <v>0</v>
      </c>
      <c r="I33" s="100">
        <v>6</v>
      </c>
      <c r="K33" s="40">
        <v>31</v>
      </c>
      <c r="L33" s="105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 t="shared" ref="H34:H65" si="4">IF(B$27=0,0,G34/B$27)</f>
        <v>0</v>
      </c>
      <c r="I34" s="100">
        <v>1</v>
      </c>
      <c r="K34" s="40">
        <v>32</v>
      </c>
      <c r="L34" s="105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 t="shared" si="4"/>
        <v>0</v>
      </c>
      <c r="I35" s="100">
        <v>3</v>
      </c>
      <c r="K35" s="40">
        <v>33</v>
      </c>
      <c r="L35" s="105">
        <v>-9.3999999999999773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 t="shared" si="4"/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 t="shared" si="4"/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 t="shared" si="4"/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 t="shared" si="4"/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 t="shared" si="4"/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 t="shared" si="4"/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 t="shared" si="4"/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 t="shared" si="4"/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 t="shared" si="4"/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 t="shared" si="4"/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 t="shared" si="4"/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 t="shared" si="4"/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 t="shared" si="4"/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 t="shared" si="4"/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 t="shared" si="4"/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 t="shared" si="4"/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F20C7-2F23-4698-B5B3-02A43B4C5D5F}">
  <sheetPr codeName="Sheet25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139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131</v>
      </c>
      <c r="C2" s="146"/>
      <c r="E2" s="64" t="s">
        <v>71</v>
      </c>
      <c r="F2" s="61" t="s">
        <v>25</v>
      </c>
      <c r="G2" s="48">
        <v>254</v>
      </c>
      <c r="H2" s="140">
        <f t="shared" ref="H2:H33" si="0">IF(B$27=0,0,G2/B$27)</f>
        <v>0.91366906474820142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-1304.724409448819</v>
      </c>
      <c r="P2" s="124">
        <v>127</v>
      </c>
      <c r="Q2" s="108">
        <v>-165700</v>
      </c>
    </row>
    <row r="3" spans="1:17" x14ac:dyDescent="0.4">
      <c r="A3" s="57" t="s">
        <v>8</v>
      </c>
      <c r="B3" s="147">
        <v>1016</v>
      </c>
      <c r="C3" s="148"/>
      <c r="E3" s="65" t="s">
        <v>69</v>
      </c>
      <c r="F3" s="62" t="s">
        <v>23</v>
      </c>
      <c r="G3" s="49">
        <v>213</v>
      </c>
      <c r="H3" s="141">
        <f t="shared" si="0"/>
        <v>0.76618705035971224</v>
      </c>
      <c r="I3" s="100">
        <v>3</v>
      </c>
      <c r="K3" s="40">
        <v>1</v>
      </c>
      <c r="L3" s="105">
        <v>3.9</v>
      </c>
      <c r="N3" s="121" t="s">
        <v>148</v>
      </c>
      <c r="O3" s="128">
        <f t="shared" si="1"/>
        <v>444</v>
      </c>
      <c r="P3" s="125">
        <v>125</v>
      </c>
      <c r="Q3" s="109">
        <v>55500</v>
      </c>
    </row>
    <row r="4" spans="1:17" x14ac:dyDescent="0.4">
      <c r="A4" s="57" t="s">
        <v>6</v>
      </c>
      <c r="B4" s="149">
        <v>-461.2999999999999</v>
      </c>
      <c r="C4" s="150"/>
      <c r="E4" s="65" t="s">
        <v>67</v>
      </c>
      <c r="F4" s="62" t="s">
        <v>21</v>
      </c>
      <c r="G4" s="49">
        <v>169</v>
      </c>
      <c r="H4" s="141">
        <f t="shared" si="0"/>
        <v>0.6079136690647482</v>
      </c>
      <c r="I4" s="100">
        <v>5</v>
      </c>
      <c r="K4" s="40">
        <v>2</v>
      </c>
      <c r="L4" s="105">
        <v>-33.9</v>
      </c>
      <c r="N4" s="121" t="s">
        <v>149</v>
      </c>
      <c r="O4" s="128">
        <f t="shared" si="1"/>
        <v>-257.14285714285717</v>
      </c>
      <c r="P4" s="125">
        <v>119</v>
      </c>
      <c r="Q4" s="109">
        <v>-30600</v>
      </c>
    </row>
    <row r="5" spans="1:17" x14ac:dyDescent="0.4">
      <c r="A5" s="57" t="s">
        <v>7</v>
      </c>
      <c r="B5" s="151">
        <f>IF(B$2=0,0,B$4/B$2)</f>
        <v>-3.5213740458015259</v>
      </c>
      <c r="C5" s="152"/>
      <c r="E5" s="65" t="s">
        <v>76</v>
      </c>
      <c r="F5" s="62" t="s">
        <v>29</v>
      </c>
      <c r="G5" s="49">
        <v>163</v>
      </c>
      <c r="H5" s="141">
        <f t="shared" si="0"/>
        <v>0.58633093525179858</v>
      </c>
      <c r="I5" s="100">
        <v>6</v>
      </c>
      <c r="K5" s="40">
        <v>3</v>
      </c>
      <c r="L5" s="105">
        <v>-70.099999999999994</v>
      </c>
      <c r="N5" s="121" t="s">
        <v>150</v>
      </c>
      <c r="O5" s="128">
        <f t="shared" si="1"/>
        <v>57.943925233644862</v>
      </c>
      <c r="P5" s="125">
        <v>107</v>
      </c>
      <c r="Q5" s="109">
        <v>6200</v>
      </c>
    </row>
    <row r="6" spans="1:17" x14ac:dyDescent="0.4">
      <c r="A6" s="57" t="s">
        <v>1</v>
      </c>
      <c r="B6" s="157">
        <f>IF(B$2=0,0,(B$7*1+B$8*2+B$9*3)/B$2)</f>
        <v>2.1603053435114505</v>
      </c>
      <c r="C6" s="158"/>
      <c r="E6" s="65" t="s">
        <v>70</v>
      </c>
      <c r="F6" s="62" t="s">
        <v>24</v>
      </c>
      <c r="G6" s="49">
        <v>102</v>
      </c>
      <c r="H6" s="141">
        <f t="shared" si="0"/>
        <v>0.36690647482014388</v>
      </c>
      <c r="I6" s="100">
        <v>4</v>
      </c>
      <c r="K6" s="40">
        <v>4</v>
      </c>
      <c r="L6" s="105">
        <v>-35.099999999999994</v>
      </c>
      <c r="N6" s="121" t="s">
        <v>151</v>
      </c>
      <c r="O6" s="128">
        <f t="shared" si="1"/>
        <v>-2685.8585858585857</v>
      </c>
      <c r="P6" s="125">
        <v>99</v>
      </c>
      <c r="Q6" s="109">
        <v>-265900</v>
      </c>
    </row>
    <row r="7" spans="1:17" x14ac:dyDescent="0.4">
      <c r="A7" s="57" t="s">
        <v>2</v>
      </c>
      <c r="B7" s="49">
        <v>32</v>
      </c>
      <c r="C7" s="41">
        <f>IF(B$2=0,0,B7/B$2)</f>
        <v>0.24427480916030533</v>
      </c>
      <c r="E7" s="65" t="s">
        <v>72</v>
      </c>
      <c r="F7" s="62" t="s">
        <v>12</v>
      </c>
      <c r="G7" s="49">
        <v>87</v>
      </c>
      <c r="H7" s="141">
        <f t="shared" si="0"/>
        <v>0.31294964028776978</v>
      </c>
      <c r="I7" s="100">
        <v>6</v>
      </c>
      <c r="K7" s="40">
        <v>5</v>
      </c>
      <c r="L7" s="105">
        <v>-80.099999999999994</v>
      </c>
      <c r="N7" s="122" t="s">
        <v>152</v>
      </c>
      <c r="O7" s="129">
        <f t="shared" si="1"/>
        <v>635.80246913580243</v>
      </c>
      <c r="P7" s="126">
        <v>81</v>
      </c>
      <c r="Q7" s="110">
        <v>51500</v>
      </c>
    </row>
    <row r="8" spans="1:17" x14ac:dyDescent="0.4">
      <c r="A8" s="57" t="s">
        <v>3</v>
      </c>
      <c r="B8" s="49">
        <v>46</v>
      </c>
      <c r="C8" s="41">
        <f>IF(B$2=0,0,B8/B$2)</f>
        <v>0.35114503816793891</v>
      </c>
      <c r="E8" s="65" t="s">
        <v>73</v>
      </c>
      <c r="F8" s="62" t="s">
        <v>26</v>
      </c>
      <c r="G8" s="49">
        <v>43</v>
      </c>
      <c r="H8" s="141">
        <f t="shared" si="0"/>
        <v>0.15467625899280577</v>
      </c>
      <c r="I8" s="100">
        <v>5</v>
      </c>
      <c r="K8" s="40">
        <v>6</v>
      </c>
      <c r="L8" s="105">
        <v>-116.1</v>
      </c>
      <c r="N8" s="45"/>
      <c r="O8" s="133"/>
      <c r="P8" s="117"/>
      <c r="Q8" s="115"/>
    </row>
    <row r="9" spans="1:17" x14ac:dyDescent="0.4">
      <c r="A9" s="58" t="s">
        <v>4</v>
      </c>
      <c r="B9" s="50">
        <v>53</v>
      </c>
      <c r="C9" s="42">
        <f t="shared" ref="C9" si="2">IF(B$2=0,0,B9/B$2)</f>
        <v>0.40458015267175573</v>
      </c>
      <c r="E9" s="65" t="s">
        <v>94</v>
      </c>
      <c r="F9" s="62" t="s">
        <v>47</v>
      </c>
      <c r="G9" s="49">
        <v>35</v>
      </c>
      <c r="H9" s="141">
        <f t="shared" si="0"/>
        <v>0.12589928057553956</v>
      </c>
      <c r="I9" s="100">
        <v>10</v>
      </c>
      <c r="K9" s="40">
        <v>7</v>
      </c>
      <c r="L9" s="105">
        <v>-147.4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0.17557251908396945</v>
      </c>
      <c r="E10" s="65" t="s">
        <v>74</v>
      </c>
      <c r="F10" s="62" t="s">
        <v>27</v>
      </c>
      <c r="G10" s="49">
        <v>34</v>
      </c>
      <c r="H10" s="141">
        <f t="shared" si="0"/>
        <v>0.1223021582733813</v>
      </c>
      <c r="I10" s="100">
        <v>4</v>
      </c>
      <c r="K10" s="40">
        <v>8</v>
      </c>
      <c r="L10" s="105">
        <v>-146</v>
      </c>
      <c r="N10" s="120" t="s">
        <v>253</v>
      </c>
      <c r="O10" s="130">
        <f>IF(P10=0,0,Q10/P10)</f>
        <v>-9.8355555555555565</v>
      </c>
      <c r="P10" s="124">
        <v>45</v>
      </c>
      <c r="Q10" s="112">
        <v>-442.60000000000008</v>
      </c>
    </row>
    <row r="11" spans="1:17" x14ac:dyDescent="0.4">
      <c r="A11" s="58" t="s">
        <v>155</v>
      </c>
      <c r="B11" s="50">
        <v>19</v>
      </c>
      <c r="C11" s="42">
        <f>IF(B$2=0,0,B11/B$2)</f>
        <v>0.14503816793893129</v>
      </c>
      <c r="E11" s="65" t="s">
        <v>68</v>
      </c>
      <c r="F11" s="62" t="s">
        <v>22</v>
      </c>
      <c r="G11" s="49">
        <v>31</v>
      </c>
      <c r="H11" s="141">
        <f t="shared" si="0"/>
        <v>0.11151079136690648</v>
      </c>
      <c r="I11" s="100">
        <v>9</v>
      </c>
      <c r="K11" s="40">
        <v>9</v>
      </c>
      <c r="L11" s="105">
        <v>-173</v>
      </c>
      <c r="N11" s="121" t="s">
        <v>254</v>
      </c>
      <c r="O11" s="131">
        <f>IF(P11=0,0,Q11/P11)</f>
        <v>1.8440000000000001</v>
      </c>
      <c r="P11" s="125">
        <v>50</v>
      </c>
      <c r="Q11" s="113">
        <v>92.2</v>
      </c>
    </row>
    <row r="12" spans="1:17" x14ac:dyDescent="0.4">
      <c r="A12" s="59" t="s">
        <v>239</v>
      </c>
      <c r="B12" s="51">
        <v>12</v>
      </c>
      <c r="C12" s="44">
        <f>IF(B$2=0,0,B12/B$2)</f>
        <v>9.1603053435114504E-2</v>
      </c>
      <c r="E12" s="65" t="s">
        <v>91</v>
      </c>
      <c r="F12" s="62" t="s">
        <v>44</v>
      </c>
      <c r="G12" s="49">
        <v>24</v>
      </c>
      <c r="H12" s="141">
        <f t="shared" si="0"/>
        <v>8.6330935251798566E-2</v>
      </c>
      <c r="I12" s="100">
        <v>6</v>
      </c>
      <c r="K12" s="40">
        <v>10</v>
      </c>
      <c r="L12" s="105">
        <v>-206.1</v>
      </c>
      <c r="N12" s="122" t="s">
        <v>255</v>
      </c>
      <c r="O12" s="132">
        <f>IF(P12=0,0,Q12/P12)</f>
        <v>4.2424242424242378E-2</v>
      </c>
      <c r="P12" s="126">
        <v>33</v>
      </c>
      <c r="Q12" s="114">
        <v>1.3999999999999986</v>
      </c>
    </row>
    <row r="13" spans="1:17" x14ac:dyDescent="0.4">
      <c r="A13" s="60" t="s">
        <v>128</v>
      </c>
      <c r="B13" s="52">
        <v>296</v>
      </c>
      <c r="C13" s="46">
        <f>IF(B$26=0,0,B13/B$26)</f>
        <v>0.30234933605720121</v>
      </c>
      <c r="E13" s="65" t="s">
        <v>82</v>
      </c>
      <c r="F13" s="62" t="s">
        <v>35</v>
      </c>
      <c r="G13" s="49">
        <v>10</v>
      </c>
      <c r="H13" s="141">
        <f t="shared" si="0"/>
        <v>3.5971223021582732E-2</v>
      </c>
      <c r="I13" s="100">
        <v>5</v>
      </c>
      <c r="K13" s="40">
        <v>11</v>
      </c>
      <c r="L13" s="105">
        <v>-174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181</v>
      </c>
      <c r="C14" s="41">
        <f>IF(B$26=0,0,B14/B$26)</f>
        <v>0.18488253319713993</v>
      </c>
      <c r="E14" s="65" t="s">
        <v>75</v>
      </c>
      <c r="F14" s="62" t="s">
        <v>28</v>
      </c>
      <c r="G14" s="49">
        <v>8</v>
      </c>
      <c r="H14" s="141">
        <f t="shared" si="0"/>
        <v>2.8776978417266189E-2</v>
      </c>
      <c r="I14" s="100">
        <v>10</v>
      </c>
      <c r="K14" s="40">
        <v>12</v>
      </c>
      <c r="L14" s="105">
        <v>-197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173</v>
      </c>
      <c r="C15" s="39">
        <f>IF(B$13=0,0,B15/B$13)</f>
        <v>0.58445945945945943</v>
      </c>
      <c r="E15" s="65" t="s">
        <v>88</v>
      </c>
      <c r="F15" s="62" t="s">
        <v>41</v>
      </c>
      <c r="G15" s="49">
        <v>8</v>
      </c>
      <c r="H15" s="141">
        <f t="shared" si="0"/>
        <v>2.8776978417266189E-2</v>
      </c>
      <c r="I15" s="100">
        <v>9</v>
      </c>
      <c r="K15" s="40">
        <v>13</v>
      </c>
      <c r="L15" s="105">
        <v>-235</v>
      </c>
      <c r="N15" s="120" t="s">
        <v>250</v>
      </c>
      <c r="O15" s="130">
        <f t="shared" ref="O15:O25" si="3"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71</v>
      </c>
      <c r="C16" s="39">
        <f>IF(B$14=0,0,B16/B$14)</f>
        <v>0.39226519337016574</v>
      </c>
      <c r="E16" s="65" t="s">
        <v>86</v>
      </c>
      <c r="F16" s="62" t="s">
        <v>39</v>
      </c>
      <c r="G16" s="49">
        <v>6</v>
      </c>
      <c r="H16" s="141">
        <f t="shared" si="0"/>
        <v>2.1582733812949641E-2</v>
      </c>
      <c r="I16" s="100">
        <v>8</v>
      </c>
      <c r="K16" s="40">
        <v>14</v>
      </c>
      <c r="L16" s="105">
        <v>-231</v>
      </c>
      <c r="N16" s="121" t="s">
        <v>194</v>
      </c>
      <c r="O16" s="131">
        <f t="shared" si="3"/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0.28346456692913385</v>
      </c>
      <c r="E17" s="65" t="s">
        <v>96</v>
      </c>
      <c r="F17" s="62" t="s">
        <v>49</v>
      </c>
      <c r="G17" s="49">
        <v>6</v>
      </c>
      <c r="H17" s="141">
        <f t="shared" si="0"/>
        <v>2.1582733812949641E-2</v>
      </c>
      <c r="I17" s="100">
        <v>6</v>
      </c>
      <c r="K17" s="40">
        <v>15</v>
      </c>
      <c r="L17" s="105">
        <v>-212.5</v>
      </c>
      <c r="N17" s="121" t="s">
        <v>138</v>
      </c>
      <c r="O17" s="131">
        <f t="shared" si="3"/>
        <v>19.924999999999997</v>
      </c>
      <c r="P17" s="125">
        <v>4</v>
      </c>
      <c r="Q17" s="113">
        <v>79.699999999999989</v>
      </c>
    </row>
    <row r="18" spans="1:17" x14ac:dyDescent="0.4">
      <c r="A18" s="57" t="s">
        <v>12</v>
      </c>
      <c r="B18" s="49">
        <v>126</v>
      </c>
      <c r="C18" s="41">
        <f>IF(B$17=0,0,B18/B$17)</f>
        <v>0.4375</v>
      </c>
      <c r="E18" s="65" t="s">
        <v>77</v>
      </c>
      <c r="F18" s="62" t="s">
        <v>30</v>
      </c>
      <c r="G18" s="49">
        <v>4</v>
      </c>
      <c r="H18" s="141">
        <f t="shared" si="0"/>
        <v>1.4388489208633094E-2</v>
      </c>
      <c r="I18" s="100">
        <v>3</v>
      </c>
      <c r="K18" s="40">
        <v>16</v>
      </c>
      <c r="L18" s="105">
        <v>-233.2</v>
      </c>
      <c r="N18" s="121" t="s">
        <v>157</v>
      </c>
      <c r="O18" s="131">
        <f t="shared" si="3"/>
        <v>13.440000000000001</v>
      </c>
      <c r="P18" s="125">
        <v>20</v>
      </c>
      <c r="Q18" s="113">
        <v>268.8</v>
      </c>
    </row>
    <row r="19" spans="1:17" x14ac:dyDescent="0.4">
      <c r="A19" s="57" t="s">
        <v>11</v>
      </c>
      <c r="B19" s="49">
        <v>162</v>
      </c>
      <c r="C19" s="41">
        <f>IF(B$17=0,0,B19/B$17)</f>
        <v>0.5625</v>
      </c>
      <c r="E19" s="65" t="s">
        <v>83</v>
      </c>
      <c r="F19" s="62" t="s">
        <v>36</v>
      </c>
      <c r="G19" s="49">
        <v>4</v>
      </c>
      <c r="H19" s="141">
        <f t="shared" si="0"/>
        <v>1.4388489208633094E-2</v>
      </c>
      <c r="I19" s="100">
        <v>6</v>
      </c>
      <c r="K19" s="40">
        <v>17</v>
      </c>
      <c r="L19" s="105">
        <v>-268.7</v>
      </c>
      <c r="N19" s="121" t="s">
        <v>135</v>
      </c>
      <c r="O19" s="131">
        <f t="shared" si="3"/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197</v>
      </c>
      <c r="C20" s="41">
        <f>IF(B$3=0,0,B20/B$3)</f>
        <v>0.19389763779527558</v>
      </c>
      <c r="E20" s="65" t="s">
        <v>79</v>
      </c>
      <c r="F20" s="62" t="s">
        <v>32</v>
      </c>
      <c r="G20" s="49">
        <v>3</v>
      </c>
      <c r="H20" s="141">
        <f t="shared" si="0"/>
        <v>1.0791366906474821E-2</v>
      </c>
      <c r="I20" s="100">
        <v>1</v>
      </c>
      <c r="K20" s="40">
        <v>18</v>
      </c>
      <c r="L20" s="105">
        <v>-295.8</v>
      </c>
      <c r="N20" s="121" t="s">
        <v>136</v>
      </c>
      <c r="O20" s="131">
        <f t="shared" si="3"/>
        <v>0.35263157894736707</v>
      </c>
      <c r="P20" s="125">
        <v>19</v>
      </c>
      <c r="Q20" s="113">
        <v>6.6999999999999744</v>
      </c>
    </row>
    <row r="21" spans="1:17" x14ac:dyDescent="0.4">
      <c r="A21" s="57" t="s">
        <v>5</v>
      </c>
      <c r="B21" s="53">
        <f>IF(B$17=0,0,C21/B$17)</f>
        <v>10578.125</v>
      </c>
      <c r="C21" s="43">
        <v>3046500</v>
      </c>
      <c r="E21" s="65" t="s">
        <v>98</v>
      </c>
      <c r="F21" s="62" t="s">
        <v>51</v>
      </c>
      <c r="G21" s="49">
        <v>2</v>
      </c>
      <c r="H21" s="141">
        <f t="shared" si="0"/>
        <v>7.1942446043165471E-3</v>
      </c>
      <c r="I21" s="100">
        <v>3</v>
      </c>
      <c r="K21" s="40">
        <v>19</v>
      </c>
      <c r="L21" s="105">
        <v>-273.2</v>
      </c>
      <c r="N21" s="121" t="s">
        <v>134</v>
      </c>
      <c r="O21" s="131">
        <f t="shared" si="3"/>
        <v>-3.1104166666666635</v>
      </c>
      <c r="P21" s="125">
        <v>48</v>
      </c>
      <c r="Q21" s="113">
        <v>-149.29999999999984</v>
      </c>
    </row>
    <row r="22" spans="1:17" x14ac:dyDescent="0.4">
      <c r="A22" s="59" t="s">
        <v>14</v>
      </c>
      <c r="B22" s="54">
        <f>IF(B$20=0,0,C22/B$20)</f>
        <v>-9493.4010152284263</v>
      </c>
      <c r="C22" s="47">
        <v>-1870200</v>
      </c>
      <c r="E22" s="65" t="s">
        <v>78</v>
      </c>
      <c r="F22" s="62" t="s">
        <v>31</v>
      </c>
      <c r="G22" s="49">
        <v>1</v>
      </c>
      <c r="H22" s="141">
        <f t="shared" si="0"/>
        <v>3.5971223021582736E-3</v>
      </c>
      <c r="I22" s="100">
        <v>4</v>
      </c>
      <c r="K22" s="40">
        <v>20</v>
      </c>
      <c r="L22" s="105">
        <v>-270</v>
      </c>
      <c r="N22" s="121" t="s">
        <v>167</v>
      </c>
      <c r="O22" s="131">
        <f t="shared" si="3"/>
        <v>-3.9666666666666663</v>
      </c>
      <c r="P22" s="125">
        <v>3</v>
      </c>
      <c r="Q22" s="113">
        <v>-11.899999999999999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1</v>
      </c>
      <c r="H23" s="141">
        <f t="shared" si="0"/>
        <v>3.5971223021582736E-3</v>
      </c>
      <c r="I23" s="100">
        <v>6</v>
      </c>
      <c r="K23" s="40">
        <v>21</v>
      </c>
      <c r="L23" s="105">
        <v>-242</v>
      </c>
      <c r="N23" s="121" t="s">
        <v>133</v>
      </c>
      <c r="O23" s="131">
        <f t="shared" si="3"/>
        <v>-11.685849056603772</v>
      </c>
      <c r="P23" s="125">
        <v>106</v>
      </c>
      <c r="Q23" s="113">
        <v>-1238.6999999999998</v>
      </c>
    </row>
    <row r="24" spans="1:17" x14ac:dyDescent="0.4">
      <c r="A24" s="60" t="s">
        <v>199</v>
      </c>
      <c r="B24" s="153">
        <v>124700</v>
      </c>
      <c r="C24" s="154"/>
      <c r="E24" s="65" t="s">
        <v>89</v>
      </c>
      <c r="F24" s="62" t="s">
        <v>42</v>
      </c>
      <c r="G24" s="49">
        <v>1</v>
      </c>
      <c r="H24" s="141">
        <f t="shared" si="0"/>
        <v>3.5971223021582736E-3</v>
      </c>
      <c r="I24" s="100">
        <v>3</v>
      </c>
      <c r="K24" s="40">
        <v>22</v>
      </c>
      <c r="L24" s="105">
        <v>-202.9</v>
      </c>
      <c r="N24" s="121" t="s">
        <v>137</v>
      </c>
      <c r="O24" s="131">
        <f t="shared" si="3"/>
        <v>-14.63170731707317</v>
      </c>
      <c r="P24" s="125">
        <v>41</v>
      </c>
      <c r="Q24" s="113">
        <v>-599.9</v>
      </c>
    </row>
    <row r="25" spans="1:17" x14ac:dyDescent="0.4">
      <c r="A25" s="59" t="s">
        <v>159</v>
      </c>
      <c r="B25" s="67">
        <v>7</v>
      </c>
      <c r="C25" s="44">
        <f>IF(B$3=0,0,B25/B$3)</f>
        <v>6.889763779527559E-3</v>
      </c>
      <c r="E25" s="65" t="s">
        <v>90</v>
      </c>
      <c r="F25" s="62" t="s">
        <v>43</v>
      </c>
      <c r="G25" s="49">
        <v>1</v>
      </c>
      <c r="H25" s="141">
        <f t="shared" si="0"/>
        <v>3.5971223021582736E-3</v>
      </c>
      <c r="I25" s="100">
        <v>5</v>
      </c>
      <c r="K25" s="40">
        <v>23</v>
      </c>
      <c r="L25" s="105">
        <v>-200.9</v>
      </c>
      <c r="N25" s="121" t="s">
        <v>171</v>
      </c>
      <c r="O25" s="131">
        <f t="shared" si="3"/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5">
        <v>979</v>
      </c>
      <c r="C26" s="146"/>
      <c r="E26" s="65" t="s">
        <v>92</v>
      </c>
      <c r="F26" s="62" t="s">
        <v>45</v>
      </c>
      <c r="G26" s="49">
        <v>1</v>
      </c>
      <c r="H26" s="141">
        <f t="shared" si="0"/>
        <v>3.5971223021582736E-3</v>
      </c>
      <c r="I26" s="100">
        <v>3</v>
      </c>
      <c r="K26" s="40">
        <v>24</v>
      </c>
      <c r="L26" s="105">
        <v>-168.2</v>
      </c>
    </row>
    <row r="27" spans="1:17" x14ac:dyDescent="0.4">
      <c r="A27" s="59" t="s">
        <v>127</v>
      </c>
      <c r="B27" s="159">
        <v>278</v>
      </c>
      <c r="C27" s="160"/>
      <c r="E27" s="65" t="s">
        <v>95</v>
      </c>
      <c r="F27" s="62" t="s">
        <v>48</v>
      </c>
      <c r="G27" s="49">
        <v>1</v>
      </c>
      <c r="H27" s="141">
        <f t="shared" si="0"/>
        <v>3.5971223021582736E-3</v>
      </c>
      <c r="I27" s="100">
        <v>1</v>
      </c>
      <c r="K27" s="40">
        <v>25</v>
      </c>
      <c r="L27" s="105">
        <v>-216.89999999999998</v>
      </c>
    </row>
    <row r="28" spans="1:17" x14ac:dyDescent="0.4">
      <c r="E28" s="65" t="s">
        <v>97</v>
      </c>
      <c r="F28" s="62" t="s">
        <v>50</v>
      </c>
      <c r="G28" s="49">
        <v>1</v>
      </c>
      <c r="H28" s="141">
        <f t="shared" si="0"/>
        <v>3.5971223021582736E-3</v>
      </c>
      <c r="I28" s="100">
        <v>6</v>
      </c>
      <c r="K28" s="40">
        <v>26</v>
      </c>
      <c r="L28" s="105">
        <v>-256.29999999999995</v>
      </c>
    </row>
    <row r="29" spans="1:17" x14ac:dyDescent="0.4">
      <c r="E29" s="65" t="s">
        <v>80</v>
      </c>
      <c r="F29" s="62" t="s">
        <v>33</v>
      </c>
      <c r="G29" s="49">
        <v>0</v>
      </c>
      <c r="H29" s="141">
        <f t="shared" si="0"/>
        <v>0</v>
      </c>
      <c r="I29" s="100">
        <v>1</v>
      </c>
      <c r="K29" s="40">
        <v>27</v>
      </c>
      <c r="L29" s="105">
        <v>-296.29999999999995</v>
      </c>
    </row>
    <row r="30" spans="1:17" x14ac:dyDescent="0.4">
      <c r="E30" s="65" t="s">
        <v>84</v>
      </c>
      <c r="F30" s="62" t="s">
        <v>37</v>
      </c>
      <c r="G30" s="49">
        <v>0</v>
      </c>
      <c r="H30" s="141">
        <f t="shared" si="0"/>
        <v>0</v>
      </c>
      <c r="I30" s="100">
        <v>1</v>
      </c>
      <c r="K30" s="40">
        <v>28</v>
      </c>
      <c r="L30" s="105">
        <v>-290.19999999999993</v>
      </c>
    </row>
    <row r="31" spans="1:17" x14ac:dyDescent="0.4">
      <c r="E31" s="65" t="s">
        <v>85</v>
      </c>
      <c r="F31" s="62" t="s">
        <v>38</v>
      </c>
      <c r="G31" s="49">
        <v>0</v>
      </c>
      <c r="H31" s="141">
        <f t="shared" si="0"/>
        <v>0</v>
      </c>
      <c r="I31" s="100">
        <v>3</v>
      </c>
      <c r="K31" s="40">
        <v>29</v>
      </c>
      <c r="L31" s="105">
        <v>-239.19999999999993</v>
      </c>
    </row>
    <row r="32" spans="1:17" x14ac:dyDescent="0.4">
      <c r="E32" s="65" t="s">
        <v>87</v>
      </c>
      <c r="F32" s="62" t="s">
        <v>40</v>
      </c>
      <c r="G32" s="49">
        <v>0</v>
      </c>
      <c r="H32" s="141">
        <f t="shared" si="0"/>
        <v>0</v>
      </c>
      <c r="I32" s="100">
        <v>1</v>
      </c>
      <c r="K32" s="40">
        <v>30</v>
      </c>
      <c r="L32" s="105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41">
        <f t="shared" si="0"/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 t="shared" ref="H34:H65" si="4"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 t="shared" si="4"/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 t="shared" si="4"/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 t="shared" si="4"/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 t="shared" si="4"/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 t="shared" si="4"/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 t="shared" si="4"/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 t="shared" si="4"/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 t="shared" si="4"/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 t="shared" si="4"/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 t="shared" si="4"/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 t="shared" si="4"/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 t="shared" si="4"/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 t="shared" si="4"/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 t="shared" si="4"/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 t="shared" si="4"/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 t="shared" si="4"/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 t="shared" si="4"/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  <row r="111" spans="11:12" x14ac:dyDescent="0.4">
      <c r="K111" s="40">
        <v>109</v>
      </c>
      <c r="L111" s="105">
        <v>-448.79999999999995</v>
      </c>
    </row>
    <row r="112" spans="11:12" x14ac:dyDescent="0.4">
      <c r="K112" s="40">
        <v>110</v>
      </c>
      <c r="L112" s="105">
        <v>-447.99999999999994</v>
      </c>
    </row>
    <row r="113" spans="11:12" x14ac:dyDescent="0.4">
      <c r="K113" s="40">
        <v>111</v>
      </c>
      <c r="L113" s="105">
        <v>-470.39999999999992</v>
      </c>
    </row>
    <row r="114" spans="11:12" x14ac:dyDescent="0.4">
      <c r="K114" s="40">
        <v>112</v>
      </c>
      <c r="L114" s="105">
        <v>-471.19999999999993</v>
      </c>
    </row>
    <row r="115" spans="11:12" x14ac:dyDescent="0.4">
      <c r="K115" s="40">
        <v>113</v>
      </c>
      <c r="L115" s="105">
        <v>-469.39999999999992</v>
      </c>
    </row>
    <row r="116" spans="11:12" x14ac:dyDescent="0.4">
      <c r="K116" s="40">
        <v>114</v>
      </c>
      <c r="L116" s="105">
        <v>-475.09999999999991</v>
      </c>
    </row>
    <row r="117" spans="11:12" x14ac:dyDescent="0.4">
      <c r="K117" s="40">
        <v>115</v>
      </c>
      <c r="L117" s="105">
        <v>-443.39999999999992</v>
      </c>
    </row>
    <row r="118" spans="11:12" x14ac:dyDescent="0.4">
      <c r="K118" s="40">
        <v>116</v>
      </c>
      <c r="L118" s="105">
        <v>-440.39999999999992</v>
      </c>
    </row>
    <row r="119" spans="11:12" x14ac:dyDescent="0.4">
      <c r="K119" s="40">
        <v>117</v>
      </c>
      <c r="L119" s="105">
        <v>-453.39999999999992</v>
      </c>
    </row>
    <row r="120" spans="11:12" x14ac:dyDescent="0.4">
      <c r="K120" s="40">
        <v>118</v>
      </c>
      <c r="L120" s="105">
        <v>-470.2999999999999</v>
      </c>
    </row>
    <row r="121" spans="11:12" x14ac:dyDescent="0.4">
      <c r="K121" s="40">
        <v>119</v>
      </c>
      <c r="L121" s="105">
        <v>-469.19999999999987</v>
      </c>
    </row>
    <row r="122" spans="11:12" x14ac:dyDescent="0.4">
      <c r="K122" s="40">
        <v>120</v>
      </c>
      <c r="L122" s="105">
        <v>-502.19999999999987</v>
      </c>
    </row>
    <row r="123" spans="11:12" x14ac:dyDescent="0.4">
      <c r="K123" s="40">
        <v>121</v>
      </c>
      <c r="L123" s="105">
        <v>-509.69999999999987</v>
      </c>
    </row>
    <row r="124" spans="11:12" x14ac:dyDescent="0.4">
      <c r="K124" s="40">
        <v>122</v>
      </c>
      <c r="L124" s="105">
        <v>-492.09999999999985</v>
      </c>
    </row>
    <row r="125" spans="11:12" x14ac:dyDescent="0.4">
      <c r="K125" s="40">
        <v>123</v>
      </c>
      <c r="L125" s="105">
        <v>-500.09999999999985</v>
      </c>
    </row>
    <row r="126" spans="11:12" x14ac:dyDescent="0.4">
      <c r="K126" s="40">
        <v>124</v>
      </c>
      <c r="L126" s="105">
        <v>-493.49999999999983</v>
      </c>
    </row>
    <row r="127" spans="11:12" x14ac:dyDescent="0.4">
      <c r="K127" s="40">
        <v>125</v>
      </c>
      <c r="L127" s="105">
        <v>-500.99999999999983</v>
      </c>
    </row>
    <row r="128" spans="11:12" x14ac:dyDescent="0.4">
      <c r="K128" s="40">
        <v>126</v>
      </c>
      <c r="L128" s="105">
        <v>-456.29999999999984</v>
      </c>
    </row>
    <row r="129" spans="11:12" x14ac:dyDescent="0.4">
      <c r="K129" s="40">
        <v>127</v>
      </c>
      <c r="L129" s="105">
        <v>-412.09999999999985</v>
      </c>
    </row>
    <row r="130" spans="11:12" x14ac:dyDescent="0.4">
      <c r="K130" s="40">
        <v>128</v>
      </c>
      <c r="L130" s="105">
        <v>-424.09999999999985</v>
      </c>
    </row>
    <row r="131" spans="11:12" x14ac:dyDescent="0.4">
      <c r="K131" s="40">
        <v>129</v>
      </c>
      <c r="L131" s="105">
        <v>-448.69999999999987</v>
      </c>
    </row>
    <row r="132" spans="11:12" x14ac:dyDescent="0.4">
      <c r="K132" s="40">
        <v>130</v>
      </c>
      <c r="L132" s="105">
        <v>-468.69999999999987</v>
      </c>
    </row>
    <row r="133" spans="11:12" x14ac:dyDescent="0.4">
      <c r="K133" s="40">
        <v>131</v>
      </c>
      <c r="L133" s="105">
        <v>-461.2999999999999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5F3B-13C7-446F-ACE2-734CB57DBEE6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194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6</v>
      </c>
      <c r="C2" s="146"/>
      <c r="E2" s="64" t="s">
        <v>67</v>
      </c>
      <c r="F2" s="61" t="s">
        <v>21</v>
      </c>
      <c r="G2" s="48">
        <v>12</v>
      </c>
      <c r="H2" s="140">
        <f t="shared" ref="H2:H33" si="0"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47">
        <v>50</v>
      </c>
      <c r="C3" s="148"/>
      <c r="E3" s="65" t="s">
        <v>69</v>
      </c>
      <c r="F3" s="62" t="s">
        <v>23</v>
      </c>
      <c r="G3" s="49">
        <v>12</v>
      </c>
      <c r="H3" s="141">
        <f t="shared" si="0"/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1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49">
        <v>47</v>
      </c>
      <c r="C4" s="150"/>
      <c r="E4" s="65" t="s">
        <v>71</v>
      </c>
      <c r="F4" s="62" t="s">
        <v>25</v>
      </c>
      <c r="G4" s="49">
        <v>12</v>
      </c>
      <c r="H4" s="141">
        <f t="shared" si="0"/>
        <v>0.63157894736842102</v>
      </c>
      <c r="I4" s="100">
        <v>12</v>
      </c>
      <c r="K4" s="40">
        <v>2</v>
      </c>
      <c r="L4" s="105">
        <v>71.3</v>
      </c>
      <c r="N4" s="121" t="s">
        <v>149</v>
      </c>
      <c r="O4" s="128">
        <f t="shared" si="1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1">
        <f>IF(B$2=0,0,B$4/B$2)</f>
        <v>7.833333333333333</v>
      </c>
      <c r="C5" s="152"/>
      <c r="E5" s="65" t="s">
        <v>76</v>
      </c>
      <c r="F5" s="62" t="s">
        <v>29</v>
      </c>
      <c r="G5" s="49">
        <v>10</v>
      </c>
      <c r="H5" s="141">
        <f t="shared" si="0"/>
        <v>0.52631578947368418</v>
      </c>
      <c r="I5" s="100">
        <v>10</v>
      </c>
      <c r="K5" s="40">
        <v>3</v>
      </c>
      <c r="L5" s="105">
        <v>57.3</v>
      </c>
      <c r="N5" s="121" t="s">
        <v>150</v>
      </c>
      <c r="O5" s="128">
        <f t="shared" si="1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57">
        <f>IF(B$2=0,0,(B$7*1+B$8*2+B$9*3)/B$2)</f>
        <v>1.8333333333333333</v>
      </c>
      <c r="C6" s="158"/>
      <c r="E6" s="65" t="s">
        <v>70</v>
      </c>
      <c r="F6" s="62" t="s">
        <v>24</v>
      </c>
      <c r="G6" s="49">
        <v>7</v>
      </c>
      <c r="H6" s="141">
        <f t="shared" si="0"/>
        <v>0.36842105263157893</v>
      </c>
      <c r="I6" s="100">
        <v>3</v>
      </c>
      <c r="K6" s="40">
        <v>4</v>
      </c>
      <c r="L6" s="105">
        <v>64.5</v>
      </c>
      <c r="N6" s="121" t="s">
        <v>151</v>
      </c>
      <c r="O6" s="128">
        <f t="shared" si="1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41">
        <f t="shared" si="0"/>
        <v>0.21052631578947367</v>
      </c>
      <c r="I7" s="100">
        <v>12</v>
      </c>
      <c r="K7" s="40">
        <v>5</v>
      </c>
      <c r="L7" s="105">
        <v>89</v>
      </c>
      <c r="N7" s="122" t="s">
        <v>152</v>
      </c>
      <c r="O7" s="129">
        <f t="shared" si="1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41">
        <f t="shared" si="0"/>
        <v>0.21052631578947367</v>
      </c>
      <c r="I8" s="100">
        <v>1</v>
      </c>
      <c r="K8" s="40">
        <v>6</v>
      </c>
      <c r="L8" s="105">
        <v>47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2">IF(B$2=0,0,B9/B$2)</f>
        <v>0.33333333333333331</v>
      </c>
      <c r="E9" s="65" t="s">
        <v>68</v>
      </c>
      <c r="F9" s="62" t="s">
        <v>22</v>
      </c>
      <c r="G9" s="49">
        <v>3</v>
      </c>
      <c r="H9" s="141">
        <f t="shared" si="0"/>
        <v>0.15789473684210525</v>
      </c>
      <c r="I9" s="100">
        <v>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41">
        <f t="shared" si="0"/>
        <v>0.15789473684210525</v>
      </c>
      <c r="I10" s="100">
        <v>4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41">
        <f t="shared" si="0"/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41">
        <f t="shared" si="0"/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41">
        <f t="shared" si="0"/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41">
        <f t="shared" si="0"/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41">
        <f t="shared" si="0"/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41">
        <f t="shared" si="0"/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41">
        <f t="shared" si="0"/>
        <v>0</v>
      </c>
      <c r="I17" s="100">
        <v>7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41">
        <f t="shared" si="0"/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41">
        <f t="shared" si="0"/>
        <v>0</v>
      </c>
      <c r="I19" s="100">
        <v>7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41">
        <f t="shared" si="0"/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41">
        <f t="shared" si="0"/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41">
        <f t="shared" si="0"/>
        <v>0</v>
      </c>
      <c r="I22" s="100">
        <v>1</v>
      </c>
    </row>
    <row r="23" spans="1:17" x14ac:dyDescent="0.4">
      <c r="A23" s="96" t="s">
        <v>158</v>
      </c>
      <c r="B23" s="155">
        <v>5</v>
      </c>
      <c r="C23" s="156"/>
      <c r="E23" s="65" t="s">
        <v>85</v>
      </c>
      <c r="F23" s="62" t="s">
        <v>38</v>
      </c>
      <c r="G23" s="49">
        <v>0</v>
      </c>
      <c r="H23" s="141">
        <f t="shared" si="0"/>
        <v>0</v>
      </c>
      <c r="I23" s="100">
        <v>3</v>
      </c>
    </row>
    <row r="24" spans="1:17" x14ac:dyDescent="0.4">
      <c r="A24" s="60" t="s">
        <v>199</v>
      </c>
      <c r="B24" s="153">
        <v>78000</v>
      </c>
      <c r="C24" s="154"/>
      <c r="E24" s="65" t="s">
        <v>86</v>
      </c>
      <c r="F24" s="62" t="s">
        <v>39</v>
      </c>
      <c r="G24" s="49">
        <v>0</v>
      </c>
      <c r="H24" s="141">
        <f t="shared" si="0"/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 t="shared" si="0"/>
        <v>0</v>
      </c>
      <c r="I25" s="100">
        <v>1</v>
      </c>
    </row>
    <row r="26" spans="1:17" x14ac:dyDescent="0.4">
      <c r="A26" s="56" t="s">
        <v>126</v>
      </c>
      <c r="B26" s="145">
        <v>50</v>
      </c>
      <c r="C26" s="146"/>
      <c r="E26" s="65" t="s">
        <v>88</v>
      </c>
      <c r="F26" s="62" t="s">
        <v>41</v>
      </c>
      <c r="G26" s="49">
        <v>0</v>
      </c>
      <c r="H26" s="141">
        <f t="shared" si="0"/>
        <v>0</v>
      </c>
      <c r="I26" s="100">
        <v>12</v>
      </c>
    </row>
    <row r="27" spans="1:17" x14ac:dyDescent="0.4">
      <c r="A27" s="59" t="s">
        <v>127</v>
      </c>
      <c r="B27" s="159">
        <v>19</v>
      </c>
      <c r="C27" s="160"/>
      <c r="E27" s="65" t="s">
        <v>89</v>
      </c>
      <c r="F27" s="62" t="s">
        <v>42</v>
      </c>
      <c r="G27" s="49">
        <v>0</v>
      </c>
      <c r="H27" s="141">
        <f t="shared" si="0"/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41">
        <f t="shared" si="0"/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41">
        <f t="shared" si="0"/>
        <v>0</v>
      </c>
      <c r="I29" s="100">
        <v>5</v>
      </c>
    </row>
    <row r="30" spans="1:17" x14ac:dyDescent="0.4">
      <c r="E30" s="65" t="s">
        <v>93</v>
      </c>
      <c r="F30" s="62" t="s">
        <v>46</v>
      </c>
      <c r="G30" s="49">
        <v>0</v>
      </c>
      <c r="H30" s="141">
        <f t="shared" si="0"/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41">
        <f t="shared" si="0"/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 t="shared" si="0"/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 t="shared" si="0"/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 t="shared" ref="H34:H65" si="3"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 t="shared" si="3"/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 t="shared" si="3"/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 t="shared" si="3"/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 t="shared" si="3"/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 t="shared" si="3"/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 t="shared" si="3"/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 t="shared" si="3"/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 t="shared" si="3"/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 t="shared" si="3"/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 t="shared" si="3"/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 t="shared" si="3"/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 t="shared" si="3"/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 t="shared" si="3"/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 t="shared" si="3"/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 t="shared" si="3"/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 t="shared" si="3"/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 t="shared" si="3"/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56F09-0175-460C-A856-720A765EB905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157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36</v>
      </c>
      <c r="C2" s="146"/>
      <c r="E2" s="64" t="s">
        <v>71</v>
      </c>
      <c r="F2" s="61" t="s">
        <v>25</v>
      </c>
      <c r="G2" s="48">
        <v>55</v>
      </c>
      <c r="H2" s="140">
        <f t="shared" ref="H2:H33" si="0">IF(B$27=0,0,G2/B$27)</f>
        <v>0.9821428571428571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-2341.6666666666665</v>
      </c>
      <c r="P2" s="124">
        <v>36</v>
      </c>
      <c r="Q2" s="108">
        <v>-84300</v>
      </c>
    </row>
    <row r="3" spans="1:17" x14ac:dyDescent="0.4">
      <c r="A3" s="57" t="s">
        <v>8</v>
      </c>
      <c r="B3" s="147">
        <v>279</v>
      </c>
      <c r="C3" s="148"/>
      <c r="E3" s="65" t="s">
        <v>76</v>
      </c>
      <c r="F3" s="62" t="s">
        <v>29</v>
      </c>
      <c r="G3" s="49">
        <v>41</v>
      </c>
      <c r="H3" s="141">
        <f t="shared" si="0"/>
        <v>0.7321428571428571</v>
      </c>
      <c r="I3" s="100">
        <v>3</v>
      </c>
      <c r="K3" s="40">
        <v>1</v>
      </c>
      <c r="L3" s="105">
        <v>15</v>
      </c>
      <c r="N3" s="121" t="s">
        <v>148</v>
      </c>
      <c r="O3" s="128">
        <f t="shared" si="1"/>
        <v>644.44444444444446</v>
      </c>
      <c r="P3" s="125">
        <v>36</v>
      </c>
      <c r="Q3" s="109">
        <v>23200</v>
      </c>
    </row>
    <row r="4" spans="1:17" x14ac:dyDescent="0.4">
      <c r="A4" s="57" t="s">
        <v>6</v>
      </c>
      <c r="B4" s="149">
        <v>-455.89999999999992</v>
      </c>
      <c r="C4" s="150"/>
      <c r="E4" s="65" t="s">
        <v>69</v>
      </c>
      <c r="F4" s="62" t="s">
        <v>23</v>
      </c>
      <c r="G4" s="49">
        <v>38</v>
      </c>
      <c r="H4" s="141">
        <f t="shared" si="0"/>
        <v>0.6785714285714286</v>
      </c>
      <c r="I4" s="100">
        <v>8</v>
      </c>
      <c r="K4" s="40">
        <v>2</v>
      </c>
      <c r="L4" s="105">
        <v>-24.299999999999997</v>
      </c>
      <c r="N4" s="121" t="s">
        <v>149</v>
      </c>
      <c r="O4" s="128">
        <f t="shared" si="1"/>
        <v>-5609.375</v>
      </c>
      <c r="P4" s="125">
        <v>32</v>
      </c>
      <c r="Q4" s="109">
        <v>-179500</v>
      </c>
    </row>
    <row r="5" spans="1:17" x14ac:dyDescent="0.4">
      <c r="A5" s="57" t="s">
        <v>7</v>
      </c>
      <c r="B5" s="151">
        <f>IF(B$2=0,0,B$4/B$2)</f>
        <v>-12.663888888888886</v>
      </c>
      <c r="C5" s="152"/>
      <c r="E5" s="65" t="s">
        <v>67</v>
      </c>
      <c r="F5" s="62" t="s">
        <v>21</v>
      </c>
      <c r="G5" s="49">
        <v>17</v>
      </c>
      <c r="H5" s="141">
        <f t="shared" si="0"/>
        <v>0.30357142857142855</v>
      </c>
      <c r="I5" s="100">
        <v>12</v>
      </c>
      <c r="K5" s="40">
        <v>3</v>
      </c>
      <c r="L5" s="105">
        <v>-15.599999999999998</v>
      </c>
      <c r="N5" s="121" t="s">
        <v>150</v>
      </c>
      <c r="O5" s="128">
        <f t="shared" si="1"/>
        <v>-3203.4482758620688</v>
      </c>
      <c r="P5" s="125">
        <v>29</v>
      </c>
      <c r="Q5" s="109">
        <v>-92900</v>
      </c>
    </row>
    <row r="6" spans="1:17" x14ac:dyDescent="0.4">
      <c r="A6" s="57" t="s">
        <v>1</v>
      </c>
      <c r="B6" s="157">
        <f>IF(B$2=0,0,(B$7*1+B$8*2+B$9*3)/B$2)</f>
        <v>2.3888888888888888</v>
      </c>
      <c r="C6" s="158"/>
      <c r="E6" s="65" t="s">
        <v>72</v>
      </c>
      <c r="F6" s="62" t="s">
        <v>12</v>
      </c>
      <c r="G6" s="49">
        <v>14</v>
      </c>
      <c r="H6" s="141">
        <f t="shared" si="0"/>
        <v>0.25</v>
      </c>
      <c r="I6" s="100">
        <v>10</v>
      </c>
      <c r="K6" s="40">
        <v>4</v>
      </c>
      <c r="L6" s="105">
        <v>5.1000000000000014</v>
      </c>
      <c r="N6" s="121" t="s">
        <v>151</v>
      </c>
      <c r="O6" s="128">
        <f t="shared" si="1"/>
        <v>-2922.2222222222222</v>
      </c>
      <c r="P6" s="125">
        <v>27</v>
      </c>
      <c r="Q6" s="109">
        <v>-78900</v>
      </c>
    </row>
    <row r="7" spans="1:17" x14ac:dyDescent="0.4">
      <c r="A7" s="57" t="s">
        <v>2</v>
      </c>
      <c r="B7" s="49">
        <v>7</v>
      </c>
      <c r="C7" s="41">
        <f>IF(B$2=0,0,B7/B$2)</f>
        <v>0.19444444444444445</v>
      </c>
      <c r="E7" s="65" t="s">
        <v>88</v>
      </c>
      <c r="F7" s="62" t="s">
        <v>41</v>
      </c>
      <c r="G7" s="49">
        <v>9</v>
      </c>
      <c r="H7" s="141">
        <f t="shared" si="0"/>
        <v>0.16071428571428573</v>
      </c>
      <c r="I7" s="100">
        <v>2</v>
      </c>
      <c r="K7" s="40">
        <v>5</v>
      </c>
      <c r="L7" s="105">
        <v>9.6000000000000014</v>
      </c>
      <c r="N7" s="122" t="s">
        <v>152</v>
      </c>
      <c r="O7" s="129">
        <f t="shared" si="1"/>
        <v>-2071.4285714285716</v>
      </c>
      <c r="P7" s="126">
        <v>21</v>
      </c>
      <c r="Q7" s="110">
        <v>-43500</v>
      </c>
    </row>
    <row r="8" spans="1:17" x14ac:dyDescent="0.4">
      <c r="A8" s="57" t="s">
        <v>3</v>
      </c>
      <c r="B8" s="49">
        <v>8</v>
      </c>
      <c r="C8" s="41">
        <f>IF(B$2=0,0,B8/B$2)</f>
        <v>0.22222222222222221</v>
      </c>
      <c r="E8" s="65" t="s">
        <v>94</v>
      </c>
      <c r="F8" s="62" t="s">
        <v>47</v>
      </c>
      <c r="G8" s="49">
        <v>9</v>
      </c>
      <c r="H8" s="141">
        <f t="shared" si="0"/>
        <v>0.16071428571428573</v>
      </c>
      <c r="I8" s="100">
        <v>5</v>
      </c>
      <c r="K8" s="40">
        <v>6</v>
      </c>
      <c r="L8" s="105">
        <v>2.2000000000000011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21</v>
      </c>
      <c r="C9" s="42">
        <f t="shared" ref="C9" si="2">IF(B$2=0,0,B9/B$2)</f>
        <v>0.58333333333333337</v>
      </c>
      <c r="E9" s="65" t="s">
        <v>70</v>
      </c>
      <c r="F9" s="62" t="s">
        <v>24</v>
      </c>
      <c r="G9" s="49">
        <v>6</v>
      </c>
      <c r="H9" s="141">
        <f t="shared" si="0"/>
        <v>0.10714285714285714</v>
      </c>
      <c r="I9" s="100">
        <v>13</v>
      </c>
      <c r="K9" s="40">
        <v>7</v>
      </c>
      <c r="L9" s="105">
        <v>27.200000000000003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10</v>
      </c>
      <c r="C10" s="42">
        <f>IF(B$2=0,0,B10/B$2)</f>
        <v>0.27777777777777779</v>
      </c>
      <c r="E10" s="65" t="s">
        <v>74</v>
      </c>
      <c r="F10" s="62" t="s">
        <v>27</v>
      </c>
      <c r="G10" s="49">
        <v>6</v>
      </c>
      <c r="H10" s="141">
        <f t="shared" si="0"/>
        <v>0.10714285714285714</v>
      </c>
      <c r="I10" s="100">
        <v>5</v>
      </c>
      <c r="K10" s="40">
        <v>8</v>
      </c>
      <c r="L10" s="105">
        <v>-4.4999999999999964</v>
      </c>
      <c r="N10" s="120" t="s">
        <v>253</v>
      </c>
      <c r="O10" s="130">
        <f>IF(P10=0,0,Q10/P10)</f>
        <v>-15.350000000000001</v>
      </c>
      <c r="P10" s="124">
        <v>12</v>
      </c>
      <c r="Q10" s="112">
        <v>-184.20000000000002</v>
      </c>
    </row>
    <row r="11" spans="1:17" x14ac:dyDescent="0.4">
      <c r="A11" s="58" t="s">
        <v>155</v>
      </c>
      <c r="B11" s="50">
        <v>3</v>
      </c>
      <c r="C11" s="42">
        <f>IF(B$2=0,0,B11/B$2)</f>
        <v>8.3333333333333329E-2</v>
      </c>
      <c r="E11" s="65" t="s">
        <v>91</v>
      </c>
      <c r="F11" s="62" t="s">
        <v>44</v>
      </c>
      <c r="G11" s="49">
        <v>6</v>
      </c>
      <c r="H11" s="141">
        <f t="shared" si="0"/>
        <v>0.10714285714285714</v>
      </c>
      <c r="I11" s="100">
        <v>4</v>
      </c>
      <c r="K11" s="40">
        <v>9</v>
      </c>
      <c r="L11" s="105">
        <v>-9.3999999999999968</v>
      </c>
      <c r="N11" s="121" t="s">
        <v>254</v>
      </c>
      <c r="O11" s="131">
        <f>IF(P11=0,0,Q11/P11)</f>
        <v>-14.470000000000002</v>
      </c>
      <c r="P11" s="125">
        <v>10</v>
      </c>
      <c r="Q11" s="113">
        <v>-144.70000000000002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68</v>
      </c>
      <c r="F12" s="62" t="s">
        <v>22</v>
      </c>
      <c r="G12" s="49">
        <v>5</v>
      </c>
      <c r="H12" s="141">
        <f t="shared" si="0"/>
        <v>8.9285714285714288E-2</v>
      </c>
      <c r="I12" s="100">
        <v>10</v>
      </c>
      <c r="K12" s="40">
        <v>10</v>
      </c>
      <c r="L12" s="105">
        <v>-24.299999999999997</v>
      </c>
      <c r="N12" s="122" t="s">
        <v>255</v>
      </c>
      <c r="O12" s="132">
        <f>IF(P12=0,0,Q12/P12)</f>
        <v>-9.0714285714285712</v>
      </c>
      <c r="P12" s="126">
        <v>14</v>
      </c>
      <c r="Q12" s="114">
        <v>-127</v>
      </c>
    </row>
    <row r="13" spans="1:17" x14ac:dyDescent="0.4">
      <c r="A13" s="60" t="s">
        <v>128</v>
      </c>
      <c r="B13" s="52">
        <v>39</v>
      </c>
      <c r="C13" s="46">
        <f>IF(B$26=0,0,B13/B$26)</f>
        <v>0.13978494623655913</v>
      </c>
      <c r="E13" s="65" t="s">
        <v>82</v>
      </c>
      <c r="F13" s="62" t="s">
        <v>35</v>
      </c>
      <c r="G13" s="49">
        <v>3</v>
      </c>
      <c r="H13" s="141">
        <f t="shared" si="0"/>
        <v>5.3571428571428568E-2</v>
      </c>
      <c r="I13" s="100">
        <v>2</v>
      </c>
      <c r="K13" s="40">
        <v>11</v>
      </c>
      <c r="L13" s="105">
        <v>-70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99</v>
      </c>
      <c r="C14" s="41">
        <f>IF(B$26=0,0,B14/B$26)</f>
        <v>0.35483870967741937</v>
      </c>
      <c r="E14" s="65" t="s">
        <v>86</v>
      </c>
      <c r="F14" s="62" t="s">
        <v>39</v>
      </c>
      <c r="G14" s="49">
        <v>3</v>
      </c>
      <c r="H14" s="141">
        <f t="shared" si="0"/>
        <v>5.3571428571428568E-2</v>
      </c>
      <c r="I14" s="100">
        <v>2</v>
      </c>
      <c r="K14" s="40">
        <v>12</v>
      </c>
      <c r="L14" s="105">
        <v>-43.8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18</v>
      </c>
      <c r="C15" s="39">
        <f>IF(B$13=0,0,B15/B$13)</f>
        <v>0.46153846153846156</v>
      </c>
      <c r="E15" s="65" t="s">
        <v>73</v>
      </c>
      <c r="F15" s="62" t="s">
        <v>26</v>
      </c>
      <c r="G15" s="49">
        <v>2</v>
      </c>
      <c r="H15" s="141">
        <f t="shared" si="0"/>
        <v>3.5714285714285712E-2</v>
      </c>
      <c r="I15" s="100">
        <v>12</v>
      </c>
      <c r="K15" s="40">
        <v>13</v>
      </c>
      <c r="L15" s="105">
        <v>-11.099999999999994</v>
      </c>
      <c r="N15" s="120" t="s">
        <v>171</v>
      </c>
      <c r="O15" s="130">
        <f t="shared" ref="O15:O22" si="3"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0.28282828282828282</v>
      </c>
      <c r="E16" s="65" t="s">
        <v>75</v>
      </c>
      <c r="F16" s="62" t="s">
        <v>28</v>
      </c>
      <c r="G16" s="49">
        <v>2</v>
      </c>
      <c r="H16" s="141">
        <f t="shared" si="0"/>
        <v>3.5714285714285712E-2</v>
      </c>
      <c r="I16" s="100">
        <v>8</v>
      </c>
      <c r="K16" s="40">
        <v>14</v>
      </c>
      <c r="L16" s="105">
        <v>-5.7999999999999945</v>
      </c>
      <c r="N16" s="121" t="s">
        <v>134</v>
      </c>
      <c r="O16" s="131">
        <f t="shared" si="3"/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56</v>
      </c>
      <c r="C17" s="39">
        <f>IF(B$3=0,0,B17/B$3)</f>
        <v>0.20071684587813621</v>
      </c>
      <c r="E17" s="65" t="s">
        <v>83</v>
      </c>
      <c r="F17" s="62" t="s">
        <v>36</v>
      </c>
      <c r="G17" s="49">
        <v>2</v>
      </c>
      <c r="H17" s="141">
        <f t="shared" si="0"/>
        <v>3.5714285714285712E-2</v>
      </c>
      <c r="I17" s="100">
        <v>3</v>
      </c>
      <c r="K17" s="40">
        <v>15</v>
      </c>
      <c r="L17" s="105">
        <v>-44.199999999999996</v>
      </c>
      <c r="N17" s="121" t="s">
        <v>139</v>
      </c>
      <c r="O17" s="131">
        <f t="shared" si="3"/>
        <v>-13.440000000000001</v>
      </c>
      <c r="P17" s="125">
        <v>20</v>
      </c>
      <c r="Q17" s="113">
        <v>-268.8</v>
      </c>
    </row>
    <row r="18" spans="1:17" x14ac:dyDescent="0.4">
      <c r="A18" s="57" t="s">
        <v>12</v>
      </c>
      <c r="B18" s="49">
        <v>21</v>
      </c>
      <c r="C18" s="41">
        <f>IF(B$17=0,0,B18/B$17)</f>
        <v>0.375</v>
      </c>
      <c r="E18" s="65" t="s">
        <v>81</v>
      </c>
      <c r="F18" s="62" t="s">
        <v>34</v>
      </c>
      <c r="G18" s="49">
        <v>1</v>
      </c>
      <c r="H18" s="141">
        <f t="shared" si="0"/>
        <v>1.7857142857142856E-2</v>
      </c>
      <c r="I18" s="100">
        <v>1</v>
      </c>
      <c r="K18" s="40">
        <v>16</v>
      </c>
      <c r="L18" s="105">
        <v>-25.599999999999994</v>
      </c>
      <c r="N18" s="121" t="s">
        <v>137</v>
      </c>
      <c r="O18" s="131">
        <f t="shared" si="3"/>
        <v>-14.79166666666667</v>
      </c>
      <c r="P18" s="125">
        <v>12</v>
      </c>
      <c r="Q18" s="113">
        <v>-177.50000000000003</v>
      </c>
    </row>
    <row r="19" spans="1:17" x14ac:dyDescent="0.4">
      <c r="A19" s="57" t="s">
        <v>11</v>
      </c>
      <c r="B19" s="49">
        <v>35</v>
      </c>
      <c r="C19" s="41">
        <f>IF(B$17=0,0,B19/B$17)</f>
        <v>0.625</v>
      </c>
      <c r="E19" s="65" t="s">
        <v>90</v>
      </c>
      <c r="F19" s="62" t="s">
        <v>43</v>
      </c>
      <c r="G19" s="49">
        <v>1</v>
      </c>
      <c r="H19" s="141">
        <f t="shared" si="0"/>
        <v>1.7857142857142856E-2</v>
      </c>
      <c r="I19" s="100">
        <v>1</v>
      </c>
      <c r="K19" s="40">
        <v>17</v>
      </c>
      <c r="L19" s="105">
        <v>-39.799999999999997</v>
      </c>
      <c r="N19" s="121" t="s">
        <v>250</v>
      </c>
      <c r="O19" s="131">
        <f t="shared" si="3"/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53</v>
      </c>
      <c r="C20" s="41">
        <f>IF(B$3=0,0,B20/B$3)</f>
        <v>0.18996415770609318</v>
      </c>
      <c r="E20" s="65" t="s">
        <v>96</v>
      </c>
      <c r="F20" s="62" t="s">
        <v>49</v>
      </c>
      <c r="G20" s="49">
        <v>1</v>
      </c>
      <c r="H20" s="141">
        <f t="shared" si="0"/>
        <v>1.7857142857142856E-2</v>
      </c>
      <c r="I20" s="100">
        <v>8</v>
      </c>
      <c r="K20" s="40">
        <v>18</v>
      </c>
      <c r="L20" s="105">
        <v>-60.4</v>
      </c>
      <c r="N20" s="121" t="s">
        <v>135</v>
      </c>
      <c r="O20" s="131">
        <f t="shared" si="3"/>
        <v>-24.85</v>
      </c>
      <c r="P20" s="125">
        <v>2</v>
      </c>
      <c r="Q20" s="113">
        <v>-49.7</v>
      </c>
    </row>
    <row r="21" spans="1:17" x14ac:dyDescent="0.4">
      <c r="A21" s="57" t="s">
        <v>5</v>
      </c>
      <c r="B21" s="53">
        <f>IF(B$17=0,0,C21/B$17)</f>
        <v>9373.2142857142862</v>
      </c>
      <c r="C21" s="43">
        <v>524900</v>
      </c>
      <c r="E21" s="65" t="s">
        <v>97</v>
      </c>
      <c r="F21" s="62" t="s">
        <v>50</v>
      </c>
      <c r="G21" s="49">
        <v>1</v>
      </c>
      <c r="H21" s="141">
        <f t="shared" si="0"/>
        <v>1.7857142857142856E-2</v>
      </c>
      <c r="I21" s="100">
        <v>2</v>
      </c>
      <c r="K21" s="40">
        <v>19</v>
      </c>
      <c r="L21" s="105">
        <v>-60</v>
      </c>
      <c r="N21" s="121" t="s">
        <v>136</v>
      </c>
      <c r="O21" s="131">
        <f t="shared" si="3"/>
        <v>-26.95</v>
      </c>
      <c r="P21" s="125">
        <v>6</v>
      </c>
      <c r="Q21" s="113">
        <v>-161.69999999999999</v>
      </c>
    </row>
    <row r="22" spans="1:17" x14ac:dyDescent="0.4">
      <c r="A22" s="59" t="s">
        <v>14</v>
      </c>
      <c r="B22" s="54">
        <f>IF(B$20=0,0,C22/B$20)</f>
        <v>-8745.2830188679254</v>
      </c>
      <c r="C22" s="47">
        <v>-463500</v>
      </c>
      <c r="E22" s="65" t="s">
        <v>77</v>
      </c>
      <c r="F22" s="62" t="s">
        <v>30</v>
      </c>
      <c r="G22" s="49">
        <v>0</v>
      </c>
      <c r="H22" s="141">
        <f t="shared" si="0"/>
        <v>0</v>
      </c>
      <c r="I22" s="100">
        <v>7</v>
      </c>
      <c r="K22" s="40">
        <v>20</v>
      </c>
      <c r="L22" s="105">
        <v>-88.2</v>
      </c>
      <c r="N22" s="121" t="s">
        <v>133</v>
      </c>
      <c r="O22" s="131">
        <f t="shared" si="3"/>
        <v>-29.463999999999995</v>
      </c>
      <c r="P22" s="125">
        <v>25</v>
      </c>
      <c r="Q22" s="113">
        <v>-736.59999999999991</v>
      </c>
    </row>
    <row r="23" spans="1:17" x14ac:dyDescent="0.4">
      <c r="A23" s="96" t="s">
        <v>158</v>
      </c>
      <c r="B23" s="155">
        <v>5</v>
      </c>
      <c r="C23" s="156"/>
      <c r="E23" s="65" t="s">
        <v>78</v>
      </c>
      <c r="F23" s="62" t="s">
        <v>31</v>
      </c>
      <c r="G23" s="49">
        <v>0</v>
      </c>
      <c r="H23" s="141">
        <f t="shared" si="0"/>
        <v>0</v>
      </c>
      <c r="I23" s="100">
        <v>6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53">
        <v>67700</v>
      </c>
      <c r="C24" s="154"/>
      <c r="E24" s="65" t="s">
        <v>79</v>
      </c>
      <c r="F24" s="62" t="s">
        <v>32</v>
      </c>
      <c r="G24" s="49">
        <v>0</v>
      </c>
      <c r="H24" s="141">
        <f t="shared" si="0"/>
        <v>0</v>
      </c>
      <c r="I24" s="100">
        <v>7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3.5842293906810036E-3</v>
      </c>
      <c r="E25" s="65" t="s">
        <v>80</v>
      </c>
      <c r="F25" s="62" t="s">
        <v>33</v>
      </c>
      <c r="G25" s="49">
        <v>0</v>
      </c>
      <c r="H25" s="141">
        <f t="shared" si="0"/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45">
        <v>279</v>
      </c>
      <c r="C26" s="146"/>
      <c r="E26" s="65" t="s">
        <v>84</v>
      </c>
      <c r="F26" s="62" t="s">
        <v>37</v>
      </c>
      <c r="G26" s="49">
        <v>0</v>
      </c>
      <c r="H26" s="141">
        <f t="shared" si="0"/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59">
        <v>56</v>
      </c>
      <c r="C27" s="160"/>
      <c r="E27" s="65" t="s">
        <v>85</v>
      </c>
      <c r="F27" s="62" t="s">
        <v>38</v>
      </c>
      <c r="G27" s="49">
        <v>0</v>
      </c>
      <c r="H27" s="141">
        <f t="shared" si="0"/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41">
        <f t="shared" si="0"/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41">
        <f t="shared" si="0"/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 t="shared" si="0"/>
        <v>0</v>
      </c>
      <c r="I30" s="100">
        <v>5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 t="shared" si="0"/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 t="shared" si="0"/>
        <v>0</v>
      </c>
      <c r="I32" s="100">
        <v>4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 t="shared" si="0"/>
        <v>0</v>
      </c>
      <c r="I33" s="100">
        <v>6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 t="shared" ref="H34:H65" si="4">IF(B$27=0,0,G34/B$27)</f>
        <v>0</v>
      </c>
      <c r="I34" s="100">
        <v>1</v>
      </c>
      <c r="K34" s="40">
        <v>32</v>
      </c>
      <c r="L34" s="105">
        <v>-360.79999999999995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 t="shared" si="4"/>
        <v>0</v>
      </c>
      <c r="I35" s="100">
        <v>3</v>
      </c>
      <c r="K35" s="40">
        <v>33</v>
      </c>
      <c r="L35" s="105">
        <v>-386.69999999999993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 t="shared" si="4"/>
        <v>0</v>
      </c>
      <c r="I36" s="100">
        <v>1</v>
      </c>
      <c r="K36" s="40">
        <v>34</v>
      </c>
      <c r="L36" s="105">
        <v>-412.99999999999994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 t="shared" si="4"/>
        <v>0</v>
      </c>
      <c r="I37" s="100">
        <v>1</v>
      </c>
      <c r="K37" s="40">
        <v>35</v>
      </c>
      <c r="L37" s="105">
        <v>-448.39999999999992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 t="shared" si="4"/>
        <v>0</v>
      </c>
      <c r="I38" s="100">
        <v>1</v>
      </c>
      <c r="K38" s="40">
        <v>36</v>
      </c>
      <c r="L38" s="105">
        <v>-455.89999999999992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 t="shared" si="4"/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 t="shared" si="4"/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 t="shared" si="4"/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 t="shared" si="4"/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 t="shared" si="4"/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 t="shared" si="4"/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 t="shared" si="4"/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 t="shared" si="4"/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 t="shared" si="4"/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 t="shared" si="4"/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 t="shared" si="4"/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 t="shared" si="4"/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 t="shared" si="4"/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C272-F43A-4146-AAD9-5D9A28E4987C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250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12</v>
      </c>
      <c r="C2" s="146"/>
      <c r="E2" s="64" t="s">
        <v>71</v>
      </c>
      <c r="F2" s="61" t="s">
        <v>25</v>
      </c>
      <c r="G2" s="48">
        <v>19</v>
      </c>
      <c r="H2" s="140">
        <f t="shared" ref="H2:H33" si="0">IF(B$27=0,0,G2/B$27)</f>
        <v>1.1176470588235294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1">IF(P2=0,0,Q2/P2)</f>
        <v>-350</v>
      </c>
      <c r="P2" s="124">
        <v>12</v>
      </c>
      <c r="Q2" s="108">
        <v>-4200</v>
      </c>
    </row>
    <row r="3" spans="1:17" x14ac:dyDescent="0.4">
      <c r="A3" s="57" t="s">
        <v>8</v>
      </c>
      <c r="B3" s="147">
        <v>88</v>
      </c>
      <c r="C3" s="148"/>
      <c r="E3" s="65" t="s">
        <v>76</v>
      </c>
      <c r="F3" s="62" t="s">
        <v>29</v>
      </c>
      <c r="G3" s="49">
        <v>14</v>
      </c>
      <c r="H3" s="141">
        <f t="shared" si="0"/>
        <v>0.82352941176470584</v>
      </c>
      <c r="I3" s="100">
        <v>1</v>
      </c>
      <c r="K3" s="40">
        <v>1</v>
      </c>
      <c r="L3" s="105">
        <v>4</v>
      </c>
      <c r="N3" s="121" t="s">
        <v>148</v>
      </c>
      <c r="O3" s="128">
        <f t="shared" si="1"/>
        <v>-3308.3333333333335</v>
      </c>
      <c r="P3" s="125">
        <v>12</v>
      </c>
      <c r="Q3" s="109">
        <v>-39700</v>
      </c>
    </row>
    <row r="4" spans="1:17" x14ac:dyDescent="0.4">
      <c r="A4" s="57" t="s">
        <v>6</v>
      </c>
      <c r="B4" s="149">
        <v>-155.1</v>
      </c>
      <c r="C4" s="150"/>
      <c r="E4" s="65" t="s">
        <v>69</v>
      </c>
      <c r="F4" s="62" t="s">
        <v>23</v>
      </c>
      <c r="G4" s="49">
        <v>11</v>
      </c>
      <c r="H4" s="141">
        <f t="shared" si="0"/>
        <v>0.6470588235294118</v>
      </c>
      <c r="I4" s="100">
        <v>10</v>
      </c>
      <c r="K4" s="40">
        <v>2</v>
      </c>
      <c r="L4" s="105">
        <v>3.7</v>
      </c>
      <c r="N4" s="121" t="s">
        <v>149</v>
      </c>
      <c r="O4" s="128">
        <f t="shared" si="1"/>
        <v>-7000</v>
      </c>
      <c r="P4" s="125">
        <v>12</v>
      </c>
      <c r="Q4" s="109">
        <v>-84000</v>
      </c>
    </row>
    <row r="5" spans="1:17" x14ac:dyDescent="0.4">
      <c r="A5" s="57" t="s">
        <v>7</v>
      </c>
      <c r="B5" s="151">
        <f>IF(B$2=0,0,B$4/B$2)</f>
        <v>-12.924999999999999</v>
      </c>
      <c r="C5" s="152"/>
      <c r="E5" s="65" t="s">
        <v>67</v>
      </c>
      <c r="F5" s="62" t="s">
        <v>21</v>
      </c>
      <c r="G5" s="49">
        <v>5</v>
      </c>
      <c r="H5" s="141">
        <f t="shared" si="0"/>
        <v>0.29411764705882354</v>
      </c>
      <c r="I5" s="100">
        <v>13</v>
      </c>
      <c r="K5" s="40">
        <v>3</v>
      </c>
      <c r="L5" s="105">
        <v>27.8</v>
      </c>
      <c r="N5" s="121" t="s">
        <v>150</v>
      </c>
      <c r="O5" s="128">
        <f t="shared" si="1"/>
        <v>-244.44444444444446</v>
      </c>
      <c r="P5" s="125">
        <v>9</v>
      </c>
      <c r="Q5" s="109">
        <v>-2200</v>
      </c>
    </row>
    <row r="6" spans="1:17" x14ac:dyDescent="0.4">
      <c r="A6" s="57" t="s">
        <v>1</v>
      </c>
      <c r="B6" s="157">
        <f>IF(B$2=0,0,(B$7*1+B$8*2+B$9*3)/B$2)</f>
        <v>2.4166666666666665</v>
      </c>
      <c r="C6" s="158"/>
      <c r="E6" s="65" t="s">
        <v>70</v>
      </c>
      <c r="F6" s="62" t="s">
        <v>24</v>
      </c>
      <c r="G6" s="49">
        <v>3</v>
      </c>
      <c r="H6" s="141">
        <f t="shared" si="0"/>
        <v>0.17647058823529413</v>
      </c>
      <c r="I6" s="100">
        <v>11</v>
      </c>
      <c r="K6" s="40">
        <v>4</v>
      </c>
      <c r="L6" s="105">
        <v>52.3</v>
      </c>
      <c r="N6" s="121" t="s">
        <v>151</v>
      </c>
      <c r="O6" s="128">
        <f t="shared" si="1"/>
        <v>-2737.5</v>
      </c>
      <c r="P6" s="125">
        <v>8</v>
      </c>
      <c r="Q6" s="109">
        <v>-21900</v>
      </c>
    </row>
    <row r="7" spans="1:17" x14ac:dyDescent="0.4">
      <c r="A7" s="57" t="s">
        <v>2</v>
      </c>
      <c r="B7" s="49">
        <v>2</v>
      </c>
      <c r="C7" s="41">
        <f>IF(B$2=0,0,B7/B$2)</f>
        <v>0.16666666666666666</v>
      </c>
      <c r="E7" s="65" t="s">
        <v>72</v>
      </c>
      <c r="F7" s="62" t="s">
        <v>12</v>
      </c>
      <c r="G7" s="49">
        <v>3</v>
      </c>
      <c r="H7" s="141">
        <f t="shared" si="0"/>
        <v>0.17647058823529413</v>
      </c>
      <c r="I7" s="100">
        <v>13</v>
      </c>
      <c r="K7" s="40">
        <v>5</v>
      </c>
      <c r="L7" s="105">
        <v>15</v>
      </c>
      <c r="N7" s="122" t="s">
        <v>152</v>
      </c>
      <c r="O7" s="129">
        <f t="shared" si="1"/>
        <v>-516.66666666666663</v>
      </c>
      <c r="P7" s="126">
        <v>6</v>
      </c>
      <c r="Q7" s="110">
        <v>-3100</v>
      </c>
    </row>
    <row r="8" spans="1:17" x14ac:dyDescent="0.4">
      <c r="A8" s="57" t="s">
        <v>3</v>
      </c>
      <c r="B8" s="49">
        <v>3</v>
      </c>
      <c r="C8" s="41">
        <f>IF(B$2=0,0,B8/B$2)</f>
        <v>0.25</v>
      </c>
      <c r="E8" s="65" t="s">
        <v>74</v>
      </c>
      <c r="F8" s="62" t="s">
        <v>27</v>
      </c>
      <c r="G8" s="49">
        <v>3</v>
      </c>
      <c r="H8" s="141">
        <f t="shared" si="0"/>
        <v>0.17647058823529413</v>
      </c>
      <c r="I8" s="100">
        <v>2</v>
      </c>
      <c r="K8" s="40">
        <v>6</v>
      </c>
      <c r="L8" s="105">
        <v>-20.5</v>
      </c>
      <c r="N8" s="45"/>
      <c r="O8" s="133"/>
      <c r="P8" s="117"/>
      <c r="Q8" s="115"/>
    </row>
    <row r="9" spans="1:17" x14ac:dyDescent="0.4">
      <c r="A9" s="58" t="s">
        <v>4</v>
      </c>
      <c r="B9" s="50">
        <v>7</v>
      </c>
      <c r="C9" s="42">
        <f t="shared" ref="C9" si="2">IF(B$2=0,0,B9/B$2)</f>
        <v>0.58333333333333337</v>
      </c>
      <c r="E9" s="65" t="s">
        <v>94</v>
      </c>
      <c r="F9" s="62" t="s">
        <v>47</v>
      </c>
      <c r="G9" s="49">
        <v>3</v>
      </c>
      <c r="H9" s="141">
        <f t="shared" si="0"/>
        <v>0.17647058823529413</v>
      </c>
      <c r="I9" s="100">
        <v>3</v>
      </c>
      <c r="K9" s="40">
        <v>7</v>
      </c>
      <c r="L9" s="105">
        <v>-31.8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0.33333333333333331</v>
      </c>
      <c r="E10" s="65" t="s">
        <v>88</v>
      </c>
      <c r="F10" s="62" t="s">
        <v>41</v>
      </c>
      <c r="G10" s="49">
        <v>2</v>
      </c>
      <c r="H10" s="141">
        <f t="shared" si="0"/>
        <v>0.11764705882352941</v>
      </c>
      <c r="I10" s="100">
        <v>3</v>
      </c>
      <c r="K10" s="40">
        <v>8</v>
      </c>
      <c r="L10" s="105">
        <v>-31.1</v>
      </c>
      <c r="N10" s="120" t="s">
        <v>253</v>
      </c>
      <c r="O10" s="130">
        <f>IF(P10=0,0,Q10/P10)</f>
        <v>-14.266666666666664</v>
      </c>
      <c r="P10" s="124">
        <v>9</v>
      </c>
      <c r="Q10" s="112">
        <v>-128.39999999999998</v>
      </c>
    </row>
    <row r="11" spans="1:17" x14ac:dyDescent="0.4">
      <c r="A11" s="58" t="s">
        <v>155</v>
      </c>
      <c r="B11" s="50">
        <v>1</v>
      </c>
      <c r="C11" s="42">
        <f>IF(B$2=0,0,B11/B$2)</f>
        <v>8.3333333333333329E-2</v>
      </c>
      <c r="E11" s="65" t="s">
        <v>83</v>
      </c>
      <c r="F11" s="62" t="s">
        <v>36</v>
      </c>
      <c r="G11" s="49">
        <v>1</v>
      </c>
      <c r="H11" s="141">
        <f t="shared" si="0"/>
        <v>5.8823529411764705E-2</v>
      </c>
      <c r="I11" s="100">
        <v>2</v>
      </c>
      <c r="K11" s="40">
        <v>9</v>
      </c>
      <c r="L11" s="105">
        <v>-70.599999999999994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8.3333333333333329E-2</v>
      </c>
      <c r="E12" s="65" t="s">
        <v>86</v>
      </c>
      <c r="F12" s="62" t="s">
        <v>39</v>
      </c>
      <c r="G12" s="49">
        <v>1</v>
      </c>
      <c r="H12" s="141">
        <f t="shared" si="0"/>
        <v>5.8823529411764705E-2</v>
      </c>
      <c r="I12" s="100">
        <v>1</v>
      </c>
      <c r="K12" s="40">
        <v>10</v>
      </c>
      <c r="L12" s="105">
        <v>-115.89999999999999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0.13636363636363635</v>
      </c>
      <c r="E13" s="65" t="s">
        <v>91</v>
      </c>
      <c r="F13" s="62" t="s">
        <v>44</v>
      </c>
      <c r="G13" s="49">
        <v>1</v>
      </c>
      <c r="H13" s="141">
        <f t="shared" si="0"/>
        <v>5.8823529411764705E-2</v>
      </c>
      <c r="I13" s="100">
        <v>9</v>
      </c>
      <c r="K13" s="40">
        <v>11</v>
      </c>
      <c r="L13" s="105">
        <v>-143.6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24</v>
      </c>
      <c r="C14" s="41">
        <f>IF(B$26=0,0,B14/B$26)</f>
        <v>0.27272727272727271</v>
      </c>
      <c r="E14" s="65" t="s">
        <v>68</v>
      </c>
      <c r="F14" s="62" t="s">
        <v>22</v>
      </c>
      <c r="G14" s="49">
        <v>0</v>
      </c>
      <c r="H14" s="141">
        <f t="shared" si="0"/>
        <v>0</v>
      </c>
      <c r="I14" s="100">
        <v>12</v>
      </c>
      <c r="K14" s="40">
        <v>12</v>
      </c>
      <c r="L14" s="105">
        <v>-155.1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41">
        <f t="shared" si="0"/>
        <v>0</v>
      </c>
      <c r="I15" s="100">
        <v>13</v>
      </c>
      <c r="N15" s="120" t="s">
        <v>157</v>
      </c>
      <c r="O15" s="130">
        <f t="shared" ref="O15:O21" si="3"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8</v>
      </c>
      <c r="C16" s="39">
        <f>IF(B$14=0,0,B16/B$14)</f>
        <v>0.33333333333333331</v>
      </c>
      <c r="E16" s="65" t="s">
        <v>75</v>
      </c>
      <c r="F16" s="62" t="s">
        <v>28</v>
      </c>
      <c r="G16" s="49">
        <v>0</v>
      </c>
      <c r="H16" s="141">
        <f t="shared" si="0"/>
        <v>0</v>
      </c>
      <c r="I16" s="100">
        <v>12</v>
      </c>
      <c r="N16" s="121" t="s">
        <v>138</v>
      </c>
      <c r="O16" s="131">
        <f t="shared" si="3"/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17</v>
      </c>
      <c r="C17" s="39">
        <f>IF(B$3=0,0,B17/B$3)</f>
        <v>0.19318181818181818</v>
      </c>
      <c r="E17" s="65" t="s">
        <v>77</v>
      </c>
      <c r="F17" s="62" t="s">
        <v>30</v>
      </c>
      <c r="G17" s="49">
        <v>0</v>
      </c>
      <c r="H17" s="141">
        <f t="shared" si="0"/>
        <v>0</v>
      </c>
      <c r="I17" s="100">
        <v>7</v>
      </c>
      <c r="N17" s="121" t="s">
        <v>135</v>
      </c>
      <c r="O17" s="131">
        <f t="shared" si="3"/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0.41176470588235292</v>
      </c>
      <c r="E18" s="65" t="s">
        <v>78</v>
      </c>
      <c r="F18" s="62" t="s">
        <v>31</v>
      </c>
      <c r="G18" s="49">
        <v>0</v>
      </c>
      <c r="H18" s="141">
        <f t="shared" si="0"/>
        <v>0</v>
      </c>
      <c r="I18" s="100">
        <v>6</v>
      </c>
      <c r="N18" s="121" t="s">
        <v>133</v>
      </c>
      <c r="O18" s="131">
        <f t="shared" si="3"/>
        <v>-26.587499999999995</v>
      </c>
      <c r="P18" s="125">
        <v>8</v>
      </c>
      <c r="Q18" s="113">
        <v>-212.69999999999996</v>
      </c>
    </row>
    <row r="19" spans="1:17" x14ac:dyDescent="0.4">
      <c r="A19" s="57" t="s">
        <v>11</v>
      </c>
      <c r="B19" s="49">
        <v>10</v>
      </c>
      <c r="C19" s="41">
        <f>IF(B$17=0,0,B19/B$17)</f>
        <v>0.58823529411764708</v>
      </c>
      <c r="E19" s="65" t="s">
        <v>79</v>
      </c>
      <c r="F19" s="62" t="s">
        <v>32</v>
      </c>
      <c r="G19" s="49">
        <v>0</v>
      </c>
      <c r="H19" s="141">
        <f t="shared" si="0"/>
        <v>0</v>
      </c>
      <c r="I19" s="100">
        <v>7</v>
      </c>
      <c r="N19" s="121" t="s">
        <v>139</v>
      </c>
      <c r="O19" s="131">
        <f t="shared" si="3"/>
        <v>-28.18</v>
      </c>
      <c r="P19" s="125">
        <v>5</v>
      </c>
      <c r="Q19" s="113">
        <v>-140.9</v>
      </c>
    </row>
    <row r="20" spans="1:17" x14ac:dyDescent="0.4">
      <c r="A20" s="57" t="s">
        <v>13</v>
      </c>
      <c r="B20" s="49">
        <v>22</v>
      </c>
      <c r="C20" s="41">
        <f>IF(B$3=0,0,B20/B$3)</f>
        <v>0.25</v>
      </c>
      <c r="E20" s="65" t="s">
        <v>80</v>
      </c>
      <c r="F20" s="62" t="s">
        <v>33</v>
      </c>
      <c r="G20" s="49">
        <v>0</v>
      </c>
      <c r="H20" s="141">
        <f t="shared" si="0"/>
        <v>0</v>
      </c>
      <c r="I20" s="100">
        <v>1</v>
      </c>
      <c r="N20" s="121" t="s">
        <v>137</v>
      </c>
      <c r="O20" s="131">
        <f t="shared" si="3"/>
        <v>-33.4</v>
      </c>
      <c r="P20" s="125">
        <v>1</v>
      </c>
      <c r="Q20" s="113">
        <v>-33.4</v>
      </c>
    </row>
    <row r="21" spans="1:17" x14ac:dyDescent="0.4">
      <c r="A21" s="57" t="s">
        <v>5</v>
      </c>
      <c r="B21" s="53">
        <f>IF(B$17=0,0,C21/B$17)</f>
        <v>8670.5882352941171</v>
      </c>
      <c r="C21" s="43">
        <v>147400</v>
      </c>
      <c r="E21" s="65" t="s">
        <v>81</v>
      </c>
      <c r="F21" s="62" t="s">
        <v>34</v>
      </c>
      <c r="G21" s="49">
        <v>0</v>
      </c>
      <c r="H21" s="141">
        <f t="shared" si="0"/>
        <v>0</v>
      </c>
      <c r="I21" s="100">
        <v>7</v>
      </c>
      <c r="N21" s="121" t="s">
        <v>134</v>
      </c>
      <c r="O21" s="131">
        <f t="shared" si="3"/>
        <v>-53.3</v>
      </c>
      <c r="P21" s="125">
        <v>2</v>
      </c>
      <c r="Q21" s="113">
        <v>-106.6</v>
      </c>
    </row>
    <row r="22" spans="1:17" x14ac:dyDescent="0.4">
      <c r="A22" s="59" t="s">
        <v>14</v>
      </c>
      <c r="B22" s="54">
        <f>IF(B$20=0,0,C22/B$20)</f>
        <v>-9190.9090909090901</v>
      </c>
      <c r="C22" s="47">
        <v>-202200</v>
      </c>
      <c r="E22" s="65" t="s">
        <v>82</v>
      </c>
      <c r="F22" s="62" t="s">
        <v>35</v>
      </c>
      <c r="G22" s="49">
        <v>0</v>
      </c>
      <c r="H22" s="141">
        <f t="shared" si="0"/>
        <v>0</v>
      </c>
      <c r="I22" s="100">
        <v>10</v>
      </c>
    </row>
    <row r="23" spans="1:17" x14ac:dyDescent="0.4">
      <c r="A23" s="96" t="s">
        <v>158</v>
      </c>
      <c r="B23" s="155">
        <v>5</v>
      </c>
      <c r="C23" s="156"/>
      <c r="E23" s="65" t="s">
        <v>84</v>
      </c>
      <c r="F23" s="62" t="s">
        <v>37</v>
      </c>
      <c r="G23" s="49">
        <v>0</v>
      </c>
      <c r="H23" s="141">
        <f t="shared" si="0"/>
        <v>0</v>
      </c>
      <c r="I23" s="100">
        <v>1</v>
      </c>
    </row>
    <row r="24" spans="1:17" x14ac:dyDescent="0.4">
      <c r="A24" s="60" t="s">
        <v>199</v>
      </c>
      <c r="B24" s="153">
        <v>59500</v>
      </c>
      <c r="C24" s="154"/>
      <c r="E24" s="65" t="s">
        <v>85</v>
      </c>
      <c r="F24" s="62" t="s">
        <v>38</v>
      </c>
      <c r="G24" s="49">
        <v>0</v>
      </c>
      <c r="H24" s="141">
        <f t="shared" si="0"/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 t="shared" si="0"/>
        <v>0</v>
      </c>
      <c r="I25" s="100">
        <v>1</v>
      </c>
    </row>
    <row r="26" spans="1:17" x14ac:dyDescent="0.4">
      <c r="A26" s="56" t="s">
        <v>126</v>
      </c>
      <c r="B26" s="145">
        <v>88</v>
      </c>
      <c r="C26" s="146"/>
      <c r="E26" s="65" t="s">
        <v>89</v>
      </c>
      <c r="F26" s="62" t="s">
        <v>42</v>
      </c>
      <c r="G26" s="49">
        <v>0</v>
      </c>
      <c r="H26" s="141">
        <f t="shared" si="0"/>
        <v>0</v>
      </c>
      <c r="I26" s="100">
        <v>5</v>
      </c>
    </row>
    <row r="27" spans="1:17" x14ac:dyDescent="0.4">
      <c r="A27" s="59" t="s">
        <v>127</v>
      </c>
      <c r="B27" s="159">
        <v>17</v>
      </c>
      <c r="C27" s="160"/>
      <c r="E27" s="65" t="s">
        <v>90</v>
      </c>
      <c r="F27" s="62" t="s">
        <v>43</v>
      </c>
      <c r="G27" s="49">
        <v>0</v>
      </c>
      <c r="H27" s="141">
        <f t="shared" si="0"/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 t="shared" si="0"/>
        <v>0</v>
      </c>
      <c r="I28" s="100">
        <v>5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 t="shared" si="0"/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 t="shared" si="0"/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 t="shared" si="0"/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 t="shared" si="0"/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 t="shared" si="0"/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 t="shared" ref="H34:H65" si="4"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 t="shared" si="4"/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 t="shared" si="4"/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 t="shared" si="4"/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 t="shared" si="4"/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 t="shared" si="4"/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 t="shared" si="4"/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 t="shared" si="4"/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 t="shared" si="4"/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 t="shared" si="4"/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 t="shared" si="4"/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 t="shared" si="4"/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 t="shared" si="4"/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 t="shared" si="4"/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 t="shared" si="4"/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 t="shared" si="4"/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 t="shared" si="4"/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 t="shared" si="4"/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A453-562C-481F-8334-3A8DCF43F9C7}">
  <sheetPr codeName="Sheet33"/>
  <dimension ref="A1:Q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  <row r="15" spans="1:17" x14ac:dyDescent="0.4">
      <c r="A15" s="71">
        <v>12</v>
      </c>
      <c r="B15" s="68">
        <v>-155.1</v>
      </c>
      <c r="C15" s="68">
        <v>-12.924999999999999</v>
      </c>
      <c r="D15" s="73">
        <v>2.4166666666666665</v>
      </c>
      <c r="E15" s="69">
        <v>0.16666666666666666</v>
      </c>
      <c r="F15" s="69">
        <v>0.19318181818181818</v>
      </c>
      <c r="G15" s="69">
        <v>0.25</v>
      </c>
      <c r="H15" s="70">
        <v>8670.5882352941171</v>
      </c>
      <c r="I15" s="70">
        <v>-9190.9090909090901</v>
      </c>
      <c r="J15" s="69">
        <v>0.33333333333333331</v>
      </c>
      <c r="K15" s="69">
        <v>8.3333333333333329E-2</v>
      </c>
      <c r="L15" s="69">
        <v>8.3333333333333329E-2</v>
      </c>
      <c r="M15" s="69">
        <v>0.13636363636363635</v>
      </c>
      <c r="N15" s="69">
        <v>0.27272727272727271</v>
      </c>
      <c r="O15" s="69">
        <v>0.41666666666666669</v>
      </c>
      <c r="P15" s="69">
        <v>0.33333333333333331</v>
      </c>
      <c r="Q15" s="6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D1EA9-5990-4278-8E28-D829CA846048}">
  <sheetPr codeName="Sheet30"/>
  <dimension ref="A1:Q3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  <row r="35" spans="1:17" x14ac:dyDescent="0.4">
      <c r="A35" s="71">
        <v>32</v>
      </c>
      <c r="B35" s="68">
        <v>-360.79999999999995</v>
      </c>
      <c r="C35" s="68">
        <v>-11.274999999999999</v>
      </c>
      <c r="D35" s="73">
        <v>2.34375</v>
      </c>
      <c r="E35" s="69">
        <v>0.21875</v>
      </c>
      <c r="F35" s="69">
        <v>0.20491803278688525</v>
      </c>
      <c r="G35" s="69">
        <v>0.19672131147540983</v>
      </c>
      <c r="H35" s="70">
        <v>9544</v>
      </c>
      <c r="I35" s="70">
        <v>-8533.3333333333339</v>
      </c>
      <c r="J35" s="69">
        <v>0.28125</v>
      </c>
      <c r="K35" s="69">
        <v>9.375E-2</v>
      </c>
      <c r="L35" s="69">
        <v>0</v>
      </c>
      <c r="M35" s="69">
        <v>0.13934426229508196</v>
      </c>
      <c r="N35" s="69">
        <v>0.39344262295081966</v>
      </c>
      <c r="O35" s="69">
        <v>0.44117647058823528</v>
      </c>
      <c r="P35" s="69">
        <v>0.29166666666666669</v>
      </c>
      <c r="Q35" s="69">
        <v>0.32</v>
      </c>
    </row>
    <row r="36" spans="1:17" x14ac:dyDescent="0.4">
      <c r="A36" s="71">
        <v>33</v>
      </c>
      <c r="B36" s="68">
        <v>-386.69999999999993</v>
      </c>
      <c r="C36" s="68">
        <v>-11.718181818181817</v>
      </c>
      <c r="D36" s="73">
        <v>2.3636363636363638</v>
      </c>
      <c r="E36" s="69">
        <v>0.21212121212121213</v>
      </c>
      <c r="F36" s="69">
        <v>0.20078740157480315</v>
      </c>
      <c r="G36" s="69">
        <v>0.19685039370078741</v>
      </c>
      <c r="H36" s="70">
        <v>9827.4509803921574</v>
      </c>
      <c r="I36" s="70">
        <v>-8630</v>
      </c>
      <c r="J36" s="69">
        <v>0.27272727272727271</v>
      </c>
      <c r="K36" s="69">
        <v>9.0909090909090912E-2</v>
      </c>
      <c r="L36" s="69">
        <v>0</v>
      </c>
      <c r="M36" s="69">
        <v>0.13779527559055119</v>
      </c>
      <c r="N36" s="69">
        <v>0.37795275590551181</v>
      </c>
      <c r="O36" s="69">
        <v>0.45714285714285713</v>
      </c>
      <c r="P36" s="69">
        <v>0.29166666666666669</v>
      </c>
      <c r="Q36" s="69">
        <v>0.33333333333333331</v>
      </c>
    </row>
    <row r="37" spans="1:17" x14ac:dyDescent="0.4">
      <c r="A37" s="71">
        <v>34</v>
      </c>
      <c r="B37" s="68">
        <v>-412.99999999999994</v>
      </c>
      <c r="C37" s="68">
        <v>-12.147058823529409</v>
      </c>
      <c r="D37" s="73">
        <v>2.3823529411764706</v>
      </c>
      <c r="E37" s="69">
        <v>0.20588235294117646</v>
      </c>
      <c r="F37" s="69">
        <v>0.2</v>
      </c>
      <c r="G37" s="69">
        <v>0.19245283018867926</v>
      </c>
      <c r="H37" s="70">
        <v>9637.7358490566039</v>
      </c>
      <c r="I37" s="70">
        <v>-8617.6470588235297</v>
      </c>
      <c r="J37" s="69">
        <v>0.26470588235294118</v>
      </c>
      <c r="K37" s="69">
        <v>8.8235294117647065E-2</v>
      </c>
      <c r="L37" s="69">
        <v>0</v>
      </c>
      <c r="M37" s="69">
        <v>0.13962264150943396</v>
      </c>
      <c r="N37" s="69">
        <v>0.37358490566037733</v>
      </c>
      <c r="O37" s="69">
        <v>0.45945945945945948</v>
      </c>
      <c r="P37" s="69">
        <v>0.28282828282828282</v>
      </c>
      <c r="Q37" s="69">
        <v>0.33962264150943394</v>
      </c>
    </row>
    <row r="38" spans="1:17" x14ac:dyDescent="0.4">
      <c r="A38" s="71">
        <v>35</v>
      </c>
      <c r="B38" s="68">
        <v>-448.39999999999992</v>
      </c>
      <c r="C38" s="68">
        <v>-12.81142857142857</v>
      </c>
      <c r="D38" s="73">
        <v>2.4</v>
      </c>
      <c r="E38" s="69">
        <v>0.2</v>
      </c>
      <c r="F38" s="69">
        <v>0.19926199261992619</v>
      </c>
      <c r="G38" s="69">
        <v>0.1918819188191882</v>
      </c>
      <c r="H38" s="70">
        <v>9498.1481481481478</v>
      </c>
      <c r="I38" s="70">
        <v>-8605.7692307692305</v>
      </c>
      <c r="J38" s="69">
        <v>0.2857142857142857</v>
      </c>
      <c r="K38" s="69">
        <v>8.5714285714285715E-2</v>
      </c>
      <c r="L38" s="69">
        <v>0</v>
      </c>
      <c r="M38" s="69">
        <v>0.13653136531365315</v>
      </c>
      <c r="N38" s="69">
        <v>0.36531365313653136</v>
      </c>
      <c r="O38" s="69">
        <v>0.45945945945945948</v>
      </c>
      <c r="P38" s="69">
        <v>0.28282828282828282</v>
      </c>
      <c r="Q38" s="69">
        <v>0.35185185185185186</v>
      </c>
    </row>
    <row r="39" spans="1:17" x14ac:dyDescent="0.4">
      <c r="A39" s="71">
        <v>36</v>
      </c>
      <c r="B39" s="68">
        <v>-455.89999999999992</v>
      </c>
      <c r="C39" s="68">
        <v>-12.663888888888886</v>
      </c>
      <c r="D39" s="73">
        <v>2.3888888888888888</v>
      </c>
      <c r="E39" s="69">
        <v>0.19444444444444445</v>
      </c>
      <c r="F39" s="69">
        <v>0.20071684587813621</v>
      </c>
      <c r="G39" s="69">
        <v>0.18996415770609318</v>
      </c>
      <c r="H39" s="70">
        <v>9373.2142857142862</v>
      </c>
      <c r="I39" s="70">
        <v>-8745.2830188679254</v>
      </c>
      <c r="J39" s="69">
        <v>0.27777777777777779</v>
      </c>
      <c r="K39" s="69">
        <v>8.3333333333333329E-2</v>
      </c>
      <c r="L39" s="69">
        <v>0</v>
      </c>
      <c r="M39" s="69">
        <v>0.13978494623655913</v>
      </c>
      <c r="N39" s="69">
        <v>0.35483870967741937</v>
      </c>
      <c r="O39" s="69">
        <v>0.46153846153846156</v>
      </c>
      <c r="P39" s="69">
        <v>0.28282828282828282</v>
      </c>
      <c r="Q39" s="6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E8A0-8678-4244-88AD-B1A88D5E9A52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9AD-2E89-4032-A1C5-CCB23C6E3858}">
  <sheetPr codeName="Sheet26"/>
  <dimension ref="A1:Q1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  <row r="121" spans="1:17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0.10169491525423729</v>
      </c>
      <c r="M121" s="69">
        <v>0.30136986301369861</v>
      </c>
      <c r="N121" s="69">
        <v>0.19634703196347031</v>
      </c>
      <c r="O121" s="69">
        <v>0.59090909090909094</v>
      </c>
      <c r="P121" s="69">
        <v>0.38372093023255816</v>
      </c>
      <c r="Q121" s="69">
        <v>0.44106463878326996</v>
      </c>
    </row>
    <row r="122" spans="1:17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0.10084033613445378</v>
      </c>
      <c r="M122" s="69">
        <v>0.30203619909502261</v>
      </c>
      <c r="N122" s="69">
        <v>0.19570135746606335</v>
      </c>
      <c r="O122" s="69">
        <v>0.58801498127340823</v>
      </c>
      <c r="P122" s="69">
        <v>0.38728323699421963</v>
      </c>
      <c r="Q122" s="69">
        <v>0.44150943396226416</v>
      </c>
    </row>
    <row r="123" spans="1:17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0.1</v>
      </c>
      <c r="M123" s="69">
        <v>0.29944134078212292</v>
      </c>
      <c r="N123" s="69">
        <v>0.19441340782122904</v>
      </c>
      <c r="O123" s="69">
        <v>0.58582089552238803</v>
      </c>
      <c r="P123" s="69">
        <v>0.39080459770114945</v>
      </c>
      <c r="Q123" s="69">
        <v>0.43984962406015038</v>
      </c>
    </row>
    <row r="124" spans="1:17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9.9173553719008267E-2</v>
      </c>
      <c r="M124" s="69">
        <v>0.29822616407982261</v>
      </c>
      <c r="N124" s="69">
        <v>0.19401330376940132</v>
      </c>
      <c r="O124" s="69">
        <v>0.58736059479553904</v>
      </c>
      <c r="P124" s="69">
        <v>0.38857142857142857</v>
      </c>
      <c r="Q124" s="69">
        <v>0.43820224719101125</v>
      </c>
    </row>
    <row r="125" spans="1:17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9.8360655737704916E-2</v>
      </c>
      <c r="M125" s="69">
        <v>0.30109890109890108</v>
      </c>
      <c r="N125" s="69">
        <v>0.19230769230769232</v>
      </c>
      <c r="O125" s="69">
        <v>0.58394160583941601</v>
      </c>
      <c r="P125" s="69">
        <v>0.38857142857142857</v>
      </c>
      <c r="Q125" s="69">
        <v>0.43494423791821563</v>
      </c>
    </row>
    <row r="126" spans="1:17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9.7560975609756101E-2</v>
      </c>
      <c r="M126" s="69">
        <v>0.30174291938997821</v>
      </c>
      <c r="N126" s="69">
        <v>0.19063180827886711</v>
      </c>
      <c r="O126" s="69">
        <v>0.58122743682310474</v>
      </c>
      <c r="P126" s="69">
        <v>0.38857142857142857</v>
      </c>
      <c r="Q126" s="69">
        <v>0.43542435424354242</v>
      </c>
    </row>
    <row r="127" spans="1:17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9.6774193548387094E-2</v>
      </c>
      <c r="M127" s="69">
        <v>0.30129589632829373</v>
      </c>
      <c r="N127" s="69">
        <v>0.19006479481641469</v>
      </c>
      <c r="O127" s="69">
        <v>0.58064516129032262</v>
      </c>
      <c r="P127" s="69">
        <v>0.38636363636363635</v>
      </c>
      <c r="Q127" s="69">
        <v>0.4358974358974359</v>
      </c>
    </row>
    <row r="128" spans="1:17" x14ac:dyDescent="0.4">
      <c r="A128" s="71">
        <v>125</v>
      </c>
      <c r="B128" s="68">
        <v>-500.99999999999983</v>
      </c>
      <c r="C128" s="68">
        <v>-4.0079999999999982</v>
      </c>
      <c r="D128" s="73">
        <v>2.1680000000000001</v>
      </c>
      <c r="E128" s="69">
        <v>0.24</v>
      </c>
      <c r="F128" s="69">
        <v>0.28305785123966942</v>
      </c>
      <c r="G128" s="69">
        <v>0.19731404958677687</v>
      </c>
      <c r="H128" s="70">
        <v>10541.605839416059</v>
      </c>
      <c r="I128" s="70">
        <v>-9500.5235602094235</v>
      </c>
      <c r="J128" s="69">
        <v>0.184</v>
      </c>
      <c r="K128" s="69">
        <v>0.13600000000000001</v>
      </c>
      <c r="L128" s="69">
        <v>9.6000000000000002E-2</v>
      </c>
      <c r="M128" s="69">
        <v>0.3007518796992481</v>
      </c>
      <c r="N128" s="69">
        <v>0.19011815252416756</v>
      </c>
      <c r="O128" s="69">
        <v>0.58214285714285718</v>
      </c>
      <c r="P128" s="69">
        <v>0.38418079096045199</v>
      </c>
      <c r="Q128" s="69">
        <v>0.43795620437956206</v>
      </c>
    </row>
    <row r="129" spans="1:17" x14ac:dyDescent="0.4">
      <c r="A129" s="71">
        <v>126</v>
      </c>
      <c r="B129" s="68">
        <v>-456.29999999999984</v>
      </c>
      <c r="C129" s="68">
        <v>-3.6214285714285701</v>
      </c>
      <c r="D129" s="73">
        <v>2.1587301587301586</v>
      </c>
      <c r="E129" s="69">
        <v>0.24603174603174602</v>
      </c>
      <c r="F129" s="69">
        <v>0.28469387755102044</v>
      </c>
      <c r="G129" s="69">
        <v>0.19489795918367347</v>
      </c>
      <c r="H129" s="70">
        <v>10550.537634408602</v>
      </c>
      <c r="I129" s="70">
        <v>-9500.5235602094235</v>
      </c>
      <c r="J129" s="69">
        <v>0.18253968253968253</v>
      </c>
      <c r="K129" s="69">
        <v>0.14285714285714285</v>
      </c>
      <c r="L129" s="69">
        <v>9.5238095238095233E-2</v>
      </c>
      <c r="M129" s="69">
        <v>0.3022269353128314</v>
      </c>
      <c r="N129" s="69">
        <v>0.18875927889713678</v>
      </c>
      <c r="O129" s="69">
        <v>0.5859649122807018</v>
      </c>
      <c r="P129" s="69">
        <v>0.38764044943820225</v>
      </c>
      <c r="Q129" s="69">
        <v>0.44086021505376344</v>
      </c>
    </row>
    <row r="130" spans="1:17" x14ac:dyDescent="0.4">
      <c r="A130" s="71">
        <v>127</v>
      </c>
      <c r="B130" s="68">
        <v>-412.09999999999985</v>
      </c>
      <c r="C130" s="68">
        <v>-3.2448818897637786</v>
      </c>
      <c r="D130" s="73">
        <v>2.1496062992125986</v>
      </c>
      <c r="E130" s="69">
        <v>0.25196850393700787</v>
      </c>
      <c r="F130" s="69">
        <v>0.28600405679513186</v>
      </c>
      <c r="G130" s="69">
        <v>0.19371196754563894</v>
      </c>
      <c r="H130" s="70">
        <v>10608.510638297872</v>
      </c>
      <c r="I130" s="70">
        <v>-9500.5235602094235</v>
      </c>
      <c r="J130" s="69">
        <v>0.18110236220472442</v>
      </c>
      <c r="K130" s="69">
        <v>0.14960629921259844</v>
      </c>
      <c r="L130" s="69">
        <v>9.4488188976377951E-2</v>
      </c>
      <c r="M130" s="69">
        <v>0.30242360379346683</v>
      </c>
      <c r="N130" s="69">
        <v>0.18861959957850369</v>
      </c>
      <c r="O130" s="69">
        <v>0.58885017421602792</v>
      </c>
      <c r="P130" s="69">
        <v>0.39106145251396646</v>
      </c>
      <c r="Q130" s="69">
        <v>0.4432624113475177</v>
      </c>
    </row>
    <row r="131" spans="1:17" x14ac:dyDescent="0.4">
      <c r="A131" s="71">
        <v>128</v>
      </c>
      <c r="B131" s="68">
        <v>-424.09999999999985</v>
      </c>
      <c r="C131" s="68">
        <v>-3.3132812499999988</v>
      </c>
      <c r="D131" s="73">
        <v>2.15625</v>
      </c>
      <c r="E131" s="69">
        <v>0.25</v>
      </c>
      <c r="F131" s="69">
        <v>0.28470824949698187</v>
      </c>
      <c r="G131" s="69">
        <v>0.19315895372233399</v>
      </c>
      <c r="H131" s="70">
        <v>10627.561837455831</v>
      </c>
      <c r="I131" s="70">
        <v>-9513.5416666666661</v>
      </c>
      <c r="J131" s="69">
        <v>0.1796875</v>
      </c>
      <c r="K131" s="69">
        <v>0.1484375</v>
      </c>
      <c r="L131" s="69">
        <v>9.375E-2</v>
      </c>
      <c r="M131" s="69">
        <v>0.30407523510971785</v>
      </c>
      <c r="N131" s="69">
        <v>0.18704284221525602</v>
      </c>
      <c r="O131" s="69">
        <v>0.58419243986254299</v>
      </c>
      <c r="P131" s="69">
        <v>0.39106145251396646</v>
      </c>
      <c r="Q131" s="69">
        <v>0.44169611307420492</v>
      </c>
    </row>
    <row r="132" spans="1:17" x14ac:dyDescent="0.4">
      <c r="A132" s="71">
        <v>129</v>
      </c>
      <c r="B132" s="68">
        <v>-448.69999999999987</v>
      </c>
      <c r="C132" s="68">
        <v>-3.4782945736434101</v>
      </c>
      <c r="D132" s="73">
        <v>2.1627906976744184</v>
      </c>
      <c r="E132" s="69">
        <v>0.24806201550387597</v>
      </c>
      <c r="F132" s="69">
        <v>0.28414755732801594</v>
      </c>
      <c r="G132" s="69">
        <v>0.19541375872382852</v>
      </c>
      <c r="H132" s="70">
        <v>10623.157894736842</v>
      </c>
      <c r="I132" s="70">
        <v>-9480.6122448979586</v>
      </c>
      <c r="J132" s="69">
        <v>0.17829457364341086</v>
      </c>
      <c r="K132" s="69">
        <v>0.14728682170542637</v>
      </c>
      <c r="L132" s="69">
        <v>9.3023255813953487E-2</v>
      </c>
      <c r="M132" s="69">
        <v>0.30331262939958592</v>
      </c>
      <c r="N132" s="69">
        <v>0.18530020703933747</v>
      </c>
      <c r="O132" s="69">
        <v>0.58361774744027306</v>
      </c>
      <c r="P132" s="69">
        <v>0.39106145251396646</v>
      </c>
      <c r="Q132" s="69">
        <v>0.44210526315789472</v>
      </c>
    </row>
    <row r="133" spans="1:17" x14ac:dyDescent="0.4">
      <c r="A133" s="71">
        <v>130</v>
      </c>
      <c r="B133" s="68">
        <v>-468.69999999999987</v>
      </c>
      <c r="C133" s="68">
        <v>-3.6053846153846143</v>
      </c>
      <c r="D133" s="73">
        <v>2.1615384615384614</v>
      </c>
      <c r="E133" s="69">
        <v>0.24615384615384617</v>
      </c>
      <c r="F133" s="69">
        <v>0.28273809523809523</v>
      </c>
      <c r="G133" s="69">
        <v>0.19543650793650794</v>
      </c>
      <c r="H133" s="70">
        <v>10623.157894736842</v>
      </c>
      <c r="I133" s="70">
        <v>-9493.4010152284263</v>
      </c>
      <c r="J133" s="69">
        <v>0.17692307692307693</v>
      </c>
      <c r="K133" s="69">
        <v>0.14615384615384616</v>
      </c>
      <c r="L133" s="69">
        <v>9.2307692307692313E-2</v>
      </c>
      <c r="M133" s="69">
        <v>0.30175077239958803</v>
      </c>
      <c r="N133" s="69">
        <v>0.18537590113285274</v>
      </c>
      <c r="O133" s="69">
        <v>0.58361774744027306</v>
      </c>
      <c r="P133" s="69">
        <v>0.3888888888888889</v>
      </c>
      <c r="Q133" s="69">
        <v>0.44210526315789472</v>
      </c>
    </row>
    <row r="134" spans="1:17" x14ac:dyDescent="0.4">
      <c r="A134" s="71">
        <v>131</v>
      </c>
      <c r="B134" s="68">
        <v>-461.2999999999999</v>
      </c>
      <c r="C134" s="68">
        <v>-3.5213740458015259</v>
      </c>
      <c r="D134" s="73">
        <v>2.1603053435114505</v>
      </c>
      <c r="E134" s="69">
        <v>0.24427480916030533</v>
      </c>
      <c r="F134" s="69">
        <v>0.28346456692913385</v>
      </c>
      <c r="G134" s="69">
        <v>0.19389763779527558</v>
      </c>
      <c r="H134" s="70">
        <v>10578.125</v>
      </c>
      <c r="I134" s="70">
        <v>-9493.4010152284263</v>
      </c>
      <c r="J134" s="69">
        <v>0.17557251908396945</v>
      </c>
      <c r="K134" s="69">
        <v>0.14503816793893129</v>
      </c>
      <c r="L134" s="69">
        <v>9.1603053435114504E-2</v>
      </c>
      <c r="M134" s="69">
        <v>0.30234933605720121</v>
      </c>
      <c r="N134" s="69">
        <v>0.18488253319713993</v>
      </c>
      <c r="O134" s="69">
        <v>0.58445945945945943</v>
      </c>
      <c r="P134" s="69">
        <v>0.39226519337016574</v>
      </c>
      <c r="Q134" s="6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790A-778B-4AD4-BF03-AD636A18A28A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  <row r="36" spans="1:17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9.0909090909090912E-2</v>
      </c>
      <c r="M36" s="69">
        <v>0.30851063829787234</v>
      </c>
      <c r="N36" s="69">
        <v>0.21276595744680851</v>
      </c>
      <c r="O36" s="69">
        <v>0.5</v>
      </c>
      <c r="P36" s="69">
        <v>0.22500000000000001</v>
      </c>
      <c r="Q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8E167-E506-4432-889E-36A539C7714E}">
  <sheetPr codeName="Sheet22"/>
  <dimension ref="A1:Q12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  <row r="115" spans="1:17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9.8214285714285712E-2</v>
      </c>
      <c r="M115" s="69">
        <v>0.30651872399445212</v>
      </c>
      <c r="N115" s="69">
        <v>0.21359223300970873</v>
      </c>
      <c r="O115" s="69">
        <v>0.56108597285067874</v>
      </c>
      <c r="P115" s="69">
        <v>0.38311688311688313</v>
      </c>
      <c r="Q115" s="69">
        <v>0.44313725490196076</v>
      </c>
    </row>
    <row r="116" spans="1:17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9.7345132743362831E-2</v>
      </c>
      <c r="M116" s="69">
        <v>0.30452674897119342</v>
      </c>
      <c r="N116" s="69">
        <v>0.21536351165980797</v>
      </c>
      <c r="O116" s="69">
        <v>0.56306306306306309</v>
      </c>
      <c r="P116" s="69">
        <v>0.38216560509554143</v>
      </c>
      <c r="Q116" s="69">
        <v>0.44401544401544402</v>
      </c>
    </row>
    <row r="117" spans="1:17" x14ac:dyDescent="0.4">
      <c r="A117" s="71">
        <v>114</v>
      </c>
      <c r="B117" s="68">
        <v>271.99999999999983</v>
      </c>
      <c r="C117" s="68">
        <v>2.3859649122807003</v>
      </c>
      <c r="D117" s="73">
        <v>1.9122807017543859</v>
      </c>
      <c r="E117" s="69">
        <v>0.38596491228070173</v>
      </c>
      <c r="F117" s="69">
        <v>0.30545876887340301</v>
      </c>
      <c r="G117" s="69">
        <v>0.16144018583042974</v>
      </c>
      <c r="H117" s="70">
        <v>10393.155893536121</v>
      </c>
      <c r="I117" s="70">
        <v>-9257.5539568345321</v>
      </c>
      <c r="J117" s="69">
        <v>0.11403508771929824</v>
      </c>
      <c r="K117" s="69">
        <v>0.16666666666666666</v>
      </c>
      <c r="L117" s="69">
        <v>9.6491228070175433E-2</v>
      </c>
      <c r="M117" s="69">
        <v>0.30476190476190479</v>
      </c>
      <c r="N117" s="69">
        <v>0.21632653061224491</v>
      </c>
      <c r="O117" s="69">
        <v>0.5669642857142857</v>
      </c>
      <c r="P117" s="69">
        <v>0.38993710691823902</v>
      </c>
      <c r="Q117" s="69">
        <v>0.44486692015209123</v>
      </c>
    </row>
    <row r="118" spans="1:17" x14ac:dyDescent="0.4">
      <c r="A118" s="71">
        <v>115</v>
      </c>
      <c r="B118" s="68">
        <v>262.69999999999982</v>
      </c>
      <c r="C118" s="68">
        <v>2.2843478260869547</v>
      </c>
      <c r="D118" s="73">
        <v>1.9130434782608696</v>
      </c>
      <c r="E118" s="69">
        <v>0.38260869565217392</v>
      </c>
      <c r="F118" s="69">
        <v>0.30334486735870819</v>
      </c>
      <c r="G118" s="69">
        <v>0.16032295271049596</v>
      </c>
      <c r="H118" s="70">
        <v>10393.155893536121</v>
      </c>
      <c r="I118" s="70">
        <v>-9257.5539568345321</v>
      </c>
      <c r="J118" s="69">
        <v>0.11304347826086956</v>
      </c>
      <c r="K118" s="69">
        <v>0.16521739130434782</v>
      </c>
      <c r="L118" s="69">
        <v>9.5652173913043481E-2</v>
      </c>
      <c r="M118" s="69">
        <v>0.30364372469635625</v>
      </c>
      <c r="N118" s="69">
        <v>0.21592442645074225</v>
      </c>
      <c r="O118" s="69">
        <v>0.56444444444444442</v>
      </c>
      <c r="P118" s="69">
        <v>0.38750000000000001</v>
      </c>
      <c r="Q118" s="69">
        <v>0.44486692015209123</v>
      </c>
    </row>
    <row r="119" spans="1:17" x14ac:dyDescent="0.4">
      <c r="A119" s="71">
        <v>116</v>
      </c>
      <c r="B119" s="68">
        <v>245.69999999999982</v>
      </c>
      <c r="C119" s="68">
        <v>2.1181034482758605</v>
      </c>
      <c r="D119" s="73">
        <v>1.9224137931034482</v>
      </c>
      <c r="E119" s="69">
        <v>0.37931034482758619</v>
      </c>
      <c r="F119" s="69">
        <v>0.30057142857142854</v>
      </c>
      <c r="G119" s="69">
        <v>0.16</v>
      </c>
      <c r="H119" s="70">
        <v>10393.155893536121</v>
      </c>
      <c r="I119" s="70">
        <v>-9198.5714285714294</v>
      </c>
      <c r="J119" s="69">
        <v>0.11206896551724138</v>
      </c>
      <c r="K119" s="69">
        <v>0.16379310344827586</v>
      </c>
      <c r="L119" s="69">
        <v>9.4827586206896547E-2</v>
      </c>
      <c r="M119" s="69">
        <v>0.30307076101468627</v>
      </c>
      <c r="N119" s="69">
        <v>0.21495327102803738</v>
      </c>
      <c r="O119" s="69">
        <v>0.55947136563876654</v>
      </c>
      <c r="P119" s="69">
        <v>0.38509316770186336</v>
      </c>
      <c r="Q119" s="69">
        <v>0.44486692015209123</v>
      </c>
    </row>
    <row r="120" spans="1:17" x14ac:dyDescent="0.4">
      <c r="A120" s="71">
        <v>117</v>
      </c>
      <c r="B120" s="68">
        <v>267.39999999999981</v>
      </c>
      <c r="C120" s="68">
        <v>2.285470085470084</v>
      </c>
      <c r="D120" s="73">
        <v>1.9145299145299146</v>
      </c>
      <c r="E120" s="69">
        <v>0.38461538461538464</v>
      </c>
      <c r="F120" s="69">
        <v>0.3009049773755656</v>
      </c>
      <c r="G120" s="69">
        <v>0.15837104072398189</v>
      </c>
      <c r="H120" s="70">
        <v>10393.233082706767</v>
      </c>
      <c r="I120" s="70">
        <v>-9198.5714285714294</v>
      </c>
      <c r="J120" s="69">
        <v>0.1111111111111111</v>
      </c>
      <c r="K120" s="69">
        <v>0.17094017094017094</v>
      </c>
      <c r="L120" s="69">
        <v>9.4017094017094016E-2</v>
      </c>
      <c r="M120" s="69">
        <v>0.30211081794195249</v>
      </c>
      <c r="N120" s="69">
        <v>0.21240105540897097</v>
      </c>
      <c r="O120" s="69">
        <v>0.55895196506550215</v>
      </c>
      <c r="P120" s="69">
        <v>0.38509316770186336</v>
      </c>
      <c r="Q120" s="69">
        <v>0.43984962406015038</v>
      </c>
    </row>
    <row r="121" spans="1:17" x14ac:dyDescent="0.4">
      <c r="A121" s="71">
        <v>118</v>
      </c>
      <c r="B121" s="68">
        <v>221.89999999999981</v>
      </c>
      <c r="C121" s="68">
        <v>1.8805084745762695</v>
      </c>
      <c r="D121" s="73">
        <v>1.923728813559322</v>
      </c>
      <c r="E121" s="69">
        <v>0.38135593220338981</v>
      </c>
      <c r="F121" s="69">
        <v>0.29988726042841035</v>
      </c>
      <c r="G121" s="69">
        <v>0.1600901916572717</v>
      </c>
      <c r="H121" s="70">
        <v>10393.233082706767</v>
      </c>
      <c r="I121" s="70">
        <v>-9322.5352112676064</v>
      </c>
      <c r="J121" s="69">
        <v>0.11864406779661017</v>
      </c>
      <c r="K121" s="69">
        <v>0.16949152542372881</v>
      </c>
      <c r="L121" s="69">
        <v>9.3220338983050849E-2</v>
      </c>
      <c r="M121" s="69">
        <v>0.30223390275952694</v>
      </c>
      <c r="N121" s="69">
        <v>0.21156373193166886</v>
      </c>
      <c r="O121" s="69">
        <v>0.55652173913043479</v>
      </c>
      <c r="P121" s="69">
        <v>0.38509316770186336</v>
      </c>
      <c r="Q121" s="69">
        <v>0.43984962406015038</v>
      </c>
    </row>
    <row r="122" spans="1:17" x14ac:dyDescent="0.4">
      <c r="A122" s="71">
        <v>119</v>
      </c>
      <c r="B122" s="68">
        <v>216.29999999999981</v>
      </c>
      <c r="C122" s="68">
        <v>1.8176470588235278</v>
      </c>
      <c r="D122" s="73">
        <v>1.9243697478991597</v>
      </c>
      <c r="E122" s="69">
        <v>0.37815126050420167</v>
      </c>
      <c r="F122" s="69">
        <v>0.30100334448160537</v>
      </c>
      <c r="G122" s="69">
        <v>0.15830546265328874</v>
      </c>
      <c r="H122" s="70">
        <v>10364.814814814816</v>
      </c>
      <c r="I122" s="70">
        <v>-9322.5352112676064</v>
      </c>
      <c r="J122" s="69">
        <v>0.11764705882352941</v>
      </c>
      <c r="K122" s="69">
        <v>0.16806722689075632</v>
      </c>
      <c r="L122" s="69">
        <v>9.2436974789915971E-2</v>
      </c>
      <c r="M122" s="69">
        <v>0.29961089494163423</v>
      </c>
      <c r="N122" s="69">
        <v>0.21271076523994811</v>
      </c>
      <c r="O122" s="69">
        <v>0.55844155844155841</v>
      </c>
      <c r="P122" s="69">
        <v>0.3902439024390244</v>
      </c>
      <c r="Q122" s="69">
        <v>0.43703703703703706</v>
      </c>
    </row>
    <row r="123" spans="1:17" x14ac:dyDescent="0.4">
      <c r="A123" s="71">
        <v>120</v>
      </c>
      <c r="B123" s="68">
        <v>195.79999999999981</v>
      </c>
      <c r="C123" s="68">
        <v>1.631666666666665</v>
      </c>
      <c r="D123" s="73">
        <v>1.925</v>
      </c>
      <c r="E123" s="69">
        <v>0.375</v>
      </c>
      <c r="F123" s="69">
        <v>0.29955947136563876</v>
      </c>
      <c r="G123" s="69">
        <v>0.16079295154185022</v>
      </c>
      <c r="H123" s="70">
        <v>10391.176470588236</v>
      </c>
      <c r="I123" s="70">
        <v>-9234.9315068493142</v>
      </c>
      <c r="J123" s="69">
        <v>0.11666666666666667</v>
      </c>
      <c r="K123" s="69">
        <v>0.16666666666666666</v>
      </c>
      <c r="L123" s="69">
        <v>9.166666666666666E-2</v>
      </c>
      <c r="M123" s="69">
        <v>0.29795396419437342</v>
      </c>
      <c r="N123" s="69">
        <v>0.21227621483375958</v>
      </c>
      <c r="O123" s="69">
        <v>0.5622317596566524</v>
      </c>
      <c r="P123" s="69">
        <v>0.38554216867469882</v>
      </c>
      <c r="Q123" s="69">
        <v>0.4375</v>
      </c>
    </row>
    <row r="124" spans="1:17" x14ac:dyDescent="0.4">
      <c r="A124" s="71">
        <v>121</v>
      </c>
      <c r="B124" s="68">
        <v>169.59999999999982</v>
      </c>
      <c r="C124" s="68">
        <v>1.401652892561982</v>
      </c>
      <c r="D124" s="73">
        <v>1.9338842975206612</v>
      </c>
      <c r="E124" s="69">
        <v>0.37190082644628097</v>
      </c>
      <c r="F124" s="69">
        <v>0.29803493449781659</v>
      </c>
      <c r="G124" s="69">
        <v>0.16157205240174671</v>
      </c>
      <c r="H124" s="70">
        <v>10360.439560439561</v>
      </c>
      <c r="I124" s="70">
        <v>-9226.3513513513517</v>
      </c>
      <c r="J124" s="69">
        <v>0.11570247933884298</v>
      </c>
      <c r="K124" s="69">
        <v>0.16528925619834711</v>
      </c>
      <c r="L124" s="69">
        <v>9.0909090909090912E-2</v>
      </c>
      <c r="M124" s="69">
        <v>0.29620253164556964</v>
      </c>
      <c r="N124" s="69">
        <v>0.21518987341772153</v>
      </c>
      <c r="O124" s="69">
        <v>0.55982905982905984</v>
      </c>
      <c r="P124" s="69">
        <v>0.38235294117647056</v>
      </c>
      <c r="Q124" s="69">
        <v>0.4358974358974359</v>
      </c>
    </row>
    <row r="125" spans="1:17" x14ac:dyDescent="0.4">
      <c r="A125" s="71">
        <v>122</v>
      </c>
      <c r="B125" s="68">
        <v>161.89999999999984</v>
      </c>
      <c r="C125" s="68">
        <v>1.3270491803278675</v>
      </c>
      <c r="D125" s="73">
        <v>1.9344262295081966</v>
      </c>
      <c r="E125" s="69">
        <v>0.36885245901639346</v>
      </c>
      <c r="F125" s="69">
        <v>0.29653679653679654</v>
      </c>
      <c r="G125" s="69">
        <v>0.16125541125541126</v>
      </c>
      <c r="H125" s="70">
        <v>10351.824817518249</v>
      </c>
      <c r="I125" s="70">
        <v>-9190.6040268456381</v>
      </c>
      <c r="J125" s="69">
        <v>0.11475409836065574</v>
      </c>
      <c r="K125" s="69">
        <v>0.16393442622950818</v>
      </c>
      <c r="L125" s="69">
        <v>9.0163934426229511E-2</v>
      </c>
      <c r="M125" s="69">
        <v>0.29448621553884713</v>
      </c>
      <c r="N125" s="69">
        <v>0.21679197994987467</v>
      </c>
      <c r="O125" s="69">
        <v>0.55744680851063833</v>
      </c>
      <c r="P125" s="69">
        <v>0.38150289017341038</v>
      </c>
      <c r="Q125" s="69">
        <v>0.43430656934306572</v>
      </c>
    </row>
    <row r="126" spans="1:17" x14ac:dyDescent="0.4">
      <c r="A126" s="71">
        <v>123</v>
      </c>
      <c r="B126" s="68">
        <v>201.39999999999984</v>
      </c>
      <c r="C126" s="68">
        <v>1.6373983739837386</v>
      </c>
      <c r="D126" s="73">
        <v>1.9268292682926829</v>
      </c>
      <c r="E126" s="69">
        <v>0.37398373983739835</v>
      </c>
      <c r="F126" s="69">
        <v>0.29871520342612418</v>
      </c>
      <c r="G126" s="69">
        <v>0.16059957173447537</v>
      </c>
      <c r="H126" s="70">
        <v>10381.362007168458</v>
      </c>
      <c r="I126" s="70">
        <v>-9180.6666666666661</v>
      </c>
      <c r="J126" s="69">
        <v>0.11382113821138211</v>
      </c>
      <c r="K126" s="69">
        <v>0.17073170731707318</v>
      </c>
      <c r="L126" s="69">
        <v>8.943089430894309E-2</v>
      </c>
      <c r="M126" s="69">
        <v>0.29702970297029702</v>
      </c>
      <c r="N126" s="69">
        <v>0.21534653465346534</v>
      </c>
      <c r="O126" s="69">
        <v>0.55833333333333335</v>
      </c>
      <c r="P126" s="69">
        <v>0.37931034482758619</v>
      </c>
      <c r="Q126" s="6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1A23-E94F-4B15-B6EF-B9085063F259}">
  <sheetPr codeName="Sheet20"/>
  <dimension ref="A1:Q8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  <row r="71" spans="1:17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5.8823529411764705E-2</v>
      </c>
      <c r="M71" s="69">
        <v>0.27034883720930231</v>
      </c>
      <c r="N71" s="69">
        <v>0.26744186046511625</v>
      </c>
      <c r="O71" s="69">
        <v>0.4838709677419355</v>
      </c>
      <c r="P71" s="69">
        <v>0.38043478260869568</v>
      </c>
      <c r="Q71" s="69">
        <v>0.45</v>
      </c>
    </row>
    <row r="72" spans="1:17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5.7971014492753624E-2</v>
      </c>
      <c r="M72" s="69">
        <v>0.26704545454545453</v>
      </c>
      <c r="N72" s="69">
        <v>0.26988636363636365</v>
      </c>
      <c r="O72" s="69">
        <v>0.47872340425531917</v>
      </c>
      <c r="P72" s="69">
        <v>0.36842105263157893</v>
      </c>
      <c r="Q72" s="69">
        <v>0.45390070921985815</v>
      </c>
    </row>
    <row r="73" spans="1:17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5.7142857142857141E-2</v>
      </c>
      <c r="M73" s="69">
        <v>0.26721763085399447</v>
      </c>
      <c r="N73" s="69">
        <v>0.27548209366391185</v>
      </c>
      <c r="O73" s="69">
        <v>0.4845360824742268</v>
      </c>
      <c r="P73" s="69">
        <v>0.36</v>
      </c>
      <c r="Q73" s="69">
        <v>0.45833333333333331</v>
      </c>
    </row>
    <row r="74" spans="1:17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5.6338028169014086E-2</v>
      </c>
      <c r="M74" s="69">
        <v>0.27027027027027029</v>
      </c>
      <c r="N74" s="69">
        <v>0.27567567567567569</v>
      </c>
      <c r="O74" s="69">
        <v>0.49</v>
      </c>
      <c r="P74" s="69">
        <v>0.36274509803921567</v>
      </c>
      <c r="Q74" s="69">
        <v>0.46938775510204084</v>
      </c>
    </row>
    <row r="75" spans="1:17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5.5555555555555552E-2</v>
      </c>
      <c r="M75" s="69">
        <v>0.26455026455026454</v>
      </c>
      <c r="N75" s="69">
        <v>0.28306878306878308</v>
      </c>
      <c r="O75" s="69">
        <v>0.49</v>
      </c>
      <c r="P75" s="69">
        <v>0.35514018691588783</v>
      </c>
      <c r="Q75" s="69">
        <v>0.47297297297297297</v>
      </c>
    </row>
    <row r="76" spans="1:17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5.4794520547945202E-2</v>
      </c>
      <c r="M76" s="69">
        <v>0.27202072538860106</v>
      </c>
      <c r="N76" s="69">
        <v>0.27979274611398963</v>
      </c>
      <c r="O76" s="69">
        <v>0.49523809523809526</v>
      </c>
      <c r="P76" s="69">
        <v>0.35185185185185186</v>
      </c>
      <c r="Q76" s="69">
        <v>0.47682119205298013</v>
      </c>
    </row>
    <row r="77" spans="1:17" x14ac:dyDescent="0.4">
      <c r="A77" s="71">
        <v>74</v>
      </c>
      <c r="B77" s="68">
        <v>-520.20000000000005</v>
      </c>
      <c r="C77" s="68">
        <v>-7.0297297297297305</v>
      </c>
      <c r="D77" s="73">
        <v>2.2297297297297298</v>
      </c>
      <c r="E77" s="69">
        <v>0.20270270270270271</v>
      </c>
      <c r="F77" s="69">
        <v>0.26398601398601401</v>
      </c>
      <c r="G77" s="69">
        <v>0.18706293706293706</v>
      </c>
      <c r="H77" s="70">
        <v>9090.0662251655631</v>
      </c>
      <c r="I77" s="70">
        <v>-9756.074766355141</v>
      </c>
      <c r="J77" s="69">
        <v>0.17567567567567569</v>
      </c>
      <c r="K77" s="69">
        <v>0.12162162162162163</v>
      </c>
      <c r="L77" s="69">
        <v>5.4054054054054057E-2</v>
      </c>
      <c r="M77" s="69">
        <v>0.27295918367346939</v>
      </c>
      <c r="N77" s="69">
        <v>0.27551020408163263</v>
      </c>
      <c r="O77" s="69">
        <v>0.48598130841121495</v>
      </c>
      <c r="P77" s="69">
        <v>0.35185185185185186</v>
      </c>
      <c r="Q77" s="69">
        <v>0.47682119205298013</v>
      </c>
    </row>
    <row r="78" spans="1:17" x14ac:dyDescent="0.4">
      <c r="A78" s="71">
        <v>75</v>
      </c>
      <c r="B78" s="68">
        <v>-493.70000000000005</v>
      </c>
      <c r="C78" s="68">
        <v>-6.5826666666666673</v>
      </c>
      <c r="D78" s="73">
        <v>2.2133333333333334</v>
      </c>
      <c r="E78" s="69">
        <v>0.21333333333333335</v>
      </c>
      <c r="F78" s="69">
        <v>0.26816608996539792</v>
      </c>
      <c r="G78" s="69">
        <v>0.18685121107266436</v>
      </c>
      <c r="H78" s="70">
        <v>9070.967741935483</v>
      </c>
      <c r="I78" s="70">
        <v>-9701.8518518518522</v>
      </c>
      <c r="J78" s="69">
        <v>0.17333333333333334</v>
      </c>
      <c r="K78" s="69">
        <v>0.12</v>
      </c>
      <c r="L78" s="69">
        <v>5.3333333333333337E-2</v>
      </c>
      <c r="M78" s="69">
        <v>0.271356783919598</v>
      </c>
      <c r="N78" s="69">
        <v>0.27889447236180903</v>
      </c>
      <c r="O78" s="69">
        <v>0.49074074074074076</v>
      </c>
      <c r="P78" s="69">
        <v>0.36036036036036034</v>
      </c>
      <c r="Q78" s="69">
        <v>0.47741935483870968</v>
      </c>
    </row>
    <row r="79" spans="1:17" x14ac:dyDescent="0.4">
      <c r="A79" s="71">
        <v>76</v>
      </c>
      <c r="B79" s="68">
        <v>-475.70000000000005</v>
      </c>
      <c r="C79" s="68">
        <v>-6.2592105263157904</v>
      </c>
      <c r="D79" s="73">
        <v>2.1973684210526314</v>
      </c>
      <c r="E79" s="69">
        <v>0.22368421052631579</v>
      </c>
      <c r="F79" s="69">
        <v>0.2713310580204778</v>
      </c>
      <c r="G79" s="69">
        <v>0.18941979522184299</v>
      </c>
      <c r="H79" s="70">
        <v>9125.7861635220124</v>
      </c>
      <c r="I79" s="70">
        <v>-9637.8378378378384</v>
      </c>
      <c r="J79" s="69">
        <v>0.17105263157894737</v>
      </c>
      <c r="K79" s="69">
        <v>0.11842105263157894</v>
      </c>
      <c r="L79" s="69">
        <v>5.2631578947368418E-2</v>
      </c>
      <c r="M79" s="69">
        <v>0.27093596059113301</v>
      </c>
      <c r="N79" s="69">
        <v>0.27832512315270935</v>
      </c>
      <c r="O79" s="69">
        <v>0.5</v>
      </c>
      <c r="P79" s="69">
        <v>0.36283185840707965</v>
      </c>
      <c r="Q79" s="69">
        <v>0.4779874213836478</v>
      </c>
    </row>
    <row r="80" spans="1:17" x14ac:dyDescent="0.4">
      <c r="A80" s="71">
        <v>77</v>
      </c>
      <c r="B80" s="68">
        <v>-517.20000000000005</v>
      </c>
      <c r="C80" s="68">
        <v>-6.7168831168831176</v>
      </c>
      <c r="D80" s="73">
        <v>2.2077922077922079</v>
      </c>
      <c r="E80" s="69">
        <v>0.22077922077922077</v>
      </c>
      <c r="F80" s="69">
        <v>0.26890756302521007</v>
      </c>
      <c r="G80" s="69">
        <v>0.19327731092436976</v>
      </c>
      <c r="H80" s="70">
        <v>9118.75</v>
      </c>
      <c r="I80" s="70">
        <v>-9637.391304347826</v>
      </c>
      <c r="J80" s="69">
        <v>0.18181818181818182</v>
      </c>
      <c r="K80" s="69">
        <v>0.11688311688311688</v>
      </c>
      <c r="L80" s="69">
        <v>5.1948051948051951E-2</v>
      </c>
      <c r="M80" s="69">
        <v>0.26746987951807227</v>
      </c>
      <c r="N80" s="69">
        <v>0.27710843373493976</v>
      </c>
      <c r="O80" s="69">
        <v>0.49549549549549549</v>
      </c>
      <c r="P80" s="69">
        <v>0.35652173913043478</v>
      </c>
      <c r="Q80" s="69">
        <v>0.48125000000000001</v>
      </c>
    </row>
    <row r="81" spans="1:17" x14ac:dyDescent="0.4">
      <c r="A81" s="71">
        <v>78</v>
      </c>
      <c r="B81" s="68">
        <v>-519</v>
      </c>
      <c r="C81" s="68">
        <v>-6.6538461538461542</v>
      </c>
      <c r="D81" s="73">
        <v>2.2051282051282053</v>
      </c>
      <c r="E81" s="69">
        <v>0.21794871794871795</v>
      </c>
      <c r="F81" s="69">
        <v>0.27121464226289516</v>
      </c>
      <c r="G81" s="69">
        <v>0.1913477537437604</v>
      </c>
      <c r="H81" s="70">
        <v>9028.8343558282213</v>
      </c>
      <c r="I81" s="70">
        <v>-9637.391304347826</v>
      </c>
      <c r="J81" s="69">
        <v>0.17948717948717949</v>
      </c>
      <c r="K81" s="69">
        <v>0.11538461538461539</v>
      </c>
      <c r="L81" s="69">
        <v>5.128205128205128E-2</v>
      </c>
      <c r="M81" s="69">
        <v>0.26840855106888362</v>
      </c>
      <c r="N81" s="69">
        <v>0.27553444180522563</v>
      </c>
      <c r="O81" s="69">
        <v>0.49557522123893805</v>
      </c>
      <c r="P81" s="69">
        <v>0.35344827586206895</v>
      </c>
      <c r="Q81" s="69">
        <v>0.4785276073619632</v>
      </c>
    </row>
    <row r="82" spans="1:17" x14ac:dyDescent="0.4">
      <c r="A82" s="71">
        <v>79</v>
      </c>
      <c r="B82" s="68">
        <v>-481</v>
      </c>
      <c r="C82" s="68">
        <v>-6.0886075949367084</v>
      </c>
      <c r="D82" s="73">
        <v>2.1898734177215191</v>
      </c>
      <c r="E82" s="69">
        <v>0.22784810126582278</v>
      </c>
      <c r="F82" s="69">
        <v>0.27317880794701987</v>
      </c>
      <c r="G82" s="69">
        <v>0.19039735099337748</v>
      </c>
      <c r="H82" s="70">
        <v>9137.575757575758</v>
      </c>
      <c r="I82" s="70">
        <v>-9637.391304347826</v>
      </c>
      <c r="J82" s="69">
        <v>0.17721518987341772</v>
      </c>
      <c r="K82" s="69">
        <v>0.12658227848101267</v>
      </c>
      <c r="L82" s="69">
        <v>5.0632911392405063E-2</v>
      </c>
      <c r="M82" s="69">
        <v>0.26650943396226418</v>
      </c>
      <c r="N82" s="69">
        <v>0.27594339622641512</v>
      </c>
      <c r="O82" s="69">
        <v>0.49557522123893805</v>
      </c>
      <c r="P82" s="69">
        <v>0.35897435897435898</v>
      </c>
      <c r="Q82" s="69">
        <v>0.47878787878787876</v>
      </c>
    </row>
    <row r="83" spans="1:17" x14ac:dyDescent="0.4">
      <c r="A83" s="71">
        <v>80</v>
      </c>
      <c r="B83" s="68">
        <v>-434.2</v>
      </c>
      <c r="C83" s="68">
        <v>-5.4275000000000002</v>
      </c>
      <c r="D83" s="73">
        <v>2.1749999999999998</v>
      </c>
      <c r="E83" s="69">
        <v>0.23749999999999999</v>
      </c>
      <c r="F83" s="69">
        <v>0.2780487804878049</v>
      </c>
      <c r="G83" s="69">
        <v>0.1886178861788618</v>
      </c>
      <c r="H83" s="70">
        <v>9183.625730994152</v>
      </c>
      <c r="I83" s="70">
        <v>-9587.9310344827591</v>
      </c>
      <c r="J83" s="69">
        <v>0.17499999999999999</v>
      </c>
      <c r="K83" s="69">
        <v>0.125</v>
      </c>
      <c r="L83" s="69">
        <v>0.05</v>
      </c>
      <c r="M83" s="69">
        <v>0.26666666666666666</v>
      </c>
      <c r="N83" s="69">
        <v>0.27816091954022987</v>
      </c>
      <c r="O83" s="69">
        <v>0.5</v>
      </c>
      <c r="P83" s="69">
        <v>0.37190082644628097</v>
      </c>
      <c r="Q83" s="69">
        <v>0.47368421052631576</v>
      </c>
    </row>
    <row r="84" spans="1:17" x14ac:dyDescent="0.4">
      <c r="A84" s="71">
        <v>81</v>
      </c>
      <c r="B84" s="68">
        <v>-479.2</v>
      </c>
      <c r="C84" s="68">
        <v>-5.9160493827160492</v>
      </c>
      <c r="D84" s="73">
        <v>2.1851851851851851</v>
      </c>
      <c r="E84" s="69">
        <v>0.23456790123456789</v>
      </c>
      <c r="F84" s="69">
        <v>0.27741935483870966</v>
      </c>
      <c r="G84" s="69">
        <v>0.18870967741935485</v>
      </c>
      <c r="H84" s="70">
        <v>9176.7441860465115</v>
      </c>
      <c r="I84" s="70">
        <v>-9642.735042735043</v>
      </c>
      <c r="J84" s="69">
        <v>0.18518518518518517</v>
      </c>
      <c r="K84" s="69">
        <v>0.12345679012345678</v>
      </c>
      <c r="L84" s="69">
        <v>4.9382716049382713E-2</v>
      </c>
      <c r="M84" s="69">
        <v>0.26818181818181819</v>
      </c>
      <c r="N84" s="69">
        <v>0.27727272727272728</v>
      </c>
      <c r="O84" s="69">
        <v>0.5</v>
      </c>
      <c r="P84" s="69">
        <v>0.36885245901639346</v>
      </c>
      <c r="Q84" s="69">
        <v>0.47674418604651164</v>
      </c>
    </row>
    <row r="85" spans="1:17" x14ac:dyDescent="0.4">
      <c r="A85" s="71">
        <v>82</v>
      </c>
      <c r="B85" s="68">
        <v>-517.70000000000005</v>
      </c>
      <c r="C85" s="68">
        <v>-6.3134146341463424</v>
      </c>
      <c r="D85" s="73">
        <v>2.1951219512195124</v>
      </c>
      <c r="E85" s="69">
        <v>0.23170731707317074</v>
      </c>
      <c r="F85" s="69">
        <v>0.27531645569620256</v>
      </c>
      <c r="G85" s="69">
        <v>0.189873417721519</v>
      </c>
      <c r="H85" s="70">
        <v>9163.2183908045972</v>
      </c>
      <c r="I85" s="70">
        <v>-9668.3333333333339</v>
      </c>
      <c r="J85" s="69">
        <v>0.1951219512195122</v>
      </c>
      <c r="K85" s="69">
        <v>0.12195121951219512</v>
      </c>
      <c r="L85" s="69">
        <v>4.878048780487805E-2</v>
      </c>
      <c r="M85" s="69">
        <v>0.27433628318584069</v>
      </c>
      <c r="N85" s="69">
        <v>0.27654867256637167</v>
      </c>
      <c r="O85" s="69">
        <v>0.49193548387096775</v>
      </c>
      <c r="P85" s="69">
        <v>0.36</v>
      </c>
      <c r="Q85" s="69">
        <v>0.47701149425287354</v>
      </c>
    </row>
    <row r="86" spans="1:17" x14ac:dyDescent="0.4">
      <c r="A86" s="71">
        <v>83</v>
      </c>
      <c r="B86" s="68">
        <v>-521.5</v>
      </c>
      <c r="C86" s="68">
        <v>-6.2831325301204819</v>
      </c>
      <c r="D86" s="73">
        <v>2.1927710843373496</v>
      </c>
      <c r="E86" s="69">
        <v>0.2289156626506024</v>
      </c>
      <c r="F86" s="69">
        <v>0.27925117004680189</v>
      </c>
      <c r="G86" s="69">
        <v>0.19032761310452417</v>
      </c>
      <c r="H86" s="70">
        <v>9018.4357541899444</v>
      </c>
      <c r="I86" s="70">
        <v>-9640.1639344262294</v>
      </c>
      <c r="J86" s="69">
        <v>0.19277108433734941</v>
      </c>
      <c r="K86" s="69">
        <v>0.12048192771084337</v>
      </c>
      <c r="L86" s="69">
        <v>4.8192771084337352E-2</v>
      </c>
      <c r="M86" s="69">
        <v>0.27331887201735355</v>
      </c>
      <c r="N86" s="69">
        <v>0.28199566160520606</v>
      </c>
      <c r="O86" s="69">
        <v>0.49206349206349204</v>
      </c>
      <c r="P86" s="69">
        <v>0.37692307692307692</v>
      </c>
      <c r="Q86" s="69">
        <v>0.47486033519553073</v>
      </c>
    </row>
    <row r="87" spans="1:17" x14ac:dyDescent="0.4">
      <c r="A87" s="71">
        <v>84</v>
      </c>
      <c r="B87" s="68">
        <v>-540.4</v>
      </c>
      <c r="C87" s="68">
        <v>-6.4333333333333327</v>
      </c>
      <c r="D87" s="73">
        <v>2.2023809523809526</v>
      </c>
      <c r="E87" s="69">
        <v>0.22619047619047619</v>
      </c>
      <c r="F87" s="69">
        <v>0.27889060092449924</v>
      </c>
      <c r="G87" s="69">
        <v>0.19106317411402157</v>
      </c>
      <c r="H87" s="70">
        <v>8984.5303867403309</v>
      </c>
      <c r="I87" s="70">
        <v>-9645.967741935483</v>
      </c>
      <c r="J87" s="69">
        <v>0.19047619047619047</v>
      </c>
      <c r="K87" s="69">
        <v>0.11904761904761904</v>
      </c>
      <c r="L87" s="69">
        <v>4.7619047619047616E-2</v>
      </c>
      <c r="M87" s="69">
        <v>0.27505330490405117</v>
      </c>
      <c r="N87" s="69">
        <v>0.28144989339019189</v>
      </c>
      <c r="O87" s="69">
        <v>0.48837209302325579</v>
      </c>
      <c r="P87" s="69">
        <v>0.37878787878787878</v>
      </c>
      <c r="Q87" s="69">
        <v>0.47513812154696133</v>
      </c>
    </row>
    <row r="88" spans="1:17" x14ac:dyDescent="0.4">
      <c r="A88" s="71">
        <v>85</v>
      </c>
      <c r="B88" s="68">
        <v>-559</v>
      </c>
      <c r="C88" s="68">
        <v>-6.5764705882352938</v>
      </c>
      <c r="D88" s="73">
        <v>2.2117647058823531</v>
      </c>
      <c r="E88" s="69">
        <v>0.22352941176470589</v>
      </c>
      <c r="F88" s="69">
        <v>0.27878787878787881</v>
      </c>
      <c r="G88" s="69">
        <v>0.19090909090909092</v>
      </c>
      <c r="H88" s="70">
        <v>8946.1956521739139</v>
      </c>
      <c r="I88" s="70">
        <v>-9651.5873015873021</v>
      </c>
      <c r="J88" s="69">
        <v>0.18823529411764706</v>
      </c>
      <c r="K88" s="69">
        <v>0.11764705882352941</v>
      </c>
      <c r="L88" s="69">
        <v>4.7058823529411764E-2</v>
      </c>
      <c r="M88" s="69">
        <v>0.27291666666666664</v>
      </c>
      <c r="N88" s="69">
        <v>0.28333333333333333</v>
      </c>
      <c r="O88" s="69">
        <v>0.48854961832061067</v>
      </c>
      <c r="P88" s="69">
        <v>0.36764705882352944</v>
      </c>
      <c r="Q88" s="6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05917-4CA3-4B37-A729-E99F0070C162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CD293-1BE9-4E0E-8748-349ACD4ECC17}">
  <sheetPr codeName="Sheet16"/>
  <dimension ref="A1:Q6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  <row r="65" spans="1:17" x14ac:dyDescent="0.4">
      <c r="A65" s="71">
        <v>62</v>
      </c>
      <c r="B65" s="68">
        <v>249.20000000000005</v>
      </c>
      <c r="C65" s="68">
        <v>4.0193548387096785</v>
      </c>
      <c r="D65" s="73">
        <v>1.9193548387096775</v>
      </c>
      <c r="E65" s="69">
        <v>0.33870967741935482</v>
      </c>
      <c r="F65" s="69">
        <v>0.3452914798206278</v>
      </c>
      <c r="G65" s="69">
        <v>0.15695067264573992</v>
      </c>
      <c r="H65" s="70">
        <v>9740.9090909090901</v>
      </c>
      <c r="I65" s="70">
        <v>-9035.7142857142862</v>
      </c>
      <c r="J65" s="69">
        <v>0.11290322580645161</v>
      </c>
      <c r="K65" s="69">
        <v>0.17741935483870969</v>
      </c>
      <c r="L65" s="69">
        <v>4.8387096774193547E-2</v>
      </c>
      <c r="M65" s="69">
        <v>0.23076923076923078</v>
      </c>
      <c r="N65" s="69">
        <v>0.3125</v>
      </c>
      <c r="O65" s="69">
        <v>0.58333333333333337</v>
      </c>
      <c r="P65" s="69">
        <v>0.4</v>
      </c>
      <c r="Q65" s="69">
        <v>0.44155844155844154</v>
      </c>
    </row>
    <row r="66" spans="1:17" x14ac:dyDescent="0.4">
      <c r="A66" s="71">
        <v>63</v>
      </c>
      <c r="B66" s="68">
        <v>243.20000000000005</v>
      </c>
      <c r="C66" s="68">
        <v>3.8603174603174613</v>
      </c>
      <c r="D66" s="73">
        <v>1.9365079365079365</v>
      </c>
      <c r="E66" s="69">
        <v>0.33333333333333331</v>
      </c>
      <c r="F66" s="69">
        <v>0.34505494505494505</v>
      </c>
      <c r="G66" s="69">
        <v>0.15604395604395604</v>
      </c>
      <c r="H66" s="70">
        <v>9724.2038216560504</v>
      </c>
      <c r="I66" s="70">
        <v>-9021.1267605633802</v>
      </c>
      <c r="J66" s="69">
        <v>0.1111111111111111</v>
      </c>
      <c r="K66" s="69">
        <v>0.17460317460317459</v>
      </c>
      <c r="L66" s="69">
        <v>4.7619047619047616E-2</v>
      </c>
      <c r="M66" s="69">
        <v>0.22580645161290322</v>
      </c>
      <c r="N66" s="69">
        <v>0.30875576036866359</v>
      </c>
      <c r="O66" s="69">
        <v>0.5714285714285714</v>
      </c>
      <c r="P66" s="69">
        <v>0.41791044776119401</v>
      </c>
      <c r="Q66" s="69">
        <v>0.43312101910828027</v>
      </c>
    </row>
    <row r="67" spans="1:17" x14ac:dyDescent="0.4">
      <c r="A67" s="71">
        <v>64</v>
      </c>
      <c r="B67" s="68">
        <v>261.90000000000003</v>
      </c>
      <c r="C67" s="68">
        <v>4.0921875000000005</v>
      </c>
      <c r="D67" s="73">
        <v>1.921875</v>
      </c>
      <c r="E67" s="69">
        <v>0.34375</v>
      </c>
      <c r="F67" s="69">
        <v>0.34482758620689657</v>
      </c>
      <c r="G67" s="69">
        <v>0.15732758620689655</v>
      </c>
      <c r="H67" s="70">
        <v>9716.25</v>
      </c>
      <c r="I67" s="70">
        <v>-8854.7945205479446</v>
      </c>
      <c r="J67" s="69">
        <v>0.109375</v>
      </c>
      <c r="K67" s="69">
        <v>0.171875</v>
      </c>
      <c r="L67" s="69">
        <v>4.6875E-2</v>
      </c>
      <c r="M67" s="69">
        <v>0.22566371681415928</v>
      </c>
      <c r="N67" s="69">
        <v>0.30530973451327431</v>
      </c>
      <c r="O67" s="69">
        <v>0.58823529411764708</v>
      </c>
      <c r="P67" s="69">
        <v>0.42028985507246375</v>
      </c>
      <c r="Q67" s="69">
        <v>0.43125000000000002</v>
      </c>
    </row>
    <row r="68" spans="1:17" x14ac:dyDescent="0.4">
      <c r="A68" s="71">
        <v>65</v>
      </c>
      <c r="B68" s="68">
        <v>267.8</v>
      </c>
      <c r="C68" s="68">
        <v>4.12</v>
      </c>
      <c r="D68" s="73">
        <v>1.9230769230769231</v>
      </c>
      <c r="E68" s="69">
        <v>0.33846153846153848</v>
      </c>
      <c r="F68" s="69">
        <v>0.34388185654008441</v>
      </c>
      <c r="G68" s="69">
        <v>0.15400843881856541</v>
      </c>
      <c r="H68" s="70">
        <v>9707.3619631901838</v>
      </c>
      <c r="I68" s="70">
        <v>-8854.7945205479446</v>
      </c>
      <c r="J68" s="69">
        <v>0.1076923076923077</v>
      </c>
      <c r="K68" s="69">
        <v>0.16923076923076924</v>
      </c>
      <c r="L68" s="69">
        <v>4.6153846153846156E-2</v>
      </c>
      <c r="M68" s="69">
        <v>0.23305084745762711</v>
      </c>
      <c r="N68" s="69">
        <v>0.29661016949152541</v>
      </c>
      <c r="O68" s="69">
        <v>0.58181818181818179</v>
      </c>
      <c r="P68" s="69">
        <v>0.42857142857142855</v>
      </c>
      <c r="Q68" s="6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50EED-0BD3-4CE4-B0E2-373A2B424D35}">
  <sheetPr codeName="Sheet14"/>
  <dimension ref="A1:Q14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  <row r="135" spans="1:17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7.575757575757576E-2</v>
      </c>
      <c r="M135" s="69">
        <v>0.29765013054830286</v>
      </c>
      <c r="N135" s="69">
        <v>0.17754569190600522</v>
      </c>
      <c r="O135" s="69">
        <v>0.57894736842105265</v>
      </c>
      <c r="P135" s="69">
        <v>0.38235294117647056</v>
      </c>
      <c r="Q135" s="69">
        <v>0.44237918215613381</v>
      </c>
    </row>
    <row r="136" spans="1:17" x14ac:dyDescent="0.4">
      <c r="A136" s="71">
        <v>133</v>
      </c>
      <c r="B136" s="68">
        <v>-489.59999999999997</v>
      </c>
      <c r="C136" s="68">
        <v>-3.6812030075187967</v>
      </c>
      <c r="D136" s="73">
        <v>2.1052631578947367</v>
      </c>
      <c r="E136" s="69">
        <v>0.2932330827067669</v>
      </c>
      <c r="F136" s="69">
        <v>0.26065891472868219</v>
      </c>
      <c r="G136" s="69">
        <v>0.19476744186046513</v>
      </c>
      <c r="H136" s="70">
        <v>11027.509293680298</v>
      </c>
      <c r="I136" s="70">
        <v>-9575.1243781094527</v>
      </c>
      <c r="J136" s="69">
        <v>0.19548872180451127</v>
      </c>
      <c r="K136" s="69">
        <v>0.12781954887218044</v>
      </c>
      <c r="L136" s="69">
        <v>7.5187969924812026E-2</v>
      </c>
      <c r="M136" s="69">
        <v>0.29571984435797666</v>
      </c>
      <c r="N136" s="69">
        <v>0.17769130998702984</v>
      </c>
      <c r="O136" s="69">
        <v>0.57894736842105265</v>
      </c>
      <c r="P136" s="69">
        <v>0.37956204379562042</v>
      </c>
      <c r="Q136" s="69">
        <v>0.44237918215613381</v>
      </c>
    </row>
    <row r="137" spans="1:17" x14ac:dyDescent="0.4">
      <c r="A137" s="71">
        <v>134</v>
      </c>
      <c r="B137" s="68">
        <v>-489.9</v>
      </c>
      <c r="C137" s="68">
        <v>-3.6559701492537311</v>
      </c>
      <c r="D137" s="73">
        <v>2.1044776119402986</v>
      </c>
      <c r="E137" s="69">
        <v>0.29104477611940299</v>
      </c>
      <c r="F137" s="69">
        <v>0.26128722382324687</v>
      </c>
      <c r="G137" s="69">
        <v>0.19404418828049952</v>
      </c>
      <c r="H137" s="70">
        <v>10987.5</v>
      </c>
      <c r="I137" s="70">
        <v>-9587.1287128712866</v>
      </c>
      <c r="J137" s="69">
        <v>0.19402985074626866</v>
      </c>
      <c r="K137" s="69">
        <v>0.12686567164179105</v>
      </c>
      <c r="L137" s="69">
        <v>7.4626865671641784E-2</v>
      </c>
      <c r="M137" s="69">
        <v>0.29487179487179488</v>
      </c>
      <c r="N137" s="69">
        <v>0.17692307692307693</v>
      </c>
      <c r="O137" s="69">
        <v>0.57826086956521738</v>
      </c>
      <c r="P137" s="69">
        <v>0.38405797101449274</v>
      </c>
      <c r="Q137" s="69">
        <v>0.4485294117647059</v>
      </c>
    </row>
    <row r="138" spans="1:17" x14ac:dyDescent="0.4">
      <c r="A138" s="71">
        <v>135</v>
      </c>
      <c r="B138" s="68">
        <v>-480.2</v>
      </c>
      <c r="C138" s="68">
        <v>-3.5570370370370368</v>
      </c>
      <c r="D138" s="73">
        <v>2.1037037037037036</v>
      </c>
      <c r="E138" s="69">
        <v>0.28888888888888886</v>
      </c>
      <c r="F138" s="69">
        <v>0.26170009551098378</v>
      </c>
      <c r="G138" s="69">
        <v>0.19293218720152819</v>
      </c>
      <c r="H138" s="70">
        <v>10980.29197080292</v>
      </c>
      <c r="I138" s="70">
        <v>-9587.1287128712866</v>
      </c>
      <c r="J138" s="69">
        <v>0.19259259259259259</v>
      </c>
      <c r="K138" s="69">
        <v>0.12592592592592591</v>
      </c>
      <c r="L138" s="69">
        <v>7.407407407407407E-2</v>
      </c>
      <c r="M138" s="69">
        <v>0.29389312977099236</v>
      </c>
      <c r="N138" s="69">
        <v>0.17684478371501272</v>
      </c>
      <c r="O138" s="69">
        <v>0.58008658008658009</v>
      </c>
      <c r="P138" s="69">
        <v>0.38848920863309355</v>
      </c>
      <c r="Q138" s="69">
        <v>0.4489051094890511</v>
      </c>
    </row>
    <row r="139" spans="1:17" x14ac:dyDescent="0.4">
      <c r="A139" s="71">
        <v>136</v>
      </c>
      <c r="B139" s="68">
        <v>-497.4</v>
      </c>
      <c r="C139" s="68">
        <v>-3.6573529411764705</v>
      </c>
      <c r="D139" s="73">
        <v>2.1102941176470589</v>
      </c>
      <c r="E139" s="69">
        <v>0.28676470588235292</v>
      </c>
      <c r="F139" s="69">
        <v>0.2621082621082621</v>
      </c>
      <c r="G139" s="69">
        <v>0.19373219373219372</v>
      </c>
      <c r="H139" s="70">
        <v>10943.840579710144</v>
      </c>
      <c r="I139" s="70">
        <v>-9620.5882352941171</v>
      </c>
      <c r="J139" s="69">
        <v>0.19117647058823528</v>
      </c>
      <c r="K139" s="69">
        <v>0.125</v>
      </c>
      <c r="L139" s="69">
        <v>7.3529411764705885E-2</v>
      </c>
      <c r="M139" s="69">
        <v>0.29292929292929293</v>
      </c>
      <c r="N139" s="69">
        <v>0.17803030303030304</v>
      </c>
      <c r="O139" s="69">
        <v>0.5818965517241379</v>
      </c>
      <c r="P139" s="69">
        <v>0.39007092198581561</v>
      </c>
      <c r="Q139" s="69">
        <v>0.44927536231884058</v>
      </c>
    </row>
    <row r="140" spans="1:17" x14ac:dyDescent="0.4">
      <c r="A140" s="71">
        <v>137</v>
      </c>
      <c r="B140" s="68">
        <v>-505.9</v>
      </c>
      <c r="C140" s="68">
        <v>-3.6927007299270072</v>
      </c>
      <c r="D140" s="73">
        <v>2.1094890510948905</v>
      </c>
      <c r="E140" s="69">
        <v>0.28467153284671531</v>
      </c>
      <c r="F140" s="69">
        <v>0.26177024482109229</v>
      </c>
      <c r="G140" s="69">
        <v>0.19209039548022599</v>
      </c>
      <c r="H140" s="70">
        <v>10888.489208633093</v>
      </c>
      <c r="I140" s="70">
        <v>-9620.5882352941171</v>
      </c>
      <c r="J140" s="69">
        <v>0.18978102189781021</v>
      </c>
      <c r="K140" s="69">
        <v>0.12408759124087591</v>
      </c>
      <c r="L140" s="69">
        <v>7.2992700729927001E-2</v>
      </c>
      <c r="M140" s="69">
        <v>0.29213483146067415</v>
      </c>
      <c r="N140" s="69">
        <v>0.17602996254681649</v>
      </c>
      <c r="O140" s="69">
        <v>0.58119658119658124</v>
      </c>
      <c r="P140" s="69">
        <v>0.39007092198581561</v>
      </c>
      <c r="Q140" s="69">
        <v>0.4460431654676259</v>
      </c>
    </row>
    <row r="141" spans="1:17" x14ac:dyDescent="0.4">
      <c r="A141" s="71">
        <v>138</v>
      </c>
      <c r="B141" s="68">
        <v>-553.9</v>
      </c>
      <c r="C141" s="68">
        <v>-4.0137681159420291</v>
      </c>
      <c r="D141" s="73">
        <v>2.1159420289855073</v>
      </c>
      <c r="E141" s="69">
        <v>0.28260869565217389</v>
      </c>
      <c r="F141" s="69">
        <v>0.26054358013120898</v>
      </c>
      <c r="G141" s="69">
        <v>0.19306466729147143</v>
      </c>
      <c r="H141" s="70">
        <v>10888.489208633093</v>
      </c>
      <c r="I141" s="70">
        <v>-9701.9417475728151</v>
      </c>
      <c r="J141" s="69">
        <v>0.19565217391304349</v>
      </c>
      <c r="K141" s="69">
        <v>0.12318840579710146</v>
      </c>
      <c r="L141" s="69">
        <v>7.2463768115942032E-2</v>
      </c>
      <c r="M141" s="69">
        <v>0.29156327543424315</v>
      </c>
      <c r="N141" s="69">
        <v>0.17493796526054592</v>
      </c>
      <c r="O141" s="69">
        <v>0.5787234042553191</v>
      </c>
      <c r="P141" s="69">
        <v>0.39007092198581561</v>
      </c>
      <c r="Q141" s="69">
        <v>0.4460431654676259</v>
      </c>
    </row>
    <row r="142" spans="1:17" x14ac:dyDescent="0.4">
      <c r="A142" s="71">
        <v>139</v>
      </c>
      <c r="B142" s="68">
        <v>-539.4</v>
      </c>
      <c r="C142" s="68">
        <v>-3.880575539568345</v>
      </c>
      <c r="D142" s="73">
        <v>2.1079136690647484</v>
      </c>
      <c r="E142" s="69">
        <v>0.28776978417266186</v>
      </c>
      <c r="F142" s="69">
        <v>0.26139534883720933</v>
      </c>
      <c r="G142" s="69">
        <v>0.19162790697674417</v>
      </c>
      <c r="H142" s="70">
        <v>10843.416370106761</v>
      </c>
      <c r="I142" s="70">
        <v>-9701.9417475728151</v>
      </c>
      <c r="J142" s="69">
        <v>0.19424460431654678</v>
      </c>
      <c r="K142" s="69">
        <v>0.1223021582733813</v>
      </c>
      <c r="L142" s="69">
        <v>7.1942446043165464E-2</v>
      </c>
      <c r="M142" s="69">
        <v>0.29115479115479115</v>
      </c>
      <c r="N142" s="69">
        <v>0.17567567567567569</v>
      </c>
      <c r="O142" s="69">
        <v>0.58227848101265822</v>
      </c>
      <c r="P142" s="69">
        <v>0.39160839160839161</v>
      </c>
      <c r="Q142" s="69">
        <v>0.45195729537366547</v>
      </c>
    </row>
    <row r="143" spans="1:17" x14ac:dyDescent="0.4">
      <c r="A143" s="71">
        <v>140</v>
      </c>
      <c r="B143" s="68">
        <v>-522.19999999999993</v>
      </c>
      <c r="C143" s="68">
        <v>-3.7299999999999995</v>
      </c>
      <c r="D143" s="73">
        <v>2.1</v>
      </c>
      <c r="E143" s="69">
        <v>0.29285714285714287</v>
      </c>
      <c r="F143" s="69">
        <v>0.26315789473684209</v>
      </c>
      <c r="G143" s="69">
        <v>0.19205909510618652</v>
      </c>
      <c r="H143" s="70">
        <v>10821.754385964912</v>
      </c>
      <c r="I143" s="70">
        <v>-9656.7307692307695</v>
      </c>
      <c r="J143" s="69">
        <v>0.19285714285714287</v>
      </c>
      <c r="K143" s="69">
        <v>0.12142857142857143</v>
      </c>
      <c r="L143" s="69">
        <v>7.857142857142857E-2</v>
      </c>
      <c r="M143" s="69">
        <v>0.29197080291970801</v>
      </c>
      <c r="N143" s="69">
        <v>0.17761557177615572</v>
      </c>
      <c r="O143" s="69">
        <v>0.58333333333333337</v>
      </c>
      <c r="P143" s="69">
        <v>0.39726027397260272</v>
      </c>
      <c r="Q143" s="69">
        <v>0.44912280701754387</v>
      </c>
    </row>
    <row r="144" spans="1:17" x14ac:dyDescent="0.4">
      <c r="A144" s="71">
        <v>141</v>
      </c>
      <c r="B144" s="68">
        <v>-537.09999999999991</v>
      </c>
      <c r="C144" s="68">
        <v>-3.8092198581560277</v>
      </c>
      <c r="D144" s="73">
        <v>2.1063829787234041</v>
      </c>
      <c r="E144" s="69">
        <v>0.29078014184397161</v>
      </c>
      <c r="F144" s="69">
        <v>0.26190476190476192</v>
      </c>
      <c r="G144" s="69">
        <v>0.19139194139194138</v>
      </c>
      <c r="H144" s="70">
        <v>10791.258741258742</v>
      </c>
      <c r="I144" s="70">
        <v>-9648.8038277511969</v>
      </c>
      <c r="J144" s="69">
        <v>0.19148936170212766</v>
      </c>
      <c r="K144" s="69">
        <v>0.12056737588652482</v>
      </c>
      <c r="L144" s="69">
        <v>7.8014184397163122E-2</v>
      </c>
      <c r="M144" s="69">
        <v>0.29121540312876054</v>
      </c>
      <c r="N144" s="69">
        <v>0.17689530685920576</v>
      </c>
      <c r="O144" s="69">
        <v>0.57851239669421484</v>
      </c>
      <c r="P144" s="69">
        <v>0.39455782312925169</v>
      </c>
      <c r="Q144" s="69">
        <v>0.45104895104895104</v>
      </c>
    </row>
    <row r="145" spans="1:17" x14ac:dyDescent="0.4">
      <c r="A145" s="71">
        <v>142</v>
      </c>
      <c r="B145" s="68">
        <v>-538.49999999999989</v>
      </c>
      <c r="C145" s="68">
        <v>-3.7922535211267596</v>
      </c>
      <c r="D145" s="73">
        <v>2.1056338028169015</v>
      </c>
      <c r="E145" s="69">
        <v>0.28873239436619719</v>
      </c>
      <c r="F145" s="69">
        <v>0.26110607434270172</v>
      </c>
      <c r="G145" s="69">
        <v>0.19038984587488667</v>
      </c>
      <c r="H145" s="70">
        <v>10792.708333333334</v>
      </c>
      <c r="I145" s="70">
        <v>-9621.4285714285706</v>
      </c>
      <c r="J145" s="69">
        <v>0.19014084507042253</v>
      </c>
      <c r="K145" s="69">
        <v>0.11971830985915492</v>
      </c>
      <c r="L145" s="69">
        <v>7.746478873239436E-2</v>
      </c>
      <c r="M145" s="69">
        <v>0.28978622327790976</v>
      </c>
      <c r="N145" s="69">
        <v>0.17577197149643706</v>
      </c>
      <c r="O145" s="69">
        <v>0.57786885245901642</v>
      </c>
      <c r="P145" s="69">
        <v>0.39189189189189189</v>
      </c>
      <c r="Q145" s="6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97E-3797-4644-B487-FB173673797A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B7B5-7FC2-4B03-A939-07732F071330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07EDE-516D-4453-A707-0EDC071DCCBB}">
  <sheetPr codeName="Sheet8"/>
  <dimension ref="A1:Q26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  <row r="234" spans="1:17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0.1038961038961039</v>
      </c>
      <c r="M234" s="69">
        <v>0.30817120622568095</v>
      </c>
      <c r="N234" s="69">
        <v>0.20544747081712061</v>
      </c>
      <c r="O234" s="69">
        <v>0.63636363636363635</v>
      </c>
      <c r="P234" s="69">
        <v>0.48863636363636365</v>
      </c>
      <c r="Q234" s="69">
        <v>0.37439222042139386</v>
      </c>
    </row>
    <row r="235" spans="1:17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0.10344827586206896</v>
      </c>
      <c r="M235" s="69">
        <v>0.30709876543209874</v>
      </c>
      <c r="N235" s="69">
        <v>0.20601851851851852</v>
      </c>
      <c r="O235" s="69">
        <v>0.63819095477386933</v>
      </c>
      <c r="P235" s="69">
        <v>0.48689138576779029</v>
      </c>
      <c r="Q235" s="69">
        <v>0.37419354838709679</v>
      </c>
    </row>
    <row r="236" spans="1:17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0.10300429184549356</v>
      </c>
      <c r="M236" s="69">
        <v>0.30598159509202455</v>
      </c>
      <c r="N236" s="69">
        <v>0.20628834355828221</v>
      </c>
      <c r="O236" s="69">
        <v>0.63909774436090228</v>
      </c>
      <c r="P236" s="69">
        <v>0.48698884758364314</v>
      </c>
      <c r="Q236" s="69">
        <v>0.3756019261637239</v>
      </c>
    </row>
    <row r="237" spans="1:17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0.10256410256410256</v>
      </c>
      <c r="M237" s="69">
        <v>0.30418250950570341</v>
      </c>
      <c r="N237" s="69">
        <v>0.20608365019011407</v>
      </c>
      <c r="O237" s="69">
        <v>0.63749999999999996</v>
      </c>
      <c r="P237" s="69">
        <v>0.4907749077490775</v>
      </c>
      <c r="Q237" s="69">
        <v>0.37480063795853269</v>
      </c>
    </row>
    <row r="238" spans="1:17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0.10212765957446808</v>
      </c>
      <c r="M238" s="69">
        <v>0.30484114977307109</v>
      </c>
      <c r="N238" s="69">
        <v>0.20499243570347958</v>
      </c>
      <c r="O238" s="69">
        <v>0.63771712158808935</v>
      </c>
      <c r="P238" s="69">
        <v>0.4907749077490775</v>
      </c>
      <c r="Q238" s="69">
        <v>0.37519872813990462</v>
      </c>
    </row>
    <row r="239" spans="1:17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0.10169491525423729</v>
      </c>
      <c r="M239" s="69">
        <v>0.30451127819548873</v>
      </c>
      <c r="N239" s="69">
        <v>0.20451127819548873</v>
      </c>
      <c r="O239" s="69">
        <v>0.63950617283950617</v>
      </c>
      <c r="P239" s="69">
        <v>0.49264705882352944</v>
      </c>
      <c r="Q239" s="69">
        <v>0.37598736176935227</v>
      </c>
    </row>
    <row r="240" spans="1:17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0.10548523206751055</v>
      </c>
      <c r="M240" s="69">
        <v>0.30568011958146485</v>
      </c>
      <c r="N240" s="69">
        <v>0.20478325859491778</v>
      </c>
      <c r="O240" s="69">
        <v>0.63814180929095354</v>
      </c>
      <c r="P240" s="69">
        <v>0.48905109489051096</v>
      </c>
      <c r="Q240" s="69">
        <v>0.37480314960629924</v>
      </c>
    </row>
    <row r="241" spans="1:17" x14ac:dyDescent="0.4">
      <c r="A241" s="71">
        <v>238</v>
      </c>
      <c r="B241" s="68">
        <v>1638.8999999999999</v>
      </c>
      <c r="C241" s="68">
        <v>6.8861344537815121</v>
      </c>
      <c r="D241" s="73">
        <v>1.7605042016806722</v>
      </c>
      <c r="E241" s="69">
        <v>0.44537815126050423</v>
      </c>
      <c r="F241" s="69">
        <v>0.35519733185102836</v>
      </c>
      <c r="G241" s="69">
        <v>0.14063368538076709</v>
      </c>
      <c r="H241" s="70">
        <v>9841.7840375586857</v>
      </c>
      <c r="I241" s="70">
        <v>-9276.2845849802379</v>
      </c>
      <c r="J241" s="69">
        <v>0.10084033613445378</v>
      </c>
      <c r="K241" s="69">
        <v>0.19327731092436976</v>
      </c>
      <c r="L241" s="69">
        <v>0.10504201680672269</v>
      </c>
      <c r="M241" s="69">
        <v>0.3060312732688012</v>
      </c>
      <c r="N241" s="69">
        <v>0.20625465376023827</v>
      </c>
      <c r="O241" s="69">
        <v>0.63990267639902676</v>
      </c>
      <c r="P241" s="69">
        <v>0.49097472924187724</v>
      </c>
      <c r="Q241" s="69">
        <v>0.37402190923317685</v>
      </c>
    </row>
    <row r="242" spans="1:17" x14ac:dyDescent="0.4">
      <c r="A242" s="71">
        <v>239</v>
      </c>
      <c r="B242" s="68">
        <v>1645.1999999999998</v>
      </c>
      <c r="C242" s="68">
        <v>6.8836820083681998</v>
      </c>
      <c r="D242" s="73">
        <v>1.7573221757322175</v>
      </c>
      <c r="E242" s="69">
        <v>0.44769874476987448</v>
      </c>
      <c r="F242" s="69">
        <v>0.35508849557522126</v>
      </c>
      <c r="G242" s="69">
        <v>0.14103982300884957</v>
      </c>
      <c r="H242" s="70">
        <v>9845.6386292834886</v>
      </c>
      <c r="I242" s="70">
        <v>-9260.7843137254895</v>
      </c>
      <c r="J242" s="69">
        <v>0.100418410041841</v>
      </c>
      <c r="K242" s="69">
        <v>0.19246861924686193</v>
      </c>
      <c r="L242" s="69">
        <v>0.10460251046025104</v>
      </c>
      <c r="M242" s="69">
        <v>0.30473372781065089</v>
      </c>
      <c r="N242" s="69">
        <v>0.20784023668639054</v>
      </c>
      <c r="O242" s="69">
        <v>0.64077669902912626</v>
      </c>
      <c r="P242" s="69">
        <v>0.48754448398576511</v>
      </c>
      <c r="Q242" s="69">
        <v>0.37538940809968846</v>
      </c>
    </row>
    <row r="243" spans="1:17" x14ac:dyDescent="0.4">
      <c r="A243" s="71">
        <v>240</v>
      </c>
      <c r="B243" s="68">
        <v>1669.4999999999998</v>
      </c>
      <c r="C243" s="68">
        <v>6.9562499999999989</v>
      </c>
      <c r="D243" s="73">
        <v>1.7541666666666667</v>
      </c>
      <c r="E243" s="69">
        <v>0.45</v>
      </c>
      <c r="F243" s="69">
        <v>0.35611907386990077</v>
      </c>
      <c r="G243" s="69">
        <v>0.14057331863285558</v>
      </c>
      <c r="H243" s="70">
        <v>9823.8390092879254</v>
      </c>
      <c r="I243" s="70">
        <v>-9260.7843137254895</v>
      </c>
      <c r="J243" s="69">
        <v>0.1</v>
      </c>
      <c r="K243" s="69">
        <v>0.19166666666666668</v>
      </c>
      <c r="L243" s="69">
        <v>0.10416666666666667</v>
      </c>
      <c r="M243" s="69">
        <v>0.30633284241531666</v>
      </c>
      <c r="N243" s="69">
        <v>0.20839469808541974</v>
      </c>
      <c r="O243" s="69">
        <v>0.64423076923076927</v>
      </c>
      <c r="P243" s="69">
        <v>0.48409893992932862</v>
      </c>
      <c r="Q243" s="69">
        <v>0.37770897832817335</v>
      </c>
    </row>
    <row r="244" spans="1:17" x14ac:dyDescent="0.4">
      <c r="A244" s="71">
        <v>241</v>
      </c>
      <c r="B244" s="68">
        <v>1659.0999999999997</v>
      </c>
      <c r="C244" s="68">
        <v>6.8842323651452269</v>
      </c>
      <c r="D244" s="73">
        <v>1.7551867219917012</v>
      </c>
      <c r="E244" s="69">
        <v>0.44813278008298757</v>
      </c>
      <c r="F244" s="69">
        <v>0.35604395604395606</v>
      </c>
      <c r="G244" s="69">
        <v>0.14120879120879121</v>
      </c>
      <c r="H244" s="70">
        <v>9810.8024691358023</v>
      </c>
      <c r="I244" s="70">
        <v>-9250.1945525291831</v>
      </c>
      <c r="J244" s="69">
        <v>9.9585062240663894E-2</v>
      </c>
      <c r="K244" s="69">
        <v>0.1908713692946058</v>
      </c>
      <c r="L244" s="69">
        <v>0.1037344398340249</v>
      </c>
      <c r="M244" s="69">
        <v>0.30498533724340177</v>
      </c>
      <c r="N244" s="69">
        <v>0.20821114369501467</v>
      </c>
      <c r="O244" s="69">
        <v>0.64423076923076927</v>
      </c>
      <c r="P244" s="69">
        <v>0.4859154929577465</v>
      </c>
      <c r="Q244" s="69">
        <v>0.37654320987654322</v>
      </c>
    </row>
    <row r="245" spans="1:17" x14ac:dyDescent="0.4">
      <c r="A245" s="71">
        <v>242</v>
      </c>
      <c r="B245" s="68">
        <v>1658.0999999999997</v>
      </c>
      <c r="C245" s="68">
        <v>6.8516528925619822</v>
      </c>
      <c r="D245" s="73">
        <v>1.7561983471074381</v>
      </c>
      <c r="E245" s="69">
        <v>0.4462809917355372</v>
      </c>
      <c r="F245" s="69">
        <v>0.35667396061269147</v>
      </c>
      <c r="G245" s="69">
        <v>0.14113785557986872</v>
      </c>
      <c r="H245" s="70">
        <v>9802.7607361963182</v>
      </c>
      <c r="I245" s="70">
        <v>-9307.364341085271</v>
      </c>
      <c r="J245" s="69">
        <v>9.9173553719008267E-2</v>
      </c>
      <c r="K245" s="69">
        <v>0.19008264462809918</v>
      </c>
      <c r="L245" s="69">
        <v>0.10330578512396695</v>
      </c>
      <c r="M245" s="69">
        <v>0.30466472303206998</v>
      </c>
      <c r="N245" s="69">
        <v>0.2099125364431487</v>
      </c>
      <c r="O245" s="69">
        <v>0.64593301435406703</v>
      </c>
      <c r="P245" s="69">
        <v>0.4861111111111111</v>
      </c>
      <c r="Q245" s="69">
        <v>0.37576687116564417</v>
      </c>
    </row>
    <row r="246" spans="1:17" x14ac:dyDescent="0.4">
      <c r="A246" s="71">
        <v>243</v>
      </c>
      <c r="B246" s="68">
        <v>1677.8999999999996</v>
      </c>
      <c r="C246" s="68">
        <v>6.9049382716049363</v>
      </c>
      <c r="D246" s="73">
        <v>1.7572016460905351</v>
      </c>
      <c r="E246" s="69">
        <v>0.44444444444444442</v>
      </c>
      <c r="F246" s="69">
        <v>0.35710397387044096</v>
      </c>
      <c r="G246" s="69">
        <v>0.14153511159499182</v>
      </c>
      <c r="H246" s="70">
        <v>9815.0914634146338</v>
      </c>
      <c r="I246" s="70">
        <v>-9343.461538461539</v>
      </c>
      <c r="J246" s="69">
        <v>9.8765432098765427E-2</v>
      </c>
      <c r="K246" s="69">
        <v>0.18930041152263374</v>
      </c>
      <c r="L246" s="69">
        <v>0.102880658436214</v>
      </c>
      <c r="M246" s="69">
        <v>0.30485155684286747</v>
      </c>
      <c r="N246" s="69">
        <v>0.20854453294713976</v>
      </c>
      <c r="O246" s="69">
        <v>0.64845605700712594</v>
      </c>
      <c r="P246" s="69">
        <v>0.4861111111111111</v>
      </c>
      <c r="Q246" s="69">
        <v>0.375</v>
      </c>
    </row>
    <row r="247" spans="1:17" x14ac:dyDescent="0.4">
      <c r="A247" s="71">
        <v>244</v>
      </c>
      <c r="B247" s="68">
        <v>1705.5999999999997</v>
      </c>
      <c r="C247" s="68">
        <v>6.9901639344262279</v>
      </c>
      <c r="D247" s="73">
        <v>1.7540983606557377</v>
      </c>
      <c r="E247" s="69">
        <v>0.44672131147540983</v>
      </c>
      <c r="F247" s="69">
        <v>0.35756918068366794</v>
      </c>
      <c r="G247" s="69">
        <v>0.14161692892023875</v>
      </c>
      <c r="H247" s="70">
        <v>9825.0379362670719</v>
      </c>
      <c r="I247" s="70">
        <v>-9338.3141762452105</v>
      </c>
      <c r="J247" s="69">
        <v>9.8360655737704916E-2</v>
      </c>
      <c r="K247" s="69">
        <v>0.18852459016393441</v>
      </c>
      <c r="L247" s="69">
        <v>0.10245901639344263</v>
      </c>
      <c r="M247" s="69">
        <v>0.30569574621485218</v>
      </c>
      <c r="N247" s="69">
        <v>0.20764239365537129</v>
      </c>
      <c r="O247" s="69">
        <v>0.65094339622641506</v>
      </c>
      <c r="P247" s="69">
        <v>0.4861111111111111</v>
      </c>
      <c r="Q247" s="69">
        <v>0.37632776934749623</v>
      </c>
    </row>
    <row r="248" spans="1:17" x14ac:dyDescent="0.4">
      <c r="A248" s="71">
        <v>245</v>
      </c>
      <c r="B248" s="68">
        <v>1713.0999999999997</v>
      </c>
      <c r="C248" s="68">
        <v>6.992244897959182</v>
      </c>
      <c r="D248" s="73">
        <v>1.7551020408163265</v>
      </c>
      <c r="E248" s="69">
        <v>0.44489795918367347</v>
      </c>
      <c r="F248" s="69">
        <v>0.35752979414951247</v>
      </c>
      <c r="G248" s="69">
        <v>0.14138678223185266</v>
      </c>
      <c r="H248" s="70">
        <v>9828.3333333333339</v>
      </c>
      <c r="I248" s="70">
        <v>-9338.3141762452105</v>
      </c>
      <c r="J248" s="69">
        <v>9.7959183673469383E-2</v>
      </c>
      <c r="K248" s="69">
        <v>0.18775510204081633</v>
      </c>
      <c r="L248" s="69">
        <v>0.10204081632653061</v>
      </c>
      <c r="M248" s="69">
        <v>0.30503597122302156</v>
      </c>
      <c r="N248" s="69">
        <v>0.2079136690647482</v>
      </c>
      <c r="O248" s="69">
        <v>0.65094339622641506</v>
      </c>
      <c r="P248" s="69">
        <v>0.48788927335640137</v>
      </c>
      <c r="Q248" s="69">
        <v>0.37575757575757573</v>
      </c>
    </row>
    <row r="249" spans="1:17" x14ac:dyDescent="0.4">
      <c r="A249" s="71">
        <v>246</v>
      </c>
      <c r="B249" s="68">
        <v>1744.5999999999997</v>
      </c>
      <c r="C249" s="68">
        <v>7.091869918699186</v>
      </c>
      <c r="D249" s="73">
        <v>1.7520325203252032</v>
      </c>
      <c r="E249" s="69">
        <v>0.44715447154471544</v>
      </c>
      <c r="F249" s="69">
        <v>0.35721982758620691</v>
      </c>
      <c r="G249" s="69">
        <v>0.14116379310344829</v>
      </c>
      <c r="H249" s="70">
        <v>9862.2926093514325</v>
      </c>
      <c r="I249" s="70">
        <v>-9333.2061068702296</v>
      </c>
      <c r="J249" s="69">
        <v>9.7560975609756101E-2</v>
      </c>
      <c r="K249" s="69">
        <v>0.18699186991869918</v>
      </c>
      <c r="L249" s="69">
        <v>0.1016260162601626</v>
      </c>
      <c r="M249" s="69">
        <v>0.30499999999999999</v>
      </c>
      <c r="N249" s="69">
        <v>0.20785714285714285</v>
      </c>
      <c r="O249" s="69">
        <v>0.65105386416861821</v>
      </c>
      <c r="P249" s="69">
        <v>0.4845360824742268</v>
      </c>
      <c r="Q249" s="69">
        <v>0.37858220211161386</v>
      </c>
    </row>
    <row r="250" spans="1:17" x14ac:dyDescent="0.4">
      <c r="A250" s="71">
        <v>247</v>
      </c>
      <c r="B250" s="68">
        <v>1797.0999999999997</v>
      </c>
      <c r="C250" s="68">
        <v>7.2757085020242904</v>
      </c>
      <c r="D250" s="73">
        <v>1.7489878542510122</v>
      </c>
      <c r="E250" s="69">
        <v>0.44939271255060731</v>
      </c>
      <c r="F250" s="69">
        <v>0.35733476625470179</v>
      </c>
      <c r="G250" s="69">
        <v>0.14078452444922085</v>
      </c>
      <c r="H250" s="70">
        <v>9928.8721804511279</v>
      </c>
      <c r="I250" s="70">
        <v>-9333.2061068702296</v>
      </c>
      <c r="J250" s="69">
        <v>9.7165991902834009E-2</v>
      </c>
      <c r="K250" s="69">
        <v>0.19028340080971659</v>
      </c>
      <c r="L250" s="69">
        <v>0.10526315789473684</v>
      </c>
      <c r="M250" s="69">
        <v>0.30533807829181497</v>
      </c>
      <c r="N250" s="69">
        <v>0.20782918149466192</v>
      </c>
      <c r="O250" s="69">
        <v>0.65034965034965031</v>
      </c>
      <c r="P250" s="69">
        <v>0.48287671232876711</v>
      </c>
      <c r="Q250" s="69">
        <v>0.37894736842105264</v>
      </c>
    </row>
    <row r="251" spans="1:17" x14ac:dyDescent="0.4">
      <c r="A251" s="71">
        <v>248</v>
      </c>
      <c r="B251" s="68">
        <v>1790.8999999999996</v>
      </c>
      <c r="C251" s="68">
        <v>7.221370967741934</v>
      </c>
      <c r="D251" s="73">
        <v>1.75</v>
      </c>
      <c r="E251" s="69">
        <v>0.44758064516129031</v>
      </c>
      <c r="F251" s="69">
        <v>0.35664709022957819</v>
      </c>
      <c r="G251" s="69">
        <v>0.14095034703683929</v>
      </c>
      <c r="H251" s="70">
        <v>9941.1676646706583</v>
      </c>
      <c r="I251" s="70">
        <v>-9338.257575757576</v>
      </c>
      <c r="J251" s="69">
        <v>9.6774193548387094E-2</v>
      </c>
      <c r="K251" s="69">
        <v>0.18951612903225806</v>
      </c>
      <c r="L251" s="69">
        <v>0.10483870967741936</v>
      </c>
      <c r="M251" s="69">
        <v>0.30416372618207482</v>
      </c>
      <c r="N251" s="69">
        <v>0.20748059280169373</v>
      </c>
      <c r="O251" s="69">
        <v>0.65197215777262185</v>
      </c>
      <c r="P251" s="69">
        <v>0.48299319727891155</v>
      </c>
      <c r="Q251" s="69">
        <v>0.3787425149700599</v>
      </c>
    </row>
    <row r="252" spans="1:17" x14ac:dyDescent="0.4">
      <c r="A252" s="71">
        <v>249</v>
      </c>
      <c r="B252" s="68">
        <v>1782.0999999999997</v>
      </c>
      <c r="C252" s="68">
        <v>7.1570281124497983</v>
      </c>
      <c r="D252" s="73">
        <v>1.751004016064257</v>
      </c>
      <c r="E252" s="69">
        <v>0.44578313253012047</v>
      </c>
      <c r="F252" s="69">
        <v>0.35604044704630122</v>
      </c>
      <c r="G252" s="69">
        <v>0.14050026609898883</v>
      </c>
      <c r="H252" s="70">
        <v>9944.2451420029902</v>
      </c>
      <c r="I252" s="70">
        <v>-9338.257575757576</v>
      </c>
      <c r="J252" s="69">
        <v>9.6385542168674704E-2</v>
      </c>
      <c r="K252" s="69">
        <v>0.18875502008032127</v>
      </c>
      <c r="L252" s="69">
        <v>0.10441767068273092</v>
      </c>
      <c r="M252" s="69">
        <v>0.30358397751229799</v>
      </c>
      <c r="N252" s="69">
        <v>0.20660576247364723</v>
      </c>
      <c r="O252" s="69">
        <v>0.65277777777777779</v>
      </c>
      <c r="P252" s="69">
        <v>0.48299319727891155</v>
      </c>
      <c r="Q252" s="69">
        <v>0.37967115097159942</v>
      </c>
    </row>
    <row r="253" spans="1:17" x14ac:dyDescent="0.4">
      <c r="A253" s="71">
        <v>250</v>
      </c>
      <c r="B253" s="68">
        <v>1800.5999999999997</v>
      </c>
      <c r="C253" s="68">
        <v>7.202399999999999</v>
      </c>
      <c r="D253" s="73">
        <v>1.748</v>
      </c>
      <c r="E253" s="69">
        <v>0.44800000000000001</v>
      </c>
      <c r="F253" s="69">
        <v>0.35559088500264968</v>
      </c>
      <c r="G253" s="69">
        <v>0.13990461049284578</v>
      </c>
      <c r="H253" s="70">
        <v>9956.3338301043223</v>
      </c>
      <c r="I253" s="70">
        <v>-9338.257575757576</v>
      </c>
      <c r="J253" s="69">
        <v>9.6000000000000002E-2</v>
      </c>
      <c r="K253" s="69">
        <v>0.188</v>
      </c>
      <c r="L253" s="69">
        <v>0.104</v>
      </c>
      <c r="M253" s="69">
        <v>0.30468204053109715</v>
      </c>
      <c r="N253" s="69">
        <v>0.20545073375262055</v>
      </c>
      <c r="O253" s="69">
        <v>0.65137614678899081</v>
      </c>
      <c r="P253" s="69">
        <v>0.48299319727891155</v>
      </c>
      <c r="Q253" s="69">
        <v>0.38002980625931443</v>
      </c>
    </row>
    <row r="254" spans="1:17" x14ac:dyDescent="0.4">
      <c r="A254" s="71">
        <v>251</v>
      </c>
      <c r="B254" s="68">
        <v>1833.6999999999996</v>
      </c>
      <c r="C254" s="68">
        <v>7.3055776892430266</v>
      </c>
      <c r="D254" s="73">
        <v>1.7450199203187251</v>
      </c>
      <c r="E254" s="69">
        <v>0.45019920318725098</v>
      </c>
      <c r="F254" s="69">
        <v>0.35654008438818563</v>
      </c>
      <c r="G254" s="69">
        <v>0.14029535864978904</v>
      </c>
      <c r="H254" s="70">
        <v>9953.2544378698221</v>
      </c>
      <c r="I254" s="70">
        <v>-9307.894736842105</v>
      </c>
      <c r="J254" s="69">
        <v>9.5617529880478086E-2</v>
      </c>
      <c r="K254" s="69">
        <v>0.18725099601593626</v>
      </c>
      <c r="L254" s="69">
        <v>0.10358565737051793</v>
      </c>
      <c r="M254" s="69">
        <v>0.30486111111111114</v>
      </c>
      <c r="N254" s="69">
        <v>0.20624999999999999</v>
      </c>
      <c r="O254" s="69">
        <v>0.65375854214123008</v>
      </c>
      <c r="P254" s="69">
        <v>0.48148148148148145</v>
      </c>
      <c r="Q254" s="69">
        <v>0.38017751479289941</v>
      </c>
    </row>
    <row r="255" spans="1:17" x14ac:dyDescent="0.4">
      <c r="A255" s="71">
        <v>252</v>
      </c>
      <c r="B255" s="68">
        <v>1901.6999999999996</v>
      </c>
      <c r="C255" s="68">
        <v>7.5464285714285699</v>
      </c>
      <c r="D255" s="73">
        <v>1.7420634920634921</v>
      </c>
      <c r="E255" s="69">
        <v>0.45238095238095238</v>
      </c>
      <c r="F255" s="69">
        <v>0.35823250920568123</v>
      </c>
      <c r="G255" s="69">
        <v>0.13992635455023672</v>
      </c>
      <c r="H255" s="70">
        <v>9974.1556534508072</v>
      </c>
      <c r="I255" s="70">
        <v>-9307.894736842105</v>
      </c>
      <c r="J255" s="69">
        <v>9.5238095238095233E-2</v>
      </c>
      <c r="K255" s="69">
        <v>0.19047619047619047</v>
      </c>
      <c r="L255" s="69">
        <v>0.10317460317460317</v>
      </c>
      <c r="M255" s="69">
        <v>0.30519031141868513</v>
      </c>
      <c r="N255" s="69">
        <v>0.20761245674740483</v>
      </c>
      <c r="O255" s="69">
        <v>0.65532879818594103</v>
      </c>
      <c r="P255" s="69">
        <v>0.48666666666666669</v>
      </c>
      <c r="Q255" s="69">
        <v>0.38032305433186492</v>
      </c>
    </row>
    <row r="256" spans="1:17" x14ac:dyDescent="0.4">
      <c r="A256" s="71">
        <v>253</v>
      </c>
      <c r="B256" s="68">
        <v>1879.7999999999995</v>
      </c>
      <c r="C256" s="68">
        <v>7.430039525691698</v>
      </c>
      <c r="D256" s="73">
        <v>1.7470355731225296</v>
      </c>
      <c r="E256" s="69">
        <v>0.45059288537549408</v>
      </c>
      <c r="F256" s="69">
        <v>0.35725510738606603</v>
      </c>
      <c r="G256" s="69">
        <v>0.14091147197485596</v>
      </c>
      <c r="H256" s="70">
        <v>9965.395894428153</v>
      </c>
      <c r="I256" s="70">
        <v>-9274.3494423791817</v>
      </c>
      <c r="J256" s="69">
        <v>9.4861660079051377E-2</v>
      </c>
      <c r="K256" s="69">
        <v>0.18972332015810275</v>
      </c>
      <c r="L256" s="69">
        <v>0.10276679841897234</v>
      </c>
      <c r="M256" s="69">
        <v>0.30488644184445973</v>
      </c>
      <c r="N256" s="69">
        <v>0.20646937370956642</v>
      </c>
      <c r="O256" s="69">
        <v>0.65462753950338604</v>
      </c>
      <c r="P256" s="69">
        <v>0.48666666666666669</v>
      </c>
      <c r="Q256" s="69">
        <v>0.38123167155425219</v>
      </c>
    </row>
    <row r="257" spans="1:17" x14ac:dyDescent="0.4">
      <c r="A257" s="71">
        <v>254</v>
      </c>
      <c r="B257" s="68">
        <v>1888.7999999999995</v>
      </c>
      <c r="C257" s="68">
        <v>7.4362204724409429</v>
      </c>
      <c r="D257" s="73">
        <v>1.7480314960629921</v>
      </c>
      <c r="E257" s="69">
        <v>0.44881889763779526</v>
      </c>
      <c r="F257" s="69">
        <v>0.35732916014606153</v>
      </c>
      <c r="G257" s="69">
        <v>0.14084507042253522</v>
      </c>
      <c r="H257" s="70">
        <v>9956.7883211678836</v>
      </c>
      <c r="I257" s="70">
        <v>-9284.4444444444453</v>
      </c>
      <c r="J257" s="69">
        <v>9.4488188976377951E-2</v>
      </c>
      <c r="K257" s="69">
        <v>0.1889763779527559</v>
      </c>
      <c r="L257" s="69">
        <v>0.10236220472440945</v>
      </c>
      <c r="M257" s="69">
        <v>0.30458590006844627</v>
      </c>
      <c r="N257" s="69">
        <v>0.20602327173169063</v>
      </c>
      <c r="O257" s="69">
        <v>0.65617977528089888</v>
      </c>
      <c r="P257" s="69">
        <v>0.48837209302325579</v>
      </c>
      <c r="Q257" s="69">
        <v>0.38248175182481753</v>
      </c>
    </row>
    <row r="258" spans="1:17" x14ac:dyDescent="0.4">
      <c r="A258" s="71">
        <v>255</v>
      </c>
      <c r="B258" s="68">
        <v>1915.3999999999994</v>
      </c>
      <c r="C258" s="68">
        <v>7.5113725490196055</v>
      </c>
      <c r="D258" s="73">
        <v>1.7450980392156863</v>
      </c>
      <c r="E258" s="69">
        <v>0.45098039215686275</v>
      </c>
      <c r="F258" s="69">
        <v>0.35792207792207792</v>
      </c>
      <c r="G258" s="69">
        <v>0.14025974025974025</v>
      </c>
      <c r="H258" s="70">
        <v>9942.670537010159</v>
      </c>
      <c r="I258" s="70">
        <v>-9284.4444444444453</v>
      </c>
      <c r="J258" s="69">
        <v>9.4117647058823528E-2</v>
      </c>
      <c r="K258" s="69">
        <v>0.18823529411764706</v>
      </c>
      <c r="L258" s="69">
        <v>0.10196078431372549</v>
      </c>
      <c r="M258" s="69">
        <v>0.30496936691626958</v>
      </c>
      <c r="N258" s="69">
        <v>0.20626276378488767</v>
      </c>
      <c r="O258" s="69">
        <v>0.65625</v>
      </c>
      <c r="P258" s="69">
        <v>0.49174917491749176</v>
      </c>
      <c r="Q258" s="69">
        <v>0.38461538461538464</v>
      </c>
    </row>
    <row r="259" spans="1:17" x14ac:dyDescent="0.4">
      <c r="A259" s="71">
        <v>256</v>
      </c>
      <c r="B259" s="68">
        <v>1934.3999999999994</v>
      </c>
      <c r="C259" s="68">
        <v>7.5562499999999977</v>
      </c>
      <c r="D259" s="73">
        <v>1.7421875</v>
      </c>
      <c r="E259" s="69">
        <v>0.453125</v>
      </c>
      <c r="F259" s="69">
        <v>0.35795454545454547</v>
      </c>
      <c r="G259" s="69">
        <v>0.13946280991735538</v>
      </c>
      <c r="H259" s="70">
        <v>9937.2294372294364</v>
      </c>
      <c r="I259" s="70">
        <v>-9284.4444444444453</v>
      </c>
      <c r="J259" s="69">
        <v>9.375E-2</v>
      </c>
      <c r="K259" s="69">
        <v>0.1875</v>
      </c>
      <c r="L259" s="69">
        <v>0.1015625</v>
      </c>
      <c r="M259" s="69">
        <v>0.30405405405405406</v>
      </c>
      <c r="N259" s="69">
        <v>0.20743243243243242</v>
      </c>
      <c r="O259" s="69">
        <v>0.65555555555555556</v>
      </c>
      <c r="P259" s="69">
        <v>0.49511400651465798</v>
      </c>
      <c r="Q259" s="69">
        <v>0.38528138528138528</v>
      </c>
    </row>
    <row r="260" spans="1:17" x14ac:dyDescent="0.4">
      <c r="A260" s="71">
        <v>257</v>
      </c>
      <c r="B260" s="68">
        <v>1888.9999999999993</v>
      </c>
      <c r="C260" s="68">
        <v>7.3501945525291799</v>
      </c>
      <c r="D260" s="73">
        <v>1.7470817120622568</v>
      </c>
      <c r="E260" s="69">
        <v>0.45136186770428016</v>
      </c>
      <c r="F260" s="69">
        <v>0.35714285714285715</v>
      </c>
      <c r="G260" s="69">
        <v>0.14028776978417265</v>
      </c>
      <c r="H260" s="70">
        <v>9923.1654676258986</v>
      </c>
      <c r="I260" s="70">
        <v>-9277.6556776556772</v>
      </c>
      <c r="J260" s="69">
        <v>9.727626459143969E-2</v>
      </c>
      <c r="K260" s="69">
        <v>0.1867704280155642</v>
      </c>
      <c r="L260" s="69">
        <v>0.10116731517509728</v>
      </c>
      <c r="M260" s="69">
        <v>0.30335570469798656</v>
      </c>
      <c r="N260" s="69">
        <v>0.20872483221476509</v>
      </c>
      <c r="O260" s="69">
        <v>0.65486725663716816</v>
      </c>
      <c r="P260" s="69">
        <v>0.49196141479099681</v>
      </c>
      <c r="Q260" s="6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A3CF-FB0B-4223-A535-C76C8AFFF6A4}">
  <sheetPr codeName="Sheet6"/>
  <dimension ref="A1:Q30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  <row r="274" spans="1:17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8.4870848708487087E-2</v>
      </c>
      <c r="M274" s="69">
        <v>0.28933584747538238</v>
      </c>
      <c r="N274" s="69">
        <v>0.21935889377749843</v>
      </c>
      <c r="O274" s="69">
        <v>0.58146270818247647</v>
      </c>
      <c r="P274" s="69">
        <v>0.39541547277936961</v>
      </c>
      <c r="Q274" s="69">
        <v>0.41554959785522788</v>
      </c>
    </row>
    <row r="275" spans="1:17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8.455882352941177E-2</v>
      </c>
      <c r="M275" s="69">
        <v>0.28942987931751979</v>
      </c>
      <c r="N275" s="69">
        <v>0.21930919683728672</v>
      </c>
      <c r="O275" s="69">
        <v>0.58159597411933861</v>
      </c>
      <c r="P275" s="69">
        <v>0.39563567362428842</v>
      </c>
      <c r="Q275" s="69">
        <v>0.41568836712913554</v>
      </c>
    </row>
    <row r="276" spans="1:17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8.4249084249084255E-2</v>
      </c>
      <c r="M276" s="69">
        <v>0.28902691511387163</v>
      </c>
      <c r="N276" s="69">
        <v>0.21946169772256729</v>
      </c>
      <c r="O276" s="69">
        <v>0.58094555873925502</v>
      </c>
      <c r="P276" s="69">
        <v>0.39528301886792455</v>
      </c>
      <c r="Q276" s="69">
        <v>0.41648936170212764</v>
      </c>
    </row>
    <row r="277" spans="1:17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8.3941605839416053E-2</v>
      </c>
      <c r="M277" s="69">
        <v>0.28809376927822333</v>
      </c>
      <c r="N277" s="69">
        <v>0.21961752004935226</v>
      </c>
      <c r="O277" s="69">
        <v>0.58029978586723774</v>
      </c>
      <c r="P277" s="69">
        <v>0.3960674157303371</v>
      </c>
      <c r="Q277" s="69">
        <v>0.4163135593220339</v>
      </c>
    </row>
    <row r="278" spans="1:17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8.3636363636363634E-2</v>
      </c>
      <c r="M278" s="69">
        <v>0.28828828828828829</v>
      </c>
      <c r="N278" s="69">
        <v>0.21928746928746928</v>
      </c>
      <c r="O278" s="69">
        <v>0.58096590909090906</v>
      </c>
      <c r="P278" s="69">
        <v>0.39589169000933705</v>
      </c>
      <c r="Q278" s="69">
        <v>0.41710665258711721</v>
      </c>
    </row>
    <row r="279" spans="1:17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8.3333333333333329E-2</v>
      </c>
      <c r="M279" s="69">
        <v>0.28830480847595763</v>
      </c>
      <c r="N279" s="69">
        <v>0.21943765281173594</v>
      </c>
      <c r="O279" s="69">
        <v>0.58091872791519439</v>
      </c>
      <c r="P279" s="69">
        <v>0.3955431754874652</v>
      </c>
      <c r="Q279" s="69">
        <v>0.41714886901630721</v>
      </c>
    </row>
    <row r="280" spans="1:17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8.3032490974729242E-2</v>
      </c>
      <c r="M280" s="69">
        <v>0.28811841038118413</v>
      </c>
      <c r="N280" s="69">
        <v>0.21958637469586376</v>
      </c>
      <c r="O280" s="69">
        <v>0.57987332864180152</v>
      </c>
      <c r="P280" s="69">
        <v>0.39519852262234534</v>
      </c>
      <c r="Q280" s="69">
        <v>0.41719077568134172</v>
      </c>
    </row>
    <row r="281" spans="1:17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8.3932853717026384E-2</v>
      </c>
      <c r="M281" s="69">
        <v>0.28894269572235676</v>
      </c>
      <c r="N281" s="69">
        <v>0.21933010492332528</v>
      </c>
      <c r="O281" s="69">
        <v>0.57960893854748607</v>
      </c>
      <c r="P281" s="69">
        <v>0.39374425022999082</v>
      </c>
      <c r="Q281" s="69">
        <v>0.41723237597911228</v>
      </c>
    </row>
    <row r="282" spans="1:17" x14ac:dyDescent="0.4">
      <c r="A282" s="71">
        <v>279</v>
      </c>
      <c r="B282" s="68">
        <v>-5.9999999999999361</v>
      </c>
      <c r="C282" s="68">
        <v>-7.1684587813619308E-3</v>
      </c>
      <c r="D282" s="73">
        <v>2</v>
      </c>
      <c r="E282" s="69">
        <v>0.33333333333333331</v>
      </c>
      <c r="F282" s="69">
        <v>0.30061061531235322</v>
      </c>
      <c r="G282" s="69">
        <v>0.17191169563175199</v>
      </c>
      <c r="H282" s="70">
        <v>10132.5</v>
      </c>
      <c r="I282" s="70">
        <v>-9382.6047358834239</v>
      </c>
      <c r="J282" s="69">
        <v>0.15531660692951016</v>
      </c>
      <c r="K282" s="69">
        <v>0.15531660692951016</v>
      </c>
      <c r="L282" s="69">
        <v>8.3632019115890077E-2</v>
      </c>
      <c r="M282" s="69">
        <v>0.28847314423657211</v>
      </c>
      <c r="N282" s="69">
        <v>0.21967410983705493</v>
      </c>
      <c r="O282" s="69">
        <v>0.58019525801952576</v>
      </c>
      <c r="P282" s="69">
        <v>0.39377289377289376</v>
      </c>
      <c r="Q282" s="69">
        <v>0.41666666666666669</v>
      </c>
    </row>
    <row r="283" spans="1:17" x14ac:dyDescent="0.4">
      <c r="A283" s="71">
        <v>280</v>
      </c>
      <c r="B283" s="68">
        <v>-5.9999999999999361</v>
      </c>
      <c r="C283" s="68">
        <v>-7.1428571428570663E-3</v>
      </c>
      <c r="D283" s="73">
        <v>2</v>
      </c>
      <c r="E283" s="69">
        <v>0.33333333333333331</v>
      </c>
      <c r="F283" s="69">
        <v>0.30074836295603369</v>
      </c>
      <c r="G283" s="69">
        <v>0.17181166198939818</v>
      </c>
      <c r="H283" s="70">
        <v>10127.112493519959</v>
      </c>
      <c r="I283" s="70">
        <v>-9379.9455535390207</v>
      </c>
      <c r="J283" s="69">
        <v>0.15476190476190477</v>
      </c>
      <c r="K283" s="69">
        <v>0.15476190476190477</v>
      </c>
      <c r="L283" s="69">
        <v>8.3333333333333329E-2</v>
      </c>
      <c r="M283" s="69">
        <v>0.28771508603441376</v>
      </c>
      <c r="N283" s="69">
        <v>0.21988795518207283</v>
      </c>
      <c r="O283" s="69">
        <v>0.57997218358831715</v>
      </c>
      <c r="P283" s="69">
        <v>0.39490445859872614</v>
      </c>
      <c r="Q283" s="69">
        <v>0.41731467081389323</v>
      </c>
    </row>
    <row r="284" spans="1:17" x14ac:dyDescent="0.4">
      <c r="A284" s="71">
        <v>281</v>
      </c>
      <c r="B284" s="68">
        <v>-5.9999999999999361</v>
      </c>
      <c r="C284" s="68">
        <v>-7.117437722419853E-3</v>
      </c>
      <c r="D284" s="73">
        <v>2</v>
      </c>
      <c r="E284" s="69">
        <v>0.33333333333333331</v>
      </c>
      <c r="F284" s="69">
        <v>0.30083955223880599</v>
      </c>
      <c r="G284" s="69">
        <v>0.17164179104477612</v>
      </c>
      <c r="H284" s="70">
        <v>10119.121447028423</v>
      </c>
      <c r="I284" s="70">
        <v>-9381.06884057971</v>
      </c>
      <c r="J284" s="69">
        <v>0.15421115065243179</v>
      </c>
      <c r="K284" s="69">
        <v>0.15421115065243179</v>
      </c>
      <c r="L284" s="69">
        <v>8.3036773428232499E-2</v>
      </c>
      <c r="M284" s="69">
        <v>0.28807814992025521</v>
      </c>
      <c r="N284" s="69">
        <v>0.2196969696969697</v>
      </c>
      <c r="O284" s="69">
        <v>0.58062283737024223</v>
      </c>
      <c r="P284" s="69">
        <v>0.39473684210526316</v>
      </c>
      <c r="Q284" s="69">
        <v>0.41808785529715764</v>
      </c>
    </row>
    <row r="285" spans="1:17" x14ac:dyDescent="0.4">
      <c r="A285" s="71">
        <v>282</v>
      </c>
      <c r="B285" s="68">
        <v>-5.9999999999999361</v>
      </c>
      <c r="C285" s="68">
        <v>-7.0921985815602081E-3</v>
      </c>
      <c r="D285" s="73">
        <v>2</v>
      </c>
      <c r="E285" s="69">
        <v>0.33333333333333331</v>
      </c>
      <c r="F285" s="69">
        <v>0.30108527131782947</v>
      </c>
      <c r="G285" s="69">
        <v>0.1717829457364341</v>
      </c>
      <c r="H285" s="70">
        <v>10103.810504634397</v>
      </c>
      <c r="I285" s="70">
        <v>-9371.5703971119128</v>
      </c>
      <c r="J285" s="69">
        <v>0.15366430260047281</v>
      </c>
      <c r="K285" s="69">
        <v>0.15366430260047281</v>
      </c>
      <c r="L285" s="69">
        <v>8.2742316784869971E-2</v>
      </c>
      <c r="M285" s="69">
        <v>0.28744537147397697</v>
      </c>
      <c r="N285" s="69">
        <v>0.21970599920540326</v>
      </c>
      <c r="O285" s="69">
        <v>0.58120248790601248</v>
      </c>
      <c r="P285" s="69">
        <v>0.39692585895117538</v>
      </c>
      <c r="Q285" s="69">
        <v>0.41761071060762101</v>
      </c>
    </row>
    <row r="286" spans="1:17" x14ac:dyDescent="0.4">
      <c r="A286" s="71">
        <v>283</v>
      </c>
      <c r="B286" s="68">
        <v>-5.9999999999999361</v>
      </c>
      <c r="C286" s="68">
        <v>-7.0671378091872036E-3</v>
      </c>
      <c r="D286" s="73">
        <v>2</v>
      </c>
      <c r="E286" s="69">
        <v>0.33333333333333331</v>
      </c>
      <c r="F286" s="69">
        <v>0.30117501546072972</v>
      </c>
      <c r="G286" s="69">
        <v>0.17176870748299319</v>
      </c>
      <c r="H286" s="70">
        <v>10095.94455852156</v>
      </c>
      <c r="I286" s="70">
        <v>-9373.1773177317737</v>
      </c>
      <c r="J286" s="69">
        <v>0.15312131919905772</v>
      </c>
      <c r="K286" s="69">
        <v>0.15312131919905772</v>
      </c>
      <c r="L286" s="69">
        <v>8.2449941107184926E-2</v>
      </c>
      <c r="M286" s="69">
        <v>0.28701504354711005</v>
      </c>
      <c r="N286" s="69">
        <v>0.22011084718923199</v>
      </c>
      <c r="O286" s="69">
        <v>0.58137931034482759</v>
      </c>
      <c r="P286" s="69">
        <v>0.39748201438848924</v>
      </c>
      <c r="Q286" s="69">
        <v>0.41786447638603696</v>
      </c>
    </row>
    <row r="287" spans="1:17" x14ac:dyDescent="0.4">
      <c r="A287" s="71">
        <v>284</v>
      </c>
      <c r="B287" s="68">
        <v>-5.9999999999999361</v>
      </c>
      <c r="C287" s="68">
        <v>-7.0422535211266853E-3</v>
      </c>
      <c r="D287" s="73">
        <v>2</v>
      </c>
      <c r="E287" s="69">
        <v>0.33333333333333331</v>
      </c>
      <c r="F287" s="69">
        <v>0.30129390018484287</v>
      </c>
      <c r="G287" s="69">
        <v>0.17190388170055454</v>
      </c>
      <c r="H287" s="70">
        <v>10095.040899795502</v>
      </c>
      <c r="I287" s="70">
        <v>-9373.2974910394259</v>
      </c>
      <c r="J287" s="69">
        <v>0.15258215962441316</v>
      </c>
      <c r="K287" s="69">
        <v>0.15258215962441316</v>
      </c>
      <c r="L287" s="69">
        <v>8.2159624413145546E-2</v>
      </c>
      <c r="M287" s="69">
        <v>0.28684003152088261</v>
      </c>
      <c r="N287" s="69">
        <v>0.22044917257683216</v>
      </c>
      <c r="O287" s="69">
        <v>0.58173076923076927</v>
      </c>
      <c r="P287" s="69">
        <v>0.39767649687220735</v>
      </c>
      <c r="Q287" s="69">
        <v>0.41768916155419222</v>
      </c>
    </row>
    <row r="288" spans="1:17" x14ac:dyDescent="0.4">
      <c r="A288" s="71">
        <v>285</v>
      </c>
      <c r="B288" s="68">
        <v>-5.9999999999999361</v>
      </c>
      <c r="C288" s="68">
        <v>-7.0175438596490483E-3</v>
      </c>
      <c r="D288" s="73">
        <v>2</v>
      </c>
      <c r="E288" s="69">
        <v>0.33333333333333331</v>
      </c>
      <c r="F288" s="69">
        <v>0.30127320141125941</v>
      </c>
      <c r="G288" s="69">
        <v>0.17211228716060745</v>
      </c>
      <c r="H288" s="70">
        <v>10097.9633401222</v>
      </c>
      <c r="I288" s="70">
        <v>-9382.442067736185</v>
      </c>
      <c r="J288" s="69">
        <v>0.15321637426900586</v>
      </c>
      <c r="K288" s="69">
        <v>0.15321637426900586</v>
      </c>
      <c r="L288" s="69">
        <v>8.1871345029239762E-2</v>
      </c>
      <c r="M288" s="69">
        <v>0.28649813834999022</v>
      </c>
      <c r="N288" s="69">
        <v>0.21967470115618265</v>
      </c>
      <c r="O288" s="69">
        <v>0.58207934336525313</v>
      </c>
      <c r="P288" s="69">
        <v>0.39696699375557537</v>
      </c>
      <c r="Q288" s="69">
        <v>0.41700610997963339</v>
      </c>
    </row>
    <row r="289" spans="1:17" x14ac:dyDescent="0.4">
      <c r="A289" s="71">
        <v>286</v>
      </c>
      <c r="B289" s="68">
        <v>-5.9999999999999361</v>
      </c>
      <c r="C289" s="68">
        <v>-6.9930069930069184E-3</v>
      </c>
      <c r="D289" s="73">
        <v>2</v>
      </c>
      <c r="E289" s="69">
        <v>0.33333333333333331</v>
      </c>
      <c r="F289" s="69">
        <v>0.30136148080159092</v>
      </c>
      <c r="G289" s="69">
        <v>0.1720972923359339</v>
      </c>
      <c r="H289" s="70">
        <v>10091.928934010153</v>
      </c>
      <c r="I289" s="70">
        <v>-9377.5111111111109</v>
      </c>
      <c r="J289" s="69">
        <v>0.15268065268065267</v>
      </c>
      <c r="K289" s="69">
        <v>0.15268065268065267</v>
      </c>
      <c r="L289" s="69">
        <v>8.1585081585081584E-2</v>
      </c>
      <c r="M289" s="69">
        <v>0.28646748681898065</v>
      </c>
      <c r="N289" s="69">
        <v>0.21909783245459871</v>
      </c>
      <c r="O289" s="69">
        <v>0.58282208588957052</v>
      </c>
      <c r="P289" s="69">
        <v>0.39661319073083778</v>
      </c>
      <c r="Q289" s="69">
        <v>0.41725888324873095</v>
      </c>
    </row>
    <row r="290" spans="1:17" x14ac:dyDescent="0.4">
      <c r="A290" s="71">
        <v>287</v>
      </c>
      <c r="B290" s="68">
        <v>-5.9999999999999361</v>
      </c>
      <c r="C290" s="68">
        <v>-6.9686411149825038E-3</v>
      </c>
      <c r="D290" s="73">
        <v>2</v>
      </c>
      <c r="E290" s="69">
        <v>0.33333333333333331</v>
      </c>
      <c r="F290" s="69">
        <v>0.3014054384356859</v>
      </c>
      <c r="G290" s="69">
        <v>0.1721662083715246</v>
      </c>
      <c r="H290" s="70">
        <v>10100.91231626964</v>
      </c>
      <c r="I290" s="70">
        <v>-9392.8127772848275</v>
      </c>
      <c r="J290" s="69">
        <v>0.15331010452961671</v>
      </c>
      <c r="K290" s="69">
        <v>0.15331010452961671</v>
      </c>
      <c r="L290" s="69">
        <v>8.1300813008130079E-2</v>
      </c>
      <c r="M290" s="69">
        <v>0.28615984405458089</v>
      </c>
      <c r="N290" s="69">
        <v>0.21910331384015594</v>
      </c>
      <c r="O290" s="69">
        <v>0.58242506811989103</v>
      </c>
      <c r="P290" s="69">
        <v>0.39768683274021355</v>
      </c>
      <c r="Q290" s="69">
        <v>0.41713127217435375</v>
      </c>
    </row>
    <row r="291" spans="1:17" x14ac:dyDescent="0.4">
      <c r="A291" s="71">
        <v>288</v>
      </c>
      <c r="B291" s="68">
        <v>-5.9999999999999361</v>
      </c>
      <c r="C291" s="68">
        <v>-6.9444444444443703E-3</v>
      </c>
      <c r="D291" s="73">
        <v>2</v>
      </c>
      <c r="E291" s="69">
        <v>0.33333333333333331</v>
      </c>
      <c r="F291" s="69">
        <v>0.30124695863746959</v>
      </c>
      <c r="G291" s="69">
        <v>0.17183698296836983</v>
      </c>
      <c r="H291" s="70">
        <v>10115.598182735992</v>
      </c>
      <c r="I291" s="70">
        <v>-9394.3362831858412</v>
      </c>
      <c r="J291" s="69">
        <v>0.15277777777777779</v>
      </c>
      <c r="K291" s="69">
        <v>0.15277777777777779</v>
      </c>
      <c r="L291" s="69">
        <v>8.1018518518518517E-2</v>
      </c>
      <c r="M291" s="69">
        <v>0.28546511627906979</v>
      </c>
      <c r="N291" s="69">
        <v>0.21879844961240311</v>
      </c>
      <c r="O291" s="69">
        <v>0.58316361167684994</v>
      </c>
      <c r="P291" s="69">
        <v>0.39769707705934454</v>
      </c>
      <c r="Q291" s="69">
        <v>0.41797072185764766</v>
      </c>
    </row>
    <row r="292" spans="1:17" x14ac:dyDescent="0.4">
      <c r="A292" s="71">
        <v>289</v>
      </c>
      <c r="B292" s="68">
        <v>-5.9999999999999396</v>
      </c>
      <c r="C292" s="68">
        <v>-6.9204152249134248E-3</v>
      </c>
      <c r="D292" s="73">
        <v>2</v>
      </c>
      <c r="E292" s="69">
        <v>0.33333333333333331</v>
      </c>
      <c r="F292" s="69">
        <v>0.30125586321682551</v>
      </c>
      <c r="G292" s="69">
        <v>0.17188682100166439</v>
      </c>
      <c r="H292" s="70">
        <v>10115.118031140131</v>
      </c>
      <c r="I292" s="70">
        <v>-9376.7605633802814</v>
      </c>
      <c r="J292" s="69">
        <v>0.15224913494809689</v>
      </c>
      <c r="K292" s="69">
        <v>0.15224913494809689</v>
      </c>
      <c r="L292" s="69">
        <v>8.073817762399077E-2</v>
      </c>
      <c r="M292" s="69">
        <v>0.28499903716541497</v>
      </c>
      <c r="N292" s="69">
        <v>0.21914115155016367</v>
      </c>
      <c r="O292" s="69">
        <v>0.58378378378378382</v>
      </c>
      <c r="P292" s="69">
        <v>0.39718804920913886</v>
      </c>
      <c r="Q292" s="69">
        <v>0.41788046207935708</v>
      </c>
    </row>
    <row r="293" spans="1:17" x14ac:dyDescent="0.4">
      <c r="A293" s="71">
        <v>290</v>
      </c>
      <c r="B293" s="68">
        <v>-5.9999999999999432</v>
      </c>
      <c r="C293" s="68">
        <v>-6.8965517241378659E-3</v>
      </c>
      <c r="D293" s="73">
        <v>2</v>
      </c>
      <c r="E293" s="69">
        <v>0.33333333333333331</v>
      </c>
      <c r="F293" s="69">
        <v>0.30117753623188404</v>
      </c>
      <c r="G293" s="69">
        <v>0.17164855072463769</v>
      </c>
      <c r="H293" s="70">
        <v>10142.95739348371</v>
      </c>
      <c r="I293" s="70">
        <v>-9382.5857519788915</v>
      </c>
      <c r="J293" s="69">
        <v>0.1528735632183908</v>
      </c>
      <c r="K293" s="69">
        <v>0.1528735632183908</v>
      </c>
      <c r="L293" s="69">
        <v>8.1609195402298856E-2</v>
      </c>
      <c r="M293" s="69">
        <v>0.28513824884792627</v>
      </c>
      <c r="N293" s="69">
        <v>0.21908602150537634</v>
      </c>
      <c r="O293" s="69">
        <v>0.58383838383838382</v>
      </c>
      <c r="P293" s="69">
        <v>0.39614373356704646</v>
      </c>
      <c r="Q293" s="69">
        <v>0.41854636591478694</v>
      </c>
    </row>
    <row r="294" spans="1:17" x14ac:dyDescent="0.4">
      <c r="A294" s="71">
        <v>291</v>
      </c>
      <c r="B294" s="68">
        <v>-5.9999999999999432</v>
      </c>
      <c r="C294" s="68">
        <v>-6.8728522336769108E-3</v>
      </c>
      <c r="D294" s="73">
        <v>2</v>
      </c>
      <c r="E294" s="69">
        <v>0.33333333333333331</v>
      </c>
      <c r="F294" s="69">
        <v>0.30105105105105107</v>
      </c>
      <c r="G294" s="69">
        <v>0.17147147147147146</v>
      </c>
      <c r="H294" s="70">
        <v>10146.832917705735</v>
      </c>
      <c r="I294" s="70">
        <v>-9387.040280210158</v>
      </c>
      <c r="J294" s="69">
        <v>0.15349369988545247</v>
      </c>
      <c r="K294" s="69">
        <v>0.15349369988545247</v>
      </c>
      <c r="L294" s="69">
        <v>8.1328751431844218E-2</v>
      </c>
      <c r="M294" s="69">
        <v>0.28565980167810834</v>
      </c>
      <c r="N294" s="69">
        <v>0.21872616323417238</v>
      </c>
      <c r="O294" s="69">
        <v>0.58411214953271029</v>
      </c>
      <c r="P294" s="69">
        <v>0.39581517000871841</v>
      </c>
      <c r="Q294" s="69">
        <v>0.41895261845386533</v>
      </c>
    </row>
    <row r="295" spans="1:17" x14ac:dyDescent="0.4">
      <c r="A295" s="71">
        <v>292</v>
      </c>
      <c r="B295" s="68">
        <v>-5.9999999999999432</v>
      </c>
      <c r="C295" s="68">
        <v>-6.8493150684930861E-3</v>
      </c>
      <c r="D295" s="73">
        <v>2</v>
      </c>
      <c r="E295" s="69">
        <v>0.33333333333333331</v>
      </c>
      <c r="F295" s="69">
        <v>0.30098831985624436</v>
      </c>
      <c r="G295" s="69">
        <v>0.1711590296495957</v>
      </c>
      <c r="H295" s="70">
        <v>10152.487562189055</v>
      </c>
      <c r="I295" s="70">
        <v>-9385.8267716535429</v>
      </c>
      <c r="J295" s="69">
        <v>0.1541095890410959</v>
      </c>
      <c r="K295" s="69">
        <v>0.1541095890410959</v>
      </c>
      <c r="L295" s="69">
        <v>8.1050228310502279E-2</v>
      </c>
      <c r="M295" s="69">
        <v>0.28525275560623337</v>
      </c>
      <c r="N295" s="69">
        <v>0.21816799695933106</v>
      </c>
      <c r="O295" s="69">
        <v>0.58494337108594274</v>
      </c>
      <c r="P295" s="69">
        <v>0.39634146341463417</v>
      </c>
      <c r="Q295" s="69">
        <v>0.4199004975124378</v>
      </c>
    </row>
    <row r="296" spans="1:17" x14ac:dyDescent="0.4">
      <c r="A296" s="71">
        <v>293</v>
      </c>
      <c r="B296" s="68">
        <v>-6.9999999999999432</v>
      </c>
      <c r="C296" s="68">
        <v>-7.963594994311653E-3</v>
      </c>
      <c r="D296" s="73">
        <v>2</v>
      </c>
      <c r="E296" s="69">
        <v>0.33333333333333331</v>
      </c>
      <c r="F296" s="69">
        <v>0.30065652044165919</v>
      </c>
      <c r="G296" s="69">
        <v>0.1708445240226798</v>
      </c>
      <c r="H296" s="70">
        <v>10155.086848635236</v>
      </c>
      <c r="I296" s="70">
        <v>-9393.8864628820957</v>
      </c>
      <c r="J296" s="69">
        <v>0.15358361774744028</v>
      </c>
      <c r="K296" s="69">
        <v>0.15358361774744028</v>
      </c>
      <c r="L296" s="69">
        <v>8.0773606370875994E-2</v>
      </c>
      <c r="M296" s="69">
        <v>0.28584941354521376</v>
      </c>
      <c r="N296" s="69">
        <v>0.21717744986757473</v>
      </c>
      <c r="O296" s="69">
        <v>0.5837193911317009</v>
      </c>
      <c r="P296" s="69">
        <v>0.39634146341463417</v>
      </c>
      <c r="Q296" s="69">
        <v>0.42034739454094294</v>
      </c>
    </row>
    <row r="297" spans="1:17" x14ac:dyDescent="0.4">
      <c r="A297" s="71">
        <v>294</v>
      </c>
      <c r="B297" s="68">
        <v>-6.9999999999999432</v>
      </c>
      <c r="C297" s="68">
        <v>-7.9365079365078719E-3</v>
      </c>
      <c r="D297" s="73">
        <v>2</v>
      </c>
      <c r="E297" s="69">
        <v>0.33333333333333331</v>
      </c>
      <c r="F297" s="69">
        <v>0.30078763560707383</v>
      </c>
      <c r="G297" s="69">
        <v>0.17105067617773814</v>
      </c>
      <c r="H297" s="70">
        <v>10146.59090909091</v>
      </c>
      <c r="I297" s="70">
        <v>-9381.5812337098178</v>
      </c>
      <c r="J297" s="69">
        <v>0.15306122448979592</v>
      </c>
      <c r="K297" s="69">
        <v>0.15306122448979592</v>
      </c>
      <c r="L297" s="69">
        <v>8.0498866213151929E-2</v>
      </c>
      <c r="M297" s="69">
        <v>0.2857142857142857</v>
      </c>
      <c r="N297" s="69">
        <v>0.21663843402973837</v>
      </c>
      <c r="O297" s="69">
        <v>0.58432147562582348</v>
      </c>
      <c r="P297" s="69">
        <v>0.39617723718505649</v>
      </c>
      <c r="Q297" s="69">
        <v>0.41996047430830041</v>
      </c>
    </row>
    <row r="298" spans="1:17" x14ac:dyDescent="0.4">
      <c r="A298" s="71">
        <v>295</v>
      </c>
      <c r="B298" s="68">
        <v>-6.9999999999999432</v>
      </c>
      <c r="C298" s="68">
        <v>-7.9096045197739467E-3</v>
      </c>
      <c r="D298" s="73">
        <v>2</v>
      </c>
      <c r="E298" s="69">
        <v>0.33333333333333331</v>
      </c>
      <c r="F298" s="69">
        <v>0.30086002372479242</v>
      </c>
      <c r="G298" s="69">
        <v>0.17111506524317913</v>
      </c>
      <c r="H298" s="70">
        <v>10153.12962050271</v>
      </c>
      <c r="I298" s="70">
        <v>-9398.7868284228771</v>
      </c>
      <c r="J298" s="69">
        <v>0.1536723163841808</v>
      </c>
      <c r="K298" s="69">
        <v>0.1536723163841808</v>
      </c>
      <c r="L298" s="69">
        <v>8.0225988700564965E-2</v>
      </c>
      <c r="M298" s="69">
        <v>0.28547297297297297</v>
      </c>
      <c r="N298" s="69">
        <v>0.21677927927927929</v>
      </c>
      <c r="O298" s="69">
        <v>0.58448389217619989</v>
      </c>
      <c r="P298" s="69">
        <v>0.39740259740259742</v>
      </c>
      <c r="Q298" s="69">
        <v>0.41991128634795466</v>
      </c>
    </row>
    <row r="299" spans="1:17" x14ac:dyDescent="0.4">
      <c r="A299" s="71">
        <v>296</v>
      </c>
      <c r="B299" s="68">
        <v>-6.9999999999999414</v>
      </c>
      <c r="C299" s="68">
        <v>-7.8828828828828162E-3</v>
      </c>
      <c r="D299" s="73">
        <v>2</v>
      </c>
      <c r="E299" s="69">
        <v>0.33333333333333331</v>
      </c>
      <c r="F299" s="69">
        <v>0.30082742316784872</v>
      </c>
      <c r="G299" s="69">
        <v>0.17095153664302601</v>
      </c>
      <c r="H299" s="70">
        <v>10139.292730844794</v>
      </c>
      <c r="I299" s="70">
        <v>-9390.751944684529</v>
      </c>
      <c r="J299" s="69">
        <v>0.15315315315315314</v>
      </c>
      <c r="K299" s="69">
        <v>0.15315315315315314</v>
      </c>
      <c r="L299" s="69">
        <v>7.9954954954954957E-2</v>
      </c>
      <c r="M299" s="69">
        <v>0.28550074738415543</v>
      </c>
      <c r="N299" s="69">
        <v>0.21636771300448429</v>
      </c>
      <c r="O299" s="69">
        <v>0.58507853403141363</v>
      </c>
      <c r="P299" s="69">
        <v>0.39810017271157166</v>
      </c>
      <c r="Q299" s="69">
        <v>0.4204322200392927</v>
      </c>
    </row>
    <row r="300" spans="1:17" x14ac:dyDescent="0.4">
      <c r="A300" s="71">
        <v>297</v>
      </c>
      <c r="B300" s="68">
        <v>-6.9999999999999396</v>
      </c>
      <c r="C300" s="68">
        <v>-7.856341189674456E-3</v>
      </c>
      <c r="D300" s="73">
        <v>2</v>
      </c>
      <c r="E300" s="69">
        <v>0.33333333333333331</v>
      </c>
      <c r="F300" s="69">
        <v>0.30094228504122494</v>
      </c>
      <c r="G300" s="69">
        <v>0.17108362779740871</v>
      </c>
      <c r="H300" s="70">
        <v>10130.528375733855</v>
      </c>
      <c r="I300" s="70">
        <v>-9384.0791738382104</v>
      </c>
      <c r="J300" s="69">
        <v>0.1526374859708193</v>
      </c>
      <c r="K300" s="69">
        <v>0.1526374859708193</v>
      </c>
      <c r="L300" s="69">
        <v>8.0808080808080815E-2</v>
      </c>
      <c r="M300" s="69">
        <v>0.28534226190476192</v>
      </c>
      <c r="N300" s="69">
        <v>0.21688988095238096</v>
      </c>
      <c r="O300" s="69">
        <v>0.5853976531942634</v>
      </c>
      <c r="P300" s="69">
        <v>0.39879931389365353</v>
      </c>
      <c r="Q300" s="69">
        <v>0.42025440313111545</v>
      </c>
    </row>
    <row r="301" spans="1:17" x14ac:dyDescent="0.4">
      <c r="A301" s="71">
        <v>298</v>
      </c>
      <c r="B301" s="68">
        <v>-6.9999999999999405</v>
      </c>
      <c r="C301" s="68">
        <v>-7.8299776286352794E-3</v>
      </c>
      <c r="D301" s="73">
        <v>2</v>
      </c>
      <c r="E301" s="69">
        <v>0.33333333333333331</v>
      </c>
      <c r="F301" s="69">
        <v>0.30107053820208241</v>
      </c>
      <c r="G301" s="69">
        <v>0.17113946326440826</v>
      </c>
      <c r="H301" s="70">
        <v>10110.423770092548</v>
      </c>
      <c r="I301" s="70">
        <v>-9369.4087403598969</v>
      </c>
      <c r="J301" s="69">
        <v>0.15212527964205816</v>
      </c>
      <c r="K301" s="69">
        <v>0.15212527964205816</v>
      </c>
      <c r="L301" s="69">
        <v>8.0536912751677847E-2</v>
      </c>
      <c r="M301" s="69">
        <v>0.28502683694243941</v>
      </c>
      <c r="N301" s="69">
        <v>0.2172866925781973</v>
      </c>
      <c r="O301" s="69">
        <v>0.58506493506493507</v>
      </c>
      <c r="P301" s="69">
        <v>0.40034071550255534</v>
      </c>
      <c r="Q301" s="69">
        <v>0.42036044812469558</v>
      </c>
    </row>
    <row r="302" spans="1:17" x14ac:dyDescent="0.4">
      <c r="A302" s="71">
        <v>299</v>
      </c>
      <c r="B302" s="68">
        <v>-6.9999999999999369</v>
      </c>
      <c r="C302" s="68">
        <v>-7.8037904124859947E-3</v>
      </c>
      <c r="D302" s="73">
        <v>2</v>
      </c>
      <c r="E302" s="69">
        <v>0.33333333333333331</v>
      </c>
      <c r="F302" s="69">
        <v>0.30103755662721027</v>
      </c>
      <c r="G302" s="69">
        <v>0.17097764138535729</v>
      </c>
      <c r="H302" s="70">
        <v>10100.339805825242</v>
      </c>
      <c r="I302" s="70">
        <v>-9365.8119658119649</v>
      </c>
      <c r="J302" s="69">
        <v>0.1516164994425864</v>
      </c>
      <c r="K302" s="69">
        <v>0.1516164994425864</v>
      </c>
      <c r="L302" s="69">
        <v>8.0267558528428096E-2</v>
      </c>
      <c r="M302" s="69">
        <v>0.28505620047908603</v>
      </c>
      <c r="N302" s="69">
        <v>0.21761562557582459</v>
      </c>
      <c r="O302" s="69">
        <v>0.58435681965093733</v>
      </c>
      <c r="P302" s="69">
        <v>0.40135478408128705</v>
      </c>
      <c r="Q302" s="69">
        <v>0.42087378640776701</v>
      </c>
    </row>
    <row r="303" spans="1:17" x14ac:dyDescent="0.4">
      <c r="A303" s="71">
        <v>300</v>
      </c>
      <c r="B303" s="68">
        <v>-7.9999999999999378</v>
      </c>
      <c r="C303" s="68">
        <v>-8.8888888888888195E-3</v>
      </c>
      <c r="D303" s="73">
        <v>2</v>
      </c>
      <c r="E303" s="69">
        <v>0.33333333333333331</v>
      </c>
      <c r="F303" s="69">
        <v>0.30090168702734149</v>
      </c>
      <c r="G303" s="69">
        <v>0.1705933682373473</v>
      </c>
      <c r="H303" s="70">
        <v>10094.055099081683</v>
      </c>
      <c r="I303" s="70">
        <v>-9362.2335890878094</v>
      </c>
      <c r="J303" s="69">
        <v>0.15111111111111111</v>
      </c>
      <c r="K303" s="69">
        <v>0.15111111111111111</v>
      </c>
      <c r="L303" s="69">
        <v>0.08</v>
      </c>
      <c r="M303" s="69">
        <v>0.28443223443223442</v>
      </c>
      <c r="N303" s="69">
        <v>0.21794871794871795</v>
      </c>
      <c r="O303" s="69">
        <v>0.58403090792015455</v>
      </c>
      <c r="P303" s="69">
        <v>0.4008403361344538</v>
      </c>
      <c r="Q303" s="69">
        <v>0.4219429676172064</v>
      </c>
    </row>
    <row r="304" spans="1:17" x14ac:dyDescent="0.4">
      <c r="A304" s="71">
        <v>301</v>
      </c>
      <c r="B304" s="68">
        <v>-7.9999999999999343</v>
      </c>
      <c r="C304" s="68">
        <v>-8.8593576965669257E-3</v>
      </c>
      <c r="D304" s="73">
        <v>2</v>
      </c>
      <c r="E304" s="69">
        <v>0.33333333333333331</v>
      </c>
      <c r="F304" s="69">
        <v>0.30104257167680276</v>
      </c>
      <c r="G304" s="69">
        <v>0.17043150883289893</v>
      </c>
      <c r="H304" s="70">
        <v>10092.544492544492</v>
      </c>
      <c r="I304" s="70">
        <v>-9359.0484282073066</v>
      </c>
      <c r="J304" s="69">
        <v>0.15171650055370986</v>
      </c>
      <c r="K304" s="69">
        <v>0.15171650055370986</v>
      </c>
      <c r="L304" s="69">
        <v>7.9734219269102985E-2</v>
      </c>
      <c r="M304" s="69">
        <v>0.2848816029143898</v>
      </c>
      <c r="N304" s="69">
        <v>0.21785063752276868</v>
      </c>
      <c r="O304" s="69">
        <v>0.5837595907928389</v>
      </c>
      <c r="P304" s="69">
        <v>0.40050167224080269</v>
      </c>
      <c r="Q304" s="6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2019-04-05T17:53:35Z</dcterms:modified>
</cp:coreProperties>
</file>