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C964F753-4B48-42B6-9978-5441A117CED3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4350" r:id="rId5"/>
    <sheet name="全体" sheetId="4379" r:id="rId6"/>
    <sheet name="だいち" sheetId="4381" r:id="rId7"/>
    <sheet name="かこたろう" sheetId="4383" r:id="rId8"/>
    <sheet name="ともき" sheetId="4385" r:id="rId9"/>
    <sheet name="りくと" sheetId="4387" r:id="rId10"/>
    <sheet name="いっしー" sheetId="4389" r:id="rId11"/>
    <sheet name="がくと" sheetId="4391" r:id="rId12"/>
    <sheet name="たかの" sheetId="4393" r:id="rId13"/>
    <sheet name="ただ" sheetId="4395" r:id="rId14"/>
    <sheet name="やがさき" sheetId="4397" r:id="rId15"/>
    <sheet name="れんたろう" sheetId="4399" r:id="rId16"/>
    <sheet name="あさひ" sheetId="4401" r:id="rId17"/>
    <sheet name="まっつん" sheetId="4403" r:id="rId18"/>
    <sheet name="ぱぱ" sheetId="4405" r:id="rId19"/>
    <sheet name="ぱぱ2" sheetId="4406" state="hidden" r:id="rId20"/>
    <sheet name="まっつん2" sheetId="4404" state="hidden" r:id="rId21"/>
    <sheet name="あさひ2" sheetId="4402" state="hidden" r:id="rId22"/>
    <sheet name="れんたろう2" sheetId="4400" state="hidden" r:id="rId23"/>
    <sheet name="やがさき2" sheetId="4398" state="hidden" r:id="rId24"/>
    <sheet name="ただ2" sheetId="4396" state="hidden" r:id="rId25"/>
    <sheet name="たかの2" sheetId="4394" state="hidden" r:id="rId26"/>
    <sheet name="がくと2" sheetId="4392" state="hidden" r:id="rId27"/>
    <sheet name="いっしー2" sheetId="4390" state="hidden" r:id="rId28"/>
    <sheet name="りくと2" sheetId="4388" state="hidden" r:id="rId29"/>
    <sheet name="ともき2" sheetId="4386" state="hidden" r:id="rId30"/>
    <sheet name="かこたろう2" sheetId="4384" state="hidden" r:id="rId31"/>
    <sheet name="だいち2" sheetId="4382" state="hidden" r:id="rId32"/>
    <sheet name="全体2" sheetId="4380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externalReferences>
    <externalReference r:id="rId5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395" l="1"/>
  <c r="O20" i="4405"/>
  <c r="O15" i="4399" l="1"/>
  <c r="O19" i="4405"/>
  <c r="O15" i="4387" l="1"/>
  <c r="O21" i="4405"/>
  <c r="O18" i="4397" l="1"/>
  <c r="O18" i="4405"/>
  <c r="O16" i="4405"/>
  <c r="O18" i="4381"/>
  <c r="O21" i="4389"/>
  <c r="O17" i="4389"/>
  <c r="O15" i="4405"/>
  <c r="O17" i="4405"/>
  <c r="H51" i="4405"/>
  <c r="H50" i="4405"/>
  <c r="H49" i="4405"/>
  <c r="H48" i="4405"/>
  <c r="H47" i="4405"/>
  <c r="H46" i="4405"/>
  <c r="H45" i="4405"/>
  <c r="H44" i="4405"/>
  <c r="H43" i="4405"/>
  <c r="H42" i="4405"/>
  <c r="H41" i="4405"/>
  <c r="H40" i="4405"/>
  <c r="H39" i="4405"/>
  <c r="H38" i="4405"/>
  <c r="H37" i="4405"/>
  <c r="H36" i="4405"/>
  <c r="H35" i="4405"/>
  <c r="H34" i="4405"/>
  <c r="H33" i="4405"/>
  <c r="H32" i="4405"/>
  <c r="H31" i="4405"/>
  <c r="H30" i="4405"/>
  <c r="H9" i="4405"/>
  <c r="H29" i="4405"/>
  <c r="H28" i="4405"/>
  <c r="C27" i="4405"/>
  <c r="H13" i="4405"/>
  <c r="H27" i="4405"/>
  <c r="H26" i="4405"/>
  <c r="B24" i="4405"/>
  <c r="H10" i="4405"/>
  <c r="H25" i="4405"/>
  <c r="H12" i="4405"/>
  <c r="H24" i="4405"/>
  <c r="C20" i="4405"/>
  <c r="H23" i="4405"/>
  <c r="H11" i="4405"/>
  <c r="H22" i="4405"/>
  <c r="B17" i="4405"/>
  <c r="B23" i="4405" s="1"/>
  <c r="H21" i="4405"/>
  <c r="C16" i="4405"/>
  <c r="H20" i="4405"/>
  <c r="C15" i="4405"/>
  <c r="H19" i="4405"/>
  <c r="C14" i="4405"/>
  <c r="H18" i="4405"/>
  <c r="C13" i="4405"/>
  <c r="O12" i="4405"/>
  <c r="H17" i="4405"/>
  <c r="C12" i="4405"/>
  <c r="O11" i="4405"/>
  <c r="H3" i="4405"/>
  <c r="C11" i="4405"/>
  <c r="O10" i="4405"/>
  <c r="H16" i="4405"/>
  <c r="C10" i="4405"/>
  <c r="H8" i="4405"/>
  <c r="C9" i="4405"/>
  <c r="H15" i="4405"/>
  <c r="C8" i="4405"/>
  <c r="O7" i="4405"/>
  <c r="H7" i="4405"/>
  <c r="C7" i="4405"/>
  <c r="O6" i="4405"/>
  <c r="H2" i="4405"/>
  <c r="B6" i="4405"/>
  <c r="O5" i="4405"/>
  <c r="H6" i="4405"/>
  <c r="B5" i="4405"/>
  <c r="O4" i="4405"/>
  <c r="H4" i="4405"/>
  <c r="O3" i="4405"/>
  <c r="H14" i="4405"/>
  <c r="O2" i="4405"/>
  <c r="H5" i="4405"/>
  <c r="O20" i="4403"/>
  <c r="O19" i="4403"/>
  <c r="O17" i="4379"/>
  <c r="C18" i="4405" l="1"/>
  <c r="C19" i="4405"/>
  <c r="C17" i="4405"/>
  <c r="O15" i="4389" l="1"/>
  <c r="O21" i="4397"/>
  <c r="O20" i="4397"/>
  <c r="O17" i="4399"/>
  <c r="O19" i="4387" l="1"/>
  <c r="O16" i="4397"/>
  <c r="O19" i="4395"/>
  <c r="O17" i="4397"/>
  <c r="O21" i="4387" l="1"/>
  <c r="O16" i="4403"/>
  <c r="O22" i="4403" l="1"/>
  <c r="O17" i="4381"/>
  <c r="O21" i="4395" l="1"/>
  <c r="O17" i="4401"/>
  <c r="O15" i="4391"/>
  <c r="O16" i="4391"/>
  <c r="O18" i="4399"/>
  <c r="O25" i="4399"/>
  <c r="O15" i="4403"/>
  <c r="O17" i="4403"/>
  <c r="O19" i="4389"/>
  <c r="O18" i="4393"/>
  <c r="O21" i="4403" l="1"/>
  <c r="O18" i="4403"/>
  <c r="H51" i="4403"/>
  <c r="H50" i="4403"/>
  <c r="H49" i="4403"/>
  <c r="H48" i="4403"/>
  <c r="H47" i="4403"/>
  <c r="H46" i="4403"/>
  <c r="H45" i="4403"/>
  <c r="H44" i="4403"/>
  <c r="H43" i="4403"/>
  <c r="H42" i="4403"/>
  <c r="H41" i="4403"/>
  <c r="H40" i="4403"/>
  <c r="H39" i="4403"/>
  <c r="H38" i="4403"/>
  <c r="H37" i="4403"/>
  <c r="H36" i="4403"/>
  <c r="H35" i="4403"/>
  <c r="H34" i="4403"/>
  <c r="H33" i="4403"/>
  <c r="H21" i="4403"/>
  <c r="H20" i="4403"/>
  <c r="H32" i="4403"/>
  <c r="H8" i="4403"/>
  <c r="H31" i="4403"/>
  <c r="H30" i="4403"/>
  <c r="C27" i="4403"/>
  <c r="H11" i="4403"/>
  <c r="H19" i="4403"/>
  <c r="H29" i="4403"/>
  <c r="B24" i="4403"/>
  <c r="H7" i="4403"/>
  <c r="H28" i="4403"/>
  <c r="H14" i="4403"/>
  <c r="H27" i="4403"/>
  <c r="C20" i="4403"/>
  <c r="H26" i="4403"/>
  <c r="H17" i="4403"/>
  <c r="H13" i="4403"/>
  <c r="B17" i="4403"/>
  <c r="C17" i="4403" s="1"/>
  <c r="H18" i="4403"/>
  <c r="C16" i="4403"/>
  <c r="H25" i="4403"/>
  <c r="C15" i="4403"/>
  <c r="H24" i="4403"/>
  <c r="C14" i="4403"/>
  <c r="H23" i="4403"/>
  <c r="C13" i="4403"/>
  <c r="O12" i="4403"/>
  <c r="H22" i="4403"/>
  <c r="C12" i="4403"/>
  <c r="O11" i="4403"/>
  <c r="H3" i="4403"/>
  <c r="C11" i="4403"/>
  <c r="O10" i="4403"/>
  <c r="H16" i="4403"/>
  <c r="C10" i="4403"/>
  <c r="H10" i="4403"/>
  <c r="C9" i="4403"/>
  <c r="H15" i="4403"/>
  <c r="C8" i="4403"/>
  <c r="O7" i="4403"/>
  <c r="H6" i="4403"/>
  <c r="C7" i="4403"/>
  <c r="O6" i="4403"/>
  <c r="H2" i="4403"/>
  <c r="B6" i="4403"/>
  <c r="O5" i="4403"/>
  <c r="H9" i="4403"/>
  <c r="B5" i="4403"/>
  <c r="O4" i="4403"/>
  <c r="H4" i="4403"/>
  <c r="O3" i="4403"/>
  <c r="H12" i="4403"/>
  <c r="O2" i="4403"/>
  <c r="H5" i="4403"/>
  <c r="O15" i="4393"/>
  <c r="O16" i="4395"/>
  <c r="O18" i="4379"/>
  <c r="O24" i="4389"/>
  <c r="O18" i="4391"/>
  <c r="O18" i="4401"/>
  <c r="O15" i="4401"/>
  <c r="B23" i="4403" l="1"/>
  <c r="C18" i="4403"/>
  <c r="C19" i="4403"/>
  <c r="O22" i="4399"/>
  <c r="O16" i="4387"/>
  <c r="O16" i="4385"/>
  <c r="O18" i="4385"/>
  <c r="O16" i="4399"/>
  <c r="O24" i="4387"/>
  <c r="O27" i="4379"/>
  <c r="O19" i="4401"/>
  <c r="O16" i="4401"/>
  <c r="H51" i="4401"/>
  <c r="H50" i="4401"/>
  <c r="H49" i="4401"/>
  <c r="H48" i="4401"/>
  <c r="H47" i="4401"/>
  <c r="H46" i="4401"/>
  <c r="H45" i="4401"/>
  <c r="H44" i="4401"/>
  <c r="H43" i="4401"/>
  <c r="H42" i="4401"/>
  <c r="H41" i="4401"/>
  <c r="H40" i="4401"/>
  <c r="H39" i="4401"/>
  <c r="H38" i="4401"/>
  <c r="H37" i="4401"/>
  <c r="H36" i="4401"/>
  <c r="H35" i="4401"/>
  <c r="H34" i="4401"/>
  <c r="H33" i="4401"/>
  <c r="H32" i="4401"/>
  <c r="H14" i="4401"/>
  <c r="H31" i="4401"/>
  <c r="H12" i="4401"/>
  <c r="H30" i="4401"/>
  <c r="H29" i="4401"/>
  <c r="C27" i="4401"/>
  <c r="H11" i="4401"/>
  <c r="H28" i="4401"/>
  <c r="H27" i="4401"/>
  <c r="B24" i="4401"/>
  <c r="H26" i="4401"/>
  <c r="H25" i="4401"/>
  <c r="H24" i="4401"/>
  <c r="H23" i="4401"/>
  <c r="C20" i="4401"/>
  <c r="H22" i="4401"/>
  <c r="H21" i="4401"/>
  <c r="H20" i="4401"/>
  <c r="B17" i="4401"/>
  <c r="C18" i="4401" s="1"/>
  <c r="H19" i="4401"/>
  <c r="C16" i="4401"/>
  <c r="H18" i="4401"/>
  <c r="C15" i="4401"/>
  <c r="H17" i="4401"/>
  <c r="C14" i="4401"/>
  <c r="H16" i="4401"/>
  <c r="C13" i="4401"/>
  <c r="O12" i="4401"/>
  <c r="H15" i="4401"/>
  <c r="C12" i="4401"/>
  <c r="O11" i="4401"/>
  <c r="H5" i="4401"/>
  <c r="C11" i="4401"/>
  <c r="O10" i="4401"/>
  <c r="H13" i="4401"/>
  <c r="C10" i="4401"/>
  <c r="H8" i="4401"/>
  <c r="C9" i="4401"/>
  <c r="H10" i="4401"/>
  <c r="C8" i="4401"/>
  <c r="O7" i="4401"/>
  <c r="H7" i="4401"/>
  <c r="C7" i="4401"/>
  <c r="O6" i="4401"/>
  <c r="H4" i="4401"/>
  <c r="B6" i="4401"/>
  <c r="O5" i="4401"/>
  <c r="H6" i="4401"/>
  <c r="B5" i="4401"/>
  <c r="O4" i="4401"/>
  <c r="H3" i="4401"/>
  <c r="O3" i="4401"/>
  <c r="H9" i="4401"/>
  <c r="O2" i="4401"/>
  <c r="H2" i="4401"/>
  <c r="C19" i="4401" l="1"/>
  <c r="B23" i="4401"/>
  <c r="C17" i="4401"/>
  <c r="O17" i="4393" l="1"/>
  <c r="O20" i="4399"/>
  <c r="O17" i="4387"/>
  <c r="O20" i="4393"/>
  <c r="O23" i="4395" l="1"/>
  <c r="O22" i="4389"/>
  <c r="O17" i="4395" l="1"/>
  <c r="O24" i="4399"/>
  <c r="O25" i="4389" l="1"/>
  <c r="O19" i="4399"/>
  <c r="O18" i="4387" l="1"/>
  <c r="O23" i="4399"/>
  <c r="O21" i="4399"/>
  <c r="H51" i="4399"/>
  <c r="H50" i="4399"/>
  <c r="H49" i="4399"/>
  <c r="H48" i="4399"/>
  <c r="H47" i="4399"/>
  <c r="H46" i="4399"/>
  <c r="H45" i="4399"/>
  <c r="H44" i="4399"/>
  <c r="H43" i="4399"/>
  <c r="H42" i="4399"/>
  <c r="H41" i="4399"/>
  <c r="H40" i="4399"/>
  <c r="H39" i="4399"/>
  <c r="H38" i="4399"/>
  <c r="H37" i="4399"/>
  <c r="H36" i="4399"/>
  <c r="H35" i="4399"/>
  <c r="H34" i="4399"/>
  <c r="H21" i="4399"/>
  <c r="H28" i="4399"/>
  <c r="H17" i="4399"/>
  <c r="H27" i="4399"/>
  <c r="H9" i="4399"/>
  <c r="H33" i="4399"/>
  <c r="H26" i="4399"/>
  <c r="C27" i="4399"/>
  <c r="H12" i="4399"/>
  <c r="H25" i="4399"/>
  <c r="H24" i="4399"/>
  <c r="B24" i="4399"/>
  <c r="H15" i="4399"/>
  <c r="H32" i="4399"/>
  <c r="H16" i="4399"/>
  <c r="H31" i="4399"/>
  <c r="C20" i="4399"/>
  <c r="H30" i="4399"/>
  <c r="H19" i="4399"/>
  <c r="H13" i="4399"/>
  <c r="B17" i="4399"/>
  <c r="C19" i="4399" s="1"/>
  <c r="H23" i="4399"/>
  <c r="C16" i="4399"/>
  <c r="H29" i="4399"/>
  <c r="C15" i="4399"/>
  <c r="H20" i="4399"/>
  <c r="C14" i="4399"/>
  <c r="H22" i="4399"/>
  <c r="C13" i="4399"/>
  <c r="O12" i="4399"/>
  <c r="H18" i="4399"/>
  <c r="C12" i="4399"/>
  <c r="O11" i="4399"/>
  <c r="H5" i="4399"/>
  <c r="C11" i="4399"/>
  <c r="O10" i="4399"/>
  <c r="H14" i="4399"/>
  <c r="C10" i="4399"/>
  <c r="H10" i="4399"/>
  <c r="C9" i="4399"/>
  <c r="H8" i="4399"/>
  <c r="C8" i="4399"/>
  <c r="O7" i="4399"/>
  <c r="H7" i="4399"/>
  <c r="C7" i="4399"/>
  <c r="O6" i="4399"/>
  <c r="H2" i="4399"/>
  <c r="B6" i="4399"/>
  <c r="O5" i="4399"/>
  <c r="H6" i="4399"/>
  <c r="B5" i="4399"/>
  <c r="O4" i="4399"/>
  <c r="H3" i="4399"/>
  <c r="O3" i="4399"/>
  <c r="H11" i="4399"/>
  <c r="O2" i="4399"/>
  <c r="H4" i="4399"/>
  <c r="O20" i="4381"/>
  <c r="O22" i="4379"/>
  <c r="C17" i="4399" l="1"/>
  <c r="C18" i="4399"/>
  <c r="B23" i="4399"/>
  <c r="O22" i="4387" l="1"/>
  <c r="O18" i="4395"/>
  <c r="O15" i="4397" l="1"/>
  <c r="O19" i="4397"/>
  <c r="H51" i="4397"/>
  <c r="H50" i="4397"/>
  <c r="H49" i="4397"/>
  <c r="H48" i="4397"/>
  <c r="H47" i="4397"/>
  <c r="H46" i="4397"/>
  <c r="H45" i="4397"/>
  <c r="H44" i="4397"/>
  <c r="H43" i="4397"/>
  <c r="H42" i="4397"/>
  <c r="H41" i="4397"/>
  <c r="H40" i="4397"/>
  <c r="H39" i="4397"/>
  <c r="H38" i="4397"/>
  <c r="H37" i="4397"/>
  <c r="H36" i="4397"/>
  <c r="H35" i="4397"/>
  <c r="H34" i="4397"/>
  <c r="H33" i="4397"/>
  <c r="H19" i="4397"/>
  <c r="H18" i="4397"/>
  <c r="H32" i="4397"/>
  <c r="H9" i="4397"/>
  <c r="H31" i="4397"/>
  <c r="H30" i="4397"/>
  <c r="C27" i="4397"/>
  <c r="H17" i="4397"/>
  <c r="H29" i="4397"/>
  <c r="H28" i="4397"/>
  <c r="B24" i="4397"/>
  <c r="H16" i="4397"/>
  <c r="H27" i="4397"/>
  <c r="H26" i="4397"/>
  <c r="H25" i="4397"/>
  <c r="C20" i="4397"/>
  <c r="H24" i="4397"/>
  <c r="C19" i="4397"/>
  <c r="H15" i="4397"/>
  <c r="H13" i="4397"/>
  <c r="B17" i="4397"/>
  <c r="B23" i="4397" s="1"/>
  <c r="H23" i="4397"/>
  <c r="C16" i="4397"/>
  <c r="H22" i="4397"/>
  <c r="C15" i="4397"/>
  <c r="H21" i="4397"/>
  <c r="C14" i="4397"/>
  <c r="H20" i="4397"/>
  <c r="C13" i="4397"/>
  <c r="O12" i="4397"/>
  <c r="H14" i="4397"/>
  <c r="C12" i="4397"/>
  <c r="O11" i="4397"/>
  <c r="H6" i="4397"/>
  <c r="C11" i="4397"/>
  <c r="O10" i="4397"/>
  <c r="H12" i="4397"/>
  <c r="C10" i="4397"/>
  <c r="H11" i="4397"/>
  <c r="C9" i="4397"/>
  <c r="H10" i="4397"/>
  <c r="C8" i="4397"/>
  <c r="O7" i="4397"/>
  <c r="H7" i="4397"/>
  <c r="C7" i="4397"/>
  <c r="O6" i="4397"/>
  <c r="H2" i="4397"/>
  <c r="B6" i="4397"/>
  <c r="O5" i="4397"/>
  <c r="H4" i="4397"/>
  <c r="B5" i="4397"/>
  <c r="O4" i="4397"/>
  <c r="H5" i="4397"/>
  <c r="O3" i="4397"/>
  <c r="H8" i="4397"/>
  <c r="O2" i="4397"/>
  <c r="H3" i="4397"/>
  <c r="O21" i="4393"/>
  <c r="O22" i="4381"/>
  <c r="O23" i="4379"/>
  <c r="C18" i="4397" l="1"/>
  <c r="C17" i="4397"/>
  <c r="O16" i="4389" l="1"/>
  <c r="O15" i="4383"/>
  <c r="O22" i="4395" l="1"/>
  <c r="O20" i="4395"/>
  <c r="H51" i="4395"/>
  <c r="H50" i="4395"/>
  <c r="H49" i="4395"/>
  <c r="H48" i="4395"/>
  <c r="H47" i="4395"/>
  <c r="H46" i="4395"/>
  <c r="H45" i="4395"/>
  <c r="H44" i="4395"/>
  <c r="H43" i="4395"/>
  <c r="H42" i="4395"/>
  <c r="H41" i="4395"/>
  <c r="H40" i="4395"/>
  <c r="H39" i="4395"/>
  <c r="H38" i="4395"/>
  <c r="H37" i="4395"/>
  <c r="H36" i="4395"/>
  <c r="H35" i="4395"/>
  <c r="H34" i="4395"/>
  <c r="H21" i="4395"/>
  <c r="H33" i="4395"/>
  <c r="H17" i="4395"/>
  <c r="H32" i="4395"/>
  <c r="H9" i="4395"/>
  <c r="H31" i="4395"/>
  <c r="H30" i="4395"/>
  <c r="C27" i="4395"/>
  <c r="H15" i="4395"/>
  <c r="H29" i="4395"/>
  <c r="H24" i="4395"/>
  <c r="B24" i="4395"/>
  <c r="H16" i="4395"/>
  <c r="H28" i="4395"/>
  <c r="H14" i="4395"/>
  <c r="H27" i="4395"/>
  <c r="C20" i="4395"/>
  <c r="H26" i="4395"/>
  <c r="H20" i="4395"/>
  <c r="H13" i="4395"/>
  <c r="B17" i="4395"/>
  <c r="B23" i="4395" s="1"/>
  <c r="H19" i="4395"/>
  <c r="C16" i="4395"/>
  <c r="H25" i="4395"/>
  <c r="C15" i="4395"/>
  <c r="H23" i="4395"/>
  <c r="C14" i="4395"/>
  <c r="H22" i="4395"/>
  <c r="C13" i="4395"/>
  <c r="O12" i="4395"/>
  <c r="H18" i="4395"/>
  <c r="C12" i="4395"/>
  <c r="O11" i="4395"/>
  <c r="H4" i="4395"/>
  <c r="C11" i="4395"/>
  <c r="O10" i="4395"/>
  <c r="H12" i="4395"/>
  <c r="C10" i="4395"/>
  <c r="H11" i="4395"/>
  <c r="C9" i="4395"/>
  <c r="H8" i="4395"/>
  <c r="C8" i="4395"/>
  <c r="O7" i="4395"/>
  <c r="H7" i="4395"/>
  <c r="C7" i="4395"/>
  <c r="O6" i="4395"/>
  <c r="H2" i="4395"/>
  <c r="B6" i="4395"/>
  <c r="O5" i="4395"/>
  <c r="H6" i="4395"/>
  <c r="B5" i="4395"/>
  <c r="O4" i="4395"/>
  <c r="H3" i="4395"/>
  <c r="O3" i="4395"/>
  <c r="H10" i="4395"/>
  <c r="O2" i="4395"/>
  <c r="H5" i="4395"/>
  <c r="O19" i="4393"/>
  <c r="O16" i="4393"/>
  <c r="H51" i="4393"/>
  <c r="H50" i="4393"/>
  <c r="H49" i="4393"/>
  <c r="H48" i="4393"/>
  <c r="H47" i="4393"/>
  <c r="H46" i="4393"/>
  <c r="H45" i="4393"/>
  <c r="H44" i="4393"/>
  <c r="H43" i="4393"/>
  <c r="H42" i="4393"/>
  <c r="H41" i="4393"/>
  <c r="H40" i="4393"/>
  <c r="H39" i="4393"/>
  <c r="H38" i="4393"/>
  <c r="H37" i="4393"/>
  <c r="H36" i="4393"/>
  <c r="H35" i="4393"/>
  <c r="H34" i="4393"/>
  <c r="H33" i="4393"/>
  <c r="H32" i="4393"/>
  <c r="H31" i="4393"/>
  <c r="H30" i="4393"/>
  <c r="H10" i="4393"/>
  <c r="H29" i="4393"/>
  <c r="H28" i="4393"/>
  <c r="C27" i="4393"/>
  <c r="H14" i="4393"/>
  <c r="H27" i="4393"/>
  <c r="H26" i="4393"/>
  <c r="B24" i="4393"/>
  <c r="H17" i="4393"/>
  <c r="H25" i="4393"/>
  <c r="H15" i="4393"/>
  <c r="H24" i="4393"/>
  <c r="C20" i="4393"/>
  <c r="H23" i="4393"/>
  <c r="H16" i="4393"/>
  <c r="H13" i="4393"/>
  <c r="B17" i="4393"/>
  <c r="C17" i="4393" s="1"/>
  <c r="H19" i="4393"/>
  <c r="C16" i="4393"/>
  <c r="H22" i="4393"/>
  <c r="C15" i="4393"/>
  <c r="H18" i="4393"/>
  <c r="C14" i="4393"/>
  <c r="H21" i="4393"/>
  <c r="C13" i="4393"/>
  <c r="O12" i="4393"/>
  <c r="H20" i="4393"/>
  <c r="C12" i="4393"/>
  <c r="O11" i="4393"/>
  <c r="H4" i="4393"/>
  <c r="C11" i="4393"/>
  <c r="O10" i="4393"/>
  <c r="H12" i="4393"/>
  <c r="C10" i="4393"/>
  <c r="H11" i="4393"/>
  <c r="C9" i="4393"/>
  <c r="H9" i="4393"/>
  <c r="C8" i="4393"/>
  <c r="O7" i="4393"/>
  <c r="H6" i="4393"/>
  <c r="C7" i="4393"/>
  <c r="O6" i="4393"/>
  <c r="H2" i="4393"/>
  <c r="B6" i="4393"/>
  <c r="O5" i="4393"/>
  <c r="H8" i="4393"/>
  <c r="B5" i="4393"/>
  <c r="O4" i="4393"/>
  <c r="H3" i="4393"/>
  <c r="O3" i="4393"/>
  <c r="H7" i="4393"/>
  <c r="O2" i="4393"/>
  <c r="H5" i="4393"/>
  <c r="O24" i="4381"/>
  <c r="O19" i="4381"/>
  <c r="O24" i="4379"/>
  <c r="O19" i="4379"/>
  <c r="C19" i="4395" l="1"/>
  <c r="C19" i="4393"/>
  <c r="C17" i="4395"/>
  <c r="C18" i="4393"/>
  <c r="B23" i="4393"/>
  <c r="C18" i="4395"/>
  <c r="O18" i="4389" l="1"/>
  <c r="O19" i="4391"/>
  <c r="O17" i="4391"/>
  <c r="H51" i="4391"/>
  <c r="H50" i="4391"/>
  <c r="H49" i="4391"/>
  <c r="H48" i="4391"/>
  <c r="H47" i="4391"/>
  <c r="H46" i="4391"/>
  <c r="H45" i="4391"/>
  <c r="H44" i="4391"/>
  <c r="H43" i="4391"/>
  <c r="H42" i="4391"/>
  <c r="H41" i="4391"/>
  <c r="H40" i="4391"/>
  <c r="H39" i="4391"/>
  <c r="H38" i="4391"/>
  <c r="H37" i="4391"/>
  <c r="H36" i="4391"/>
  <c r="H35" i="4391"/>
  <c r="H34" i="4391"/>
  <c r="H33" i="4391"/>
  <c r="H32" i="4391"/>
  <c r="H31" i="4391"/>
  <c r="H30" i="4391"/>
  <c r="H29" i="4391"/>
  <c r="H28" i="4391"/>
  <c r="H27" i="4391"/>
  <c r="C27" i="4391"/>
  <c r="H11" i="4391"/>
  <c r="H26" i="4391"/>
  <c r="H25" i="4391"/>
  <c r="B24" i="4391"/>
  <c r="H24" i="4391"/>
  <c r="H23" i="4391"/>
  <c r="H22" i="4391"/>
  <c r="H21" i="4391"/>
  <c r="C20" i="4391"/>
  <c r="H20" i="4391"/>
  <c r="C19" i="4391"/>
  <c r="H8" i="4391"/>
  <c r="H19" i="4391"/>
  <c r="B17" i="4391"/>
  <c r="B23" i="4391" s="1"/>
  <c r="H18" i="4391"/>
  <c r="C16" i="4391"/>
  <c r="H17" i="4391"/>
  <c r="C15" i="4391"/>
  <c r="H16" i="4391"/>
  <c r="C14" i="4391"/>
  <c r="H15" i="4391"/>
  <c r="C13" i="4391"/>
  <c r="O12" i="4391"/>
  <c r="H14" i="4391"/>
  <c r="C12" i="4391"/>
  <c r="O11" i="4391"/>
  <c r="H5" i="4391"/>
  <c r="C11" i="4391"/>
  <c r="O10" i="4391"/>
  <c r="H13" i="4391"/>
  <c r="C10" i="4391"/>
  <c r="H12" i="4391"/>
  <c r="C9" i="4391"/>
  <c r="H10" i="4391"/>
  <c r="C8" i="4391"/>
  <c r="O7" i="4391"/>
  <c r="H6" i="4391"/>
  <c r="C7" i="4391"/>
  <c r="O6" i="4391"/>
  <c r="H3" i="4391"/>
  <c r="B6" i="4391"/>
  <c r="O5" i="4391"/>
  <c r="H7" i="4391"/>
  <c r="B5" i="4391"/>
  <c r="O4" i="4391"/>
  <c r="H9" i="4391"/>
  <c r="O3" i="4391"/>
  <c r="H4" i="4391"/>
  <c r="O2" i="4391"/>
  <c r="H2" i="4391"/>
  <c r="O15" i="4381"/>
  <c r="O16" i="4379"/>
  <c r="C17" i="4391" l="1"/>
  <c r="C18" i="4391"/>
  <c r="O20" i="4389" l="1"/>
  <c r="O23" i="4389"/>
  <c r="H51" i="4389"/>
  <c r="H50" i="4389"/>
  <c r="H49" i="4389"/>
  <c r="H48" i="4389"/>
  <c r="H47" i="4389"/>
  <c r="H46" i="4389"/>
  <c r="H45" i="4389"/>
  <c r="H44" i="4389"/>
  <c r="H43" i="4389"/>
  <c r="H42" i="4389"/>
  <c r="H41" i="4389"/>
  <c r="H40" i="4389"/>
  <c r="H39" i="4389"/>
  <c r="H38" i="4389"/>
  <c r="H37" i="4389"/>
  <c r="H36" i="4389"/>
  <c r="H35" i="4389"/>
  <c r="H34" i="4389"/>
  <c r="H18" i="4389"/>
  <c r="H33" i="4389"/>
  <c r="H16" i="4389"/>
  <c r="H32" i="4389"/>
  <c r="H10" i="4389"/>
  <c r="H31" i="4389"/>
  <c r="H30" i="4389"/>
  <c r="C27" i="4389"/>
  <c r="H14" i="4389"/>
  <c r="H29" i="4389"/>
  <c r="H28" i="4389"/>
  <c r="B24" i="4389"/>
  <c r="H9" i="4389"/>
  <c r="H27" i="4389"/>
  <c r="H13" i="4389"/>
  <c r="H26" i="4389"/>
  <c r="C20" i="4389"/>
  <c r="H25" i="4389"/>
  <c r="H24" i="4389"/>
  <c r="H17" i="4389"/>
  <c r="B17" i="4389"/>
  <c r="B23" i="4389" s="1"/>
  <c r="H23" i="4389"/>
  <c r="C16" i="4389"/>
  <c r="H22" i="4389"/>
  <c r="C15" i="4389"/>
  <c r="H21" i="4389"/>
  <c r="C14" i="4389"/>
  <c r="H20" i="4389"/>
  <c r="C13" i="4389"/>
  <c r="O12" i="4389"/>
  <c r="H19" i="4389"/>
  <c r="C12" i="4389"/>
  <c r="O11" i="4389"/>
  <c r="H4" i="4389"/>
  <c r="C11" i="4389"/>
  <c r="O10" i="4389"/>
  <c r="H15" i="4389"/>
  <c r="C10" i="4389"/>
  <c r="H12" i="4389"/>
  <c r="C9" i="4389"/>
  <c r="H8" i="4389"/>
  <c r="C8" i="4389"/>
  <c r="O7" i="4389"/>
  <c r="H6" i="4389"/>
  <c r="C7" i="4389"/>
  <c r="O6" i="4389"/>
  <c r="H2" i="4389"/>
  <c r="B6" i="4389"/>
  <c r="O5" i="4389"/>
  <c r="H7" i="4389"/>
  <c r="B5" i="4389"/>
  <c r="O4" i="4389"/>
  <c r="H3" i="4389"/>
  <c r="O3" i="4389"/>
  <c r="H11" i="4389"/>
  <c r="O2" i="4389"/>
  <c r="H5" i="4389"/>
  <c r="O20" i="4387"/>
  <c r="O23" i="4387"/>
  <c r="H51" i="4387"/>
  <c r="H50" i="4387"/>
  <c r="H49" i="4387"/>
  <c r="H48" i="4387"/>
  <c r="H47" i="4387"/>
  <c r="H46" i="4387"/>
  <c r="H45" i="4387"/>
  <c r="H44" i="4387"/>
  <c r="H43" i="4387"/>
  <c r="H42" i="4387"/>
  <c r="H41" i="4387"/>
  <c r="H40" i="4387"/>
  <c r="H39" i="4387"/>
  <c r="H38" i="4387"/>
  <c r="H37" i="4387"/>
  <c r="H36" i="4387"/>
  <c r="H35" i="4387"/>
  <c r="H34" i="4387"/>
  <c r="H33" i="4387"/>
  <c r="H21" i="4387"/>
  <c r="H16" i="4387"/>
  <c r="H32" i="4387"/>
  <c r="H8" i="4387"/>
  <c r="H27" i="4387"/>
  <c r="H26" i="4387"/>
  <c r="C27" i="4387"/>
  <c r="H12" i="4387"/>
  <c r="H20" i="4387"/>
  <c r="H19" i="4387"/>
  <c r="B24" i="4387"/>
  <c r="H13" i="4387"/>
  <c r="H31" i="4387"/>
  <c r="H14" i="4387"/>
  <c r="H25" i="4387"/>
  <c r="C20" i="4387"/>
  <c r="H30" i="4387"/>
  <c r="H18" i="4387"/>
  <c r="H17" i="4387"/>
  <c r="B17" i="4387"/>
  <c r="B23" i="4387" s="1"/>
  <c r="H29" i="4387"/>
  <c r="C16" i="4387"/>
  <c r="H28" i="4387"/>
  <c r="C15" i="4387"/>
  <c r="H24" i="4387"/>
  <c r="C14" i="4387"/>
  <c r="H23" i="4387"/>
  <c r="C13" i="4387"/>
  <c r="O12" i="4387"/>
  <c r="H22" i="4387"/>
  <c r="C12" i="4387"/>
  <c r="O11" i="4387"/>
  <c r="H5" i="4387"/>
  <c r="C11" i="4387"/>
  <c r="O10" i="4387"/>
  <c r="H15" i="4387"/>
  <c r="C10" i="4387"/>
  <c r="H11" i="4387"/>
  <c r="C9" i="4387"/>
  <c r="H9" i="4387"/>
  <c r="C8" i="4387"/>
  <c r="O7" i="4387"/>
  <c r="H6" i="4387"/>
  <c r="C7" i="4387"/>
  <c r="O6" i="4387"/>
  <c r="H2" i="4387"/>
  <c r="B6" i="4387"/>
  <c r="O5" i="4387"/>
  <c r="H7" i="4387"/>
  <c r="B5" i="4387"/>
  <c r="O4" i="4387"/>
  <c r="H3" i="4387"/>
  <c r="O3" i="4387"/>
  <c r="H10" i="4387"/>
  <c r="O2" i="4387"/>
  <c r="H4" i="4387"/>
  <c r="O25" i="4381"/>
  <c r="O21" i="4381"/>
  <c r="O25" i="4379"/>
  <c r="O21" i="4379"/>
  <c r="C19" i="4387" l="1"/>
  <c r="C18" i="4387"/>
  <c r="C17" i="4389"/>
  <c r="C18" i="4389"/>
  <c r="C19" i="4389"/>
  <c r="C17" i="4387"/>
  <c r="O15" i="4385" l="1"/>
  <c r="O17" i="4385"/>
  <c r="H51" i="4385"/>
  <c r="H50" i="4385"/>
  <c r="H49" i="4385"/>
  <c r="H48" i="4385"/>
  <c r="H47" i="4385"/>
  <c r="H46" i="4385"/>
  <c r="H45" i="4385"/>
  <c r="H44" i="4385"/>
  <c r="H43" i="4385"/>
  <c r="H42" i="4385"/>
  <c r="H41" i="4385"/>
  <c r="H40" i="4385"/>
  <c r="H39" i="4385"/>
  <c r="H38" i="4385"/>
  <c r="H37" i="4385"/>
  <c r="H36" i="4385"/>
  <c r="H35" i="4385"/>
  <c r="H34" i="4385"/>
  <c r="H33" i="4385"/>
  <c r="H32" i="4385"/>
  <c r="H31" i="4385"/>
  <c r="H30" i="4385"/>
  <c r="H7" i="4385"/>
  <c r="H29" i="4385"/>
  <c r="H28" i="4385"/>
  <c r="C27" i="4385"/>
  <c r="H12" i="4385"/>
  <c r="H27" i="4385"/>
  <c r="H26" i="4385"/>
  <c r="B24" i="4385"/>
  <c r="H11" i="4385"/>
  <c r="H25" i="4385"/>
  <c r="H24" i="4385"/>
  <c r="H23" i="4385"/>
  <c r="C20" i="4385"/>
  <c r="H22" i="4385"/>
  <c r="C19" i="4385"/>
  <c r="H21" i="4385"/>
  <c r="H20" i="4385"/>
  <c r="B17" i="4385"/>
  <c r="C18" i="4385" s="1"/>
  <c r="H19" i="4385"/>
  <c r="C16" i="4385"/>
  <c r="H18" i="4385"/>
  <c r="C15" i="4385"/>
  <c r="H17" i="4385"/>
  <c r="C14" i="4385"/>
  <c r="H16" i="4385"/>
  <c r="C13" i="4385"/>
  <c r="O12" i="4385"/>
  <c r="H15" i="4385"/>
  <c r="C12" i="4385"/>
  <c r="O11" i="4385"/>
  <c r="H3" i="4385"/>
  <c r="C11" i="4385"/>
  <c r="O10" i="4385"/>
  <c r="H10" i="4385"/>
  <c r="C10" i="4385"/>
  <c r="H14" i="4385"/>
  <c r="C9" i="4385"/>
  <c r="H9" i="4385"/>
  <c r="C8" i="4385"/>
  <c r="O7" i="4385"/>
  <c r="H8" i="4385"/>
  <c r="C7" i="4385"/>
  <c r="O6" i="4385"/>
  <c r="H6" i="4385"/>
  <c r="B6" i="4385"/>
  <c r="O5" i="4385"/>
  <c r="H5" i="4385"/>
  <c r="B5" i="4385"/>
  <c r="O4" i="4385"/>
  <c r="H2" i="4385"/>
  <c r="O3" i="4385"/>
  <c r="H13" i="4385"/>
  <c r="O2" i="4385"/>
  <c r="H4" i="4385"/>
  <c r="O17" i="4383"/>
  <c r="O16" i="4383"/>
  <c r="H51" i="4383"/>
  <c r="H50" i="4383"/>
  <c r="H49" i="4383"/>
  <c r="H48" i="4383"/>
  <c r="H47" i="4383"/>
  <c r="H46" i="4383"/>
  <c r="H45" i="4383"/>
  <c r="H44" i="4383"/>
  <c r="H43" i="4383"/>
  <c r="H42" i="4383"/>
  <c r="H41" i="4383"/>
  <c r="H40" i="4383"/>
  <c r="H39" i="4383"/>
  <c r="H38" i="4383"/>
  <c r="H37" i="4383"/>
  <c r="H36" i="4383"/>
  <c r="H35" i="4383"/>
  <c r="H34" i="4383"/>
  <c r="H33" i="4383"/>
  <c r="H32" i="4383"/>
  <c r="H31" i="4383"/>
  <c r="H30" i="4383"/>
  <c r="H29" i="4383"/>
  <c r="H28" i="4383"/>
  <c r="H27" i="4383"/>
  <c r="C27" i="4383"/>
  <c r="H26" i="4383"/>
  <c r="H25" i="4383"/>
  <c r="H24" i="4383"/>
  <c r="B24" i="4383"/>
  <c r="H23" i="4383"/>
  <c r="H22" i="4383"/>
  <c r="H21" i="4383"/>
  <c r="H20" i="4383"/>
  <c r="C20" i="4383"/>
  <c r="H19" i="4383"/>
  <c r="H18" i="4383"/>
  <c r="C18" i="4383"/>
  <c r="H17" i="4383"/>
  <c r="B17" i="4383"/>
  <c r="C19" i="4383" s="1"/>
  <c r="H16" i="4383"/>
  <c r="C16" i="4383"/>
  <c r="H15" i="4383"/>
  <c r="C15" i="4383"/>
  <c r="H14" i="4383"/>
  <c r="C14" i="4383"/>
  <c r="H13" i="4383"/>
  <c r="C13" i="4383"/>
  <c r="O12" i="4383"/>
  <c r="H12" i="4383"/>
  <c r="C12" i="4383"/>
  <c r="O11" i="4383"/>
  <c r="H11" i="4383"/>
  <c r="C11" i="4383"/>
  <c r="O10" i="4383"/>
  <c r="H10" i="4383"/>
  <c r="C10" i="4383"/>
  <c r="H9" i="4383"/>
  <c r="C9" i="4383"/>
  <c r="H8" i="4383"/>
  <c r="C8" i="4383"/>
  <c r="O7" i="4383"/>
  <c r="H7" i="4383"/>
  <c r="C7" i="4383"/>
  <c r="O6" i="4383"/>
  <c r="H6" i="4383"/>
  <c r="B6" i="4383"/>
  <c r="O5" i="4383"/>
  <c r="H5" i="4383"/>
  <c r="B5" i="4383"/>
  <c r="O4" i="4383"/>
  <c r="H4" i="4383"/>
  <c r="O3" i="4383"/>
  <c r="H3" i="4383"/>
  <c r="O2" i="4383"/>
  <c r="H2" i="4383"/>
  <c r="O26" i="4379"/>
  <c r="O23" i="4381"/>
  <c r="O16" i="4381"/>
  <c r="H51" i="4381"/>
  <c r="H50" i="4381"/>
  <c r="H49" i="4381"/>
  <c r="H48" i="4381"/>
  <c r="H47" i="4381"/>
  <c r="H29" i="4381"/>
  <c r="H46" i="4381"/>
  <c r="H45" i="4381"/>
  <c r="H44" i="4381"/>
  <c r="H43" i="4381"/>
  <c r="H42" i="4381"/>
  <c r="H41" i="4381"/>
  <c r="H40" i="4381"/>
  <c r="H39" i="4381"/>
  <c r="H38" i="4381"/>
  <c r="H37" i="4381"/>
  <c r="H28" i="4381"/>
  <c r="H36" i="4381"/>
  <c r="H27" i="4381"/>
  <c r="H23" i="4381"/>
  <c r="H16" i="4381"/>
  <c r="H26" i="4381"/>
  <c r="H8" i="4381"/>
  <c r="H35" i="4381"/>
  <c r="H25" i="4381"/>
  <c r="C27" i="4381"/>
  <c r="H12" i="4381"/>
  <c r="H22" i="4381"/>
  <c r="H34" i="4381"/>
  <c r="B24" i="4381"/>
  <c r="H14" i="4381"/>
  <c r="H33" i="4381"/>
  <c r="H15" i="4381"/>
  <c r="H32" i="4381"/>
  <c r="C20" i="4381"/>
  <c r="H31" i="4381"/>
  <c r="H18" i="4381"/>
  <c r="H17" i="4381"/>
  <c r="B17" i="4381"/>
  <c r="B23" i="4381" s="1"/>
  <c r="H20" i="4381"/>
  <c r="C16" i="4381"/>
  <c r="H30" i="4381"/>
  <c r="C15" i="4381"/>
  <c r="H19" i="4381"/>
  <c r="C14" i="4381"/>
  <c r="H24" i="4381"/>
  <c r="C13" i="4381"/>
  <c r="O12" i="4381"/>
  <c r="H21" i="4381"/>
  <c r="C12" i="4381"/>
  <c r="O11" i="4381"/>
  <c r="H5" i="4381"/>
  <c r="C11" i="4381"/>
  <c r="O10" i="4381"/>
  <c r="H13" i="4381"/>
  <c r="C10" i="4381"/>
  <c r="H11" i="4381"/>
  <c r="C9" i="4381"/>
  <c r="H9" i="4381"/>
  <c r="C8" i="4381"/>
  <c r="O7" i="4381"/>
  <c r="H7" i="4381"/>
  <c r="C7" i="4381"/>
  <c r="O6" i="4381"/>
  <c r="H2" i="4381"/>
  <c r="B6" i="4381"/>
  <c r="O5" i="4381"/>
  <c r="H6" i="4381"/>
  <c r="B5" i="4381"/>
  <c r="O4" i="4381"/>
  <c r="H3" i="4381"/>
  <c r="O3" i="4381"/>
  <c r="H10" i="4381"/>
  <c r="O2" i="4381"/>
  <c r="H4" i="4381"/>
  <c r="O20" i="4379"/>
  <c r="O15" i="4379"/>
  <c r="H51" i="4379"/>
  <c r="H50" i="4379"/>
  <c r="H49" i="4379"/>
  <c r="H48" i="4379"/>
  <c r="H47" i="4379"/>
  <c r="H32" i="4379"/>
  <c r="H46" i="4379"/>
  <c r="H45" i="4379"/>
  <c r="H44" i="4379"/>
  <c r="H43" i="4379"/>
  <c r="H42" i="4379"/>
  <c r="H41" i="4379"/>
  <c r="H40" i="4379"/>
  <c r="H39" i="4379"/>
  <c r="H38" i="4379"/>
  <c r="H37" i="4379"/>
  <c r="H31" i="4379"/>
  <c r="H36" i="4379"/>
  <c r="H24" i="4379"/>
  <c r="H22" i="4379"/>
  <c r="H17" i="4379"/>
  <c r="H28" i="4379"/>
  <c r="H8" i="4379"/>
  <c r="H30" i="4379"/>
  <c r="H27" i="4379"/>
  <c r="C27" i="4379"/>
  <c r="H12" i="4379"/>
  <c r="H23" i="4379"/>
  <c r="H26" i="4379"/>
  <c r="B24" i="4379"/>
  <c r="H14" i="4379"/>
  <c r="H35" i="4379"/>
  <c r="H15" i="4379"/>
  <c r="H29" i="4379"/>
  <c r="C20" i="4379"/>
  <c r="H34" i="4379"/>
  <c r="H18" i="4379"/>
  <c r="H16" i="4379"/>
  <c r="B17" i="4379"/>
  <c r="C17" i="4379" s="1"/>
  <c r="H21" i="4379"/>
  <c r="C16" i="4379"/>
  <c r="H33" i="4379"/>
  <c r="C15" i="4379"/>
  <c r="H20" i="4379"/>
  <c r="C14" i="4379"/>
  <c r="H25" i="4379"/>
  <c r="C13" i="4379"/>
  <c r="O12" i="4379"/>
  <c r="H19" i="4379"/>
  <c r="C12" i="4379"/>
  <c r="O11" i="4379"/>
  <c r="H4" i="4379"/>
  <c r="C11" i="4379"/>
  <c r="O10" i="4379"/>
  <c r="H13" i="4379"/>
  <c r="C10" i="4379"/>
  <c r="H11" i="4379"/>
  <c r="C9" i="4379"/>
  <c r="H9" i="4379"/>
  <c r="C8" i="4379"/>
  <c r="O7" i="4379"/>
  <c r="H6" i="4379"/>
  <c r="C7" i="4379"/>
  <c r="O6" i="4379"/>
  <c r="H2" i="4379"/>
  <c r="B6" i="4379"/>
  <c r="O5" i="4379"/>
  <c r="H7" i="4379"/>
  <c r="B5" i="4379"/>
  <c r="O4" i="4379"/>
  <c r="H3" i="4379"/>
  <c r="O3" i="4379"/>
  <c r="H10" i="4379"/>
  <c r="O2" i="4379"/>
  <c r="H5" i="4379"/>
  <c r="B23" i="4385" l="1"/>
  <c r="C17" i="4383"/>
  <c r="B23" i="4383"/>
  <c r="C19" i="4381"/>
  <c r="C19" i="4379"/>
  <c r="C17" i="4381"/>
  <c r="C17" i="4385"/>
  <c r="C18" i="4379"/>
  <c r="B23" i="4379"/>
  <c r="C18" i="4381"/>
  <c r="C21" i="2228" l="1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7" i="2228" l="1"/>
  <c r="C14" i="2228" l="1"/>
  <c r="C13" i="2228"/>
  <c r="C20" i="2228" l="1"/>
  <c r="B24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3" i="2228" l="1"/>
  <c r="C18" i="2228"/>
  <c r="C19" i="2228"/>
</calcChain>
</file>

<file path=xl/sharedStrings.xml><?xml version="1.0" encoding="utf-8"?>
<sst xmlns="http://schemas.openxmlformats.org/spreadsheetml/2006/main" count="3612" uniqueCount="264">
  <si>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</si>
  <si>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</si>
  <si>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</si>
  <si>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</si>
  <si>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</si>
  <si>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</si>
  <si>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</si>
  <si>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</si>
  <si>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</si>
  <si>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</si>
  <si>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</si>
  <si>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</si>
  <si>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</si>
  <si>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</si>
  <si>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</si>
  <si>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</si>
  <si>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</si>
  <si>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</si>
  <si>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</si>
  <si>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</si>
  <si>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</si>
  <si>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</si>
  <si>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</si>
  <si>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</si>
  <si>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</si>
  <si>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</si>
  <si>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</si>
  <si>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</si>
  <si>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</si>
  <si>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</si>
  <si>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</si>
  <si>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</si>
  <si>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</si>
  <si>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</si>
  <si>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</si>
  <si>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</si>
  <si>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</si>
  <si>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</si>
  <si>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</si>
  <si>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</si>
  <si>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</si>
  <si>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</si>
  <si>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</si>
  <si>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</si>
  <si>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</si>
  <si>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</si>
  <si>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</si>
  <si>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</si>
  <si>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</si>
  <si>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</si>
  <si>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</si>
  <si>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</si>
  <si>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</si>
  <si>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</si>
  <si>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</si>
  <si>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</si>
  <si>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</si>
  <si>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</si>
  <si>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</si>
  <si>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</si>
  <si>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</si>
  <si>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</si>
  <si>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</si>
  <si>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</si>
  <si>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</si>
  <si>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</si>
  <si>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</si>
  <si>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</si>
  <si>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</si>
  <si>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</si>
  <si>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</si>
  <si>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</si>
  <si>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</si>
  <si>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</si>
  <si>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</si>
  <si>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</si>
  <si>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</si>
  <si>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</si>
  <si>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</si>
  <si>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</si>
  <si>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</si>
  <si>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</si>
  <si>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</si>
  <si>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</si>
  <si>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</si>
  <si>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</si>
  <si>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</si>
  <si>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</si>
  <si>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</si>
  <si>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</si>
  <si>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</si>
  <si>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</si>
  <si>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</si>
  <si>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</si>
  <si>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</si>
  <si>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</si>
  <si>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</si>
  <si>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</si>
  <si>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</si>
  <si>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</si>
  <si>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</si>
  <si>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</si>
  <si>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</si>
  <si>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</si>
  <si>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</si>
  <si>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</si>
  <si>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</si>
  <si>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</si>
  <si>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</si>
  <si>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</si>
  <si>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</si>
  <si>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</si>
  <si>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</si>
  <si>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</si>
  <si>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</si>
  <si>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</si>
  <si>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</si>
  <si>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</si>
  <si>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</si>
  <si>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</si>
  <si>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</si>
  <si>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</si>
  <si>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</si>
  <si>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</si>
  <si>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</si>
  <si>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</si>
  <si>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</si>
  <si>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</si>
  <si>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</si>
  <si>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</si>
  <si>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</si>
  <si>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</si>
  <si>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</si>
  <si>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</si>
  <si>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</si>
  <si>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</si>
  <si>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</si>
  <si>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</si>
  <si>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</si>
  <si>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</si>
  <si>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</si>
  <si>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</si>
  <si>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</si>
  <si>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</si>
  <si>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</si>
  <si>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</si>
  <si>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</si>
  <si>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</si>
  <si>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</si>
  <si>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</si>
  <si>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</si>
  <si>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</si>
  <si>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</si>
  <si>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</si>
  <si>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</si>
  <si>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</si>
  <si>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</si>
  <si>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</si>
  <si>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</si>
  <si>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</si>
  <si>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</si>
  <si>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</si>
  <si>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</si>
  <si>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</si>
  <si>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</si>
  <si>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</si>
  <si>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</si>
  <si>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</si>
  <si>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</si>
  <si>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</si>
  <si>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</si>
  <si>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</si>
  <si>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</si>
  <si>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</si>
  <si>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</si>
  <si>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</si>
  <si>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</si>
  <si>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</si>
  <si>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</si>
  <si>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</si>
  <si>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</si>
  <si>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</si>
  <si>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</si>
  <si>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</si>
  <si>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</si>
  <si>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</si>
  <si>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</si>
  <si>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</si>
  <si>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</si>
  <si>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</si>
  <si>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</si>
  <si>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</si>
  <si>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</si>
  <si>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</si>
  <si>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</si>
  <si>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</si>
  <si>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</si>
  <si>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</si>
  <si>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</si>
  <si>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</si>
  <si>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</si>
  <si>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</si>
  <si>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</si>
  <si>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</si>
  <si>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</si>
  <si>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</si>
  <si>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</si>
  <si>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</si>
  <si>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</si>
  <si>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</si>
  <si>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</si>
  <si>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</si>
  <si>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</si>
  <si>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</si>
  <si>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</si>
  <si>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</si>
  <si>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</si>
  <si>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</si>
  <si>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</si>
  <si>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</si>
  <si>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</si>
  <si>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</si>
  <si>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</si>
  <si>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</si>
  <si>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</si>
  <si>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</si>
  <si>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</si>
  <si>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</si>
  <si>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</si>
  <si>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</si>
  <si>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</si>
  <si>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</si>
  <si>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</si>
  <si>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</si>
  <si>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</si>
  <si>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</si>
  <si>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</si>
  <si>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</si>
  <si>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</si>
  <si>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</si>
  <si>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</si>
  <si>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</si>
  <si>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</si>
  <si>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</si>
  <si>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</si>
  <si>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</si>
  <si>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</si>
  <si>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</si>
  <si>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</si>
  <si>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</si>
  <si>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</si>
  <si>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</si>
  <si>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</si>
  <si>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</si>
  <si>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</si>
  <si>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</si>
  <si>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</si>
  <si>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</si>
  <si>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</si>
  <si>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</si>
  <si>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</si>
  <si>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</si>
  <si>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</si>
  <si>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連続アガリ</t>
    <rPh sb="0" eb="2">
      <t>レンゾク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</si>
</sst>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externalLink" Target="externalLinks/externalLink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9D-42E3-B3BE-FDB3296E1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BE-410E-ACB2-376566F42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B2-4D78-A122-0C608E4C7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A5-42C9-AF7E-754607875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1-4760-BDE5-C5577BDE1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04-44D5-BD61-C3D8F45DB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B-4C54-9DD9-26785009C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83-411C-B76C-9CEC08704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9-4635-852E-14FADC4A0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C4-4610-8468-F4A44187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6-4DFD-ABEF-EAD925C1F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8C-46AF-9E96-5DB3C3485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4-4729-98DF-1A7635080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C-47AC-9F9F-6301FB3EE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E4-4C01-B729-3CDAFB88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82-4114-9087-C3E45A03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B-433C-B0BF-1916DD382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A-4F8D-B393-EF5A03C7F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D-4CBD-83D0-05275800B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EC-4A90-A287-4A35D0F9D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92-43A6-BF95-FB23F0C59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C-41D9-BE23-5CCA20CAE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DE-4E33-8EEA-5A408AFD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B-47C0-B6F2-2251B4747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65-468D-8F0D-F157A0BE2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2-4A35-BB24-54201DD56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1F-4499-BB2B-307D50B8B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B-4FF1-9AFF-03DC062EB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BD688CC7-0883-442D-86D6-3E6787B40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8E5E76-0D78-479D-8EBE-5E18D112C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A8553BF-8827-4F3B-93BA-8F09D3A9F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E33C46-25D0-483F-9935-F355AF660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6E819A1-B1BB-4312-B8F1-DB2DFB106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A7659F-B815-4D2F-8F74-B04983BDC5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413DE32-817B-4F0E-9686-058D0C0AA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4FC09B-2920-4A4E-B51E-646E4B5A3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221A88F-C470-4CE3-942A-1E600E0FB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BCB360-E4DC-4517-947D-F1D169EB3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9A2601-0F3E-4CA8-B7FF-39AF417933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F2C345-C5F8-4838-9161-BCA327A26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1682FC-F732-4DA7-8118-C29F760B9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D0C312-4383-45D7-B126-431F969B0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A139FB-44CD-4FD5-A736-BEF30E8DC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3D4F72-0512-4BC5-9990-9B36BD1EFE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AF86CBC-B47B-4AB9-8A05-5BF0AF6A16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3BFF85-D4F7-46CB-AF91-6C432729C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413D98-7E30-4AF6-9CAD-4E630C703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6A704C-3937-45D9-AC50-141E4AC35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CA39AC-E253-4FC6-8018-17A44DD27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2A0EDA-A2EE-4726-A9F2-C05D86111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27B15C-6769-4223-B490-CA8F251B6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BD2BF9-093A-40A7-B1F3-FF16ED668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33C3498-07A2-417D-8C08-D44B8D9EF3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4FBD09-0E0F-4D92-B5D5-6C08ED5910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570953-54A3-4E4C-921E-705C860363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8B36447-ACE3-445F-A20D-10ED08FE9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E3D1D6-274A-43BD-857F-C11D647D18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ichi/Desktop/xx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1"/>
      <sheetName val="Cache"/>
      <sheetName val="Template2"/>
      <sheetName val="Players"/>
      <sheetName val="ランキング"/>
      <sheetName val="全体"/>
      <sheetName val="だいち"/>
      <sheetName val="りくと"/>
      <sheetName val="ただ"/>
      <sheetName val="れんたろう"/>
      <sheetName val="たかの"/>
      <sheetName val="ぱぱ"/>
      <sheetName val="まっつん"/>
      <sheetName val="あさひ"/>
      <sheetName val="いっしー"/>
      <sheetName val="いっしー2"/>
      <sheetName val="あさひ2"/>
      <sheetName val="まっつん2"/>
      <sheetName val="ぱぱ2"/>
      <sheetName val="たかの2"/>
      <sheetName val="れんたろう2"/>
      <sheetName val="ただ2"/>
      <sheetName val="りくと2"/>
      <sheetName val="だいち2"/>
      <sheetName val="全体2"/>
      <sheetName val="通算スコア"/>
      <sheetName val="平均スコア"/>
      <sheetName val="平均順位"/>
      <sheetName val="トップ率"/>
      <sheetName val="アガリ率"/>
      <sheetName val="放銃率"/>
      <sheetName val="平均アガリ点"/>
      <sheetName val="平均放銃点"/>
      <sheetName val="ふっとび率"/>
      <sheetName val="ふっとばし率"/>
      <sheetName val="リーチ率"/>
      <sheetName val="副露率"/>
      <sheetName val="リーチ成功率"/>
      <sheetName val="副露成功率"/>
      <sheetName val="ツモ率"/>
    </sheetNames>
    <definedNames>
      <definedName name="集計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1" t="s">
        <v>0</v>
      </c>
      <c r="B1" s="151"/>
      <c r="C1" s="152"/>
      <c r="E1" s="133" t="s">
        <v>253</v>
      </c>
      <c r="F1" s="12" t="s">
        <v>120</v>
      </c>
      <c r="G1" s="27" t="s">
        <v>121</v>
      </c>
      <c r="H1" s="134" t="s">
        <v>122</v>
      </c>
      <c r="I1" s="104" t="s">
        <v>226</v>
      </c>
      <c r="K1" s="2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234</v>
      </c>
    </row>
    <row r="2" spans="1:17" x14ac:dyDescent="0.4">
      <c r="A2" s="22" t="s">
        <v>9</v>
      </c>
      <c r="B2" s="147">
        <v>0</v>
      </c>
      <c r="C2" s="148"/>
      <c r="E2" s="64" t="s">
        <v>67</v>
      </c>
      <c r="F2" s="28" t="s">
        <v>21</v>
      </c>
      <c r="G2" s="14">
        <v>0</v>
      </c>
      <c r="H2" s="136">
        <f>IF(B$29=0,0,G2/B$29)</f>
        <v>0</v>
      </c>
      <c r="I2" s="97"/>
      <c r="K2" s="3">
        <v>0</v>
      </c>
      <c r="L2" s="102">
        <v>0</v>
      </c>
      <c r="N2" s="118" t="s">
        <v>147</v>
      </c>
      <c r="O2" s="125">
        <f t="shared" ref="O2:O7" si="0">IF(P2=0,0,Q2/P2)</f>
        <v>0</v>
      </c>
      <c r="P2" s="122">
        <v>0</v>
      </c>
      <c r="Q2" s="106">
        <v>0</v>
      </c>
    </row>
    <row r="3" spans="1:17" x14ac:dyDescent="0.4">
      <c r="A3" s="23" t="s">
        <v>8</v>
      </c>
      <c r="B3" s="153">
        <v>0</v>
      </c>
      <c r="C3" s="154"/>
      <c r="E3" s="65" t="s">
        <v>68</v>
      </c>
      <c r="F3" s="29" t="s">
        <v>22</v>
      </c>
      <c r="G3" s="15">
        <v>0</v>
      </c>
      <c r="H3" s="137">
        <f>IF(B$29=0,0,G3/B$29)</f>
        <v>0</v>
      </c>
      <c r="I3" s="98"/>
      <c r="N3" s="119" t="s">
        <v>148</v>
      </c>
      <c r="O3" s="126">
        <f t="shared" si="0"/>
        <v>0</v>
      </c>
      <c r="P3" s="123">
        <v>0</v>
      </c>
      <c r="Q3" s="107">
        <v>0</v>
      </c>
    </row>
    <row r="4" spans="1:17" x14ac:dyDescent="0.4">
      <c r="A4" s="23" t="s">
        <v>6</v>
      </c>
      <c r="B4" s="155">
        <v>0</v>
      </c>
      <c r="C4" s="156"/>
      <c r="E4" s="65" t="s">
        <v>69</v>
      </c>
      <c r="F4" s="29" t="s">
        <v>23</v>
      </c>
      <c r="G4" s="15">
        <v>0</v>
      </c>
      <c r="H4" s="137">
        <f>IF(B$29=0,0,G4/B$29)</f>
        <v>0</v>
      </c>
      <c r="I4" s="98"/>
      <c r="N4" s="119" t="s">
        <v>149</v>
      </c>
      <c r="O4" s="126">
        <f t="shared" si="0"/>
        <v>0</v>
      </c>
      <c r="P4" s="123">
        <v>0</v>
      </c>
      <c r="Q4" s="107">
        <v>0</v>
      </c>
    </row>
    <row r="5" spans="1:17" x14ac:dyDescent="0.4">
      <c r="A5" s="23" t="s">
        <v>7</v>
      </c>
      <c r="B5" s="157">
        <f>IF(B$2=0,0,B$4/B$2)</f>
        <v>0</v>
      </c>
      <c r="C5" s="158"/>
      <c r="E5" s="65" t="s">
        <v>70</v>
      </c>
      <c r="F5" s="29" t="s">
        <v>24</v>
      </c>
      <c r="G5" s="15">
        <v>0</v>
      </c>
      <c r="H5" s="137">
        <f>IF(B$29=0,0,G5/B$29)</f>
        <v>0</v>
      </c>
      <c r="I5" s="98"/>
      <c r="N5" s="119" t="s">
        <v>150</v>
      </c>
      <c r="O5" s="126">
        <f t="shared" si="0"/>
        <v>0</v>
      </c>
      <c r="P5" s="123">
        <v>0</v>
      </c>
      <c r="Q5" s="107">
        <v>0</v>
      </c>
    </row>
    <row r="6" spans="1:17" x14ac:dyDescent="0.4">
      <c r="A6" s="23" t="s">
        <v>1</v>
      </c>
      <c r="B6" s="145">
        <f>IF(B$2=0,0,(B$7*1+B$8*2+B$9*3)/B$2)</f>
        <v>0</v>
      </c>
      <c r="C6" s="146"/>
      <c r="E6" s="65" t="s">
        <v>71</v>
      </c>
      <c r="F6" s="29" t="s">
        <v>25</v>
      </c>
      <c r="G6" s="15">
        <v>0</v>
      </c>
      <c r="H6" s="137">
        <f>IF(B$29=0,0,G6/B$29)</f>
        <v>0</v>
      </c>
      <c r="I6" s="98"/>
      <c r="N6" s="119" t="s">
        <v>151</v>
      </c>
      <c r="O6" s="126">
        <f t="shared" si="0"/>
        <v>0</v>
      </c>
      <c r="P6" s="123">
        <v>0</v>
      </c>
      <c r="Q6" s="107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7">
        <f>IF(B$29=0,0,G7/B$29)</f>
        <v>0</v>
      </c>
      <c r="I7" s="98"/>
      <c r="N7" s="120" t="s">
        <v>152</v>
      </c>
      <c r="O7" s="127">
        <f t="shared" si="0"/>
        <v>0</v>
      </c>
      <c r="P7" s="124">
        <v>0</v>
      </c>
      <c r="Q7" s="108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7">
        <f>IF(B$29=0,0,G8/B$29)</f>
        <v>0</v>
      </c>
      <c r="I8" s="98"/>
      <c r="N8" s="45"/>
      <c r="O8" s="131"/>
      <c r="P8" s="115"/>
      <c r="Q8" s="113"/>
    </row>
    <row r="9" spans="1:17" x14ac:dyDescent="0.4">
      <c r="A9" s="24" t="s">
        <v>4</v>
      </c>
      <c r="B9" s="16">
        <v>0</v>
      </c>
      <c r="C9" s="7">
        <f t="shared" ref="C9" si="1">IF(B$2=0,0,B9/B$2)</f>
        <v>0</v>
      </c>
      <c r="E9" s="65" t="s">
        <v>74</v>
      </c>
      <c r="F9" s="29" t="s">
        <v>27</v>
      </c>
      <c r="G9" s="15">
        <v>0</v>
      </c>
      <c r="H9" s="137">
        <f>IF(B$29=0,0,G9/B$29)</f>
        <v>0</v>
      </c>
      <c r="I9" s="98"/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7">
        <f>IF(B$29=0,0,G10/B$29)</f>
        <v>0</v>
      </c>
      <c r="I10" s="98"/>
      <c r="N10" s="118" t="s">
        <v>250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7">
        <f>IF(B$29=0,0,G11/B$29)</f>
        <v>0</v>
      </c>
      <c r="I11" s="98"/>
      <c r="N11" s="119" t="s">
        <v>251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7">
        <f>IF(B$29=0,0,G12/B$29)</f>
        <v>0</v>
      </c>
      <c r="I12" s="98"/>
      <c r="N12" s="120" t="s">
        <v>252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6" t="s">
        <v>128</v>
      </c>
      <c r="B13" s="18">
        <v>0</v>
      </c>
      <c r="C13" s="11">
        <f>IF(B$28=0,0,B13/B$28)</f>
        <v>0</v>
      </c>
      <c r="E13" s="65" t="s">
        <v>78</v>
      </c>
      <c r="F13" s="29" t="s">
        <v>31</v>
      </c>
      <c r="G13" s="15">
        <v>0</v>
      </c>
      <c r="H13" s="137">
        <f>IF(B$29=0,0,G13/B$29)</f>
        <v>0</v>
      </c>
      <c r="I13" s="98"/>
      <c r="N13" s="35"/>
      <c r="O13" s="114"/>
      <c r="P13" s="116"/>
      <c r="Q13" s="114"/>
    </row>
    <row r="14" spans="1:17" x14ac:dyDescent="0.4">
      <c r="A14" s="23" t="s">
        <v>123</v>
      </c>
      <c r="B14" s="15">
        <v>0</v>
      </c>
      <c r="C14" s="6">
        <f>IF(B$28=0,0,B14/B$28)</f>
        <v>0</v>
      </c>
      <c r="E14" s="65" t="s">
        <v>79</v>
      </c>
      <c r="F14" s="29" t="s">
        <v>32</v>
      </c>
      <c r="G14" s="15">
        <v>0</v>
      </c>
      <c r="H14" s="137">
        <f>IF(B$29=0,0,G14/B$29)</f>
        <v>0</v>
      </c>
      <c r="I14" s="98"/>
      <c r="N14" s="117" t="s">
        <v>230</v>
      </c>
      <c r="O14" s="36" t="s">
        <v>231</v>
      </c>
      <c r="P14" s="121" t="s">
        <v>232</v>
      </c>
      <c r="Q14" s="109" t="s">
        <v>233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7">
        <f>IF(B$29=0,0,G15/B$29)</f>
        <v>0</v>
      </c>
      <c r="I15" s="98"/>
      <c r="N15" s="118"/>
      <c r="O15" s="128"/>
      <c r="P15" s="122"/>
      <c r="Q15" s="110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7">
        <f>IF(B$29=0,0,G16/B$29)</f>
        <v>0</v>
      </c>
      <c r="I16" s="98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7">
        <f>IF(B$29=0,0,G17/B$29)</f>
        <v>0</v>
      </c>
      <c r="I17" s="98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7">
        <f>IF(B$29=0,0,G18/B$29)</f>
        <v>0</v>
      </c>
      <c r="I18" s="98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7">
        <f>IF(B$29=0,0,G19/B$29)</f>
        <v>0</v>
      </c>
      <c r="I19" s="98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7">
        <f>IF(B$29=0,0,G20/B$29)</f>
        <v>0</v>
      </c>
      <c r="I20" s="98"/>
    </row>
    <row r="21" spans="1:9" x14ac:dyDescent="0.4">
      <c r="A21" s="57" t="s">
        <v>13</v>
      </c>
      <c r="B21" s="49">
        <v>0</v>
      </c>
      <c r="C21" s="41">
        <f>IF(B$3=0,0,B21/B$3)</f>
        <v>0</v>
      </c>
      <c r="E21" s="65" t="s">
        <v>86</v>
      </c>
      <c r="F21" s="29" t="s">
        <v>39</v>
      </c>
      <c r="G21" s="15">
        <v>0</v>
      </c>
      <c r="H21" s="137">
        <f>IF(B$29=0,0,G21/B$29)</f>
        <v>0</v>
      </c>
      <c r="I21" s="98"/>
    </row>
    <row r="22" spans="1:9" x14ac:dyDescent="0.4">
      <c r="A22" s="57" t="s">
        <v>263</v>
      </c>
      <c r="B22" s="49">
        <v>0</v>
      </c>
      <c r="C22" s="165">
        <v>0</v>
      </c>
      <c r="E22" s="65" t="s">
        <v>87</v>
      </c>
      <c r="F22" s="29" t="s">
        <v>40</v>
      </c>
      <c r="G22" s="15">
        <v>0</v>
      </c>
      <c r="H22" s="137">
        <f>IF(B$29=0,0,G22/B$29)</f>
        <v>0</v>
      </c>
      <c r="I22" s="98"/>
    </row>
    <row r="23" spans="1:9" x14ac:dyDescent="0.4">
      <c r="A23" s="23" t="s">
        <v>5</v>
      </c>
      <c r="B23" s="19">
        <f>IF(B$17=0,0,C23/B$17)</f>
        <v>0</v>
      </c>
      <c r="C23" s="8">
        <v>0</v>
      </c>
      <c r="E23" s="65" t="s">
        <v>88</v>
      </c>
      <c r="F23" s="29" t="s">
        <v>41</v>
      </c>
      <c r="G23" s="15">
        <v>0</v>
      </c>
      <c r="H23" s="137">
        <f>IF(B$29=0,0,G23/B$29)</f>
        <v>0</v>
      </c>
      <c r="I23" s="98"/>
    </row>
    <row r="24" spans="1:9" x14ac:dyDescent="0.4">
      <c r="A24" s="25" t="s">
        <v>14</v>
      </c>
      <c r="B24" s="20">
        <f>IF(B$20=0,0,C24/B$20)</f>
        <v>0</v>
      </c>
      <c r="C24" s="13">
        <v>0</v>
      </c>
      <c r="E24" s="65" t="s">
        <v>89</v>
      </c>
      <c r="F24" s="29" t="s">
        <v>42</v>
      </c>
      <c r="G24" s="15">
        <v>0</v>
      </c>
      <c r="H24" s="137">
        <f>IF(B$29=0,0,G24/B$29)</f>
        <v>0</v>
      </c>
      <c r="I24" s="98"/>
    </row>
    <row r="25" spans="1:9" x14ac:dyDescent="0.4">
      <c r="A25" s="94" t="s">
        <v>158</v>
      </c>
      <c r="B25" s="143">
        <v>0</v>
      </c>
      <c r="C25" s="144"/>
      <c r="E25" s="65" t="s">
        <v>90</v>
      </c>
      <c r="F25" s="29" t="s">
        <v>43</v>
      </c>
      <c r="G25" s="15">
        <v>0</v>
      </c>
      <c r="H25" s="137">
        <f>IF(B$29=0,0,G25/B$29)</f>
        <v>0</v>
      </c>
      <c r="I25" s="98"/>
    </row>
    <row r="26" spans="1:9" x14ac:dyDescent="0.4">
      <c r="A26" s="60" t="s">
        <v>198</v>
      </c>
      <c r="B26" s="141">
        <v>0</v>
      </c>
      <c r="C26" s="142"/>
      <c r="E26" s="65" t="s">
        <v>91</v>
      </c>
      <c r="F26" s="29" t="s">
        <v>44</v>
      </c>
      <c r="G26" s="15">
        <v>0</v>
      </c>
      <c r="H26" s="137">
        <f>IF(B$29=0,0,G26/B$29)</f>
        <v>0</v>
      </c>
      <c r="I26" s="98"/>
    </row>
    <row r="27" spans="1:9" x14ac:dyDescent="0.4">
      <c r="A27" s="25" t="s">
        <v>159</v>
      </c>
      <c r="B27" s="34">
        <v>0</v>
      </c>
      <c r="C27" s="9">
        <f>IF(B$3=0,0,B27/B$3)</f>
        <v>0</v>
      </c>
      <c r="E27" s="65" t="s">
        <v>92</v>
      </c>
      <c r="F27" s="29" t="s">
        <v>45</v>
      </c>
      <c r="G27" s="15">
        <v>0</v>
      </c>
      <c r="H27" s="137">
        <f>IF(B$29=0,0,G27/B$29)</f>
        <v>0</v>
      </c>
      <c r="I27" s="98"/>
    </row>
    <row r="28" spans="1:9" x14ac:dyDescent="0.4">
      <c r="A28" s="22" t="s">
        <v>126</v>
      </c>
      <c r="B28" s="147">
        <v>0</v>
      </c>
      <c r="C28" s="148"/>
      <c r="E28" s="65" t="s">
        <v>93</v>
      </c>
      <c r="F28" s="29" t="s">
        <v>46</v>
      </c>
      <c r="G28" s="15">
        <v>0</v>
      </c>
      <c r="H28" s="137">
        <f>IF(B$29=0,0,G28/B$29)</f>
        <v>0</v>
      </c>
      <c r="I28" s="98"/>
    </row>
    <row r="29" spans="1:9" x14ac:dyDescent="0.4">
      <c r="A29" s="25" t="s">
        <v>127</v>
      </c>
      <c r="B29" s="149">
        <v>0</v>
      </c>
      <c r="C29" s="150"/>
      <c r="E29" s="65" t="s">
        <v>94</v>
      </c>
      <c r="F29" s="29" t="s">
        <v>47</v>
      </c>
      <c r="G29" s="15">
        <v>0</v>
      </c>
      <c r="H29" s="137">
        <f>IF(B$29=0,0,G29/B$29)</f>
        <v>0</v>
      </c>
      <c r="I29" s="98"/>
    </row>
    <row r="30" spans="1:9" x14ac:dyDescent="0.4">
      <c r="E30" s="65" t="s">
        <v>95</v>
      </c>
      <c r="F30" s="29" t="s">
        <v>48</v>
      </c>
      <c r="G30" s="15">
        <v>0</v>
      </c>
      <c r="H30" s="137">
        <f>IF(B$29=0,0,G30/B$29)</f>
        <v>0</v>
      </c>
      <c r="I30" s="98"/>
    </row>
    <row r="31" spans="1:9" x14ac:dyDescent="0.4">
      <c r="E31" s="65" t="s">
        <v>96</v>
      </c>
      <c r="F31" s="29" t="s">
        <v>49</v>
      </c>
      <c r="G31" s="15">
        <v>0</v>
      </c>
      <c r="H31" s="137">
        <f>IF(B$29=0,0,G31/B$29)</f>
        <v>0</v>
      </c>
      <c r="I31" s="98"/>
    </row>
    <row r="32" spans="1:9" x14ac:dyDescent="0.4">
      <c r="E32" s="65" t="s">
        <v>97</v>
      </c>
      <c r="F32" s="29" t="s">
        <v>50</v>
      </c>
      <c r="G32" s="15">
        <v>0</v>
      </c>
      <c r="H32" s="137">
        <f>IF(B$29=0,0,G32/B$29)</f>
        <v>0</v>
      </c>
      <c r="I32" s="98"/>
    </row>
    <row r="33" spans="5:9" x14ac:dyDescent="0.4">
      <c r="E33" s="65" t="s">
        <v>98</v>
      </c>
      <c r="F33" s="29" t="s">
        <v>51</v>
      </c>
      <c r="G33" s="15">
        <v>0</v>
      </c>
      <c r="H33" s="137">
        <f>IF(B$29=0,0,G33/B$29)</f>
        <v>0</v>
      </c>
      <c r="I33" s="98"/>
    </row>
    <row r="34" spans="5:9" x14ac:dyDescent="0.4">
      <c r="E34" s="65" t="s">
        <v>99</v>
      </c>
      <c r="F34" s="29" t="s">
        <v>52</v>
      </c>
      <c r="G34" s="15">
        <v>0</v>
      </c>
      <c r="H34" s="137">
        <f>IF(B$29=0,0,G34/B$29)</f>
        <v>0</v>
      </c>
      <c r="I34" s="98"/>
    </row>
    <row r="35" spans="5:9" x14ac:dyDescent="0.4">
      <c r="E35" s="65" t="s">
        <v>100</v>
      </c>
      <c r="F35" s="29" t="s">
        <v>53</v>
      </c>
      <c r="G35" s="15">
        <v>0</v>
      </c>
      <c r="H35" s="137">
        <f>IF(B$29=0,0,G35/B$29)</f>
        <v>0</v>
      </c>
      <c r="I35" s="98"/>
    </row>
    <row r="36" spans="5:9" x14ac:dyDescent="0.4">
      <c r="E36" s="65" t="s">
        <v>101</v>
      </c>
      <c r="F36" s="29" t="s">
        <v>54</v>
      </c>
      <c r="G36" s="15">
        <v>0</v>
      </c>
      <c r="H36" s="137">
        <f>IF(B$29=0,0,G36/B$29)</f>
        <v>0</v>
      </c>
      <c r="I36" s="98"/>
    </row>
    <row r="37" spans="5:9" x14ac:dyDescent="0.4">
      <c r="E37" s="65" t="s">
        <v>102</v>
      </c>
      <c r="F37" s="29" t="s">
        <v>55</v>
      </c>
      <c r="G37" s="15">
        <v>0</v>
      </c>
      <c r="H37" s="137">
        <f>IF(B$29=0,0,G37/B$29)</f>
        <v>0</v>
      </c>
      <c r="I37" s="98"/>
    </row>
    <row r="38" spans="5:9" x14ac:dyDescent="0.4">
      <c r="E38" s="65" t="s">
        <v>103</v>
      </c>
      <c r="F38" s="29" t="s">
        <v>56</v>
      </c>
      <c r="G38" s="15">
        <v>0</v>
      </c>
      <c r="H38" s="137">
        <f>IF(B$29=0,0,G38/B$29)</f>
        <v>0</v>
      </c>
      <c r="I38" s="98"/>
    </row>
    <row r="39" spans="5:9" x14ac:dyDescent="0.4">
      <c r="E39" s="65" t="s">
        <v>104</v>
      </c>
      <c r="F39" s="29" t="s">
        <v>57</v>
      </c>
      <c r="G39" s="15">
        <v>0</v>
      </c>
      <c r="H39" s="137">
        <f>IF(B$29=0,0,G39/B$29)</f>
        <v>0</v>
      </c>
      <c r="I39" s="98"/>
    </row>
    <row r="40" spans="5:9" x14ac:dyDescent="0.4">
      <c r="E40" s="65" t="s">
        <v>105</v>
      </c>
      <c r="F40" s="29" t="s">
        <v>58</v>
      </c>
      <c r="G40" s="15">
        <v>0</v>
      </c>
      <c r="H40" s="137">
        <f>IF(B$29=0,0,G40/B$29)</f>
        <v>0</v>
      </c>
      <c r="I40" s="98"/>
    </row>
    <row r="41" spans="5:9" x14ac:dyDescent="0.4">
      <c r="E41" s="65" t="s">
        <v>106</v>
      </c>
      <c r="F41" s="29" t="s">
        <v>59</v>
      </c>
      <c r="G41" s="15">
        <v>0</v>
      </c>
      <c r="H41" s="137">
        <f>IF(B$29=0,0,G41/B$29)</f>
        <v>0</v>
      </c>
      <c r="I41" s="98"/>
    </row>
    <row r="42" spans="5:9" x14ac:dyDescent="0.4">
      <c r="E42" s="65" t="s">
        <v>107</v>
      </c>
      <c r="F42" s="29" t="s">
        <v>60</v>
      </c>
      <c r="G42" s="15">
        <v>0</v>
      </c>
      <c r="H42" s="137">
        <f>IF(B$29=0,0,G42/B$29)</f>
        <v>0</v>
      </c>
      <c r="I42" s="98"/>
    </row>
    <row r="43" spans="5:9" x14ac:dyDescent="0.4">
      <c r="E43" s="65" t="s">
        <v>108</v>
      </c>
      <c r="F43" s="29" t="s">
        <v>61</v>
      </c>
      <c r="G43" s="15">
        <v>0</v>
      </c>
      <c r="H43" s="137">
        <f>IF(B$29=0,0,G43/B$29)</f>
        <v>0</v>
      </c>
      <c r="I43" s="98"/>
    </row>
    <row r="44" spans="5:9" x14ac:dyDescent="0.4">
      <c r="E44" s="65" t="s">
        <v>109</v>
      </c>
      <c r="F44" s="29" t="s">
        <v>62</v>
      </c>
      <c r="G44" s="15">
        <v>0</v>
      </c>
      <c r="H44" s="137">
        <f>IF(B$29=0,0,G44/B$29)</f>
        <v>0</v>
      </c>
      <c r="I44" s="98"/>
    </row>
    <row r="45" spans="5:9" x14ac:dyDescent="0.4">
      <c r="E45" s="65" t="s">
        <v>110</v>
      </c>
      <c r="F45" s="29" t="s">
        <v>117</v>
      </c>
      <c r="G45" s="15">
        <v>0</v>
      </c>
      <c r="H45" s="137">
        <f>IF(B$29=0,0,G45/B$29)</f>
        <v>0</v>
      </c>
      <c r="I45" s="98"/>
    </row>
    <row r="46" spans="5:9" x14ac:dyDescent="0.4">
      <c r="E46" s="65" t="s">
        <v>111</v>
      </c>
      <c r="F46" s="29" t="s">
        <v>118</v>
      </c>
      <c r="G46" s="15">
        <v>0</v>
      </c>
      <c r="H46" s="137">
        <f>IF(B$29=0,0,G46/B$29)</f>
        <v>0</v>
      </c>
      <c r="I46" s="98"/>
    </row>
    <row r="47" spans="5:9" x14ac:dyDescent="0.4">
      <c r="E47" s="65" t="s">
        <v>112</v>
      </c>
      <c r="F47" s="29" t="s">
        <v>119</v>
      </c>
      <c r="G47" s="15">
        <v>0</v>
      </c>
      <c r="H47" s="137">
        <f>IF(B$29=0,0,G47/B$29)</f>
        <v>0</v>
      </c>
      <c r="I47" s="98"/>
    </row>
    <row r="48" spans="5:9" x14ac:dyDescent="0.4">
      <c r="E48" s="65" t="s">
        <v>113</v>
      </c>
      <c r="F48" s="29" t="s">
        <v>63</v>
      </c>
      <c r="G48" s="15">
        <v>0</v>
      </c>
      <c r="H48" s="137">
        <f>IF(B$29=0,0,G48/B$29)</f>
        <v>0</v>
      </c>
      <c r="I48" s="98"/>
    </row>
    <row r="49" spans="5:9" x14ac:dyDescent="0.4">
      <c r="E49" s="65" t="s">
        <v>114</v>
      </c>
      <c r="F49" s="29" t="s">
        <v>64</v>
      </c>
      <c r="G49" s="15">
        <v>0</v>
      </c>
      <c r="H49" s="137">
        <f>IF(B$29=0,0,G49/B$29)</f>
        <v>0</v>
      </c>
      <c r="I49" s="98"/>
    </row>
    <row r="50" spans="5:9" x14ac:dyDescent="0.4">
      <c r="E50" s="65" t="s">
        <v>115</v>
      </c>
      <c r="F50" s="29" t="s">
        <v>65</v>
      </c>
      <c r="G50" s="15">
        <v>0</v>
      </c>
      <c r="H50" s="137">
        <f>IF(B$29=0,0,G50/B$29)</f>
        <v>0</v>
      </c>
      <c r="I50" s="98"/>
    </row>
    <row r="51" spans="5:9" x14ac:dyDescent="0.4">
      <c r="E51" s="66" t="s">
        <v>116</v>
      </c>
      <c r="F51" s="30" t="s">
        <v>66</v>
      </c>
      <c r="G51" s="17">
        <v>0</v>
      </c>
      <c r="H51" s="138">
        <f>IF(B$29=0,0,G51/B$29)</f>
        <v>0</v>
      </c>
      <c r="I51" s="99"/>
    </row>
  </sheetData>
  <mergeCells count="10">
    <mergeCell ref="B1:C1"/>
    <mergeCell ref="B2:C2"/>
    <mergeCell ref="B3:C3"/>
    <mergeCell ref="B4:C4"/>
    <mergeCell ref="B5:C5"/>
    <mergeCell ref="B26:C26"/>
    <mergeCell ref="B25:C25"/>
    <mergeCell ref="B6:C6"/>
    <mergeCell ref="B28:C28"/>
    <mergeCell ref="B29:C29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43515.368194444447</v>
      </c>
      <c r="C2" s="32" t="s">
        <v>140</v>
      </c>
    </row>
    <row r="3" spans="1:14" x14ac:dyDescent="0.4">
      <c r="A3" s="32" t="s">
        <v>168</v>
      </c>
      <c r="B3" s="33">
        <v>43472.765682870369</v>
      </c>
      <c r="C3" s="32" t="s">
        <v>140</v>
      </c>
    </row>
    <row r="4" spans="1:14" x14ac:dyDescent="0.4">
      <c r="A4" s="32" t="s">
        <v>169</v>
      </c>
      <c r="B4" s="33">
        <v>43472.765682870369</v>
      </c>
      <c r="C4" s="32" t="s">
        <v>140</v>
      </c>
    </row>
    <row r="5" spans="1:14" x14ac:dyDescent="0.4">
      <c r="A5" s="32" t="s">
        <v>170</v>
      </c>
      <c r="B5" s="33">
        <v>43472.765682870369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43472.765682870369</v>
      </c>
      <c r="C6" s="32" t="s">
        <v>140</v>
      </c>
    </row>
    <row r="7" spans="1:14" x14ac:dyDescent="0.4">
      <c r="A7" s="32" t="s">
        <v>173</v>
      </c>
      <c r="B7" s="33">
        <v>43472.765682870369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43492.926504629628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43472.765682870369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43515.368194444447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43472.765682870369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43503.414918981478</v>
      </c>
      <c r="C12" s="32" t="s">
        <v>140</v>
      </c>
    </row>
    <row r="13" spans="1:14" x14ac:dyDescent="0.4">
      <c r="A13" s="32" t="s">
        <v>179</v>
      </c>
      <c r="B13" s="33">
        <v>43472.765682870369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43472.765682870369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43472.765682870369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43472.765682870369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43472.765682870369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43472.765682870369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43472.765682870369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43472.765682870369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43486.376875000002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43472.765682870369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200</v>
      </c>
      <c r="B23" s="33">
        <v>43472.765682870369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201</v>
      </c>
      <c r="B24" s="33">
        <v>43472.765682870369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202</v>
      </c>
      <c r="B25" s="33">
        <v>43472.765682870369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203</v>
      </c>
      <c r="B26" s="33">
        <v>43472.765682870369</v>
      </c>
      <c r="C26" s="32" t="s">
        <v>140</v>
      </c>
      <c r="D26" s="32" t="s">
        <v>141</v>
      </c>
    </row>
    <row r="27" spans="1:9" x14ac:dyDescent="0.4">
      <c r="A27" s="32" t="s">
        <v>204</v>
      </c>
      <c r="B27" s="33">
        <v>43472.765682870369</v>
      </c>
      <c r="C27" s="32" t="s">
        <v>140</v>
      </c>
      <c r="D27" s="32" t="s">
        <v>141</v>
      </c>
    </row>
    <row r="28" spans="1:9" x14ac:dyDescent="0.4">
      <c r="A28" s="32" t="s">
        <v>205</v>
      </c>
      <c r="B28" s="33">
        <v>43472.765682870369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206</v>
      </c>
      <c r="B29" s="33">
        <v>43472.765682870369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207</v>
      </c>
      <c r="B30" s="33">
        <v>43472.765682870369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208</v>
      </c>
      <c r="B31" s="33">
        <v>43472.765682870369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209</v>
      </c>
      <c r="B32" s="33">
        <v>43476.556539351855</v>
      </c>
      <c r="C32" s="32" t="s">
        <v>140</v>
      </c>
    </row>
    <row r="33" spans="1:10" x14ac:dyDescent="0.4">
      <c r="A33" s="32" t="s">
        <v>210</v>
      </c>
      <c r="B33" s="33">
        <v>43480.364594907405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211</v>
      </c>
      <c r="B34" s="33">
        <v>43480.364594907405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212</v>
      </c>
      <c r="B35" s="33">
        <v>43480.364594907405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213</v>
      </c>
      <c r="B36" s="33">
        <v>43483.396608796298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214</v>
      </c>
      <c r="B37" s="33">
        <v>43483.396608796298</v>
      </c>
      <c r="C37" s="32" t="s">
        <v>140</v>
      </c>
      <c r="D37" s="32" t="s">
        <v>141</v>
      </c>
    </row>
    <row r="38" spans="1:10" x14ac:dyDescent="0.4">
      <c r="A38" s="32" t="s">
        <v>215</v>
      </c>
      <c r="B38" s="33">
        <v>43483.396608796298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216</v>
      </c>
      <c r="B39" s="33">
        <v>43486.376875000002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217</v>
      </c>
      <c r="B40" s="33">
        <v>43486.376875000002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218</v>
      </c>
      <c r="B41" s="33">
        <v>43486.376875000002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219</v>
      </c>
      <c r="B42" s="33">
        <v>43488.434178240743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220</v>
      </c>
      <c r="B43" s="33">
        <v>43488.434178240743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221</v>
      </c>
      <c r="B44" s="33">
        <v>43489.37259259259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222</v>
      </c>
      <c r="B45" s="33">
        <v>43492.926504629628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223</v>
      </c>
      <c r="B46" s="33">
        <v>43492.926504629628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224</v>
      </c>
      <c r="B47" s="33">
        <v>43492.926504629628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225</v>
      </c>
      <c r="B48" s="33">
        <v>43493.787962962961</v>
      </c>
      <c r="C48" s="32" t="s">
        <v>140</v>
      </c>
      <c r="D48" s="32" t="s">
        <v>141</v>
      </c>
    </row>
    <row r="49" spans="1:14" x14ac:dyDescent="0.4">
      <c r="A49" s="32" t="s">
        <v>227</v>
      </c>
      <c r="B49" s="33">
        <v>43503.414918981478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228</v>
      </c>
      <c r="B50" s="33">
        <v>43503.414918981478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229</v>
      </c>
      <c r="B51" s="33">
        <v>43503.414918981478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235</v>
      </c>
      <c r="B52" s="33">
        <v>43503.414918981478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236</v>
      </c>
      <c r="B53" s="33">
        <v>43503.414918981478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237</v>
      </c>
      <c r="B54" s="33">
        <v>43503.414918981478</v>
      </c>
      <c r="C54" s="32" t="s">
        <v>140</v>
      </c>
      <c r="D54" s="32" t="s">
        <v>141</v>
      </c>
    </row>
    <row r="55" spans="1:14" x14ac:dyDescent="0.4">
      <c r="A55" s="32" t="s">
        <v>239</v>
      </c>
      <c r="B55" s="33">
        <v>43515.368194444447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240</v>
      </c>
      <c r="B56" s="33">
        <v>43515.368194444447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241</v>
      </c>
      <c r="B57" s="33">
        <v>43515.368194444447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245</v>
      </c>
      <c r="B58" s="33">
        <v>43515.368194444447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246</v>
      </c>
      <c r="B59" s="33">
        <v>43515.368194444447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248</v>
      </c>
      <c r="B60" s="33">
        <v>43515.368194444447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254</v>
      </c>
      <c r="B61" s="33">
        <v>43515.368194444447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255</v>
      </c>
      <c r="B62" s="33">
        <v>43515.368194444447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256</v>
      </c>
      <c r="B63" s="33">
        <v>43529.628333333334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  <row r="64" spans="1:14" x14ac:dyDescent="0.4">
      <c r="A64" s="32" t="s">
        <v>257</v>
      </c>
      <c r="B64" s="33">
        <v>43529.628333333334</v>
      </c>
      <c r="C64" s="32" t="s">
        <v>140</v>
      </c>
      <c r="D64" s="32" t="s">
        <v>141</v>
      </c>
      <c r="E64" s="32" t="s">
        <v>142</v>
      </c>
    </row>
    <row r="65" spans="1:9" x14ac:dyDescent="0.4">
      <c r="A65" s="32" t="s">
        <v>258</v>
      </c>
      <c r="B65" s="33">
        <v>43529.628333333334</v>
      </c>
      <c r="C65" s="32" t="s">
        <v>140</v>
      </c>
      <c r="D65" s="32" t="s">
        <v>141</v>
      </c>
      <c r="E65" s="32" t="s">
        <v>142</v>
      </c>
      <c r="F65" s="32" t="s">
        <v>143</v>
      </c>
      <c r="G65" s="32" t="s">
        <v>144</v>
      </c>
      <c r="H65" s="32" t="s">
        <v>145</v>
      </c>
      <c r="I65" s="32" t="s">
        <v>146</v>
      </c>
    </row>
    <row r="66" spans="1:9" x14ac:dyDescent="0.4">
      <c r="A66" s="32" t="s">
        <v>259</v>
      </c>
      <c r="B66" s="33">
        <v>43529.628333333334</v>
      </c>
      <c r="C66" s="32" t="s">
        <v>140</v>
      </c>
      <c r="D66" s="32" t="s">
        <v>141</v>
      </c>
      <c r="E66" s="32" t="s">
        <v>142</v>
      </c>
      <c r="F66" s="32" t="s">
        <v>143</v>
      </c>
      <c r="G66" s="32" t="s">
        <v>144</v>
      </c>
      <c r="H66" s="32" t="s">
        <v>145</v>
      </c>
    </row>
    <row r="67" spans="1:9" x14ac:dyDescent="0.4">
      <c r="A67" s="32" t="s">
        <v>260</v>
      </c>
      <c r="B67" s="33">
        <v>43529.628333333334</v>
      </c>
      <c r="C67" s="32" t="s">
        <v>140</v>
      </c>
      <c r="D67" s="32" t="s">
        <v>141</v>
      </c>
    </row>
    <row r="68" spans="1:9" x14ac:dyDescent="0.4">
      <c r="A68" s="32" t="s">
        <v>261</v>
      </c>
      <c r="B68" s="33">
        <v>43529.628333333334</v>
      </c>
      <c r="C68" s="32" t="s">
        <v>140</v>
      </c>
      <c r="D68" s="32" t="s">
        <v>141</v>
      </c>
      <c r="E68" s="32" t="s">
        <v>142</v>
      </c>
    </row>
    <row r="69" spans="1:9" x14ac:dyDescent="0.4">
      <c r="A69" s="32" t="s">
        <v>262</v>
      </c>
      <c r="B69" s="33">
        <v>43529.628333333334</v>
      </c>
      <c r="C69" s="32" t="s">
        <v>140</v>
      </c>
      <c r="D69" s="32" t="s">
        <v>141</v>
      </c>
      <c r="E69" s="32" t="s">
        <v>142</v>
      </c>
      <c r="F69" s="32" t="s">
        <v>143</v>
      </c>
      <c r="G69" s="32" t="s">
        <v>144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6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6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247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59897-1953-4809-9A6B-7BF0C94BF693}">
  <sheetPr codeName="Sheet34"/>
  <dimension ref="A1:AK1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5" customWidth="1"/>
    <col min="2" max="2" width="10.75" style="86" customWidth="1"/>
    <col min="3" max="3" width="10.75" style="87" customWidth="1"/>
    <col min="4" max="4" width="10.75" style="88" customWidth="1"/>
    <col min="5" max="5" width="10.75" style="101" customWidth="1"/>
    <col min="6" max="6" width="10.75" style="88" customWidth="1"/>
    <col min="7" max="7" width="10.75" style="89" customWidth="1"/>
    <col min="8" max="8" width="10.75" style="88" customWidth="1"/>
    <col min="9" max="9" width="10.75" style="90" customWidth="1"/>
    <col min="10" max="10" width="10.75" style="88" customWidth="1"/>
    <col min="11" max="11" width="10.75" style="90" customWidth="1"/>
    <col min="12" max="12" width="10.75" style="88" customWidth="1"/>
    <col min="13" max="13" width="10.75" style="91" customWidth="1"/>
    <col min="14" max="14" width="10.75" style="88" customWidth="1"/>
    <col min="15" max="15" width="10.75" style="91" customWidth="1"/>
    <col min="16" max="16" width="10.75" style="88" customWidth="1"/>
    <col min="17" max="17" width="10.75" style="92" customWidth="1"/>
    <col min="18" max="18" width="10.75" style="88" customWidth="1"/>
    <col min="19" max="19" width="10.75" style="92" customWidth="1"/>
    <col min="20" max="20" width="10.75" style="88" customWidth="1"/>
    <col min="21" max="21" width="10.75" style="90" customWidth="1"/>
    <col min="22" max="22" width="10.75" style="88" customWidth="1"/>
    <col min="23" max="23" width="10.75" style="90" customWidth="1"/>
    <col min="24" max="24" width="10.75" style="88" customWidth="1"/>
    <col min="25" max="25" width="10.75" style="91" customWidth="1"/>
    <col min="26" max="26" width="10.75" style="88" customWidth="1"/>
    <col min="27" max="27" width="10.75" style="91" customWidth="1"/>
    <col min="28" max="28" width="10.75" style="88" customWidth="1"/>
    <col min="29" max="29" width="10.75" style="91" customWidth="1"/>
    <col min="30" max="30" width="10.75" style="88" customWidth="1"/>
    <col min="31" max="31" width="10.75" style="91" customWidth="1"/>
    <col min="32" max="32" width="10.75" style="88" customWidth="1"/>
    <col min="33" max="33" width="10.75" style="91" customWidth="1"/>
    <col min="34" max="34" width="10.75" style="88" customWidth="1"/>
    <col min="35" max="35" width="10.75" style="96" customWidth="1"/>
    <col min="36" max="36" width="10.75" style="88" customWidth="1"/>
    <col min="37" max="37" width="10.75" style="93" customWidth="1"/>
    <col min="38" max="16384" width="9" style="75"/>
  </cols>
  <sheetData>
    <row r="1" spans="1:37" x14ac:dyDescent="0.4">
      <c r="A1" s="74"/>
      <c r="B1" s="159" t="s">
        <v>6</v>
      </c>
      <c r="C1" s="160"/>
      <c r="D1" s="159" t="s">
        <v>7</v>
      </c>
      <c r="E1" s="160"/>
      <c r="F1" s="159" t="s">
        <v>16</v>
      </c>
      <c r="G1" s="160"/>
      <c r="H1" s="159" t="s">
        <v>15</v>
      </c>
      <c r="I1" s="160"/>
      <c r="J1" s="159" t="s">
        <v>243</v>
      </c>
      <c r="K1" s="160"/>
      <c r="L1" s="159" t="s">
        <v>195</v>
      </c>
      <c r="M1" s="160"/>
      <c r="N1" s="159" t="s">
        <v>196</v>
      </c>
      <c r="O1" s="160"/>
      <c r="P1" s="159" t="s">
        <v>5</v>
      </c>
      <c r="Q1" s="160"/>
      <c r="R1" s="159" t="s">
        <v>17</v>
      </c>
      <c r="S1" s="160"/>
      <c r="T1" s="159" t="s">
        <v>18</v>
      </c>
      <c r="U1" s="160"/>
      <c r="V1" s="159" t="s">
        <v>156</v>
      </c>
      <c r="W1" s="160"/>
      <c r="X1" s="159" t="s">
        <v>129</v>
      </c>
      <c r="Y1" s="160"/>
      <c r="Z1" s="159" t="s">
        <v>124</v>
      </c>
      <c r="AA1" s="160"/>
      <c r="AB1" s="159" t="s">
        <v>132</v>
      </c>
      <c r="AC1" s="160"/>
      <c r="AD1" s="159" t="s">
        <v>197</v>
      </c>
      <c r="AE1" s="160"/>
      <c r="AF1" s="159" t="s">
        <v>160</v>
      </c>
      <c r="AG1" s="160"/>
      <c r="AH1" s="159" t="s">
        <v>199</v>
      </c>
      <c r="AI1" s="160"/>
      <c r="AJ1" s="159" t="s">
        <v>244</v>
      </c>
      <c r="AK1" s="160"/>
    </row>
    <row r="2" spans="1:37" x14ac:dyDescent="0.4">
      <c r="A2" s="74" t="s">
        <v>242</v>
      </c>
      <c r="B2" s="161"/>
      <c r="C2" s="162"/>
      <c r="D2" s="161"/>
      <c r="E2" s="162"/>
      <c r="F2" s="163">
        <v>0.98958538314843147</v>
      </c>
      <c r="G2" s="164"/>
      <c r="H2" s="163">
        <v>0.95380429845991133</v>
      </c>
      <c r="I2" s="164"/>
      <c r="J2" s="163">
        <v>0.98713195971000567</v>
      </c>
      <c r="K2" s="164"/>
      <c r="L2" s="163">
        <v>0.95399667438912072</v>
      </c>
      <c r="M2" s="164"/>
      <c r="N2" s="163">
        <v>0.87315585199931134</v>
      </c>
      <c r="O2" s="164"/>
      <c r="P2" s="163">
        <v>0.51166694345448704</v>
      </c>
      <c r="Q2" s="164"/>
      <c r="R2" s="163">
        <v>1.5216394420860329E-2</v>
      </c>
      <c r="S2" s="164"/>
      <c r="T2" s="163">
        <v>0.94798337750363881</v>
      </c>
      <c r="U2" s="164"/>
      <c r="V2" s="163">
        <v>0.98095000995696047</v>
      </c>
      <c r="W2" s="164"/>
      <c r="X2" s="163">
        <v>0.73525354530875719</v>
      </c>
      <c r="Y2" s="164"/>
      <c r="Z2" s="163">
        <v>-0.48377428268283323</v>
      </c>
      <c r="AA2" s="164"/>
      <c r="AB2" s="163">
        <v>0.85955747233440749</v>
      </c>
      <c r="AC2" s="164"/>
      <c r="AD2" s="163">
        <v>0.57279582140055951</v>
      </c>
      <c r="AE2" s="164"/>
      <c r="AF2" s="163">
        <v>8.7330372452855909E-2</v>
      </c>
      <c r="AG2" s="164"/>
      <c r="AH2" s="163">
        <v>0.85413357470287621</v>
      </c>
      <c r="AI2" s="164"/>
      <c r="AJ2" s="163">
        <v>0.13914947854333359</v>
      </c>
      <c r="AK2" s="164"/>
    </row>
    <row r="3" spans="1:37" x14ac:dyDescent="0.4">
      <c r="A3" s="76">
        <v>1</v>
      </c>
      <c r="B3" s="77" t="s">
        <v>133</v>
      </c>
      <c r="C3" s="78">
        <v>1888.9999999999993</v>
      </c>
      <c r="D3" s="79" t="s">
        <v>194</v>
      </c>
      <c r="E3" s="100">
        <v>7.833333333333333</v>
      </c>
      <c r="F3" s="79" t="s">
        <v>133</v>
      </c>
      <c r="G3" s="80">
        <v>1.7470817120622568</v>
      </c>
      <c r="H3" s="79" t="s">
        <v>194</v>
      </c>
      <c r="I3" s="81">
        <v>0.5</v>
      </c>
      <c r="J3" s="79" t="s">
        <v>133</v>
      </c>
      <c r="K3" s="81">
        <v>0.19844357976653695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167</v>
      </c>
      <c r="Y3" s="82">
        <v>0.42105263157894735</v>
      </c>
      <c r="Z3" s="79" t="s">
        <v>157</v>
      </c>
      <c r="AA3" s="82">
        <v>0.35483870967741937</v>
      </c>
      <c r="AB3" s="79" t="s">
        <v>171</v>
      </c>
      <c r="AC3" s="82">
        <v>0.75</v>
      </c>
      <c r="AD3" s="79" t="s">
        <v>167</v>
      </c>
      <c r="AE3" s="82">
        <v>1</v>
      </c>
      <c r="AF3" s="79" t="s">
        <v>166</v>
      </c>
      <c r="AG3" s="82">
        <v>1</v>
      </c>
      <c r="AH3" s="79" t="s">
        <v>139</v>
      </c>
      <c r="AI3" s="95">
        <v>124700</v>
      </c>
      <c r="AJ3" s="79" t="s">
        <v>161</v>
      </c>
      <c r="AK3" s="84">
        <v>20</v>
      </c>
    </row>
    <row r="4" spans="1:37" x14ac:dyDescent="0.4">
      <c r="A4" s="85">
        <v>2</v>
      </c>
      <c r="B4" s="86" t="s">
        <v>135</v>
      </c>
      <c r="C4" s="87">
        <v>267.8</v>
      </c>
      <c r="D4" s="88" t="s">
        <v>133</v>
      </c>
      <c r="E4" s="101">
        <v>7.3501945525291799</v>
      </c>
      <c r="F4" s="88" t="s">
        <v>194</v>
      </c>
      <c r="G4" s="89">
        <v>1.8333333333333333</v>
      </c>
      <c r="H4" s="88" t="s">
        <v>133</v>
      </c>
      <c r="I4" s="90">
        <v>0.45136186770428016</v>
      </c>
      <c r="J4" s="88" t="s">
        <v>167</v>
      </c>
      <c r="K4" s="90">
        <v>0.25</v>
      </c>
      <c r="L4" s="88" t="s">
        <v>133</v>
      </c>
      <c r="M4" s="91">
        <v>0.35714285714285715</v>
      </c>
      <c r="N4" s="88" t="s">
        <v>133</v>
      </c>
      <c r="O4" s="91">
        <v>0.14028776978417265</v>
      </c>
      <c r="P4" s="88" t="s">
        <v>138</v>
      </c>
      <c r="Q4" s="92">
        <v>11054.794520547945</v>
      </c>
      <c r="R4" s="88" t="s">
        <v>157</v>
      </c>
      <c r="S4" s="92">
        <v>-8745.2830188679254</v>
      </c>
      <c r="T4" s="88" t="s">
        <v>133</v>
      </c>
      <c r="U4" s="90">
        <v>9.727626459143969E-2</v>
      </c>
      <c r="V4" s="88" t="s">
        <v>133</v>
      </c>
      <c r="W4" s="90">
        <v>0.1867704280155642</v>
      </c>
      <c r="X4" s="88" t="s">
        <v>194</v>
      </c>
      <c r="Y4" s="91">
        <v>0.42</v>
      </c>
      <c r="Z4" s="88" t="s">
        <v>135</v>
      </c>
      <c r="AA4" s="91">
        <v>0.29661016949152541</v>
      </c>
      <c r="AB4" s="88" t="s">
        <v>133</v>
      </c>
      <c r="AC4" s="91">
        <v>0.65486725663716816</v>
      </c>
      <c r="AD4" s="88" t="s">
        <v>194</v>
      </c>
      <c r="AE4" s="91">
        <v>0.5</v>
      </c>
      <c r="AF4" s="88" t="s">
        <v>136</v>
      </c>
      <c r="AG4" s="91">
        <v>0.47826086956521741</v>
      </c>
      <c r="AH4" s="88" t="s">
        <v>161</v>
      </c>
      <c r="AI4" s="96">
        <v>124700</v>
      </c>
      <c r="AJ4" s="88" t="s">
        <v>139</v>
      </c>
      <c r="AK4" s="93">
        <v>7</v>
      </c>
    </row>
    <row r="5" spans="1:37" x14ac:dyDescent="0.4">
      <c r="A5" s="85">
        <v>3</v>
      </c>
      <c r="B5" s="86" t="s">
        <v>137</v>
      </c>
      <c r="C5" s="87">
        <v>201.39999999999984</v>
      </c>
      <c r="D5" s="88" t="s">
        <v>135</v>
      </c>
      <c r="E5" s="101">
        <v>4.12</v>
      </c>
      <c r="F5" s="88" t="s">
        <v>135</v>
      </c>
      <c r="G5" s="89">
        <v>1.9230769230769231</v>
      </c>
      <c r="H5" s="88" t="s">
        <v>137</v>
      </c>
      <c r="I5" s="90">
        <v>0.37398373983739835</v>
      </c>
      <c r="J5" s="88" t="s">
        <v>135</v>
      </c>
      <c r="K5" s="90">
        <v>0.26153846153846155</v>
      </c>
      <c r="L5" s="88" t="s">
        <v>135</v>
      </c>
      <c r="M5" s="91">
        <v>0.34388185654008441</v>
      </c>
      <c r="N5" s="88" t="s">
        <v>135</v>
      </c>
      <c r="O5" s="91">
        <v>0.15400843881856541</v>
      </c>
      <c r="P5" s="88" t="s">
        <v>134</v>
      </c>
      <c r="Q5" s="92">
        <v>10792.708333333334</v>
      </c>
      <c r="R5" s="88" t="s">
        <v>135</v>
      </c>
      <c r="S5" s="92">
        <v>-8854.7945205479446</v>
      </c>
      <c r="T5" s="88" t="s">
        <v>135</v>
      </c>
      <c r="U5" s="90">
        <v>0.1076923076923077</v>
      </c>
      <c r="V5" s="88" t="s">
        <v>137</v>
      </c>
      <c r="W5" s="90">
        <v>0.17073170731707318</v>
      </c>
      <c r="X5" s="88" t="s">
        <v>138</v>
      </c>
      <c r="Y5" s="91">
        <v>0.30851063829787234</v>
      </c>
      <c r="Z5" s="88" t="s">
        <v>136</v>
      </c>
      <c r="AA5" s="91">
        <v>0.28333333333333333</v>
      </c>
      <c r="AB5" s="88" t="s">
        <v>194</v>
      </c>
      <c r="AC5" s="91">
        <v>0.61904761904761907</v>
      </c>
      <c r="AD5" s="88" t="s">
        <v>133</v>
      </c>
      <c r="AE5" s="91">
        <v>0.49196141479099681</v>
      </c>
      <c r="AF5" s="88" t="s">
        <v>134</v>
      </c>
      <c r="AG5" s="91">
        <v>0.4548611111111111</v>
      </c>
      <c r="AH5" s="88" t="s">
        <v>133</v>
      </c>
      <c r="AI5" s="96">
        <v>120200</v>
      </c>
      <c r="AJ5" s="88" t="s">
        <v>134</v>
      </c>
      <c r="AK5" s="93">
        <v>4</v>
      </c>
    </row>
    <row r="6" spans="1:37" x14ac:dyDescent="0.4">
      <c r="A6" s="85">
        <v>4</v>
      </c>
      <c r="B6" s="86" t="s">
        <v>194</v>
      </c>
      <c r="C6" s="87">
        <v>47</v>
      </c>
      <c r="D6" s="88" t="s">
        <v>137</v>
      </c>
      <c r="E6" s="101">
        <v>1.6373983739837386</v>
      </c>
      <c r="F6" s="88" t="s">
        <v>137</v>
      </c>
      <c r="G6" s="89">
        <v>1.9268292682926829</v>
      </c>
      <c r="H6" s="88" t="s">
        <v>135</v>
      </c>
      <c r="I6" s="90">
        <v>0.33846153846153848</v>
      </c>
      <c r="J6" s="88" t="s">
        <v>137</v>
      </c>
      <c r="K6" s="90">
        <v>0.30081300813008133</v>
      </c>
      <c r="L6" s="88" t="s">
        <v>161</v>
      </c>
      <c r="M6" s="91">
        <v>0.30104257167680276</v>
      </c>
      <c r="N6" s="88" t="s">
        <v>137</v>
      </c>
      <c r="O6" s="91">
        <v>0.16059957173447537</v>
      </c>
      <c r="P6" s="88" t="s">
        <v>139</v>
      </c>
      <c r="Q6" s="92">
        <v>10578.125</v>
      </c>
      <c r="R6" s="88" t="s">
        <v>138</v>
      </c>
      <c r="S6" s="92">
        <v>-8859.5744680851058</v>
      </c>
      <c r="T6" s="88" t="s">
        <v>137</v>
      </c>
      <c r="U6" s="90">
        <v>0.11382113821138211</v>
      </c>
      <c r="V6" s="88" t="s">
        <v>135</v>
      </c>
      <c r="W6" s="90">
        <v>0.16923076923076924</v>
      </c>
      <c r="X6" s="88" t="s">
        <v>133</v>
      </c>
      <c r="Y6" s="91">
        <v>0.30335570469798656</v>
      </c>
      <c r="Z6" s="88" t="s">
        <v>247</v>
      </c>
      <c r="AA6" s="91">
        <v>0.27272727272727271</v>
      </c>
      <c r="AB6" s="88" t="s">
        <v>139</v>
      </c>
      <c r="AC6" s="91">
        <v>0.58445945945945943</v>
      </c>
      <c r="AD6" s="88" t="s">
        <v>135</v>
      </c>
      <c r="AE6" s="91">
        <v>0.42857142857142855</v>
      </c>
      <c r="AF6" s="88" t="s">
        <v>138</v>
      </c>
      <c r="AG6" s="91">
        <v>0.45205479452054792</v>
      </c>
      <c r="AH6" s="88" t="s">
        <v>135</v>
      </c>
      <c r="AI6" s="96">
        <v>118000</v>
      </c>
      <c r="AJ6" s="88" t="s">
        <v>137</v>
      </c>
      <c r="AK6" s="93">
        <v>3</v>
      </c>
    </row>
    <row r="7" spans="1:37" x14ac:dyDescent="0.4">
      <c r="A7" s="85">
        <v>5</v>
      </c>
      <c r="B7" s="86" t="s">
        <v>161</v>
      </c>
      <c r="C7" s="87">
        <v>-7.9999999999999343</v>
      </c>
      <c r="D7" s="88" t="s">
        <v>161</v>
      </c>
      <c r="E7" s="101">
        <v>-8.8593576965669257E-3</v>
      </c>
      <c r="F7" s="88" t="s">
        <v>161</v>
      </c>
      <c r="G7" s="89">
        <v>2</v>
      </c>
      <c r="H7" s="88" t="s">
        <v>138</v>
      </c>
      <c r="I7" s="90">
        <v>0.33333333333333331</v>
      </c>
      <c r="J7" s="88" t="s">
        <v>161</v>
      </c>
      <c r="K7" s="90">
        <v>0.33333333333333331</v>
      </c>
      <c r="L7" s="88" t="s">
        <v>137</v>
      </c>
      <c r="M7" s="91">
        <v>0.29871520342612418</v>
      </c>
      <c r="N7" s="88" t="s">
        <v>167</v>
      </c>
      <c r="O7" s="91">
        <v>0.16666666666666666</v>
      </c>
      <c r="P7" s="88" t="s">
        <v>137</v>
      </c>
      <c r="Q7" s="92">
        <v>10381.362007168458</v>
      </c>
      <c r="R7" s="88" t="s">
        <v>137</v>
      </c>
      <c r="S7" s="92">
        <v>-9180.6666666666661</v>
      </c>
      <c r="T7" s="88" t="s">
        <v>161</v>
      </c>
      <c r="U7" s="90">
        <v>0.15171650055370986</v>
      </c>
      <c r="V7" s="88" t="s">
        <v>194</v>
      </c>
      <c r="W7" s="90">
        <v>0.16666666666666666</v>
      </c>
      <c r="X7" s="88" t="s">
        <v>139</v>
      </c>
      <c r="Y7" s="91">
        <v>0.30234933605720121</v>
      </c>
      <c r="Z7" s="88" t="s">
        <v>161</v>
      </c>
      <c r="AA7" s="91">
        <v>0.21785063752276868</v>
      </c>
      <c r="AB7" s="88" t="s">
        <v>161</v>
      </c>
      <c r="AC7" s="91">
        <v>0.5837595907928389</v>
      </c>
      <c r="AD7" s="88" t="s">
        <v>161</v>
      </c>
      <c r="AE7" s="91">
        <v>0.40050167224080269</v>
      </c>
      <c r="AF7" s="88" t="s">
        <v>139</v>
      </c>
      <c r="AG7" s="91">
        <v>0.4375</v>
      </c>
      <c r="AH7" s="88" t="s">
        <v>137</v>
      </c>
      <c r="AI7" s="96">
        <v>109300</v>
      </c>
      <c r="AJ7" s="88" t="s">
        <v>133</v>
      </c>
      <c r="AK7" s="93">
        <v>2</v>
      </c>
    </row>
    <row r="8" spans="1:37" x14ac:dyDescent="0.4">
      <c r="A8" s="85">
        <v>6</v>
      </c>
      <c r="B8" s="86" t="s">
        <v>138</v>
      </c>
      <c r="C8" s="87">
        <v>-9.3999999999999773</v>
      </c>
      <c r="D8" s="88" t="s">
        <v>138</v>
      </c>
      <c r="E8" s="101">
        <v>-0.28484848484848418</v>
      </c>
      <c r="F8" s="88" t="s">
        <v>167</v>
      </c>
      <c r="G8" s="89">
        <v>2</v>
      </c>
      <c r="H8" s="88" t="s">
        <v>161</v>
      </c>
      <c r="I8" s="90">
        <v>0.33333333333333331</v>
      </c>
      <c r="J8" s="88" t="s">
        <v>194</v>
      </c>
      <c r="K8" s="90">
        <v>0.33333333333333331</v>
      </c>
      <c r="L8" s="88" t="s">
        <v>139</v>
      </c>
      <c r="M8" s="91">
        <v>0.28346456692913385</v>
      </c>
      <c r="N8" s="88" t="s">
        <v>161</v>
      </c>
      <c r="O8" s="91">
        <v>0.17043150883289893</v>
      </c>
      <c r="P8" s="88" t="s">
        <v>161</v>
      </c>
      <c r="Q8" s="92">
        <v>10092.544492544492</v>
      </c>
      <c r="R8" s="88" t="s">
        <v>247</v>
      </c>
      <c r="S8" s="92">
        <v>-9190.9090909090901</v>
      </c>
      <c r="T8" s="88" t="s">
        <v>194</v>
      </c>
      <c r="U8" s="90">
        <v>0.16666666666666666</v>
      </c>
      <c r="V8" s="88" t="s">
        <v>161</v>
      </c>
      <c r="W8" s="90">
        <v>0.15171650055370986</v>
      </c>
      <c r="X8" s="88" t="s">
        <v>137</v>
      </c>
      <c r="Y8" s="91">
        <v>0.29702970297029702</v>
      </c>
      <c r="Z8" s="88" t="s">
        <v>137</v>
      </c>
      <c r="AA8" s="91">
        <v>0.21534653465346534</v>
      </c>
      <c r="AB8" s="88" t="s">
        <v>135</v>
      </c>
      <c r="AC8" s="91">
        <v>0.58181818181818179</v>
      </c>
      <c r="AD8" s="88" t="s">
        <v>139</v>
      </c>
      <c r="AE8" s="91">
        <v>0.39226519337016574</v>
      </c>
      <c r="AF8" s="88" t="s">
        <v>137</v>
      </c>
      <c r="AG8" s="91">
        <v>0.43727598566308246</v>
      </c>
      <c r="AH8" s="88" t="s">
        <v>138</v>
      </c>
      <c r="AI8" s="96">
        <v>109300</v>
      </c>
      <c r="AJ8" s="88" t="s">
        <v>136</v>
      </c>
      <c r="AK8" s="93">
        <v>2</v>
      </c>
    </row>
    <row r="9" spans="1:37" x14ac:dyDescent="0.4">
      <c r="A9" s="85">
        <v>7</v>
      </c>
      <c r="B9" s="86" t="s">
        <v>167</v>
      </c>
      <c r="C9" s="87">
        <v>-15.5</v>
      </c>
      <c r="D9" s="88" t="s">
        <v>139</v>
      </c>
      <c r="E9" s="101">
        <v>-3.5213740458015259</v>
      </c>
      <c r="F9" s="88" t="s">
        <v>138</v>
      </c>
      <c r="G9" s="89">
        <v>2.0606060606060606</v>
      </c>
      <c r="H9" s="88" t="s">
        <v>134</v>
      </c>
      <c r="I9" s="90">
        <v>0.28873239436619719</v>
      </c>
      <c r="J9" s="88" t="s">
        <v>138</v>
      </c>
      <c r="K9" s="90">
        <v>0.39393939393939392</v>
      </c>
      <c r="L9" s="88" t="s">
        <v>136</v>
      </c>
      <c r="M9" s="91">
        <v>0.27878787878787881</v>
      </c>
      <c r="N9" s="88" t="s">
        <v>138</v>
      </c>
      <c r="O9" s="91">
        <v>0.17407407407407408</v>
      </c>
      <c r="P9" s="88" t="s">
        <v>133</v>
      </c>
      <c r="Q9" s="92">
        <v>9923.1654676258986</v>
      </c>
      <c r="R9" s="88" t="s">
        <v>133</v>
      </c>
      <c r="S9" s="92">
        <v>-9277.6556776556772</v>
      </c>
      <c r="T9" s="88" t="s">
        <v>139</v>
      </c>
      <c r="U9" s="90">
        <v>0.17557251908396945</v>
      </c>
      <c r="V9" s="88" t="s">
        <v>138</v>
      </c>
      <c r="W9" s="90">
        <v>0.15151515151515152</v>
      </c>
      <c r="X9" s="88" t="s">
        <v>134</v>
      </c>
      <c r="Y9" s="91">
        <v>0.28978622327790976</v>
      </c>
      <c r="Z9" s="88" t="s">
        <v>138</v>
      </c>
      <c r="AA9" s="91">
        <v>0.21276595744680851</v>
      </c>
      <c r="AB9" s="88" t="s">
        <v>134</v>
      </c>
      <c r="AC9" s="91">
        <v>0.57786885245901642</v>
      </c>
      <c r="AD9" s="88" t="s">
        <v>134</v>
      </c>
      <c r="AE9" s="91">
        <v>0.39189189189189189</v>
      </c>
      <c r="AF9" s="88" t="s">
        <v>135</v>
      </c>
      <c r="AG9" s="91">
        <v>0.42944785276073622</v>
      </c>
      <c r="AH9" s="88" t="s">
        <v>136</v>
      </c>
      <c r="AI9" s="96">
        <v>103200</v>
      </c>
      <c r="AJ9" s="88" t="s">
        <v>135</v>
      </c>
      <c r="AK9" s="93">
        <v>1</v>
      </c>
    </row>
    <row r="10" spans="1:37" x14ac:dyDescent="0.4">
      <c r="A10" s="85">
        <v>8</v>
      </c>
      <c r="B10" s="86" t="s">
        <v>171</v>
      </c>
      <c r="C10" s="87">
        <v>-86.4</v>
      </c>
      <c r="D10" s="88" t="s">
        <v>134</v>
      </c>
      <c r="E10" s="101">
        <v>-3.7922535211267596</v>
      </c>
      <c r="F10" s="88" t="s">
        <v>134</v>
      </c>
      <c r="G10" s="89">
        <v>2.1056338028169015</v>
      </c>
      <c r="H10" s="88" t="s">
        <v>167</v>
      </c>
      <c r="I10" s="90">
        <v>0.25</v>
      </c>
      <c r="J10" s="88" t="s">
        <v>134</v>
      </c>
      <c r="K10" s="90">
        <v>0.39436619718309857</v>
      </c>
      <c r="L10" s="88" t="s">
        <v>138</v>
      </c>
      <c r="M10" s="91">
        <v>0.27037037037037037</v>
      </c>
      <c r="N10" s="88" t="s">
        <v>157</v>
      </c>
      <c r="O10" s="91">
        <v>0.18996415770609318</v>
      </c>
      <c r="P10" s="88" t="s">
        <v>135</v>
      </c>
      <c r="Q10" s="92">
        <v>9707.3619631901838</v>
      </c>
      <c r="R10" s="88" t="s">
        <v>161</v>
      </c>
      <c r="S10" s="92">
        <v>-9359.0484282073066</v>
      </c>
      <c r="T10" s="88" t="s">
        <v>138</v>
      </c>
      <c r="U10" s="90">
        <v>0.18181818181818182</v>
      </c>
      <c r="V10" s="88" t="s">
        <v>139</v>
      </c>
      <c r="W10" s="90">
        <v>0.14503816793893129</v>
      </c>
      <c r="X10" s="88" t="s">
        <v>161</v>
      </c>
      <c r="Y10" s="91">
        <v>0.2848816029143898</v>
      </c>
      <c r="Z10" s="88" t="s">
        <v>133</v>
      </c>
      <c r="AA10" s="91">
        <v>0.20872483221476509</v>
      </c>
      <c r="AB10" s="88" t="s">
        <v>137</v>
      </c>
      <c r="AC10" s="91">
        <v>0.55833333333333335</v>
      </c>
      <c r="AD10" s="88" t="s">
        <v>137</v>
      </c>
      <c r="AE10" s="91">
        <v>0.37931034482758619</v>
      </c>
      <c r="AF10" s="88" t="s">
        <v>161</v>
      </c>
      <c r="AG10" s="91">
        <v>0.42279942279942279</v>
      </c>
      <c r="AH10" s="88" t="s">
        <v>134</v>
      </c>
      <c r="AI10" s="96">
        <v>97700</v>
      </c>
      <c r="AJ10" s="88" t="s">
        <v>157</v>
      </c>
      <c r="AK10" s="93">
        <v>1</v>
      </c>
    </row>
    <row r="11" spans="1:37" x14ac:dyDescent="0.4">
      <c r="A11" s="85">
        <v>9</v>
      </c>
      <c r="B11" s="86" t="s">
        <v>166</v>
      </c>
      <c r="C11" s="87">
        <v>-132.1</v>
      </c>
      <c r="D11" s="88" t="s">
        <v>167</v>
      </c>
      <c r="E11" s="101">
        <v>-3.875</v>
      </c>
      <c r="F11" s="88" t="s">
        <v>139</v>
      </c>
      <c r="G11" s="89">
        <v>2.1603053435114505</v>
      </c>
      <c r="H11" s="88" t="s">
        <v>139</v>
      </c>
      <c r="I11" s="90">
        <v>0.24427480916030533</v>
      </c>
      <c r="J11" s="88" t="s">
        <v>171</v>
      </c>
      <c r="K11" s="90">
        <v>0.4</v>
      </c>
      <c r="L11" s="88" t="s">
        <v>171</v>
      </c>
      <c r="M11" s="91">
        <v>0.27027027027027029</v>
      </c>
      <c r="N11" s="88" t="s">
        <v>134</v>
      </c>
      <c r="O11" s="91">
        <v>0.19038984587488667</v>
      </c>
      <c r="P11" s="88" t="s">
        <v>157</v>
      </c>
      <c r="Q11" s="92">
        <v>9373.2142857142862</v>
      </c>
      <c r="R11" s="88" t="s">
        <v>139</v>
      </c>
      <c r="S11" s="92">
        <v>-9493.4010152284263</v>
      </c>
      <c r="T11" s="88" t="s">
        <v>136</v>
      </c>
      <c r="U11" s="90">
        <v>0.18823529411764706</v>
      </c>
      <c r="V11" s="88" t="s">
        <v>134</v>
      </c>
      <c r="W11" s="90">
        <v>0.11971830985915492</v>
      </c>
      <c r="X11" s="88" t="s">
        <v>136</v>
      </c>
      <c r="Y11" s="91">
        <v>0.27291666666666664</v>
      </c>
      <c r="Z11" s="88" t="s">
        <v>139</v>
      </c>
      <c r="AA11" s="91">
        <v>0.18488253319713993</v>
      </c>
      <c r="AB11" s="88" t="s">
        <v>138</v>
      </c>
      <c r="AC11" s="91">
        <v>0.5</v>
      </c>
      <c r="AD11" s="88" t="s">
        <v>136</v>
      </c>
      <c r="AE11" s="91">
        <v>0.36764705882352944</v>
      </c>
      <c r="AF11" s="88" t="s">
        <v>247</v>
      </c>
      <c r="AG11" s="91">
        <v>0.41176470588235292</v>
      </c>
      <c r="AH11" s="88" t="s">
        <v>194</v>
      </c>
      <c r="AI11" s="96">
        <v>78000</v>
      </c>
      <c r="AJ11" s="88" t="s">
        <v>138</v>
      </c>
      <c r="AK11" s="93">
        <v>0</v>
      </c>
    </row>
    <row r="12" spans="1:37" x14ac:dyDescent="0.4">
      <c r="A12" s="85">
        <v>10</v>
      </c>
      <c r="B12" s="86" t="s">
        <v>247</v>
      </c>
      <c r="C12" s="87">
        <v>-155.1</v>
      </c>
      <c r="D12" s="88" t="s">
        <v>136</v>
      </c>
      <c r="E12" s="101">
        <v>-6.5764705882352938</v>
      </c>
      <c r="F12" s="88" t="s">
        <v>171</v>
      </c>
      <c r="G12" s="89">
        <v>2.2000000000000002</v>
      </c>
      <c r="H12" s="88" t="s">
        <v>136</v>
      </c>
      <c r="I12" s="90">
        <v>0.22352941176470589</v>
      </c>
      <c r="J12" s="88" t="s">
        <v>139</v>
      </c>
      <c r="K12" s="90">
        <v>0.40458015267175573</v>
      </c>
      <c r="L12" s="88" t="s">
        <v>134</v>
      </c>
      <c r="M12" s="91">
        <v>0.26110607434270172</v>
      </c>
      <c r="N12" s="88" t="s">
        <v>136</v>
      </c>
      <c r="O12" s="91">
        <v>0.19090909090909092</v>
      </c>
      <c r="P12" s="88" t="s">
        <v>194</v>
      </c>
      <c r="Q12" s="92">
        <v>9163.1578947368416</v>
      </c>
      <c r="R12" s="88" t="s">
        <v>134</v>
      </c>
      <c r="S12" s="92">
        <v>-9621.4285714285706</v>
      </c>
      <c r="T12" s="88" t="s">
        <v>134</v>
      </c>
      <c r="U12" s="90">
        <v>0.19014084507042253</v>
      </c>
      <c r="V12" s="88" t="s">
        <v>136</v>
      </c>
      <c r="W12" s="90">
        <v>0.11764705882352941</v>
      </c>
      <c r="X12" s="88" t="s">
        <v>171</v>
      </c>
      <c r="Y12" s="91">
        <v>0.25806451612903225</v>
      </c>
      <c r="Z12" s="88" t="s">
        <v>134</v>
      </c>
      <c r="AA12" s="91">
        <v>0.17577197149643706</v>
      </c>
      <c r="AB12" s="88" t="s">
        <v>136</v>
      </c>
      <c r="AC12" s="91">
        <v>0.48854961832061067</v>
      </c>
      <c r="AD12" s="88" t="s">
        <v>247</v>
      </c>
      <c r="AE12" s="91">
        <v>0.33333333333333331</v>
      </c>
      <c r="AF12" s="88" t="s">
        <v>133</v>
      </c>
      <c r="AG12" s="91">
        <v>0.38705035971223023</v>
      </c>
      <c r="AH12" s="88" t="s">
        <v>157</v>
      </c>
      <c r="AI12" s="96">
        <v>67700</v>
      </c>
      <c r="AJ12" s="88" t="s">
        <v>247</v>
      </c>
      <c r="AK12" s="93">
        <v>0</v>
      </c>
    </row>
    <row r="13" spans="1:37" x14ac:dyDescent="0.4">
      <c r="A13" s="85">
        <v>11</v>
      </c>
      <c r="B13" s="86" t="s">
        <v>157</v>
      </c>
      <c r="C13" s="87">
        <v>-455.89999999999992</v>
      </c>
      <c r="D13" s="88" t="s">
        <v>157</v>
      </c>
      <c r="E13" s="101">
        <v>-12.663888888888886</v>
      </c>
      <c r="F13" s="88" t="s">
        <v>136</v>
      </c>
      <c r="G13" s="89">
        <v>2.2117647058823531</v>
      </c>
      <c r="H13" s="88" t="s">
        <v>171</v>
      </c>
      <c r="I13" s="90">
        <v>0.2</v>
      </c>
      <c r="J13" s="88" t="s">
        <v>136</v>
      </c>
      <c r="K13" s="90">
        <v>0.43529411764705883</v>
      </c>
      <c r="L13" s="88" t="s">
        <v>167</v>
      </c>
      <c r="M13" s="91">
        <v>0.25</v>
      </c>
      <c r="N13" s="88" t="s">
        <v>139</v>
      </c>
      <c r="O13" s="91">
        <v>0.19389763779527558</v>
      </c>
      <c r="P13" s="88" t="s">
        <v>136</v>
      </c>
      <c r="Q13" s="92">
        <v>8946.1956521739139</v>
      </c>
      <c r="R13" s="88" t="s">
        <v>136</v>
      </c>
      <c r="S13" s="92">
        <v>-9651.5873015873021</v>
      </c>
      <c r="T13" s="88" t="s">
        <v>157</v>
      </c>
      <c r="U13" s="90">
        <v>0.27777777777777779</v>
      </c>
      <c r="V13" s="88" t="s">
        <v>157</v>
      </c>
      <c r="W13" s="90">
        <v>8.3333333333333329E-2</v>
      </c>
      <c r="X13" s="88" t="s">
        <v>135</v>
      </c>
      <c r="Y13" s="91">
        <v>0.23305084745762711</v>
      </c>
      <c r="Z13" s="88" t="s">
        <v>171</v>
      </c>
      <c r="AA13" s="91">
        <v>0.16129032258064516</v>
      </c>
      <c r="AB13" s="88" t="s">
        <v>157</v>
      </c>
      <c r="AC13" s="91">
        <v>0.46153846153846156</v>
      </c>
      <c r="AD13" s="88" t="s">
        <v>157</v>
      </c>
      <c r="AE13" s="91">
        <v>0.28282828282828282</v>
      </c>
      <c r="AF13" s="88" t="s">
        <v>157</v>
      </c>
      <c r="AG13" s="91">
        <v>0.375</v>
      </c>
      <c r="AH13" s="88" t="s">
        <v>247</v>
      </c>
      <c r="AI13" s="96">
        <v>59500</v>
      </c>
      <c r="AJ13" s="88" t="s">
        <v>166</v>
      </c>
      <c r="AK13" s="93">
        <v>0</v>
      </c>
    </row>
    <row r="14" spans="1:37" x14ac:dyDescent="0.4">
      <c r="A14" s="85">
        <v>12</v>
      </c>
      <c r="B14" s="86" t="s">
        <v>139</v>
      </c>
      <c r="C14" s="87">
        <v>-461.2999999999999</v>
      </c>
      <c r="D14" s="88" t="s">
        <v>247</v>
      </c>
      <c r="E14" s="101">
        <v>-12.924999999999999</v>
      </c>
      <c r="F14" s="88" t="s">
        <v>157</v>
      </c>
      <c r="G14" s="89">
        <v>2.3888888888888888</v>
      </c>
      <c r="H14" s="88" t="s">
        <v>157</v>
      </c>
      <c r="I14" s="90">
        <v>0.19444444444444445</v>
      </c>
      <c r="J14" s="88" t="s">
        <v>157</v>
      </c>
      <c r="K14" s="90">
        <v>0.58333333333333337</v>
      </c>
      <c r="L14" s="88" t="s">
        <v>157</v>
      </c>
      <c r="M14" s="91">
        <v>0.20071684587813621</v>
      </c>
      <c r="N14" s="88" t="s">
        <v>171</v>
      </c>
      <c r="O14" s="91">
        <v>0.21621621621621623</v>
      </c>
      <c r="P14" s="88" t="s">
        <v>247</v>
      </c>
      <c r="Q14" s="92">
        <v>8670.5882352941171</v>
      </c>
      <c r="R14" s="88" t="s">
        <v>194</v>
      </c>
      <c r="S14" s="92">
        <v>-10025</v>
      </c>
      <c r="T14" s="88" t="s">
        <v>247</v>
      </c>
      <c r="U14" s="90">
        <v>0.33333333333333331</v>
      </c>
      <c r="V14" s="88" t="s">
        <v>247</v>
      </c>
      <c r="W14" s="90">
        <v>8.3333333333333329E-2</v>
      </c>
      <c r="X14" s="88" t="s">
        <v>157</v>
      </c>
      <c r="Y14" s="91">
        <v>0.13978494623655913</v>
      </c>
      <c r="Z14" s="88" t="s">
        <v>194</v>
      </c>
      <c r="AA14" s="91">
        <v>0.12</v>
      </c>
      <c r="AB14" s="88" t="s">
        <v>247</v>
      </c>
      <c r="AC14" s="91">
        <v>0.41666666666666669</v>
      </c>
      <c r="AD14" s="88" t="s">
        <v>138</v>
      </c>
      <c r="AE14" s="91">
        <v>0.22500000000000001</v>
      </c>
      <c r="AF14" s="88" t="s">
        <v>167</v>
      </c>
      <c r="AG14" s="91">
        <v>0.33333333333333331</v>
      </c>
      <c r="AH14" s="88" t="s">
        <v>171</v>
      </c>
      <c r="AI14" s="96">
        <v>57800</v>
      </c>
      <c r="AJ14" s="88" t="s">
        <v>167</v>
      </c>
      <c r="AK14" s="93">
        <v>0</v>
      </c>
    </row>
    <row r="15" spans="1:37" x14ac:dyDescent="0.4">
      <c r="A15" s="85">
        <v>13</v>
      </c>
      <c r="B15" s="86" t="s">
        <v>134</v>
      </c>
      <c r="C15" s="87">
        <v>-538.49999999999989</v>
      </c>
      <c r="D15" s="88" t="s">
        <v>171</v>
      </c>
      <c r="E15" s="101">
        <v>-17.28</v>
      </c>
      <c r="F15" s="88" t="s">
        <v>247</v>
      </c>
      <c r="G15" s="89">
        <v>2.4166666666666665</v>
      </c>
      <c r="H15" s="88" t="s">
        <v>247</v>
      </c>
      <c r="I15" s="90">
        <v>0.16666666666666666</v>
      </c>
      <c r="J15" s="88" t="s">
        <v>247</v>
      </c>
      <c r="K15" s="90">
        <v>0.58333333333333337</v>
      </c>
      <c r="L15" s="88" t="s">
        <v>247</v>
      </c>
      <c r="M15" s="91">
        <v>0.19318181818181818</v>
      </c>
      <c r="N15" s="88" t="s">
        <v>247</v>
      </c>
      <c r="O15" s="91">
        <v>0.25</v>
      </c>
      <c r="P15" s="88" t="s">
        <v>166</v>
      </c>
      <c r="Q15" s="92">
        <v>7800</v>
      </c>
      <c r="R15" s="88" t="s">
        <v>167</v>
      </c>
      <c r="S15" s="92">
        <v>-12000</v>
      </c>
      <c r="T15" s="88" t="s">
        <v>171</v>
      </c>
      <c r="U15" s="90">
        <v>0.4</v>
      </c>
      <c r="V15" s="88" t="s">
        <v>166</v>
      </c>
      <c r="W15" s="90">
        <v>0</v>
      </c>
      <c r="X15" s="88" t="s">
        <v>247</v>
      </c>
      <c r="Y15" s="91">
        <v>0.13636363636363635</v>
      </c>
      <c r="Z15" s="88" t="s">
        <v>167</v>
      </c>
      <c r="AA15" s="91">
        <v>0.10526315789473684</v>
      </c>
      <c r="AB15" s="88" t="s">
        <v>167</v>
      </c>
      <c r="AC15" s="91">
        <v>0.25</v>
      </c>
      <c r="AD15" s="88" t="s">
        <v>171</v>
      </c>
      <c r="AE15" s="91">
        <v>0.2</v>
      </c>
      <c r="AF15" s="88" t="s">
        <v>194</v>
      </c>
      <c r="AG15" s="91">
        <v>0.31578947368421051</v>
      </c>
      <c r="AH15" s="88" t="s">
        <v>167</v>
      </c>
      <c r="AI15" s="96">
        <v>46000</v>
      </c>
      <c r="AJ15" s="88" t="s">
        <v>171</v>
      </c>
      <c r="AK15" s="93">
        <v>0</v>
      </c>
    </row>
    <row r="16" spans="1:37" x14ac:dyDescent="0.4">
      <c r="A16" s="85">
        <v>14</v>
      </c>
      <c r="B16" s="86" t="s">
        <v>136</v>
      </c>
      <c r="C16" s="87">
        <v>-559</v>
      </c>
      <c r="D16" s="88" t="s">
        <v>166</v>
      </c>
      <c r="E16" s="101">
        <v>-33.024999999999999</v>
      </c>
      <c r="F16" s="88" t="s">
        <v>166</v>
      </c>
      <c r="G16" s="89">
        <v>3</v>
      </c>
      <c r="H16" s="88" t="s">
        <v>166</v>
      </c>
      <c r="I16" s="90">
        <v>0</v>
      </c>
      <c r="J16" s="88" t="s">
        <v>166</v>
      </c>
      <c r="K16" s="90">
        <v>1</v>
      </c>
      <c r="L16" s="88" t="s">
        <v>166</v>
      </c>
      <c r="M16" s="91">
        <v>0.04</v>
      </c>
      <c r="N16" s="88" t="s">
        <v>166</v>
      </c>
      <c r="O16" s="91">
        <v>0.4</v>
      </c>
      <c r="P16" s="88" t="s">
        <v>171</v>
      </c>
      <c r="Q16" s="92">
        <v>7100</v>
      </c>
      <c r="R16" s="88" t="s">
        <v>171</v>
      </c>
      <c r="S16" s="92">
        <v>-12487.5</v>
      </c>
      <c r="T16" s="88" t="s">
        <v>166</v>
      </c>
      <c r="U16" s="90">
        <v>0.5</v>
      </c>
      <c r="V16" s="88" t="s">
        <v>167</v>
      </c>
      <c r="W16" s="90">
        <v>0</v>
      </c>
      <c r="X16" s="88" t="s">
        <v>166</v>
      </c>
      <c r="Y16" s="91">
        <v>0</v>
      </c>
      <c r="Z16" s="88" t="s">
        <v>166</v>
      </c>
      <c r="AA16" s="91">
        <v>0</v>
      </c>
      <c r="AB16" s="88" t="s">
        <v>166</v>
      </c>
      <c r="AC16" s="91">
        <v>0</v>
      </c>
      <c r="AD16" s="88" t="s">
        <v>166</v>
      </c>
      <c r="AE16" s="91">
        <v>0</v>
      </c>
      <c r="AF16" s="88" t="s">
        <v>171</v>
      </c>
      <c r="AG16" s="91">
        <v>0.3</v>
      </c>
      <c r="AH16" s="88" t="s">
        <v>166</v>
      </c>
      <c r="AI16" s="96">
        <v>13000</v>
      </c>
      <c r="AJ16" s="88" t="s">
        <v>194</v>
      </c>
      <c r="AK16" s="93">
        <v>0</v>
      </c>
    </row>
  </sheetData>
  <sortState ref="AJ3:AK46">
    <sortCondition descending="1" ref="AK1"/>
  </sortState>
  <mergeCells count="36">
    <mergeCell ref="Z2:AA2"/>
    <mergeCell ref="AB2:AC2"/>
    <mergeCell ref="AD2:AE2"/>
    <mergeCell ref="AF2:AG2"/>
    <mergeCell ref="AH2:AI2"/>
    <mergeCell ref="AJ2:AK2"/>
    <mergeCell ref="N2:O2"/>
    <mergeCell ref="P2:Q2"/>
    <mergeCell ref="R2:S2"/>
    <mergeCell ref="T2:U2"/>
    <mergeCell ref="V2:W2"/>
    <mergeCell ref="X2:Y2"/>
    <mergeCell ref="B2:C2"/>
    <mergeCell ref="D2:E2"/>
    <mergeCell ref="F2:G2"/>
    <mergeCell ref="H2:I2"/>
    <mergeCell ref="J2:K2"/>
    <mergeCell ref="L2:M2"/>
    <mergeCell ref="Z1:AA1"/>
    <mergeCell ref="AB1:AC1"/>
    <mergeCell ref="AD1:AE1"/>
    <mergeCell ref="AF1:AG1"/>
    <mergeCell ref="AH1:AI1"/>
    <mergeCell ref="AJ1:AK1"/>
    <mergeCell ref="N1:O1"/>
    <mergeCell ref="P1:Q1"/>
    <mergeCell ref="R1:S1"/>
    <mergeCell ref="T1:U1"/>
    <mergeCell ref="V1:W1"/>
    <mergeCell ref="X1:Y1"/>
    <mergeCell ref="B1:C1"/>
    <mergeCell ref="D1:E1"/>
    <mergeCell ref="F1:G1"/>
    <mergeCell ref="H1:I1"/>
    <mergeCell ref="J1:K1"/>
    <mergeCell ref="L1:M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1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43FDC-47FB-4377-B430-252CAD01397D}">
  <sheetPr codeName="Sheet4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161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903</v>
      </c>
      <c r="C2" s="148"/>
      <c r="E2" s="64" t="s">
        <v>71</v>
      </c>
      <c r="F2" s="61" t="s">
        <v>25</v>
      </c>
      <c r="G2" s="48">
        <v>1434</v>
      </c>
      <c r="H2" s="136">
        <f>IF(B$29=0,0,G2/B$29)</f>
        <v>0.8717325227963526</v>
      </c>
      <c r="I2" s="97">
        <v>8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-15.712682379349046</v>
      </c>
      <c r="P2" s="122">
        <v>891</v>
      </c>
      <c r="Q2" s="106">
        <v>-14000</v>
      </c>
    </row>
    <row r="3" spans="1:17" x14ac:dyDescent="0.4">
      <c r="A3" s="57" t="s">
        <v>8</v>
      </c>
      <c r="B3" s="153">
        <v>6906</v>
      </c>
      <c r="C3" s="154"/>
      <c r="E3" s="65" t="s">
        <v>69</v>
      </c>
      <c r="F3" s="62" t="s">
        <v>23</v>
      </c>
      <c r="G3" s="49">
        <v>1187</v>
      </c>
      <c r="H3" s="137">
        <f>IF(B$29=0,0,G3/B$29)</f>
        <v>0.721580547112462</v>
      </c>
      <c r="I3" s="98">
        <v>6</v>
      </c>
      <c r="K3" s="40">
        <v>1</v>
      </c>
      <c r="L3" s="103">
        <v>15</v>
      </c>
      <c r="N3" s="119" t="s">
        <v>148</v>
      </c>
      <c r="O3" s="126">
        <f t="shared" si="0"/>
        <v>-3.4965034965034967</v>
      </c>
      <c r="P3" s="123">
        <v>858</v>
      </c>
      <c r="Q3" s="107">
        <v>-3000</v>
      </c>
    </row>
    <row r="4" spans="1:17" x14ac:dyDescent="0.4">
      <c r="A4" s="57" t="s">
        <v>6</v>
      </c>
      <c r="B4" s="155">
        <v>-7.9999999999999343</v>
      </c>
      <c r="C4" s="156"/>
      <c r="E4" s="65" t="s">
        <v>76</v>
      </c>
      <c r="F4" s="62" t="s">
        <v>29</v>
      </c>
      <c r="G4" s="49">
        <v>931</v>
      </c>
      <c r="H4" s="137">
        <f>IF(B$29=0,0,G4/B$29)</f>
        <v>0.56595744680851068</v>
      </c>
      <c r="I4" s="98">
        <v>8</v>
      </c>
      <c r="K4" s="40">
        <v>2</v>
      </c>
      <c r="L4" s="103">
        <v>-7</v>
      </c>
      <c r="N4" s="119" t="s">
        <v>149</v>
      </c>
      <c r="O4" s="126">
        <f t="shared" si="0"/>
        <v>6.2189054726368163</v>
      </c>
      <c r="P4" s="123">
        <v>804</v>
      </c>
      <c r="Q4" s="107">
        <v>5000</v>
      </c>
    </row>
    <row r="5" spans="1:17" x14ac:dyDescent="0.4">
      <c r="A5" s="57" t="s">
        <v>7</v>
      </c>
      <c r="B5" s="157">
        <f>IF(B$2=0,0,B$4/B$2)</f>
        <v>-8.8593576965669257E-3</v>
      </c>
      <c r="C5" s="158"/>
      <c r="E5" s="65" t="s">
        <v>67</v>
      </c>
      <c r="F5" s="62" t="s">
        <v>21</v>
      </c>
      <c r="G5" s="49">
        <v>898</v>
      </c>
      <c r="H5" s="137">
        <f>IF(B$29=0,0,G5/B$29)</f>
        <v>0.54589665653495445</v>
      </c>
      <c r="I5" s="98">
        <v>6</v>
      </c>
      <c r="K5" s="40">
        <v>3</v>
      </c>
      <c r="L5" s="103">
        <v>0</v>
      </c>
      <c r="N5" s="119" t="s">
        <v>150</v>
      </c>
      <c r="O5" s="126">
        <f t="shared" si="0"/>
        <v>2.7662517289073305</v>
      </c>
      <c r="P5" s="123">
        <v>723</v>
      </c>
      <c r="Q5" s="107">
        <v>2000</v>
      </c>
    </row>
    <row r="6" spans="1:17" x14ac:dyDescent="0.4">
      <c r="A6" s="57" t="s">
        <v>1</v>
      </c>
      <c r="B6" s="145">
        <f>IF(B$2=0,0,(B$7*1+B$8*2+B$9*3)/B$2)</f>
        <v>2</v>
      </c>
      <c r="C6" s="146"/>
      <c r="E6" s="65" t="s">
        <v>72</v>
      </c>
      <c r="F6" s="62" t="s">
        <v>12</v>
      </c>
      <c r="G6" s="49">
        <v>514</v>
      </c>
      <c r="H6" s="137">
        <f>IF(B$29=0,0,G6/B$29)</f>
        <v>0.31246200607902735</v>
      </c>
      <c r="I6" s="98">
        <v>7</v>
      </c>
      <c r="K6" s="40">
        <v>4</v>
      </c>
      <c r="L6" s="103">
        <v>-1</v>
      </c>
      <c r="N6" s="119" t="s">
        <v>151</v>
      </c>
      <c r="O6" s="126">
        <f t="shared" si="0"/>
        <v>11.0062893081761</v>
      </c>
      <c r="P6" s="123">
        <v>636</v>
      </c>
      <c r="Q6" s="107">
        <v>7000</v>
      </c>
    </row>
    <row r="7" spans="1:17" x14ac:dyDescent="0.4">
      <c r="A7" s="57" t="s">
        <v>2</v>
      </c>
      <c r="B7" s="49">
        <v>301</v>
      </c>
      <c r="C7" s="41">
        <f>IF(B$2=0,0,B7/B$2)</f>
        <v>0.33333333333333331</v>
      </c>
      <c r="E7" s="65" t="s">
        <v>70</v>
      </c>
      <c r="F7" s="62" t="s">
        <v>24</v>
      </c>
      <c r="G7" s="49">
        <v>499</v>
      </c>
      <c r="H7" s="137">
        <f>IF(B$29=0,0,G7/B$29)</f>
        <v>0.30334346504559273</v>
      </c>
      <c r="I7" s="98">
        <v>6</v>
      </c>
      <c r="K7" s="40">
        <v>5</v>
      </c>
      <c r="L7" s="103">
        <v>39.9</v>
      </c>
      <c r="N7" s="120" t="s">
        <v>152</v>
      </c>
      <c r="O7" s="127">
        <f t="shared" si="0"/>
        <v>-9.6899224806201545</v>
      </c>
      <c r="P7" s="124">
        <v>516</v>
      </c>
      <c r="Q7" s="108">
        <v>-5000</v>
      </c>
    </row>
    <row r="8" spans="1:17" x14ac:dyDescent="0.4">
      <c r="A8" s="57" t="s">
        <v>3</v>
      </c>
      <c r="B8" s="49">
        <v>301</v>
      </c>
      <c r="C8" s="41">
        <f>IF(B$2=0,0,B8/B$2)</f>
        <v>0.33333333333333331</v>
      </c>
      <c r="E8" s="65" t="s">
        <v>94</v>
      </c>
      <c r="F8" s="62" t="s">
        <v>47</v>
      </c>
      <c r="G8" s="49">
        <v>249</v>
      </c>
      <c r="H8" s="137">
        <f>IF(B$29=0,0,G8/B$29)</f>
        <v>0.1513677811550152</v>
      </c>
      <c r="I8" s="98">
        <v>8</v>
      </c>
      <c r="K8" s="40">
        <v>6</v>
      </c>
      <c r="L8" s="103">
        <v>0</v>
      </c>
      <c r="N8" s="45"/>
      <c r="O8" s="131"/>
      <c r="P8" s="115"/>
      <c r="Q8" s="113"/>
    </row>
    <row r="9" spans="1:17" x14ac:dyDescent="0.4">
      <c r="A9" s="58" t="s">
        <v>4</v>
      </c>
      <c r="B9" s="50">
        <v>301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242</v>
      </c>
      <c r="H9" s="137">
        <f>IF(B$29=0,0,G9/B$29)</f>
        <v>0.14711246200607903</v>
      </c>
      <c r="I9" s="98">
        <v>7</v>
      </c>
      <c r="K9" s="40">
        <v>7</v>
      </c>
      <c r="L9" s="103">
        <v>15.1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137</v>
      </c>
      <c r="C10" s="42">
        <f>IF(B$2=0,0,B10/B$2)</f>
        <v>0.15171650055370986</v>
      </c>
      <c r="E10" s="65" t="s">
        <v>68</v>
      </c>
      <c r="F10" s="62" t="s">
        <v>22</v>
      </c>
      <c r="G10" s="49">
        <v>204</v>
      </c>
      <c r="H10" s="137">
        <f>IF(B$29=0,0,G10/B$29)</f>
        <v>0.12401215805471125</v>
      </c>
      <c r="I10" s="98">
        <v>6</v>
      </c>
      <c r="K10" s="40">
        <v>8</v>
      </c>
      <c r="L10" s="103">
        <v>-26.699999999999996</v>
      </c>
      <c r="N10" s="118" t="s">
        <v>250</v>
      </c>
      <c r="O10" s="128">
        <f>IF(P10=0,0,Q10/P10)</f>
        <v>-2.3214765100671131</v>
      </c>
      <c r="P10" s="122">
        <v>298</v>
      </c>
      <c r="Q10" s="110">
        <v>-691.79999999999973</v>
      </c>
    </row>
    <row r="11" spans="1:17" x14ac:dyDescent="0.4">
      <c r="A11" s="58" t="s">
        <v>155</v>
      </c>
      <c r="B11" s="50">
        <v>137</v>
      </c>
      <c r="C11" s="42">
        <f>IF(B$2=0,0,B11/B$2)</f>
        <v>0.15171650055370986</v>
      </c>
      <c r="E11" s="65" t="s">
        <v>74</v>
      </c>
      <c r="F11" s="62" t="s">
        <v>27</v>
      </c>
      <c r="G11" s="49">
        <v>161</v>
      </c>
      <c r="H11" s="137">
        <f>IF(B$29=0,0,G11/B$29)</f>
        <v>9.7872340425531917E-2</v>
      </c>
      <c r="I11" s="98">
        <v>6</v>
      </c>
      <c r="K11" s="40">
        <v>9</v>
      </c>
      <c r="L11" s="103">
        <v>3.5527136788005009E-15</v>
      </c>
      <c r="N11" s="119" t="s">
        <v>251</v>
      </c>
      <c r="O11" s="129">
        <f>IF(P11=0,0,Q11/P11)</f>
        <v>0.35570469798657767</v>
      </c>
      <c r="P11" s="123">
        <v>298</v>
      </c>
      <c r="Q11" s="111">
        <v>106.00000000000014</v>
      </c>
    </row>
    <row r="12" spans="1:17" x14ac:dyDescent="0.4">
      <c r="A12" s="59" t="s">
        <v>238</v>
      </c>
      <c r="B12" s="51">
        <v>72</v>
      </c>
      <c r="C12" s="44">
        <f>IF(B$2=0,0,B12/B$2)</f>
        <v>7.9734219269102985E-2</v>
      </c>
      <c r="E12" s="65" t="s">
        <v>91</v>
      </c>
      <c r="F12" s="62" t="s">
        <v>44</v>
      </c>
      <c r="G12" s="49">
        <v>112</v>
      </c>
      <c r="H12" s="137">
        <f>IF(B$29=0,0,G12/B$29)</f>
        <v>6.8085106382978725E-2</v>
      </c>
      <c r="I12" s="98">
        <v>8</v>
      </c>
      <c r="K12" s="40">
        <v>10</v>
      </c>
      <c r="L12" s="103">
        <v>85.2</v>
      </c>
      <c r="N12" s="120" t="s">
        <v>252</v>
      </c>
      <c r="O12" s="130">
        <f>IF(P12=0,0,Q12/P12)</f>
        <v>1.9389261744966448</v>
      </c>
      <c r="P12" s="124">
        <v>298</v>
      </c>
      <c r="Q12" s="112">
        <v>577.80000000000018</v>
      </c>
    </row>
    <row r="13" spans="1:17" x14ac:dyDescent="0.4">
      <c r="A13" s="60" t="s">
        <v>128</v>
      </c>
      <c r="B13" s="52">
        <v>1564</v>
      </c>
      <c r="C13" s="46">
        <f>IF(B$28=0,0,B13/B$28)</f>
        <v>0.2848816029143898</v>
      </c>
      <c r="E13" s="65" t="s">
        <v>75</v>
      </c>
      <c r="F13" s="62" t="s">
        <v>28</v>
      </c>
      <c r="G13" s="49">
        <v>79</v>
      </c>
      <c r="H13" s="137">
        <f>IF(B$29=0,0,G13/B$29)</f>
        <v>4.8024316109422489E-2</v>
      </c>
      <c r="I13" s="98">
        <v>6</v>
      </c>
      <c r="K13" s="40">
        <v>11</v>
      </c>
      <c r="L13" s="103">
        <v>44.5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1196</v>
      </c>
      <c r="C14" s="41">
        <f>IF(B$28=0,0,B14/B$28)</f>
        <v>0.21785063752276868</v>
      </c>
      <c r="E14" s="65" t="s">
        <v>88</v>
      </c>
      <c r="F14" s="62" t="s">
        <v>41</v>
      </c>
      <c r="G14" s="49">
        <v>74</v>
      </c>
      <c r="H14" s="137">
        <f>IF(B$29=0,0,G14/B$29)</f>
        <v>4.4984802431610946E-2</v>
      </c>
      <c r="I14" s="98">
        <v>6</v>
      </c>
      <c r="K14" s="40">
        <v>12</v>
      </c>
      <c r="L14" s="103">
        <v>0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913</v>
      </c>
      <c r="C15" s="39">
        <f>IF(B$13=0,0,B15/B$13)</f>
        <v>0.5837595907928389</v>
      </c>
      <c r="E15" s="65" t="s">
        <v>86</v>
      </c>
      <c r="F15" s="62" t="s">
        <v>39</v>
      </c>
      <c r="G15" s="49">
        <v>49</v>
      </c>
      <c r="H15" s="137">
        <f>IF(B$29=0,0,G15/B$29)</f>
        <v>2.9787234042553193E-2</v>
      </c>
      <c r="I15" s="98">
        <v>7</v>
      </c>
      <c r="K15" s="40">
        <v>13</v>
      </c>
      <c r="L15" s="103">
        <v>31.5</v>
      </c>
      <c r="N15" s="118" t="s">
        <v>166</v>
      </c>
      <c r="O15" s="128">
        <f>IF(P15=0,0,Q15/P15)</f>
        <v>49.537499999999994</v>
      </c>
      <c r="P15" s="122">
        <v>8</v>
      </c>
      <c r="Q15" s="110">
        <v>396.29999999999995</v>
      </c>
    </row>
    <row r="16" spans="1:17" x14ac:dyDescent="0.4">
      <c r="A16" s="56" t="s">
        <v>131</v>
      </c>
      <c r="B16" s="48">
        <v>479</v>
      </c>
      <c r="C16" s="39">
        <f>IF(B$14=0,0,B16/B$14)</f>
        <v>0.40050167224080269</v>
      </c>
      <c r="E16" s="65" t="s">
        <v>82</v>
      </c>
      <c r="F16" s="62" t="s">
        <v>35</v>
      </c>
      <c r="G16" s="49">
        <v>47</v>
      </c>
      <c r="H16" s="137">
        <f>IF(B$29=0,0,G16/B$29)</f>
        <v>2.8571428571428571E-2</v>
      </c>
      <c r="I16" s="98">
        <v>6</v>
      </c>
      <c r="K16" s="40">
        <v>14</v>
      </c>
      <c r="L16" s="103">
        <v>-4</v>
      </c>
      <c r="N16" s="119" t="s">
        <v>171</v>
      </c>
      <c r="O16" s="129">
        <f>IF(P16=0,0,Q16/P16)</f>
        <v>25.919999999999998</v>
      </c>
      <c r="P16" s="123">
        <v>10</v>
      </c>
      <c r="Q16" s="111">
        <v>259.2</v>
      </c>
    </row>
    <row r="17" spans="1:17" x14ac:dyDescent="0.4">
      <c r="A17" s="56" t="s">
        <v>10</v>
      </c>
      <c r="B17" s="48">
        <f>B19+B18</f>
        <v>2079</v>
      </c>
      <c r="C17" s="39">
        <f>IF(B$3=0,0,B17/B$3)</f>
        <v>0.30104257167680276</v>
      </c>
      <c r="E17" s="65" t="s">
        <v>96</v>
      </c>
      <c r="F17" s="62" t="s">
        <v>49</v>
      </c>
      <c r="G17" s="49">
        <v>32</v>
      </c>
      <c r="H17" s="137">
        <f>IF(B$29=0,0,G17/B$29)</f>
        <v>1.9452887537993922E-2</v>
      </c>
      <c r="I17" s="98">
        <v>7</v>
      </c>
      <c r="K17" s="40">
        <v>15</v>
      </c>
      <c r="L17" s="103">
        <v>0</v>
      </c>
      <c r="N17" s="119" t="s">
        <v>247</v>
      </c>
      <c r="O17" s="129">
        <f>IF(P17=0,0,Q17/P17)</f>
        <v>19.387499999999999</v>
      </c>
      <c r="P17" s="123">
        <v>24</v>
      </c>
      <c r="Q17" s="111">
        <v>465.29999999999995</v>
      </c>
    </row>
    <row r="18" spans="1:17" x14ac:dyDescent="0.4">
      <c r="A18" s="57" t="s">
        <v>12</v>
      </c>
      <c r="B18" s="49">
        <v>879</v>
      </c>
      <c r="C18" s="41">
        <f>IF(B$17=0,0,B18/B$17)</f>
        <v>0.42279942279942279</v>
      </c>
      <c r="E18" s="65" t="s">
        <v>83</v>
      </c>
      <c r="F18" s="62" t="s">
        <v>36</v>
      </c>
      <c r="G18" s="49">
        <v>23</v>
      </c>
      <c r="H18" s="137">
        <f>IF(B$29=0,0,G18/B$29)</f>
        <v>1.3981762917933131E-2</v>
      </c>
      <c r="I18" s="98">
        <v>7</v>
      </c>
      <c r="K18" s="40">
        <v>16</v>
      </c>
      <c r="L18" s="103">
        <v>-48</v>
      </c>
      <c r="N18" s="119" t="s">
        <v>157</v>
      </c>
      <c r="O18" s="129">
        <f>IF(P18=0,0,Q18/P18)</f>
        <v>18.981944444444455</v>
      </c>
      <c r="P18" s="123">
        <v>72</v>
      </c>
      <c r="Q18" s="111">
        <v>1366.7000000000007</v>
      </c>
    </row>
    <row r="19" spans="1:17" x14ac:dyDescent="0.4">
      <c r="A19" s="57" t="s">
        <v>11</v>
      </c>
      <c r="B19" s="49">
        <v>1200</v>
      </c>
      <c r="C19" s="41">
        <f>IF(B$17=0,0,B19/B$17)</f>
        <v>0.57720057720057716</v>
      </c>
      <c r="E19" s="65" t="s">
        <v>77</v>
      </c>
      <c r="F19" s="62" t="s">
        <v>30</v>
      </c>
      <c r="G19" s="49">
        <v>13</v>
      </c>
      <c r="H19" s="137">
        <f>IF(B$29=0,0,G19/B$29)</f>
        <v>7.9027355623100311E-3</v>
      </c>
      <c r="I19" s="98">
        <v>4</v>
      </c>
      <c r="K19" s="40">
        <v>17</v>
      </c>
      <c r="L19" s="103">
        <v>-8</v>
      </c>
      <c r="N19" s="119" t="s">
        <v>136</v>
      </c>
      <c r="O19" s="129">
        <f>IF(P19=0,0,Q19/P19)</f>
        <v>9.8588235294117634</v>
      </c>
      <c r="P19" s="123">
        <v>170</v>
      </c>
      <c r="Q19" s="111">
        <v>1675.9999999999998</v>
      </c>
    </row>
    <row r="20" spans="1:17" x14ac:dyDescent="0.4">
      <c r="A20" s="57" t="s">
        <v>13</v>
      </c>
      <c r="B20" s="49">
        <v>1177</v>
      </c>
      <c r="C20" s="41">
        <f>IF(B$3=0,0,B20/B$3)</f>
        <v>0.17043150883289893</v>
      </c>
      <c r="E20" s="65" t="s">
        <v>79</v>
      </c>
      <c r="F20" s="62" t="s">
        <v>32</v>
      </c>
      <c r="G20" s="49">
        <v>10</v>
      </c>
      <c r="H20" s="137">
        <f>IF(B$29=0,0,G20/B$29)</f>
        <v>6.0790273556231003E-3</v>
      </c>
      <c r="I20" s="98">
        <v>4</v>
      </c>
      <c r="K20" s="40">
        <v>18</v>
      </c>
      <c r="L20" s="103">
        <v>0</v>
      </c>
      <c r="N20" s="119" t="s">
        <v>167</v>
      </c>
      <c r="O20" s="129">
        <f>IF(P20=0,0,Q20/P20)</f>
        <v>5.8125</v>
      </c>
      <c r="P20" s="123">
        <v>8</v>
      </c>
      <c r="Q20" s="111">
        <v>46.5</v>
      </c>
    </row>
    <row r="21" spans="1:17" x14ac:dyDescent="0.4">
      <c r="A21" s="57" t="s">
        <v>13</v>
      </c>
      <c r="B21" s="49">
        <v>6</v>
      </c>
      <c r="C21" s="41">
        <v>0</v>
      </c>
      <c r="E21" s="65" t="s">
        <v>81</v>
      </c>
      <c r="F21" s="62" t="s">
        <v>34</v>
      </c>
      <c r="G21" s="49">
        <v>9</v>
      </c>
      <c r="H21" s="137">
        <f>IF(B$29=0,0,G21/B$29)</f>
        <v>5.47112462006079E-3</v>
      </c>
      <c r="I21" s="98">
        <v>5</v>
      </c>
      <c r="K21" s="40">
        <v>19</v>
      </c>
      <c r="L21" s="103">
        <v>-6.1</v>
      </c>
      <c r="N21" s="119" t="s">
        <v>134</v>
      </c>
      <c r="O21" s="129">
        <f>IF(P21=0,0,Q21/P21)</f>
        <v>5.6707746478873222</v>
      </c>
      <c r="P21" s="123">
        <v>284</v>
      </c>
      <c r="Q21" s="111">
        <v>1610.4999999999995</v>
      </c>
    </row>
    <row r="22" spans="1:17" x14ac:dyDescent="0.4">
      <c r="A22" s="57" t="s">
        <v>263</v>
      </c>
      <c r="B22" s="49">
        <v>35</v>
      </c>
      <c r="C22" s="165">
        <v>13</v>
      </c>
      <c r="E22" s="65" t="s">
        <v>97</v>
      </c>
      <c r="F22" s="62" t="s">
        <v>50</v>
      </c>
      <c r="G22" s="49">
        <v>8</v>
      </c>
      <c r="H22" s="137">
        <f>IF(B$29=0,0,G22/B$29)</f>
        <v>4.8632218844984806E-3</v>
      </c>
      <c r="I22" s="98">
        <v>5</v>
      </c>
      <c r="K22" s="40">
        <v>20</v>
      </c>
      <c r="L22" s="103">
        <v>4.9000000000000004</v>
      </c>
      <c r="N22" s="119" t="s">
        <v>139</v>
      </c>
      <c r="O22" s="129">
        <f>IF(P22=0,0,Q22/P22)</f>
        <v>5.2706106870228986</v>
      </c>
      <c r="P22" s="123">
        <v>262</v>
      </c>
      <c r="Q22" s="111">
        <v>1380.8999999999994</v>
      </c>
    </row>
    <row r="23" spans="1:17" x14ac:dyDescent="0.4">
      <c r="A23" s="57" t="s">
        <v>5</v>
      </c>
      <c r="B23" s="53">
        <f>IF(B$17=0,0,C23/B$17)</f>
        <v>10092.544492544492</v>
      </c>
      <c r="C23" s="43">
        <v>20982400</v>
      </c>
      <c r="E23" s="65" t="s">
        <v>90</v>
      </c>
      <c r="F23" s="62" t="s">
        <v>43</v>
      </c>
      <c r="G23" s="49">
        <v>7</v>
      </c>
      <c r="H23" s="137">
        <f>IF(B$29=0,0,G23/B$29)</f>
        <v>4.2553191489361703E-3</v>
      </c>
      <c r="I23" s="98">
        <v>4</v>
      </c>
      <c r="K23" s="40">
        <v>21</v>
      </c>
      <c r="L23" s="103">
        <v>0</v>
      </c>
      <c r="N23" s="119" t="s">
        <v>138</v>
      </c>
      <c r="O23" s="129">
        <f>IF(P23=0,0,Q23/P23)</f>
        <v>0.41212121212121355</v>
      </c>
      <c r="P23" s="123">
        <v>66</v>
      </c>
      <c r="Q23" s="111">
        <v>27.200000000000095</v>
      </c>
    </row>
    <row r="24" spans="1:17" x14ac:dyDescent="0.4">
      <c r="A24" s="59" t="s">
        <v>14</v>
      </c>
      <c r="B24" s="54">
        <f>IF(B$20=0,0,C24/B$20)</f>
        <v>-9359.0484282073066</v>
      </c>
      <c r="C24" s="47">
        <v>-11015600</v>
      </c>
      <c r="E24" s="65" t="s">
        <v>98</v>
      </c>
      <c r="F24" s="62" t="s">
        <v>51</v>
      </c>
      <c r="G24" s="49">
        <v>6</v>
      </c>
      <c r="H24" s="137">
        <f>IF(B$29=0,0,G24/B$29)</f>
        <v>3.64741641337386E-3</v>
      </c>
      <c r="I24" s="98">
        <v>4</v>
      </c>
      <c r="K24" s="40">
        <v>22</v>
      </c>
      <c r="L24" s="103">
        <v>-36</v>
      </c>
      <c r="N24" s="119" t="s">
        <v>137</v>
      </c>
      <c r="O24" s="129">
        <f>IF(P24=0,0,Q24/P24)</f>
        <v>-2.4682926829268288</v>
      </c>
      <c r="P24" s="123">
        <v>246</v>
      </c>
      <c r="Q24" s="111">
        <v>-607.19999999999993</v>
      </c>
    </row>
    <row r="25" spans="1:17" x14ac:dyDescent="0.4">
      <c r="A25" s="94" t="s">
        <v>158</v>
      </c>
      <c r="B25" s="143">
        <v>10</v>
      </c>
      <c r="C25" s="144"/>
      <c r="E25" s="65" t="s">
        <v>78</v>
      </c>
      <c r="F25" s="62" t="s">
        <v>31</v>
      </c>
      <c r="G25" s="49">
        <v>5</v>
      </c>
      <c r="H25" s="137">
        <f>IF(B$29=0,0,G25/B$29)</f>
        <v>3.0395136778115501E-3</v>
      </c>
      <c r="I25" s="98">
        <v>5</v>
      </c>
      <c r="K25" s="40">
        <v>23</v>
      </c>
      <c r="L25" s="103">
        <v>-3</v>
      </c>
      <c r="N25" s="119" t="s">
        <v>135</v>
      </c>
      <c r="O25" s="129">
        <f>IF(P25=0,0,Q25/P25)</f>
        <v>-6.2030769230769174</v>
      </c>
      <c r="P25" s="123">
        <v>130</v>
      </c>
      <c r="Q25" s="111">
        <v>-806.3999999999993</v>
      </c>
    </row>
    <row r="26" spans="1:17" x14ac:dyDescent="0.4">
      <c r="A26" s="60" t="s">
        <v>198</v>
      </c>
      <c r="B26" s="141">
        <v>124700</v>
      </c>
      <c r="C26" s="142"/>
      <c r="E26" s="65" t="s">
        <v>89</v>
      </c>
      <c r="F26" s="62" t="s">
        <v>42</v>
      </c>
      <c r="G26" s="49">
        <v>4</v>
      </c>
      <c r="H26" s="137">
        <f>IF(B$29=0,0,G26/B$29)</f>
        <v>2.4316109422492403E-3</v>
      </c>
      <c r="I26" s="98">
        <v>4</v>
      </c>
      <c r="K26" s="40">
        <v>24</v>
      </c>
      <c r="L26" s="103">
        <v>0</v>
      </c>
      <c r="N26" s="119" t="s">
        <v>133</v>
      </c>
      <c r="O26" s="129">
        <f>IF(P26=0,0,Q26/P26)</f>
        <v>-11.036964980544747</v>
      </c>
      <c r="P26" s="123">
        <v>514</v>
      </c>
      <c r="Q26" s="111">
        <v>-5673</v>
      </c>
    </row>
    <row r="27" spans="1:17" x14ac:dyDescent="0.4">
      <c r="A27" s="59" t="s">
        <v>159</v>
      </c>
      <c r="B27" s="67">
        <v>20</v>
      </c>
      <c r="C27" s="44">
        <f>IF(B$3=0,0,B27/B$3)</f>
        <v>2.8960324355632784E-3</v>
      </c>
      <c r="E27" s="65" t="s">
        <v>92</v>
      </c>
      <c r="F27" s="62" t="s">
        <v>45</v>
      </c>
      <c r="G27" s="49">
        <v>4</v>
      </c>
      <c r="H27" s="137">
        <f>IF(B$29=0,0,G27/B$29)</f>
        <v>2.4316109422492403E-3</v>
      </c>
      <c r="I27" s="98">
        <v>4</v>
      </c>
      <c r="K27" s="40">
        <v>25</v>
      </c>
      <c r="L27" s="103">
        <v>-41</v>
      </c>
      <c r="N27" s="119" t="s">
        <v>194</v>
      </c>
      <c r="O27" s="129">
        <f>IF(P27=0,0,Q27/P27)</f>
        <v>-11.833333333333334</v>
      </c>
      <c r="P27" s="123">
        <v>12</v>
      </c>
      <c r="Q27" s="111">
        <v>-142</v>
      </c>
    </row>
    <row r="28" spans="1:17" x14ac:dyDescent="0.4">
      <c r="A28" s="56" t="s">
        <v>126</v>
      </c>
      <c r="B28" s="147">
        <v>5490</v>
      </c>
      <c r="C28" s="148"/>
      <c r="E28" s="65" t="s">
        <v>95</v>
      </c>
      <c r="F28" s="62" t="s">
        <v>48</v>
      </c>
      <c r="G28" s="49">
        <v>2</v>
      </c>
      <c r="H28" s="137">
        <f>IF(B$29=0,0,G28/B$29)</f>
        <v>1.2158054711246201E-3</v>
      </c>
      <c r="I28" s="98">
        <v>3</v>
      </c>
      <c r="K28" s="40">
        <v>26</v>
      </c>
      <c r="L28" s="103">
        <v>11.5</v>
      </c>
    </row>
    <row r="29" spans="1:17" x14ac:dyDescent="0.4">
      <c r="A29" s="59" t="s">
        <v>127</v>
      </c>
      <c r="B29" s="149">
        <v>1645</v>
      </c>
      <c r="C29" s="150"/>
      <c r="E29" s="65" t="s">
        <v>85</v>
      </c>
      <c r="F29" s="62" t="s">
        <v>38</v>
      </c>
      <c r="G29" s="49">
        <v>1</v>
      </c>
      <c r="H29" s="137">
        <f>IF(B$29=0,0,G29/B$29)</f>
        <v>6.0790273556231007E-4</v>
      </c>
      <c r="I29" s="98">
        <v>2</v>
      </c>
      <c r="K29" s="40">
        <v>27</v>
      </c>
      <c r="L29" s="103">
        <v>0</v>
      </c>
    </row>
    <row r="30" spans="1:17" x14ac:dyDescent="0.4">
      <c r="E30" s="65" t="s">
        <v>93</v>
      </c>
      <c r="F30" s="62" t="s">
        <v>46</v>
      </c>
      <c r="G30" s="49">
        <v>1</v>
      </c>
      <c r="H30" s="137">
        <f>IF(B$29=0,0,G30/B$29)</f>
        <v>6.0790273556231007E-4</v>
      </c>
      <c r="I30" s="98">
        <v>2</v>
      </c>
      <c r="K30" s="40">
        <v>28</v>
      </c>
      <c r="L30" s="103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37">
        <f>IF(B$29=0,0,G31/B$29)</f>
        <v>6.0790273556231007E-4</v>
      </c>
      <c r="I31" s="98">
        <v>2</v>
      </c>
      <c r="K31" s="40">
        <v>29</v>
      </c>
      <c r="L31" s="103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37">
        <f>IF(B$29=0,0,G32/B$29)</f>
        <v>6.0790273556231007E-4</v>
      </c>
      <c r="I32" s="98">
        <v>2</v>
      </c>
      <c r="K32" s="40">
        <v>30</v>
      </c>
      <c r="L32" s="103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37">
        <f>IF(B$29=0,0,G33/B$29)</f>
        <v>0</v>
      </c>
      <c r="I33" s="98">
        <v>1</v>
      </c>
      <c r="K33" s="40">
        <v>31</v>
      </c>
      <c r="L33" s="103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37">
        <f>IF(B$29=0,0,G35/B$29)</f>
        <v>0</v>
      </c>
      <c r="I35" s="98">
        <v>1</v>
      </c>
      <c r="K35" s="40">
        <v>33</v>
      </c>
      <c r="L35" s="103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37">
        <f>IF(B$29=0,0,G46/B$29)</f>
        <v>0</v>
      </c>
      <c r="I46" s="98">
        <v>1</v>
      </c>
      <c r="K46" s="40">
        <v>44</v>
      </c>
      <c r="L46" s="103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-21.399999999999991</v>
      </c>
    </row>
    <row r="52" spans="5:12" x14ac:dyDescent="0.4">
      <c r="K52" s="40">
        <v>50</v>
      </c>
      <c r="L52" s="103">
        <v>-53.899999999999991</v>
      </c>
    </row>
    <row r="53" spans="5:12" x14ac:dyDescent="0.4">
      <c r="K53" s="40">
        <v>51</v>
      </c>
      <c r="L53" s="103">
        <v>7.1054273576010019E-15</v>
      </c>
    </row>
    <row r="54" spans="5:12" x14ac:dyDescent="0.4">
      <c r="K54" s="40">
        <v>52</v>
      </c>
      <c r="L54" s="103">
        <v>14.900000000000007</v>
      </c>
    </row>
    <row r="55" spans="5:12" x14ac:dyDescent="0.4">
      <c r="K55" s="40">
        <v>53</v>
      </c>
      <c r="L55" s="103">
        <v>1.2000000000000082</v>
      </c>
    </row>
    <row r="56" spans="5:12" x14ac:dyDescent="0.4">
      <c r="K56" s="40">
        <v>54</v>
      </c>
      <c r="L56" s="103">
        <v>8.2156503822261584E-15</v>
      </c>
    </row>
    <row r="57" spans="5:12" x14ac:dyDescent="0.4">
      <c r="K57" s="40">
        <v>55</v>
      </c>
      <c r="L57" s="103">
        <v>57.20000000000001</v>
      </c>
    </row>
    <row r="58" spans="5:12" x14ac:dyDescent="0.4">
      <c r="K58" s="40">
        <v>56</v>
      </c>
      <c r="L58" s="103">
        <v>18.800000000000011</v>
      </c>
    </row>
    <row r="59" spans="5:12" x14ac:dyDescent="0.4">
      <c r="K59" s="40">
        <v>57</v>
      </c>
      <c r="L59" s="103">
        <v>1.0658141036401503E-14</v>
      </c>
    </row>
    <row r="60" spans="5:12" x14ac:dyDescent="0.4">
      <c r="K60" s="40">
        <v>58</v>
      </c>
      <c r="L60" s="103">
        <v>26.20000000000001</v>
      </c>
    </row>
    <row r="61" spans="5:12" x14ac:dyDescent="0.4">
      <c r="K61" s="40">
        <v>59</v>
      </c>
      <c r="L61" s="103">
        <v>1.0000000000000107</v>
      </c>
    </row>
    <row r="62" spans="5:12" x14ac:dyDescent="0.4">
      <c r="K62" s="40">
        <v>60</v>
      </c>
      <c r="L62" s="103">
        <v>1.0658141036401503E-14</v>
      </c>
    </row>
    <row r="63" spans="5:12" x14ac:dyDescent="0.4">
      <c r="K63" s="40">
        <v>61</v>
      </c>
      <c r="L63" s="103">
        <v>56.500000000000014</v>
      </c>
    </row>
    <row r="64" spans="5:12" x14ac:dyDescent="0.4">
      <c r="K64" s="40">
        <v>62</v>
      </c>
      <c r="L64" s="103">
        <v>10.000000000000014</v>
      </c>
    </row>
    <row r="65" spans="11:12" x14ac:dyDescent="0.4">
      <c r="K65" s="40">
        <v>63</v>
      </c>
      <c r="L65" s="103">
        <v>1.4210854715202004E-14</v>
      </c>
    </row>
    <row r="66" spans="11:12" x14ac:dyDescent="0.4">
      <c r="K66" s="40">
        <v>64</v>
      </c>
      <c r="L66" s="103">
        <v>-25.499999999999986</v>
      </c>
    </row>
    <row r="67" spans="11:12" x14ac:dyDescent="0.4">
      <c r="K67" s="40">
        <v>65</v>
      </c>
      <c r="L67" s="103">
        <v>-65.399999999999977</v>
      </c>
    </row>
    <row r="68" spans="11:12" x14ac:dyDescent="0.4">
      <c r="K68" s="40">
        <v>66</v>
      </c>
      <c r="L68" s="103">
        <v>2.8421709430404007E-14</v>
      </c>
    </row>
    <row r="69" spans="11:12" x14ac:dyDescent="0.4">
      <c r="K69" s="40">
        <v>67</v>
      </c>
      <c r="L69" s="103">
        <v>24.700000000000028</v>
      </c>
    </row>
    <row r="70" spans="11:12" x14ac:dyDescent="0.4">
      <c r="K70" s="40">
        <v>68</v>
      </c>
      <c r="L70" s="103">
        <v>-11.099999999999969</v>
      </c>
    </row>
    <row r="71" spans="11:12" x14ac:dyDescent="0.4">
      <c r="K71" s="40">
        <v>69</v>
      </c>
      <c r="L71" s="103">
        <v>3.0198066269804258E-14</v>
      </c>
    </row>
    <row r="72" spans="11:12" x14ac:dyDescent="0.4">
      <c r="K72" s="40">
        <v>70</v>
      </c>
      <c r="L72" s="103">
        <v>-6.4999999999999698</v>
      </c>
    </row>
    <row r="73" spans="11:12" x14ac:dyDescent="0.4">
      <c r="K73" s="40">
        <v>71</v>
      </c>
      <c r="L73" s="103">
        <v>-50.999999999999972</v>
      </c>
    </row>
    <row r="74" spans="11:12" x14ac:dyDescent="0.4">
      <c r="K74" s="40">
        <v>72</v>
      </c>
      <c r="L74" s="103">
        <v>2.8421709430404007E-14</v>
      </c>
    </row>
    <row r="75" spans="11:12" x14ac:dyDescent="0.4">
      <c r="K75" s="40">
        <v>73</v>
      </c>
      <c r="L75" s="103">
        <v>-33.699999999999974</v>
      </c>
    </row>
    <row r="76" spans="11:12" x14ac:dyDescent="0.4">
      <c r="K76" s="40">
        <v>74</v>
      </c>
      <c r="L76" s="103">
        <v>-17.199999999999974</v>
      </c>
    </row>
    <row r="77" spans="11:12" x14ac:dyDescent="0.4">
      <c r="K77" s="40">
        <v>75</v>
      </c>
      <c r="L77" s="103">
        <v>2.4868995751603507E-14</v>
      </c>
    </row>
    <row r="78" spans="11:12" x14ac:dyDescent="0.4">
      <c r="K78" s="40">
        <v>76</v>
      </c>
      <c r="L78" s="103">
        <v>23.900000000000023</v>
      </c>
    </row>
    <row r="79" spans="11:12" x14ac:dyDescent="0.4">
      <c r="K79" s="40">
        <v>77</v>
      </c>
      <c r="L79" s="103">
        <v>15.500000000000023</v>
      </c>
    </row>
    <row r="80" spans="11:12" x14ac:dyDescent="0.4">
      <c r="K80" s="40">
        <v>78</v>
      </c>
      <c r="L80" s="103">
        <v>2.3092638912203256E-14</v>
      </c>
    </row>
    <row r="81" spans="11:12" x14ac:dyDescent="0.4">
      <c r="K81" s="40">
        <v>79</v>
      </c>
      <c r="L81" s="103">
        <v>-36.999999999999979</v>
      </c>
    </row>
    <row r="82" spans="11:12" x14ac:dyDescent="0.4">
      <c r="K82" s="40">
        <v>80</v>
      </c>
      <c r="L82" s="103">
        <v>24.500000000000021</v>
      </c>
    </row>
    <row r="83" spans="11:12" x14ac:dyDescent="0.4">
      <c r="K83" s="40">
        <v>81</v>
      </c>
      <c r="L83" s="103">
        <v>2.1316282072803006E-14</v>
      </c>
    </row>
    <row r="84" spans="11:12" x14ac:dyDescent="0.4">
      <c r="K84" s="40">
        <v>82</v>
      </c>
      <c r="L84" s="103">
        <v>58.000000000000021</v>
      </c>
    </row>
    <row r="85" spans="11:12" x14ac:dyDescent="0.4">
      <c r="K85" s="40">
        <v>83</v>
      </c>
      <c r="L85" s="103">
        <v>41.500000000000021</v>
      </c>
    </row>
    <row r="86" spans="11:12" x14ac:dyDescent="0.4">
      <c r="K86" s="40">
        <v>84</v>
      </c>
      <c r="L86" s="103">
        <v>2.1316282072803006E-14</v>
      </c>
    </row>
    <row r="87" spans="11:12" x14ac:dyDescent="0.4">
      <c r="K87" s="40">
        <v>85</v>
      </c>
      <c r="L87" s="103">
        <v>-8.399999999999979</v>
      </c>
    </row>
    <row r="88" spans="11:12" x14ac:dyDescent="0.4">
      <c r="K88" s="40">
        <v>86</v>
      </c>
      <c r="L88" s="103">
        <v>19.300000000000018</v>
      </c>
    </row>
    <row r="89" spans="11:12" x14ac:dyDescent="0.4">
      <c r="K89" s="40">
        <v>87</v>
      </c>
      <c r="L89" s="103">
        <v>1.7763568394002505E-14</v>
      </c>
    </row>
    <row r="90" spans="11:12" x14ac:dyDescent="0.4">
      <c r="K90" s="40">
        <v>88</v>
      </c>
      <c r="L90" s="103">
        <v>53.300000000000011</v>
      </c>
    </row>
    <row r="91" spans="11:12" x14ac:dyDescent="0.4">
      <c r="K91" s="40">
        <v>89</v>
      </c>
      <c r="L91" s="103">
        <v>14.400000000000013</v>
      </c>
    </row>
    <row r="92" spans="11:12" x14ac:dyDescent="0.4">
      <c r="K92" s="40">
        <v>90</v>
      </c>
      <c r="L92" s="103">
        <v>1.2434497875801753E-14</v>
      </c>
    </row>
    <row r="93" spans="11:12" x14ac:dyDescent="0.4">
      <c r="K93" s="40">
        <v>91</v>
      </c>
      <c r="L93" s="103">
        <v>-13.999999999999988</v>
      </c>
    </row>
    <row r="94" spans="11:12" x14ac:dyDescent="0.4">
      <c r="K94" s="40">
        <v>92</v>
      </c>
      <c r="L94" s="103">
        <v>-51.999999999999986</v>
      </c>
    </row>
    <row r="95" spans="11:12" x14ac:dyDescent="0.4">
      <c r="K95" s="40">
        <v>93</v>
      </c>
      <c r="L95" s="103">
        <v>1.4210854715202004E-14</v>
      </c>
    </row>
    <row r="96" spans="11:12" x14ac:dyDescent="0.4">
      <c r="K96" s="40">
        <v>94</v>
      </c>
      <c r="L96" s="103">
        <v>60.700000000000017</v>
      </c>
    </row>
    <row r="97" spans="11:12" x14ac:dyDescent="0.4">
      <c r="K97" s="40">
        <v>95</v>
      </c>
      <c r="L97" s="103">
        <v>40.40000000000002</v>
      </c>
    </row>
    <row r="98" spans="11:12" x14ac:dyDescent="0.4">
      <c r="K98" s="40">
        <v>96</v>
      </c>
      <c r="L98" s="103">
        <v>2.1316282072803006E-14</v>
      </c>
    </row>
    <row r="99" spans="11:12" x14ac:dyDescent="0.4">
      <c r="K99" s="40">
        <v>97</v>
      </c>
      <c r="L99" s="103">
        <v>50.000000000000021</v>
      </c>
    </row>
    <row r="100" spans="11:12" x14ac:dyDescent="0.4">
      <c r="K100" s="40">
        <v>98</v>
      </c>
      <c r="L100" s="103">
        <v>41.500000000000021</v>
      </c>
    </row>
    <row r="101" spans="11:12" x14ac:dyDescent="0.4">
      <c r="K101" s="40">
        <v>99</v>
      </c>
      <c r="L101" s="103">
        <v>2.1316282072803006E-14</v>
      </c>
    </row>
    <row r="102" spans="11:12" x14ac:dyDescent="0.4">
      <c r="K102" s="40">
        <v>100</v>
      </c>
      <c r="L102" s="103">
        <v>-13.999999999999979</v>
      </c>
    </row>
    <row r="103" spans="11:12" x14ac:dyDescent="0.4">
      <c r="K103" s="40">
        <v>101</v>
      </c>
      <c r="L103" s="103">
        <v>-52.499999999999979</v>
      </c>
    </row>
    <row r="104" spans="11:12" x14ac:dyDescent="0.4">
      <c r="K104" s="40">
        <v>102</v>
      </c>
      <c r="L104" s="103">
        <v>2.1316282072803006E-14</v>
      </c>
    </row>
    <row r="105" spans="11:12" x14ac:dyDescent="0.4">
      <c r="K105" s="40">
        <v>103</v>
      </c>
      <c r="L105" s="103">
        <v>-3.3999999999999786</v>
      </c>
    </row>
    <row r="106" spans="11:12" x14ac:dyDescent="0.4">
      <c r="K106" s="40">
        <v>104</v>
      </c>
      <c r="L106" s="103">
        <v>-14.999999999999979</v>
      </c>
    </row>
    <row r="107" spans="11:12" x14ac:dyDescent="0.4">
      <c r="K107" s="40">
        <v>105</v>
      </c>
      <c r="L107" s="103">
        <v>2.1316282072803006E-14</v>
      </c>
    </row>
    <row r="108" spans="11:12" x14ac:dyDescent="0.4">
      <c r="K108" s="40">
        <v>106</v>
      </c>
      <c r="L108" s="103">
        <v>-17.09999999999998</v>
      </c>
    </row>
    <row r="109" spans="11:12" x14ac:dyDescent="0.4">
      <c r="K109" s="40">
        <v>107</v>
      </c>
      <c r="L109" s="103">
        <v>-16.799999999999979</v>
      </c>
    </row>
    <row r="110" spans="11:12" x14ac:dyDescent="0.4">
      <c r="K110" s="40">
        <v>108</v>
      </c>
      <c r="L110" s="103">
        <v>2.1316282072803006E-14</v>
      </c>
    </row>
    <row r="111" spans="11:12" x14ac:dyDescent="0.4">
      <c r="K111" s="40">
        <v>109</v>
      </c>
      <c r="L111" s="103">
        <v>21.100000000000023</v>
      </c>
    </row>
    <row r="112" spans="11:12" x14ac:dyDescent="0.4">
      <c r="K112" s="40">
        <v>110</v>
      </c>
      <c r="L112" s="103">
        <v>35.800000000000026</v>
      </c>
    </row>
    <row r="113" spans="11:12" x14ac:dyDescent="0.4">
      <c r="K113" s="40">
        <v>111</v>
      </c>
      <c r="L113" s="103">
        <v>2.8421709430404007E-14</v>
      </c>
    </row>
    <row r="114" spans="11:12" x14ac:dyDescent="0.4">
      <c r="K114" s="40">
        <v>112</v>
      </c>
      <c r="L114" s="103">
        <v>-50.599999999999973</v>
      </c>
    </row>
    <row r="115" spans="11:12" x14ac:dyDescent="0.4">
      <c r="K115" s="40">
        <v>113</v>
      </c>
      <c r="L115" s="103">
        <v>-2.599999999999973</v>
      </c>
    </row>
    <row r="116" spans="11:12" x14ac:dyDescent="0.4">
      <c r="K116" s="40">
        <v>114</v>
      </c>
      <c r="L116" s="103">
        <v>2.708944180085382E-14</v>
      </c>
    </row>
    <row r="117" spans="11:12" x14ac:dyDescent="0.4">
      <c r="K117" s="40">
        <v>115</v>
      </c>
      <c r="L117" s="103">
        <v>-8.1999999999999726</v>
      </c>
    </row>
    <row r="118" spans="11:12" x14ac:dyDescent="0.4">
      <c r="K118" s="40">
        <v>116</v>
      </c>
      <c r="L118" s="103">
        <v>-49.999999999999972</v>
      </c>
    </row>
    <row r="119" spans="11:12" x14ac:dyDescent="0.4">
      <c r="K119" s="40">
        <v>117</v>
      </c>
      <c r="L119" s="103">
        <v>2.8421709430404007E-14</v>
      </c>
    </row>
    <row r="120" spans="11:12" x14ac:dyDescent="0.4">
      <c r="K120" s="40">
        <v>118</v>
      </c>
      <c r="L120" s="103">
        <v>-6.9999999999999716</v>
      </c>
    </row>
    <row r="121" spans="11:12" x14ac:dyDescent="0.4">
      <c r="K121" s="40">
        <v>119</v>
      </c>
      <c r="L121" s="103">
        <v>-12.499999999999972</v>
      </c>
    </row>
    <row r="122" spans="11:12" x14ac:dyDescent="0.4">
      <c r="K122" s="40">
        <v>120</v>
      </c>
      <c r="L122" s="103">
        <v>2.8421709430404007E-14</v>
      </c>
    </row>
    <row r="123" spans="11:12" x14ac:dyDescent="0.4">
      <c r="K123" s="40">
        <v>121</v>
      </c>
      <c r="L123" s="103">
        <v>-36.39999999999997</v>
      </c>
    </row>
    <row r="124" spans="11:12" x14ac:dyDescent="0.4">
      <c r="K124" s="40">
        <v>122</v>
      </c>
      <c r="L124" s="103">
        <v>-11.499999999999972</v>
      </c>
    </row>
    <row r="125" spans="11:12" x14ac:dyDescent="0.4">
      <c r="K125" s="40">
        <v>123</v>
      </c>
      <c r="L125" s="103">
        <v>2.8421709430404007E-14</v>
      </c>
    </row>
    <row r="126" spans="11:12" x14ac:dyDescent="0.4">
      <c r="K126" s="40">
        <v>124</v>
      </c>
      <c r="L126" s="103">
        <v>-8.4999999999999716</v>
      </c>
    </row>
    <row r="127" spans="11:12" x14ac:dyDescent="0.4">
      <c r="K127" s="40">
        <v>125</v>
      </c>
      <c r="L127" s="103">
        <v>-5.4999999999999716</v>
      </c>
    </row>
    <row r="128" spans="11:12" x14ac:dyDescent="0.4">
      <c r="K128" s="40">
        <v>126</v>
      </c>
      <c r="L128" s="103">
        <v>2.8421709430404007E-14</v>
      </c>
    </row>
    <row r="129" spans="11:12" x14ac:dyDescent="0.4">
      <c r="K129" s="40">
        <v>127</v>
      </c>
      <c r="L129" s="103">
        <v>8.4000000000000288</v>
      </c>
    </row>
    <row r="130" spans="11:12" x14ac:dyDescent="0.4">
      <c r="K130" s="40">
        <v>128</v>
      </c>
      <c r="L130" s="103">
        <v>23.900000000000027</v>
      </c>
    </row>
    <row r="131" spans="11:12" x14ac:dyDescent="0.4">
      <c r="K131" s="40">
        <v>129</v>
      </c>
      <c r="L131" s="103">
        <v>2.8421709430404007E-14</v>
      </c>
    </row>
    <row r="132" spans="11:12" x14ac:dyDescent="0.4">
      <c r="K132" s="40">
        <v>130</v>
      </c>
      <c r="L132" s="103">
        <v>-10.399999999999972</v>
      </c>
    </row>
    <row r="133" spans="11:12" x14ac:dyDescent="0.4">
      <c r="K133" s="40">
        <v>131</v>
      </c>
      <c r="L133" s="103">
        <v>0.70000000000002771</v>
      </c>
    </row>
    <row r="134" spans="11:12" x14ac:dyDescent="0.4">
      <c r="K134" s="40">
        <v>132</v>
      </c>
      <c r="L134" s="103">
        <v>2.7755575615628914E-14</v>
      </c>
    </row>
    <row r="135" spans="11:12" x14ac:dyDescent="0.4">
      <c r="K135" s="40">
        <v>133</v>
      </c>
      <c r="L135" s="103">
        <v>27.900000000000027</v>
      </c>
    </row>
    <row r="136" spans="11:12" x14ac:dyDescent="0.4">
      <c r="K136" s="40">
        <v>134</v>
      </c>
      <c r="L136" s="103">
        <v>-7.9999999999999716</v>
      </c>
    </row>
    <row r="137" spans="11:12" x14ac:dyDescent="0.4">
      <c r="K137" s="40">
        <v>135</v>
      </c>
      <c r="L137" s="103">
        <v>2.8421709430404007E-14</v>
      </c>
    </row>
    <row r="138" spans="11:12" x14ac:dyDescent="0.4">
      <c r="K138" s="40">
        <v>136</v>
      </c>
      <c r="L138" s="103">
        <v>-20.499999999999972</v>
      </c>
    </row>
    <row r="139" spans="11:12" x14ac:dyDescent="0.4">
      <c r="K139" s="40">
        <v>137</v>
      </c>
      <c r="L139" s="103">
        <v>-25.199999999999971</v>
      </c>
    </row>
    <row r="140" spans="11:12" x14ac:dyDescent="0.4">
      <c r="K140" s="40">
        <v>138</v>
      </c>
      <c r="L140" s="103">
        <v>2.8421709430404007E-14</v>
      </c>
    </row>
    <row r="141" spans="11:12" x14ac:dyDescent="0.4">
      <c r="K141" s="40">
        <v>139</v>
      </c>
      <c r="L141" s="103">
        <v>-31.099999999999973</v>
      </c>
    </row>
    <row r="142" spans="11:12" x14ac:dyDescent="0.4">
      <c r="K142" s="40">
        <v>140</v>
      </c>
      <c r="L142" s="103">
        <v>-62.299999999999969</v>
      </c>
    </row>
    <row r="143" spans="11:12" x14ac:dyDescent="0.4">
      <c r="K143" s="40">
        <v>141</v>
      </c>
      <c r="L143" s="103">
        <v>2.8421709430404007E-14</v>
      </c>
    </row>
    <row r="144" spans="11:12" x14ac:dyDescent="0.4">
      <c r="K144" s="40">
        <v>142</v>
      </c>
      <c r="L144" s="103">
        <v>16.200000000000028</v>
      </c>
    </row>
    <row r="145" spans="11:12" x14ac:dyDescent="0.4">
      <c r="K145" s="40">
        <v>143</v>
      </c>
      <c r="L145" s="103">
        <v>-8.599999999999973</v>
      </c>
    </row>
    <row r="146" spans="11:12" x14ac:dyDescent="0.4">
      <c r="K146" s="40">
        <v>144</v>
      </c>
      <c r="L146" s="103">
        <v>2.6645352591003757E-14</v>
      </c>
    </row>
    <row r="147" spans="11:12" x14ac:dyDescent="0.4">
      <c r="K147" s="40">
        <v>145</v>
      </c>
      <c r="L147" s="103">
        <v>-4.8999999999999737</v>
      </c>
    </row>
    <row r="148" spans="11:12" x14ac:dyDescent="0.4">
      <c r="K148" s="40">
        <v>146</v>
      </c>
      <c r="L148" s="103">
        <v>-16.799999999999976</v>
      </c>
    </row>
    <row r="149" spans="11:12" x14ac:dyDescent="0.4">
      <c r="K149" s="40">
        <v>147</v>
      </c>
      <c r="L149" s="103">
        <v>-1.9999999999999751</v>
      </c>
    </row>
    <row r="150" spans="11:12" x14ac:dyDescent="0.4">
      <c r="K150" s="40">
        <v>148</v>
      </c>
      <c r="L150" s="103">
        <v>10.800000000000026</v>
      </c>
    </row>
    <row r="151" spans="11:12" x14ac:dyDescent="0.4">
      <c r="K151" s="40">
        <v>149</v>
      </c>
      <c r="L151" s="103">
        <v>14.700000000000026</v>
      </c>
    </row>
    <row r="152" spans="11:12" x14ac:dyDescent="0.4">
      <c r="K152" s="40">
        <v>150</v>
      </c>
      <c r="L152" s="103">
        <v>-1.9999999999999734</v>
      </c>
    </row>
    <row r="153" spans="11:12" x14ac:dyDescent="0.4">
      <c r="K153" s="40">
        <v>151</v>
      </c>
      <c r="L153" s="103">
        <v>-1.2999999999999734</v>
      </c>
    </row>
    <row r="154" spans="11:12" x14ac:dyDescent="0.4">
      <c r="K154" s="40">
        <v>152</v>
      </c>
      <c r="L154" s="103">
        <v>41.900000000000027</v>
      </c>
    </row>
    <row r="155" spans="11:12" x14ac:dyDescent="0.4">
      <c r="K155" s="40">
        <v>153</v>
      </c>
      <c r="L155" s="103">
        <v>-1.9999999999999716</v>
      </c>
    </row>
    <row r="156" spans="11:12" x14ac:dyDescent="0.4">
      <c r="K156" s="40">
        <v>154</v>
      </c>
      <c r="L156" s="103">
        <v>-8.6999999999999709</v>
      </c>
    </row>
    <row r="157" spans="11:12" x14ac:dyDescent="0.4">
      <c r="K157" s="40">
        <v>155</v>
      </c>
      <c r="L157" s="103">
        <v>-11.499999999999972</v>
      </c>
    </row>
    <row r="158" spans="11:12" x14ac:dyDescent="0.4">
      <c r="K158" s="40">
        <v>156</v>
      </c>
      <c r="L158" s="103">
        <v>-1.9999999999999716</v>
      </c>
    </row>
    <row r="159" spans="11:12" x14ac:dyDescent="0.4">
      <c r="K159" s="40">
        <v>157</v>
      </c>
      <c r="L159" s="103">
        <v>-29.999999999999972</v>
      </c>
    </row>
    <row r="160" spans="11:12" x14ac:dyDescent="0.4">
      <c r="K160" s="40">
        <v>158</v>
      </c>
      <c r="L160" s="103">
        <v>-84.999999999999972</v>
      </c>
    </row>
    <row r="161" spans="11:12" x14ac:dyDescent="0.4">
      <c r="K161" s="40">
        <v>159</v>
      </c>
      <c r="L161" s="103">
        <v>-1.9999999999999716</v>
      </c>
    </row>
    <row r="162" spans="11:12" x14ac:dyDescent="0.4">
      <c r="K162" s="40">
        <v>160</v>
      </c>
      <c r="L162" s="103">
        <v>14.700000000000028</v>
      </c>
    </row>
    <row r="163" spans="11:12" x14ac:dyDescent="0.4">
      <c r="K163" s="40">
        <v>161</v>
      </c>
      <c r="L163" s="103">
        <v>-22.999999999999975</v>
      </c>
    </row>
    <row r="164" spans="11:12" x14ac:dyDescent="0.4">
      <c r="K164" s="40">
        <v>162</v>
      </c>
      <c r="L164" s="103">
        <v>-1.9999999999999751</v>
      </c>
    </row>
    <row r="165" spans="11:12" x14ac:dyDescent="0.4">
      <c r="K165" s="40">
        <v>163</v>
      </c>
      <c r="L165" s="103">
        <v>-8.9999999999999751</v>
      </c>
    </row>
    <row r="166" spans="11:12" x14ac:dyDescent="0.4">
      <c r="K166" s="40">
        <v>164</v>
      </c>
      <c r="L166" s="103">
        <v>-14.899999999999975</v>
      </c>
    </row>
    <row r="167" spans="11:12" x14ac:dyDescent="0.4">
      <c r="K167" s="40">
        <v>165</v>
      </c>
      <c r="L167" s="103">
        <v>-2.9999999999999751</v>
      </c>
    </row>
    <row r="168" spans="11:12" x14ac:dyDescent="0.4">
      <c r="K168" s="40">
        <v>166</v>
      </c>
      <c r="L168" s="103">
        <v>28.600000000000026</v>
      </c>
    </row>
    <row r="169" spans="11:12" x14ac:dyDescent="0.4">
      <c r="K169" s="40">
        <v>167</v>
      </c>
      <c r="L169" s="103">
        <v>34.800000000000026</v>
      </c>
    </row>
    <row r="170" spans="11:12" x14ac:dyDescent="0.4">
      <c r="K170" s="40">
        <v>168</v>
      </c>
      <c r="L170" s="103">
        <v>-2.9999999999999716</v>
      </c>
    </row>
    <row r="171" spans="11:12" x14ac:dyDescent="0.4">
      <c r="K171" s="40">
        <v>169</v>
      </c>
      <c r="L171" s="103">
        <v>12.800000000000029</v>
      </c>
    </row>
    <row r="172" spans="11:12" x14ac:dyDescent="0.4">
      <c r="K172" s="40">
        <v>170</v>
      </c>
      <c r="L172" s="103">
        <v>-33.299999999999969</v>
      </c>
    </row>
    <row r="173" spans="11:12" x14ac:dyDescent="0.4">
      <c r="K173" s="40">
        <v>171</v>
      </c>
      <c r="L173" s="103">
        <v>-2.999999999999968</v>
      </c>
    </row>
    <row r="174" spans="11:12" x14ac:dyDescent="0.4">
      <c r="K174" s="40">
        <v>172</v>
      </c>
      <c r="L174" s="103">
        <v>54.000000000000028</v>
      </c>
    </row>
    <row r="175" spans="11:12" x14ac:dyDescent="0.4">
      <c r="K175" s="40">
        <v>173</v>
      </c>
      <c r="L175" s="103">
        <v>3.5000000000000284</v>
      </c>
    </row>
    <row r="176" spans="11:12" x14ac:dyDescent="0.4">
      <c r="K176" s="40">
        <v>174</v>
      </c>
      <c r="L176" s="103">
        <v>-2.9999999999999716</v>
      </c>
    </row>
    <row r="177" spans="11:12" x14ac:dyDescent="0.4">
      <c r="K177" s="40">
        <v>175</v>
      </c>
      <c r="L177" s="103">
        <v>2.3000000000000282</v>
      </c>
    </row>
    <row r="178" spans="11:12" x14ac:dyDescent="0.4">
      <c r="K178" s="40">
        <v>176</v>
      </c>
      <c r="L178" s="103">
        <v>8.6000000000000281</v>
      </c>
    </row>
    <row r="179" spans="11:12" x14ac:dyDescent="0.4">
      <c r="K179" s="40">
        <v>177</v>
      </c>
      <c r="L179" s="103">
        <v>-2.9999999999999716</v>
      </c>
    </row>
    <row r="180" spans="11:12" x14ac:dyDescent="0.4">
      <c r="K180" s="40">
        <v>178</v>
      </c>
      <c r="L180" s="103">
        <v>-39.199999999999974</v>
      </c>
    </row>
    <row r="181" spans="11:12" x14ac:dyDescent="0.4">
      <c r="K181" s="40">
        <v>179</v>
      </c>
      <c r="L181" s="103">
        <v>-20.499999999999975</v>
      </c>
    </row>
    <row r="182" spans="11:12" x14ac:dyDescent="0.4">
      <c r="K182" s="40">
        <v>180</v>
      </c>
      <c r="L182" s="103">
        <v>-2.9999999999999751</v>
      </c>
    </row>
    <row r="183" spans="11:12" x14ac:dyDescent="0.4">
      <c r="K183" s="40">
        <v>181</v>
      </c>
      <c r="L183" s="103">
        <v>-49.09999999999998</v>
      </c>
    </row>
    <row r="184" spans="11:12" x14ac:dyDescent="0.4">
      <c r="K184" s="40">
        <v>182</v>
      </c>
      <c r="L184" s="103">
        <v>-43.999999999999979</v>
      </c>
    </row>
    <row r="185" spans="11:12" x14ac:dyDescent="0.4">
      <c r="K185" s="40">
        <v>183</v>
      </c>
      <c r="L185" s="103">
        <v>-2.9999999999999787</v>
      </c>
    </row>
    <row r="186" spans="11:12" x14ac:dyDescent="0.4">
      <c r="K186" s="40">
        <v>184</v>
      </c>
      <c r="L186" s="103">
        <v>32.000000000000021</v>
      </c>
    </row>
    <row r="187" spans="11:12" x14ac:dyDescent="0.4">
      <c r="K187" s="40">
        <v>185</v>
      </c>
      <c r="L187" s="103">
        <v>7.5000000000000213</v>
      </c>
    </row>
    <row r="188" spans="11:12" x14ac:dyDescent="0.4">
      <c r="K188" s="40">
        <v>186</v>
      </c>
      <c r="L188" s="103">
        <v>-2.9999999999999787</v>
      </c>
    </row>
    <row r="189" spans="11:12" x14ac:dyDescent="0.4">
      <c r="K189" s="40">
        <v>187</v>
      </c>
      <c r="L189" s="103">
        <v>18.100000000000023</v>
      </c>
    </row>
    <row r="190" spans="11:12" x14ac:dyDescent="0.4">
      <c r="K190" s="40">
        <v>188</v>
      </c>
      <c r="L190" s="103">
        <v>4.2000000000000224</v>
      </c>
    </row>
    <row r="191" spans="11:12" x14ac:dyDescent="0.4">
      <c r="K191" s="40">
        <v>189</v>
      </c>
      <c r="L191" s="103">
        <v>-2.9999999999999778</v>
      </c>
    </row>
    <row r="192" spans="11:12" x14ac:dyDescent="0.4">
      <c r="K192" s="40">
        <v>190</v>
      </c>
      <c r="L192" s="103">
        <v>-68.999999999999972</v>
      </c>
    </row>
    <row r="193" spans="11:12" x14ac:dyDescent="0.4">
      <c r="K193" s="40">
        <v>191</v>
      </c>
      <c r="L193" s="103">
        <v>-77.299999999999969</v>
      </c>
    </row>
    <row r="194" spans="11:12" x14ac:dyDescent="0.4">
      <c r="K194" s="40">
        <v>192</v>
      </c>
      <c r="L194" s="103">
        <v>-2.9999999999999716</v>
      </c>
    </row>
    <row r="195" spans="11:12" x14ac:dyDescent="0.4">
      <c r="K195" s="40">
        <v>193</v>
      </c>
      <c r="L195" s="103">
        <v>-7.9999999999999716</v>
      </c>
    </row>
    <row r="196" spans="11:12" x14ac:dyDescent="0.4">
      <c r="K196" s="40">
        <v>194</v>
      </c>
      <c r="L196" s="103">
        <v>-52.999999999999972</v>
      </c>
    </row>
    <row r="197" spans="11:12" x14ac:dyDescent="0.4">
      <c r="K197" s="40">
        <v>195</v>
      </c>
      <c r="L197" s="103">
        <v>-2.9999999999999716</v>
      </c>
    </row>
    <row r="198" spans="11:12" x14ac:dyDescent="0.4">
      <c r="K198" s="40">
        <v>196</v>
      </c>
      <c r="L198" s="103">
        <v>-1.9999999999999716</v>
      </c>
    </row>
    <row r="199" spans="11:12" x14ac:dyDescent="0.4">
      <c r="K199" s="40">
        <v>197</v>
      </c>
      <c r="L199" s="103">
        <v>-37.999999999999972</v>
      </c>
    </row>
    <row r="200" spans="11:12" x14ac:dyDescent="0.4">
      <c r="K200" s="40">
        <v>198</v>
      </c>
      <c r="L200" s="103">
        <v>-2.9999999999999716</v>
      </c>
    </row>
    <row r="201" spans="11:12" x14ac:dyDescent="0.4">
      <c r="K201" s="40">
        <v>199</v>
      </c>
      <c r="L201" s="103">
        <v>28.60000000000003</v>
      </c>
    </row>
    <row r="202" spans="11:12" x14ac:dyDescent="0.4">
      <c r="K202" s="40">
        <v>200</v>
      </c>
      <c r="L202" s="103">
        <v>-2.6999999999999709</v>
      </c>
    </row>
    <row r="203" spans="11:12" x14ac:dyDescent="0.4">
      <c r="K203" s="40">
        <v>201</v>
      </c>
      <c r="L203" s="103">
        <v>-2.9999999999999707</v>
      </c>
    </row>
    <row r="204" spans="11:12" x14ac:dyDescent="0.4">
      <c r="K204" s="40">
        <v>202</v>
      </c>
      <c r="L204" s="103">
        <v>-21.999999999999972</v>
      </c>
    </row>
    <row r="205" spans="11:12" x14ac:dyDescent="0.4">
      <c r="K205" s="40">
        <v>203</v>
      </c>
      <c r="L205" s="103">
        <v>42.000000000000028</v>
      </c>
    </row>
    <row r="206" spans="11:12" x14ac:dyDescent="0.4">
      <c r="K206" s="40">
        <v>204</v>
      </c>
      <c r="L206" s="103">
        <v>-2.9999999999999716</v>
      </c>
    </row>
    <row r="207" spans="11:12" x14ac:dyDescent="0.4">
      <c r="K207" s="40">
        <v>205</v>
      </c>
      <c r="L207" s="103">
        <v>-12.899999999999972</v>
      </c>
    </row>
    <row r="208" spans="11:12" x14ac:dyDescent="0.4">
      <c r="K208" s="40">
        <v>206</v>
      </c>
      <c r="L208" s="103">
        <v>-9.7999999999999723</v>
      </c>
    </row>
    <row r="209" spans="11:12" x14ac:dyDescent="0.4">
      <c r="K209" s="40">
        <v>207</v>
      </c>
      <c r="L209" s="103">
        <v>-2.9999999999999725</v>
      </c>
    </row>
    <row r="210" spans="11:12" x14ac:dyDescent="0.4">
      <c r="K210" s="40">
        <v>208</v>
      </c>
      <c r="L210" s="103">
        <v>-2.0999999999999726</v>
      </c>
    </row>
    <row r="211" spans="11:12" x14ac:dyDescent="0.4">
      <c r="K211" s="40">
        <v>209</v>
      </c>
      <c r="L211" s="103">
        <v>-0.8999999999999726</v>
      </c>
    </row>
    <row r="212" spans="11:12" x14ac:dyDescent="0.4">
      <c r="K212" s="40">
        <v>210</v>
      </c>
      <c r="L212" s="103">
        <v>-2.9999999999999725</v>
      </c>
    </row>
    <row r="213" spans="11:12" x14ac:dyDescent="0.4">
      <c r="K213" s="40">
        <v>211</v>
      </c>
      <c r="L213" s="103">
        <v>29.300000000000026</v>
      </c>
    </row>
    <row r="214" spans="11:12" x14ac:dyDescent="0.4">
      <c r="K214" s="40">
        <v>212</v>
      </c>
      <c r="L214" s="103">
        <v>32.100000000000023</v>
      </c>
    </row>
    <row r="215" spans="11:12" x14ac:dyDescent="0.4">
      <c r="K215" s="40">
        <v>213</v>
      </c>
      <c r="L215" s="103">
        <v>-2.9999999999999787</v>
      </c>
    </row>
    <row r="216" spans="11:12" x14ac:dyDescent="0.4">
      <c r="K216" s="40">
        <v>214</v>
      </c>
      <c r="L216" s="103">
        <v>-48.999999999999979</v>
      </c>
    </row>
    <row r="217" spans="11:12" x14ac:dyDescent="0.4">
      <c r="K217" s="40">
        <v>215</v>
      </c>
      <c r="L217" s="103">
        <v>-4.3999999999999773</v>
      </c>
    </row>
    <row r="218" spans="11:12" x14ac:dyDescent="0.4">
      <c r="K218" s="40">
        <v>216</v>
      </c>
      <c r="L218" s="103">
        <v>-2.9999999999999774</v>
      </c>
    </row>
    <row r="219" spans="11:12" x14ac:dyDescent="0.4">
      <c r="K219" s="40">
        <v>217</v>
      </c>
      <c r="L219" s="103">
        <v>25.40000000000002</v>
      </c>
    </row>
    <row r="220" spans="11:12" x14ac:dyDescent="0.4">
      <c r="K220" s="40">
        <v>218</v>
      </c>
      <c r="L220" s="103">
        <v>24.000000000000021</v>
      </c>
    </row>
    <row r="221" spans="11:12" x14ac:dyDescent="0.4">
      <c r="K221" s="40">
        <v>219</v>
      </c>
      <c r="L221" s="103">
        <v>-2.9999999999999787</v>
      </c>
    </row>
    <row r="222" spans="11:12" x14ac:dyDescent="0.4">
      <c r="K222" s="40">
        <v>220</v>
      </c>
      <c r="L222" s="103">
        <v>-10.399999999999979</v>
      </c>
    </row>
    <row r="223" spans="11:12" x14ac:dyDescent="0.4">
      <c r="K223" s="40">
        <v>221</v>
      </c>
      <c r="L223" s="103">
        <v>-50.09999999999998</v>
      </c>
    </row>
    <row r="224" spans="11:12" x14ac:dyDescent="0.4">
      <c r="K224" s="40">
        <v>222</v>
      </c>
      <c r="L224" s="103">
        <v>-2.9999999999999787</v>
      </c>
    </row>
    <row r="225" spans="11:12" x14ac:dyDescent="0.4">
      <c r="K225" s="40">
        <v>223</v>
      </c>
      <c r="L225" s="103">
        <v>15.300000000000022</v>
      </c>
    </row>
    <row r="226" spans="11:12" x14ac:dyDescent="0.4">
      <c r="K226" s="40">
        <v>224</v>
      </c>
      <c r="L226" s="103">
        <v>-17.799999999999979</v>
      </c>
    </row>
    <row r="227" spans="11:12" x14ac:dyDescent="0.4">
      <c r="K227" s="40">
        <v>225</v>
      </c>
      <c r="L227" s="103">
        <v>-2.9999999999999787</v>
      </c>
    </row>
    <row r="228" spans="11:12" x14ac:dyDescent="0.4">
      <c r="K228" s="40">
        <v>226</v>
      </c>
      <c r="L228" s="103">
        <v>-16.899999999999977</v>
      </c>
    </row>
    <row r="229" spans="11:12" x14ac:dyDescent="0.4">
      <c r="K229" s="40">
        <v>227</v>
      </c>
      <c r="L229" s="103">
        <v>-35.09999999999998</v>
      </c>
    </row>
    <row r="230" spans="11:12" x14ac:dyDescent="0.4">
      <c r="K230" s="40">
        <v>228</v>
      </c>
      <c r="L230" s="103">
        <v>-2.9999999999999787</v>
      </c>
    </row>
    <row r="231" spans="11:12" x14ac:dyDescent="0.4">
      <c r="K231" s="40">
        <v>229</v>
      </c>
      <c r="L231" s="103">
        <v>37.000000000000021</v>
      </c>
    </row>
    <row r="232" spans="11:12" x14ac:dyDescent="0.4">
      <c r="K232" s="40">
        <v>230</v>
      </c>
      <c r="L232" s="103">
        <v>-3.3999999999999773</v>
      </c>
    </row>
    <row r="233" spans="11:12" x14ac:dyDescent="0.4">
      <c r="K233" s="40">
        <v>231</v>
      </c>
      <c r="L233" s="103">
        <v>-2.9999999999999774</v>
      </c>
    </row>
    <row r="234" spans="11:12" x14ac:dyDescent="0.4">
      <c r="K234" s="40">
        <v>232</v>
      </c>
      <c r="L234" s="103">
        <v>2.2000000000000228</v>
      </c>
    </row>
    <row r="235" spans="11:12" x14ac:dyDescent="0.4">
      <c r="K235" s="40">
        <v>233</v>
      </c>
      <c r="L235" s="103">
        <v>-8.7999999999999776</v>
      </c>
    </row>
    <row r="236" spans="11:12" x14ac:dyDescent="0.4">
      <c r="K236" s="40">
        <v>234</v>
      </c>
      <c r="L236" s="103">
        <v>-2.9999999999999778</v>
      </c>
    </row>
    <row r="237" spans="11:12" x14ac:dyDescent="0.4">
      <c r="K237" s="40">
        <v>235</v>
      </c>
      <c r="L237" s="103">
        <v>-16.699999999999978</v>
      </c>
    </row>
    <row r="238" spans="11:12" x14ac:dyDescent="0.4">
      <c r="K238" s="40">
        <v>236</v>
      </c>
      <c r="L238" s="103">
        <v>-32.499999999999979</v>
      </c>
    </row>
    <row r="239" spans="11:12" x14ac:dyDescent="0.4">
      <c r="K239" s="40">
        <v>237</v>
      </c>
      <c r="L239" s="103">
        <v>-2.9999999999999787</v>
      </c>
    </row>
    <row r="240" spans="11:12" x14ac:dyDescent="0.4">
      <c r="K240" s="40">
        <v>238</v>
      </c>
      <c r="L240" s="103">
        <v>-25.999999999999979</v>
      </c>
    </row>
    <row r="241" spans="11:12" x14ac:dyDescent="0.4">
      <c r="K241" s="40">
        <v>239</v>
      </c>
      <c r="L241" s="103">
        <v>-47.899999999999977</v>
      </c>
    </row>
    <row r="242" spans="11:12" x14ac:dyDescent="0.4">
      <c r="K242" s="40">
        <v>240</v>
      </c>
      <c r="L242" s="103">
        <v>-2.9999999999999787</v>
      </c>
    </row>
    <row r="243" spans="11:12" x14ac:dyDescent="0.4">
      <c r="K243" s="40">
        <v>241</v>
      </c>
      <c r="L243" s="103">
        <v>2.100000000000021</v>
      </c>
    </row>
    <row r="244" spans="11:12" x14ac:dyDescent="0.4">
      <c r="K244" s="40">
        <v>242</v>
      </c>
      <c r="L244" s="103">
        <v>13.400000000000022</v>
      </c>
    </row>
    <row r="245" spans="11:12" x14ac:dyDescent="0.4">
      <c r="K245" s="40">
        <v>243</v>
      </c>
      <c r="L245" s="103">
        <v>-2.9999999999999769</v>
      </c>
    </row>
    <row r="246" spans="11:12" x14ac:dyDescent="0.4">
      <c r="K246" s="40">
        <v>244</v>
      </c>
      <c r="L246" s="103">
        <v>28.90000000000002</v>
      </c>
    </row>
    <row r="247" spans="11:12" x14ac:dyDescent="0.4">
      <c r="K247" s="40">
        <v>245</v>
      </c>
      <c r="L247" s="103">
        <v>35.000000000000021</v>
      </c>
    </row>
    <row r="248" spans="11:12" x14ac:dyDescent="0.4">
      <c r="K248" s="40">
        <v>246</v>
      </c>
      <c r="L248" s="103">
        <v>-2.9999999999999787</v>
      </c>
    </row>
    <row r="249" spans="11:12" x14ac:dyDescent="0.4">
      <c r="K249" s="40">
        <v>247</v>
      </c>
      <c r="L249" s="103">
        <v>37.000000000000021</v>
      </c>
    </row>
    <row r="250" spans="11:12" x14ac:dyDescent="0.4">
      <c r="K250" s="40">
        <v>248</v>
      </c>
      <c r="L250" s="103">
        <v>-6.9999999999999787</v>
      </c>
    </row>
    <row r="251" spans="11:12" x14ac:dyDescent="0.4">
      <c r="K251" s="40">
        <v>249</v>
      </c>
      <c r="L251" s="103">
        <v>-2.9999999999999787</v>
      </c>
    </row>
    <row r="252" spans="11:12" x14ac:dyDescent="0.4">
      <c r="K252" s="40">
        <v>250</v>
      </c>
      <c r="L252" s="103">
        <v>19.500000000000021</v>
      </c>
    </row>
    <row r="253" spans="11:12" x14ac:dyDescent="0.4">
      <c r="K253" s="40">
        <v>251</v>
      </c>
      <c r="L253" s="103">
        <v>-21.499999999999979</v>
      </c>
    </row>
    <row r="254" spans="11:12" x14ac:dyDescent="0.4">
      <c r="K254" s="40">
        <v>252</v>
      </c>
      <c r="L254" s="103">
        <v>-2.9999999999999787</v>
      </c>
    </row>
    <row r="255" spans="11:12" x14ac:dyDescent="0.4">
      <c r="K255" s="40">
        <v>253</v>
      </c>
      <c r="L255" s="103">
        <v>28.500000000000021</v>
      </c>
    </row>
    <row r="256" spans="11:12" x14ac:dyDescent="0.4">
      <c r="K256" s="40">
        <v>254</v>
      </c>
      <c r="L256" s="103">
        <v>17.700000000000021</v>
      </c>
    </row>
    <row r="257" spans="11:12" x14ac:dyDescent="0.4">
      <c r="K257" s="40">
        <v>255</v>
      </c>
      <c r="L257" s="103">
        <v>-2.9999999999999787</v>
      </c>
    </row>
    <row r="258" spans="11:12" x14ac:dyDescent="0.4">
      <c r="K258" s="40">
        <v>256</v>
      </c>
      <c r="L258" s="103">
        <v>56.800000000000018</v>
      </c>
    </row>
    <row r="259" spans="11:12" x14ac:dyDescent="0.4">
      <c r="K259" s="40">
        <v>257</v>
      </c>
      <c r="L259" s="103">
        <v>21.300000000000018</v>
      </c>
    </row>
    <row r="260" spans="11:12" x14ac:dyDescent="0.4">
      <c r="K260" s="40">
        <v>258</v>
      </c>
      <c r="L260" s="103">
        <v>-2.9999999999999822</v>
      </c>
    </row>
    <row r="261" spans="11:12" x14ac:dyDescent="0.4">
      <c r="K261" s="40">
        <v>259</v>
      </c>
      <c r="L261" s="103">
        <v>8.1000000000000174</v>
      </c>
    </row>
    <row r="262" spans="11:12" x14ac:dyDescent="0.4">
      <c r="K262" s="40">
        <v>260</v>
      </c>
      <c r="L262" s="103">
        <v>-18.999999999999986</v>
      </c>
    </row>
    <row r="263" spans="11:12" x14ac:dyDescent="0.4">
      <c r="K263" s="40">
        <v>261</v>
      </c>
      <c r="L263" s="103">
        <v>-2.9999999999999858</v>
      </c>
    </row>
    <row r="264" spans="11:12" x14ac:dyDescent="0.4">
      <c r="K264" s="40">
        <v>262</v>
      </c>
      <c r="L264" s="103">
        <v>-1.3999999999999857</v>
      </c>
    </row>
    <row r="265" spans="11:12" x14ac:dyDescent="0.4">
      <c r="K265" s="40">
        <v>263</v>
      </c>
      <c r="L265" s="103">
        <v>21.200000000000017</v>
      </c>
    </row>
    <row r="266" spans="11:12" x14ac:dyDescent="0.4">
      <c r="K266" s="40">
        <v>264</v>
      </c>
      <c r="L266" s="103">
        <v>-2.9999999999999822</v>
      </c>
    </row>
    <row r="267" spans="11:12" x14ac:dyDescent="0.4">
      <c r="K267" s="40">
        <v>265</v>
      </c>
      <c r="L267" s="103">
        <v>-24.399999999999981</v>
      </c>
    </row>
    <row r="268" spans="11:12" x14ac:dyDescent="0.4">
      <c r="K268" s="40">
        <v>266</v>
      </c>
      <c r="L268" s="103">
        <v>-8.7999999999999812</v>
      </c>
    </row>
    <row r="269" spans="11:12" x14ac:dyDescent="0.4">
      <c r="K269" s="40">
        <v>267</v>
      </c>
      <c r="L269" s="103">
        <v>-2.9999999999999813</v>
      </c>
    </row>
    <row r="270" spans="11:12" x14ac:dyDescent="0.4">
      <c r="K270" s="40">
        <v>268</v>
      </c>
      <c r="L270" s="103">
        <v>0.50000000000001865</v>
      </c>
    </row>
    <row r="271" spans="11:12" x14ac:dyDescent="0.4">
      <c r="K271" s="40">
        <v>269</v>
      </c>
      <c r="L271" s="103">
        <v>1.1000000000000187</v>
      </c>
    </row>
    <row r="272" spans="11:12" x14ac:dyDescent="0.4">
      <c r="K272" s="40">
        <v>270</v>
      </c>
      <c r="L272" s="103">
        <v>-2.9999999999999809</v>
      </c>
    </row>
    <row r="273" spans="11:12" x14ac:dyDescent="0.4">
      <c r="K273" s="40">
        <v>271</v>
      </c>
      <c r="L273" s="103">
        <v>-46.399999999999977</v>
      </c>
    </row>
    <row r="274" spans="11:12" x14ac:dyDescent="0.4">
      <c r="K274" s="40">
        <v>272</v>
      </c>
      <c r="L274" s="103">
        <v>-6.1999999999999744</v>
      </c>
    </row>
    <row r="275" spans="11:12" x14ac:dyDescent="0.4">
      <c r="K275" s="40">
        <v>273</v>
      </c>
      <c r="L275" s="103">
        <v>-2.9999999999999742</v>
      </c>
    </row>
    <row r="276" spans="11:12" x14ac:dyDescent="0.4">
      <c r="K276" s="40">
        <v>274</v>
      </c>
      <c r="L276" s="103">
        <v>-48.499999999999972</v>
      </c>
    </row>
    <row r="277" spans="11:12" x14ac:dyDescent="0.4">
      <c r="K277" s="40">
        <v>275</v>
      </c>
      <c r="L277" s="103">
        <v>-30.999999999999972</v>
      </c>
    </row>
    <row r="278" spans="11:12" x14ac:dyDescent="0.4">
      <c r="K278" s="40">
        <v>276</v>
      </c>
      <c r="L278" s="103">
        <v>-2.9999999999999716</v>
      </c>
    </row>
    <row r="279" spans="11:12" x14ac:dyDescent="0.4">
      <c r="K279" s="40">
        <v>277</v>
      </c>
      <c r="L279" s="103">
        <v>-3.5999999999999717</v>
      </c>
    </row>
    <row r="280" spans="11:12" x14ac:dyDescent="0.4">
      <c r="K280" s="40">
        <v>278</v>
      </c>
      <c r="L280" s="103">
        <v>-42.099999999999973</v>
      </c>
    </row>
    <row r="281" spans="11:12" x14ac:dyDescent="0.4">
      <c r="K281" s="40">
        <v>279</v>
      </c>
      <c r="L281" s="103">
        <v>-2.9999999999999716</v>
      </c>
    </row>
    <row r="282" spans="11:12" x14ac:dyDescent="0.4">
      <c r="K282" s="40">
        <v>280</v>
      </c>
      <c r="L282" s="103">
        <v>23.400000000000027</v>
      </c>
    </row>
    <row r="283" spans="11:12" x14ac:dyDescent="0.4">
      <c r="K283" s="40">
        <v>281</v>
      </c>
      <c r="L283" s="103">
        <v>-4.9999999999999716</v>
      </c>
    </row>
    <row r="284" spans="11:12" x14ac:dyDescent="0.4">
      <c r="K284" s="40">
        <v>282</v>
      </c>
      <c r="L284" s="103">
        <v>-2.9999999999999716</v>
      </c>
    </row>
    <row r="285" spans="11:12" x14ac:dyDescent="0.4">
      <c r="K285" s="40">
        <v>283</v>
      </c>
      <c r="L285" s="103">
        <v>6.7000000000000277</v>
      </c>
    </row>
    <row r="286" spans="11:12" x14ac:dyDescent="0.4">
      <c r="K286" s="40">
        <v>284</v>
      </c>
      <c r="L286" s="103">
        <v>-35.699999999999974</v>
      </c>
    </row>
    <row r="287" spans="11:12" x14ac:dyDescent="0.4">
      <c r="K287" s="40">
        <v>285</v>
      </c>
      <c r="L287" s="103">
        <v>-2.9999999999999716</v>
      </c>
    </row>
    <row r="288" spans="11:12" x14ac:dyDescent="0.4">
      <c r="K288" s="40">
        <v>286</v>
      </c>
      <c r="L288" s="103">
        <v>18.10000000000003</v>
      </c>
    </row>
    <row r="289" spans="11:12" x14ac:dyDescent="0.4">
      <c r="K289" s="40">
        <v>287</v>
      </c>
      <c r="L289" s="103">
        <v>-17.599999999999973</v>
      </c>
    </row>
    <row r="290" spans="11:12" x14ac:dyDescent="0.4">
      <c r="K290" s="40">
        <v>288</v>
      </c>
      <c r="L290" s="103">
        <v>-2.9999999999999734</v>
      </c>
    </row>
    <row r="291" spans="11:12" x14ac:dyDescent="0.4">
      <c r="K291" s="40">
        <v>289</v>
      </c>
      <c r="L291" s="103">
        <v>-51.699999999999974</v>
      </c>
    </row>
    <row r="292" spans="11:12" x14ac:dyDescent="0.4">
      <c r="K292" s="40">
        <v>290</v>
      </c>
      <c r="L292" s="103">
        <v>-50.999999999999972</v>
      </c>
    </row>
    <row r="293" spans="11:12" x14ac:dyDescent="0.4">
      <c r="K293" s="40">
        <v>291</v>
      </c>
      <c r="L293" s="103">
        <v>-2.9999999999999716</v>
      </c>
    </row>
    <row r="294" spans="11:12" x14ac:dyDescent="0.4">
      <c r="K294" s="40">
        <v>292</v>
      </c>
      <c r="L294" s="103">
        <v>-18.999999999999972</v>
      </c>
    </row>
    <row r="295" spans="11:12" x14ac:dyDescent="0.4">
      <c r="K295" s="40">
        <v>293</v>
      </c>
      <c r="L295" s="103">
        <v>-6.7999999999999723</v>
      </c>
    </row>
    <row r="296" spans="11:12" x14ac:dyDescent="0.4">
      <c r="K296" s="40">
        <v>294</v>
      </c>
      <c r="L296" s="103">
        <v>-2.9999999999999725</v>
      </c>
    </row>
    <row r="297" spans="11:12" x14ac:dyDescent="0.4">
      <c r="K297" s="40">
        <v>295</v>
      </c>
      <c r="L297" s="103">
        <v>40.10000000000003</v>
      </c>
    </row>
    <row r="298" spans="11:12" x14ac:dyDescent="0.4">
      <c r="K298" s="40">
        <v>296</v>
      </c>
      <c r="L298" s="103">
        <v>2.8000000000000327</v>
      </c>
    </row>
    <row r="299" spans="11:12" x14ac:dyDescent="0.4">
      <c r="K299" s="40">
        <v>297</v>
      </c>
      <c r="L299" s="103">
        <v>-2.9999999999999671</v>
      </c>
    </row>
    <row r="300" spans="11:12" x14ac:dyDescent="0.4">
      <c r="K300" s="40">
        <v>298</v>
      </c>
      <c r="L300" s="103">
        <v>-8.999999999999968</v>
      </c>
    </row>
    <row r="301" spans="11:12" x14ac:dyDescent="0.4">
      <c r="K301" s="40">
        <v>299</v>
      </c>
      <c r="L301" s="103">
        <v>-60.899999999999963</v>
      </c>
    </row>
    <row r="302" spans="11:12" x14ac:dyDescent="0.4">
      <c r="K302" s="40">
        <v>300</v>
      </c>
      <c r="L302" s="103">
        <v>-2.9999999999999645</v>
      </c>
    </row>
    <row r="303" spans="11:12" x14ac:dyDescent="0.4">
      <c r="K303" s="40">
        <v>301</v>
      </c>
      <c r="L303" s="103">
        <v>-40.499999999999964</v>
      </c>
    </row>
    <row r="304" spans="11:12" x14ac:dyDescent="0.4">
      <c r="K304" s="40">
        <v>302</v>
      </c>
      <c r="L304" s="103">
        <v>-52.499999999999964</v>
      </c>
    </row>
    <row r="305" spans="11:12" x14ac:dyDescent="0.4">
      <c r="K305" s="40">
        <v>303</v>
      </c>
      <c r="L305" s="103">
        <v>-2.9999999999999645</v>
      </c>
    </row>
    <row r="306" spans="11:12" x14ac:dyDescent="0.4">
      <c r="K306" s="40">
        <v>304</v>
      </c>
      <c r="L306" s="103">
        <v>-42.499999999999964</v>
      </c>
    </row>
    <row r="307" spans="11:12" x14ac:dyDescent="0.4">
      <c r="K307" s="40">
        <v>305</v>
      </c>
      <c r="L307" s="103">
        <v>6.5000000000000355</v>
      </c>
    </row>
    <row r="308" spans="11:12" x14ac:dyDescent="0.4">
      <c r="K308" s="40">
        <v>306</v>
      </c>
      <c r="L308" s="103">
        <v>-2.9999999999999645</v>
      </c>
    </row>
    <row r="309" spans="11:12" x14ac:dyDescent="0.4">
      <c r="K309" s="40">
        <v>307</v>
      </c>
      <c r="L309" s="103">
        <v>8.1000000000000352</v>
      </c>
    </row>
    <row r="310" spans="11:12" x14ac:dyDescent="0.4">
      <c r="K310" s="40">
        <v>308</v>
      </c>
      <c r="L310" s="103">
        <v>-5.6999999999999655</v>
      </c>
    </row>
    <row r="311" spans="11:12" x14ac:dyDescent="0.4">
      <c r="K311" s="40">
        <v>309</v>
      </c>
      <c r="L311" s="103">
        <v>-2.9999999999999654</v>
      </c>
    </row>
    <row r="312" spans="11:12" x14ac:dyDescent="0.4">
      <c r="K312" s="40">
        <v>310</v>
      </c>
      <c r="L312" s="103">
        <v>-4.9999999999999654</v>
      </c>
    </row>
    <row r="313" spans="11:12" x14ac:dyDescent="0.4">
      <c r="K313" s="40">
        <v>311</v>
      </c>
      <c r="L313" s="103">
        <v>36.000000000000036</v>
      </c>
    </row>
    <row r="314" spans="11:12" x14ac:dyDescent="0.4">
      <c r="K314" s="40">
        <v>312</v>
      </c>
      <c r="L314" s="103">
        <v>-2.9999999999999645</v>
      </c>
    </row>
    <row r="315" spans="11:12" x14ac:dyDescent="0.4">
      <c r="K315" s="40">
        <v>313</v>
      </c>
      <c r="L315" s="103">
        <v>40.500000000000036</v>
      </c>
    </row>
    <row r="316" spans="11:12" x14ac:dyDescent="0.4">
      <c r="K316" s="40">
        <v>314</v>
      </c>
      <c r="L316" s="103">
        <v>37.100000000000037</v>
      </c>
    </row>
    <row r="317" spans="11:12" x14ac:dyDescent="0.4">
      <c r="K317" s="40">
        <v>315</v>
      </c>
      <c r="L317" s="103">
        <v>-2.9999999999999645</v>
      </c>
    </row>
    <row r="318" spans="11:12" x14ac:dyDescent="0.4">
      <c r="K318" s="40">
        <v>316</v>
      </c>
      <c r="L318" s="103">
        <v>-8.5999999999999641</v>
      </c>
    </row>
    <row r="319" spans="11:12" x14ac:dyDescent="0.4">
      <c r="K319" s="40">
        <v>317</v>
      </c>
      <c r="L319" s="103">
        <v>63.000000000000028</v>
      </c>
    </row>
    <row r="320" spans="11:12" x14ac:dyDescent="0.4">
      <c r="K320" s="40">
        <v>318</v>
      </c>
      <c r="L320" s="103">
        <v>-2.9999999999999716</v>
      </c>
    </row>
    <row r="321" spans="11:12" x14ac:dyDescent="0.4">
      <c r="K321" s="40">
        <v>319</v>
      </c>
      <c r="L321" s="103">
        <v>-10.399999999999972</v>
      </c>
    </row>
    <row r="322" spans="11:12" x14ac:dyDescent="0.4">
      <c r="K322" s="40">
        <v>320</v>
      </c>
      <c r="L322" s="103">
        <v>21.10000000000003</v>
      </c>
    </row>
    <row r="323" spans="11:12" x14ac:dyDescent="0.4">
      <c r="K323" s="40">
        <v>321</v>
      </c>
      <c r="L323" s="103">
        <v>-2.9999999999999716</v>
      </c>
    </row>
    <row r="324" spans="11:12" x14ac:dyDescent="0.4">
      <c r="K324" s="40">
        <v>322</v>
      </c>
      <c r="L324" s="103">
        <v>-40.999999999999972</v>
      </c>
    </row>
    <row r="325" spans="11:12" x14ac:dyDescent="0.4">
      <c r="K325" s="40">
        <v>323</v>
      </c>
      <c r="L325" s="103">
        <v>-5.599999999999973</v>
      </c>
    </row>
    <row r="326" spans="11:12" x14ac:dyDescent="0.4">
      <c r="K326" s="40">
        <v>324</v>
      </c>
      <c r="L326" s="103">
        <v>-2.9999999999999729</v>
      </c>
    </row>
    <row r="327" spans="11:12" x14ac:dyDescent="0.4">
      <c r="K327" s="40">
        <v>325</v>
      </c>
      <c r="L327" s="103">
        <v>-21.799999999999972</v>
      </c>
    </row>
    <row r="328" spans="11:12" x14ac:dyDescent="0.4">
      <c r="K328" s="40">
        <v>326</v>
      </c>
      <c r="L328" s="103">
        <v>-10.299999999999972</v>
      </c>
    </row>
    <row r="329" spans="11:12" x14ac:dyDescent="0.4">
      <c r="K329" s="40">
        <v>327</v>
      </c>
      <c r="L329" s="103">
        <v>-2.9999999999999725</v>
      </c>
    </row>
    <row r="330" spans="11:12" x14ac:dyDescent="0.4">
      <c r="K330" s="40">
        <v>328</v>
      </c>
      <c r="L330" s="103">
        <v>24.000000000000028</v>
      </c>
    </row>
    <row r="331" spans="11:12" x14ac:dyDescent="0.4">
      <c r="K331" s="40">
        <v>329</v>
      </c>
      <c r="L331" s="103">
        <v>33.10000000000003</v>
      </c>
    </row>
    <row r="332" spans="11:12" x14ac:dyDescent="0.4">
      <c r="K332" s="40">
        <v>330</v>
      </c>
      <c r="L332" s="103">
        <v>-2.9999999999999716</v>
      </c>
    </row>
    <row r="333" spans="11:12" x14ac:dyDescent="0.4">
      <c r="K333" s="40">
        <v>331</v>
      </c>
      <c r="L333" s="103">
        <v>41.60000000000003</v>
      </c>
    </row>
    <row r="334" spans="11:12" x14ac:dyDescent="0.4">
      <c r="K334" s="40">
        <v>332</v>
      </c>
      <c r="L334" s="103">
        <v>36.400000000000027</v>
      </c>
    </row>
    <row r="335" spans="11:12" x14ac:dyDescent="0.4">
      <c r="K335" s="40">
        <v>333</v>
      </c>
      <c r="L335" s="103">
        <v>-2.9999999999999716</v>
      </c>
    </row>
    <row r="336" spans="11:12" x14ac:dyDescent="0.4">
      <c r="K336" s="40">
        <v>334</v>
      </c>
      <c r="L336" s="103">
        <v>4.0000000000000284</v>
      </c>
    </row>
    <row r="337" spans="11:12" x14ac:dyDescent="0.4">
      <c r="K337" s="40">
        <v>335</v>
      </c>
      <c r="L337" s="103">
        <v>37.000000000000028</v>
      </c>
    </row>
    <row r="338" spans="11:12" x14ac:dyDescent="0.4">
      <c r="K338" s="40">
        <v>336</v>
      </c>
      <c r="L338" s="103">
        <v>-2.9999999999999716</v>
      </c>
    </row>
    <row r="339" spans="11:12" x14ac:dyDescent="0.4">
      <c r="K339" s="40">
        <v>337</v>
      </c>
      <c r="L339" s="103">
        <v>-14.299999999999972</v>
      </c>
    </row>
    <row r="340" spans="11:12" x14ac:dyDescent="0.4">
      <c r="K340" s="40">
        <v>338</v>
      </c>
      <c r="L340" s="103">
        <v>-9.099999999999973</v>
      </c>
    </row>
    <row r="341" spans="11:12" x14ac:dyDescent="0.4">
      <c r="K341" s="40">
        <v>339</v>
      </c>
      <c r="L341" s="103">
        <v>-2.9999999999999734</v>
      </c>
    </row>
    <row r="342" spans="11:12" x14ac:dyDescent="0.4">
      <c r="K342" s="40">
        <v>340</v>
      </c>
      <c r="L342" s="103">
        <v>-18.499999999999972</v>
      </c>
    </row>
    <row r="343" spans="11:12" x14ac:dyDescent="0.4">
      <c r="K343" s="40">
        <v>341</v>
      </c>
      <c r="L343" s="103">
        <v>-53.999999999999972</v>
      </c>
    </row>
    <row r="344" spans="11:12" x14ac:dyDescent="0.4">
      <c r="K344" s="40">
        <v>342</v>
      </c>
      <c r="L344" s="103">
        <v>-2.9999999999999716</v>
      </c>
    </row>
    <row r="345" spans="11:12" x14ac:dyDescent="0.4">
      <c r="K345" s="40">
        <v>343</v>
      </c>
      <c r="L345" s="103">
        <v>-22.299999999999972</v>
      </c>
    </row>
    <row r="346" spans="11:12" x14ac:dyDescent="0.4">
      <c r="K346" s="40">
        <v>344</v>
      </c>
      <c r="L346" s="103">
        <v>-6.099999999999973</v>
      </c>
    </row>
    <row r="347" spans="11:12" x14ac:dyDescent="0.4">
      <c r="K347" s="40">
        <v>345</v>
      </c>
      <c r="L347" s="103">
        <v>-2.9999999999999729</v>
      </c>
    </row>
    <row r="348" spans="11:12" x14ac:dyDescent="0.4">
      <c r="K348" s="40">
        <v>346</v>
      </c>
      <c r="L348" s="103">
        <v>21.000000000000028</v>
      </c>
    </row>
    <row r="349" spans="11:12" x14ac:dyDescent="0.4">
      <c r="K349" s="40">
        <v>347</v>
      </c>
      <c r="L349" s="103">
        <v>15.100000000000028</v>
      </c>
    </row>
    <row r="350" spans="11:12" x14ac:dyDescent="0.4">
      <c r="K350" s="40">
        <v>348</v>
      </c>
      <c r="L350" s="103">
        <v>-2.9999999999999734</v>
      </c>
    </row>
    <row r="351" spans="11:12" x14ac:dyDescent="0.4">
      <c r="K351" s="40">
        <v>349</v>
      </c>
      <c r="L351" s="103">
        <v>25.300000000000026</v>
      </c>
    </row>
    <row r="352" spans="11:12" x14ac:dyDescent="0.4">
      <c r="K352" s="40">
        <v>350</v>
      </c>
      <c r="L352" s="103">
        <v>5.1000000000000263</v>
      </c>
    </row>
    <row r="353" spans="11:12" x14ac:dyDescent="0.4">
      <c r="K353" s="40">
        <v>351</v>
      </c>
      <c r="L353" s="103">
        <v>-2.9999999999999734</v>
      </c>
    </row>
    <row r="354" spans="11:12" x14ac:dyDescent="0.4">
      <c r="K354" s="40">
        <v>352</v>
      </c>
      <c r="L354" s="103">
        <v>-34.499999999999972</v>
      </c>
    </row>
    <row r="355" spans="11:12" x14ac:dyDescent="0.4">
      <c r="K355" s="40">
        <v>353</v>
      </c>
      <c r="L355" s="103">
        <v>15.500000000000028</v>
      </c>
    </row>
    <row r="356" spans="11:12" x14ac:dyDescent="0.4">
      <c r="K356" s="40">
        <v>354</v>
      </c>
      <c r="L356" s="103">
        <v>-2.9999999999999716</v>
      </c>
    </row>
    <row r="357" spans="11:12" x14ac:dyDescent="0.4">
      <c r="K357" s="40">
        <v>355</v>
      </c>
      <c r="L357" s="103">
        <v>16.500000000000028</v>
      </c>
    </row>
    <row r="358" spans="11:12" x14ac:dyDescent="0.4">
      <c r="K358" s="40">
        <v>356</v>
      </c>
      <c r="L358" s="103">
        <v>4.4000000000000288</v>
      </c>
    </row>
    <row r="359" spans="11:12" x14ac:dyDescent="0.4">
      <c r="K359" s="40">
        <v>357</v>
      </c>
      <c r="L359" s="103">
        <v>-2.9999999999999716</v>
      </c>
    </row>
    <row r="360" spans="11:12" x14ac:dyDescent="0.4">
      <c r="K360" s="40">
        <v>358</v>
      </c>
      <c r="L360" s="103">
        <v>-8.3999999999999719</v>
      </c>
    </row>
    <row r="361" spans="11:12" x14ac:dyDescent="0.4">
      <c r="K361" s="40">
        <v>359</v>
      </c>
      <c r="L361" s="103">
        <v>7.4000000000000288</v>
      </c>
    </row>
    <row r="362" spans="11:12" x14ac:dyDescent="0.4">
      <c r="K362" s="40">
        <v>360</v>
      </c>
      <c r="L362" s="103">
        <v>-2.9999999999999716</v>
      </c>
    </row>
    <row r="363" spans="11:12" x14ac:dyDescent="0.4">
      <c r="K363" s="40">
        <v>361</v>
      </c>
      <c r="L363" s="103">
        <v>53.000000000000028</v>
      </c>
    </row>
    <row r="364" spans="11:12" x14ac:dyDescent="0.4">
      <c r="K364" s="40">
        <v>362</v>
      </c>
      <c r="L364" s="103">
        <v>35.000000000000028</v>
      </c>
    </row>
    <row r="365" spans="11:12" x14ac:dyDescent="0.4">
      <c r="K365" s="40">
        <v>363</v>
      </c>
      <c r="L365" s="103">
        <v>-2.9999999999999716</v>
      </c>
    </row>
    <row r="366" spans="11:12" x14ac:dyDescent="0.4">
      <c r="K366" s="40">
        <v>364</v>
      </c>
      <c r="L366" s="103">
        <v>40.000000000000028</v>
      </c>
    </row>
    <row r="367" spans="11:12" x14ac:dyDescent="0.4">
      <c r="K367" s="40">
        <v>365</v>
      </c>
      <c r="L367" s="103">
        <v>-0.99999999999997158</v>
      </c>
    </row>
    <row r="368" spans="11:12" x14ac:dyDescent="0.4">
      <c r="K368" s="40">
        <v>366</v>
      </c>
      <c r="L368" s="103">
        <v>-2.9999999999999716</v>
      </c>
    </row>
    <row r="369" spans="11:12" x14ac:dyDescent="0.4">
      <c r="K369" s="40">
        <v>367</v>
      </c>
      <c r="L369" s="103">
        <v>-16.999999999999972</v>
      </c>
    </row>
    <row r="370" spans="11:12" x14ac:dyDescent="0.4">
      <c r="K370" s="40">
        <v>368</v>
      </c>
      <c r="L370" s="103">
        <v>-24.199999999999971</v>
      </c>
    </row>
    <row r="371" spans="11:12" x14ac:dyDescent="0.4">
      <c r="K371" s="40">
        <v>369</v>
      </c>
      <c r="L371" s="103">
        <v>-2.9999999999999716</v>
      </c>
    </row>
    <row r="372" spans="11:12" x14ac:dyDescent="0.4">
      <c r="K372" s="40">
        <v>370</v>
      </c>
      <c r="L372" s="103">
        <v>-51.39999999999997</v>
      </c>
    </row>
    <row r="373" spans="11:12" x14ac:dyDescent="0.4">
      <c r="K373" s="40">
        <v>371</v>
      </c>
      <c r="L373" s="103">
        <v>-17.999999999999972</v>
      </c>
    </row>
    <row r="374" spans="11:12" x14ac:dyDescent="0.4">
      <c r="K374" s="40">
        <v>372</v>
      </c>
      <c r="L374" s="103">
        <v>-2.9999999999999716</v>
      </c>
    </row>
    <row r="375" spans="11:12" x14ac:dyDescent="0.4">
      <c r="K375" s="40">
        <v>373</v>
      </c>
      <c r="L375" s="103">
        <v>41.900000000000027</v>
      </c>
    </row>
    <row r="376" spans="11:12" x14ac:dyDescent="0.4">
      <c r="K376" s="40">
        <v>374</v>
      </c>
      <c r="L376" s="103">
        <v>36.300000000000026</v>
      </c>
    </row>
    <row r="377" spans="11:12" x14ac:dyDescent="0.4">
      <c r="K377" s="40">
        <v>375</v>
      </c>
      <c r="L377" s="103">
        <v>-2.9999999999999716</v>
      </c>
    </row>
    <row r="378" spans="11:12" x14ac:dyDescent="0.4">
      <c r="K378" s="40">
        <v>376</v>
      </c>
      <c r="L378" s="103">
        <v>14.10000000000003</v>
      </c>
    </row>
    <row r="379" spans="11:12" x14ac:dyDescent="0.4">
      <c r="K379" s="40">
        <v>377</v>
      </c>
      <c r="L379" s="103">
        <v>-12.89999999999997</v>
      </c>
    </row>
    <row r="380" spans="11:12" x14ac:dyDescent="0.4">
      <c r="K380" s="40">
        <v>378</v>
      </c>
      <c r="L380" s="103">
        <v>-2.9999999999999698</v>
      </c>
    </row>
    <row r="381" spans="11:12" x14ac:dyDescent="0.4">
      <c r="K381" s="40">
        <v>379</v>
      </c>
      <c r="L381" s="103">
        <v>-40.999999999999972</v>
      </c>
    </row>
    <row r="382" spans="11:12" x14ac:dyDescent="0.4">
      <c r="K382" s="40">
        <v>380</v>
      </c>
      <c r="L382" s="103">
        <v>-35.799999999999969</v>
      </c>
    </row>
    <row r="383" spans="11:12" x14ac:dyDescent="0.4">
      <c r="K383" s="40">
        <v>381</v>
      </c>
      <c r="L383" s="103">
        <v>-2.9999999999999716</v>
      </c>
    </row>
    <row r="384" spans="11:12" x14ac:dyDescent="0.4">
      <c r="K384" s="40">
        <v>382</v>
      </c>
      <c r="L384" s="103">
        <v>13.500000000000028</v>
      </c>
    </row>
    <row r="385" spans="11:12" x14ac:dyDescent="0.4">
      <c r="K385" s="40">
        <v>383</v>
      </c>
      <c r="L385" s="103">
        <v>5.8000000000000282</v>
      </c>
    </row>
    <row r="386" spans="11:12" x14ac:dyDescent="0.4">
      <c r="K386" s="40">
        <v>384</v>
      </c>
      <c r="L386" s="103">
        <v>-2.9999999999999725</v>
      </c>
    </row>
    <row r="387" spans="11:12" x14ac:dyDescent="0.4">
      <c r="K387" s="40">
        <v>385</v>
      </c>
      <c r="L387" s="103">
        <v>5.7000000000000268</v>
      </c>
    </row>
    <row r="388" spans="11:12" x14ac:dyDescent="0.4">
      <c r="K388" s="40">
        <v>386</v>
      </c>
      <c r="L388" s="103">
        <v>17.300000000000026</v>
      </c>
    </row>
    <row r="389" spans="11:12" x14ac:dyDescent="0.4">
      <c r="K389" s="40">
        <v>387</v>
      </c>
      <c r="L389" s="103">
        <v>-2.9999999999999751</v>
      </c>
    </row>
    <row r="390" spans="11:12" x14ac:dyDescent="0.4">
      <c r="K390" s="40">
        <v>388</v>
      </c>
      <c r="L390" s="103">
        <v>17.700000000000024</v>
      </c>
    </row>
    <row r="391" spans="11:12" x14ac:dyDescent="0.4">
      <c r="K391" s="40">
        <v>389</v>
      </c>
      <c r="L391" s="103">
        <v>-25.799999999999976</v>
      </c>
    </row>
    <row r="392" spans="11:12" x14ac:dyDescent="0.4">
      <c r="K392" s="40">
        <v>390</v>
      </c>
      <c r="L392" s="103">
        <v>-2.9999999999999751</v>
      </c>
    </row>
    <row r="393" spans="11:12" x14ac:dyDescent="0.4">
      <c r="K393" s="40">
        <v>391</v>
      </c>
      <c r="L393" s="103">
        <v>12.300000000000026</v>
      </c>
    </row>
    <row r="394" spans="11:12" x14ac:dyDescent="0.4">
      <c r="K394" s="40">
        <v>392</v>
      </c>
      <c r="L394" s="103">
        <v>5.5000000000000258</v>
      </c>
    </row>
    <row r="395" spans="11:12" x14ac:dyDescent="0.4">
      <c r="K395" s="40">
        <v>393</v>
      </c>
      <c r="L395" s="103">
        <v>-2.9999999999999742</v>
      </c>
    </row>
    <row r="396" spans="11:12" x14ac:dyDescent="0.4">
      <c r="K396" s="40">
        <v>394</v>
      </c>
      <c r="L396" s="103">
        <v>8.6000000000000263</v>
      </c>
    </row>
    <row r="397" spans="11:12" x14ac:dyDescent="0.4">
      <c r="K397" s="40">
        <v>395</v>
      </c>
      <c r="L397" s="103">
        <v>28.200000000000028</v>
      </c>
    </row>
    <row r="398" spans="11:12" x14ac:dyDescent="0.4">
      <c r="K398" s="40">
        <v>396</v>
      </c>
      <c r="L398" s="103">
        <v>-2.9999999999999716</v>
      </c>
    </row>
    <row r="399" spans="11:12" x14ac:dyDescent="0.4">
      <c r="K399" s="40">
        <v>397</v>
      </c>
      <c r="L399" s="103">
        <v>4.2000000000000286</v>
      </c>
    </row>
    <row r="400" spans="11:12" x14ac:dyDescent="0.4">
      <c r="K400" s="40">
        <v>398</v>
      </c>
      <c r="L400" s="103">
        <v>-15.799999999999972</v>
      </c>
    </row>
    <row r="401" spans="11:12" x14ac:dyDescent="0.4">
      <c r="K401" s="40">
        <v>399</v>
      </c>
      <c r="L401" s="103">
        <v>-3.9999999999999716</v>
      </c>
    </row>
    <row r="402" spans="11:12" x14ac:dyDescent="0.4">
      <c r="K402" s="40">
        <v>400</v>
      </c>
      <c r="L402" s="103">
        <v>20.500000000000028</v>
      </c>
    </row>
    <row r="403" spans="11:12" x14ac:dyDescent="0.4">
      <c r="K403" s="40">
        <v>401</v>
      </c>
      <c r="L403" s="103">
        <v>15.600000000000028</v>
      </c>
    </row>
    <row r="404" spans="11:12" x14ac:dyDescent="0.4">
      <c r="K404" s="40">
        <v>402</v>
      </c>
      <c r="L404" s="103">
        <v>-3.9999999999999734</v>
      </c>
    </row>
    <row r="405" spans="11:12" x14ac:dyDescent="0.4">
      <c r="K405" s="40">
        <v>403</v>
      </c>
      <c r="L405" s="103">
        <v>12.900000000000025</v>
      </c>
    </row>
    <row r="406" spans="11:12" x14ac:dyDescent="0.4">
      <c r="K406" s="40">
        <v>404</v>
      </c>
      <c r="L406" s="103">
        <v>14.100000000000025</v>
      </c>
    </row>
    <row r="407" spans="11:12" x14ac:dyDescent="0.4">
      <c r="K407" s="40">
        <v>405</v>
      </c>
      <c r="L407" s="103">
        <v>-3.9999999999999769</v>
      </c>
    </row>
    <row r="408" spans="11:12" x14ac:dyDescent="0.4">
      <c r="K408" s="40">
        <v>406</v>
      </c>
      <c r="L408" s="103">
        <v>-41.499999999999979</v>
      </c>
    </row>
    <row r="409" spans="11:12" x14ac:dyDescent="0.4">
      <c r="K409" s="40">
        <v>407</v>
      </c>
      <c r="L409" s="103">
        <v>-15.999999999999979</v>
      </c>
    </row>
    <row r="410" spans="11:12" x14ac:dyDescent="0.4">
      <c r="K410" s="40">
        <v>408</v>
      </c>
      <c r="L410" s="103">
        <v>-3.9999999999999787</v>
      </c>
    </row>
    <row r="411" spans="11:12" x14ac:dyDescent="0.4">
      <c r="K411" s="40">
        <v>409</v>
      </c>
      <c r="L411" s="103">
        <v>34.500000000000021</v>
      </c>
    </row>
    <row r="412" spans="11:12" x14ac:dyDescent="0.4">
      <c r="K412" s="40">
        <v>410</v>
      </c>
      <c r="L412" s="103">
        <v>-3.4999999999999787</v>
      </c>
    </row>
    <row r="413" spans="11:12" x14ac:dyDescent="0.4">
      <c r="K413" s="40">
        <v>411</v>
      </c>
      <c r="L413" s="103">
        <v>-3.9999999999999787</v>
      </c>
    </row>
    <row r="414" spans="11:12" x14ac:dyDescent="0.4">
      <c r="K414" s="40">
        <v>412</v>
      </c>
      <c r="L414" s="103">
        <v>-50.499999999999979</v>
      </c>
    </row>
    <row r="415" spans="11:12" x14ac:dyDescent="0.4">
      <c r="K415" s="40">
        <v>413</v>
      </c>
      <c r="L415" s="103">
        <v>-45.999999999999979</v>
      </c>
    </row>
    <row r="416" spans="11:12" x14ac:dyDescent="0.4">
      <c r="K416" s="40">
        <v>414</v>
      </c>
      <c r="L416" s="103">
        <v>-3.9999999999999787</v>
      </c>
    </row>
    <row r="417" spans="11:12" x14ac:dyDescent="0.4">
      <c r="K417" s="40">
        <v>415</v>
      </c>
      <c r="L417" s="103">
        <v>9.2000000000000206</v>
      </c>
    </row>
    <row r="418" spans="11:12" x14ac:dyDescent="0.4">
      <c r="K418" s="40">
        <v>416</v>
      </c>
      <c r="L418" s="103">
        <v>1.8000000000000203</v>
      </c>
    </row>
    <row r="419" spans="11:12" x14ac:dyDescent="0.4">
      <c r="K419" s="40">
        <v>417</v>
      </c>
      <c r="L419" s="103">
        <v>-3.9999999999999796</v>
      </c>
    </row>
    <row r="420" spans="11:12" x14ac:dyDescent="0.4">
      <c r="K420" s="40">
        <v>418</v>
      </c>
      <c r="L420" s="103">
        <v>-23.499999999999979</v>
      </c>
    </row>
    <row r="421" spans="11:12" x14ac:dyDescent="0.4">
      <c r="K421" s="40">
        <v>419</v>
      </c>
      <c r="L421" s="103">
        <v>-5.699999999999978</v>
      </c>
    </row>
    <row r="422" spans="11:12" x14ac:dyDescent="0.4">
      <c r="K422" s="40">
        <v>420</v>
      </c>
      <c r="L422" s="103">
        <v>-3.9999999999999778</v>
      </c>
    </row>
    <row r="423" spans="11:12" x14ac:dyDescent="0.4">
      <c r="K423" s="40">
        <v>421</v>
      </c>
      <c r="L423" s="103">
        <v>37.40000000000002</v>
      </c>
    </row>
    <row r="424" spans="11:12" x14ac:dyDescent="0.4">
      <c r="K424" s="40">
        <v>422</v>
      </c>
      <c r="L424" s="103">
        <v>11.000000000000021</v>
      </c>
    </row>
    <row r="425" spans="11:12" x14ac:dyDescent="0.4">
      <c r="K425" s="40">
        <v>423</v>
      </c>
      <c r="L425" s="103">
        <v>-3.9999999999999787</v>
      </c>
    </row>
    <row r="426" spans="11:12" x14ac:dyDescent="0.4">
      <c r="K426" s="40">
        <v>424</v>
      </c>
      <c r="L426" s="103">
        <v>23.100000000000023</v>
      </c>
    </row>
    <row r="427" spans="11:12" x14ac:dyDescent="0.4">
      <c r="K427" s="40">
        <v>425</v>
      </c>
      <c r="L427" s="103">
        <v>-27.499999999999979</v>
      </c>
    </row>
    <row r="428" spans="11:12" x14ac:dyDescent="0.4">
      <c r="K428" s="40">
        <v>426</v>
      </c>
      <c r="L428" s="103">
        <v>-3.9999999999999787</v>
      </c>
    </row>
    <row r="429" spans="11:12" x14ac:dyDescent="0.4">
      <c r="K429" s="40">
        <v>427</v>
      </c>
      <c r="L429" s="103">
        <v>4.5000000000000213</v>
      </c>
    </row>
    <row r="430" spans="11:12" x14ac:dyDescent="0.4">
      <c r="K430" s="40">
        <v>428</v>
      </c>
      <c r="L430" s="103">
        <v>30.200000000000021</v>
      </c>
    </row>
    <row r="431" spans="11:12" x14ac:dyDescent="0.4">
      <c r="K431" s="40">
        <v>429</v>
      </c>
      <c r="L431" s="103">
        <v>-3.9999999999999822</v>
      </c>
    </row>
    <row r="432" spans="11:12" x14ac:dyDescent="0.4">
      <c r="K432" s="40">
        <v>430</v>
      </c>
      <c r="L432" s="103">
        <v>0.80000000000001759</v>
      </c>
    </row>
    <row r="433" spans="11:12" x14ac:dyDescent="0.4">
      <c r="K433" s="40">
        <v>431</v>
      </c>
      <c r="L433" s="103">
        <v>-15.999999999999982</v>
      </c>
    </row>
    <row r="434" spans="11:12" x14ac:dyDescent="0.4">
      <c r="K434" s="40">
        <v>432</v>
      </c>
      <c r="L434" s="103">
        <v>-3.9999999999999822</v>
      </c>
    </row>
    <row r="435" spans="11:12" x14ac:dyDescent="0.4">
      <c r="K435" s="40">
        <v>433</v>
      </c>
      <c r="L435" s="103">
        <v>39.300000000000011</v>
      </c>
    </row>
    <row r="436" spans="11:12" x14ac:dyDescent="0.4">
      <c r="K436" s="40">
        <v>434</v>
      </c>
      <c r="L436" s="103">
        <v>31.500000000000011</v>
      </c>
    </row>
    <row r="437" spans="11:12" x14ac:dyDescent="0.4">
      <c r="K437" s="40">
        <v>435</v>
      </c>
      <c r="L437" s="103">
        <v>-3.9999999999999893</v>
      </c>
    </row>
    <row r="438" spans="11:12" x14ac:dyDescent="0.4">
      <c r="K438" s="40">
        <v>436</v>
      </c>
      <c r="L438" s="103">
        <v>22.000000000000011</v>
      </c>
    </row>
    <row r="439" spans="11:12" x14ac:dyDescent="0.4">
      <c r="K439" s="40">
        <v>437</v>
      </c>
      <c r="L439" s="103">
        <v>16.70000000000001</v>
      </c>
    </row>
    <row r="440" spans="11:12" x14ac:dyDescent="0.4">
      <c r="K440" s="40">
        <v>438</v>
      </c>
      <c r="L440" s="103">
        <v>-3.9999999999999893</v>
      </c>
    </row>
    <row r="441" spans="11:12" x14ac:dyDescent="0.4">
      <c r="K441" s="40">
        <v>439</v>
      </c>
      <c r="L441" s="103">
        <v>7.0000000000000107</v>
      </c>
    </row>
    <row r="442" spans="11:12" x14ac:dyDescent="0.4">
      <c r="K442" s="40">
        <v>440</v>
      </c>
      <c r="L442" s="103">
        <v>-25.799999999999986</v>
      </c>
    </row>
    <row r="443" spans="11:12" x14ac:dyDescent="0.4">
      <c r="K443" s="40">
        <v>441</v>
      </c>
      <c r="L443" s="103">
        <v>-3.9999999999999858</v>
      </c>
    </row>
    <row r="444" spans="11:12" x14ac:dyDescent="0.4">
      <c r="K444" s="40">
        <v>442</v>
      </c>
      <c r="L444" s="103">
        <v>37.000000000000014</v>
      </c>
    </row>
    <row r="445" spans="11:12" x14ac:dyDescent="0.4">
      <c r="K445" s="40">
        <v>443</v>
      </c>
      <c r="L445" s="103">
        <v>-8.4999999999999858</v>
      </c>
    </row>
    <row r="446" spans="11:12" x14ac:dyDescent="0.4">
      <c r="K446" s="40">
        <v>444</v>
      </c>
      <c r="L446" s="103">
        <v>-3.9999999999999858</v>
      </c>
    </row>
    <row r="447" spans="11:12" x14ac:dyDescent="0.4">
      <c r="K447" s="40">
        <v>445</v>
      </c>
      <c r="L447" s="103">
        <v>21.000000000000014</v>
      </c>
    </row>
    <row r="448" spans="11:12" x14ac:dyDescent="0.4">
      <c r="K448" s="40">
        <v>446</v>
      </c>
      <c r="L448" s="103">
        <v>-14.499999999999986</v>
      </c>
    </row>
    <row r="449" spans="11:12" x14ac:dyDescent="0.4">
      <c r="K449" s="40">
        <v>447</v>
      </c>
      <c r="L449" s="103">
        <v>-3.9999999999999858</v>
      </c>
    </row>
    <row r="450" spans="11:12" x14ac:dyDescent="0.4">
      <c r="K450" s="40">
        <v>448</v>
      </c>
      <c r="L450" s="103">
        <v>-23.799999999999986</v>
      </c>
    </row>
    <row r="451" spans="11:12" x14ac:dyDescent="0.4">
      <c r="K451" s="40">
        <v>449</v>
      </c>
      <c r="L451" s="103">
        <v>-33.799999999999983</v>
      </c>
    </row>
    <row r="452" spans="11:12" x14ac:dyDescent="0.4">
      <c r="K452" s="40">
        <v>450</v>
      </c>
      <c r="L452" s="103">
        <v>-3.9999999999999822</v>
      </c>
    </row>
    <row r="453" spans="11:12" x14ac:dyDescent="0.4">
      <c r="K453" s="40">
        <v>451</v>
      </c>
      <c r="L453" s="103">
        <v>33.600000000000023</v>
      </c>
    </row>
    <row r="454" spans="11:12" x14ac:dyDescent="0.4">
      <c r="K454" s="40">
        <v>452</v>
      </c>
      <c r="L454" s="103">
        <v>32.500000000000021</v>
      </c>
    </row>
    <row r="455" spans="11:12" x14ac:dyDescent="0.4">
      <c r="K455" s="40">
        <v>453</v>
      </c>
      <c r="L455" s="103">
        <v>-3.9999999999999787</v>
      </c>
    </row>
    <row r="456" spans="11:12" x14ac:dyDescent="0.4">
      <c r="K456" s="40">
        <v>454</v>
      </c>
      <c r="L456" s="103">
        <v>3.8000000000000211</v>
      </c>
    </row>
    <row r="457" spans="11:12" x14ac:dyDescent="0.4">
      <c r="K457" s="40">
        <v>455</v>
      </c>
      <c r="L457" s="103">
        <v>-33.399999999999984</v>
      </c>
    </row>
    <row r="458" spans="11:12" x14ac:dyDescent="0.4">
      <c r="K458" s="40">
        <v>456</v>
      </c>
      <c r="L458" s="103">
        <v>-3.9999999999999858</v>
      </c>
    </row>
    <row r="459" spans="11:12" x14ac:dyDescent="0.4">
      <c r="K459" s="40">
        <v>457</v>
      </c>
      <c r="L459" s="103">
        <v>64.100000000000009</v>
      </c>
    </row>
    <row r="460" spans="11:12" x14ac:dyDescent="0.4">
      <c r="K460" s="40">
        <v>458</v>
      </c>
      <c r="L460" s="103">
        <v>22.800000000000011</v>
      </c>
    </row>
    <row r="461" spans="11:12" x14ac:dyDescent="0.4">
      <c r="K461" s="40">
        <v>459</v>
      </c>
      <c r="L461" s="103">
        <v>-3.9999999999999893</v>
      </c>
    </row>
    <row r="462" spans="11:12" x14ac:dyDescent="0.4">
      <c r="K462" s="40">
        <v>460</v>
      </c>
      <c r="L462" s="103">
        <v>-5.9999999999999893</v>
      </c>
    </row>
    <row r="463" spans="11:12" x14ac:dyDescent="0.4">
      <c r="K463" s="40">
        <v>461</v>
      </c>
      <c r="L463" s="103">
        <v>-22.399999999999988</v>
      </c>
    </row>
    <row r="464" spans="11:12" x14ac:dyDescent="0.4">
      <c r="K464" s="40">
        <v>462</v>
      </c>
      <c r="L464" s="103">
        <v>-3.9999999999999893</v>
      </c>
    </row>
    <row r="465" spans="11:12" x14ac:dyDescent="0.4">
      <c r="K465" s="40">
        <v>463</v>
      </c>
      <c r="L465" s="103">
        <v>1.2000000000000108</v>
      </c>
    </row>
    <row r="466" spans="11:12" x14ac:dyDescent="0.4">
      <c r="K466" s="40">
        <v>464</v>
      </c>
      <c r="L466" s="103">
        <v>-30.499999999999989</v>
      </c>
    </row>
    <row r="467" spans="11:12" x14ac:dyDescent="0.4">
      <c r="K467" s="40">
        <v>465</v>
      </c>
      <c r="L467" s="103">
        <v>-3.9999999999999893</v>
      </c>
    </row>
    <row r="468" spans="11:12" x14ac:dyDescent="0.4">
      <c r="K468" s="40">
        <v>466</v>
      </c>
      <c r="L468" s="103">
        <v>12.20000000000001</v>
      </c>
    </row>
    <row r="469" spans="11:12" x14ac:dyDescent="0.4">
      <c r="K469" s="40">
        <v>467</v>
      </c>
      <c r="L469" s="103">
        <v>7.3000000000000096</v>
      </c>
    </row>
    <row r="470" spans="11:12" x14ac:dyDescent="0.4">
      <c r="K470" s="40">
        <v>468</v>
      </c>
      <c r="L470" s="103">
        <v>-3.9999999999999911</v>
      </c>
    </row>
    <row r="471" spans="11:12" x14ac:dyDescent="0.4">
      <c r="K471" s="40">
        <v>469</v>
      </c>
      <c r="L471" s="103">
        <v>20.20000000000001</v>
      </c>
    </row>
    <row r="472" spans="11:12" x14ac:dyDescent="0.4">
      <c r="K472" s="40">
        <v>470</v>
      </c>
      <c r="L472" s="103">
        <v>5.3000000000000096</v>
      </c>
    </row>
    <row r="473" spans="11:12" x14ac:dyDescent="0.4">
      <c r="K473" s="40">
        <v>471</v>
      </c>
      <c r="L473" s="103">
        <v>-3.9999999999999911</v>
      </c>
    </row>
    <row r="474" spans="11:12" x14ac:dyDescent="0.4">
      <c r="K474" s="40">
        <v>472</v>
      </c>
      <c r="L474" s="103">
        <v>16.600000000000009</v>
      </c>
    </row>
    <row r="475" spans="11:12" x14ac:dyDescent="0.4">
      <c r="K475" s="40">
        <v>473</v>
      </c>
      <c r="L475" s="103">
        <v>-29.099999999999994</v>
      </c>
    </row>
    <row r="476" spans="11:12" x14ac:dyDescent="0.4">
      <c r="K476" s="40">
        <v>474</v>
      </c>
      <c r="L476" s="103">
        <v>-3.9999999999999929</v>
      </c>
    </row>
    <row r="477" spans="11:12" x14ac:dyDescent="0.4">
      <c r="K477" s="40">
        <v>475</v>
      </c>
      <c r="L477" s="103">
        <v>3.3000000000000069</v>
      </c>
    </row>
    <row r="478" spans="11:12" x14ac:dyDescent="0.4">
      <c r="K478" s="40">
        <v>476</v>
      </c>
      <c r="L478" s="103">
        <v>29.500000000000007</v>
      </c>
    </row>
    <row r="479" spans="11:12" x14ac:dyDescent="0.4">
      <c r="K479" s="40">
        <v>477</v>
      </c>
      <c r="L479" s="103">
        <v>-3.9999999999999929</v>
      </c>
    </row>
    <row r="480" spans="11:12" x14ac:dyDescent="0.4">
      <c r="K480" s="40">
        <v>478</v>
      </c>
      <c r="L480" s="103">
        <v>0.80000000000000693</v>
      </c>
    </row>
    <row r="481" spans="11:12" x14ac:dyDescent="0.4">
      <c r="K481" s="40">
        <v>479</v>
      </c>
      <c r="L481" s="103">
        <v>33.500000000000007</v>
      </c>
    </row>
    <row r="482" spans="11:12" x14ac:dyDescent="0.4">
      <c r="K482" s="40">
        <v>480</v>
      </c>
      <c r="L482" s="103">
        <v>-3.9999999999999929</v>
      </c>
    </row>
    <row r="483" spans="11:12" x14ac:dyDescent="0.4">
      <c r="K483" s="40">
        <v>481</v>
      </c>
      <c r="L483" s="103">
        <v>0.10000000000000675</v>
      </c>
    </row>
    <row r="484" spans="11:12" x14ac:dyDescent="0.4">
      <c r="K484" s="40">
        <v>482</v>
      </c>
      <c r="L484" s="103">
        <v>5.4000000000000066</v>
      </c>
    </row>
    <row r="485" spans="11:12" x14ac:dyDescent="0.4">
      <c r="K485" s="40">
        <v>483</v>
      </c>
      <c r="L485" s="103">
        <v>-3.9999999999999938</v>
      </c>
    </row>
    <row r="486" spans="11:12" x14ac:dyDescent="0.4">
      <c r="K486" s="40">
        <v>484</v>
      </c>
      <c r="L486" s="103">
        <v>-15.999999999999993</v>
      </c>
    </row>
    <row r="487" spans="11:12" x14ac:dyDescent="0.4">
      <c r="K487" s="40">
        <v>485</v>
      </c>
      <c r="L487" s="103">
        <v>-5.4999999999999929</v>
      </c>
    </row>
    <row r="488" spans="11:12" x14ac:dyDescent="0.4">
      <c r="K488" s="40">
        <v>486</v>
      </c>
      <c r="L488" s="103">
        <v>-4.9999999999999929</v>
      </c>
    </row>
    <row r="489" spans="11:12" x14ac:dyDescent="0.4">
      <c r="K489" s="40">
        <v>487</v>
      </c>
      <c r="L489" s="103">
        <v>7.5000000000000071</v>
      </c>
    </row>
    <row r="490" spans="11:12" x14ac:dyDescent="0.4">
      <c r="K490" s="40">
        <v>488</v>
      </c>
      <c r="L490" s="103">
        <v>-4.5999999999999925</v>
      </c>
    </row>
    <row r="491" spans="11:12" x14ac:dyDescent="0.4">
      <c r="K491" s="40">
        <v>489</v>
      </c>
      <c r="L491" s="103">
        <v>-4.9999999999999929</v>
      </c>
    </row>
    <row r="492" spans="11:12" x14ac:dyDescent="0.4">
      <c r="K492" s="40">
        <v>490</v>
      </c>
      <c r="L492" s="103">
        <v>-17.899999999999991</v>
      </c>
    </row>
    <row r="493" spans="11:12" x14ac:dyDescent="0.4">
      <c r="K493" s="40">
        <v>491</v>
      </c>
      <c r="L493" s="103">
        <v>-23.099999999999991</v>
      </c>
    </row>
    <row r="494" spans="11:12" x14ac:dyDescent="0.4">
      <c r="K494" s="40">
        <v>492</v>
      </c>
      <c r="L494" s="103">
        <v>-4.9999999999999893</v>
      </c>
    </row>
    <row r="495" spans="11:12" x14ac:dyDescent="0.4">
      <c r="K495" s="40">
        <v>493</v>
      </c>
      <c r="L495" s="103">
        <v>10.60000000000001</v>
      </c>
    </row>
    <row r="496" spans="11:12" x14ac:dyDescent="0.4">
      <c r="K496" s="40">
        <v>494</v>
      </c>
      <c r="L496" s="103">
        <v>-27.79999999999999</v>
      </c>
    </row>
    <row r="497" spans="11:12" x14ac:dyDescent="0.4">
      <c r="K497" s="40">
        <v>495</v>
      </c>
      <c r="L497" s="103">
        <v>-4.9999999999999893</v>
      </c>
    </row>
    <row r="498" spans="11:12" x14ac:dyDescent="0.4">
      <c r="K498" s="40">
        <v>496</v>
      </c>
      <c r="L498" s="103">
        <v>10.60000000000001</v>
      </c>
    </row>
    <row r="499" spans="11:12" x14ac:dyDescent="0.4">
      <c r="K499" s="40">
        <v>497</v>
      </c>
      <c r="L499" s="103">
        <v>-2.1999999999999904</v>
      </c>
    </row>
    <row r="500" spans="11:12" x14ac:dyDescent="0.4">
      <c r="K500" s="40">
        <v>498</v>
      </c>
      <c r="L500" s="103">
        <v>-4.9999999999999902</v>
      </c>
    </row>
    <row r="501" spans="11:12" x14ac:dyDescent="0.4">
      <c r="K501" s="40">
        <v>499</v>
      </c>
      <c r="L501" s="103">
        <v>-40.999999999999993</v>
      </c>
    </row>
    <row r="502" spans="11:12" x14ac:dyDescent="0.4">
      <c r="K502" s="40">
        <v>500</v>
      </c>
      <c r="L502" s="103">
        <v>-4.9999999999999929</v>
      </c>
    </row>
    <row r="503" spans="11:12" x14ac:dyDescent="0.4">
      <c r="K503" s="40">
        <v>501</v>
      </c>
      <c r="L503" s="103">
        <v>-4.9999999999999929</v>
      </c>
    </row>
    <row r="504" spans="11:12" x14ac:dyDescent="0.4">
      <c r="K504" s="40">
        <v>502</v>
      </c>
      <c r="L504" s="103">
        <v>-34.599999999999994</v>
      </c>
    </row>
    <row r="505" spans="11:12" x14ac:dyDescent="0.4">
      <c r="K505" s="40">
        <v>503</v>
      </c>
      <c r="L505" s="103">
        <v>-83.699999999999989</v>
      </c>
    </row>
    <row r="506" spans="11:12" x14ac:dyDescent="0.4">
      <c r="K506" s="40">
        <v>504</v>
      </c>
      <c r="L506" s="103">
        <v>-4.9999999999999858</v>
      </c>
    </row>
    <row r="507" spans="11:12" x14ac:dyDescent="0.4">
      <c r="K507" s="40">
        <v>505</v>
      </c>
      <c r="L507" s="103">
        <v>1.800000000000014</v>
      </c>
    </row>
    <row r="508" spans="11:12" x14ac:dyDescent="0.4">
      <c r="K508" s="40">
        <v>506</v>
      </c>
      <c r="L508" s="103">
        <v>-0.79999999999998606</v>
      </c>
    </row>
    <row r="509" spans="11:12" x14ac:dyDescent="0.4">
      <c r="K509" s="40">
        <v>507</v>
      </c>
      <c r="L509" s="103">
        <v>-4.9999999999999858</v>
      </c>
    </row>
    <row r="510" spans="11:12" x14ac:dyDescent="0.4">
      <c r="K510" s="40">
        <v>508</v>
      </c>
      <c r="L510" s="103">
        <v>-18.999999999999986</v>
      </c>
    </row>
    <row r="511" spans="11:12" x14ac:dyDescent="0.4">
      <c r="K511" s="40">
        <v>509</v>
      </c>
      <c r="L511" s="103">
        <v>-31.499999999999986</v>
      </c>
    </row>
    <row r="512" spans="11:12" x14ac:dyDescent="0.4">
      <c r="K512" s="40">
        <v>510</v>
      </c>
      <c r="L512" s="103">
        <v>-4.9999999999999858</v>
      </c>
    </row>
    <row r="513" spans="11:12" x14ac:dyDescent="0.4">
      <c r="K513" s="40">
        <v>511</v>
      </c>
      <c r="L513" s="103">
        <v>-14.999999999999986</v>
      </c>
    </row>
    <row r="514" spans="11:12" x14ac:dyDescent="0.4">
      <c r="K514" s="40">
        <v>512</v>
      </c>
      <c r="L514" s="103">
        <v>45.500000000000014</v>
      </c>
    </row>
    <row r="515" spans="11:12" x14ac:dyDescent="0.4">
      <c r="K515" s="40">
        <v>513</v>
      </c>
      <c r="L515" s="103">
        <v>-4.9999999999999858</v>
      </c>
    </row>
    <row r="516" spans="11:12" x14ac:dyDescent="0.4">
      <c r="K516" s="40">
        <v>514</v>
      </c>
      <c r="L516" s="103">
        <v>39.600000000000016</v>
      </c>
    </row>
    <row r="517" spans="11:12" x14ac:dyDescent="0.4">
      <c r="K517" s="40">
        <v>515</v>
      </c>
      <c r="L517" s="103">
        <v>10.100000000000016</v>
      </c>
    </row>
    <row r="518" spans="11:12" x14ac:dyDescent="0.4">
      <c r="K518" s="40">
        <v>516</v>
      </c>
      <c r="L518" s="103">
        <v>-4.999999999999984</v>
      </c>
    </row>
    <row r="519" spans="11:12" x14ac:dyDescent="0.4">
      <c r="K519" s="40">
        <v>517</v>
      </c>
      <c r="L519" s="103">
        <v>-9.6999999999999851</v>
      </c>
    </row>
    <row r="520" spans="11:12" x14ac:dyDescent="0.4">
      <c r="K520" s="40">
        <v>518</v>
      </c>
      <c r="L520" s="103">
        <v>8.9000000000000163</v>
      </c>
    </row>
    <row r="521" spans="11:12" x14ac:dyDescent="0.4">
      <c r="K521" s="40">
        <v>519</v>
      </c>
      <c r="L521" s="103">
        <v>-4.999999999999984</v>
      </c>
    </row>
    <row r="522" spans="11:12" x14ac:dyDescent="0.4">
      <c r="K522" s="40">
        <v>520</v>
      </c>
      <c r="L522" s="103">
        <v>7.500000000000016</v>
      </c>
    </row>
    <row r="523" spans="11:12" x14ac:dyDescent="0.4">
      <c r="K523" s="40">
        <v>521</v>
      </c>
      <c r="L523" s="103">
        <v>-6.6999999999999833</v>
      </c>
    </row>
    <row r="524" spans="11:12" x14ac:dyDescent="0.4">
      <c r="K524" s="40">
        <v>522</v>
      </c>
      <c r="L524" s="103">
        <v>-4.9999999999999831</v>
      </c>
    </row>
    <row r="525" spans="11:12" x14ac:dyDescent="0.4">
      <c r="K525" s="40">
        <v>523</v>
      </c>
      <c r="L525" s="103">
        <v>9.4000000000000163</v>
      </c>
    </row>
    <row r="526" spans="11:12" x14ac:dyDescent="0.4">
      <c r="K526" s="40">
        <v>524</v>
      </c>
      <c r="L526" s="103">
        <v>21.700000000000017</v>
      </c>
    </row>
    <row r="527" spans="11:12" x14ac:dyDescent="0.4">
      <c r="K527" s="40">
        <v>525</v>
      </c>
      <c r="L527" s="103">
        <v>-4.9999999999999822</v>
      </c>
    </row>
    <row r="528" spans="11:12" x14ac:dyDescent="0.4">
      <c r="K528" s="40">
        <v>526</v>
      </c>
      <c r="L528" s="103">
        <v>-18.999999999999982</v>
      </c>
    </row>
    <row r="529" spans="11:12" x14ac:dyDescent="0.4">
      <c r="K529" s="40">
        <v>527</v>
      </c>
      <c r="L529" s="103">
        <v>-79.299999999999983</v>
      </c>
    </row>
    <row r="530" spans="11:12" x14ac:dyDescent="0.4">
      <c r="K530" s="40">
        <v>528</v>
      </c>
      <c r="L530" s="103">
        <v>-4.9999999999999858</v>
      </c>
    </row>
    <row r="531" spans="11:12" x14ac:dyDescent="0.4">
      <c r="K531" s="40">
        <v>529</v>
      </c>
      <c r="L531" s="103">
        <v>2.1000000000000139</v>
      </c>
    </row>
    <row r="532" spans="11:12" x14ac:dyDescent="0.4">
      <c r="K532" s="40">
        <v>530</v>
      </c>
      <c r="L532" s="103">
        <v>-5.8999999999999861</v>
      </c>
    </row>
    <row r="533" spans="11:12" x14ac:dyDescent="0.4">
      <c r="K533" s="40">
        <v>531</v>
      </c>
      <c r="L533" s="103">
        <v>-4.9999999999999858</v>
      </c>
    </row>
    <row r="534" spans="11:12" x14ac:dyDescent="0.4">
      <c r="K534" s="40">
        <v>532</v>
      </c>
      <c r="L534" s="103">
        <v>14.700000000000014</v>
      </c>
    </row>
    <row r="535" spans="11:12" x14ac:dyDescent="0.4">
      <c r="K535" s="40">
        <v>533</v>
      </c>
      <c r="L535" s="103">
        <v>-1.1999999999999869</v>
      </c>
    </row>
    <row r="536" spans="11:12" x14ac:dyDescent="0.4">
      <c r="K536" s="40">
        <v>534</v>
      </c>
      <c r="L536" s="103">
        <v>-4.9999999999999867</v>
      </c>
    </row>
    <row r="537" spans="11:12" x14ac:dyDescent="0.4">
      <c r="K537" s="40">
        <v>535</v>
      </c>
      <c r="L537" s="103">
        <v>18.800000000000015</v>
      </c>
    </row>
    <row r="538" spans="11:12" x14ac:dyDescent="0.4">
      <c r="K538" s="40">
        <v>536</v>
      </c>
      <c r="L538" s="103">
        <v>20.500000000000014</v>
      </c>
    </row>
    <row r="539" spans="11:12" x14ac:dyDescent="0.4">
      <c r="K539" s="40">
        <v>537</v>
      </c>
      <c r="L539" s="103">
        <v>-4.9999999999999858</v>
      </c>
    </row>
    <row r="540" spans="11:12" x14ac:dyDescent="0.4">
      <c r="K540" s="40">
        <v>538</v>
      </c>
      <c r="L540" s="103">
        <v>-1.4999999999999858</v>
      </c>
    </row>
    <row r="541" spans="11:12" x14ac:dyDescent="0.4">
      <c r="K541" s="40">
        <v>539</v>
      </c>
      <c r="L541" s="103">
        <v>-10.999999999999986</v>
      </c>
    </row>
    <row r="542" spans="11:12" x14ac:dyDescent="0.4">
      <c r="K542" s="40">
        <v>540</v>
      </c>
      <c r="L542" s="103">
        <v>-4.9999999999999858</v>
      </c>
    </row>
    <row r="543" spans="11:12" x14ac:dyDescent="0.4">
      <c r="K543" s="40">
        <v>541</v>
      </c>
      <c r="L543" s="103">
        <v>-9.7999999999999865</v>
      </c>
    </row>
    <row r="544" spans="11:12" x14ac:dyDescent="0.4">
      <c r="K544" s="40">
        <v>542</v>
      </c>
      <c r="L544" s="103">
        <v>16.000000000000014</v>
      </c>
    </row>
    <row r="545" spans="11:12" x14ac:dyDescent="0.4">
      <c r="K545" s="40">
        <v>543</v>
      </c>
      <c r="L545" s="103">
        <v>-4.9999999999999858</v>
      </c>
    </row>
    <row r="546" spans="11:12" x14ac:dyDescent="0.4">
      <c r="K546" s="40">
        <v>544</v>
      </c>
      <c r="L546" s="103">
        <v>27.500000000000014</v>
      </c>
    </row>
    <row r="547" spans="11:12" x14ac:dyDescent="0.4">
      <c r="K547" s="40">
        <v>545</v>
      </c>
      <c r="L547" s="103">
        <v>6.9000000000000128</v>
      </c>
    </row>
    <row r="548" spans="11:12" x14ac:dyDescent="0.4">
      <c r="K548" s="40">
        <v>546</v>
      </c>
      <c r="L548" s="103">
        <v>-4.9999999999999876</v>
      </c>
    </row>
    <row r="549" spans="11:12" x14ac:dyDescent="0.4">
      <c r="K549" s="40">
        <v>547</v>
      </c>
      <c r="L549" s="103">
        <v>12.100000000000014</v>
      </c>
    </row>
    <row r="550" spans="11:12" x14ac:dyDescent="0.4">
      <c r="K550" s="40">
        <v>548</v>
      </c>
      <c r="L550" s="103">
        <v>12.500000000000014</v>
      </c>
    </row>
    <row r="551" spans="11:12" x14ac:dyDescent="0.4">
      <c r="K551" s="40">
        <v>549</v>
      </c>
      <c r="L551" s="103">
        <v>-4.9999999999999858</v>
      </c>
    </row>
    <row r="552" spans="11:12" x14ac:dyDescent="0.4">
      <c r="K552" s="40">
        <v>550</v>
      </c>
      <c r="L552" s="103">
        <v>7.3000000000000149</v>
      </c>
    </row>
    <row r="553" spans="11:12" x14ac:dyDescent="0.4">
      <c r="K553" s="40">
        <v>551</v>
      </c>
      <c r="L553" s="103">
        <v>18.100000000000016</v>
      </c>
    </row>
    <row r="554" spans="11:12" x14ac:dyDescent="0.4">
      <c r="K554" s="40">
        <v>552</v>
      </c>
      <c r="L554" s="103">
        <v>-4.9999999999999858</v>
      </c>
    </row>
    <row r="555" spans="11:12" x14ac:dyDescent="0.4">
      <c r="K555" s="40">
        <v>553</v>
      </c>
      <c r="L555" s="103">
        <v>19.300000000000015</v>
      </c>
    </row>
    <row r="556" spans="11:12" x14ac:dyDescent="0.4">
      <c r="K556" s="40">
        <v>554</v>
      </c>
      <c r="L556" s="103">
        <v>6.4000000000000146</v>
      </c>
    </row>
    <row r="557" spans="11:12" x14ac:dyDescent="0.4">
      <c r="K557" s="40">
        <v>555</v>
      </c>
      <c r="L557" s="103">
        <v>-4.9999999999999858</v>
      </c>
    </row>
    <row r="558" spans="11:12" x14ac:dyDescent="0.4">
      <c r="K558" s="40">
        <v>556</v>
      </c>
      <c r="L558" s="103">
        <v>-17.199999999999985</v>
      </c>
    </row>
    <row r="559" spans="11:12" x14ac:dyDescent="0.4">
      <c r="K559" s="40">
        <v>557</v>
      </c>
      <c r="L559" s="103">
        <v>-12.299999999999985</v>
      </c>
    </row>
    <row r="560" spans="11:12" x14ac:dyDescent="0.4">
      <c r="K560" s="40">
        <v>558</v>
      </c>
      <c r="L560" s="103">
        <v>-4.9999999999999849</v>
      </c>
    </row>
    <row r="561" spans="11:12" x14ac:dyDescent="0.4">
      <c r="K561" s="40">
        <v>559</v>
      </c>
      <c r="L561" s="103">
        <v>-6.9999999999999849</v>
      </c>
    </row>
    <row r="562" spans="11:12" x14ac:dyDescent="0.4">
      <c r="K562" s="40">
        <v>560</v>
      </c>
      <c r="L562" s="103">
        <v>-0.39999999999998526</v>
      </c>
    </row>
    <row r="563" spans="11:12" x14ac:dyDescent="0.4">
      <c r="K563" s="40">
        <v>561</v>
      </c>
      <c r="L563" s="103">
        <v>-4.9999999999999849</v>
      </c>
    </row>
    <row r="564" spans="11:12" x14ac:dyDescent="0.4">
      <c r="K564" s="40">
        <v>562</v>
      </c>
      <c r="L564" s="103">
        <v>-45.599999999999987</v>
      </c>
    </row>
    <row r="565" spans="11:12" x14ac:dyDescent="0.4">
      <c r="K565" s="40">
        <v>563</v>
      </c>
      <c r="L565" s="103">
        <v>-81.499999999999986</v>
      </c>
    </row>
    <row r="566" spans="11:12" x14ac:dyDescent="0.4">
      <c r="K566" s="40">
        <v>564</v>
      </c>
      <c r="L566" s="103">
        <v>-4.9999999999999858</v>
      </c>
    </row>
    <row r="567" spans="11:12" x14ac:dyDescent="0.4">
      <c r="K567" s="40">
        <v>565</v>
      </c>
      <c r="L567" s="103">
        <v>16.700000000000014</v>
      </c>
    </row>
    <row r="568" spans="11:12" x14ac:dyDescent="0.4">
      <c r="K568" s="40">
        <v>566</v>
      </c>
      <c r="L568" s="103">
        <v>30.800000000000011</v>
      </c>
    </row>
    <row r="569" spans="11:12" x14ac:dyDescent="0.4">
      <c r="K569" s="40">
        <v>567</v>
      </c>
      <c r="L569" s="103">
        <v>-4.9999999999999858</v>
      </c>
    </row>
    <row r="570" spans="11:12" x14ac:dyDescent="0.4">
      <c r="K570" s="40">
        <v>568</v>
      </c>
      <c r="L570" s="103">
        <v>35.700000000000017</v>
      </c>
    </row>
    <row r="571" spans="11:12" x14ac:dyDescent="0.4">
      <c r="K571" s="40">
        <v>569</v>
      </c>
      <c r="L571" s="103">
        <v>-2.7999999999999829</v>
      </c>
    </row>
    <row r="572" spans="11:12" x14ac:dyDescent="0.4">
      <c r="K572" s="40">
        <v>570</v>
      </c>
      <c r="L572" s="103">
        <v>-4.9999999999999831</v>
      </c>
    </row>
    <row r="573" spans="11:12" x14ac:dyDescent="0.4">
      <c r="K573" s="40">
        <v>571</v>
      </c>
      <c r="L573" s="103">
        <v>3.0000000000000169</v>
      </c>
    </row>
    <row r="574" spans="11:12" x14ac:dyDescent="0.4">
      <c r="K574" s="40">
        <v>572</v>
      </c>
      <c r="L574" s="103">
        <v>11.900000000000016</v>
      </c>
    </row>
    <row r="575" spans="11:12" x14ac:dyDescent="0.4">
      <c r="K575" s="40">
        <v>573</v>
      </c>
      <c r="L575" s="103">
        <v>-4.9999999999999822</v>
      </c>
    </row>
    <row r="576" spans="11:12" x14ac:dyDescent="0.4">
      <c r="K576" s="40">
        <v>574</v>
      </c>
      <c r="L576" s="103">
        <v>2.7000000000000179</v>
      </c>
    </row>
    <row r="577" spans="11:12" x14ac:dyDescent="0.4">
      <c r="K577" s="40">
        <v>575</v>
      </c>
      <c r="L577" s="103">
        <v>32.40000000000002</v>
      </c>
    </row>
    <row r="578" spans="11:12" x14ac:dyDescent="0.4">
      <c r="K578" s="40">
        <v>576</v>
      </c>
      <c r="L578" s="103">
        <v>-4.9999999999999787</v>
      </c>
    </row>
    <row r="579" spans="11:12" x14ac:dyDescent="0.4">
      <c r="K579" s="40">
        <v>577</v>
      </c>
      <c r="L579" s="103">
        <v>-73.999999999999972</v>
      </c>
    </row>
    <row r="580" spans="11:12" x14ac:dyDescent="0.4">
      <c r="K580" s="40">
        <v>578</v>
      </c>
      <c r="L580" s="103">
        <v>-94.699999999999974</v>
      </c>
    </row>
    <row r="581" spans="11:12" x14ac:dyDescent="0.4">
      <c r="K581" s="40">
        <v>579</v>
      </c>
      <c r="L581" s="103">
        <v>-4.9999999999999716</v>
      </c>
    </row>
    <row r="582" spans="11:12" x14ac:dyDescent="0.4">
      <c r="K582" s="40">
        <v>580</v>
      </c>
      <c r="L582" s="103">
        <v>-7.9999999999999716</v>
      </c>
    </row>
    <row r="583" spans="11:12" x14ac:dyDescent="0.4">
      <c r="K583" s="40">
        <v>581</v>
      </c>
      <c r="L583" s="103">
        <v>-36.199999999999974</v>
      </c>
    </row>
    <row r="584" spans="11:12" x14ac:dyDescent="0.4">
      <c r="K584" s="40">
        <v>582</v>
      </c>
      <c r="L584" s="103">
        <v>-4.9999999999999751</v>
      </c>
    </row>
    <row r="585" spans="11:12" x14ac:dyDescent="0.4">
      <c r="K585" s="40">
        <v>583</v>
      </c>
      <c r="L585" s="103">
        <v>-7.5999999999999748</v>
      </c>
    </row>
    <row r="586" spans="11:12" x14ac:dyDescent="0.4">
      <c r="K586" s="40">
        <v>584</v>
      </c>
      <c r="L586" s="103">
        <v>-45.199999999999974</v>
      </c>
    </row>
    <row r="587" spans="11:12" x14ac:dyDescent="0.4">
      <c r="K587" s="40">
        <v>585</v>
      </c>
      <c r="L587" s="103">
        <v>-4.9999999999999716</v>
      </c>
    </row>
    <row r="588" spans="11:12" x14ac:dyDescent="0.4">
      <c r="K588" s="40">
        <v>586</v>
      </c>
      <c r="L588" s="103">
        <v>54.000000000000028</v>
      </c>
    </row>
    <row r="589" spans="11:12" x14ac:dyDescent="0.4">
      <c r="K589" s="40">
        <v>587</v>
      </c>
      <c r="L589" s="103">
        <v>16.000000000000028</v>
      </c>
    </row>
    <row r="590" spans="11:12" x14ac:dyDescent="0.4">
      <c r="K590" s="40">
        <v>588</v>
      </c>
      <c r="L590" s="103">
        <v>-4.9999999999999716</v>
      </c>
    </row>
    <row r="591" spans="11:12" x14ac:dyDescent="0.4">
      <c r="K591" s="40">
        <v>589</v>
      </c>
      <c r="L591" s="103">
        <v>-4.9999999999999716</v>
      </c>
    </row>
    <row r="592" spans="11:12" x14ac:dyDescent="0.4">
      <c r="K592" s="40">
        <v>590</v>
      </c>
      <c r="L592" s="103">
        <v>31.000000000000028</v>
      </c>
    </row>
    <row r="593" spans="11:12" x14ac:dyDescent="0.4">
      <c r="K593" s="40">
        <v>591</v>
      </c>
      <c r="L593" s="103">
        <v>-4.9999999999999716</v>
      </c>
    </row>
    <row r="594" spans="11:12" x14ac:dyDescent="0.4">
      <c r="K594" s="40">
        <v>592</v>
      </c>
      <c r="L594" s="103">
        <v>-25.499999999999972</v>
      </c>
    </row>
    <row r="595" spans="11:12" x14ac:dyDescent="0.4">
      <c r="K595" s="40">
        <v>593</v>
      </c>
      <c r="L595" s="103">
        <v>4.400000000000027</v>
      </c>
    </row>
    <row r="596" spans="11:12" x14ac:dyDescent="0.4">
      <c r="K596" s="40">
        <v>594</v>
      </c>
      <c r="L596" s="103">
        <v>-4.9999999999999734</v>
      </c>
    </row>
    <row r="597" spans="11:12" x14ac:dyDescent="0.4">
      <c r="K597" s="40">
        <v>595</v>
      </c>
      <c r="L597" s="103">
        <v>9.5000000000000266</v>
      </c>
    </row>
    <row r="598" spans="11:12" x14ac:dyDescent="0.4">
      <c r="K598" s="40">
        <v>596</v>
      </c>
      <c r="L598" s="103">
        <v>18.400000000000027</v>
      </c>
    </row>
    <row r="599" spans="11:12" x14ac:dyDescent="0.4">
      <c r="K599" s="40">
        <v>597</v>
      </c>
      <c r="L599" s="103">
        <v>-4.9999999999999716</v>
      </c>
    </row>
    <row r="600" spans="11:12" x14ac:dyDescent="0.4">
      <c r="K600" s="40">
        <v>598</v>
      </c>
      <c r="L600" s="103">
        <v>10.900000000000029</v>
      </c>
    </row>
    <row r="601" spans="11:12" x14ac:dyDescent="0.4">
      <c r="K601" s="40">
        <v>599</v>
      </c>
      <c r="L601" s="103">
        <v>34.400000000000027</v>
      </c>
    </row>
    <row r="602" spans="11:12" x14ac:dyDescent="0.4">
      <c r="K602" s="40">
        <v>600</v>
      </c>
      <c r="L602" s="103">
        <v>-4.9999999999999716</v>
      </c>
    </row>
    <row r="603" spans="11:12" x14ac:dyDescent="0.4">
      <c r="K603" s="40">
        <v>601</v>
      </c>
      <c r="L603" s="103">
        <v>-8.3999999999999719</v>
      </c>
    </row>
    <row r="604" spans="11:12" x14ac:dyDescent="0.4">
      <c r="K604" s="40">
        <v>602</v>
      </c>
      <c r="L604" s="103">
        <v>-22.89999999999997</v>
      </c>
    </row>
    <row r="605" spans="11:12" x14ac:dyDescent="0.4">
      <c r="K605" s="40">
        <v>603</v>
      </c>
      <c r="L605" s="103">
        <v>-4.9999999999999716</v>
      </c>
    </row>
    <row r="606" spans="11:12" x14ac:dyDescent="0.4">
      <c r="K606" s="40">
        <v>604</v>
      </c>
      <c r="L606" s="103">
        <v>-0.59999999999997122</v>
      </c>
    </row>
    <row r="607" spans="11:12" x14ac:dyDescent="0.4">
      <c r="K607" s="40">
        <v>605</v>
      </c>
      <c r="L607" s="103">
        <v>-6.399999999999971</v>
      </c>
    </row>
    <row r="608" spans="11:12" x14ac:dyDescent="0.4">
      <c r="K608" s="40">
        <v>606</v>
      </c>
      <c r="L608" s="103">
        <v>-4.9999999999999716</v>
      </c>
    </row>
    <row r="609" spans="11:12" x14ac:dyDescent="0.4">
      <c r="K609" s="40">
        <v>607</v>
      </c>
      <c r="L609" s="103">
        <v>34.500000000000028</v>
      </c>
    </row>
    <row r="610" spans="11:12" x14ac:dyDescent="0.4">
      <c r="K610" s="40">
        <v>608</v>
      </c>
      <c r="L610" s="103">
        <v>-2.1999999999999744</v>
      </c>
    </row>
    <row r="611" spans="11:12" x14ac:dyDescent="0.4">
      <c r="K611" s="40">
        <v>609</v>
      </c>
      <c r="L611" s="103">
        <v>-4.9999999999999742</v>
      </c>
    </row>
    <row r="612" spans="11:12" x14ac:dyDescent="0.4">
      <c r="K612" s="40">
        <v>610</v>
      </c>
      <c r="L612" s="103">
        <v>56.000000000000028</v>
      </c>
    </row>
    <row r="613" spans="11:12" x14ac:dyDescent="0.4">
      <c r="K613" s="40">
        <v>611</v>
      </c>
      <c r="L613" s="103">
        <v>8.5000000000000284</v>
      </c>
    </row>
    <row r="614" spans="11:12" x14ac:dyDescent="0.4">
      <c r="K614" s="40">
        <v>612</v>
      </c>
      <c r="L614" s="103">
        <v>-4.9999999999999716</v>
      </c>
    </row>
    <row r="615" spans="11:12" x14ac:dyDescent="0.4">
      <c r="K615" s="40">
        <v>613</v>
      </c>
      <c r="L615" s="103">
        <v>6.7000000000000277</v>
      </c>
    </row>
    <row r="616" spans="11:12" x14ac:dyDescent="0.4">
      <c r="K616" s="40">
        <v>614</v>
      </c>
      <c r="L616" s="103">
        <v>-16.799999999999972</v>
      </c>
    </row>
    <row r="617" spans="11:12" x14ac:dyDescent="0.4">
      <c r="K617" s="40">
        <v>615</v>
      </c>
      <c r="L617" s="103">
        <v>-4.9999999999999716</v>
      </c>
    </row>
    <row r="618" spans="11:12" x14ac:dyDescent="0.4">
      <c r="K618" s="40">
        <v>616</v>
      </c>
      <c r="L618" s="103">
        <v>11.10000000000003</v>
      </c>
    </row>
    <row r="619" spans="11:12" x14ac:dyDescent="0.4">
      <c r="K619" s="40">
        <v>617</v>
      </c>
      <c r="L619" s="103">
        <v>10.10000000000003</v>
      </c>
    </row>
    <row r="620" spans="11:12" x14ac:dyDescent="0.4">
      <c r="K620" s="40">
        <v>618</v>
      </c>
      <c r="L620" s="103">
        <v>-4.9999999999999698</v>
      </c>
    </row>
    <row r="621" spans="11:12" x14ac:dyDescent="0.4">
      <c r="K621" s="40">
        <v>619</v>
      </c>
      <c r="L621" s="103">
        <v>52.500000000000028</v>
      </c>
    </row>
    <row r="622" spans="11:12" x14ac:dyDescent="0.4">
      <c r="K622" s="40">
        <v>620</v>
      </c>
      <c r="L622" s="103">
        <v>6.7000000000000313</v>
      </c>
    </row>
    <row r="623" spans="11:12" x14ac:dyDescent="0.4">
      <c r="K623" s="40">
        <v>621</v>
      </c>
      <c r="L623" s="103">
        <v>-4.999999999999968</v>
      </c>
    </row>
    <row r="624" spans="11:12" x14ac:dyDescent="0.4">
      <c r="K624" s="40">
        <v>622</v>
      </c>
      <c r="L624" s="103">
        <v>-17.499999999999968</v>
      </c>
    </row>
    <row r="625" spans="11:12" x14ac:dyDescent="0.4">
      <c r="K625" s="40">
        <v>623</v>
      </c>
      <c r="L625" s="103">
        <v>-61.399999999999963</v>
      </c>
    </row>
    <row r="626" spans="11:12" x14ac:dyDescent="0.4">
      <c r="K626" s="40">
        <v>624</v>
      </c>
      <c r="L626" s="103">
        <v>-4.9999999999999645</v>
      </c>
    </row>
    <row r="627" spans="11:12" x14ac:dyDescent="0.4">
      <c r="K627" s="40">
        <v>625</v>
      </c>
      <c r="L627" s="103">
        <v>-46.999999999999964</v>
      </c>
    </row>
    <row r="628" spans="11:12" x14ac:dyDescent="0.4">
      <c r="K628" s="40">
        <v>626</v>
      </c>
      <c r="L628" s="103">
        <v>-49.999999999999964</v>
      </c>
    </row>
    <row r="629" spans="11:12" x14ac:dyDescent="0.4">
      <c r="K629" s="40">
        <v>627</v>
      </c>
      <c r="L629" s="103">
        <v>-4.9999999999999645</v>
      </c>
    </row>
    <row r="630" spans="11:12" x14ac:dyDescent="0.4">
      <c r="K630" s="40">
        <v>628</v>
      </c>
      <c r="L630" s="103">
        <v>5.7000000000000348</v>
      </c>
    </row>
    <row r="631" spans="11:12" x14ac:dyDescent="0.4">
      <c r="K631" s="40">
        <v>629</v>
      </c>
      <c r="L631" s="103">
        <v>1.7000000000000348</v>
      </c>
    </row>
    <row r="632" spans="11:12" x14ac:dyDescent="0.4">
      <c r="K632" s="40">
        <v>630</v>
      </c>
      <c r="L632" s="103">
        <v>-4.9999999999999654</v>
      </c>
    </row>
    <row r="633" spans="11:12" x14ac:dyDescent="0.4">
      <c r="K633" s="40">
        <v>631</v>
      </c>
      <c r="L633" s="103">
        <v>26.100000000000037</v>
      </c>
    </row>
    <row r="634" spans="11:12" x14ac:dyDescent="0.4">
      <c r="K634" s="40">
        <v>632</v>
      </c>
      <c r="L634" s="103">
        <v>-4.2999999999999616</v>
      </c>
    </row>
    <row r="635" spans="11:12" x14ac:dyDescent="0.4">
      <c r="K635" s="40">
        <v>633</v>
      </c>
      <c r="L635" s="103">
        <v>-4.9999999999999618</v>
      </c>
    </row>
    <row r="636" spans="11:12" x14ac:dyDescent="0.4">
      <c r="K636" s="40">
        <v>634</v>
      </c>
      <c r="L636" s="103">
        <v>5.2000000000000375</v>
      </c>
    </row>
    <row r="637" spans="11:12" x14ac:dyDescent="0.4">
      <c r="K637" s="40">
        <v>635</v>
      </c>
      <c r="L637" s="103">
        <v>-15.099999999999962</v>
      </c>
    </row>
    <row r="638" spans="11:12" x14ac:dyDescent="0.4">
      <c r="K638" s="40">
        <v>636</v>
      </c>
      <c r="L638" s="103">
        <v>-4.9999999999999627</v>
      </c>
    </row>
    <row r="639" spans="11:12" x14ac:dyDescent="0.4">
      <c r="K639" s="40">
        <v>637</v>
      </c>
      <c r="L639" s="103">
        <v>3.300000000000038</v>
      </c>
    </row>
    <row r="640" spans="11:12" x14ac:dyDescent="0.4">
      <c r="K640" s="40">
        <v>638</v>
      </c>
      <c r="L640" s="103">
        <v>30.80000000000004</v>
      </c>
    </row>
    <row r="641" spans="11:12" x14ac:dyDescent="0.4">
      <c r="K641" s="40">
        <v>639</v>
      </c>
      <c r="L641" s="103">
        <v>-4.9999999999999574</v>
      </c>
    </row>
    <row r="642" spans="11:12" x14ac:dyDescent="0.4">
      <c r="K642" s="40">
        <v>640</v>
      </c>
      <c r="L642" s="103">
        <v>-6.8999999999999577</v>
      </c>
    </row>
    <row r="643" spans="11:12" x14ac:dyDescent="0.4">
      <c r="K643" s="40">
        <v>641</v>
      </c>
      <c r="L643" s="103">
        <v>-1.1999999999999575</v>
      </c>
    </row>
    <row r="644" spans="11:12" x14ac:dyDescent="0.4">
      <c r="K644" s="40">
        <v>642</v>
      </c>
      <c r="L644" s="103">
        <v>-4.9999999999999574</v>
      </c>
    </row>
    <row r="645" spans="11:12" x14ac:dyDescent="0.4">
      <c r="K645" s="40">
        <v>643</v>
      </c>
      <c r="L645" s="103">
        <v>-4.4999999999999574</v>
      </c>
    </row>
    <row r="646" spans="11:12" x14ac:dyDescent="0.4">
      <c r="K646" s="40">
        <v>644</v>
      </c>
      <c r="L646" s="103">
        <v>8.7000000000000419</v>
      </c>
    </row>
    <row r="647" spans="11:12" x14ac:dyDescent="0.4">
      <c r="K647" s="40">
        <v>645</v>
      </c>
      <c r="L647" s="103">
        <v>-4.9999999999999574</v>
      </c>
    </row>
    <row r="648" spans="11:12" x14ac:dyDescent="0.4">
      <c r="K648" s="40">
        <v>646</v>
      </c>
      <c r="L648" s="103">
        <v>43.000000000000043</v>
      </c>
    </row>
    <row r="649" spans="11:12" x14ac:dyDescent="0.4">
      <c r="K649" s="40">
        <v>647</v>
      </c>
      <c r="L649" s="103">
        <v>36.000000000000043</v>
      </c>
    </row>
    <row r="650" spans="11:12" x14ac:dyDescent="0.4">
      <c r="K650" s="40">
        <v>648</v>
      </c>
      <c r="L650" s="103">
        <v>-4.9999999999999574</v>
      </c>
    </row>
    <row r="651" spans="11:12" x14ac:dyDescent="0.4">
      <c r="K651" s="40">
        <v>649</v>
      </c>
      <c r="L651" s="103">
        <v>17.800000000000043</v>
      </c>
    </row>
    <row r="652" spans="11:12" x14ac:dyDescent="0.4">
      <c r="K652" s="40">
        <v>650</v>
      </c>
      <c r="L652" s="103">
        <v>38.100000000000044</v>
      </c>
    </row>
    <row r="653" spans="11:12" x14ac:dyDescent="0.4">
      <c r="K653" s="40">
        <v>651</v>
      </c>
      <c r="L653" s="103">
        <v>-4.9999999999999574</v>
      </c>
    </row>
    <row r="654" spans="11:12" x14ac:dyDescent="0.4">
      <c r="K654" s="40">
        <v>652</v>
      </c>
      <c r="L654" s="103">
        <v>1.0000000000000426</v>
      </c>
    </row>
    <row r="655" spans="11:12" x14ac:dyDescent="0.4">
      <c r="K655" s="40">
        <v>653</v>
      </c>
      <c r="L655" s="103">
        <v>-4.9999999999999574</v>
      </c>
    </row>
    <row r="656" spans="11:12" x14ac:dyDescent="0.4">
      <c r="K656" s="40">
        <v>654</v>
      </c>
      <c r="L656" s="103">
        <v>-4.9999999999999574</v>
      </c>
    </row>
    <row r="657" spans="11:12" x14ac:dyDescent="0.4">
      <c r="K657" s="40">
        <v>655</v>
      </c>
      <c r="L657" s="103">
        <v>-21.999999999999957</v>
      </c>
    </row>
    <row r="658" spans="11:12" x14ac:dyDescent="0.4">
      <c r="K658" s="40">
        <v>656</v>
      </c>
      <c r="L658" s="103">
        <v>-1.2999999999999581</v>
      </c>
    </row>
    <row r="659" spans="11:12" x14ac:dyDescent="0.4">
      <c r="K659" s="40">
        <v>657</v>
      </c>
      <c r="L659" s="103">
        <v>-4.9999999999999583</v>
      </c>
    </row>
    <row r="660" spans="11:12" x14ac:dyDescent="0.4">
      <c r="K660" s="40">
        <v>658</v>
      </c>
      <c r="L660" s="103">
        <v>-31.199999999999957</v>
      </c>
    </row>
    <row r="661" spans="11:12" x14ac:dyDescent="0.4">
      <c r="K661" s="40">
        <v>659</v>
      </c>
      <c r="L661" s="103">
        <v>31.500000000000046</v>
      </c>
    </row>
    <row r="662" spans="11:12" x14ac:dyDescent="0.4">
      <c r="K662" s="40">
        <v>660</v>
      </c>
      <c r="L662" s="103">
        <v>-4.9999999999999538</v>
      </c>
    </row>
    <row r="663" spans="11:12" x14ac:dyDescent="0.4">
      <c r="K663" s="40">
        <v>661</v>
      </c>
      <c r="L663" s="103">
        <v>-23.899999999999952</v>
      </c>
    </row>
    <row r="664" spans="11:12" x14ac:dyDescent="0.4">
      <c r="K664" s="40">
        <v>662</v>
      </c>
      <c r="L664" s="103">
        <v>-17.299999999999955</v>
      </c>
    </row>
    <row r="665" spans="11:12" x14ac:dyDescent="0.4">
      <c r="K665" s="40">
        <v>663</v>
      </c>
      <c r="L665" s="103">
        <v>-4.9999999999999538</v>
      </c>
    </row>
    <row r="666" spans="11:12" x14ac:dyDescent="0.4">
      <c r="K666" s="40">
        <v>664</v>
      </c>
      <c r="L666" s="103">
        <v>31.000000000000046</v>
      </c>
    </row>
    <row r="667" spans="11:12" x14ac:dyDescent="0.4">
      <c r="K667" s="40">
        <v>665</v>
      </c>
      <c r="L667" s="103">
        <v>10.500000000000046</v>
      </c>
    </row>
    <row r="668" spans="11:12" x14ac:dyDescent="0.4">
      <c r="K668" s="40">
        <v>666</v>
      </c>
      <c r="L668" s="103">
        <v>-4.9999999999999538</v>
      </c>
    </row>
    <row r="669" spans="11:12" x14ac:dyDescent="0.4">
      <c r="K669" s="40">
        <v>667</v>
      </c>
      <c r="L669" s="103">
        <v>31.700000000000049</v>
      </c>
    </row>
    <row r="670" spans="11:12" x14ac:dyDescent="0.4">
      <c r="K670" s="40">
        <v>668</v>
      </c>
      <c r="L670" s="103">
        <v>-5.299999999999951</v>
      </c>
    </row>
    <row r="671" spans="11:12" x14ac:dyDescent="0.4">
      <c r="K671" s="40">
        <v>669</v>
      </c>
      <c r="L671" s="103">
        <v>-4.9999999999999512</v>
      </c>
    </row>
    <row r="672" spans="11:12" x14ac:dyDescent="0.4">
      <c r="K672" s="40">
        <v>670</v>
      </c>
      <c r="L672" s="103">
        <v>7.4000000000000492</v>
      </c>
    </row>
    <row r="673" spans="11:12" x14ac:dyDescent="0.4">
      <c r="K673" s="40">
        <v>671</v>
      </c>
      <c r="L673" s="103">
        <v>-9.1999999999999531</v>
      </c>
    </row>
    <row r="674" spans="11:12" x14ac:dyDescent="0.4">
      <c r="K674" s="40">
        <v>672</v>
      </c>
      <c r="L674" s="103">
        <v>-4.9999999999999529</v>
      </c>
    </row>
    <row r="675" spans="11:12" x14ac:dyDescent="0.4">
      <c r="K675" s="40">
        <v>673</v>
      </c>
      <c r="L675" s="103">
        <v>9.0000000000000462</v>
      </c>
    </row>
    <row r="676" spans="11:12" x14ac:dyDescent="0.4">
      <c r="K676" s="40">
        <v>674</v>
      </c>
      <c r="L676" s="103">
        <v>36.400000000000048</v>
      </c>
    </row>
    <row r="677" spans="11:12" x14ac:dyDescent="0.4">
      <c r="K677" s="40">
        <v>675</v>
      </c>
      <c r="L677" s="103">
        <v>-4.9999999999999503</v>
      </c>
    </row>
    <row r="678" spans="11:12" x14ac:dyDescent="0.4">
      <c r="K678" s="40">
        <v>676</v>
      </c>
      <c r="L678" s="103">
        <v>1.8000000000000496</v>
      </c>
    </row>
    <row r="679" spans="11:12" x14ac:dyDescent="0.4">
      <c r="K679" s="40">
        <v>677</v>
      </c>
      <c r="L679" s="103">
        <v>29.50000000000005</v>
      </c>
    </row>
    <row r="680" spans="11:12" x14ac:dyDescent="0.4">
      <c r="K680" s="40">
        <v>678</v>
      </c>
      <c r="L680" s="103">
        <v>-4.9999999999999503</v>
      </c>
    </row>
    <row r="681" spans="11:12" x14ac:dyDescent="0.4">
      <c r="K681" s="40">
        <v>679</v>
      </c>
      <c r="L681" s="103">
        <v>-12.59999999999995</v>
      </c>
    </row>
    <row r="682" spans="11:12" x14ac:dyDescent="0.4">
      <c r="K682" s="40">
        <v>680</v>
      </c>
      <c r="L682" s="103">
        <v>-14.59999999999995</v>
      </c>
    </row>
    <row r="683" spans="11:12" x14ac:dyDescent="0.4">
      <c r="K683" s="40">
        <v>681</v>
      </c>
      <c r="L683" s="103">
        <v>-4.9999999999999503</v>
      </c>
    </row>
    <row r="684" spans="11:12" x14ac:dyDescent="0.4">
      <c r="K684" s="40">
        <v>682</v>
      </c>
      <c r="L684" s="103">
        <v>21.200000000000049</v>
      </c>
    </row>
    <row r="685" spans="11:12" x14ac:dyDescent="0.4">
      <c r="K685" s="40">
        <v>683</v>
      </c>
      <c r="L685" s="103">
        <v>-7.1999999999999496</v>
      </c>
    </row>
    <row r="686" spans="11:12" x14ac:dyDescent="0.4">
      <c r="K686" s="40">
        <v>684</v>
      </c>
      <c r="L686" s="103">
        <v>-4.9999999999999494</v>
      </c>
    </row>
    <row r="687" spans="11:12" x14ac:dyDescent="0.4">
      <c r="K687" s="40">
        <v>685</v>
      </c>
      <c r="L687" s="103">
        <v>8.700000000000049</v>
      </c>
    </row>
    <row r="688" spans="11:12" x14ac:dyDescent="0.4">
      <c r="K688" s="40">
        <v>686</v>
      </c>
      <c r="L688" s="103">
        <v>-5.0999999999999517</v>
      </c>
    </row>
    <row r="689" spans="11:12" x14ac:dyDescent="0.4">
      <c r="K689" s="40">
        <v>687</v>
      </c>
      <c r="L689" s="103">
        <v>-4.999999999999952</v>
      </c>
    </row>
    <row r="690" spans="11:12" x14ac:dyDescent="0.4">
      <c r="K690" s="40">
        <v>688</v>
      </c>
      <c r="L690" s="103">
        <v>-4.6999999999999522</v>
      </c>
    </row>
    <row r="691" spans="11:12" x14ac:dyDescent="0.4">
      <c r="K691" s="40">
        <v>689</v>
      </c>
      <c r="L691" s="103">
        <v>-21.599999999999952</v>
      </c>
    </row>
    <row r="692" spans="11:12" x14ac:dyDescent="0.4">
      <c r="K692" s="40">
        <v>690</v>
      </c>
      <c r="L692" s="103">
        <v>-4.9999999999999503</v>
      </c>
    </row>
    <row r="693" spans="11:12" x14ac:dyDescent="0.4">
      <c r="K693" s="40">
        <v>691</v>
      </c>
      <c r="L693" s="103">
        <v>-10.399999999999951</v>
      </c>
    </row>
    <row r="694" spans="11:12" x14ac:dyDescent="0.4">
      <c r="K694" s="40">
        <v>692</v>
      </c>
      <c r="L694" s="103">
        <v>-35.799999999999947</v>
      </c>
    </row>
    <row r="695" spans="11:12" x14ac:dyDescent="0.4">
      <c r="K695" s="40">
        <v>693</v>
      </c>
      <c r="L695" s="103">
        <v>-4.9999999999999467</v>
      </c>
    </row>
    <row r="696" spans="11:12" x14ac:dyDescent="0.4">
      <c r="K696" s="40">
        <v>694</v>
      </c>
      <c r="L696" s="103">
        <v>-48.199999999999946</v>
      </c>
    </row>
    <row r="697" spans="11:12" x14ac:dyDescent="0.4">
      <c r="K697" s="40">
        <v>695</v>
      </c>
      <c r="L697" s="103">
        <v>-68.699999999999946</v>
      </c>
    </row>
    <row r="698" spans="11:12" x14ac:dyDescent="0.4">
      <c r="K698" s="40">
        <v>696</v>
      </c>
      <c r="L698" s="103">
        <v>-4.9999999999999432</v>
      </c>
    </row>
    <row r="699" spans="11:12" x14ac:dyDescent="0.4">
      <c r="K699" s="40">
        <v>697</v>
      </c>
      <c r="L699" s="103">
        <v>13.200000000000056</v>
      </c>
    </row>
    <row r="700" spans="11:12" x14ac:dyDescent="0.4">
      <c r="K700" s="40">
        <v>698</v>
      </c>
      <c r="L700" s="103">
        <v>-17.499999999999943</v>
      </c>
    </row>
    <row r="701" spans="11:12" x14ac:dyDescent="0.4">
      <c r="K701" s="40">
        <v>699</v>
      </c>
      <c r="L701" s="103">
        <v>-4.9999999999999432</v>
      </c>
    </row>
    <row r="702" spans="11:12" x14ac:dyDescent="0.4">
      <c r="K702" s="40">
        <v>700</v>
      </c>
      <c r="L702" s="103">
        <v>17.800000000000058</v>
      </c>
    </row>
    <row r="703" spans="11:12" x14ac:dyDescent="0.4">
      <c r="K703" s="40">
        <v>701</v>
      </c>
      <c r="L703" s="103">
        <v>-22.199999999999942</v>
      </c>
    </row>
    <row r="704" spans="11:12" x14ac:dyDescent="0.4">
      <c r="K704" s="40">
        <v>702</v>
      </c>
      <c r="L704" s="103">
        <v>-4.9999999999999432</v>
      </c>
    </row>
    <row r="705" spans="11:12" x14ac:dyDescent="0.4">
      <c r="K705" s="40">
        <v>703</v>
      </c>
      <c r="L705" s="103">
        <v>3.1000000000000565</v>
      </c>
    </row>
    <row r="706" spans="11:12" x14ac:dyDescent="0.4">
      <c r="K706" s="40">
        <v>704</v>
      </c>
      <c r="L706" s="103">
        <v>25.600000000000058</v>
      </c>
    </row>
    <row r="707" spans="11:12" x14ac:dyDescent="0.4">
      <c r="K707" s="40">
        <v>705</v>
      </c>
      <c r="L707" s="103">
        <v>-4.9999999999999432</v>
      </c>
    </row>
    <row r="708" spans="11:12" x14ac:dyDescent="0.4">
      <c r="K708" s="40">
        <v>706</v>
      </c>
      <c r="L708" s="103">
        <v>5.6843418860808015E-14</v>
      </c>
    </row>
    <row r="709" spans="11:12" x14ac:dyDescent="0.4">
      <c r="K709" s="40">
        <v>707</v>
      </c>
      <c r="L709" s="103">
        <v>-28.799999999999944</v>
      </c>
    </row>
    <row r="710" spans="11:12" x14ac:dyDescent="0.4">
      <c r="K710" s="40">
        <v>708</v>
      </c>
      <c r="L710" s="103">
        <v>-4.9999999999999432</v>
      </c>
    </row>
    <row r="711" spans="11:12" x14ac:dyDescent="0.4">
      <c r="K711" s="40">
        <v>709</v>
      </c>
      <c r="L711" s="103">
        <v>-43.999999999999943</v>
      </c>
    </row>
    <row r="712" spans="11:12" x14ac:dyDescent="0.4">
      <c r="K712" s="40">
        <v>710</v>
      </c>
      <c r="L712" s="103">
        <v>-28.499999999999943</v>
      </c>
    </row>
    <row r="713" spans="11:12" x14ac:dyDescent="0.4">
      <c r="K713" s="40">
        <v>711</v>
      </c>
      <c r="L713" s="103">
        <v>-4.9999999999999432</v>
      </c>
    </row>
    <row r="714" spans="11:12" x14ac:dyDescent="0.4">
      <c r="K714" s="40">
        <v>712</v>
      </c>
      <c r="L714" s="103">
        <v>2.5000000000000568</v>
      </c>
    </row>
    <row r="715" spans="11:12" x14ac:dyDescent="0.4">
      <c r="K715" s="40">
        <v>713</v>
      </c>
      <c r="L715" s="103">
        <v>45.500000000000057</v>
      </c>
    </row>
    <row r="716" spans="11:12" x14ac:dyDescent="0.4">
      <c r="K716" s="40">
        <v>714</v>
      </c>
      <c r="L716" s="103">
        <v>-4.9999999999999432</v>
      </c>
    </row>
    <row r="717" spans="11:12" x14ac:dyDescent="0.4">
      <c r="K717" s="40">
        <v>715</v>
      </c>
      <c r="L717" s="103">
        <v>12.800000000000058</v>
      </c>
    </row>
    <row r="718" spans="11:12" x14ac:dyDescent="0.4">
      <c r="K718" s="40">
        <v>716</v>
      </c>
      <c r="L718" s="103">
        <v>-6.7999999999999439</v>
      </c>
    </row>
    <row r="719" spans="11:12" x14ac:dyDescent="0.4">
      <c r="K719" s="40">
        <v>717</v>
      </c>
      <c r="L719" s="103">
        <v>-4.999999999999944</v>
      </c>
    </row>
    <row r="720" spans="11:12" x14ac:dyDescent="0.4">
      <c r="K720" s="40">
        <v>718</v>
      </c>
      <c r="L720" s="103">
        <v>3.2000000000000552</v>
      </c>
    </row>
    <row r="721" spans="11:12" x14ac:dyDescent="0.4">
      <c r="K721" s="40">
        <v>719</v>
      </c>
      <c r="L721" s="103">
        <v>-18.599999999999945</v>
      </c>
    </row>
    <row r="722" spans="11:12" x14ac:dyDescent="0.4">
      <c r="K722" s="40">
        <v>720</v>
      </c>
      <c r="L722" s="103">
        <v>-4.9999999999999449</v>
      </c>
    </row>
    <row r="723" spans="11:12" x14ac:dyDescent="0.4">
      <c r="K723" s="40">
        <v>721</v>
      </c>
      <c r="L723" s="103">
        <v>8.0000000000000551</v>
      </c>
    </row>
    <row r="724" spans="11:12" x14ac:dyDescent="0.4">
      <c r="K724" s="40">
        <v>722</v>
      </c>
      <c r="L724" s="103">
        <v>10.100000000000055</v>
      </c>
    </row>
    <row r="725" spans="11:12" x14ac:dyDescent="0.4">
      <c r="K725" s="40">
        <v>723</v>
      </c>
      <c r="L725" s="103">
        <v>-4.9999999999999449</v>
      </c>
    </row>
    <row r="726" spans="11:12" x14ac:dyDescent="0.4">
      <c r="K726" s="40">
        <v>724</v>
      </c>
      <c r="L726" s="103">
        <v>-44.099999999999945</v>
      </c>
    </row>
    <row r="727" spans="11:12" x14ac:dyDescent="0.4">
      <c r="K727" s="40">
        <v>725</v>
      </c>
      <c r="L727" s="103">
        <v>-56.29999999999994</v>
      </c>
    </row>
    <row r="728" spans="11:12" x14ac:dyDescent="0.4">
      <c r="K728" s="40">
        <v>726</v>
      </c>
      <c r="L728" s="103">
        <v>-4.9999999999999432</v>
      </c>
    </row>
    <row r="729" spans="11:12" x14ac:dyDescent="0.4">
      <c r="K729" s="40">
        <v>727</v>
      </c>
      <c r="L729" s="103">
        <v>31.900000000000055</v>
      </c>
    </row>
    <row r="730" spans="11:12" x14ac:dyDescent="0.4">
      <c r="K730" s="40">
        <v>728</v>
      </c>
      <c r="L730" s="103">
        <v>20.100000000000055</v>
      </c>
    </row>
    <row r="731" spans="11:12" x14ac:dyDescent="0.4">
      <c r="K731" s="40">
        <v>729</v>
      </c>
      <c r="L731" s="103">
        <v>-4.9999999999999467</v>
      </c>
    </row>
    <row r="732" spans="11:12" x14ac:dyDescent="0.4">
      <c r="K732" s="40">
        <v>730</v>
      </c>
      <c r="L732" s="103">
        <v>6.0000000000000533</v>
      </c>
    </row>
    <row r="733" spans="11:12" x14ac:dyDescent="0.4">
      <c r="K733" s="40">
        <v>731</v>
      </c>
      <c r="L733" s="103">
        <v>-5.4999999999999467</v>
      </c>
    </row>
    <row r="734" spans="11:12" x14ac:dyDescent="0.4">
      <c r="K734" s="40">
        <v>732</v>
      </c>
      <c r="L734" s="103">
        <v>-4.9999999999999467</v>
      </c>
    </row>
    <row r="735" spans="11:12" x14ac:dyDescent="0.4">
      <c r="K735" s="40">
        <v>733</v>
      </c>
      <c r="L735" s="103">
        <v>-41.999999999999943</v>
      </c>
    </row>
    <row r="736" spans="11:12" x14ac:dyDescent="0.4">
      <c r="K736" s="40">
        <v>734</v>
      </c>
      <c r="L736" s="103">
        <v>-37.999999999999943</v>
      </c>
    </row>
    <row r="737" spans="11:12" x14ac:dyDescent="0.4">
      <c r="K737" s="40">
        <v>735</v>
      </c>
      <c r="L737" s="103">
        <v>-4.9999999999999432</v>
      </c>
    </row>
    <row r="738" spans="11:12" x14ac:dyDescent="0.4">
      <c r="K738" s="40">
        <v>736</v>
      </c>
      <c r="L738" s="103">
        <v>5.3000000000000576</v>
      </c>
    </row>
    <row r="739" spans="11:12" x14ac:dyDescent="0.4">
      <c r="K739" s="40">
        <v>737</v>
      </c>
      <c r="L739" s="103">
        <v>5.0000000000000577</v>
      </c>
    </row>
    <row r="740" spans="11:12" x14ac:dyDescent="0.4">
      <c r="K740" s="40">
        <v>738</v>
      </c>
      <c r="L740" s="103">
        <v>-4.9999999999999423</v>
      </c>
    </row>
    <row r="741" spans="11:12" x14ac:dyDescent="0.4">
      <c r="K741" s="40">
        <v>739</v>
      </c>
      <c r="L741" s="103">
        <v>5.1000000000000574</v>
      </c>
    </row>
    <row r="742" spans="11:12" x14ac:dyDescent="0.4">
      <c r="K742" s="40">
        <v>740</v>
      </c>
      <c r="L742" s="103">
        <v>29.20000000000006</v>
      </c>
    </row>
    <row r="743" spans="11:12" x14ac:dyDescent="0.4">
      <c r="K743" s="40">
        <v>741</v>
      </c>
      <c r="L743" s="103">
        <v>-4.9999999999999432</v>
      </c>
    </row>
    <row r="744" spans="11:12" x14ac:dyDescent="0.4">
      <c r="K744" s="40">
        <v>742</v>
      </c>
      <c r="L744" s="103">
        <v>16.700000000000056</v>
      </c>
    </row>
    <row r="745" spans="11:12" x14ac:dyDescent="0.4">
      <c r="K745" s="40">
        <v>743</v>
      </c>
      <c r="L745" s="103">
        <v>41.20000000000006</v>
      </c>
    </row>
    <row r="746" spans="11:12" x14ac:dyDescent="0.4">
      <c r="K746" s="40">
        <v>744</v>
      </c>
      <c r="L746" s="103">
        <v>-4.9999999999999432</v>
      </c>
    </row>
    <row r="747" spans="11:12" x14ac:dyDescent="0.4">
      <c r="K747" s="40">
        <v>745</v>
      </c>
      <c r="L747" s="103">
        <v>-45.399999999999942</v>
      </c>
    </row>
    <row r="748" spans="11:12" x14ac:dyDescent="0.4">
      <c r="K748" s="40">
        <v>746</v>
      </c>
      <c r="L748" s="103">
        <v>-4.0999999999999446</v>
      </c>
    </row>
    <row r="749" spans="11:12" x14ac:dyDescent="0.4">
      <c r="K749" s="40">
        <v>747</v>
      </c>
      <c r="L749" s="103">
        <v>-4.9999999999999449</v>
      </c>
    </row>
    <row r="750" spans="11:12" x14ac:dyDescent="0.4">
      <c r="K750" s="40">
        <v>748</v>
      </c>
      <c r="L750" s="103">
        <v>0.60000000000005471</v>
      </c>
    </row>
    <row r="751" spans="11:12" x14ac:dyDescent="0.4">
      <c r="K751" s="40">
        <v>749</v>
      </c>
      <c r="L751" s="103">
        <v>12.000000000000055</v>
      </c>
    </row>
    <row r="752" spans="11:12" x14ac:dyDescent="0.4">
      <c r="K752" s="40">
        <v>750</v>
      </c>
      <c r="L752" s="103">
        <v>-4.9999999999999449</v>
      </c>
    </row>
    <row r="753" spans="11:12" x14ac:dyDescent="0.4">
      <c r="K753" s="40">
        <v>751</v>
      </c>
      <c r="L753" s="103">
        <v>-53.999999999999943</v>
      </c>
    </row>
    <row r="754" spans="11:12" x14ac:dyDescent="0.4">
      <c r="K754" s="40">
        <v>752</v>
      </c>
      <c r="L754" s="103">
        <v>-37.499999999999943</v>
      </c>
    </row>
    <row r="755" spans="11:12" x14ac:dyDescent="0.4">
      <c r="K755" s="40">
        <v>753</v>
      </c>
      <c r="L755" s="103">
        <v>-4.9999999999999432</v>
      </c>
    </row>
    <row r="756" spans="11:12" x14ac:dyDescent="0.4">
      <c r="K756" s="40">
        <v>754</v>
      </c>
      <c r="L756" s="103">
        <v>47.100000000000058</v>
      </c>
    </row>
    <row r="757" spans="11:12" x14ac:dyDescent="0.4">
      <c r="K757" s="40">
        <v>755</v>
      </c>
      <c r="L757" s="103">
        <v>31.70000000000006</v>
      </c>
    </row>
    <row r="758" spans="11:12" x14ac:dyDescent="0.4">
      <c r="K758" s="40">
        <v>756</v>
      </c>
      <c r="L758" s="103">
        <v>-4.9999999999999432</v>
      </c>
    </row>
    <row r="759" spans="11:12" x14ac:dyDescent="0.4">
      <c r="K759" s="40">
        <v>757</v>
      </c>
      <c r="L759" s="103">
        <v>-0.49999999999994316</v>
      </c>
    </row>
    <row r="760" spans="11:12" x14ac:dyDescent="0.4">
      <c r="K760" s="40">
        <v>758</v>
      </c>
      <c r="L760" s="103">
        <v>42.000000000000057</v>
      </c>
    </row>
    <row r="761" spans="11:12" x14ac:dyDescent="0.4">
      <c r="K761" s="40">
        <v>759</v>
      </c>
      <c r="L761" s="103">
        <v>-4.9999999999999432</v>
      </c>
    </row>
    <row r="762" spans="11:12" x14ac:dyDescent="0.4">
      <c r="K762" s="40">
        <v>760</v>
      </c>
      <c r="L762" s="103">
        <v>-19.999999999999943</v>
      </c>
    </row>
    <row r="763" spans="11:12" x14ac:dyDescent="0.4">
      <c r="K763" s="40">
        <v>761</v>
      </c>
      <c r="L763" s="103">
        <v>-63.199999999999946</v>
      </c>
    </row>
    <row r="764" spans="11:12" x14ac:dyDescent="0.4">
      <c r="K764" s="40">
        <v>762</v>
      </c>
      <c r="L764" s="103">
        <v>-4.9999999999999432</v>
      </c>
    </row>
    <row r="765" spans="11:12" x14ac:dyDescent="0.4">
      <c r="K765" s="40">
        <v>763</v>
      </c>
      <c r="L765" s="103">
        <v>2.8000000000000567</v>
      </c>
    </row>
    <row r="766" spans="11:12" x14ac:dyDescent="0.4">
      <c r="K766" s="40">
        <v>764</v>
      </c>
      <c r="L766" s="103">
        <v>11.800000000000058</v>
      </c>
    </row>
    <row r="767" spans="11:12" x14ac:dyDescent="0.4">
      <c r="K767" s="40">
        <v>765</v>
      </c>
      <c r="L767" s="103">
        <v>-4.9999999999999432</v>
      </c>
    </row>
    <row r="768" spans="11:12" x14ac:dyDescent="0.4">
      <c r="K768" s="40">
        <v>766</v>
      </c>
      <c r="L768" s="103">
        <v>13.600000000000058</v>
      </c>
    </row>
    <row r="769" spans="11:12" x14ac:dyDescent="0.4">
      <c r="K769" s="40">
        <v>767</v>
      </c>
      <c r="L769" s="103">
        <v>11.600000000000058</v>
      </c>
    </row>
    <row r="770" spans="11:12" x14ac:dyDescent="0.4">
      <c r="K770" s="40">
        <v>768</v>
      </c>
      <c r="L770" s="103">
        <v>-4.9999999999999432</v>
      </c>
    </row>
    <row r="771" spans="11:12" x14ac:dyDescent="0.4">
      <c r="K771" s="40">
        <v>769</v>
      </c>
      <c r="L771" s="103">
        <v>1.200000000000057</v>
      </c>
    </row>
    <row r="772" spans="11:12" x14ac:dyDescent="0.4">
      <c r="K772" s="40">
        <v>770</v>
      </c>
      <c r="L772" s="103">
        <v>5.700000000000057</v>
      </c>
    </row>
    <row r="773" spans="11:12" x14ac:dyDescent="0.4">
      <c r="K773" s="40">
        <v>771</v>
      </c>
      <c r="L773" s="103">
        <v>-4.9999999999999423</v>
      </c>
    </row>
    <row r="774" spans="11:12" x14ac:dyDescent="0.4">
      <c r="K774" s="40">
        <v>772</v>
      </c>
      <c r="L774" s="103">
        <v>7.6000000000000574</v>
      </c>
    </row>
    <row r="775" spans="11:12" x14ac:dyDescent="0.4">
      <c r="K775" s="40">
        <v>773</v>
      </c>
      <c r="L775" s="103">
        <v>8.4000000000000572</v>
      </c>
    </row>
    <row r="776" spans="11:12" x14ac:dyDescent="0.4">
      <c r="K776" s="40">
        <v>774</v>
      </c>
      <c r="L776" s="103">
        <v>-4.9999999999999432</v>
      </c>
    </row>
    <row r="777" spans="11:12" x14ac:dyDescent="0.4">
      <c r="K777" s="40">
        <v>775</v>
      </c>
      <c r="L777" s="103">
        <v>-0.99999999999994316</v>
      </c>
    </row>
    <row r="778" spans="11:12" x14ac:dyDescent="0.4">
      <c r="K778" s="40">
        <v>776</v>
      </c>
      <c r="L778" s="103">
        <v>-38.29999999999994</v>
      </c>
    </row>
    <row r="779" spans="11:12" x14ac:dyDescent="0.4">
      <c r="K779" s="40">
        <v>777</v>
      </c>
      <c r="L779" s="103">
        <v>-4.9999999999999432</v>
      </c>
    </row>
    <row r="780" spans="11:12" x14ac:dyDescent="0.4">
      <c r="K780" s="40">
        <v>778</v>
      </c>
      <c r="L780" s="103">
        <v>30.000000000000057</v>
      </c>
    </row>
    <row r="781" spans="11:12" x14ac:dyDescent="0.4">
      <c r="K781" s="40">
        <v>779</v>
      </c>
      <c r="L781" s="103">
        <v>-5.4999999999999432</v>
      </c>
    </row>
    <row r="782" spans="11:12" x14ac:dyDescent="0.4">
      <c r="K782" s="40">
        <v>780</v>
      </c>
      <c r="L782" s="103">
        <v>-4.9999999999999432</v>
      </c>
    </row>
    <row r="783" spans="11:12" x14ac:dyDescent="0.4">
      <c r="K783" s="40">
        <v>781</v>
      </c>
      <c r="L783" s="103">
        <v>8.4000000000000572</v>
      </c>
    </row>
    <row r="784" spans="11:12" x14ac:dyDescent="0.4">
      <c r="K784" s="40">
        <v>782</v>
      </c>
      <c r="L784" s="103">
        <v>17.400000000000055</v>
      </c>
    </row>
    <row r="785" spans="11:12" x14ac:dyDescent="0.4">
      <c r="K785" s="40">
        <v>783</v>
      </c>
      <c r="L785" s="103">
        <v>-4.9999999999999432</v>
      </c>
    </row>
    <row r="786" spans="11:12" x14ac:dyDescent="0.4">
      <c r="K786" s="40">
        <v>784</v>
      </c>
      <c r="L786" s="103">
        <v>1.1000000000000565</v>
      </c>
    </row>
    <row r="787" spans="11:12" x14ac:dyDescent="0.4">
      <c r="K787" s="40">
        <v>785</v>
      </c>
      <c r="L787" s="103">
        <v>-4.1999999999999433</v>
      </c>
    </row>
    <row r="788" spans="11:12" x14ac:dyDescent="0.4">
      <c r="K788" s="40">
        <v>786</v>
      </c>
      <c r="L788" s="103">
        <v>-4.9999999999999432</v>
      </c>
    </row>
    <row r="789" spans="11:12" x14ac:dyDescent="0.4">
      <c r="K789" s="40">
        <v>787</v>
      </c>
      <c r="L789" s="103">
        <v>61.70000000000006</v>
      </c>
    </row>
    <row r="790" spans="11:12" x14ac:dyDescent="0.4">
      <c r="K790" s="40">
        <v>788</v>
      </c>
      <c r="L790" s="103">
        <v>2.8000000000000611</v>
      </c>
    </row>
    <row r="791" spans="11:12" x14ac:dyDescent="0.4">
      <c r="K791" s="40">
        <v>789</v>
      </c>
      <c r="L791" s="103">
        <v>-4.9999999999999387</v>
      </c>
    </row>
    <row r="792" spans="11:12" x14ac:dyDescent="0.4">
      <c r="K792" s="40">
        <v>790</v>
      </c>
      <c r="L792" s="103">
        <v>-43.099999999999937</v>
      </c>
    </row>
    <row r="793" spans="11:12" x14ac:dyDescent="0.4">
      <c r="K793" s="40">
        <v>791</v>
      </c>
      <c r="L793" s="103">
        <v>-2.3999999999999346</v>
      </c>
    </row>
    <row r="794" spans="11:12" x14ac:dyDescent="0.4">
      <c r="K794" s="40">
        <v>792</v>
      </c>
      <c r="L794" s="103">
        <v>-4.9999999999999343</v>
      </c>
    </row>
    <row r="795" spans="11:12" x14ac:dyDescent="0.4">
      <c r="K795" s="40">
        <v>793</v>
      </c>
      <c r="L795" s="103">
        <v>18.000000000000064</v>
      </c>
    </row>
    <row r="796" spans="11:12" x14ac:dyDescent="0.4">
      <c r="K796" s="40">
        <v>794</v>
      </c>
      <c r="L796" s="103">
        <v>9.5000000000000639</v>
      </c>
    </row>
    <row r="797" spans="11:12" x14ac:dyDescent="0.4">
      <c r="K797" s="40">
        <v>795</v>
      </c>
      <c r="L797" s="103">
        <v>-4.9999999999999361</v>
      </c>
    </row>
    <row r="798" spans="11:12" x14ac:dyDescent="0.4">
      <c r="K798" s="40">
        <v>796</v>
      </c>
      <c r="L798" s="103">
        <v>4.5000000000000639</v>
      </c>
    </row>
    <row r="799" spans="11:12" x14ac:dyDescent="0.4">
      <c r="K799" s="40">
        <v>797</v>
      </c>
      <c r="L799" s="103">
        <v>-6.7999999999999368</v>
      </c>
    </row>
    <row r="800" spans="11:12" x14ac:dyDescent="0.4">
      <c r="K800" s="40">
        <v>798</v>
      </c>
      <c r="L800" s="103">
        <v>-4.9999999999999369</v>
      </c>
    </row>
    <row r="801" spans="11:12" x14ac:dyDescent="0.4">
      <c r="K801" s="40">
        <v>799</v>
      </c>
      <c r="L801" s="103">
        <v>6.3060667798708891E-14</v>
      </c>
    </row>
    <row r="802" spans="11:12" x14ac:dyDescent="0.4">
      <c r="K802" s="40">
        <v>800</v>
      </c>
      <c r="L802" s="103">
        <v>0.70000000000006302</v>
      </c>
    </row>
    <row r="803" spans="11:12" x14ac:dyDescent="0.4">
      <c r="K803" s="40">
        <v>801</v>
      </c>
      <c r="L803" s="103">
        <v>-4.9999999999999369</v>
      </c>
    </row>
    <row r="804" spans="11:12" x14ac:dyDescent="0.4">
      <c r="K804" s="40">
        <v>802</v>
      </c>
      <c r="L804" s="103">
        <v>2.8000000000000629</v>
      </c>
    </row>
    <row r="805" spans="11:12" x14ac:dyDescent="0.4">
      <c r="K805" s="40">
        <v>803</v>
      </c>
      <c r="L805" s="103">
        <v>-36.699999999999939</v>
      </c>
    </row>
    <row r="806" spans="11:12" x14ac:dyDescent="0.4">
      <c r="K806" s="40">
        <v>804</v>
      </c>
      <c r="L806" s="103">
        <v>-4.9999999999999396</v>
      </c>
    </row>
    <row r="807" spans="11:12" x14ac:dyDescent="0.4">
      <c r="K807" s="40">
        <v>805</v>
      </c>
      <c r="L807" s="103">
        <v>37.300000000000054</v>
      </c>
    </row>
    <row r="808" spans="11:12" x14ac:dyDescent="0.4">
      <c r="K808" s="40">
        <v>806</v>
      </c>
      <c r="L808" s="103">
        <v>-7.9999999999999432</v>
      </c>
    </row>
    <row r="809" spans="11:12" x14ac:dyDescent="0.4">
      <c r="K809" s="40">
        <v>807</v>
      </c>
      <c r="L809" s="103">
        <v>-4.9999999999999432</v>
      </c>
    </row>
    <row r="810" spans="11:12" x14ac:dyDescent="0.4">
      <c r="K810" s="40">
        <v>808</v>
      </c>
      <c r="L810" s="103">
        <v>35.70000000000006</v>
      </c>
    </row>
    <row r="811" spans="11:12" x14ac:dyDescent="0.4">
      <c r="K811" s="40">
        <v>809</v>
      </c>
      <c r="L811" s="103">
        <v>8.0000000000000604</v>
      </c>
    </row>
    <row r="812" spans="11:12" x14ac:dyDescent="0.4">
      <c r="K812" s="40">
        <v>810</v>
      </c>
      <c r="L812" s="103">
        <v>-4.9999999999999396</v>
      </c>
    </row>
    <row r="813" spans="11:12" x14ac:dyDescent="0.4">
      <c r="K813" s="40">
        <v>811</v>
      </c>
      <c r="L813" s="103">
        <v>-4.89999999999994</v>
      </c>
    </row>
    <row r="814" spans="11:12" x14ac:dyDescent="0.4">
      <c r="K814" s="40">
        <v>812</v>
      </c>
      <c r="L814" s="103">
        <v>3.60000000000006</v>
      </c>
    </row>
    <row r="815" spans="11:12" x14ac:dyDescent="0.4">
      <c r="K815" s="40">
        <v>813</v>
      </c>
      <c r="L815" s="103">
        <v>-4.9999999999999396</v>
      </c>
    </row>
    <row r="816" spans="11:12" x14ac:dyDescent="0.4">
      <c r="K816" s="40">
        <v>814</v>
      </c>
      <c r="L816" s="103">
        <v>7.2000000000000597</v>
      </c>
    </row>
    <row r="817" spans="11:12" x14ac:dyDescent="0.4">
      <c r="K817" s="40">
        <v>815</v>
      </c>
      <c r="L817" s="103">
        <v>11.900000000000059</v>
      </c>
    </row>
    <row r="818" spans="11:12" x14ac:dyDescent="0.4">
      <c r="K818" s="40">
        <v>816</v>
      </c>
      <c r="L818" s="103">
        <v>-4.9999999999999396</v>
      </c>
    </row>
    <row r="819" spans="11:12" x14ac:dyDescent="0.4">
      <c r="K819" s="40">
        <v>817</v>
      </c>
      <c r="L819" s="103">
        <v>4.5000000000000604</v>
      </c>
    </row>
    <row r="820" spans="11:12" x14ac:dyDescent="0.4">
      <c r="K820" s="40">
        <v>818</v>
      </c>
      <c r="L820" s="103">
        <v>-6.0999999999999392</v>
      </c>
    </row>
    <row r="821" spans="11:12" x14ac:dyDescent="0.4">
      <c r="K821" s="40">
        <v>819</v>
      </c>
      <c r="L821" s="103">
        <v>-4.9999999999999396</v>
      </c>
    </row>
    <row r="822" spans="11:12" x14ac:dyDescent="0.4">
      <c r="K822" s="40">
        <v>820</v>
      </c>
      <c r="L822" s="103">
        <v>22.20000000000006</v>
      </c>
    </row>
    <row r="823" spans="11:12" x14ac:dyDescent="0.4">
      <c r="K823" s="40">
        <v>821</v>
      </c>
      <c r="L823" s="103">
        <v>28.00000000000006</v>
      </c>
    </row>
    <row r="824" spans="11:12" x14ac:dyDescent="0.4">
      <c r="K824" s="40">
        <v>822</v>
      </c>
      <c r="L824" s="103">
        <v>-4.9999999999999396</v>
      </c>
    </row>
    <row r="825" spans="11:12" x14ac:dyDescent="0.4">
      <c r="K825" s="40">
        <v>823</v>
      </c>
      <c r="L825" s="103">
        <v>-17.599999999999937</v>
      </c>
    </row>
    <row r="826" spans="11:12" x14ac:dyDescent="0.4">
      <c r="K826" s="40">
        <v>824</v>
      </c>
      <c r="L826" s="103">
        <v>2.5000000000000639</v>
      </c>
    </row>
    <row r="827" spans="11:12" x14ac:dyDescent="0.4">
      <c r="K827" s="40">
        <v>825</v>
      </c>
      <c r="L827" s="103">
        <v>-4.9999999999999361</v>
      </c>
    </row>
    <row r="828" spans="11:12" x14ac:dyDescent="0.4">
      <c r="K828" s="40">
        <v>826</v>
      </c>
      <c r="L828" s="103">
        <v>2.5000000000000639</v>
      </c>
    </row>
    <row r="829" spans="11:12" x14ac:dyDescent="0.4">
      <c r="K829" s="40">
        <v>827</v>
      </c>
      <c r="L829" s="103">
        <v>-22.599999999999937</v>
      </c>
    </row>
    <row r="830" spans="11:12" x14ac:dyDescent="0.4">
      <c r="K830" s="40">
        <v>828</v>
      </c>
      <c r="L830" s="103">
        <v>-4.9999999999999361</v>
      </c>
    </row>
    <row r="831" spans="11:12" x14ac:dyDescent="0.4">
      <c r="K831" s="40">
        <v>829</v>
      </c>
      <c r="L831" s="103">
        <v>-22.599999999999937</v>
      </c>
    </row>
    <row r="832" spans="11:12" x14ac:dyDescent="0.4">
      <c r="K832" s="40">
        <v>830</v>
      </c>
      <c r="L832" s="103">
        <v>2.0000000000000639</v>
      </c>
    </row>
    <row r="833" spans="11:12" x14ac:dyDescent="0.4">
      <c r="K833" s="40">
        <v>831</v>
      </c>
      <c r="L833" s="103">
        <v>-5.9999999999999361</v>
      </c>
    </row>
    <row r="834" spans="11:12" x14ac:dyDescent="0.4">
      <c r="K834" s="40">
        <v>832</v>
      </c>
      <c r="L834" s="103">
        <v>1.8000000000000638</v>
      </c>
    </row>
    <row r="835" spans="11:12" x14ac:dyDescent="0.4">
      <c r="K835" s="40">
        <v>833</v>
      </c>
      <c r="L835" s="103">
        <v>-12.599999999999937</v>
      </c>
    </row>
    <row r="836" spans="11:12" x14ac:dyDescent="0.4">
      <c r="K836" s="40">
        <v>834</v>
      </c>
      <c r="L836" s="103">
        <v>-5.9999999999999378</v>
      </c>
    </row>
    <row r="837" spans="11:12" x14ac:dyDescent="0.4">
      <c r="K837" s="40">
        <v>835</v>
      </c>
      <c r="L837" s="103">
        <v>40.900000000000063</v>
      </c>
    </row>
    <row r="838" spans="11:12" x14ac:dyDescent="0.4">
      <c r="K838" s="40">
        <v>836</v>
      </c>
      <c r="L838" s="103">
        <v>1.0000000000000639</v>
      </c>
    </row>
    <row r="839" spans="11:12" x14ac:dyDescent="0.4">
      <c r="K839" s="40">
        <v>837</v>
      </c>
      <c r="L839" s="103">
        <v>-5.9999999999999361</v>
      </c>
    </row>
    <row r="840" spans="11:12" x14ac:dyDescent="0.4">
      <c r="K840" s="40">
        <v>838</v>
      </c>
      <c r="L840" s="103">
        <v>0.30000000000006377</v>
      </c>
    </row>
    <row r="841" spans="11:12" x14ac:dyDescent="0.4">
      <c r="K841" s="40">
        <v>839</v>
      </c>
      <c r="L841" s="103">
        <v>6.3782312764715243E-14</v>
      </c>
    </row>
    <row r="842" spans="11:12" x14ac:dyDescent="0.4">
      <c r="K842" s="40">
        <v>840</v>
      </c>
      <c r="L842" s="103">
        <v>-5.9999999999999361</v>
      </c>
    </row>
    <row r="843" spans="11:12" x14ac:dyDescent="0.4">
      <c r="K843" s="40">
        <v>841</v>
      </c>
      <c r="L843" s="103">
        <v>18.300000000000065</v>
      </c>
    </row>
    <row r="844" spans="11:12" x14ac:dyDescent="0.4">
      <c r="K844" s="40">
        <v>842</v>
      </c>
      <c r="L844" s="103">
        <v>-15.699999999999935</v>
      </c>
    </row>
    <row r="845" spans="11:12" x14ac:dyDescent="0.4">
      <c r="K845" s="40">
        <v>843</v>
      </c>
      <c r="L845" s="103">
        <v>-5.9999999999999361</v>
      </c>
    </row>
    <row r="846" spans="11:12" x14ac:dyDescent="0.4">
      <c r="K846" s="40">
        <v>844</v>
      </c>
      <c r="L846" s="103">
        <v>-16.399999999999935</v>
      </c>
    </row>
    <row r="847" spans="11:12" x14ac:dyDescent="0.4">
      <c r="K847" s="40">
        <v>845</v>
      </c>
      <c r="L847" s="103">
        <v>-27.899999999999935</v>
      </c>
    </row>
    <row r="848" spans="11:12" x14ac:dyDescent="0.4">
      <c r="K848" s="40">
        <v>846</v>
      </c>
      <c r="L848" s="103">
        <v>-5.9999999999999361</v>
      </c>
    </row>
    <row r="849" spans="11:12" x14ac:dyDescent="0.4">
      <c r="K849" s="40">
        <v>847</v>
      </c>
      <c r="L849" s="103">
        <v>-23.199999999999935</v>
      </c>
    </row>
    <row r="850" spans="11:12" x14ac:dyDescent="0.4">
      <c r="K850" s="40">
        <v>848</v>
      </c>
      <c r="L850" s="103">
        <v>-32.499999999999936</v>
      </c>
    </row>
    <row r="851" spans="11:12" x14ac:dyDescent="0.4">
      <c r="K851" s="40">
        <v>849</v>
      </c>
      <c r="L851" s="103">
        <v>-5.9999999999999361</v>
      </c>
    </row>
    <row r="852" spans="11:12" x14ac:dyDescent="0.4">
      <c r="K852" s="40">
        <v>850</v>
      </c>
      <c r="L852" s="103">
        <v>-6.9999999999999361</v>
      </c>
    </row>
    <row r="853" spans="11:12" x14ac:dyDescent="0.4">
      <c r="K853" s="40">
        <v>851</v>
      </c>
      <c r="L853" s="103">
        <v>-23.999999999999936</v>
      </c>
    </row>
    <row r="854" spans="11:12" x14ac:dyDescent="0.4">
      <c r="K854" s="40">
        <v>852</v>
      </c>
      <c r="L854" s="103">
        <v>-5.9999999999999361</v>
      </c>
    </row>
    <row r="855" spans="11:12" x14ac:dyDescent="0.4">
      <c r="K855" s="40">
        <v>853</v>
      </c>
      <c r="L855" s="103">
        <v>13.800000000000065</v>
      </c>
    </row>
    <row r="856" spans="11:12" x14ac:dyDescent="0.4">
      <c r="K856" s="40">
        <v>854</v>
      </c>
      <c r="L856" s="103">
        <v>35.500000000000064</v>
      </c>
    </row>
    <row r="857" spans="11:12" x14ac:dyDescent="0.4">
      <c r="K857" s="40">
        <v>855</v>
      </c>
      <c r="L857" s="103">
        <v>-5.9999999999999361</v>
      </c>
    </row>
    <row r="858" spans="11:12" x14ac:dyDescent="0.4">
      <c r="K858" s="40">
        <v>856</v>
      </c>
      <c r="L858" s="103">
        <v>21.700000000000063</v>
      </c>
    </row>
    <row r="859" spans="11:12" x14ac:dyDescent="0.4">
      <c r="K859" s="40">
        <v>857</v>
      </c>
      <c r="L859" s="103">
        <v>19.900000000000063</v>
      </c>
    </row>
    <row r="860" spans="11:12" x14ac:dyDescent="0.4">
      <c r="K860" s="40">
        <v>858</v>
      </c>
      <c r="L860" s="103">
        <v>-5.9999999999999361</v>
      </c>
    </row>
    <row r="861" spans="11:12" x14ac:dyDescent="0.4">
      <c r="K861" s="40">
        <v>859</v>
      </c>
      <c r="L861" s="103">
        <v>1.5000000000000639</v>
      </c>
    </row>
    <row r="862" spans="11:12" x14ac:dyDescent="0.4">
      <c r="K862" s="40">
        <v>860</v>
      </c>
      <c r="L862" s="103">
        <v>39.500000000000064</v>
      </c>
    </row>
    <row r="863" spans="11:12" x14ac:dyDescent="0.4">
      <c r="K863" s="40">
        <v>861</v>
      </c>
      <c r="L863" s="103">
        <v>-5.9999999999999361</v>
      </c>
    </row>
    <row r="864" spans="11:12" x14ac:dyDescent="0.4">
      <c r="K864" s="40">
        <v>862</v>
      </c>
      <c r="L864" s="103">
        <v>25.500000000000064</v>
      </c>
    </row>
    <row r="865" spans="11:12" x14ac:dyDescent="0.4">
      <c r="K865" s="40">
        <v>863</v>
      </c>
      <c r="L865" s="103">
        <v>19.900000000000063</v>
      </c>
    </row>
    <row r="866" spans="11:12" x14ac:dyDescent="0.4">
      <c r="K866" s="40">
        <v>864</v>
      </c>
      <c r="L866" s="103">
        <v>-5.9999999999999361</v>
      </c>
    </row>
    <row r="867" spans="11:12" x14ac:dyDescent="0.4">
      <c r="K867" s="40">
        <v>865</v>
      </c>
      <c r="L867" s="103">
        <v>40.800000000000061</v>
      </c>
    </row>
    <row r="868" spans="11:12" x14ac:dyDescent="0.4">
      <c r="K868" s="40">
        <v>866</v>
      </c>
      <c r="L868" s="103">
        <v>20.300000000000061</v>
      </c>
    </row>
    <row r="869" spans="11:12" x14ac:dyDescent="0.4">
      <c r="K869" s="40">
        <v>867</v>
      </c>
      <c r="L869" s="103">
        <v>-5.9999999999999396</v>
      </c>
    </row>
    <row r="870" spans="11:12" x14ac:dyDescent="0.4">
      <c r="K870" s="40">
        <v>868</v>
      </c>
      <c r="L870" s="103">
        <v>46.500000000000057</v>
      </c>
    </row>
    <row r="871" spans="11:12" x14ac:dyDescent="0.4">
      <c r="K871" s="40">
        <v>869</v>
      </c>
      <c r="L871" s="103">
        <v>1.5000000000000568</v>
      </c>
    </row>
    <row r="872" spans="11:12" x14ac:dyDescent="0.4">
      <c r="K872" s="40">
        <v>870</v>
      </c>
      <c r="L872" s="103">
        <v>-5.9999999999999432</v>
      </c>
    </row>
    <row r="873" spans="11:12" x14ac:dyDescent="0.4">
      <c r="K873" s="40">
        <v>871</v>
      </c>
      <c r="L873" s="103">
        <v>-12.199999999999942</v>
      </c>
    </row>
    <row r="874" spans="11:12" x14ac:dyDescent="0.4">
      <c r="K874" s="40">
        <v>872</v>
      </c>
      <c r="L874" s="103">
        <v>-50.699999999999946</v>
      </c>
    </row>
    <row r="875" spans="11:12" x14ac:dyDescent="0.4">
      <c r="K875" s="40">
        <v>873</v>
      </c>
      <c r="L875" s="103">
        <v>-5.9999999999999432</v>
      </c>
    </row>
    <row r="876" spans="11:12" x14ac:dyDescent="0.4">
      <c r="K876" s="40">
        <v>874</v>
      </c>
      <c r="L876" s="103">
        <v>-14.799999999999944</v>
      </c>
    </row>
    <row r="877" spans="11:12" x14ac:dyDescent="0.4">
      <c r="K877" s="40">
        <v>875</v>
      </c>
      <c r="L877" s="103">
        <v>-50.199999999999946</v>
      </c>
    </row>
    <row r="878" spans="11:12" x14ac:dyDescent="0.4">
      <c r="K878" s="40">
        <v>876</v>
      </c>
      <c r="L878" s="103">
        <v>-5.9999999999999432</v>
      </c>
    </row>
    <row r="879" spans="11:12" x14ac:dyDescent="0.4">
      <c r="K879" s="40">
        <v>877</v>
      </c>
      <c r="L879" s="103">
        <v>12.500000000000057</v>
      </c>
    </row>
    <row r="880" spans="11:12" x14ac:dyDescent="0.4">
      <c r="K880" s="40">
        <v>878</v>
      </c>
      <c r="L880" s="103">
        <v>5.0000000000000568</v>
      </c>
    </row>
    <row r="881" spans="11:12" x14ac:dyDescent="0.4">
      <c r="K881" s="40">
        <v>879</v>
      </c>
      <c r="L881" s="103">
        <v>-6.9999999999999432</v>
      </c>
    </row>
    <row r="882" spans="11:12" x14ac:dyDescent="0.4">
      <c r="K882" s="40">
        <v>880</v>
      </c>
      <c r="L882" s="103">
        <v>26.100000000000058</v>
      </c>
    </row>
    <row r="883" spans="11:12" x14ac:dyDescent="0.4">
      <c r="K883" s="40">
        <v>881</v>
      </c>
      <c r="L883" s="103">
        <v>17.600000000000058</v>
      </c>
    </row>
    <row r="884" spans="11:12" x14ac:dyDescent="0.4">
      <c r="K884" s="40">
        <v>882</v>
      </c>
      <c r="L884" s="103">
        <v>-6.9999999999999432</v>
      </c>
    </row>
    <row r="885" spans="11:12" x14ac:dyDescent="0.4">
      <c r="K885" s="40">
        <v>883</v>
      </c>
      <c r="L885" s="103">
        <v>61.000000000000057</v>
      </c>
    </row>
    <row r="886" spans="11:12" x14ac:dyDescent="0.4">
      <c r="K886" s="40">
        <v>884</v>
      </c>
      <c r="L886" s="103">
        <v>13.000000000000057</v>
      </c>
    </row>
    <row r="887" spans="11:12" x14ac:dyDescent="0.4">
      <c r="K887" s="40">
        <v>885</v>
      </c>
      <c r="L887" s="103">
        <v>-6.9999999999999432</v>
      </c>
    </row>
    <row r="888" spans="11:12" x14ac:dyDescent="0.4">
      <c r="K888" s="40">
        <v>886</v>
      </c>
      <c r="L888" s="103">
        <v>-28.899999999999942</v>
      </c>
    </row>
    <row r="889" spans="11:12" x14ac:dyDescent="0.4">
      <c r="K889" s="40">
        <v>887</v>
      </c>
      <c r="L889" s="103">
        <v>-14.399999999999942</v>
      </c>
    </row>
    <row r="890" spans="11:12" x14ac:dyDescent="0.4">
      <c r="K890" s="40">
        <v>888</v>
      </c>
      <c r="L890" s="103">
        <v>-6.9999999999999414</v>
      </c>
    </row>
    <row r="891" spans="11:12" x14ac:dyDescent="0.4">
      <c r="K891" s="40">
        <v>889</v>
      </c>
      <c r="L891" s="103">
        <v>2.0000000000000586</v>
      </c>
    </row>
    <row r="892" spans="11:12" x14ac:dyDescent="0.4">
      <c r="K892" s="40">
        <v>890</v>
      </c>
      <c r="L892" s="103">
        <v>-24.199999999999939</v>
      </c>
    </row>
    <row r="893" spans="11:12" x14ac:dyDescent="0.4">
      <c r="K893" s="40">
        <v>891</v>
      </c>
      <c r="L893" s="103">
        <v>-6.9999999999999396</v>
      </c>
    </row>
    <row r="894" spans="11:12" x14ac:dyDescent="0.4">
      <c r="K894" s="40">
        <v>892</v>
      </c>
      <c r="L894" s="103">
        <v>11.70000000000006</v>
      </c>
    </row>
    <row r="895" spans="11:12" x14ac:dyDescent="0.4">
      <c r="K895" s="40">
        <v>893</v>
      </c>
      <c r="L895" s="103">
        <v>7.9000000000000599</v>
      </c>
    </row>
    <row r="896" spans="11:12" x14ac:dyDescent="0.4">
      <c r="K896" s="40">
        <v>894</v>
      </c>
      <c r="L896" s="103">
        <v>-6.9999999999999405</v>
      </c>
    </row>
    <row r="897" spans="11:12" x14ac:dyDescent="0.4">
      <c r="K897" s="40">
        <v>895</v>
      </c>
      <c r="L897" s="103">
        <v>19.600000000000062</v>
      </c>
    </row>
    <row r="898" spans="11:12" x14ac:dyDescent="0.4">
      <c r="K898" s="40">
        <v>896</v>
      </c>
      <c r="L898" s="103">
        <v>0.70000000000006324</v>
      </c>
    </row>
    <row r="899" spans="11:12" x14ac:dyDescent="0.4">
      <c r="K899" s="40">
        <v>897</v>
      </c>
      <c r="L899" s="103">
        <v>-6.9999999999999369</v>
      </c>
    </row>
    <row r="900" spans="11:12" x14ac:dyDescent="0.4">
      <c r="K900" s="40">
        <v>898</v>
      </c>
      <c r="L900" s="103">
        <v>12.000000000000064</v>
      </c>
    </row>
    <row r="901" spans="11:12" x14ac:dyDescent="0.4">
      <c r="K901" s="40">
        <v>899</v>
      </c>
      <c r="L901" s="103">
        <v>-6.5999999999999375</v>
      </c>
    </row>
    <row r="902" spans="11:12" x14ac:dyDescent="0.4">
      <c r="K902" s="40">
        <v>900</v>
      </c>
      <c r="L902" s="103">
        <v>-7.9999999999999378</v>
      </c>
    </row>
    <row r="903" spans="11:12" x14ac:dyDescent="0.4">
      <c r="K903" s="40">
        <v>901</v>
      </c>
      <c r="L903" s="103">
        <v>-53.399999999999935</v>
      </c>
    </row>
    <row r="904" spans="11:12" x14ac:dyDescent="0.4">
      <c r="K904" s="40">
        <v>902</v>
      </c>
      <c r="L904" s="103">
        <v>-13.899999999999935</v>
      </c>
    </row>
    <row r="905" spans="11:12" x14ac:dyDescent="0.4">
      <c r="K905" s="40">
        <v>903</v>
      </c>
      <c r="L905" s="103">
        <v>-7.9999999999999343</v>
      </c>
    </row>
  </sheetData>
  <sortState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0F5B-3C7A-4FDB-A11E-4FE5EE6B107F}">
  <sheetPr codeName="Sheet7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133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257</v>
      </c>
      <c r="C2" s="148"/>
      <c r="E2" s="64" t="s">
        <v>71</v>
      </c>
      <c r="F2" s="61" t="s">
        <v>25</v>
      </c>
      <c r="G2" s="48">
        <v>457</v>
      </c>
      <c r="H2" s="136">
        <f>IF(B$29=0,0,G2/B$29)</f>
        <v>0.84786641929499074</v>
      </c>
      <c r="I2" s="97">
        <v>9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1510.6719367588933</v>
      </c>
      <c r="P2" s="122">
        <v>253</v>
      </c>
      <c r="Q2" s="106">
        <v>382200</v>
      </c>
    </row>
    <row r="3" spans="1:17" x14ac:dyDescent="0.4">
      <c r="A3" s="57" t="s">
        <v>8</v>
      </c>
      <c r="B3" s="153">
        <v>1946</v>
      </c>
      <c r="C3" s="154"/>
      <c r="E3" s="65" t="s">
        <v>69</v>
      </c>
      <c r="F3" s="62" t="s">
        <v>23</v>
      </c>
      <c r="G3" s="49">
        <v>390</v>
      </c>
      <c r="H3" s="137">
        <f>IF(B$29=0,0,G3/B$29)</f>
        <v>0.72356215213358066</v>
      </c>
      <c r="I3" s="98">
        <v>5</v>
      </c>
      <c r="K3" s="40">
        <v>1</v>
      </c>
      <c r="L3" s="103">
        <v>15</v>
      </c>
      <c r="N3" s="119" t="s">
        <v>148</v>
      </c>
      <c r="O3" s="126">
        <f t="shared" si="0"/>
        <v>627.86885245901635</v>
      </c>
      <c r="P3" s="123">
        <v>244</v>
      </c>
      <c r="Q3" s="107">
        <v>153200</v>
      </c>
    </row>
    <row r="4" spans="1:17" x14ac:dyDescent="0.4">
      <c r="A4" s="57" t="s">
        <v>6</v>
      </c>
      <c r="B4" s="155">
        <v>1888.9999999999993</v>
      </c>
      <c r="C4" s="156"/>
      <c r="E4" s="65" t="s">
        <v>67</v>
      </c>
      <c r="F4" s="62" t="s">
        <v>21</v>
      </c>
      <c r="G4" s="49">
        <v>294</v>
      </c>
      <c r="H4" s="137">
        <f>IF(B$29=0,0,G4/B$29)</f>
        <v>0.54545454545454541</v>
      </c>
      <c r="I4" s="98">
        <v>7</v>
      </c>
      <c r="K4" s="40">
        <v>2</v>
      </c>
      <c r="L4" s="103">
        <v>14</v>
      </c>
      <c r="N4" s="119" t="s">
        <v>149</v>
      </c>
      <c r="O4" s="126">
        <f t="shared" si="0"/>
        <v>2042.9824561403509</v>
      </c>
      <c r="P4" s="123">
        <v>228</v>
      </c>
      <c r="Q4" s="107">
        <v>465800</v>
      </c>
    </row>
    <row r="5" spans="1:17" x14ac:dyDescent="0.4">
      <c r="A5" s="57" t="s">
        <v>7</v>
      </c>
      <c r="B5" s="157">
        <f>IF(B$2=0,0,B$4/B$2)</f>
        <v>7.3501945525291799</v>
      </c>
      <c r="C5" s="158"/>
      <c r="E5" s="65" t="s">
        <v>76</v>
      </c>
      <c r="F5" s="62" t="s">
        <v>29</v>
      </c>
      <c r="G5" s="49">
        <v>294</v>
      </c>
      <c r="H5" s="137">
        <f>IF(B$29=0,0,G5/B$29)</f>
        <v>0.54545454545454541</v>
      </c>
      <c r="I5" s="98">
        <v>9</v>
      </c>
      <c r="K5" s="40">
        <v>3</v>
      </c>
      <c r="L5" s="103">
        <v>29.1</v>
      </c>
      <c r="N5" s="119" t="s">
        <v>150</v>
      </c>
      <c r="O5" s="126">
        <f t="shared" si="0"/>
        <v>1670.7317073170732</v>
      </c>
      <c r="P5" s="123">
        <v>205</v>
      </c>
      <c r="Q5" s="107">
        <v>342500</v>
      </c>
    </row>
    <row r="6" spans="1:17" x14ac:dyDescent="0.4">
      <c r="A6" s="57" t="s">
        <v>1</v>
      </c>
      <c r="B6" s="145">
        <f>IF(B$2=0,0,(B$7*1+B$8*2+B$9*3)/B$2)</f>
        <v>1.7470817120622568</v>
      </c>
      <c r="C6" s="146"/>
      <c r="E6" s="65" t="s">
        <v>70</v>
      </c>
      <c r="F6" s="62" t="s">
        <v>24</v>
      </c>
      <c r="G6" s="49">
        <v>161</v>
      </c>
      <c r="H6" s="137">
        <f>IF(B$29=0,0,G6/B$29)</f>
        <v>0.29870129870129869</v>
      </c>
      <c r="I6" s="98">
        <v>8</v>
      </c>
      <c r="K6" s="40">
        <v>4</v>
      </c>
      <c r="L6" s="103">
        <v>114.30000000000001</v>
      </c>
      <c r="N6" s="119" t="s">
        <v>151</v>
      </c>
      <c r="O6" s="126">
        <f t="shared" si="0"/>
        <v>1381.6666666666667</v>
      </c>
      <c r="P6" s="123">
        <v>180</v>
      </c>
      <c r="Q6" s="107">
        <v>248700</v>
      </c>
    </row>
    <row r="7" spans="1:17" x14ac:dyDescent="0.4">
      <c r="A7" s="57" t="s">
        <v>2</v>
      </c>
      <c r="B7" s="49">
        <v>116</v>
      </c>
      <c r="C7" s="41">
        <f>IF(B$2=0,0,B7/B$2)</f>
        <v>0.45136186770428016</v>
      </c>
      <c r="E7" s="65" t="s">
        <v>72</v>
      </c>
      <c r="F7" s="62" t="s">
        <v>12</v>
      </c>
      <c r="G7" s="49">
        <v>161</v>
      </c>
      <c r="H7" s="137">
        <f>IF(B$29=0,0,G7/B$29)</f>
        <v>0.29870129870129869</v>
      </c>
      <c r="I7" s="98">
        <v>8</v>
      </c>
      <c r="K7" s="40">
        <v>5</v>
      </c>
      <c r="L7" s="103">
        <v>145.80000000000001</v>
      </c>
      <c r="N7" s="120" t="s">
        <v>152</v>
      </c>
      <c r="O7" s="127">
        <f t="shared" si="0"/>
        <v>1772.7891156462586</v>
      </c>
      <c r="P7" s="124">
        <v>147</v>
      </c>
      <c r="Q7" s="108">
        <v>260600</v>
      </c>
    </row>
    <row r="8" spans="1:17" x14ac:dyDescent="0.4">
      <c r="A8" s="57" t="s">
        <v>3</v>
      </c>
      <c r="B8" s="49">
        <v>90</v>
      </c>
      <c r="C8" s="41">
        <f>IF(B$2=0,0,B8/B$2)</f>
        <v>0.35019455252918286</v>
      </c>
      <c r="E8" s="65" t="s">
        <v>94</v>
      </c>
      <c r="F8" s="62" t="s">
        <v>47</v>
      </c>
      <c r="G8" s="49">
        <v>97</v>
      </c>
      <c r="H8" s="137">
        <f>IF(B$29=0,0,G8/B$29)</f>
        <v>0.17996289424860853</v>
      </c>
      <c r="I8" s="98">
        <v>2</v>
      </c>
      <c r="K8" s="40">
        <v>6</v>
      </c>
      <c r="L8" s="103">
        <v>97.800000000000011</v>
      </c>
      <c r="N8" s="45"/>
      <c r="O8" s="131"/>
      <c r="P8" s="115"/>
      <c r="Q8" s="113"/>
    </row>
    <row r="9" spans="1:17" x14ac:dyDescent="0.4">
      <c r="A9" s="58" t="s">
        <v>4</v>
      </c>
      <c r="B9" s="50">
        <v>51</v>
      </c>
      <c r="C9" s="42">
        <f t="shared" ref="C9" si="1">IF(B$2=0,0,B9/B$2)</f>
        <v>0.19844357976653695</v>
      </c>
      <c r="E9" s="65" t="s">
        <v>73</v>
      </c>
      <c r="F9" s="62" t="s">
        <v>26</v>
      </c>
      <c r="G9" s="49">
        <v>83</v>
      </c>
      <c r="H9" s="137">
        <f>IF(B$29=0,0,G9/B$29)</f>
        <v>0.15398886827458255</v>
      </c>
      <c r="I9" s="98">
        <v>6</v>
      </c>
      <c r="K9" s="40">
        <v>7</v>
      </c>
      <c r="L9" s="103">
        <v>91.700000000000017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25</v>
      </c>
      <c r="C10" s="42">
        <f>IF(B$2=0,0,B10/B$2)</f>
        <v>9.727626459143969E-2</v>
      </c>
      <c r="E10" s="65" t="s">
        <v>68</v>
      </c>
      <c r="F10" s="62" t="s">
        <v>22</v>
      </c>
      <c r="G10" s="49">
        <v>66</v>
      </c>
      <c r="H10" s="137">
        <f>IF(B$29=0,0,G10/B$29)</f>
        <v>0.12244897959183673</v>
      </c>
      <c r="I10" s="98">
        <v>7</v>
      </c>
      <c r="K10" s="40">
        <v>8</v>
      </c>
      <c r="L10" s="103">
        <v>55.700000000000017</v>
      </c>
      <c r="N10" s="118" t="s">
        <v>250</v>
      </c>
      <c r="O10" s="128">
        <f>IF(P10=0,0,Q10/P10)</f>
        <v>9.4370370370370402</v>
      </c>
      <c r="P10" s="122">
        <v>54</v>
      </c>
      <c r="Q10" s="110">
        <v>509.60000000000019</v>
      </c>
    </row>
    <row r="11" spans="1:17" x14ac:dyDescent="0.4">
      <c r="A11" s="58" t="s">
        <v>155</v>
      </c>
      <c r="B11" s="50">
        <v>48</v>
      </c>
      <c r="C11" s="42">
        <f>IF(B$2=0,0,B11/B$2)</f>
        <v>0.1867704280155642</v>
      </c>
      <c r="E11" s="65" t="s">
        <v>74</v>
      </c>
      <c r="F11" s="62" t="s">
        <v>27</v>
      </c>
      <c r="G11" s="49">
        <v>44</v>
      </c>
      <c r="H11" s="137">
        <f>IF(B$29=0,0,G11/B$29)</f>
        <v>8.1632653061224483E-2</v>
      </c>
      <c r="I11" s="98">
        <v>9</v>
      </c>
      <c r="K11" s="40">
        <v>9</v>
      </c>
      <c r="L11" s="103">
        <v>14.700000000000017</v>
      </c>
      <c r="N11" s="119" t="s">
        <v>251</v>
      </c>
      <c r="O11" s="129">
        <f>IF(P11=0,0,Q11/P11)</f>
        <v>6.5573333333333332</v>
      </c>
      <c r="P11" s="123">
        <v>75</v>
      </c>
      <c r="Q11" s="111">
        <v>491.8</v>
      </c>
    </row>
    <row r="12" spans="1:17" x14ac:dyDescent="0.4">
      <c r="A12" s="59" t="s">
        <v>238</v>
      </c>
      <c r="B12" s="51">
        <v>26</v>
      </c>
      <c r="C12" s="44">
        <f>IF(B$2=0,0,B12/B$2)</f>
        <v>0.10116731517509728</v>
      </c>
      <c r="E12" s="65" t="s">
        <v>91</v>
      </c>
      <c r="F12" s="62" t="s">
        <v>44</v>
      </c>
      <c r="G12" s="49">
        <v>37</v>
      </c>
      <c r="H12" s="137">
        <f>IF(B$29=0,0,G12/B$29)</f>
        <v>6.8645640074211506E-2</v>
      </c>
      <c r="I12" s="98">
        <v>7</v>
      </c>
      <c r="K12" s="40">
        <v>10</v>
      </c>
      <c r="L12" s="103">
        <v>-16.799999999999983</v>
      </c>
      <c r="N12" s="120" t="s">
        <v>252</v>
      </c>
      <c r="O12" s="130">
        <f>IF(P12=0,0,Q12/P12)</f>
        <v>6.8800000000000008</v>
      </c>
      <c r="P12" s="124">
        <v>125</v>
      </c>
      <c r="Q12" s="112">
        <v>860.00000000000011</v>
      </c>
    </row>
    <row r="13" spans="1:17" x14ac:dyDescent="0.4">
      <c r="A13" s="60" t="s">
        <v>128</v>
      </c>
      <c r="B13" s="52">
        <v>452</v>
      </c>
      <c r="C13" s="46">
        <f>IF(B$28=0,0,B13/B$28)</f>
        <v>0.30335570469798656</v>
      </c>
      <c r="E13" s="65" t="s">
        <v>75</v>
      </c>
      <c r="F13" s="62" t="s">
        <v>28</v>
      </c>
      <c r="G13" s="49">
        <v>32</v>
      </c>
      <c r="H13" s="137">
        <f>IF(B$29=0,0,G13/B$29)</f>
        <v>5.9369202226345084E-2</v>
      </c>
      <c r="I13" s="98">
        <v>3</v>
      </c>
      <c r="K13" s="40">
        <v>11</v>
      </c>
      <c r="L13" s="103">
        <v>1.5000000000000178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311</v>
      </c>
      <c r="C14" s="41">
        <f>IF(B$28=0,0,B14/B$28)</f>
        <v>0.20872483221476509</v>
      </c>
      <c r="E14" s="65" t="s">
        <v>88</v>
      </c>
      <c r="F14" s="62" t="s">
        <v>41</v>
      </c>
      <c r="G14" s="49">
        <v>19</v>
      </c>
      <c r="H14" s="137">
        <f>IF(B$29=0,0,G14/B$29)</f>
        <v>3.525046382189239E-2</v>
      </c>
      <c r="I14" s="98">
        <v>7</v>
      </c>
      <c r="K14" s="40">
        <v>12</v>
      </c>
      <c r="L14" s="103">
        <v>14.300000000000018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296</v>
      </c>
      <c r="C15" s="39">
        <f>IF(B$13=0,0,B15/B$13)</f>
        <v>0.65486725663716816</v>
      </c>
      <c r="E15" s="65" t="s">
        <v>86</v>
      </c>
      <c r="F15" s="62" t="s">
        <v>39</v>
      </c>
      <c r="G15" s="49">
        <v>11</v>
      </c>
      <c r="H15" s="137">
        <f>IF(B$29=0,0,G15/B$29)</f>
        <v>2.0408163265306121E-2</v>
      </c>
      <c r="I15" s="98">
        <v>9</v>
      </c>
      <c r="K15" s="40">
        <v>13</v>
      </c>
      <c r="L15" s="103">
        <v>71.300000000000011</v>
      </c>
      <c r="N15" s="118" t="s">
        <v>171</v>
      </c>
      <c r="O15" s="128">
        <f>IF(P15=0,0,Q15/P15)</f>
        <v>125.9</v>
      </c>
      <c r="P15" s="122">
        <v>1</v>
      </c>
      <c r="Q15" s="110">
        <v>125.9</v>
      </c>
    </row>
    <row r="16" spans="1:17" x14ac:dyDescent="0.4">
      <c r="A16" s="56" t="s">
        <v>131</v>
      </c>
      <c r="B16" s="48">
        <v>153</v>
      </c>
      <c r="C16" s="39">
        <f>IF(B$14=0,0,B16/B$14)</f>
        <v>0.49196141479099681</v>
      </c>
      <c r="E16" s="65" t="s">
        <v>96</v>
      </c>
      <c r="F16" s="62" t="s">
        <v>49</v>
      </c>
      <c r="G16" s="49">
        <v>8</v>
      </c>
      <c r="H16" s="137">
        <f>IF(B$29=0,0,G16/B$29)</f>
        <v>1.4842300556586271E-2</v>
      </c>
      <c r="I16" s="98">
        <v>9</v>
      </c>
      <c r="K16" s="40">
        <v>14</v>
      </c>
      <c r="L16" s="103">
        <v>27.300000000000011</v>
      </c>
      <c r="N16" s="119" t="s">
        <v>166</v>
      </c>
      <c r="O16" s="129">
        <f>IF(P16=0,0,Q16/P16)</f>
        <v>71.75</v>
      </c>
      <c r="P16" s="123">
        <v>4</v>
      </c>
      <c r="Q16" s="111">
        <v>287</v>
      </c>
    </row>
    <row r="17" spans="1:17" x14ac:dyDescent="0.4">
      <c r="A17" s="56" t="s">
        <v>10</v>
      </c>
      <c r="B17" s="48">
        <f>B19+B18</f>
        <v>695</v>
      </c>
      <c r="C17" s="39">
        <f>IF(B$3=0,0,B17/B$3)</f>
        <v>0.35714285714285715</v>
      </c>
      <c r="E17" s="65" t="s">
        <v>82</v>
      </c>
      <c r="F17" s="62" t="s">
        <v>35</v>
      </c>
      <c r="G17" s="49">
        <v>7</v>
      </c>
      <c r="H17" s="137">
        <f>IF(B$29=0,0,G17/B$29)</f>
        <v>1.2987012987012988E-2</v>
      </c>
      <c r="I17" s="98">
        <v>9</v>
      </c>
      <c r="K17" s="40">
        <v>15</v>
      </c>
      <c r="L17" s="103">
        <v>-9.6999999999999886</v>
      </c>
      <c r="N17" s="119" t="s">
        <v>157</v>
      </c>
      <c r="O17" s="129">
        <f>IF(P17=0,0,Q17/P17)</f>
        <v>29.464000000000002</v>
      </c>
      <c r="P17" s="123">
        <v>25</v>
      </c>
      <c r="Q17" s="111">
        <v>736.6</v>
      </c>
    </row>
    <row r="18" spans="1:17" x14ac:dyDescent="0.4">
      <c r="A18" s="57" t="s">
        <v>12</v>
      </c>
      <c r="B18" s="49">
        <v>269</v>
      </c>
      <c r="C18" s="41">
        <f>IF(B$17=0,0,B18/B$17)</f>
        <v>0.38705035971223023</v>
      </c>
      <c r="E18" s="65" t="s">
        <v>83</v>
      </c>
      <c r="F18" s="62" t="s">
        <v>36</v>
      </c>
      <c r="G18" s="49">
        <v>5</v>
      </c>
      <c r="H18" s="137">
        <f>IF(B$29=0,0,G18/B$29)</f>
        <v>9.2764378478664197E-3</v>
      </c>
      <c r="I18" s="98">
        <v>9</v>
      </c>
      <c r="K18" s="40">
        <v>16</v>
      </c>
      <c r="L18" s="103">
        <v>-8.099999999999989</v>
      </c>
      <c r="N18" s="119" t="s">
        <v>247</v>
      </c>
      <c r="O18" s="129">
        <f>IF(P18=0,0,Q18/P18)</f>
        <v>26.587499999999995</v>
      </c>
      <c r="P18" s="123">
        <v>8</v>
      </c>
      <c r="Q18" s="111">
        <v>212.69999999999996</v>
      </c>
    </row>
    <row r="19" spans="1:17" x14ac:dyDescent="0.4">
      <c r="A19" s="57" t="s">
        <v>11</v>
      </c>
      <c r="B19" s="49">
        <v>426</v>
      </c>
      <c r="C19" s="41">
        <f>IF(B$17=0,0,B19/B$17)</f>
        <v>0.61294964028776977</v>
      </c>
      <c r="E19" s="65" t="s">
        <v>79</v>
      </c>
      <c r="F19" s="62" t="s">
        <v>32</v>
      </c>
      <c r="G19" s="49">
        <v>4</v>
      </c>
      <c r="H19" s="137">
        <f>IF(B$29=0,0,G19/B$29)</f>
        <v>7.4211502782931356E-3</v>
      </c>
      <c r="I19" s="98">
        <v>3</v>
      </c>
      <c r="K19" s="40">
        <v>17</v>
      </c>
      <c r="L19" s="103">
        <v>-29.499999999999986</v>
      </c>
      <c r="N19" s="119" t="s">
        <v>136</v>
      </c>
      <c r="O19" s="129">
        <f>IF(P19=0,0,Q19/P19)</f>
        <v>17.15735294117647</v>
      </c>
      <c r="P19" s="123">
        <v>68</v>
      </c>
      <c r="Q19" s="111">
        <v>1166.7</v>
      </c>
    </row>
    <row r="20" spans="1:17" x14ac:dyDescent="0.4">
      <c r="A20" s="57" t="s">
        <v>13</v>
      </c>
      <c r="B20" s="49">
        <v>273</v>
      </c>
      <c r="C20" s="41">
        <f>IF(B$3=0,0,B20/B$3)</f>
        <v>0.14028776978417265</v>
      </c>
      <c r="E20" s="65" t="s">
        <v>81</v>
      </c>
      <c r="F20" s="62" t="s">
        <v>34</v>
      </c>
      <c r="G20" s="49">
        <v>4</v>
      </c>
      <c r="H20" s="137">
        <f>IF(B$29=0,0,G20/B$29)</f>
        <v>7.4211502782931356E-3</v>
      </c>
      <c r="I20" s="98">
        <v>4</v>
      </c>
      <c r="K20" s="40">
        <v>18</v>
      </c>
      <c r="L20" s="103">
        <v>-14.599999999999985</v>
      </c>
      <c r="N20" s="119" t="s">
        <v>139</v>
      </c>
      <c r="O20" s="129">
        <f>IF(P20=0,0,Q20/P20)</f>
        <v>11.685849056603773</v>
      </c>
      <c r="P20" s="123">
        <v>106</v>
      </c>
      <c r="Q20" s="111">
        <v>1238.7</v>
      </c>
    </row>
    <row r="21" spans="1:17" x14ac:dyDescent="0.4">
      <c r="A21" s="57" t="s">
        <v>13</v>
      </c>
      <c r="B21" s="49">
        <v>7</v>
      </c>
      <c r="C21" s="41">
        <v>0</v>
      </c>
      <c r="E21" s="65" t="s">
        <v>77</v>
      </c>
      <c r="F21" s="62" t="s">
        <v>30</v>
      </c>
      <c r="G21" s="49">
        <v>3</v>
      </c>
      <c r="H21" s="137">
        <f>IF(B$29=0,0,G21/B$29)</f>
        <v>5.5658627087198514E-3</v>
      </c>
      <c r="I21" s="98">
        <v>5</v>
      </c>
      <c r="K21" s="40">
        <v>19</v>
      </c>
      <c r="L21" s="103">
        <v>42.600000000000016</v>
      </c>
      <c r="N21" s="119" t="s">
        <v>134</v>
      </c>
      <c r="O21" s="129">
        <f>IF(P21=0,0,Q21/P21)</f>
        <v>10.028813559322026</v>
      </c>
      <c r="P21" s="123">
        <v>118</v>
      </c>
      <c r="Q21" s="111">
        <v>1183.3999999999992</v>
      </c>
    </row>
    <row r="22" spans="1:17" x14ac:dyDescent="0.4">
      <c r="A22" s="57" t="s">
        <v>263</v>
      </c>
      <c r="B22" s="49">
        <v>32</v>
      </c>
      <c r="C22" s="165">
        <v>0</v>
      </c>
      <c r="E22" s="65" t="s">
        <v>90</v>
      </c>
      <c r="F22" s="62" t="s">
        <v>43</v>
      </c>
      <c r="G22" s="49">
        <v>3</v>
      </c>
      <c r="H22" s="137">
        <f>IF(B$29=0,0,G22/B$29)</f>
        <v>5.5658627087198514E-3</v>
      </c>
      <c r="I22" s="98">
        <v>3</v>
      </c>
      <c r="K22" s="40">
        <v>20</v>
      </c>
      <c r="L22" s="103">
        <v>68.800000000000011</v>
      </c>
      <c r="N22" s="119" t="s">
        <v>138</v>
      </c>
      <c r="O22" s="129">
        <f>IF(P22=0,0,Q22/P22)</f>
        <v>9.1555555555555568</v>
      </c>
      <c r="P22" s="123">
        <v>27</v>
      </c>
      <c r="Q22" s="111">
        <v>247.20000000000005</v>
      </c>
    </row>
    <row r="23" spans="1:17" x14ac:dyDescent="0.4">
      <c r="A23" s="57" t="s">
        <v>5</v>
      </c>
      <c r="B23" s="53">
        <f>IF(B$17=0,0,C23/B$17)</f>
        <v>9923.1654676258986</v>
      </c>
      <c r="C23" s="43">
        <v>6896600</v>
      </c>
      <c r="E23" s="65" t="s">
        <v>97</v>
      </c>
      <c r="F23" s="62" t="s">
        <v>50</v>
      </c>
      <c r="G23" s="49">
        <v>3</v>
      </c>
      <c r="H23" s="137">
        <f>IF(B$29=0,0,G23/B$29)</f>
        <v>5.5658627087198514E-3</v>
      </c>
      <c r="I23" s="98">
        <v>4</v>
      </c>
      <c r="K23" s="40">
        <v>21</v>
      </c>
      <c r="L23" s="103">
        <v>125.30000000000001</v>
      </c>
      <c r="N23" s="119" t="s">
        <v>167</v>
      </c>
      <c r="O23" s="129">
        <f>IF(P23=0,0,Q23/P23)</f>
        <v>8</v>
      </c>
      <c r="P23" s="123">
        <v>1</v>
      </c>
      <c r="Q23" s="111">
        <v>8</v>
      </c>
    </row>
    <row r="24" spans="1:17" x14ac:dyDescent="0.4">
      <c r="A24" s="59" t="s">
        <v>14</v>
      </c>
      <c r="B24" s="54">
        <f>IF(B$20=0,0,C24/B$20)</f>
        <v>-9277.6556776556772</v>
      </c>
      <c r="C24" s="47">
        <v>-2532800</v>
      </c>
      <c r="E24" s="65" t="s">
        <v>78</v>
      </c>
      <c r="F24" s="62" t="s">
        <v>31</v>
      </c>
      <c r="G24" s="49">
        <v>2</v>
      </c>
      <c r="H24" s="137">
        <f>IF(B$29=0,0,G24/B$29)</f>
        <v>3.7105751391465678E-3</v>
      </c>
      <c r="I24" s="98">
        <v>3</v>
      </c>
      <c r="K24" s="40">
        <v>22</v>
      </c>
      <c r="L24" s="103">
        <v>99.800000000000011</v>
      </c>
      <c r="N24" s="119" t="s">
        <v>137</v>
      </c>
      <c r="O24" s="129">
        <f>IF(P24=0,0,Q24/P24)</f>
        <v>4.0326732673267331</v>
      </c>
      <c r="P24" s="123">
        <v>101</v>
      </c>
      <c r="Q24" s="111">
        <v>407.3</v>
      </c>
    </row>
    <row r="25" spans="1:17" x14ac:dyDescent="0.4">
      <c r="A25" s="94" t="s">
        <v>158</v>
      </c>
      <c r="B25" s="143">
        <v>10</v>
      </c>
      <c r="C25" s="144"/>
      <c r="E25" s="65" t="s">
        <v>92</v>
      </c>
      <c r="F25" s="62" t="s">
        <v>45</v>
      </c>
      <c r="G25" s="49">
        <v>2</v>
      </c>
      <c r="H25" s="137">
        <f>IF(B$29=0,0,G25/B$29)</f>
        <v>3.7105751391465678E-3</v>
      </c>
      <c r="I25" s="98">
        <v>2</v>
      </c>
      <c r="K25" s="40">
        <v>23</v>
      </c>
      <c r="L25" s="103">
        <v>124.50000000000001</v>
      </c>
      <c r="N25" s="119" t="s">
        <v>135</v>
      </c>
      <c r="O25" s="129">
        <f>IF(P25=0,0,Q25/P25)</f>
        <v>1.0818181818181809</v>
      </c>
      <c r="P25" s="123">
        <v>55</v>
      </c>
      <c r="Q25" s="111">
        <v>59.49999999999995</v>
      </c>
    </row>
    <row r="26" spans="1:17" x14ac:dyDescent="0.4">
      <c r="A26" s="60" t="s">
        <v>198</v>
      </c>
      <c r="B26" s="141">
        <v>120200</v>
      </c>
      <c r="C26" s="142"/>
      <c r="E26" s="65" t="s">
        <v>95</v>
      </c>
      <c r="F26" s="62" t="s">
        <v>48</v>
      </c>
      <c r="G26" s="49">
        <v>1</v>
      </c>
      <c r="H26" s="137">
        <f>IF(B$29=0,0,G26/B$29)</f>
        <v>1.8552875695732839E-3</v>
      </c>
      <c r="I26" s="98">
        <v>2</v>
      </c>
      <c r="K26" s="40">
        <v>24</v>
      </c>
      <c r="L26" s="103">
        <v>118.00000000000001</v>
      </c>
    </row>
    <row r="27" spans="1:17" x14ac:dyDescent="0.4">
      <c r="A27" s="59" t="s">
        <v>159</v>
      </c>
      <c r="B27" s="67">
        <v>2</v>
      </c>
      <c r="C27" s="44">
        <f>IF(B$3=0,0,B27/B$3)</f>
        <v>1.0277492291880781E-3</v>
      </c>
      <c r="E27" s="65" t="s">
        <v>98</v>
      </c>
      <c r="F27" s="62" t="s">
        <v>51</v>
      </c>
      <c r="G27" s="49">
        <v>1</v>
      </c>
      <c r="H27" s="137">
        <f>IF(B$29=0,0,G27/B$29)</f>
        <v>1.8552875695732839E-3</v>
      </c>
      <c r="I27" s="98">
        <v>5</v>
      </c>
      <c r="K27" s="40">
        <v>25</v>
      </c>
      <c r="L27" s="103">
        <v>84.300000000000011</v>
      </c>
    </row>
    <row r="28" spans="1:17" x14ac:dyDescent="0.4">
      <c r="A28" s="56" t="s">
        <v>126</v>
      </c>
      <c r="B28" s="147">
        <v>1490</v>
      </c>
      <c r="C28" s="148"/>
      <c r="E28" s="65" t="s">
        <v>100</v>
      </c>
      <c r="F28" s="62" t="s">
        <v>53</v>
      </c>
      <c r="G28" s="49">
        <v>1</v>
      </c>
      <c r="H28" s="137">
        <f>IF(B$29=0,0,G28/B$29)</f>
        <v>1.8552875695732839E-3</v>
      </c>
      <c r="I28" s="98">
        <v>1</v>
      </c>
      <c r="K28" s="40">
        <v>26</v>
      </c>
      <c r="L28" s="103">
        <v>108.20000000000002</v>
      </c>
    </row>
    <row r="29" spans="1:17" x14ac:dyDescent="0.4">
      <c r="A29" s="59" t="s">
        <v>127</v>
      </c>
      <c r="B29" s="149">
        <v>539</v>
      </c>
      <c r="C29" s="150"/>
      <c r="E29" s="65" t="s">
        <v>111</v>
      </c>
      <c r="F29" s="62" t="s">
        <v>118</v>
      </c>
      <c r="G29" s="49">
        <v>1</v>
      </c>
      <c r="H29" s="137">
        <f>IF(B$29=0,0,G29/B$29)</f>
        <v>1.8552875695732839E-3</v>
      </c>
      <c r="I29" s="98">
        <v>1</v>
      </c>
      <c r="K29" s="40">
        <v>27</v>
      </c>
      <c r="L29" s="103">
        <v>71.200000000000017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37">
        <f>IF(B$29=0,0,G30/B$29)</f>
        <v>0</v>
      </c>
      <c r="I30" s="98">
        <v>1</v>
      </c>
      <c r="K30" s="40">
        <v>28</v>
      </c>
      <c r="L30" s="103">
        <v>129.20000000000002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37">
        <f>IF(B$29=0,0,G31/B$29)</f>
        <v>0</v>
      </c>
      <c r="I31" s="98">
        <v>1</v>
      </c>
      <c r="K31" s="40">
        <v>29</v>
      </c>
      <c r="L31" s="103">
        <v>120.80000000000001</v>
      </c>
    </row>
    <row r="32" spans="1:17" x14ac:dyDescent="0.4">
      <c r="E32" s="65" t="s">
        <v>85</v>
      </c>
      <c r="F32" s="62" t="s">
        <v>38</v>
      </c>
      <c r="G32" s="49">
        <v>0</v>
      </c>
      <c r="H32" s="137">
        <f>IF(B$29=0,0,G32/B$29)</f>
        <v>0</v>
      </c>
      <c r="I32" s="98">
        <v>3</v>
      </c>
      <c r="K32" s="40">
        <v>30</v>
      </c>
      <c r="L32" s="103">
        <v>174.10000000000002</v>
      </c>
    </row>
    <row r="33" spans="5:12" x14ac:dyDescent="0.4">
      <c r="E33" s="65" t="s">
        <v>87</v>
      </c>
      <c r="F33" s="62" t="s">
        <v>40</v>
      </c>
      <c r="G33" s="49">
        <v>0</v>
      </c>
      <c r="H33" s="137">
        <f>IF(B$29=0,0,G33/B$29)</f>
        <v>0</v>
      </c>
      <c r="I33" s="98">
        <v>1</v>
      </c>
      <c r="K33" s="40">
        <v>31</v>
      </c>
      <c r="L33" s="103">
        <v>160.10000000000002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37">
        <f>IF(B$29=0,0,G34/B$29)</f>
        <v>0</v>
      </c>
      <c r="I34" s="98">
        <v>5</v>
      </c>
      <c r="K34" s="40">
        <v>32</v>
      </c>
      <c r="L34" s="103">
        <v>220.8</v>
      </c>
    </row>
    <row r="35" spans="5:12" x14ac:dyDescent="0.4">
      <c r="E35" s="65" t="s">
        <v>93</v>
      </c>
      <c r="F35" s="62" t="s">
        <v>46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37">
        <f>IF(B$29=0,0,G46/B$29)</f>
        <v>0</v>
      </c>
      <c r="I46" s="98">
        <v>1</v>
      </c>
      <c r="K46" s="40">
        <v>44</v>
      </c>
      <c r="L46" s="103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132.30000000000004</v>
      </c>
    </row>
    <row r="52" spans="5:12" x14ac:dyDescent="0.4">
      <c r="K52" s="40">
        <v>50</v>
      </c>
      <c r="L52" s="103">
        <v>145.10000000000005</v>
      </c>
    </row>
    <row r="53" spans="5:12" x14ac:dyDescent="0.4">
      <c r="K53" s="40">
        <v>51</v>
      </c>
      <c r="L53" s="103">
        <v>145.80000000000004</v>
      </c>
    </row>
    <row r="54" spans="5:12" x14ac:dyDescent="0.4">
      <c r="K54" s="40">
        <v>52</v>
      </c>
      <c r="L54" s="103">
        <v>139.10000000000005</v>
      </c>
    </row>
    <row r="55" spans="5:12" x14ac:dyDescent="0.4">
      <c r="K55" s="40">
        <v>53</v>
      </c>
      <c r="L55" s="103">
        <v>111.10000000000005</v>
      </c>
    </row>
    <row r="56" spans="5:12" x14ac:dyDescent="0.4">
      <c r="K56" s="40">
        <v>54</v>
      </c>
      <c r="L56" s="103">
        <v>127.80000000000005</v>
      </c>
    </row>
    <row r="57" spans="5:12" x14ac:dyDescent="0.4">
      <c r="K57" s="40">
        <v>55</v>
      </c>
      <c r="L57" s="103">
        <v>120.80000000000005</v>
      </c>
    </row>
    <row r="58" spans="5:12" x14ac:dyDescent="0.4">
      <c r="K58" s="40">
        <v>56</v>
      </c>
      <c r="L58" s="103">
        <v>152.40000000000006</v>
      </c>
    </row>
    <row r="59" spans="5:12" x14ac:dyDescent="0.4">
      <c r="K59" s="40">
        <v>57</v>
      </c>
      <c r="L59" s="103">
        <v>168.20000000000007</v>
      </c>
    </row>
    <row r="60" spans="5:12" x14ac:dyDescent="0.4">
      <c r="K60" s="40">
        <v>58</v>
      </c>
      <c r="L60" s="103">
        <v>225.20000000000007</v>
      </c>
    </row>
    <row r="61" spans="5:12" x14ac:dyDescent="0.4">
      <c r="K61" s="40">
        <v>59</v>
      </c>
      <c r="L61" s="103">
        <v>230.50000000000009</v>
      </c>
    </row>
    <row r="62" spans="5:12" x14ac:dyDescent="0.4">
      <c r="K62" s="40">
        <v>60</v>
      </c>
      <c r="L62" s="103">
        <v>184.40000000000009</v>
      </c>
    </row>
    <row r="63" spans="5:12" x14ac:dyDescent="0.4">
      <c r="K63" s="40">
        <v>61</v>
      </c>
      <c r="L63" s="103">
        <v>205.50000000000009</v>
      </c>
    </row>
    <row r="64" spans="5:12" x14ac:dyDescent="0.4">
      <c r="K64" s="40">
        <v>62</v>
      </c>
      <c r="L64" s="103">
        <v>139.50000000000009</v>
      </c>
    </row>
    <row r="65" spans="11:12" x14ac:dyDescent="0.4">
      <c r="K65" s="40">
        <v>63</v>
      </c>
      <c r="L65" s="103">
        <v>134.50000000000009</v>
      </c>
    </row>
    <row r="66" spans="11:12" x14ac:dyDescent="0.4">
      <c r="K66" s="40">
        <v>64</v>
      </c>
      <c r="L66" s="103">
        <v>135.50000000000009</v>
      </c>
    </row>
    <row r="67" spans="11:12" x14ac:dyDescent="0.4">
      <c r="K67" s="40">
        <v>65</v>
      </c>
      <c r="L67" s="103">
        <v>167.10000000000008</v>
      </c>
    </row>
    <row r="68" spans="11:12" x14ac:dyDescent="0.4">
      <c r="K68" s="40">
        <v>66</v>
      </c>
      <c r="L68" s="103">
        <v>148.10000000000008</v>
      </c>
    </row>
    <row r="69" spans="11:12" x14ac:dyDescent="0.4">
      <c r="K69" s="40">
        <v>67</v>
      </c>
      <c r="L69" s="103">
        <v>138.20000000000007</v>
      </c>
    </row>
    <row r="70" spans="11:12" x14ac:dyDescent="0.4">
      <c r="K70" s="40">
        <v>68</v>
      </c>
      <c r="L70" s="103">
        <v>139.10000000000008</v>
      </c>
    </row>
    <row r="71" spans="11:12" x14ac:dyDescent="0.4">
      <c r="K71" s="40">
        <v>69</v>
      </c>
      <c r="L71" s="103">
        <v>171.40000000000009</v>
      </c>
    </row>
    <row r="72" spans="11:12" x14ac:dyDescent="0.4">
      <c r="K72" s="40">
        <v>70</v>
      </c>
      <c r="L72" s="103">
        <v>199.8000000000001</v>
      </c>
    </row>
    <row r="73" spans="11:12" x14ac:dyDescent="0.4">
      <c r="K73" s="40">
        <v>71</v>
      </c>
      <c r="L73" s="103">
        <v>192.40000000000009</v>
      </c>
    </row>
    <row r="74" spans="11:12" x14ac:dyDescent="0.4">
      <c r="K74" s="40">
        <v>72</v>
      </c>
      <c r="L74" s="103">
        <v>210.7000000000001</v>
      </c>
    </row>
    <row r="75" spans="11:12" x14ac:dyDescent="0.4">
      <c r="K75" s="40">
        <v>73</v>
      </c>
      <c r="L75" s="103">
        <v>196.8000000000001</v>
      </c>
    </row>
    <row r="76" spans="11:12" x14ac:dyDescent="0.4">
      <c r="K76" s="40">
        <v>74</v>
      </c>
      <c r="L76" s="103">
        <v>236.8000000000001</v>
      </c>
    </row>
    <row r="77" spans="11:12" x14ac:dyDescent="0.4">
      <c r="K77" s="40">
        <v>75</v>
      </c>
      <c r="L77" s="103">
        <v>242.00000000000009</v>
      </c>
    </row>
    <row r="78" spans="11:12" x14ac:dyDescent="0.4">
      <c r="K78" s="40">
        <v>76</v>
      </c>
      <c r="L78" s="103">
        <v>228.3000000000001</v>
      </c>
    </row>
    <row r="79" spans="11:12" x14ac:dyDescent="0.4">
      <c r="K79" s="40">
        <v>77</v>
      </c>
      <c r="L79" s="103">
        <v>233.40000000000009</v>
      </c>
    </row>
    <row r="80" spans="11:12" x14ac:dyDescent="0.4">
      <c r="K80" s="40">
        <v>78</v>
      </c>
      <c r="L80" s="103">
        <v>265.30000000000007</v>
      </c>
    </row>
    <row r="81" spans="11:12" x14ac:dyDescent="0.4">
      <c r="K81" s="40">
        <v>79</v>
      </c>
      <c r="L81" s="103">
        <v>305.30000000000007</v>
      </c>
    </row>
    <row r="82" spans="11:12" x14ac:dyDescent="0.4">
      <c r="K82" s="40">
        <v>80</v>
      </c>
      <c r="L82" s="103">
        <v>327.80000000000007</v>
      </c>
    </row>
    <row r="83" spans="11:12" x14ac:dyDescent="0.4">
      <c r="K83" s="40">
        <v>81</v>
      </c>
      <c r="L83" s="103">
        <v>359.30000000000007</v>
      </c>
    </row>
    <row r="84" spans="11:12" x14ac:dyDescent="0.4">
      <c r="K84" s="40">
        <v>82</v>
      </c>
      <c r="L84" s="103">
        <v>419.10000000000008</v>
      </c>
    </row>
    <row r="85" spans="11:12" x14ac:dyDescent="0.4">
      <c r="K85" s="40">
        <v>83</v>
      </c>
      <c r="L85" s="103">
        <v>430.2000000000001</v>
      </c>
    </row>
    <row r="86" spans="11:12" x14ac:dyDescent="0.4">
      <c r="K86" s="40">
        <v>84</v>
      </c>
      <c r="L86" s="103">
        <v>431.80000000000013</v>
      </c>
    </row>
    <row r="87" spans="11:12" x14ac:dyDescent="0.4">
      <c r="K87" s="40">
        <v>85</v>
      </c>
      <c r="L87" s="103">
        <v>410.40000000000015</v>
      </c>
    </row>
    <row r="88" spans="11:12" x14ac:dyDescent="0.4">
      <c r="K88" s="40">
        <v>86</v>
      </c>
      <c r="L88" s="103">
        <v>413.90000000000015</v>
      </c>
    </row>
    <row r="89" spans="11:12" x14ac:dyDescent="0.4">
      <c r="K89" s="40">
        <v>87</v>
      </c>
      <c r="L89" s="103">
        <v>368.40000000000015</v>
      </c>
    </row>
    <row r="90" spans="11:12" x14ac:dyDescent="0.4">
      <c r="K90" s="40">
        <v>88</v>
      </c>
      <c r="L90" s="103">
        <v>367.80000000000013</v>
      </c>
    </row>
    <row r="91" spans="11:12" x14ac:dyDescent="0.4">
      <c r="K91" s="40">
        <v>89</v>
      </c>
      <c r="L91" s="103">
        <v>394.2000000000001</v>
      </c>
    </row>
    <row r="92" spans="11:12" x14ac:dyDescent="0.4">
      <c r="K92" s="40">
        <v>90</v>
      </c>
      <c r="L92" s="103">
        <v>403.90000000000009</v>
      </c>
    </row>
    <row r="93" spans="11:12" x14ac:dyDescent="0.4">
      <c r="K93" s="40">
        <v>91</v>
      </c>
      <c r="L93" s="103">
        <v>425.00000000000011</v>
      </c>
    </row>
    <row r="94" spans="11:12" x14ac:dyDescent="0.4">
      <c r="K94" s="40">
        <v>92</v>
      </c>
      <c r="L94" s="103">
        <v>468.10000000000014</v>
      </c>
    </row>
    <row r="95" spans="11:12" x14ac:dyDescent="0.4">
      <c r="K95" s="40">
        <v>93</v>
      </c>
      <c r="L95" s="103">
        <v>462.10000000000014</v>
      </c>
    </row>
    <row r="96" spans="11:12" x14ac:dyDescent="0.4">
      <c r="K96" s="40">
        <v>94</v>
      </c>
      <c r="L96" s="103">
        <v>424.60000000000014</v>
      </c>
    </row>
    <row r="97" spans="11:12" x14ac:dyDescent="0.4">
      <c r="K97" s="40">
        <v>95</v>
      </c>
      <c r="L97" s="103">
        <v>385.10000000000014</v>
      </c>
    </row>
    <row r="98" spans="11:12" x14ac:dyDescent="0.4">
      <c r="K98" s="40">
        <v>96</v>
      </c>
      <c r="L98" s="103">
        <v>396.20000000000016</v>
      </c>
    </row>
    <row r="99" spans="11:12" x14ac:dyDescent="0.4">
      <c r="K99" s="40">
        <v>97</v>
      </c>
      <c r="L99" s="103">
        <v>394.20000000000016</v>
      </c>
    </row>
    <row r="100" spans="11:12" x14ac:dyDescent="0.4">
      <c r="K100" s="40">
        <v>98</v>
      </c>
      <c r="L100" s="103">
        <v>437.70000000000016</v>
      </c>
    </row>
    <row r="101" spans="11:12" x14ac:dyDescent="0.4">
      <c r="K101" s="40">
        <v>99</v>
      </c>
      <c r="L101" s="103">
        <v>432.10000000000014</v>
      </c>
    </row>
    <row r="102" spans="11:12" x14ac:dyDescent="0.4">
      <c r="K102" s="40">
        <v>100</v>
      </c>
      <c r="L102" s="103">
        <v>424.70000000000016</v>
      </c>
    </row>
    <row r="103" spans="11:12" x14ac:dyDescent="0.4">
      <c r="K103" s="40">
        <v>101</v>
      </c>
      <c r="L103" s="103">
        <v>386.70000000000016</v>
      </c>
    </row>
    <row r="104" spans="11:12" x14ac:dyDescent="0.4">
      <c r="K104" s="40">
        <v>102</v>
      </c>
      <c r="L104" s="103">
        <v>367.90000000000015</v>
      </c>
    </row>
    <row r="105" spans="11:12" x14ac:dyDescent="0.4">
      <c r="K105" s="40">
        <v>103</v>
      </c>
      <c r="L105" s="103">
        <v>394.90000000000015</v>
      </c>
    </row>
    <row r="106" spans="11:12" x14ac:dyDescent="0.4">
      <c r="K106" s="40">
        <v>104</v>
      </c>
      <c r="L106" s="103">
        <v>439.50000000000017</v>
      </c>
    </row>
    <row r="107" spans="11:12" x14ac:dyDescent="0.4">
      <c r="K107" s="40">
        <v>105</v>
      </c>
      <c r="L107" s="103">
        <v>446.50000000000017</v>
      </c>
    </row>
    <row r="108" spans="11:12" x14ac:dyDescent="0.4">
      <c r="K108" s="40">
        <v>106</v>
      </c>
      <c r="L108" s="103">
        <v>435.20000000000016</v>
      </c>
    </row>
    <row r="109" spans="11:12" x14ac:dyDescent="0.4">
      <c r="K109" s="40">
        <v>107</v>
      </c>
      <c r="L109" s="103">
        <v>419.70000000000016</v>
      </c>
    </row>
    <row r="110" spans="11:12" x14ac:dyDescent="0.4">
      <c r="K110" s="40">
        <v>108</v>
      </c>
      <c r="L110" s="103">
        <v>400.40000000000015</v>
      </c>
    </row>
    <row r="111" spans="11:12" x14ac:dyDescent="0.4">
      <c r="K111" s="40">
        <v>109</v>
      </c>
      <c r="L111" s="103">
        <v>424.40000000000015</v>
      </c>
    </row>
    <row r="112" spans="11:12" x14ac:dyDescent="0.4">
      <c r="K112" s="40">
        <v>110</v>
      </c>
      <c r="L112" s="103">
        <v>443.90000000000015</v>
      </c>
    </row>
    <row r="113" spans="11:12" x14ac:dyDescent="0.4">
      <c r="K113" s="40">
        <v>111</v>
      </c>
      <c r="L113" s="103">
        <v>438.50000000000017</v>
      </c>
    </row>
    <row r="114" spans="11:12" x14ac:dyDescent="0.4">
      <c r="K114" s="40">
        <v>112</v>
      </c>
      <c r="L114" s="103">
        <v>494.50000000000017</v>
      </c>
    </row>
    <row r="115" spans="11:12" x14ac:dyDescent="0.4">
      <c r="K115" s="40">
        <v>113</v>
      </c>
      <c r="L115" s="103">
        <v>511.60000000000019</v>
      </c>
    </row>
    <row r="116" spans="11:12" x14ac:dyDescent="0.4">
      <c r="K116" s="40">
        <v>114</v>
      </c>
      <c r="L116" s="103">
        <v>473.60000000000019</v>
      </c>
    </row>
    <row r="117" spans="11:12" x14ac:dyDescent="0.4">
      <c r="K117" s="40">
        <v>115</v>
      </c>
      <c r="L117" s="103">
        <v>490.10000000000019</v>
      </c>
    </row>
    <row r="118" spans="11:12" x14ac:dyDescent="0.4">
      <c r="K118" s="40">
        <v>116</v>
      </c>
      <c r="L118" s="103">
        <v>505.4000000000002</v>
      </c>
    </row>
    <row r="119" spans="11:12" x14ac:dyDescent="0.4">
      <c r="K119" s="40">
        <v>117</v>
      </c>
      <c r="L119" s="103">
        <v>517.00000000000023</v>
      </c>
    </row>
    <row r="120" spans="11:12" x14ac:dyDescent="0.4">
      <c r="K120" s="40">
        <v>118</v>
      </c>
      <c r="L120" s="103">
        <v>533.9000000000002</v>
      </c>
    </row>
    <row r="121" spans="11:12" x14ac:dyDescent="0.4">
      <c r="K121" s="40">
        <v>119</v>
      </c>
      <c r="L121" s="103">
        <v>496.4000000000002</v>
      </c>
    </row>
    <row r="122" spans="11:12" x14ac:dyDescent="0.4">
      <c r="K122" s="40">
        <v>120</v>
      </c>
      <c r="L122" s="103">
        <v>534.9000000000002</v>
      </c>
    </row>
    <row r="123" spans="11:12" x14ac:dyDescent="0.4">
      <c r="K123" s="40">
        <v>121</v>
      </c>
      <c r="L123" s="103">
        <v>488.4000000000002</v>
      </c>
    </row>
    <row r="124" spans="11:12" x14ac:dyDescent="0.4">
      <c r="K124" s="40">
        <v>122</v>
      </c>
      <c r="L124" s="103">
        <v>501.60000000000019</v>
      </c>
    </row>
    <row r="125" spans="11:12" x14ac:dyDescent="0.4">
      <c r="K125" s="40">
        <v>123</v>
      </c>
      <c r="L125" s="103">
        <v>482.10000000000019</v>
      </c>
    </row>
    <row r="126" spans="11:12" x14ac:dyDescent="0.4">
      <c r="K126" s="40">
        <v>124</v>
      </c>
      <c r="L126" s="103">
        <v>523.50000000000023</v>
      </c>
    </row>
    <row r="127" spans="11:12" x14ac:dyDescent="0.4">
      <c r="K127" s="40">
        <v>125</v>
      </c>
      <c r="L127" s="103">
        <v>550.60000000000025</v>
      </c>
    </row>
    <row r="128" spans="11:12" x14ac:dyDescent="0.4">
      <c r="K128" s="40">
        <v>126</v>
      </c>
      <c r="L128" s="103">
        <v>559.10000000000025</v>
      </c>
    </row>
    <row r="129" spans="11:12" x14ac:dyDescent="0.4">
      <c r="K129" s="40">
        <v>127</v>
      </c>
      <c r="L129" s="103">
        <v>602.4000000000002</v>
      </c>
    </row>
    <row r="130" spans="11:12" x14ac:dyDescent="0.4">
      <c r="K130" s="40">
        <v>128</v>
      </c>
      <c r="L130" s="103">
        <v>628.4000000000002</v>
      </c>
    </row>
    <row r="131" spans="11:12" x14ac:dyDescent="0.4">
      <c r="K131" s="40">
        <v>129</v>
      </c>
      <c r="L131" s="103">
        <v>639.4000000000002</v>
      </c>
    </row>
    <row r="132" spans="11:12" x14ac:dyDescent="0.4">
      <c r="K132" s="40">
        <v>130</v>
      </c>
      <c r="L132" s="103">
        <v>680.4000000000002</v>
      </c>
    </row>
    <row r="133" spans="11:12" x14ac:dyDescent="0.4">
      <c r="K133" s="40">
        <v>131</v>
      </c>
      <c r="L133" s="103">
        <v>660.60000000000025</v>
      </c>
    </row>
    <row r="134" spans="11:12" x14ac:dyDescent="0.4">
      <c r="K134" s="40">
        <v>132</v>
      </c>
      <c r="L134" s="103">
        <v>698.20000000000027</v>
      </c>
    </row>
    <row r="135" spans="11:12" x14ac:dyDescent="0.4">
      <c r="K135" s="40">
        <v>133</v>
      </c>
      <c r="L135" s="103">
        <v>706.00000000000023</v>
      </c>
    </row>
    <row r="136" spans="11:12" x14ac:dyDescent="0.4">
      <c r="K136" s="40">
        <v>134</v>
      </c>
      <c r="L136" s="103">
        <v>774.10000000000025</v>
      </c>
    </row>
    <row r="137" spans="11:12" x14ac:dyDescent="0.4">
      <c r="K137" s="40">
        <v>135</v>
      </c>
      <c r="L137" s="103">
        <v>779.3000000000003</v>
      </c>
    </row>
    <row r="138" spans="11:12" x14ac:dyDescent="0.4">
      <c r="K138" s="40">
        <v>136</v>
      </c>
      <c r="L138" s="103">
        <v>795.50000000000034</v>
      </c>
    </row>
    <row r="139" spans="11:12" x14ac:dyDescent="0.4">
      <c r="K139" s="40">
        <v>137</v>
      </c>
      <c r="L139" s="103">
        <v>819.70000000000039</v>
      </c>
    </row>
    <row r="140" spans="11:12" x14ac:dyDescent="0.4">
      <c r="K140" s="40">
        <v>138</v>
      </c>
      <c r="L140" s="103">
        <v>840.30000000000041</v>
      </c>
    </row>
    <row r="141" spans="11:12" x14ac:dyDescent="0.4">
      <c r="K141" s="40">
        <v>139</v>
      </c>
      <c r="L141" s="103">
        <v>847.60000000000036</v>
      </c>
    </row>
    <row r="142" spans="11:12" x14ac:dyDescent="0.4">
      <c r="K142" s="40">
        <v>140</v>
      </c>
      <c r="L142" s="103">
        <v>852.40000000000032</v>
      </c>
    </row>
    <row r="143" spans="11:12" x14ac:dyDescent="0.4">
      <c r="K143" s="40">
        <v>141</v>
      </c>
      <c r="L143" s="103">
        <v>856.50000000000034</v>
      </c>
    </row>
    <row r="144" spans="11:12" x14ac:dyDescent="0.4">
      <c r="K144" s="40">
        <v>142</v>
      </c>
      <c r="L144" s="103">
        <v>844.50000000000034</v>
      </c>
    </row>
    <row r="145" spans="11:12" x14ac:dyDescent="0.4">
      <c r="K145" s="40">
        <v>143</v>
      </c>
      <c r="L145" s="103">
        <v>857.00000000000034</v>
      </c>
    </row>
    <row r="146" spans="11:12" x14ac:dyDescent="0.4">
      <c r="K146" s="40">
        <v>144</v>
      </c>
      <c r="L146" s="103">
        <v>844.10000000000036</v>
      </c>
    </row>
    <row r="147" spans="11:12" x14ac:dyDescent="0.4">
      <c r="K147" s="40">
        <v>145</v>
      </c>
      <c r="L147" s="103">
        <v>859.70000000000039</v>
      </c>
    </row>
    <row r="148" spans="11:12" x14ac:dyDescent="0.4">
      <c r="K148" s="40">
        <v>146</v>
      </c>
      <c r="L148" s="103">
        <v>875.30000000000041</v>
      </c>
    </row>
    <row r="149" spans="11:12" x14ac:dyDescent="0.4">
      <c r="K149" s="40">
        <v>147</v>
      </c>
      <c r="L149" s="103">
        <v>839.30000000000041</v>
      </c>
    </row>
    <row r="150" spans="11:12" x14ac:dyDescent="0.4">
      <c r="K150" s="40">
        <v>148</v>
      </c>
      <c r="L150" s="103">
        <v>809.70000000000039</v>
      </c>
    </row>
    <row r="151" spans="11:12" x14ac:dyDescent="0.4">
      <c r="K151" s="40">
        <v>149</v>
      </c>
      <c r="L151" s="103">
        <v>816.50000000000034</v>
      </c>
    </row>
    <row r="152" spans="11:12" x14ac:dyDescent="0.4">
      <c r="K152" s="40">
        <v>150</v>
      </c>
      <c r="L152" s="103">
        <v>802.50000000000034</v>
      </c>
    </row>
    <row r="153" spans="11:12" x14ac:dyDescent="0.4">
      <c r="K153" s="40">
        <v>151</v>
      </c>
      <c r="L153" s="103">
        <v>792.50000000000034</v>
      </c>
    </row>
    <row r="154" spans="11:12" x14ac:dyDescent="0.4">
      <c r="K154" s="40">
        <v>152</v>
      </c>
      <c r="L154" s="103">
        <v>837.10000000000036</v>
      </c>
    </row>
    <row r="155" spans="11:12" x14ac:dyDescent="0.4">
      <c r="K155" s="40">
        <v>153</v>
      </c>
      <c r="L155" s="103">
        <v>832.40000000000032</v>
      </c>
    </row>
    <row r="156" spans="11:12" x14ac:dyDescent="0.4">
      <c r="K156" s="40">
        <v>154</v>
      </c>
      <c r="L156" s="103">
        <v>846.8000000000003</v>
      </c>
    </row>
    <row r="157" spans="11:12" x14ac:dyDescent="0.4">
      <c r="K157" s="40">
        <v>155</v>
      </c>
      <c r="L157" s="103">
        <v>832.8000000000003</v>
      </c>
    </row>
    <row r="158" spans="11:12" x14ac:dyDescent="0.4">
      <c r="K158" s="40">
        <v>156</v>
      </c>
      <c r="L158" s="103">
        <v>839.90000000000032</v>
      </c>
    </row>
    <row r="159" spans="11:12" x14ac:dyDescent="0.4">
      <c r="K159" s="40">
        <v>157</v>
      </c>
      <c r="L159" s="103">
        <v>859.60000000000036</v>
      </c>
    </row>
    <row r="160" spans="11:12" x14ac:dyDescent="0.4">
      <c r="K160" s="40">
        <v>158</v>
      </c>
      <c r="L160" s="103">
        <v>883.40000000000032</v>
      </c>
    </row>
    <row r="161" spans="11:12" x14ac:dyDescent="0.4">
      <c r="K161" s="40">
        <v>159</v>
      </c>
      <c r="L161" s="103">
        <v>878.60000000000036</v>
      </c>
    </row>
    <row r="162" spans="11:12" x14ac:dyDescent="0.4">
      <c r="K162" s="40">
        <v>160</v>
      </c>
      <c r="L162" s="103">
        <v>911.10000000000036</v>
      </c>
    </row>
    <row r="163" spans="11:12" x14ac:dyDescent="0.4">
      <c r="K163" s="40">
        <v>161</v>
      </c>
      <c r="L163" s="103">
        <v>928.20000000000039</v>
      </c>
    </row>
    <row r="164" spans="11:12" x14ac:dyDescent="0.4">
      <c r="K164" s="40">
        <v>162</v>
      </c>
      <c r="L164" s="103">
        <v>940.50000000000034</v>
      </c>
    </row>
    <row r="165" spans="11:12" x14ac:dyDescent="0.4">
      <c r="K165" s="40">
        <v>163</v>
      </c>
      <c r="L165" s="103">
        <v>964.8000000000003</v>
      </c>
    </row>
    <row r="166" spans="11:12" x14ac:dyDescent="0.4">
      <c r="K166" s="40">
        <v>164</v>
      </c>
      <c r="L166" s="103">
        <v>952.60000000000025</v>
      </c>
    </row>
    <row r="167" spans="11:12" x14ac:dyDescent="0.4">
      <c r="K167" s="40">
        <v>165</v>
      </c>
      <c r="L167" s="103">
        <v>950.60000000000025</v>
      </c>
    </row>
    <row r="168" spans="11:12" x14ac:dyDescent="0.4">
      <c r="K168" s="40">
        <v>166</v>
      </c>
      <c r="L168" s="103">
        <v>910.00000000000023</v>
      </c>
    </row>
    <row r="169" spans="11:12" x14ac:dyDescent="0.4">
      <c r="K169" s="40">
        <v>167</v>
      </c>
      <c r="L169" s="103">
        <v>931.70000000000027</v>
      </c>
    </row>
    <row r="170" spans="11:12" x14ac:dyDescent="0.4">
      <c r="K170" s="40">
        <v>168</v>
      </c>
      <c r="L170" s="103">
        <v>972.40000000000032</v>
      </c>
    </row>
    <row r="171" spans="11:12" x14ac:dyDescent="0.4">
      <c r="K171" s="40">
        <v>169</v>
      </c>
      <c r="L171" s="103">
        <v>980.40000000000032</v>
      </c>
    </row>
    <row r="172" spans="11:12" x14ac:dyDescent="0.4">
      <c r="K172" s="40">
        <v>170</v>
      </c>
      <c r="L172" s="103">
        <v>988.10000000000036</v>
      </c>
    </row>
    <row r="173" spans="11:12" x14ac:dyDescent="0.4">
      <c r="K173" s="40">
        <v>171</v>
      </c>
      <c r="L173" s="103">
        <v>919.10000000000036</v>
      </c>
    </row>
    <row r="174" spans="11:12" x14ac:dyDescent="0.4">
      <c r="K174" s="40">
        <v>172</v>
      </c>
      <c r="L174" s="103">
        <v>916.10000000000036</v>
      </c>
    </row>
    <row r="175" spans="11:12" x14ac:dyDescent="0.4">
      <c r="K175" s="40">
        <v>173</v>
      </c>
      <c r="L175" s="103">
        <v>913.50000000000034</v>
      </c>
    </row>
    <row r="176" spans="11:12" x14ac:dyDescent="0.4">
      <c r="K176" s="40">
        <v>174</v>
      </c>
      <c r="L176" s="103">
        <v>972.50000000000034</v>
      </c>
    </row>
    <row r="177" spans="11:12" x14ac:dyDescent="0.4">
      <c r="K177" s="40">
        <v>175</v>
      </c>
      <c r="L177" s="103">
        <v>972.50000000000034</v>
      </c>
    </row>
    <row r="178" spans="11:12" x14ac:dyDescent="0.4">
      <c r="K178" s="40">
        <v>176</v>
      </c>
      <c r="L178" s="103">
        <v>952.00000000000034</v>
      </c>
    </row>
    <row r="179" spans="11:12" x14ac:dyDescent="0.4">
      <c r="K179" s="40">
        <v>177</v>
      </c>
      <c r="L179" s="103">
        <v>948.60000000000036</v>
      </c>
    </row>
    <row r="180" spans="11:12" x14ac:dyDescent="0.4">
      <c r="K180" s="40">
        <v>178</v>
      </c>
      <c r="L180" s="103">
        <v>988.10000000000036</v>
      </c>
    </row>
    <row r="181" spans="11:12" x14ac:dyDescent="0.4">
      <c r="K181" s="40">
        <v>179</v>
      </c>
      <c r="L181" s="103">
        <v>1049.1000000000004</v>
      </c>
    </row>
    <row r="182" spans="11:12" x14ac:dyDescent="0.4">
      <c r="K182" s="40">
        <v>180</v>
      </c>
      <c r="L182" s="103">
        <v>1060.8000000000004</v>
      </c>
    </row>
    <row r="183" spans="11:12" x14ac:dyDescent="0.4">
      <c r="K183" s="40">
        <v>181</v>
      </c>
      <c r="L183" s="103">
        <v>1076.9000000000003</v>
      </c>
    </row>
    <row r="184" spans="11:12" x14ac:dyDescent="0.4">
      <c r="K184" s="40">
        <v>182</v>
      </c>
      <c r="L184" s="103">
        <v>1134.4000000000003</v>
      </c>
    </row>
    <row r="185" spans="11:12" x14ac:dyDescent="0.4">
      <c r="K185" s="40">
        <v>183</v>
      </c>
      <c r="L185" s="103">
        <v>1121.9000000000003</v>
      </c>
    </row>
    <row r="186" spans="11:12" x14ac:dyDescent="0.4">
      <c r="K186" s="40">
        <v>184</v>
      </c>
      <c r="L186" s="103">
        <v>1132.6000000000004</v>
      </c>
    </row>
    <row r="187" spans="11:12" x14ac:dyDescent="0.4">
      <c r="K187" s="40">
        <v>185</v>
      </c>
      <c r="L187" s="103">
        <v>1163.7000000000003</v>
      </c>
    </row>
    <row r="188" spans="11:12" x14ac:dyDescent="0.4">
      <c r="K188" s="40">
        <v>186</v>
      </c>
      <c r="L188" s="103">
        <v>1173.9000000000003</v>
      </c>
    </row>
    <row r="189" spans="11:12" x14ac:dyDescent="0.4">
      <c r="K189" s="40">
        <v>187</v>
      </c>
      <c r="L189" s="103">
        <v>1182.2000000000003</v>
      </c>
    </row>
    <row r="190" spans="11:12" x14ac:dyDescent="0.4">
      <c r="K190" s="40">
        <v>188</v>
      </c>
      <c r="L190" s="103">
        <v>1180.3000000000002</v>
      </c>
    </row>
    <row r="191" spans="11:12" x14ac:dyDescent="0.4">
      <c r="K191" s="40">
        <v>189</v>
      </c>
      <c r="L191" s="103">
        <v>1180.8000000000002</v>
      </c>
    </row>
    <row r="192" spans="11:12" x14ac:dyDescent="0.4">
      <c r="K192" s="40">
        <v>190</v>
      </c>
      <c r="L192" s="103">
        <v>1228.8000000000002</v>
      </c>
    </row>
    <row r="193" spans="11:12" x14ac:dyDescent="0.4">
      <c r="K193" s="40">
        <v>191</v>
      </c>
      <c r="L193" s="103">
        <v>1251.6000000000001</v>
      </c>
    </row>
    <row r="194" spans="11:12" x14ac:dyDescent="0.4">
      <c r="K194" s="40">
        <v>192</v>
      </c>
      <c r="L194" s="103">
        <v>1257.6000000000001</v>
      </c>
    </row>
    <row r="195" spans="11:12" x14ac:dyDescent="0.4">
      <c r="K195" s="40">
        <v>193</v>
      </c>
      <c r="L195" s="103">
        <v>1240.6000000000001</v>
      </c>
    </row>
    <row r="196" spans="11:12" x14ac:dyDescent="0.4">
      <c r="K196" s="40">
        <v>194</v>
      </c>
      <c r="L196" s="103">
        <v>1221.7</v>
      </c>
    </row>
    <row r="197" spans="11:12" x14ac:dyDescent="0.4">
      <c r="K197" s="40">
        <v>195</v>
      </c>
      <c r="L197" s="103">
        <v>1258.4000000000001</v>
      </c>
    </row>
    <row r="198" spans="11:12" x14ac:dyDescent="0.4">
      <c r="K198" s="40">
        <v>196</v>
      </c>
      <c r="L198" s="103">
        <v>1270.8000000000002</v>
      </c>
    </row>
    <row r="199" spans="11:12" x14ac:dyDescent="0.4">
      <c r="K199" s="40">
        <v>197</v>
      </c>
      <c r="L199" s="103">
        <v>1284.8000000000002</v>
      </c>
    </row>
    <row r="200" spans="11:12" x14ac:dyDescent="0.4">
      <c r="K200" s="40">
        <v>198</v>
      </c>
      <c r="L200" s="103">
        <v>1291.6000000000001</v>
      </c>
    </row>
    <row r="201" spans="11:12" x14ac:dyDescent="0.4">
      <c r="K201" s="40">
        <v>199</v>
      </c>
      <c r="L201" s="103">
        <v>1284.0000000000002</v>
      </c>
    </row>
    <row r="202" spans="11:12" x14ac:dyDescent="0.4">
      <c r="K202" s="40">
        <v>200</v>
      </c>
      <c r="L202" s="103">
        <v>1297.7000000000003</v>
      </c>
    </row>
    <row r="203" spans="11:12" x14ac:dyDescent="0.4">
      <c r="K203" s="40">
        <v>201</v>
      </c>
      <c r="L203" s="103">
        <v>1298.0000000000002</v>
      </c>
    </row>
    <row r="204" spans="11:12" x14ac:dyDescent="0.4">
      <c r="K204" s="40">
        <v>202</v>
      </c>
      <c r="L204" s="103">
        <v>1292.6000000000001</v>
      </c>
    </row>
    <row r="205" spans="11:12" x14ac:dyDescent="0.4">
      <c r="K205" s="40">
        <v>203</v>
      </c>
      <c r="L205" s="103">
        <v>1249.4000000000001</v>
      </c>
    </row>
    <row r="206" spans="11:12" x14ac:dyDescent="0.4">
      <c r="K206" s="40">
        <v>204</v>
      </c>
      <c r="L206" s="103">
        <v>1267.6000000000001</v>
      </c>
    </row>
    <row r="207" spans="11:12" x14ac:dyDescent="0.4">
      <c r="K207" s="40">
        <v>205</v>
      </c>
      <c r="L207" s="103">
        <v>1290.4000000000001</v>
      </c>
    </row>
    <row r="208" spans="11:12" x14ac:dyDescent="0.4">
      <c r="K208" s="40">
        <v>206</v>
      </c>
      <c r="L208" s="103">
        <v>1298.5</v>
      </c>
    </row>
    <row r="209" spans="11:12" x14ac:dyDescent="0.4">
      <c r="K209" s="40">
        <v>207</v>
      </c>
      <c r="L209" s="103">
        <v>1303.5</v>
      </c>
    </row>
    <row r="210" spans="11:12" x14ac:dyDescent="0.4">
      <c r="K210" s="40">
        <v>208</v>
      </c>
      <c r="L210" s="103">
        <v>1264.5</v>
      </c>
    </row>
    <row r="211" spans="11:12" x14ac:dyDescent="0.4">
      <c r="K211" s="40">
        <v>209</v>
      </c>
      <c r="L211" s="103">
        <v>1272.7</v>
      </c>
    </row>
    <row r="212" spans="11:12" x14ac:dyDescent="0.4">
      <c r="K212" s="40">
        <v>210</v>
      </c>
      <c r="L212" s="103">
        <v>1285.7</v>
      </c>
    </row>
    <row r="213" spans="11:12" x14ac:dyDescent="0.4">
      <c r="K213" s="40">
        <v>211</v>
      </c>
      <c r="L213" s="103">
        <v>1295.8</v>
      </c>
    </row>
    <row r="214" spans="11:12" x14ac:dyDescent="0.4">
      <c r="K214" s="40">
        <v>212</v>
      </c>
      <c r="L214" s="103">
        <v>1317.5</v>
      </c>
    </row>
    <row r="215" spans="11:12" x14ac:dyDescent="0.4">
      <c r="K215" s="40">
        <v>213</v>
      </c>
      <c r="L215" s="103">
        <v>1277.0999999999999</v>
      </c>
    </row>
    <row r="216" spans="11:12" x14ac:dyDescent="0.4">
      <c r="K216" s="40">
        <v>214</v>
      </c>
      <c r="L216" s="103">
        <v>1329.1999999999998</v>
      </c>
    </row>
    <row r="217" spans="11:12" x14ac:dyDescent="0.4">
      <c r="K217" s="40">
        <v>215</v>
      </c>
      <c r="L217" s="103">
        <v>1333.6999999999998</v>
      </c>
    </row>
    <row r="218" spans="11:12" x14ac:dyDescent="0.4">
      <c r="K218" s="40">
        <v>216</v>
      </c>
      <c r="L218" s="103">
        <v>1318.6999999999998</v>
      </c>
    </row>
    <row r="219" spans="11:12" x14ac:dyDescent="0.4">
      <c r="K219" s="40">
        <v>217</v>
      </c>
      <c r="L219" s="103">
        <v>1326.4999999999998</v>
      </c>
    </row>
    <row r="220" spans="11:12" x14ac:dyDescent="0.4">
      <c r="K220" s="40">
        <v>218</v>
      </c>
      <c r="L220" s="103">
        <v>1345.0999999999997</v>
      </c>
    </row>
    <row r="221" spans="11:12" x14ac:dyDescent="0.4">
      <c r="K221" s="40">
        <v>219</v>
      </c>
      <c r="L221" s="103">
        <v>1351.2999999999997</v>
      </c>
    </row>
    <row r="222" spans="11:12" x14ac:dyDescent="0.4">
      <c r="K222" s="40">
        <v>220</v>
      </c>
      <c r="L222" s="103">
        <v>1363.8999999999996</v>
      </c>
    </row>
    <row r="223" spans="11:12" x14ac:dyDescent="0.4">
      <c r="K223" s="40">
        <v>221</v>
      </c>
      <c r="L223" s="103">
        <v>1377.2999999999997</v>
      </c>
    </row>
    <row r="224" spans="11:12" x14ac:dyDescent="0.4">
      <c r="K224" s="40">
        <v>222</v>
      </c>
      <c r="L224" s="103">
        <v>1383.3999999999996</v>
      </c>
    </row>
    <row r="225" spans="11:12" x14ac:dyDescent="0.4">
      <c r="K225" s="40">
        <v>223</v>
      </c>
      <c r="L225" s="103">
        <v>1450.0999999999997</v>
      </c>
    </row>
    <row r="226" spans="11:12" x14ac:dyDescent="0.4">
      <c r="K226" s="40">
        <v>224</v>
      </c>
      <c r="L226" s="103">
        <v>1411.9999999999998</v>
      </c>
    </row>
    <row r="227" spans="11:12" x14ac:dyDescent="0.4">
      <c r="K227" s="40">
        <v>225</v>
      </c>
      <c r="L227" s="103">
        <v>1434.9999999999998</v>
      </c>
    </row>
    <row r="228" spans="11:12" x14ac:dyDescent="0.4">
      <c r="K228" s="40">
        <v>226</v>
      </c>
      <c r="L228" s="103">
        <v>1444.4999999999998</v>
      </c>
    </row>
    <row r="229" spans="11:12" x14ac:dyDescent="0.4">
      <c r="K229" s="40">
        <v>227</v>
      </c>
      <c r="L229" s="103">
        <v>1449.4999999999998</v>
      </c>
    </row>
    <row r="230" spans="11:12" x14ac:dyDescent="0.4">
      <c r="K230" s="40">
        <v>228</v>
      </c>
      <c r="L230" s="103">
        <v>1457.2999999999997</v>
      </c>
    </row>
    <row r="231" spans="11:12" x14ac:dyDescent="0.4">
      <c r="K231" s="40">
        <v>229</v>
      </c>
      <c r="L231" s="103">
        <v>1499.5999999999997</v>
      </c>
    </row>
    <row r="232" spans="11:12" x14ac:dyDescent="0.4">
      <c r="K232" s="40">
        <v>230</v>
      </c>
      <c r="L232" s="103">
        <v>1540.2999999999997</v>
      </c>
    </row>
    <row r="233" spans="11:12" x14ac:dyDescent="0.4">
      <c r="K233" s="40">
        <v>231</v>
      </c>
      <c r="L233" s="103">
        <v>1540.3999999999996</v>
      </c>
    </row>
    <row r="234" spans="11:12" x14ac:dyDescent="0.4">
      <c r="K234" s="40">
        <v>232</v>
      </c>
      <c r="L234" s="103">
        <v>1552.5999999999997</v>
      </c>
    </row>
    <row r="235" spans="11:12" x14ac:dyDescent="0.4">
      <c r="K235" s="40">
        <v>233</v>
      </c>
      <c r="L235" s="103">
        <v>1562.0999999999997</v>
      </c>
    </row>
    <row r="236" spans="11:12" x14ac:dyDescent="0.4">
      <c r="K236" s="40">
        <v>234</v>
      </c>
      <c r="L236" s="103">
        <v>1589.2999999999997</v>
      </c>
    </row>
    <row r="237" spans="11:12" x14ac:dyDescent="0.4">
      <c r="K237" s="40">
        <v>235</v>
      </c>
      <c r="L237" s="103">
        <v>1576.6999999999998</v>
      </c>
    </row>
    <row r="238" spans="11:12" x14ac:dyDescent="0.4">
      <c r="K238" s="40">
        <v>236</v>
      </c>
      <c r="L238" s="103">
        <v>1584.1999999999998</v>
      </c>
    </row>
    <row r="239" spans="11:12" x14ac:dyDescent="0.4">
      <c r="K239" s="40">
        <v>237</v>
      </c>
      <c r="L239" s="103">
        <v>1591.9999999999998</v>
      </c>
    </row>
    <row r="240" spans="11:12" x14ac:dyDescent="0.4">
      <c r="K240" s="40">
        <v>238</v>
      </c>
      <c r="L240" s="103">
        <v>1638.8999999999999</v>
      </c>
    </row>
    <row r="241" spans="11:12" x14ac:dyDescent="0.4">
      <c r="K241" s="40">
        <v>239</v>
      </c>
      <c r="L241" s="103">
        <v>1645.1999999999998</v>
      </c>
    </row>
    <row r="242" spans="11:12" x14ac:dyDescent="0.4">
      <c r="K242" s="40">
        <v>240</v>
      </c>
      <c r="L242" s="103">
        <v>1669.4999999999998</v>
      </c>
    </row>
    <row r="243" spans="11:12" x14ac:dyDescent="0.4">
      <c r="K243" s="40">
        <v>241</v>
      </c>
      <c r="L243" s="103">
        <v>1659.0999999999997</v>
      </c>
    </row>
    <row r="244" spans="11:12" x14ac:dyDescent="0.4">
      <c r="K244" s="40">
        <v>242</v>
      </c>
      <c r="L244" s="103">
        <v>1658.0999999999997</v>
      </c>
    </row>
    <row r="245" spans="11:12" x14ac:dyDescent="0.4">
      <c r="K245" s="40">
        <v>243</v>
      </c>
      <c r="L245" s="103">
        <v>1677.8999999999996</v>
      </c>
    </row>
    <row r="246" spans="11:12" x14ac:dyDescent="0.4">
      <c r="K246" s="40">
        <v>244</v>
      </c>
      <c r="L246" s="103">
        <v>1705.5999999999997</v>
      </c>
    </row>
    <row r="247" spans="11:12" x14ac:dyDescent="0.4">
      <c r="K247" s="40">
        <v>245</v>
      </c>
      <c r="L247" s="103">
        <v>1713.0999999999997</v>
      </c>
    </row>
    <row r="248" spans="11:12" x14ac:dyDescent="0.4">
      <c r="K248" s="40">
        <v>246</v>
      </c>
      <c r="L248" s="103">
        <v>1744.5999999999997</v>
      </c>
    </row>
    <row r="249" spans="11:12" x14ac:dyDescent="0.4">
      <c r="K249" s="40">
        <v>247</v>
      </c>
      <c r="L249" s="103">
        <v>1797.0999999999997</v>
      </c>
    </row>
    <row r="250" spans="11:12" x14ac:dyDescent="0.4">
      <c r="K250" s="40">
        <v>248</v>
      </c>
      <c r="L250" s="103">
        <v>1790.8999999999996</v>
      </c>
    </row>
    <row r="251" spans="11:12" x14ac:dyDescent="0.4">
      <c r="K251" s="40">
        <v>249</v>
      </c>
      <c r="L251" s="103">
        <v>1782.0999999999997</v>
      </c>
    </row>
    <row r="252" spans="11:12" x14ac:dyDescent="0.4">
      <c r="K252" s="40">
        <v>250</v>
      </c>
      <c r="L252" s="103">
        <v>1800.5999999999997</v>
      </c>
    </row>
    <row r="253" spans="11:12" x14ac:dyDescent="0.4">
      <c r="K253" s="40">
        <v>251</v>
      </c>
      <c r="L253" s="103">
        <v>1833.6999999999996</v>
      </c>
    </row>
    <row r="254" spans="11:12" x14ac:dyDescent="0.4">
      <c r="K254" s="40">
        <v>252</v>
      </c>
      <c r="L254" s="103">
        <v>1901.6999999999996</v>
      </c>
    </row>
    <row r="255" spans="11:12" x14ac:dyDescent="0.4">
      <c r="K255" s="40">
        <v>253</v>
      </c>
      <c r="L255" s="103">
        <v>1879.7999999999995</v>
      </c>
    </row>
    <row r="256" spans="11:12" x14ac:dyDescent="0.4">
      <c r="K256" s="40">
        <v>254</v>
      </c>
      <c r="L256" s="103">
        <v>1888.7999999999995</v>
      </c>
    </row>
    <row r="257" spans="11:12" x14ac:dyDescent="0.4">
      <c r="K257" s="40">
        <v>255</v>
      </c>
      <c r="L257" s="103">
        <v>1915.3999999999994</v>
      </c>
    </row>
    <row r="258" spans="11:12" x14ac:dyDescent="0.4">
      <c r="K258" s="40">
        <v>256</v>
      </c>
      <c r="L258" s="103">
        <v>1934.3999999999994</v>
      </c>
    </row>
    <row r="259" spans="11:12" x14ac:dyDescent="0.4">
      <c r="K259" s="40">
        <v>257</v>
      </c>
      <c r="L259" s="103">
        <v>1888.9999999999993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62C92-877A-433D-ACF1-B022A27261A0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166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4</v>
      </c>
      <c r="C2" s="148"/>
      <c r="E2" s="64" t="s">
        <v>67</v>
      </c>
      <c r="F2" s="61" t="s">
        <v>21</v>
      </c>
      <c r="G2" s="48">
        <v>0</v>
      </c>
      <c r="H2" s="136">
        <f>IF(B$29=0,0,G2/B$29)</f>
        <v>0</v>
      </c>
      <c r="I2" s="97">
        <v>14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-9250</v>
      </c>
      <c r="P2" s="122">
        <v>4</v>
      </c>
      <c r="Q2" s="106">
        <v>-37000</v>
      </c>
    </row>
    <row r="3" spans="1:17" x14ac:dyDescent="0.4">
      <c r="A3" s="57" t="s">
        <v>8</v>
      </c>
      <c r="B3" s="153">
        <v>25</v>
      </c>
      <c r="C3" s="154"/>
      <c r="E3" s="65" t="s">
        <v>68</v>
      </c>
      <c r="F3" s="62" t="s">
        <v>22</v>
      </c>
      <c r="G3" s="49">
        <v>0</v>
      </c>
      <c r="H3" s="137">
        <f>IF(B$29=0,0,G3/B$29)</f>
        <v>0</v>
      </c>
      <c r="I3" s="98">
        <v>12</v>
      </c>
      <c r="K3" s="40">
        <v>1</v>
      </c>
      <c r="L3" s="103">
        <v>-22</v>
      </c>
      <c r="N3" s="119" t="s">
        <v>148</v>
      </c>
      <c r="O3" s="126">
        <f t="shared" si="0"/>
        <v>-7225</v>
      </c>
      <c r="P3" s="123">
        <v>4</v>
      </c>
      <c r="Q3" s="107">
        <v>-28900</v>
      </c>
    </row>
    <row r="4" spans="1:17" x14ac:dyDescent="0.4">
      <c r="A4" s="57" t="s">
        <v>6</v>
      </c>
      <c r="B4" s="155">
        <v>-132.1</v>
      </c>
      <c r="C4" s="156"/>
      <c r="E4" s="65" t="s">
        <v>69</v>
      </c>
      <c r="F4" s="62" t="s">
        <v>23</v>
      </c>
      <c r="G4" s="49">
        <v>0</v>
      </c>
      <c r="H4" s="137">
        <f>IF(B$29=0,0,G4/B$29)</f>
        <v>0</v>
      </c>
      <c r="I4" s="98">
        <v>14</v>
      </c>
      <c r="K4" s="40">
        <v>2</v>
      </c>
      <c r="L4" s="103">
        <v>-60.4</v>
      </c>
      <c r="N4" s="119" t="s">
        <v>149</v>
      </c>
      <c r="O4" s="126">
        <f t="shared" si="0"/>
        <v>-10875</v>
      </c>
      <c r="P4" s="123">
        <v>4</v>
      </c>
      <c r="Q4" s="107">
        <v>-43500</v>
      </c>
    </row>
    <row r="5" spans="1:17" x14ac:dyDescent="0.4">
      <c r="A5" s="57" t="s">
        <v>7</v>
      </c>
      <c r="B5" s="157">
        <f>IF(B$2=0,0,B$4/B$2)</f>
        <v>-33.024999999999999</v>
      </c>
      <c r="C5" s="158"/>
      <c r="E5" s="65" t="s">
        <v>70</v>
      </c>
      <c r="F5" s="62" t="s">
        <v>24</v>
      </c>
      <c r="G5" s="49">
        <v>0</v>
      </c>
      <c r="H5" s="137">
        <f>IF(B$29=0,0,G5/B$29)</f>
        <v>0</v>
      </c>
      <c r="I5" s="98">
        <v>14</v>
      </c>
      <c r="K5" s="40">
        <v>3</v>
      </c>
      <c r="L5" s="103">
        <v>-85.6</v>
      </c>
      <c r="N5" s="119" t="s">
        <v>150</v>
      </c>
      <c r="O5" s="126">
        <f t="shared" si="0"/>
        <v>-2850</v>
      </c>
      <c r="P5" s="123">
        <v>2</v>
      </c>
      <c r="Q5" s="107">
        <v>-5700</v>
      </c>
    </row>
    <row r="6" spans="1:17" x14ac:dyDescent="0.4">
      <c r="A6" s="57" t="s">
        <v>1</v>
      </c>
      <c r="B6" s="145">
        <f>IF(B$2=0,0,(B$7*1+B$8*2+B$9*3)/B$2)</f>
        <v>3</v>
      </c>
      <c r="C6" s="146"/>
      <c r="E6" s="65" t="s">
        <v>71</v>
      </c>
      <c r="F6" s="62" t="s">
        <v>25</v>
      </c>
      <c r="G6" s="49">
        <v>0</v>
      </c>
      <c r="H6" s="137">
        <f>IF(B$29=0,0,G6/B$29)</f>
        <v>0</v>
      </c>
      <c r="I6" s="98">
        <v>14</v>
      </c>
      <c r="K6" s="40">
        <v>4</v>
      </c>
      <c r="L6" s="103">
        <v>-132.1</v>
      </c>
      <c r="N6" s="119" t="s">
        <v>151</v>
      </c>
      <c r="O6" s="126">
        <f t="shared" si="0"/>
        <v>-6000</v>
      </c>
      <c r="P6" s="123">
        <v>2</v>
      </c>
      <c r="Q6" s="107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37">
        <f>IF(B$29=0,0,G7/B$29)</f>
        <v>0</v>
      </c>
      <c r="I7" s="98">
        <v>14</v>
      </c>
      <c r="N7" s="120" t="s">
        <v>152</v>
      </c>
      <c r="O7" s="127">
        <f t="shared" si="0"/>
        <v>-5000</v>
      </c>
      <c r="P7" s="124">
        <v>1</v>
      </c>
      <c r="Q7" s="108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37">
        <f>IF(B$29=0,0,G8/B$29)</f>
        <v>0</v>
      </c>
      <c r="I8" s="98">
        <v>13</v>
      </c>
      <c r="N8" s="45"/>
      <c r="O8" s="131"/>
      <c r="P8" s="115"/>
      <c r="Q8" s="113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7">
        <f>IF(B$29=0,0,G9/B$29)</f>
        <v>0</v>
      </c>
      <c r="I9" s="98">
        <v>12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37">
        <f>IF(B$29=0,0,G10/B$29)</f>
        <v>0</v>
      </c>
      <c r="I10" s="98">
        <v>12</v>
      </c>
      <c r="N10" s="118" t="s">
        <v>250</v>
      </c>
      <c r="O10" s="128">
        <f>IF(P10=0,0,Q10/P10)</f>
        <v>-30.2</v>
      </c>
      <c r="P10" s="122">
        <v>2</v>
      </c>
      <c r="Q10" s="110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7">
        <f>IF(B$29=0,0,G11/B$29)</f>
        <v>0</v>
      </c>
      <c r="I11" s="98">
        <v>14</v>
      </c>
      <c r="N11" s="119" t="s">
        <v>251</v>
      </c>
      <c r="O11" s="129">
        <f>IF(P11=0,0,Q11/P11)</f>
        <v>-25.2</v>
      </c>
      <c r="P11" s="123">
        <v>1</v>
      </c>
      <c r="Q11" s="111">
        <v>-25.2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7">
        <f>IF(B$29=0,0,G12/B$29)</f>
        <v>0</v>
      </c>
      <c r="I12" s="98">
        <v>7</v>
      </c>
      <c r="N12" s="120" t="s">
        <v>252</v>
      </c>
      <c r="O12" s="130">
        <f>IF(P12=0,0,Q12/P12)</f>
        <v>-46.5</v>
      </c>
      <c r="P12" s="124">
        <v>1</v>
      </c>
      <c r="Q12" s="112">
        <v>-46.5</v>
      </c>
    </row>
    <row r="13" spans="1:17" x14ac:dyDescent="0.4">
      <c r="A13" s="60" t="s">
        <v>128</v>
      </c>
      <c r="B13" s="52">
        <v>0</v>
      </c>
      <c r="C13" s="46">
        <f>IF(B$28=0,0,B13/B$28)</f>
        <v>0</v>
      </c>
      <c r="E13" s="65" t="s">
        <v>78</v>
      </c>
      <c r="F13" s="62" t="s">
        <v>31</v>
      </c>
      <c r="G13" s="49">
        <v>0</v>
      </c>
      <c r="H13" s="137">
        <f>IF(B$29=0,0,G13/B$29)</f>
        <v>0</v>
      </c>
      <c r="I13" s="98">
        <v>6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0</v>
      </c>
      <c r="C14" s="41">
        <f>IF(B$28=0,0,B14/B$28)</f>
        <v>0</v>
      </c>
      <c r="E14" s="65" t="s">
        <v>79</v>
      </c>
      <c r="F14" s="62" t="s">
        <v>32</v>
      </c>
      <c r="G14" s="49">
        <v>0</v>
      </c>
      <c r="H14" s="137">
        <f>IF(B$29=0,0,G14/B$29)</f>
        <v>0</v>
      </c>
      <c r="I14" s="98">
        <v>7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7">
        <f>IF(B$29=0,0,G15/B$29)</f>
        <v>0</v>
      </c>
      <c r="I15" s="98">
        <v>1</v>
      </c>
      <c r="N15" s="118" t="s">
        <v>135</v>
      </c>
      <c r="O15" s="128">
        <f>IF(P15=0,0,Q15/P15)</f>
        <v>-26.766666666666666</v>
      </c>
      <c r="P15" s="122">
        <v>3</v>
      </c>
      <c r="Q15" s="110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7">
        <f>IF(B$29=0,0,G16/B$29)</f>
        <v>0</v>
      </c>
      <c r="I16" s="98">
        <v>7</v>
      </c>
      <c r="N16" s="119" t="s">
        <v>167</v>
      </c>
      <c r="O16" s="129">
        <f>IF(P16=0,0,Q16/P16)</f>
        <v>-29</v>
      </c>
      <c r="P16" s="123">
        <v>1</v>
      </c>
      <c r="Q16" s="111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37">
        <f>IF(B$29=0,0,G17/B$29)</f>
        <v>0</v>
      </c>
      <c r="I17" s="98">
        <v>10</v>
      </c>
      <c r="N17" s="119" t="s">
        <v>133</v>
      </c>
      <c r="O17" s="129">
        <f>IF(P17=0,0,Q17/P17)</f>
        <v>-71.75</v>
      </c>
      <c r="P17" s="123">
        <v>4</v>
      </c>
      <c r="Q17" s="111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7">
        <f>IF(B$29=0,0,G18/B$29)</f>
        <v>0</v>
      </c>
      <c r="I18" s="98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7">
        <f>IF(B$29=0,0,G19/B$29)</f>
        <v>0</v>
      </c>
      <c r="I19" s="98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37">
        <f>IF(B$29=0,0,G20/B$29)</f>
        <v>0</v>
      </c>
      <c r="I20" s="98">
        <v>3</v>
      </c>
    </row>
    <row r="21" spans="1:17" x14ac:dyDescent="0.4">
      <c r="A21" s="57" t="s">
        <v>13</v>
      </c>
      <c r="B21" s="49">
        <v>1</v>
      </c>
      <c r="C21" s="41">
        <v>0</v>
      </c>
      <c r="E21" s="65" t="s">
        <v>86</v>
      </c>
      <c r="F21" s="62" t="s">
        <v>39</v>
      </c>
      <c r="G21" s="49">
        <v>0</v>
      </c>
      <c r="H21" s="137">
        <f>IF(B$29=0,0,G21/B$29)</f>
        <v>0</v>
      </c>
      <c r="I21" s="98">
        <v>10</v>
      </c>
    </row>
    <row r="22" spans="1:17" x14ac:dyDescent="0.4">
      <c r="A22" s="57" t="s">
        <v>263</v>
      </c>
      <c r="B22" s="49">
        <v>4</v>
      </c>
      <c r="C22" s="165">
        <v>2</v>
      </c>
      <c r="E22" s="65" t="s">
        <v>87</v>
      </c>
      <c r="F22" s="62" t="s">
        <v>40</v>
      </c>
      <c r="G22" s="49">
        <v>0</v>
      </c>
      <c r="H22" s="137">
        <f>IF(B$29=0,0,G22/B$29)</f>
        <v>0</v>
      </c>
      <c r="I22" s="98">
        <v>1</v>
      </c>
    </row>
    <row r="23" spans="1:17" x14ac:dyDescent="0.4">
      <c r="A23" s="57" t="s">
        <v>5</v>
      </c>
      <c r="B23" s="53">
        <f>IF(B$17=0,0,C23/B$17)</f>
        <v>7800</v>
      </c>
      <c r="C23" s="43">
        <v>7800</v>
      </c>
      <c r="E23" s="65" t="s">
        <v>88</v>
      </c>
      <c r="F23" s="62" t="s">
        <v>41</v>
      </c>
      <c r="G23" s="49">
        <v>0</v>
      </c>
      <c r="H23" s="137">
        <f>IF(B$29=0,0,G23/B$29)</f>
        <v>0</v>
      </c>
      <c r="I23" s="98">
        <v>12</v>
      </c>
    </row>
    <row r="24" spans="1:17" x14ac:dyDescent="0.4">
      <c r="A24" s="59" t="s">
        <v>14</v>
      </c>
      <c r="B24" s="54">
        <f>IF(B$20=0,0,C24/B$20)</f>
        <v>-8240</v>
      </c>
      <c r="C24" s="47">
        <v>-82400</v>
      </c>
      <c r="E24" s="65" t="s">
        <v>89</v>
      </c>
      <c r="F24" s="62" t="s">
        <v>42</v>
      </c>
      <c r="G24" s="49">
        <v>0</v>
      </c>
      <c r="H24" s="137">
        <f>IF(B$29=0,0,G24/B$29)</f>
        <v>0</v>
      </c>
      <c r="I24" s="98">
        <v>5</v>
      </c>
    </row>
    <row r="25" spans="1:17" x14ac:dyDescent="0.4">
      <c r="A25" s="94" t="s">
        <v>158</v>
      </c>
      <c r="B25" s="143">
        <v>0</v>
      </c>
      <c r="C25" s="144"/>
      <c r="E25" s="65" t="s">
        <v>90</v>
      </c>
      <c r="F25" s="62" t="s">
        <v>43</v>
      </c>
      <c r="G25" s="49">
        <v>0</v>
      </c>
      <c r="H25" s="137">
        <f>IF(B$29=0,0,G25/B$29)</f>
        <v>0</v>
      </c>
      <c r="I25" s="98">
        <v>6</v>
      </c>
    </row>
    <row r="26" spans="1:17" x14ac:dyDescent="0.4">
      <c r="A26" s="60" t="s">
        <v>198</v>
      </c>
      <c r="B26" s="141">
        <v>13000</v>
      </c>
      <c r="C26" s="142"/>
      <c r="E26" s="65" t="s">
        <v>91</v>
      </c>
      <c r="F26" s="62" t="s">
        <v>44</v>
      </c>
      <c r="G26" s="49">
        <v>0</v>
      </c>
      <c r="H26" s="137">
        <f>IF(B$29=0,0,G26/B$29)</f>
        <v>0</v>
      </c>
      <c r="I26" s="98">
        <v>14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92</v>
      </c>
      <c r="F27" s="62" t="s">
        <v>45</v>
      </c>
      <c r="G27" s="49">
        <v>0</v>
      </c>
      <c r="H27" s="137">
        <f>IF(B$29=0,0,G27/B$29)</f>
        <v>0</v>
      </c>
      <c r="I27" s="98">
        <v>5</v>
      </c>
    </row>
    <row r="28" spans="1:17" x14ac:dyDescent="0.4">
      <c r="A28" s="56" t="s">
        <v>126</v>
      </c>
      <c r="B28" s="147">
        <v>0</v>
      </c>
      <c r="C28" s="148"/>
      <c r="E28" s="65" t="s">
        <v>93</v>
      </c>
      <c r="F28" s="62" t="s">
        <v>46</v>
      </c>
      <c r="G28" s="49">
        <v>0</v>
      </c>
      <c r="H28" s="137">
        <f>IF(B$29=0,0,G28/B$29)</f>
        <v>0</v>
      </c>
      <c r="I28" s="98">
        <v>3</v>
      </c>
    </row>
    <row r="29" spans="1:17" x14ac:dyDescent="0.4">
      <c r="A29" s="59" t="s">
        <v>127</v>
      </c>
      <c r="B29" s="149">
        <v>0</v>
      </c>
      <c r="C29" s="150"/>
      <c r="E29" s="65" t="s">
        <v>94</v>
      </c>
      <c r="F29" s="62" t="s">
        <v>47</v>
      </c>
      <c r="G29" s="49">
        <v>0</v>
      </c>
      <c r="H29" s="137">
        <f>IF(B$29=0,0,G29/B$29)</f>
        <v>0</v>
      </c>
      <c r="I29" s="98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4A5A-0DCC-4CAC-97B9-0A735BF26EA4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167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4</v>
      </c>
      <c r="C2" s="148"/>
      <c r="E2" s="64" t="s">
        <v>69</v>
      </c>
      <c r="F2" s="61" t="s">
        <v>23</v>
      </c>
      <c r="G2" s="48">
        <v>5</v>
      </c>
      <c r="H2" s="136">
        <f>IF(B$29=0,0,G2/B$29)</f>
        <v>1.25</v>
      </c>
      <c r="I2" s="97">
        <v>1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-7250</v>
      </c>
      <c r="P2" s="122">
        <v>4</v>
      </c>
      <c r="Q2" s="106">
        <v>-29000</v>
      </c>
    </row>
    <row r="3" spans="1:17" x14ac:dyDescent="0.4">
      <c r="A3" s="57" t="s">
        <v>8</v>
      </c>
      <c r="B3" s="153">
        <v>24</v>
      </c>
      <c r="C3" s="154"/>
      <c r="E3" s="65" t="s">
        <v>76</v>
      </c>
      <c r="F3" s="62" t="s">
        <v>29</v>
      </c>
      <c r="G3" s="49">
        <v>3</v>
      </c>
      <c r="H3" s="137">
        <f>IF(B$29=0,0,G3/B$29)</f>
        <v>0.75</v>
      </c>
      <c r="I3" s="98">
        <v>2</v>
      </c>
      <c r="K3" s="40">
        <v>1</v>
      </c>
      <c r="L3" s="103">
        <v>7</v>
      </c>
      <c r="N3" s="119" t="s">
        <v>148</v>
      </c>
      <c r="O3" s="126">
        <f t="shared" si="0"/>
        <v>-3166.6666666666665</v>
      </c>
      <c r="P3" s="123">
        <v>3</v>
      </c>
      <c r="Q3" s="107">
        <v>-9500</v>
      </c>
    </row>
    <row r="4" spans="1:17" x14ac:dyDescent="0.4">
      <c r="A4" s="57" t="s">
        <v>6</v>
      </c>
      <c r="B4" s="155">
        <v>-15.5</v>
      </c>
      <c r="C4" s="156"/>
      <c r="E4" s="65" t="s">
        <v>67</v>
      </c>
      <c r="F4" s="62" t="s">
        <v>21</v>
      </c>
      <c r="G4" s="49">
        <v>2</v>
      </c>
      <c r="H4" s="137">
        <f>IF(B$29=0,0,G4/B$29)</f>
        <v>0.5</v>
      </c>
      <c r="I4" s="98">
        <v>9</v>
      </c>
      <c r="K4" s="40">
        <v>2</v>
      </c>
      <c r="L4" s="103">
        <v>-24.5</v>
      </c>
      <c r="N4" s="119" t="s">
        <v>149</v>
      </c>
      <c r="O4" s="126">
        <f t="shared" si="0"/>
        <v>-3666.6666666666665</v>
      </c>
      <c r="P4" s="123">
        <v>3</v>
      </c>
      <c r="Q4" s="107">
        <v>-11000</v>
      </c>
    </row>
    <row r="5" spans="1:17" x14ac:dyDescent="0.4">
      <c r="A5" s="57" t="s">
        <v>7</v>
      </c>
      <c r="B5" s="157">
        <f>IF(B$2=0,0,B$4/B$2)</f>
        <v>-3.875</v>
      </c>
      <c r="C5" s="158"/>
      <c r="E5" s="65" t="s">
        <v>70</v>
      </c>
      <c r="F5" s="62" t="s">
        <v>24</v>
      </c>
      <c r="G5" s="49">
        <v>2</v>
      </c>
      <c r="H5" s="137">
        <f>IF(B$29=0,0,G5/B$29)</f>
        <v>0.5</v>
      </c>
      <c r="I5" s="98">
        <v>2</v>
      </c>
      <c r="K5" s="40">
        <v>3</v>
      </c>
      <c r="L5" s="103">
        <v>-26.5</v>
      </c>
      <c r="N5" s="119" t="s">
        <v>150</v>
      </c>
      <c r="O5" s="126">
        <f t="shared" si="0"/>
        <v>4000</v>
      </c>
      <c r="P5" s="123">
        <v>2</v>
      </c>
      <c r="Q5" s="107">
        <v>8000</v>
      </c>
    </row>
    <row r="6" spans="1:17" x14ac:dyDescent="0.4">
      <c r="A6" s="57" t="s">
        <v>1</v>
      </c>
      <c r="B6" s="145">
        <f>IF(B$2=0,0,(B$7*1+B$8*2+B$9*3)/B$2)</f>
        <v>2</v>
      </c>
      <c r="C6" s="146"/>
      <c r="E6" s="65" t="s">
        <v>71</v>
      </c>
      <c r="F6" s="62" t="s">
        <v>25</v>
      </c>
      <c r="G6" s="49">
        <v>2</v>
      </c>
      <c r="H6" s="137">
        <f>IF(B$29=0,0,G6/B$29)</f>
        <v>0.5</v>
      </c>
      <c r="I6" s="98">
        <v>13</v>
      </c>
      <c r="K6" s="40">
        <v>4</v>
      </c>
      <c r="L6" s="103">
        <v>-15.5</v>
      </c>
      <c r="N6" s="119" t="s">
        <v>151</v>
      </c>
      <c r="O6" s="126">
        <f t="shared" si="0"/>
        <v>21500</v>
      </c>
      <c r="P6" s="123">
        <v>2</v>
      </c>
      <c r="Q6" s="107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37">
        <f>IF(B$29=0,0,G7/B$29)</f>
        <v>0.5</v>
      </c>
      <c r="I7" s="98">
        <v>1</v>
      </c>
      <c r="N7" s="120" t="s">
        <v>152</v>
      </c>
      <c r="O7" s="127">
        <f t="shared" si="0"/>
        <v>-8500</v>
      </c>
      <c r="P7" s="124">
        <v>2</v>
      </c>
      <c r="Q7" s="108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37">
        <f>IF(B$29=0,0,G8/B$29)</f>
        <v>0.25</v>
      </c>
      <c r="I8" s="98">
        <v>10</v>
      </c>
      <c r="N8" s="45"/>
      <c r="O8" s="131"/>
      <c r="P8" s="115"/>
      <c r="Q8" s="113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37">
        <f>IF(B$29=0,0,G9/B$29)</f>
        <v>0.25</v>
      </c>
      <c r="I9" s="98">
        <v>1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37">
        <f>IF(B$29=0,0,G10/B$29)</f>
        <v>0.25</v>
      </c>
      <c r="I10" s="98">
        <v>1</v>
      </c>
      <c r="N10" s="118" t="s">
        <v>250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37">
        <f>IF(B$29=0,0,G11/B$29)</f>
        <v>0.25</v>
      </c>
      <c r="I11" s="98">
        <v>1</v>
      </c>
      <c r="N11" s="119" t="s">
        <v>251</v>
      </c>
      <c r="O11" s="129">
        <f>IF(P11=0,0,Q11/P11)</f>
        <v>9</v>
      </c>
      <c r="P11" s="123">
        <v>2</v>
      </c>
      <c r="Q11" s="111">
        <v>18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37">
        <f>IF(B$29=0,0,G12/B$29)</f>
        <v>0.25</v>
      </c>
      <c r="I12" s="98">
        <v>1</v>
      </c>
      <c r="N12" s="120" t="s">
        <v>252</v>
      </c>
      <c r="O12" s="130">
        <f>IF(P12=0,0,Q12/P12)</f>
        <v>-16.75</v>
      </c>
      <c r="P12" s="124">
        <v>2</v>
      </c>
      <c r="Q12" s="112">
        <v>-33.5</v>
      </c>
    </row>
    <row r="13" spans="1:17" x14ac:dyDescent="0.4">
      <c r="A13" s="60" t="s">
        <v>128</v>
      </c>
      <c r="B13" s="52">
        <v>8</v>
      </c>
      <c r="C13" s="46">
        <f>IF(B$28=0,0,B13/B$28)</f>
        <v>0.42105263157894735</v>
      </c>
      <c r="E13" s="65" t="s">
        <v>68</v>
      </c>
      <c r="F13" s="62" t="s">
        <v>22</v>
      </c>
      <c r="G13" s="49">
        <v>0</v>
      </c>
      <c r="H13" s="137">
        <f>IF(B$29=0,0,G13/B$29)</f>
        <v>0</v>
      </c>
      <c r="I13" s="98">
        <v>12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2</v>
      </c>
      <c r="C14" s="41">
        <f>IF(B$28=0,0,B14/B$28)</f>
        <v>0.10526315789473684</v>
      </c>
      <c r="E14" s="65" t="s">
        <v>74</v>
      </c>
      <c r="F14" s="62" t="s">
        <v>27</v>
      </c>
      <c r="G14" s="49">
        <v>0</v>
      </c>
      <c r="H14" s="137">
        <f>IF(B$29=0,0,G14/B$29)</f>
        <v>0</v>
      </c>
      <c r="I14" s="98">
        <v>12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37">
        <f>IF(B$29=0,0,G15/B$29)</f>
        <v>0</v>
      </c>
      <c r="I15" s="98">
        <v>7</v>
      </c>
      <c r="N15" s="118" t="s">
        <v>166</v>
      </c>
      <c r="O15" s="128">
        <f>IF(P15=0,0,Q15/P15)</f>
        <v>29</v>
      </c>
      <c r="P15" s="122">
        <v>1</v>
      </c>
      <c r="Q15" s="110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37">
        <f>IF(B$29=0,0,G16/B$29)</f>
        <v>0</v>
      </c>
      <c r="I16" s="98">
        <v>6</v>
      </c>
      <c r="N16" s="119" t="s">
        <v>139</v>
      </c>
      <c r="O16" s="129">
        <f>IF(P16=0,0,Q16/P16)</f>
        <v>3.9666666666666663</v>
      </c>
      <c r="P16" s="123">
        <v>3</v>
      </c>
      <c r="Q16" s="111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37">
        <f>IF(B$29=0,0,G17/B$29)</f>
        <v>0</v>
      </c>
      <c r="I17" s="98">
        <v>7</v>
      </c>
      <c r="N17" s="119" t="s">
        <v>133</v>
      </c>
      <c r="O17" s="129">
        <f>IF(P17=0,0,Q17/P17)</f>
        <v>-8</v>
      </c>
      <c r="P17" s="123">
        <v>1</v>
      </c>
      <c r="Q17" s="111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7">
        <f>IF(B$29=0,0,G18/B$29)</f>
        <v>0</v>
      </c>
      <c r="I18" s="98">
        <v>1</v>
      </c>
      <c r="N18" s="119" t="s">
        <v>134</v>
      </c>
      <c r="O18" s="129">
        <f>IF(P18=0,0,Q18/P18)</f>
        <v>-26.466666666666669</v>
      </c>
      <c r="P18" s="123">
        <v>3</v>
      </c>
      <c r="Q18" s="111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7">
        <f>IF(B$29=0,0,G19/B$29)</f>
        <v>0</v>
      </c>
      <c r="I19" s="98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37">
        <f>IF(B$29=0,0,G20/B$29)</f>
        <v>0</v>
      </c>
      <c r="I20" s="98">
        <v>10</v>
      </c>
    </row>
    <row r="21" spans="1:17" x14ac:dyDescent="0.4">
      <c r="A21" s="57" t="s">
        <v>13</v>
      </c>
      <c r="B21" s="49">
        <v>3</v>
      </c>
      <c r="C21" s="41">
        <v>0</v>
      </c>
      <c r="E21" s="65" t="s">
        <v>83</v>
      </c>
      <c r="F21" s="62" t="s">
        <v>36</v>
      </c>
      <c r="G21" s="49">
        <v>0</v>
      </c>
      <c r="H21" s="137">
        <f>IF(B$29=0,0,G21/B$29)</f>
        <v>0</v>
      </c>
      <c r="I21" s="98">
        <v>11</v>
      </c>
    </row>
    <row r="22" spans="1:17" x14ac:dyDescent="0.4">
      <c r="A22" s="57" t="s">
        <v>263</v>
      </c>
      <c r="B22" s="49">
        <v>11</v>
      </c>
      <c r="C22" s="165">
        <v>0</v>
      </c>
      <c r="E22" s="65" t="s">
        <v>84</v>
      </c>
      <c r="F22" s="62" t="s">
        <v>37</v>
      </c>
      <c r="G22" s="49">
        <v>0</v>
      </c>
      <c r="H22" s="137">
        <f>IF(B$29=0,0,G22/B$29)</f>
        <v>0</v>
      </c>
      <c r="I22" s="98">
        <v>1</v>
      </c>
    </row>
    <row r="23" spans="1:17" x14ac:dyDescent="0.4">
      <c r="A23" s="57" t="s">
        <v>5</v>
      </c>
      <c r="B23" s="53">
        <f>IF(B$17=0,0,C23/B$17)</f>
        <v>12333.333333333334</v>
      </c>
      <c r="C23" s="43">
        <v>74000</v>
      </c>
      <c r="E23" s="65" t="s">
        <v>85</v>
      </c>
      <c r="F23" s="62" t="s">
        <v>38</v>
      </c>
      <c r="G23" s="49">
        <v>0</v>
      </c>
      <c r="H23" s="137">
        <f>IF(B$29=0,0,G23/B$29)</f>
        <v>0</v>
      </c>
      <c r="I23" s="98">
        <v>3</v>
      </c>
    </row>
    <row r="24" spans="1:17" x14ac:dyDescent="0.4">
      <c r="A24" s="59" t="s">
        <v>14</v>
      </c>
      <c r="B24" s="54">
        <f>IF(B$20=0,0,C24/B$20)</f>
        <v>-12000</v>
      </c>
      <c r="C24" s="47">
        <v>-48000</v>
      </c>
      <c r="E24" s="65" t="s">
        <v>86</v>
      </c>
      <c r="F24" s="62" t="s">
        <v>39</v>
      </c>
      <c r="G24" s="49">
        <v>0</v>
      </c>
      <c r="H24" s="137">
        <f>IF(B$29=0,0,G24/B$29)</f>
        <v>0</v>
      </c>
      <c r="I24" s="98">
        <v>10</v>
      </c>
    </row>
    <row r="25" spans="1:17" x14ac:dyDescent="0.4">
      <c r="A25" s="94" t="s">
        <v>158</v>
      </c>
      <c r="B25" s="143">
        <v>3</v>
      </c>
      <c r="C25" s="144"/>
      <c r="E25" s="65" t="s">
        <v>87</v>
      </c>
      <c r="F25" s="62" t="s">
        <v>40</v>
      </c>
      <c r="G25" s="49">
        <v>0</v>
      </c>
      <c r="H25" s="137">
        <f>IF(B$29=0,0,G25/B$29)</f>
        <v>0</v>
      </c>
      <c r="I25" s="98">
        <v>1</v>
      </c>
    </row>
    <row r="26" spans="1:17" x14ac:dyDescent="0.4">
      <c r="A26" s="60" t="s">
        <v>198</v>
      </c>
      <c r="B26" s="141">
        <v>46000</v>
      </c>
      <c r="C26" s="142"/>
      <c r="E26" s="65" t="s">
        <v>89</v>
      </c>
      <c r="F26" s="62" t="s">
        <v>42</v>
      </c>
      <c r="G26" s="49">
        <v>0</v>
      </c>
      <c r="H26" s="137">
        <f>IF(B$29=0,0,G26/B$29)</f>
        <v>0</v>
      </c>
      <c r="I26" s="98">
        <v>5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90</v>
      </c>
      <c r="F27" s="62" t="s">
        <v>43</v>
      </c>
      <c r="G27" s="49">
        <v>0</v>
      </c>
      <c r="H27" s="137">
        <f>IF(B$29=0,0,G27/B$29)</f>
        <v>0</v>
      </c>
      <c r="I27" s="98">
        <v>6</v>
      </c>
    </row>
    <row r="28" spans="1:17" x14ac:dyDescent="0.4">
      <c r="A28" s="56" t="s">
        <v>126</v>
      </c>
      <c r="B28" s="147">
        <v>19</v>
      </c>
      <c r="C28" s="148"/>
      <c r="E28" s="65" t="s">
        <v>92</v>
      </c>
      <c r="F28" s="62" t="s">
        <v>45</v>
      </c>
      <c r="G28" s="49">
        <v>0</v>
      </c>
      <c r="H28" s="137">
        <f>IF(B$29=0,0,G28/B$29)</f>
        <v>0</v>
      </c>
      <c r="I28" s="98">
        <v>5</v>
      </c>
    </row>
    <row r="29" spans="1:17" x14ac:dyDescent="0.4">
      <c r="A29" s="59" t="s">
        <v>127</v>
      </c>
      <c r="B29" s="149">
        <v>4</v>
      </c>
      <c r="C29" s="150"/>
      <c r="E29" s="65" t="s">
        <v>93</v>
      </c>
      <c r="F29" s="62" t="s">
        <v>46</v>
      </c>
      <c r="G29" s="49">
        <v>0</v>
      </c>
      <c r="H29" s="137">
        <f>IF(B$29=0,0,G29/B$29)</f>
        <v>0</v>
      </c>
      <c r="I29" s="98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C6A7B-06A4-4919-8B38-B5EF9AF1ED47}">
  <sheetPr codeName="Sheet1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134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142</v>
      </c>
      <c r="C2" s="148"/>
      <c r="E2" s="64" t="s">
        <v>71</v>
      </c>
      <c r="F2" s="61" t="s">
        <v>25</v>
      </c>
      <c r="G2" s="48">
        <v>179</v>
      </c>
      <c r="H2" s="136">
        <f>IF(B$29=0,0,G2/B$29)</f>
        <v>0.78854625550660795</v>
      </c>
      <c r="I2" s="97">
        <v>10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-1066.4285714285713</v>
      </c>
      <c r="P2" s="122">
        <v>140</v>
      </c>
      <c r="Q2" s="106">
        <v>-149300</v>
      </c>
    </row>
    <row r="3" spans="1:17" x14ac:dyDescent="0.4">
      <c r="A3" s="57" t="s">
        <v>8</v>
      </c>
      <c r="B3" s="153">
        <v>1103</v>
      </c>
      <c r="C3" s="154"/>
      <c r="E3" s="65" t="s">
        <v>69</v>
      </c>
      <c r="F3" s="62" t="s">
        <v>23</v>
      </c>
      <c r="G3" s="49">
        <v>153</v>
      </c>
      <c r="H3" s="137">
        <f>IF(B$29=0,0,G3/B$29)</f>
        <v>0.67400881057268724</v>
      </c>
      <c r="I3" s="98">
        <v>9</v>
      </c>
      <c r="K3" s="40">
        <v>1</v>
      </c>
      <c r="L3" s="103">
        <v>40.9</v>
      </c>
      <c r="N3" s="119" t="s">
        <v>148</v>
      </c>
      <c r="O3" s="126">
        <f t="shared" si="0"/>
        <v>-1137.5</v>
      </c>
      <c r="P3" s="123">
        <v>136</v>
      </c>
      <c r="Q3" s="107">
        <v>-154700</v>
      </c>
    </row>
    <row r="4" spans="1:17" x14ac:dyDescent="0.4">
      <c r="A4" s="57" t="s">
        <v>6</v>
      </c>
      <c r="B4" s="155">
        <v>-538.49999999999989</v>
      </c>
      <c r="C4" s="156"/>
      <c r="E4" s="65" t="s">
        <v>67</v>
      </c>
      <c r="F4" s="62" t="s">
        <v>21</v>
      </c>
      <c r="G4" s="49">
        <v>139</v>
      </c>
      <c r="H4" s="137">
        <f>IF(B$29=0,0,G4/B$29)</f>
        <v>0.61233480176211452</v>
      </c>
      <c r="I4" s="98">
        <v>4</v>
      </c>
      <c r="K4" s="40">
        <v>2</v>
      </c>
      <c r="L4" s="103">
        <v>-0.89999999999999858</v>
      </c>
      <c r="N4" s="119" t="s">
        <v>149</v>
      </c>
      <c r="O4" s="126">
        <f t="shared" si="0"/>
        <v>1198.4732824427481</v>
      </c>
      <c r="P4" s="123">
        <v>131</v>
      </c>
      <c r="Q4" s="107">
        <v>157000</v>
      </c>
    </row>
    <row r="5" spans="1:17" x14ac:dyDescent="0.4">
      <c r="A5" s="57" t="s">
        <v>7</v>
      </c>
      <c r="B5" s="157">
        <f>IF(B$2=0,0,B$4/B$2)</f>
        <v>-3.7922535211267596</v>
      </c>
      <c r="C5" s="158"/>
      <c r="E5" s="65" t="s">
        <v>76</v>
      </c>
      <c r="F5" s="62" t="s">
        <v>29</v>
      </c>
      <c r="G5" s="49">
        <v>115</v>
      </c>
      <c r="H5" s="137">
        <f>IF(B$29=0,0,G5/B$29)</f>
        <v>0.50660792951541855</v>
      </c>
      <c r="I5" s="98">
        <v>11</v>
      </c>
      <c r="K5" s="40">
        <v>3</v>
      </c>
      <c r="L5" s="103">
        <v>-36.4</v>
      </c>
      <c r="N5" s="119" t="s">
        <v>150</v>
      </c>
      <c r="O5" s="126">
        <f t="shared" si="0"/>
        <v>-956.41025641025647</v>
      </c>
      <c r="P5" s="123">
        <v>117</v>
      </c>
      <c r="Q5" s="107">
        <v>-111900</v>
      </c>
    </row>
    <row r="6" spans="1:17" x14ac:dyDescent="0.4">
      <c r="A6" s="57" t="s">
        <v>1</v>
      </c>
      <c r="B6" s="145">
        <f>IF(B$2=0,0,(B$7*1+B$8*2+B$9*3)/B$2)</f>
        <v>2.1056338028169015</v>
      </c>
      <c r="C6" s="146"/>
      <c r="E6" s="65" t="s">
        <v>72</v>
      </c>
      <c r="F6" s="62" t="s">
        <v>12</v>
      </c>
      <c r="G6" s="49">
        <v>84</v>
      </c>
      <c r="H6" s="137">
        <f>IF(B$29=0,0,G6/B$29)</f>
        <v>0.37004405286343611</v>
      </c>
      <c r="I6" s="98">
        <v>2</v>
      </c>
      <c r="K6" s="40">
        <v>4</v>
      </c>
      <c r="L6" s="103">
        <v>3.6000000000000014</v>
      </c>
      <c r="N6" s="119" t="s">
        <v>151</v>
      </c>
      <c r="O6" s="126">
        <f t="shared" si="0"/>
        <v>-1676.2376237623762</v>
      </c>
      <c r="P6" s="123">
        <v>101</v>
      </c>
      <c r="Q6" s="107">
        <v>-169300</v>
      </c>
    </row>
    <row r="7" spans="1:17" x14ac:dyDescent="0.4">
      <c r="A7" s="57" t="s">
        <v>2</v>
      </c>
      <c r="B7" s="49">
        <v>41</v>
      </c>
      <c r="C7" s="41">
        <f>IF(B$2=0,0,B7/B$2)</f>
        <v>0.28873239436619719</v>
      </c>
      <c r="E7" s="65" t="s">
        <v>70</v>
      </c>
      <c r="F7" s="62" t="s">
        <v>24</v>
      </c>
      <c r="G7" s="49">
        <v>68</v>
      </c>
      <c r="H7" s="137">
        <f>IF(B$29=0,0,G7/B$29)</f>
        <v>0.29955947136563876</v>
      </c>
      <c r="I7" s="98">
        <v>7</v>
      </c>
      <c r="K7" s="40">
        <v>5</v>
      </c>
      <c r="L7" s="103">
        <v>14.600000000000001</v>
      </c>
      <c r="N7" s="120" t="s">
        <v>152</v>
      </c>
      <c r="O7" s="127">
        <f t="shared" si="0"/>
        <v>-1628.75</v>
      </c>
      <c r="P7" s="124">
        <v>80</v>
      </c>
      <c r="Q7" s="108">
        <v>-130300</v>
      </c>
    </row>
    <row r="8" spans="1:17" x14ac:dyDescent="0.4">
      <c r="A8" s="57" t="s">
        <v>3</v>
      </c>
      <c r="B8" s="49">
        <v>45</v>
      </c>
      <c r="C8" s="41">
        <f>IF(B$2=0,0,B8/B$2)</f>
        <v>0.31690140845070425</v>
      </c>
      <c r="E8" s="65" t="s">
        <v>94</v>
      </c>
      <c r="F8" s="62" t="s">
        <v>47</v>
      </c>
      <c r="G8" s="49">
        <v>40</v>
      </c>
      <c r="H8" s="137">
        <f>IF(B$29=0,0,G8/B$29)</f>
        <v>0.1762114537444934</v>
      </c>
      <c r="I8" s="98">
        <v>4</v>
      </c>
      <c r="K8" s="40">
        <v>6</v>
      </c>
      <c r="L8" s="103">
        <v>47.6</v>
      </c>
      <c r="N8" s="45"/>
      <c r="O8" s="131"/>
      <c r="P8" s="115"/>
      <c r="Q8" s="113"/>
    </row>
    <row r="9" spans="1:17" x14ac:dyDescent="0.4">
      <c r="A9" s="58" t="s">
        <v>4</v>
      </c>
      <c r="B9" s="50">
        <v>56</v>
      </c>
      <c r="C9" s="42">
        <f t="shared" ref="C9" si="1">IF(B$2=0,0,B9/B$2)</f>
        <v>0.39436619718309857</v>
      </c>
      <c r="E9" s="65" t="s">
        <v>73</v>
      </c>
      <c r="F9" s="62" t="s">
        <v>26</v>
      </c>
      <c r="G9" s="49">
        <v>36</v>
      </c>
      <c r="H9" s="137">
        <f>IF(B$29=0,0,G9/B$29)</f>
        <v>0.15859030837004406</v>
      </c>
      <c r="I9" s="98">
        <v>3</v>
      </c>
      <c r="K9" s="40">
        <v>7</v>
      </c>
      <c r="L9" s="103">
        <v>100.1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27</v>
      </c>
      <c r="C10" s="42">
        <f>IF(B$2=0,0,B10/B$2)</f>
        <v>0.19014084507042253</v>
      </c>
      <c r="E10" s="65" t="s">
        <v>68</v>
      </c>
      <c r="F10" s="62" t="s">
        <v>22</v>
      </c>
      <c r="G10" s="49">
        <v>34</v>
      </c>
      <c r="H10" s="137">
        <f>IF(B$29=0,0,G10/B$29)</f>
        <v>0.14977973568281938</v>
      </c>
      <c r="I10" s="98">
        <v>5</v>
      </c>
      <c r="K10" s="40">
        <v>8</v>
      </c>
      <c r="L10" s="103">
        <v>60.199999999999996</v>
      </c>
      <c r="N10" s="118" t="s">
        <v>250</v>
      </c>
      <c r="O10" s="128">
        <f>IF(P10=0,0,Q10/P10)</f>
        <v>-7.8065217391304342</v>
      </c>
      <c r="P10" s="122">
        <v>46</v>
      </c>
      <c r="Q10" s="110">
        <v>-359.09999999999997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0.11971830985915492</v>
      </c>
      <c r="E11" s="65" t="s">
        <v>74</v>
      </c>
      <c r="F11" s="62" t="s">
        <v>27</v>
      </c>
      <c r="G11" s="49">
        <v>30</v>
      </c>
      <c r="H11" s="137">
        <f>IF(B$29=0,0,G11/B$29)</f>
        <v>0.13215859030837004</v>
      </c>
      <c r="I11" s="98">
        <v>3</v>
      </c>
      <c r="K11" s="40">
        <v>9</v>
      </c>
      <c r="L11" s="103">
        <v>24.4</v>
      </c>
      <c r="N11" s="119" t="s">
        <v>251</v>
      </c>
      <c r="O11" s="129">
        <f>IF(P11=0,0,Q11/P11)</f>
        <v>-3.9735849056603771</v>
      </c>
      <c r="P11" s="123">
        <v>53</v>
      </c>
      <c r="Q11" s="111">
        <v>-210.6</v>
      </c>
    </row>
    <row r="12" spans="1:17" x14ac:dyDescent="0.4">
      <c r="A12" s="59" t="s">
        <v>238</v>
      </c>
      <c r="B12" s="51">
        <v>11</v>
      </c>
      <c r="C12" s="44">
        <f>IF(B$2=0,0,B12/B$2)</f>
        <v>7.746478873239436E-2</v>
      </c>
      <c r="E12" s="65" t="s">
        <v>91</v>
      </c>
      <c r="F12" s="62" t="s">
        <v>44</v>
      </c>
      <c r="G12" s="49">
        <v>20</v>
      </c>
      <c r="H12" s="137">
        <f>IF(B$29=0,0,G12/B$29)</f>
        <v>8.8105726872246701E-2</v>
      </c>
      <c r="I12" s="98">
        <v>5</v>
      </c>
      <c r="K12" s="40">
        <v>10</v>
      </c>
      <c r="L12" s="103">
        <v>-20.100000000000001</v>
      </c>
      <c r="N12" s="120" t="s">
        <v>252</v>
      </c>
      <c r="O12" s="130">
        <f>IF(P12=0,0,Q12/P12)</f>
        <v>-0.44761904761904753</v>
      </c>
      <c r="P12" s="124">
        <v>42</v>
      </c>
      <c r="Q12" s="112">
        <v>-18.799999999999997</v>
      </c>
    </row>
    <row r="13" spans="1:17" x14ac:dyDescent="0.4">
      <c r="A13" s="60" t="s">
        <v>128</v>
      </c>
      <c r="B13" s="52">
        <v>244</v>
      </c>
      <c r="C13" s="46">
        <f>IF(B$28=0,0,B13/B$28)</f>
        <v>0.28978622327790976</v>
      </c>
      <c r="E13" s="65" t="s">
        <v>88</v>
      </c>
      <c r="F13" s="62" t="s">
        <v>41</v>
      </c>
      <c r="G13" s="49">
        <v>16</v>
      </c>
      <c r="H13" s="137">
        <f>IF(B$29=0,0,G13/B$29)</f>
        <v>7.0484581497797363E-2</v>
      </c>
      <c r="I13" s="98">
        <v>5</v>
      </c>
      <c r="K13" s="40">
        <v>11</v>
      </c>
      <c r="L13" s="103">
        <v>-3.6000000000000014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148</v>
      </c>
      <c r="C14" s="41">
        <f>IF(B$28=0,0,B14/B$28)</f>
        <v>0.17577197149643706</v>
      </c>
      <c r="E14" s="65" t="s">
        <v>86</v>
      </c>
      <c r="F14" s="62" t="s">
        <v>39</v>
      </c>
      <c r="G14" s="49">
        <v>10</v>
      </c>
      <c r="H14" s="137">
        <f>IF(B$29=0,0,G14/B$29)</f>
        <v>4.405286343612335E-2</v>
      </c>
      <c r="I14" s="98">
        <v>4</v>
      </c>
      <c r="K14" s="40">
        <v>12</v>
      </c>
      <c r="L14" s="103">
        <v>-12.000000000000002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141</v>
      </c>
      <c r="C15" s="39">
        <f>IF(B$13=0,0,B15/B$13)</f>
        <v>0.57786885245901642</v>
      </c>
      <c r="E15" s="65" t="s">
        <v>75</v>
      </c>
      <c r="F15" s="62" t="s">
        <v>28</v>
      </c>
      <c r="G15" s="49">
        <v>7</v>
      </c>
      <c r="H15" s="137">
        <f>IF(B$29=0,0,G15/B$29)</f>
        <v>3.0837004405286344E-2</v>
      </c>
      <c r="I15" s="98">
        <v>9</v>
      </c>
      <c r="K15" s="40">
        <v>13</v>
      </c>
      <c r="L15" s="103">
        <v>49.5</v>
      </c>
      <c r="N15" s="118" t="s">
        <v>247</v>
      </c>
      <c r="O15" s="128">
        <f>IF(P15=0,0,Q15/P15)</f>
        <v>53.3</v>
      </c>
      <c r="P15" s="122">
        <v>2</v>
      </c>
      <c r="Q15" s="110">
        <v>106.6</v>
      </c>
    </row>
    <row r="16" spans="1:17" x14ac:dyDescent="0.4">
      <c r="A16" s="56" t="s">
        <v>131</v>
      </c>
      <c r="B16" s="48">
        <v>58</v>
      </c>
      <c r="C16" s="39">
        <f>IF(B$14=0,0,B16/B$14)</f>
        <v>0.39189189189189189</v>
      </c>
      <c r="E16" s="65" t="s">
        <v>96</v>
      </c>
      <c r="F16" s="62" t="s">
        <v>49</v>
      </c>
      <c r="G16" s="49">
        <v>7</v>
      </c>
      <c r="H16" s="137">
        <f>IF(B$29=0,0,G16/B$29)</f>
        <v>3.0837004405286344E-2</v>
      </c>
      <c r="I16" s="98">
        <v>2</v>
      </c>
      <c r="K16" s="40">
        <v>14</v>
      </c>
      <c r="L16" s="103">
        <v>33</v>
      </c>
      <c r="N16" s="119" t="s">
        <v>167</v>
      </c>
      <c r="O16" s="129">
        <f>IF(P16=0,0,Q16/P16)</f>
        <v>26.466666666666669</v>
      </c>
      <c r="P16" s="123">
        <v>3</v>
      </c>
      <c r="Q16" s="111">
        <v>79.400000000000006</v>
      </c>
    </row>
    <row r="17" spans="1:17" x14ac:dyDescent="0.4">
      <c r="A17" s="56" t="s">
        <v>10</v>
      </c>
      <c r="B17" s="48">
        <f>B19+B18</f>
        <v>288</v>
      </c>
      <c r="C17" s="39">
        <f>IF(B$3=0,0,B17/B$3)</f>
        <v>0.26110607434270172</v>
      </c>
      <c r="E17" s="65" t="s">
        <v>82</v>
      </c>
      <c r="F17" s="62" t="s">
        <v>35</v>
      </c>
      <c r="G17" s="49">
        <v>5</v>
      </c>
      <c r="H17" s="137">
        <f>IF(B$29=0,0,G17/B$29)</f>
        <v>2.2026431718061675E-2</v>
      </c>
      <c r="I17" s="98">
        <v>7</v>
      </c>
      <c r="K17" s="40">
        <v>15</v>
      </c>
      <c r="L17" s="103">
        <v>38.5</v>
      </c>
      <c r="N17" s="119" t="s">
        <v>136</v>
      </c>
      <c r="O17" s="129">
        <f>IF(P17=0,0,Q17/P17)</f>
        <v>22.345454545454547</v>
      </c>
      <c r="P17" s="123">
        <v>22</v>
      </c>
      <c r="Q17" s="111">
        <v>491.6</v>
      </c>
    </row>
    <row r="18" spans="1:17" x14ac:dyDescent="0.4">
      <c r="A18" s="57" t="s">
        <v>12</v>
      </c>
      <c r="B18" s="49">
        <v>131</v>
      </c>
      <c r="C18" s="41">
        <f>IF(B$17=0,0,B18/B$17)</f>
        <v>0.4548611111111111</v>
      </c>
      <c r="E18" s="65" t="s">
        <v>83</v>
      </c>
      <c r="F18" s="62" t="s">
        <v>36</v>
      </c>
      <c r="G18" s="49">
        <v>3</v>
      </c>
      <c r="H18" s="137">
        <f>IF(B$29=0,0,G18/B$29)</f>
        <v>1.3215859030837005E-2</v>
      </c>
      <c r="I18" s="98">
        <v>8</v>
      </c>
      <c r="K18" s="40">
        <v>16</v>
      </c>
      <c r="L18" s="103">
        <v>14.600000000000001</v>
      </c>
      <c r="N18" s="119" t="s">
        <v>139</v>
      </c>
      <c r="O18" s="129">
        <f>IF(P18=0,0,Q18/P18)</f>
        <v>3.1104166666666644</v>
      </c>
      <c r="P18" s="123">
        <v>48</v>
      </c>
      <c r="Q18" s="111">
        <v>149.2999999999999</v>
      </c>
    </row>
    <row r="19" spans="1:17" x14ac:dyDescent="0.4">
      <c r="A19" s="57" t="s">
        <v>11</v>
      </c>
      <c r="B19" s="49">
        <v>157</v>
      </c>
      <c r="C19" s="41">
        <f>IF(B$17=0,0,B19/B$17)</f>
        <v>0.54513888888888884</v>
      </c>
      <c r="E19" s="65" t="s">
        <v>89</v>
      </c>
      <c r="F19" s="62" t="s">
        <v>42</v>
      </c>
      <c r="G19" s="49">
        <v>2</v>
      </c>
      <c r="H19" s="137">
        <f>IF(B$29=0,0,G19/B$29)</f>
        <v>8.8105726872246704E-3</v>
      </c>
      <c r="I19" s="98">
        <v>1</v>
      </c>
      <c r="K19" s="40">
        <v>17</v>
      </c>
      <c r="L19" s="103">
        <v>13.900000000000002</v>
      </c>
      <c r="N19" s="119" t="s">
        <v>138</v>
      </c>
      <c r="O19" s="129">
        <f>IF(P19=0,0,Q19/P19)</f>
        <v>-0.14444444444444493</v>
      </c>
      <c r="P19" s="123">
        <v>9</v>
      </c>
      <c r="Q19" s="111">
        <v>-1.3000000000000043</v>
      </c>
    </row>
    <row r="20" spans="1:17" x14ac:dyDescent="0.4">
      <c r="A20" s="57" t="s">
        <v>13</v>
      </c>
      <c r="B20" s="49">
        <v>210</v>
      </c>
      <c r="C20" s="41">
        <f>IF(B$3=0,0,B20/B$3)</f>
        <v>0.19038984587488667</v>
      </c>
      <c r="E20" s="65" t="s">
        <v>90</v>
      </c>
      <c r="F20" s="62" t="s">
        <v>43</v>
      </c>
      <c r="G20" s="49">
        <v>2</v>
      </c>
      <c r="H20" s="137">
        <f>IF(B$29=0,0,G20/B$29)</f>
        <v>8.8105726872246704E-3</v>
      </c>
      <c r="I20" s="98">
        <v>2</v>
      </c>
      <c r="K20" s="40">
        <v>18</v>
      </c>
      <c r="L20" s="103">
        <v>-21.999999999999996</v>
      </c>
      <c r="N20" s="119" t="s">
        <v>133</v>
      </c>
      <c r="O20" s="129">
        <f>IF(P20=0,0,Q20/P20)</f>
        <v>-10.028813559322026</v>
      </c>
      <c r="P20" s="123">
        <v>118</v>
      </c>
      <c r="Q20" s="111">
        <v>-1183.3999999999992</v>
      </c>
    </row>
    <row r="21" spans="1:17" x14ac:dyDescent="0.4">
      <c r="A21" s="57" t="s">
        <v>13</v>
      </c>
      <c r="B21" s="49">
        <v>7</v>
      </c>
      <c r="C21" s="41">
        <v>0</v>
      </c>
      <c r="E21" s="65" t="s">
        <v>97</v>
      </c>
      <c r="F21" s="62" t="s">
        <v>50</v>
      </c>
      <c r="G21" s="49">
        <v>2</v>
      </c>
      <c r="H21" s="137">
        <f>IF(B$29=0,0,G21/B$29)</f>
        <v>8.8105726872246704E-3</v>
      </c>
      <c r="I21" s="98">
        <v>3</v>
      </c>
      <c r="K21" s="40">
        <v>19</v>
      </c>
      <c r="L21" s="103">
        <v>-26.699999999999996</v>
      </c>
      <c r="N21" s="119" t="s">
        <v>157</v>
      </c>
      <c r="O21" s="129">
        <f>IF(P21=0,0,Q21/P21)</f>
        <v>-10.366666666666665</v>
      </c>
      <c r="P21" s="123">
        <v>3</v>
      </c>
      <c r="Q21" s="111">
        <v>-31.099999999999998</v>
      </c>
    </row>
    <row r="22" spans="1:17" x14ac:dyDescent="0.4">
      <c r="A22" s="57" t="s">
        <v>263</v>
      </c>
      <c r="B22" s="49">
        <v>31</v>
      </c>
      <c r="C22" s="165">
        <v>8</v>
      </c>
      <c r="E22" s="65" t="s">
        <v>77</v>
      </c>
      <c r="F22" s="62" t="s">
        <v>30</v>
      </c>
      <c r="G22" s="49">
        <v>1</v>
      </c>
      <c r="H22" s="137">
        <f>IF(B$29=0,0,G22/B$29)</f>
        <v>4.4052863436123352E-3</v>
      </c>
      <c r="I22" s="98">
        <v>6</v>
      </c>
      <c r="K22" s="40">
        <v>20</v>
      </c>
      <c r="L22" s="103">
        <v>-57.899999999999991</v>
      </c>
      <c r="N22" s="119" t="s">
        <v>137</v>
      </c>
      <c r="O22" s="129">
        <f>IF(P22=0,0,Q22/P22)</f>
        <v>-13.897297297297296</v>
      </c>
      <c r="P22" s="123">
        <v>37</v>
      </c>
      <c r="Q22" s="111">
        <v>-514.19999999999993</v>
      </c>
    </row>
    <row r="23" spans="1:17" x14ac:dyDescent="0.4">
      <c r="A23" s="57" t="s">
        <v>5</v>
      </c>
      <c r="B23" s="53">
        <f>IF(B$17=0,0,C23/B$17)</f>
        <v>10792.708333333334</v>
      </c>
      <c r="C23" s="43">
        <v>3108300</v>
      </c>
      <c r="E23" s="65" t="s">
        <v>78</v>
      </c>
      <c r="F23" s="62" t="s">
        <v>31</v>
      </c>
      <c r="G23" s="49">
        <v>1</v>
      </c>
      <c r="H23" s="137">
        <f>IF(B$29=0,0,G23/B$29)</f>
        <v>4.4052863436123352E-3</v>
      </c>
      <c r="I23" s="98">
        <v>1</v>
      </c>
      <c r="K23" s="40">
        <v>21</v>
      </c>
      <c r="L23" s="103">
        <v>-82.699999999999989</v>
      </c>
      <c r="N23" s="119" t="s">
        <v>135</v>
      </c>
      <c r="O23" s="129">
        <f>IF(P23=0,0,Q23/P23)</f>
        <v>-15.882051282051275</v>
      </c>
      <c r="P23" s="123">
        <v>39</v>
      </c>
      <c r="Q23" s="111">
        <v>-619.39999999999975</v>
      </c>
    </row>
    <row r="24" spans="1:17" x14ac:dyDescent="0.4">
      <c r="A24" s="59" t="s">
        <v>14</v>
      </c>
      <c r="B24" s="54">
        <f>IF(B$20=0,0,C24/B$20)</f>
        <v>-9621.4285714285706</v>
      </c>
      <c r="C24" s="47">
        <v>-2020500</v>
      </c>
      <c r="E24" s="65" t="s">
        <v>79</v>
      </c>
      <c r="F24" s="62" t="s">
        <v>32</v>
      </c>
      <c r="G24" s="49">
        <v>1</v>
      </c>
      <c r="H24" s="137">
        <f>IF(B$29=0,0,G24/B$29)</f>
        <v>4.4052863436123352E-3</v>
      </c>
      <c r="I24" s="98">
        <v>5</v>
      </c>
      <c r="K24" s="40">
        <v>22</v>
      </c>
      <c r="L24" s="103">
        <v>-94.6</v>
      </c>
      <c r="N24" s="119" t="s">
        <v>194</v>
      </c>
      <c r="O24" s="129">
        <f>IF(P24=0,0,Q24/P24)</f>
        <v>-29.333333333333332</v>
      </c>
      <c r="P24" s="123">
        <v>3</v>
      </c>
      <c r="Q24" s="111">
        <v>-88</v>
      </c>
    </row>
    <row r="25" spans="1:17" x14ac:dyDescent="0.4">
      <c r="A25" s="94" t="s">
        <v>158</v>
      </c>
      <c r="B25" s="143">
        <v>10</v>
      </c>
      <c r="C25" s="144"/>
      <c r="E25" s="65" t="s">
        <v>85</v>
      </c>
      <c r="F25" s="62" t="s">
        <v>38</v>
      </c>
      <c r="G25" s="49">
        <v>1</v>
      </c>
      <c r="H25" s="137">
        <f>IF(B$29=0,0,G25/B$29)</f>
        <v>4.4052863436123352E-3</v>
      </c>
      <c r="I25" s="98">
        <v>1</v>
      </c>
      <c r="K25" s="40">
        <v>23</v>
      </c>
      <c r="L25" s="103">
        <v>-111.3</v>
      </c>
    </row>
    <row r="26" spans="1:17" x14ac:dyDescent="0.4">
      <c r="A26" s="60" t="s">
        <v>198</v>
      </c>
      <c r="B26" s="141">
        <v>97700</v>
      </c>
      <c r="C26" s="142"/>
      <c r="E26" s="65" t="s">
        <v>92</v>
      </c>
      <c r="F26" s="62" t="s">
        <v>45</v>
      </c>
      <c r="G26" s="49">
        <v>1</v>
      </c>
      <c r="H26" s="137">
        <f>IF(B$29=0,0,G26/B$29)</f>
        <v>4.4052863436123352E-3</v>
      </c>
      <c r="I26" s="98">
        <v>1</v>
      </c>
      <c r="K26" s="40">
        <v>24</v>
      </c>
      <c r="L26" s="103">
        <v>-68.099999999999994</v>
      </c>
    </row>
    <row r="27" spans="1:17" x14ac:dyDescent="0.4">
      <c r="A27" s="59" t="s">
        <v>159</v>
      </c>
      <c r="B27" s="67">
        <v>4</v>
      </c>
      <c r="C27" s="44">
        <f>IF(B$3=0,0,B27/B$3)</f>
        <v>3.6264732547597461E-3</v>
      </c>
      <c r="E27" s="65" t="s">
        <v>93</v>
      </c>
      <c r="F27" s="62" t="s">
        <v>46</v>
      </c>
      <c r="G27" s="49">
        <v>1</v>
      </c>
      <c r="H27" s="137">
        <f>IF(B$29=0,0,G27/B$29)</f>
        <v>4.4052863436123352E-3</v>
      </c>
      <c r="I27" s="98">
        <v>1</v>
      </c>
      <c r="K27" s="40">
        <v>25</v>
      </c>
      <c r="L27" s="103">
        <v>-70.899999999999991</v>
      </c>
    </row>
    <row r="28" spans="1:17" x14ac:dyDescent="0.4">
      <c r="A28" s="56" t="s">
        <v>126</v>
      </c>
      <c r="B28" s="147">
        <v>842</v>
      </c>
      <c r="C28" s="148"/>
      <c r="E28" s="65" t="s">
        <v>80</v>
      </c>
      <c r="F28" s="62" t="s">
        <v>33</v>
      </c>
      <c r="G28" s="49">
        <v>0</v>
      </c>
      <c r="H28" s="137">
        <f>IF(B$29=0,0,G28/B$29)</f>
        <v>0</v>
      </c>
      <c r="I28" s="98">
        <v>1</v>
      </c>
      <c r="K28" s="40">
        <v>26</v>
      </c>
      <c r="L28" s="103">
        <v>-125.89999999999999</v>
      </c>
    </row>
    <row r="29" spans="1:17" x14ac:dyDescent="0.4">
      <c r="A29" s="59" t="s">
        <v>127</v>
      </c>
      <c r="B29" s="149">
        <v>227</v>
      </c>
      <c r="C29" s="150"/>
      <c r="E29" s="65" t="s">
        <v>81</v>
      </c>
      <c r="F29" s="62" t="s">
        <v>34</v>
      </c>
      <c r="G29" s="49">
        <v>0</v>
      </c>
      <c r="H29" s="137">
        <f>IF(B$29=0,0,G29/B$29)</f>
        <v>0</v>
      </c>
      <c r="I29" s="98">
        <v>7</v>
      </c>
      <c r="K29" s="40">
        <v>27</v>
      </c>
      <c r="L29" s="103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37">
        <f>IF(B$29=0,0,G30/B$29)</f>
        <v>0</v>
      </c>
      <c r="I30" s="98">
        <v>1</v>
      </c>
      <c r="K30" s="40">
        <v>28</v>
      </c>
      <c r="L30" s="103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37">
        <f>IF(B$29=0,0,G31/B$29)</f>
        <v>0</v>
      </c>
      <c r="I31" s="98">
        <v>1</v>
      </c>
      <c r="K31" s="40">
        <v>29</v>
      </c>
      <c r="L31" s="103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  <c r="K33" s="40">
        <v>31</v>
      </c>
      <c r="L33" s="103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-282.99999999999994</v>
      </c>
    </row>
    <row r="52" spans="5:12" x14ac:dyDescent="0.4">
      <c r="K52" s="40">
        <v>50</v>
      </c>
      <c r="L52" s="103">
        <v>-287.09999999999997</v>
      </c>
    </row>
    <row r="53" spans="5:12" x14ac:dyDescent="0.4">
      <c r="K53" s="40">
        <v>51</v>
      </c>
      <c r="L53" s="103">
        <v>-269.59999999999997</v>
      </c>
    </row>
    <row r="54" spans="5:12" x14ac:dyDescent="0.4">
      <c r="K54" s="40">
        <v>52</v>
      </c>
      <c r="L54" s="103">
        <v>-308.09999999999997</v>
      </c>
    </row>
    <row r="55" spans="5:12" x14ac:dyDescent="0.4">
      <c r="K55" s="40">
        <v>53</v>
      </c>
      <c r="L55" s="103">
        <v>-336.49999999999994</v>
      </c>
    </row>
    <row r="56" spans="5:12" x14ac:dyDescent="0.4">
      <c r="K56" s="40">
        <v>54</v>
      </c>
      <c r="L56" s="103">
        <v>-378.89999999999992</v>
      </c>
    </row>
    <row r="57" spans="5:12" x14ac:dyDescent="0.4">
      <c r="K57" s="40">
        <v>55</v>
      </c>
      <c r="L57" s="103">
        <v>-364.2999999999999</v>
      </c>
    </row>
    <row r="58" spans="5:12" x14ac:dyDescent="0.4">
      <c r="K58" s="40">
        <v>56</v>
      </c>
      <c r="L58" s="103">
        <v>-316.2999999999999</v>
      </c>
    </row>
    <row r="59" spans="5:12" x14ac:dyDescent="0.4">
      <c r="K59" s="40">
        <v>57</v>
      </c>
      <c r="L59" s="103">
        <v>-312.49999999999989</v>
      </c>
    </row>
    <row r="60" spans="5:12" x14ac:dyDescent="0.4">
      <c r="K60" s="40">
        <v>58</v>
      </c>
      <c r="L60" s="103">
        <v>-254.59999999999988</v>
      </c>
    </row>
    <row r="61" spans="5:12" x14ac:dyDescent="0.4">
      <c r="K61" s="40">
        <v>59</v>
      </c>
      <c r="L61" s="103">
        <v>-205.09999999999988</v>
      </c>
    </row>
    <row r="62" spans="5:12" x14ac:dyDescent="0.4">
      <c r="K62" s="40">
        <v>60</v>
      </c>
      <c r="L62" s="103">
        <v>-214.59999999999988</v>
      </c>
    </row>
    <row r="63" spans="5:12" x14ac:dyDescent="0.4">
      <c r="K63" s="40">
        <v>61</v>
      </c>
      <c r="L63" s="103">
        <v>-211.89999999999989</v>
      </c>
    </row>
    <row r="64" spans="5:12" x14ac:dyDescent="0.4">
      <c r="K64" s="40">
        <v>62</v>
      </c>
      <c r="L64" s="103">
        <v>-250.89999999999989</v>
      </c>
    </row>
    <row r="65" spans="11:12" x14ac:dyDescent="0.4">
      <c r="K65" s="40">
        <v>63</v>
      </c>
      <c r="L65" s="103">
        <v>-290.99999999999989</v>
      </c>
    </row>
    <row r="66" spans="11:12" x14ac:dyDescent="0.4">
      <c r="K66" s="40">
        <v>64</v>
      </c>
      <c r="L66" s="103">
        <v>-356.99999999999989</v>
      </c>
    </row>
    <row r="67" spans="11:12" x14ac:dyDescent="0.4">
      <c r="K67" s="40">
        <v>65</v>
      </c>
      <c r="L67" s="103">
        <v>-381.09999999999991</v>
      </c>
    </row>
    <row r="68" spans="11:12" x14ac:dyDescent="0.4">
      <c r="K68" s="40">
        <v>66</v>
      </c>
      <c r="L68" s="103">
        <v>-378.49999999999989</v>
      </c>
    </row>
    <row r="69" spans="11:12" x14ac:dyDescent="0.4">
      <c r="K69" s="40">
        <v>67</v>
      </c>
      <c r="L69" s="103">
        <v>-371.19999999999987</v>
      </c>
    </row>
    <row r="70" spans="11:12" x14ac:dyDescent="0.4">
      <c r="K70" s="40">
        <v>68</v>
      </c>
      <c r="L70" s="103">
        <v>-407.2999999999999</v>
      </c>
    </row>
    <row r="71" spans="11:12" x14ac:dyDescent="0.4">
      <c r="K71" s="40">
        <v>69</v>
      </c>
      <c r="L71" s="103">
        <v>-412.49999999999989</v>
      </c>
    </row>
    <row r="72" spans="11:12" x14ac:dyDescent="0.4">
      <c r="K72" s="40">
        <v>70</v>
      </c>
      <c r="L72" s="103">
        <v>-379.49999999999989</v>
      </c>
    </row>
    <row r="73" spans="11:12" x14ac:dyDescent="0.4">
      <c r="K73" s="40">
        <v>71</v>
      </c>
      <c r="L73" s="103">
        <v>-374.2999999999999</v>
      </c>
    </row>
    <row r="74" spans="11:12" x14ac:dyDescent="0.4">
      <c r="K74" s="40">
        <v>72</v>
      </c>
      <c r="L74" s="103">
        <v>-409.7999999999999</v>
      </c>
    </row>
    <row r="75" spans="11:12" x14ac:dyDescent="0.4">
      <c r="K75" s="40">
        <v>73</v>
      </c>
      <c r="L75" s="103">
        <v>-393.59999999999991</v>
      </c>
    </row>
    <row r="76" spans="11:12" x14ac:dyDescent="0.4">
      <c r="K76" s="40">
        <v>74</v>
      </c>
      <c r="L76" s="103">
        <v>-399.49999999999989</v>
      </c>
    </row>
    <row r="77" spans="11:12" x14ac:dyDescent="0.4">
      <c r="K77" s="40">
        <v>75</v>
      </c>
      <c r="L77" s="103">
        <v>-419.69999999999987</v>
      </c>
    </row>
    <row r="78" spans="11:12" x14ac:dyDescent="0.4">
      <c r="K78" s="40">
        <v>76</v>
      </c>
      <c r="L78" s="103">
        <v>-369.69999999999987</v>
      </c>
    </row>
    <row r="79" spans="11:12" x14ac:dyDescent="0.4">
      <c r="K79" s="40">
        <v>77</v>
      </c>
      <c r="L79" s="103">
        <v>-381.7999999999999</v>
      </c>
    </row>
    <row r="80" spans="11:12" x14ac:dyDescent="0.4">
      <c r="K80" s="40">
        <v>78</v>
      </c>
      <c r="L80" s="103">
        <v>-365.99999999999989</v>
      </c>
    </row>
    <row r="81" spans="11:12" x14ac:dyDescent="0.4">
      <c r="K81" s="40">
        <v>79</v>
      </c>
      <c r="L81" s="103">
        <v>-383.99999999999989</v>
      </c>
    </row>
    <row r="82" spans="11:12" x14ac:dyDescent="0.4">
      <c r="K82" s="40">
        <v>80</v>
      </c>
      <c r="L82" s="103">
        <v>-390.7999999999999</v>
      </c>
    </row>
    <row r="83" spans="11:12" x14ac:dyDescent="0.4">
      <c r="K83" s="40">
        <v>81</v>
      </c>
      <c r="L83" s="103">
        <v>-378.99999999999989</v>
      </c>
    </row>
    <row r="84" spans="11:12" x14ac:dyDescent="0.4">
      <c r="K84" s="40">
        <v>82</v>
      </c>
      <c r="L84" s="103">
        <v>-398.59999999999991</v>
      </c>
    </row>
    <row r="85" spans="11:12" x14ac:dyDescent="0.4">
      <c r="K85" s="40">
        <v>83</v>
      </c>
      <c r="L85" s="103">
        <v>-397.39999999999992</v>
      </c>
    </row>
    <row r="86" spans="11:12" x14ac:dyDescent="0.4">
      <c r="K86" s="40">
        <v>84</v>
      </c>
      <c r="L86" s="103">
        <v>-371.89999999999992</v>
      </c>
    </row>
    <row r="87" spans="11:12" x14ac:dyDescent="0.4">
      <c r="K87" s="40">
        <v>85</v>
      </c>
      <c r="L87" s="103">
        <v>-409.89999999999992</v>
      </c>
    </row>
    <row r="88" spans="11:12" x14ac:dyDescent="0.4">
      <c r="K88" s="40">
        <v>86</v>
      </c>
      <c r="L88" s="103">
        <v>-386.39999999999992</v>
      </c>
    </row>
    <row r="89" spans="11:12" x14ac:dyDescent="0.4">
      <c r="K89" s="40">
        <v>87</v>
      </c>
      <c r="L89" s="103">
        <v>-360.69999999999993</v>
      </c>
    </row>
    <row r="90" spans="11:12" x14ac:dyDescent="0.4">
      <c r="K90" s="40">
        <v>88</v>
      </c>
      <c r="L90" s="103">
        <v>-377.49999999999994</v>
      </c>
    </row>
    <row r="91" spans="11:12" x14ac:dyDescent="0.4">
      <c r="K91" s="40">
        <v>89</v>
      </c>
      <c r="L91" s="103">
        <v>-410.29999999999995</v>
      </c>
    </row>
    <row r="92" spans="11:12" x14ac:dyDescent="0.4">
      <c r="K92" s="40">
        <v>90</v>
      </c>
      <c r="L92" s="103">
        <v>-405.79999999999995</v>
      </c>
    </row>
    <row r="93" spans="11:12" x14ac:dyDescent="0.4">
      <c r="K93" s="40">
        <v>91</v>
      </c>
      <c r="L93" s="103">
        <v>-395.29999999999995</v>
      </c>
    </row>
    <row r="94" spans="11:12" x14ac:dyDescent="0.4">
      <c r="K94" s="40">
        <v>92</v>
      </c>
      <c r="L94" s="103">
        <v>-365.49999999999994</v>
      </c>
    </row>
    <row r="95" spans="11:12" x14ac:dyDescent="0.4">
      <c r="K95" s="40">
        <v>93</v>
      </c>
      <c r="L95" s="103">
        <v>-401.99999999999994</v>
      </c>
    </row>
    <row r="96" spans="11:12" x14ac:dyDescent="0.4">
      <c r="K96" s="40">
        <v>94</v>
      </c>
      <c r="L96" s="103">
        <v>-372.59999999999997</v>
      </c>
    </row>
    <row r="97" spans="11:12" x14ac:dyDescent="0.4">
      <c r="K97" s="40">
        <v>95</v>
      </c>
      <c r="L97" s="103">
        <v>-399.4</v>
      </c>
    </row>
    <row r="98" spans="11:12" x14ac:dyDescent="0.4">
      <c r="K98" s="40">
        <v>96</v>
      </c>
      <c r="L98" s="103">
        <v>-381</v>
      </c>
    </row>
    <row r="99" spans="11:12" x14ac:dyDescent="0.4">
      <c r="K99" s="40">
        <v>97</v>
      </c>
      <c r="L99" s="103">
        <v>-393.5</v>
      </c>
    </row>
    <row r="100" spans="11:12" x14ac:dyDescent="0.4">
      <c r="K100" s="40">
        <v>98</v>
      </c>
      <c r="L100" s="103">
        <v>-333</v>
      </c>
    </row>
    <row r="101" spans="11:12" x14ac:dyDescent="0.4">
      <c r="K101" s="40">
        <v>99</v>
      </c>
      <c r="L101" s="103">
        <v>-362.5</v>
      </c>
    </row>
    <row r="102" spans="11:12" x14ac:dyDescent="0.4">
      <c r="K102" s="40">
        <v>100</v>
      </c>
      <c r="L102" s="103">
        <v>-376.4</v>
      </c>
    </row>
    <row r="103" spans="11:12" x14ac:dyDescent="0.4">
      <c r="K103" s="40">
        <v>101</v>
      </c>
      <c r="L103" s="103">
        <v>-374.7</v>
      </c>
    </row>
    <row r="104" spans="11:12" x14ac:dyDescent="0.4">
      <c r="K104" s="40">
        <v>102</v>
      </c>
      <c r="L104" s="103">
        <v>-401.4</v>
      </c>
    </row>
    <row r="105" spans="11:12" x14ac:dyDescent="0.4">
      <c r="K105" s="40">
        <v>103</v>
      </c>
      <c r="L105" s="103">
        <v>-426.9</v>
      </c>
    </row>
    <row r="106" spans="11:12" x14ac:dyDescent="0.4">
      <c r="K106" s="40">
        <v>104</v>
      </c>
      <c r="L106" s="103">
        <v>-436.4</v>
      </c>
    </row>
    <row r="107" spans="11:12" x14ac:dyDescent="0.4">
      <c r="K107" s="40">
        <v>105</v>
      </c>
      <c r="L107" s="103">
        <v>-425.59999999999997</v>
      </c>
    </row>
    <row r="108" spans="11:12" x14ac:dyDescent="0.4">
      <c r="K108" s="40">
        <v>106</v>
      </c>
      <c r="L108" s="103">
        <v>-438.49999999999994</v>
      </c>
    </row>
    <row r="109" spans="11:12" x14ac:dyDescent="0.4">
      <c r="K109" s="40">
        <v>107</v>
      </c>
      <c r="L109" s="103">
        <v>-433.59999999999997</v>
      </c>
    </row>
    <row r="110" spans="11:12" x14ac:dyDescent="0.4">
      <c r="K110" s="40">
        <v>108</v>
      </c>
      <c r="L110" s="103">
        <v>-426.99999999999994</v>
      </c>
    </row>
    <row r="111" spans="11:12" x14ac:dyDescent="0.4">
      <c r="K111" s="40">
        <v>109</v>
      </c>
      <c r="L111" s="103">
        <v>-462.89999999999992</v>
      </c>
    </row>
    <row r="112" spans="11:12" x14ac:dyDescent="0.4">
      <c r="K112" s="40">
        <v>110</v>
      </c>
      <c r="L112" s="103">
        <v>-486.2999999999999</v>
      </c>
    </row>
    <row r="113" spans="11:12" x14ac:dyDescent="0.4">
      <c r="K113" s="40">
        <v>111</v>
      </c>
      <c r="L113" s="103">
        <v>-468.39999999999992</v>
      </c>
    </row>
    <row r="114" spans="11:12" x14ac:dyDescent="0.4">
      <c r="K114" s="40">
        <v>112</v>
      </c>
      <c r="L114" s="103">
        <v>-447.69999999999993</v>
      </c>
    </row>
    <row r="115" spans="11:12" x14ac:dyDescent="0.4">
      <c r="K115" s="40">
        <v>113</v>
      </c>
      <c r="L115" s="103">
        <v>-384.99999999999994</v>
      </c>
    </row>
    <row r="116" spans="11:12" x14ac:dyDescent="0.4">
      <c r="K116" s="40">
        <v>114</v>
      </c>
      <c r="L116" s="103">
        <v>-372.69999999999993</v>
      </c>
    </row>
    <row r="117" spans="11:12" x14ac:dyDescent="0.4">
      <c r="K117" s="40">
        <v>115</v>
      </c>
      <c r="L117" s="103">
        <v>-388.19999999999993</v>
      </c>
    </row>
    <row r="118" spans="11:12" x14ac:dyDescent="0.4">
      <c r="K118" s="40">
        <v>116</v>
      </c>
      <c r="L118" s="103">
        <v>-383.99999999999994</v>
      </c>
    </row>
    <row r="119" spans="11:12" x14ac:dyDescent="0.4">
      <c r="K119" s="40">
        <v>117</v>
      </c>
      <c r="L119" s="103">
        <v>-374.39999999999992</v>
      </c>
    </row>
    <row r="120" spans="11:12" x14ac:dyDescent="0.4">
      <c r="K120" s="40">
        <v>118</v>
      </c>
      <c r="L120" s="103">
        <v>-374.2999999999999</v>
      </c>
    </row>
    <row r="121" spans="11:12" x14ac:dyDescent="0.4">
      <c r="K121" s="40">
        <v>119</v>
      </c>
      <c r="L121" s="103">
        <v>-394.7999999999999</v>
      </c>
    </row>
    <row r="122" spans="11:12" x14ac:dyDescent="0.4">
      <c r="K122" s="40">
        <v>120</v>
      </c>
      <c r="L122" s="103">
        <v>-433.89999999999992</v>
      </c>
    </row>
    <row r="123" spans="11:12" x14ac:dyDescent="0.4">
      <c r="K123" s="40">
        <v>121</v>
      </c>
      <c r="L123" s="103">
        <v>-396.99999999999994</v>
      </c>
    </row>
    <row r="124" spans="11:12" x14ac:dyDescent="0.4">
      <c r="K124" s="40">
        <v>122</v>
      </c>
      <c r="L124" s="103">
        <v>-408.49999999999994</v>
      </c>
    </row>
    <row r="125" spans="11:12" x14ac:dyDescent="0.4">
      <c r="K125" s="40">
        <v>123</v>
      </c>
      <c r="L125" s="103">
        <v>-451.69999999999993</v>
      </c>
    </row>
    <row r="126" spans="11:12" x14ac:dyDescent="0.4">
      <c r="K126" s="40">
        <v>124</v>
      </c>
      <c r="L126" s="103">
        <v>-442.69999999999993</v>
      </c>
    </row>
    <row r="127" spans="11:12" x14ac:dyDescent="0.4">
      <c r="K127" s="40">
        <v>125</v>
      </c>
      <c r="L127" s="103">
        <v>-444.69999999999993</v>
      </c>
    </row>
    <row r="128" spans="11:12" x14ac:dyDescent="0.4">
      <c r="K128" s="40">
        <v>126</v>
      </c>
      <c r="L128" s="103">
        <v>-411.39999999999992</v>
      </c>
    </row>
    <row r="129" spans="11:12" x14ac:dyDescent="0.4">
      <c r="K129" s="40">
        <v>127</v>
      </c>
      <c r="L129" s="103">
        <v>-410.89999999999992</v>
      </c>
    </row>
    <row r="130" spans="11:12" x14ac:dyDescent="0.4">
      <c r="K130" s="40">
        <v>128</v>
      </c>
      <c r="L130" s="103">
        <v>-416.19999999999993</v>
      </c>
    </row>
    <row r="131" spans="11:12" x14ac:dyDescent="0.4">
      <c r="K131" s="40">
        <v>129</v>
      </c>
      <c r="L131" s="103">
        <v>-423.99999999999994</v>
      </c>
    </row>
    <row r="132" spans="11:12" x14ac:dyDescent="0.4">
      <c r="K132" s="40">
        <v>130</v>
      </c>
      <c r="L132" s="103">
        <v>-426.59999999999997</v>
      </c>
    </row>
    <row r="133" spans="11:12" x14ac:dyDescent="0.4">
      <c r="K133" s="40">
        <v>131</v>
      </c>
      <c r="L133" s="103">
        <v>-441.09999999999997</v>
      </c>
    </row>
    <row r="134" spans="11:12" x14ac:dyDescent="0.4">
      <c r="K134" s="40">
        <v>132</v>
      </c>
      <c r="L134" s="103">
        <v>-449.7</v>
      </c>
    </row>
    <row r="135" spans="11:12" x14ac:dyDescent="0.4">
      <c r="K135" s="40">
        <v>133</v>
      </c>
      <c r="L135" s="103">
        <v>-489.59999999999997</v>
      </c>
    </row>
    <row r="136" spans="11:12" x14ac:dyDescent="0.4">
      <c r="K136" s="40">
        <v>134</v>
      </c>
      <c r="L136" s="103">
        <v>-489.9</v>
      </c>
    </row>
    <row r="137" spans="11:12" x14ac:dyDescent="0.4">
      <c r="K137" s="40">
        <v>135</v>
      </c>
      <c r="L137" s="103">
        <v>-480.2</v>
      </c>
    </row>
    <row r="138" spans="11:12" x14ac:dyDescent="0.4">
      <c r="K138" s="40">
        <v>136</v>
      </c>
      <c r="L138" s="103">
        <v>-497.4</v>
      </c>
    </row>
    <row r="139" spans="11:12" x14ac:dyDescent="0.4">
      <c r="K139" s="40">
        <v>137</v>
      </c>
      <c r="L139" s="103">
        <v>-505.9</v>
      </c>
    </row>
    <row r="140" spans="11:12" x14ac:dyDescent="0.4">
      <c r="K140" s="40">
        <v>138</v>
      </c>
      <c r="L140" s="103">
        <v>-553.9</v>
      </c>
    </row>
    <row r="141" spans="11:12" x14ac:dyDescent="0.4">
      <c r="K141" s="40">
        <v>139</v>
      </c>
      <c r="L141" s="103">
        <v>-539.4</v>
      </c>
    </row>
    <row r="142" spans="11:12" x14ac:dyDescent="0.4">
      <c r="K142" s="40">
        <v>140</v>
      </c>
      <c r="L142" s="103">
        <v>-522.19999999999993</v>
      </c>
    </row>
    <row r="143" spans="11:12" x14ac:dyDescent="0.4">
      <c r="K143" s="40">
        <v>141</v>
      </c>
      <c r="L143" s="103">
        <v>-537.09999999999991</v>
      </c>
    </row>
    <row r="144" spans="11:12" x14ac:dyDescent="0.4">
      <c r="K144" s="40">
        <v>142</v>
      </c>
      <c r="L144" s="103">
        <v>-538.49999999999989</v>
      </c>
    </row>
  </sheetData>
  <sortState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D7F2E-184D-43FC-842F-CA271D4F83A6}">
  <sheetPr codeName="Sheet15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135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65</v>
      </c>
      <c r="C2" s="148"/>
      <c r="E2" s="64" t="s">
        <v>71</v>
      </c>
      <c r="F2" s="61" t="s">
        <v>25</v>
      </c>
      <c r="G2" s="48">
        <v>69</v>
      </c>
      <c r="H2" s="136">
        <f>IF(B$29=0,0,G2/B$29)</f>
        <v>0.90789473684210531</v>
      </c>
      <c r="I2" s="97">
        <v>6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-164.61538461538461</v>
      </c>
      <c r="P2" s="122">
        <v>65</v>
      </c>
      <c r="Q2" s="106">
        <v>-10700</v>
      </c>
    </row>
    <row r="3" spans="1:17" x14ac:dyDescent="0.4">
      <c r="A3" s="57" t="s">
        <v>8</v>
      </c>
      <c r="B3" s="153">
        <v>474</v>
      </c>
      <c r="C3" s="154"/>
      <c r="E3" s="65" t="s">
        <v>69</v>
      </c>
      <c r="F3" s="62" t="s">
        <v>23</v>
      </c>
      <c r="G3" s="49">
        <v>65</v>
      </c>
      <c r="H3" s="137">
        <f>IF(B$29=0,0,G3/B$29)</f>
        <v>0.85526315789473684</v>
      </c>
      <c r="I3" s="98">
        <v>2</v>
      </c>
      <c r="K3" s="40">
        <v>1</v>
      </c>
      <c r="L3" s="103">
        <v>-39.9</v>
      </c>
      <c r="N3" s="119" t="s">
        <v>148</v>
      </c>
      <c r="O3" s="126">
        <f t="shared" si="0"/>
        <v>2222.5806451612902</v>
      </c>
      <c r="P3" s="123">
        <v>62</v>
      </c>
      <c r="Q3" s="107">
        <v>137800</v>
      </c>
    </row>
    <row r="4" spans="1:17" x14ac:dyDescent="0.4">
      <c r="A4" s="57" t="s">
        <v>6</v>
      </c>
      <c r="B4" s="155">
        <v>267.8</v>
      </c>
      <c r="C4" s="156"/>
      <c r="E4" s="65" t="s">
        <v>76</v>
      </c>
      <c r="F4" s="62" t="s">
        <v>29</v>
      </c>
      <c r="G4" s="49">
        <v>49</v>
      </c>
      <c r="H4" s="137">
        <f>IF(B$29=0,0,G4/B$29)</f>
        <v>0.64473684210526316</v>
      </c>
      <c r="I4" s="98">
        <v>4</v>
      </c>
      <c r="K4" s="40">
        <v>2</v>
      </c>
      <c r="L4" s="103">
        <v>-13.2</v>
      </c>
      <c r="N4" s="119" t="s">
        <v>149</v>
      </c>
      <c r="O4" s="126">
        <f t="shared" si="0"/>
        <v>-1800</v>
      </c>
      <c r="P4" s="123">
        <v>59</v>
      </c>
      <c r="Q4" s="107">
        <v>-106200</v>
      </c>
    </row>
    <row r="5" spans="1:17" x14ac:dyDescent="0.4">
      <c r="A5" s="57" t="s">
        <v>7</v>
      </c>
      <c r="B5" s="157">
        <f>IF(B$2=0,0,B$4/B$2)</f>
        <v>4.12</v>
      </c>
      <c r="C5" s="158"/>
      <c r="E5" s="65" t="s">
        <v>67</v>
      </c>
      <c r="F5" s="62" t="s">
        <v>21</v>
      </c>
      <c r="G5" s="49">
        <v>31</v>
      </c>
      <c r="H5" s="137">
        <f>IF(B$29=0,0,G5/B$29)</f>
        <v>0.40789473684210525</v>
      </c>
      <c r="I5" s="98">
        <v>11</v>
      </c>
      <c r="K5" s="40">
        <v>3</v>
      </c>
      <c r="L5" s="103">
        <v>-57.7</v>
      </c>
      <c r="N5" s="119" t="s">
        <v>150</v>
      </c>
      <c r="O5" s="126">
        <f t="shared" si="0"/>
        <v>-832</v>
      </c>
      <c r="P5" s="123">
        <v>50</v>
      </c>
      <c r="Q5" s="107">
        <v>-41600</v>
      </c>
    </row>
    <row r="6" spans="1:17" x14ac:dyDescent="0.4">
      <c r="A6" s="57" t="s">
        <v>1</v>
      </c>
      <c r="B6" s="145">
        <f>IF(B$2=0,0,(B$7*1+B$8*2+B$9*3)/B$2)</f>
        <v>1.9230769230769231</v>
      </c>
      <c r="C6" s="146"/>
      <c r="E6" s="65" t="s">
        <v>72</v>
      </c>
      <c r="F6" s="62" t="s">
        <v>12</v>
      </c>
      <c r="G6" s="49">
        <v>20</v>
      </c>
      <c r="H6" s="137">
        <f>IF(B$29=0,0,G6/B$29)</f>
        <v>0.26315789473684209</v>
      </c>
      <c r="I6" s="98">
        <v>9</v>
      </c>
      <c r="K6" s="40">
        <v>4</v>
      </c>
      <c r="L6" s="103">
        <v>-53.7</v>
      </c>
      <c r="N6" s="119" t="s">
        <v>151</v>
      </c>
      <c r="O6" s="126">
        <f t="shared" si="0"/>
        <v>6852.272727272727</v>
      </c>
      <c r="P6" s="123">
        <v>44</v>
      </c>
      <c r="Q6" s="107">
        <v>301500</v>
      </c>
    </row>
    <row r="7" spans="1:17" x14ac:dyDescent="0.4">
      <c r="A7" s="57" t="s">
        <v>2</v>
      </c>
      <c r="B7" s="49">
        <v>22</v>
      </c>
      <c r="C7" s="41">
        <f>IF(B$2=0,0,B7/B$2)</f>
        <v>0.33846153846153848</v>
      </c>
      <c r="E7" s="65" t="s">
        <v>70</v>
      </c>
      <c r="F7" s="62" t="s">
        <v>24</v>
      </c>
      <c r="G7" s="49">
        <v>19</v>
      </c>
      <c r="H7" s="137">
        <f>IF(B$29=0,0,G7/B$29)</f>
        <v>0.25</v>
      </c>
      <c r="I7" s="98">
        <v>9</v>
      </c>
      <c r="K7" s="40">
        <v>5</v>
      </c>
      <c r="L7" s="103">
        <v>-45.7</v>
      </c>
      <c r="N7" s="120" t="s">
        <v>152</v>
      </c>
      <c r="O7" s="127">
        <f t="shared" si="0"/>
        <v>-331.25</v>
      </c>
      <c r="P7" s="124">
        <v>32</v>
      </c>
      <c r="Q7" s="108">
        <v>-10600</v>
      </c>
    </row>
    <row r="8" spans="1:17" x14ac:dyDescent="0.4">
      <c r="A8" s="57" t="s">
        <v>3</v>
      </c>
      <c r="B8" s="49">
        <v>26</v>
      </c>
      <c r="C8" s="41">
        <f>IF(B$2=0,0,B8/B$2)</f>
        <v>0.4</v>
      </c>
      <c r="E8" s="65" t="s">
        <v>73</v>
      </c>
      <c r="F8" s="62" t="s">
        <v>26</v>
      </c>
      <c r="G8" s="49">
        <v>8</v>
      </c>
      <c r="H8" s="137">
        <f>IF(B$29=0,0,G8/B$29)</f>
        <v>0.10526315789473684</v>
      </c>
      <c r="I8" s="98">
        <v>11</v>
      </c>
      <c r="K8" s="40">
        <v>6</v>
      </c>
      <c r="L8" s="103">
        <v>-50.6</v>
      </c>
      <c r="N8" s="45"/>
      <c r="O8" s="131"/>
      <c r="P8" s="115"/>
      <c r="Q8" s="113"/>
    </row>
    <row r="9" spans="1:17" x14ac:dyDescent="0.4">
      <c r="A9" s="58" t="s">
        <v>4</v>
      </c>
      <c r="B9" s="50">
        <v>17</v>
      </c>
      <c r="C9" s="42">
        <f t="shared" ref="C9" si="1">IF(B$2=0,0,B9/B$2)</f>
        <v>0.26153846153846155</v>
      </c>
      <c r="E9" s="65" t="s">
        <v>88</v>
      </c>
      <c r="F9" s="62" t="s">
        <v>41</v>
      </c>
      <c r="G9" s="49">
        <v>8</v>
      </c>
      <c r="H9" s="137">
        <f>IF(B$29=0,0,G9/B$29)</f>
        <v>0.10526315789473684</v>
      </c>
      <c r="I9" s="98">
        <v>4</v>
      </c>
      <c r="K9" s="40">
        <v>7</v>
      </c>
      <c r="L9" s="103">
        <v>-47.6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7</v>
      </c>
      <c r="C10" s="42">
        <f>IF(B$2=0,0,B10/B$2)</f>
        <v>0.1076923076923077</v>
      </c>
      <c r="E10" s="65" t="s">
        <v>94</v>
      </c>
      <c r="F10" s="62" t="s">
        <v>47</v>
      </c>
      <c r="G10" s="49">
        <v>6</v>
      </c>
      <c r="H10" s="137">
        <f>IF(B$29=0,0,G10/B$29)</f>
        <v>7.8947368421052627E-2</v>
      </c>
      <c r="I10" s="98">
        <v>12</v>
      </c>
      <c r="K10" s="40">
        <v>8</v>
      </c>
      <c r="L10" s="103">
        <v>-59.1</v>
      </c>
      <c r="N10" s="118" t="s">
        <v>250</v>
      </c>
      <c r="O10" s="128">
        <f>IF(P10=0,0,Q10/P10)</f>
        <v>3.4350000000000001</v>
      </c>
      <c r="P10" s="122">
        <v>20</v>
      </c>
      <c r="Q10" s="110">
        <v>68.7</v>
      </c>
    </row>
    <row r="11" spans="1:17" x14ac:dyDescent="0.4">
      <c r="A11" s="58" t="s">
        <v>155</v>
      </c>
      <c r="B11" s="50">
        <v>11</v>
      </c>
      <c r="C11" s="42">
        <f>IF(B$2=0,0,B11/B$2)</f>
        <v>0.16923076923076924</v>
      </c>
      <c r="E11" s="65" t="s">
        <v>68</v>
      </c>
      <c r="F11" s="62" t="s">
        <v>22</v>
      </c>
      <c r="G11" s="49">
        <v>5</v>
      </c>
      <c r="H11" s="137">
        <f>IF(B$29=0,0,G11/B$29)</f>
        <v>6.5789473684210523E-2</v>
      </c>
      <c r="I11" s="98">
        <v>11</v>
      </c>
      <c r="K11" s="40">
        <v>9</v>
      </c>
      <c r="L11" s="103">
        <v>-77.900000000000006</v>
      </c>
      <c r="N11" s="119" t="s">
        <v>251</v>
      </c>
      <c r="O11" s="129">
        <f>IF(P11=0,0,Q11/P11)</f>
        <v>5.4969696969696971</v>
      </c>
      <c r="P11" s="123">
        <v>33</v>
      </c>
      <c r="Q11" s="111">
        <v>181.4</v>
      </c>
    </row>
    <row r="12" spans="1:17" x14ac:dyDescent="0.4">
      <c r="A12" s="59" t="s">
        <v>238</v>
      </c>
      <c r="B12" s="51">
        <v>3</v>
      </c>
      <c r="C12" s="44">
        <f>IF(B$2=0,0,B12/B$2)</f>
        <v>4.6153846153846156E-2</v>
      </c>
      <c r="E12" s="65" t="s">
        <v>74</v>
      </c>
      <c r="F12" s="62" t="s">
        <v>27</v>
      </c>
      <c r="G12" s="49">
        <v>5</v>
      </c>
      <c r="H12" s="137">
        <f>IF(B$29=0,0,G12/B$29)</f>
        <v>6.5789473684210523E-2</v>
      </c>
      <c r="I12" s="98">
        <v>11</v>
      </c>
      <c r="K12" s="40">
        <v>10</v>
      </c>
      <c r="L12" s="103">
        <v>-78.900000000000006</v>
      </c>
      <c r="N12" s="120" t="s">
        <v>252</v>
      </c>
      <c r="O12" s="130">
        <f>IF(P12=0,0,Q12/P12)</f>
        <v>1.4749999999999996</v>
      </c>
      <c r="P12" s="124">
        <v>12</v>
      </c>
      <c r="Q12" s="112">
        <v>17.699999999999996</v>
      </c>
    </row>
    <row r="13" spans="1:17" x14ac:dyDescent="0.4">
      <c r="A13" s="60" t="s">
        <v>128</v>
      </c>
      <c r="B13" s="52">
        <v>55</v>
      </c>
      <c r="C13" s="46">
        <f>IF(B$28=0,0,B13/B$28)</f>
        <v>0.23305084745762711</v>
      </c>
      <c r="E13" s="65" t="s">
        <v>86</v>
      </c>
      <c r="F13" s="62" t="s">
        <v>39</v>
      </c>
      <c r="G13" s="49">
        <v>4</v>
      </c>
      <c r="H13" s="137">
        <f>IF(B$29=0,0,G13/B$29)</f>
        <v>5.2631578947368418E-2</v>
      </c>
      <c r="I13" s="98">
        <v>3</v>
      </c>
      <c r="K13" s="40">
        <v>11</v>
      </c>
      <c r="L13" s="103">
        <v>-88.9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70</v>
      </c>
      <c r="C14" s="41">
        <f>IF(B$28=0,0,B14/B$28)</f>
        <v>0.29661016949152541</v>
      </c>
      <c r="E14" s="65" t="s">
        <v>91</v>
      </c>
      <c r="F14" s="62" t="s">
        <v>44</v>
      </c>
      <c r="G14" s="49">
        <v>3</v>
      </c>
      <c r="H14" s="137">
        <f>IF(B$29=0,0,G14/B$29)</f>
        <v>3.9473684210526314E-2</v>
      </c>
      <c r="I14" s="98">
        <v>11</v>
      </c>
      <c r="K14" s="40">
        <v>12</v>
      </c>
      <c r="L14" s="103">
        <v>-23.5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32</v>
      </c>
      <c r="C15" s="39">
        <f>IF(B$13=0,0,B15/B$13)</f>
        <v>0.58181818181818179</v>
      </c>
      <c r="E15" s="65" t="s">
        <v>75</v>
      </c>
      <c r="F15" s="62" t="s">
        <v>28</v>
      </c>
      <c r="G15" s="49">
        <v>2</v>
      </c>
      <c r="H15" s="137">
        <f>IF(B$29=0,0,G15/B$29)</f>
        <v>2.6315789473684209E-2</v>
      </c>
      <c r="I15" s="98">
        <v>11</v>
      </c>
      <c r="K15" s="40">
        <v>13</v>
      </c>
      <c r="L15" s="103">
        <v>-12.4</v>
      </c>
      <c r="N15" s="118" t="s">
        <v>138</v>
      </c>
      <c r="O15" s="128">
        <f>IF(P15=0,0,Q15/P15)</f>
        <v>34</v>
      </c>
      <c r="P15" s="122">
        <v>1</v>
      </c>
      <c r="Q15" s="110">
        <v>34</v>
      </c>
    </row>
    <row r="16" spans="1:17" x14ac:dyDescent="0.4">
      <c r="A16" s="56" t="s">
        <v>131</v>
      </c>
      <c r="B16" s="48">
        <v>30</v>
      </c>
      <c r="C16" s="39">
        <f>IF(B$14=0,0,B16/B$14)</f>
        <v>0.42857142857142855</v>
      </c>
      <c r="E16" s="65" t="s">
        <v>96</v>
      </c>
      <c r="F16" s="62" t="s">
        <v>49</v>
      </c>
      <c r="G16" s="49">
        <v>2</v>
      </c>
      <c r="H16" s="137">
        <f>IF(B$29=0,0,G16/B$29)</f>
        <v>2.6315789473684209E-2</v>
      </c>
      <c r="I16" s="98">
        <v>3</v>
      </c>
      <c r="K16" s="40">
        <v>14</v>
      </c>
      <c r="L16" s="103">
        <v>38.6</v>
      </c>
      <c r="N16" s="119" t="s">
        <v>166</v>
      </c>
      <c r="O16" s="129">
        <f>IF(P16=0,0,Q16/P16)</f>
        <v>26.766666666666666</v>
      </c>
      <c r="P16" s="123">
        <v>3</v>
      </c>
      <c r="Q16" s="111">
        <v>80.3</v>
      </c>
    </row>
    <row r="17" spans="1:17" x14ac:dyDescent="0.4">
      <c r="A17" s="56" t="s">
        <v>10</v>
      </c>
      <c r="B17" s="48">
        <f>B19+B18</f>
        <v>163</v>
      </c>
      <c r="C17" s="39">
        <f>IF(B$3=0,0,B17/B$3)</f>
        <v>0.34388185654008441</v>
      </c>
      <c r="E17" s="65" t="s">
        <v>82</v>
      </c>
      <c r="F17" s="62" t="s">
        <v>35</v>
      </c>
      <c r="G17" s="49">
        <v>1</v>
      </c>
      <c r="H17" s="137">
        <f>IF(B$29=0,0,G17/B$29)</f>
        <v>1.3157894736842105E-2</v>
      </c>
      <c r="I17" s="98">
        <v>8</v>
      </c>
      <c r="K17" s="40">
        <v>15</v>
      </c>
      <c r="L17" s="103">
        <v>55.8</v>
      </c>
      <c r="N17" s="119" t="s">
        <v>157</v>
      </c>
      <c r="O17" s="129">
        <f>IF(P17=0,0,Q17/P17)</f>
        <v>24.85</v>
      </c>
      <c r="P17" s="123">
        <v>2</v>
      </c>
      <c r="Q17" s="111">
        <v>49.7</v>
      </c>
    </row>
    <row r="18" spans="1:17" x14ac:dyDescent="0.4">
      <c r="A18" s="57" t="s">
        <v>12</v>
      </c>
      <c r="B18" s="49">
        <v>70</v>
      </c>
      <c r="C18" s="41">
        <f>IF(B$17=0,0,B18/B$17)</f>
        <v>0.42944785276073622</v>
      </c>
      <c r="E18" s="65" t="s">
        <v>98</v>
      </c>
      <c r="F18" s="62" t="s">
        <v>51</v>
      </c>
      <c r="G18" s="49">
        <v>1</v>
      </c>
      <c r="H18" s="137">
        <f>IF(B$29=0,0,G18/B$29)</f>
        <v>1.3157894736842105E-2</v>
      </c>
      <c r="I18" s="98">
        <v>1</v>
      </c>
      <c r="K18" s="40">
        <v>16</v>
      </c>
      <c r="L18" s="103">
        <v>40.299999999999997</v>
      </c>
      <c r="N18" s="119" t="s">
        <v>171</v>
      </c>
      <c r="O18" s="129">
        <f>IF(P18=0,0,Q18/P18)</f>
        <v>21.200000000000003</v>
      </c>
      <c r="P18" s="123">
        <v>3</v>
      </c>
      <c r="Q18" s="111">
        <v>63.600000000000009</v>
      </c>
    </row>
    <row r="19" spans="1:17" x14ac:dyDescent="0.4">
      <c r="A19" s="57" t="s">
        <v>11</v>
      </c>
      <c r="B19" s="49">
        <v>93</v>
      </c>
      <c r="C19" s="41">
        <f>IF(B$17=0,0,B19/B$17)</f>
        <v>0.57055214723926384</v>
      </c>
      <c r="E19" s="65" t="s">
        <v>77</v>
      </c>
      <c r="F19" s="62" t="s">
        <v>30</v>
      </c>
      <c r="G19" s="49">
        <v>0</v>
      </c>
      <c r="H19" s="137">
        <f>IF(B$29=0,0,G19/B$29)</f>
        <v>0</v>
      </c>
      <c r="I19" s="98">
        <v>7</v>
      </c>
      <c r="K19" s="40">
        <v>17</v>
      </c>
      <c r="L19" s="103">
        <v>15.799999999999997</v>
      </c>
      <c r="N19" s="119" t="s">
        <v>136</v>
      </c>
      <c r="O19" s="129">
        <f>IF(P19=0,0,Q19/P19)</f>
        <v>16.333333333333332</v>
      </c>
      <c r="P19" s="123">
        <v>3</v>
      </c>
      <c r="Q19" s="111">
        <v>48.999999999999993</v>
      </c>
    </row>
    <row r="20" spans="1:17" x14ac:dyDescent="0.4">
      <c r="A20" s="57" t="s">
        <v>13</v>
      </c>
      <c r="B20" s="49">
        <v>73</v>
      </c>
      <c r="C20" s="41">
        <f>IF(B$3=0,0,B20/B$3)</f>
        <v>0.15400843881856541</v>
      </c>
      <c r="E20" s="65" t="s">
        <v>78</v>
      </c>
      <c r="F20" s="62" t="s">
        <v>31</v>
      </c>
      <c r="G20" s="49">
        <v>0</v>
      </c>
      <c r="H20" s="137">
        <f>IF(B$29=0,0,G20/B$29)</f>
        <v>0</v>
      </c>
      <c r="I20" s="98">
        <v>6</v>
      </c>
      <c r="K20" s="40">
        <v>18</v>
      </c>
      <c r="L20" s="103">
        <v>-25.700000000000003</v>
      </c>
      <c r="N20" s="119" t="s">
        <v>134</v>
      </c>
      <c r="O20" s="129">
        <f>IF(P20=0,0,Q20/P20)</f>
        <v>15.882051282051275</v>
      </c>
      <c r="P20" s="123">
        <v>39</v>
      </c>
      <c r="Q20" s="111">
        <v>619.39999999999975</v>
      </c>
    </row>
    <row r="21" spans="1:17" x14ac:dyDescent="0.4">
      <c r="A21" s="57" t="s">
        <v>13</v>
      </c>
      <c r="B21" s="49">
        <v>5</v>
      </c>
      <c r="C21" s="41">
        <v>0</v>
      </c>
      <c r="E21" s="65" t="s">
        <v>79</v>
      </c>
      <c r="F21" s="62" t="s">
        <v>32</v>
      </c>
      <c r="G21" s="49">
        <v>0</v>
      </c>
      <c r="H21" s="137">
        <f>IF(B$29=0,0,G21/B$29)</f>
        <v>0</v>
      </c>
      <c r="I21" s="98">
        <v>7</v>
      </c>
      <c r="K21" s="40">
        <v>19</v>
      </c>
      <c r="L21" s="103">
        <v>-17.700000000000003</v>
      </c>
      <c r="N21" s="119" t="s">
        <v>247</v>
      </c>
      <c r="O21" s="129">
        <f>IF(P21=0,0,Q21/P21)</f>
        <v>9.65</v>
      </c>
      <c r="P21" s="123">
        <v>2</v>
      </c>
      <c r="Q21" s="111">
        <v>19.3</v>
      </c>
    </row>
    <row r="22" spans="1:17" x14ac:dyDescent="0.4">
      <c r="A22" s="57" t="s">
        <v>263</v>
      </c>
      <c r="B22" s="49">
        <v>28</v>
      </c>
      <c r="C22" s="165">
        <v>12</v>
      </c>
      <c r="E22" s="65" t="s">
        <v>80</v>
      </c>
      <c r="F22" s="62" t="s">
        <v>33</v>
      </c>
      <c r="G22" s="49">
        <v>0</v>
      </c>
      <c r="H22" s="137">
        <f>IF(B$29=0,0,G22/B$29)</f>
        <v>0</v>
      </c>
      <c r="I22" s="98">
        <v>1</v>
      </c>
      <c r="K22" s="40">
        <v>20</v>
      </c>
      <c r="L22" s="103">
        <v>7.4999999999999964</v>
      </c>
      <c r="N22" s="119" t="s">
        <v>137</v>
      </c>
      <c r="O22" s="129">
        <f>IF(P22=0,0,Q22/P22)</f>
        <v>8.3750000000000036</v>
      </c>
      <c r="P22" s="123">
        <v>8</v>
      </c>
      <c r="Q22" s="111">
        <v>67.000000000000028</v>
      </c>
    </row>
    <row r="23" spans="1:17" x14ac:dyDescent="0.4">
      <c r="A23" s="57" t="s">
        <v>5</v>
      </c>
      <c r="B23" s="53">
        <f>IF(B$17=0,0,C23/B$17)</f>
        <v>9707.3619631901838</v>
      </c>
      <c r="C23" s="43">
        <v>1582300</v>
      </c>
      <c r="E23" s="65" t="s">
        <v>81</v>
      </c>
      <c r="F23" s="62" t="s">
        <v>34</v>
      </c>
      <c r="G23" s="49">
        <v>0</v>
      </c>
      <c r="H23" s="137">
        <f>IF(B$29=0,0,G23/B$29)</f>
        <v>0</v>
      </c>
      <c r="I23" s="98">
        <v>7</v>
      </c>
      <c r="K23" s="40">
        <v>21</v>
      </c>
      <c r="L23" s="103">
        <v>69.8</v>
      </c>
      <c r="N23" s="119" t="s">
        <v>133</v>
      </c>
      <c r="O23" s="129">
        <f>IF(P23=0,0,Q23/P23)</f>
        <v>-1.0818181818181813</v>
      </c>
      <c r="P23" s="123">
        <v>55</v>
      </c>
      <c r="Q23" s="111">
        <v>-59.499999999999979</v>
      </c>
    </row>
    <row r="24" spans="1:17" x14ac:dyDescent="0.4">
      <c r="A24" s="59" t="s">
        <v>14</v>
      </c>
      <c r="B24" s="54">
        <f>IF(B$20=0,0,C24/B$20)</f>
        <v>-8854.7945205479446</v>
      </c>
      <c r="C24" s="47">
        <v>-646400</v>
      </c>
      <c r="E24" s="65" t="s">
        <v>83</v>
      </c>
      <c r="F24" s="62" t="s">
        <v>36</v>
      </c>
      <c r="G24" s="49">
        <v>0</v>
      </c>
      <c r="H24" s="137">
        <f>IF(B$29=0,0,G24/B$29)</f>
        <v>0</v>
      </c>
      <c r="I24" s="98">
        <v>11</v>
      </c>
      <c r="K24" s="40">
        <v>22</v>
      </c>
      <c r="L24" s="103">
        <v>78.399999999999991</v>
      </c>
      <c r="N24" s="119" t="s">
        <v>194</v>
      </c>
      <c r="O24" s="129">
        <f>IF(P24=0,0,Q24/P24)</f>
        <v>-4.9000000000000004</v>
      </c>
      <c r="P24" s="123">
        <v>2</v>
      </c>
      <c r="Q24" s="111">
        <v>-9.8000000000000007</v>
      </c>
    </row>
    <row r="25" spans="1:17" x14ac:dyDescent="0.4">
      <c r="A25" s="94" t="s">
        <v>158</v>
      </c>
      <c r="B25" s="143">
        <v>7</v>
      </c>
      <c r="C25" s="144"/>
      <c r="E25" s="65" t="s">
        <v>84</v>
      </c>
      <c r="F25" s="62" t="s">
        <v>37</v>
      </c>
      <c r="G25" s="49">
        <v>0</v>
      </c>
      <c r="H25" s="137">
        <f>IF(B$29=0,0,G25/B$29)</f>
        <v>0</v>
      </c>
      <c r="I25" s="98">
        <v>1</v>
      </c>
      <c r="K25" s="40">
        <v>23</v>
      </c>
      <c r="L25" s="103">
        <v>93.199999999999989</v>
      </c>
      <c r="N25" s="119" t="s">
        <v>139</v>
      </c>
      <c r="O25" s="129">
        <f>IF(P25=0,0,Q25/P25)</f>
        <v>-8.8833333333333329</v>
      </c>
      <c r="P25" s="123">
        <v>12</v>
      </c>
      <c r="Q25" s="111">
        <v>-106.6</v>
      </c>
    </row>
    <row r="26" spans="1:17" x14ac:dyDescent="0.4">
      <c r="A26" s="60" t="s">
        <v>198</v>
      </c>
      <c r="B26" s="141">
        <v>118000</v>
      </c>
      <c r="C26" s="142"/>
      <c r="E26" s="65" t="s">
        <v>85</v>
      </c>
      <c r="F26" s="62" t="s">
        <v>38</v>
      </c>
      <c r="G26" s="49">
        <v>0</v>
      </c>
      <c r="H26" s="137">
        <f>IF(B$29=0,0,G26/B$29)</f>
        <v>0</v>
      </c>
      <c r="I26" s="98">
        <v>3</v>
      </c>
      <c r="K26" s="40">
        <v>24</v>
      </c>
      <c r="L26" s="103">
        <v>49.29999999999999</v>
      </c>
    </row>
    <row r="27" spans="1:17" x14ac:dyDescent="0.4">
      <c r="A27" s="59" t="s">
        <v>159</v>
      </c>
      <c r="B27" s="67">
        <v>1</v>
      </c>
      <c r="C27" s="44">
        <f>IF(B$3=0,0,B27/B$3)</f>
        <v>2.1097046413502108E-3</v>
      </c>
      <c r="E27" s="65" t="s">
        <v>87</v>
      </c>
      <c r="F27" s="62" t="s">
        <v>40</v>
      </c>
      <c r="G27" s="49">
        <v>0</v>
      </c>
      <c r="H27" s="137">
        <f>IF(B$29=0,0,G27/B$29)</f>
        <v>0</v>
      </c>
      <c r="I27" s="98">
        <v>1</v>
      </c>
      <c r="K27" s="40">
        <v>25</v>
      </c>
      <c r="L27" s="103">
        <v>58.79999999999999</v>
      </c>
    </row>
    <row r="28" spans="1:17" x14ac:dyDescent="0.4">
      <c r="A28" s="56" t="s">
        <v>126</v>
      </c>
      <c r="B28" s="147">
        <v>236</v>
      </c>
      <c r="C28" s="148"/>
      <c r="E28" s="65" t="s">
        <v>89</v>
      </c>
      <c r="F28" s="62" t="s">
        <v>42</v>
      </c>
      <c r="G28" s="49">
        <v>0</v>
      </c>
      <c r="H28" s="137">
        <f>IF(B$29=0,0,G28/B$29)</f>
        <v>0</v>
      </c>
      <c r="I28" s="98">
        <v>5</v>
      </c>
      <c r="K28" s="40">
        <v>26</v>
      </c>
      <c r="L28" s="103">
        <v>141.79999999999998</v>
      </c>
    </row>
    <row r="29" spans="1:17" x14ac:dyDescent="0.4">
      <c r="A29" s="59" t="s">
        <v>127</v>
      </c>
      <c r="B29" s="149">
        <v>76</v>
      </c>
      <c r="C29" s="150"/>
      <c r="E29" s="65" t="s">
        <v>90</v>
      </c>
      <c r="F29" s="62" t="s">
        <v>43</v>
      </c>
      <c r="G29" s="49">
        <v>0</v>
      </c>
      <c r="H29" s="137">
        <f>IF(B$29=0,0,G29/B$29)</f>
        <v>0</v>
      </c>
      <c r="I29" s="98">
        <v>6</v>
      </c>
      <c r="K29" s="40">
        <v>27</v>
      </c>
      <c r="L29" s="103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37">
        <f>IF(B$29=0,0,G30/B$29)</f>
        <v>0</v>
      </c>
      <c r="I30" s="98">
        <v>5</v>
      </c>
      <c r="K30" s="40">
        <v>28</v>
      </c>
      <c r="L30" s="103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37">
        <f>IF(B$29=0,0,G33/B$29)</f>
        <v>0</v>
      </c>
      <c r="I33" s="98">
        <v>7</v>
      </c>
      <c r="K33" s="40">
        <v>31</v>
      </c>
      <c r="L33" s="103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210.90000000000003</v>
      </c>
    </row>
    <row r="52" spans="5:12" x14ac:dyDescent="0.4">
      <c r="K52" s="40">
        <v>50</v>
      </c>
      <c r="L52" s="103">
        <v>210.90000000000003</v>
      </c>
    </row>
    <row r="53" spans="5:12" x14ac:dyDescent="0.4">
      <c r="K53" s="40">
        <v>51</v>
      </c>
      <c r="L53" s="103">
        <v>289.60000000000002</v>
      </c>
    </row>
    <row r="54" spans="5:12" x14ac:dyDescent="0.4">
      <c r="K54" s="40">
        <v>52</v>
      </c>
      <c r="L54" s="103">
        <v>316.10000000000002</v>
      </c>
    </row>
    <row r="55" spans="5:12" x14ac:dyDescent="0.4">
      <c r="K55" s="40">
        <v>53</v>
      </c>
      <c r="L55" s="103">
        <v>265.60000000000002</v>
      </c>
    </row>
    <row r="56" spans="5:12" x14ac:dyDescent="0.4">
      <c r="K56" s="40">
        <v>54</v>
      </c>
      <c r="L56" s="103">
        <v>250.50000000000003</v>
      </c>
    </row>
    <row r="57" spans="5:12" x14ac:dyDescent="0.4">
      <c r="K57" s="40">
        <v>55</v>
      </c>
      <c r="L57" s="103">
        <v>266.40000000000003</v>
      </c>
    </row>
    <row r="58" spans="5:12" x14ac:dyDescent="0.4">
      <c r="K58" s="40">
        <v>56</v>
      </c>
      <c r="L58" s="103">
        <v>270.8</v>
      </c>
    </row>
    <row r="59" spans="5:12" x14ac:dyDescent="0.4">
      <c r="K59" s="40">
        <v>57</v>
      </c>
      <c r="L59" s="103">
        <v>257.3</v>
      </c>
    </row>
    <row r="60" spans="5:12" x14ac:dyDescent="0.4">
      <c r="K60" s="40">
        <v>58</v>
      </c>
      <c r="L60" s="103">
        <v>290.3</v>
      </c>
    </row>
    <row r="61" spans="5:12" x14ac:dyDescent="0.4">
      <c r="K61" s="40">
        <v>59</v>
      </c>
      <c r="L61" s="103">
        <v>280.3</v>
      </c>
    </row>
    <row r="62" spans="5:12" x14ac:dyDescent="0.4">
      <c r="K62" s="40">
        <v>60</v>
      </c>
      <c r="L62" s="103">
        <v>269.60000000000002</v>
      </c>
    </row>
    <row r="63" spans="5:12" x14ac:dyDescent="0.4">
      <c r="K63" s="40">
        <v>61</v>
      </c>
      <c r="L63" s="103">
        <v>256.20000000000005</v>
      </c>
    </row>
    <row r="64" spans="5:12" x14ac:dyDescent="0.4">
      <c r="K64" s="40">
        <v>62</v>
      </c>
      <c r="L64" s="103">
        <v>249.20000000000005</v>
      </c>
    </row>
    <row r="65" spans="11:12" x14ac:dyDescent="0.4">
      <c r="K65" s="40">
        <v>63</v>
      </c>
      <c r="L65" s="103">
        <v>243.20000000000005</v>
      </c>
    </row>
    <row r="66" spans="11:12" x14ac:dyDescent="0.4">
      <c r="K66" s="40">
        <v>64</v>
      </c>
      <c r="L66" s="103">
        <v>261.90000000000003</v>
      </c>
    </row>
    <row r="67" spans="11:12" x14ac:dyDescent="0.4">
      <c r="K67" s="40">
        <v>65</v>
      </c>
      <c r="L67" s="103">
        <v>267.8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136A5-F305-4997-967D-1201F07B224A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171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5</v>
      </c>
      <c r="C2" s="148"/>
      <c r="E2" s="64" t="s">
        <v>67</v>
      </c>
      <c r="F2" s="61" t="s">
        <v>21</v>
      </c>
      <c r="G2" s="48">
        <v>6</v>
      </c>
      <c r="H2" s="136">
        <f>IF(B$29=0,0,G2/B$29)</f>
        <v>0.66666666666666663</v>
      </c>
      <c r="I2" s="97">
        <v>1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-2740</v>
      </c>
      <c r="P2" s="122">
        <v>5</v>
      </c>
      <c r="Q2" s="106">
        <v>-13700</v>
      </c>
    </row>
    <row r="3" spans="1:17" x14ac:dyDescent="0.4">
      <c r="A3" s="57" t="s">
        <v>8</v>
      </c>
      <c r="B3" s="153">
        <v>37</v>
      </c>
      <c r="C3" s="154"/>
      <c r="E3" s="65" t="s">
        <v>71</v>
      </c>
      <c r="F3" s="62" t="s">
        <v>25</v>
      </c>
      <c r="G3" s="49">
        <v>6</v>
      </c>
      <c r="H3" s="137">
        <f>IF(B$29=0,0,G3/B$29)</f>
        <v>0.66666666666666663</v>
      </c>
      <c r="I3" s="98">
        <v>11</v>
      </c>
      <c r="K3" s="40">
        <v>1</v>
      </c>
      <c r="L3" s="103">
        <v>-40.700000000000003</v>
      </c>
      <c r="N3" s="119" t="s">
        <v>148</v>
      </c>
      <c r="O3" s="126">
        <f t="shared" si="0"/>
        <v>1500</v>
      </c>
      <c r="P3" s="123">
        <v>5</v>
      </c>
      <c r="Q3" s="107">
        <v>7500</v>
      </c>
    </row>
    <row r="4" spans="1:17" x14ac:dyDescent="0.4">
      <c r="A4" s="57" t="s">
        <v>6</v>
      </c>
      <c r="B4" s="155">
        <v>-86.4</v>
      </c>
      <c r="C4" s="156"/>
      <c r="E4" s="65" t="s">
        <v>68</v>
      </c>
      <c r="F4" s="62" t="s">
        <v>22</v>
      </c>
      <c r="G4" s="49">
        <v>4</v>
      </c>
      <c r="H4" s="137">
        <f>IF(B$29=0,0,G4/B$29)</f>
        <v>0.44444444444444442</v>
      </c>
      <c r="I4" s="98">
        <v>1</v>
      </c>
      <c r="K4" s="40">
        <v>2</v>
      </c>
      <c r="L4" s="103">
        <v>-81.7</v>
      </c>
      <c r="N4" s="119" t="s">
        <v>149</v>
      </c>
      <c r="O4" s="126">
        <f t="shared" si="0"/>
        <v>-11250</v>
      </c>
      <c r="P4" s="123">
        <v>4</v>
      </c>
      <c r="Q4" s="107">
        <v>-45000</v>
      </c>
    </row>
    <row r="5" spans="1:17" x14ac:dyDescent="0.4">
      <c r="A5" s="57" t="s">
        <v>7</v>
      </c>
      <c r="B5" s="157">
        <f>IF(B$2=0,0,B$4/B$2)</f>
        <v>-17.28</v>
      </c>
      <c r="C5" s="158"/>
      <c r="E5" s="65" t="s">
        <v>76</v>
      </c>
      <c r="F5" s="62" t="s">
        <v>29</v>
      </c>
      <c r="G5" s="49">
        <v>4</v>
      </c>
      <c r="H5" s="137">
        <f>IF(B$29=0,0,G5/B$29)</f>
        <v>0.44444444444444442</v>
      </c>
      <c r="I5" s="98">
        <v>13</v>
      </c>
      <c r="K5" s="40">
        <v>3</v>
      </c>
      <c r="L5" s="103">
        <v>-88.9</v>
      </c>
      <c r="N5" s="119" t="s">
        <v>150</v>
      </c>
      <c r="O5" s="126">
        <f t="shared" si="0"/>
        <v>-12000</v>
      </c>
      <c r="P5" s="123">
        <v>3</v>
      </c>
      <c r="Q5" s="107">
        <v>-36000</v>
      </c>
    </row>
    <row r="6" spans="1:17" x14ac:dyDescent="0.4">
      <c r="A6" s="57" t="s">
        <v>1</v>
      </c>
      <c r="B6" s="145">
        <f>IF(B$2=0,0,(B$7*1+B$8*2+B$9*3)/B$2)</f>
        <v>2.2000000000000002</v>
      </c>
      <c r="C6" s="146"/>
      <c r="E6" s="65" t="s">
        <v>72</v>
      </c>
      <c r="F6" s="62" t="s">
        <v>12</v>
      </c>
      <c r="G6" s="49">
        <v>3</v>
      </c>
      <c r="H6" s="137">
        <f>IF(B$29=0,0,G6/B$29)</f>
        <v>0.33333333333333331</v>
      </c>
      <c r="I6" s="98">
        <v>3</v>
      </c>
      <c r="K6" s="40">
        <v>4</v>
      </c>
      <c r="L6" s="103">
        <v>-109.2</v>
      </c>
      <c r="N6" s="119" t="s">
        <v>151</v>
      </c>
      <c r="O6" s="126">
        <f t="shared" si="0"/>
        <v>5400</v>
      </c>
      <c r="P6" s="123">
        <v>2</v>
      </c>
      <c r="Q6" s="107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37">
        <f>IF(B$29=0,0,G7/B$29)</f>
        <v>0.22222222222222221</v>
      </c>
      <c r="I7" s="98">
        <v>10</v>
      </c>
      <c r="K7" s="40">
        <v>5</v>
      </c>
      <c r="L7" s="103">
        <v>-86.4</v>
      </c>
      <c r="N7" s="120" t="s">
        <v>152</v>
      </c>
      <c r="O7" s="127">
        <f t="shared" si="0"/>
        <v>-5000</v>
      </c>
      <c r="P7" s="124">
        <v>2</v>
      </c>
      <c r="Q7" s="108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37">
        <f>IF(B$29=0,0,G8/B$29)</f>
        <v>0.22222222222222221</v>
      </c>
      <c r="I8" s="98">
        <v>1</v>
      </c>
      <c r="N8" s="45"/>
      <c r="O8" s="131"/>
      <c r="P8" s="115"/>
      <c r="Q8" s="113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37">
        <f>IF(B$29=0,0,G9/B$29)</f>
        <v>0.1111111111111111</v>
      </c>
      <c r="I9" s="98">
        <v>13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37">
        <f>IF(B$29=0,0,G10/B$29)</f>
        <v>0.1111111111111111</v>
      </c>
      <c r="I10" s="98">
        <v>9</v>
      </c>
      <c r="N10" s="118" t="s">
        <v>250</v>
      </c>
      <c r="O10" s="128">
        <f>IF(P10=0,0,Q10/P10)</f>
        <v>-24.1</v>
      </c>
      <c r="P10" s="122">
        <v>2</v>
      </c>
      <c r="Q10" s="110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37">
        <f>IF(B$29=0,0,G11/B$29)</f>
        <v>0.1111111111111111</v>
      </c>
      <c r="I11" s="98">
        <v>3</v>
      </c>
      <c r="N11" s="119" t="s">
        <v>251</v>
      </c>
      <c r="O11" s="129">
        <f>IF(P11=0,0,Q11/P11)</f>
        <v>-12.733333333333334</v>
      </c>
      <c r="P11" s="123">
        <v>3</v>
      </c>
      <c r="Q11" s="111">
        <v>-38.200000000000003</v>
      </c>
    </row>
    <row r="12" spans="1:17" x14ac:dyDescent="0.4">
      <c r="A12" s="59" t="s">
        <v>238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37">
        <f>IF(B$29=0,0,G12/B$29)</f>
        <v>0</v>
      </c>
      <c r="I12" s="98">
        <v>12</v>
      </c>
      <c r="N12" s="120" t="s">
        <v>252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60" t="s">
        <v>128</v>
      </c>
      <c r="B13" s="52">
        <v>8</v>
      </c>
      <c r="C13" s="46">
        <f>IF(B$28=0,0,B13/B$28)</f>
        <v>0.25806451612903225</v>
      </c>
      <c r="E13" s="65" t="s">
        <v>75</v>
      </c>
      <c r="F13" s="62" t="s">
        <v>28</v>
      </c>
      <c r="G13" s="49">
        <v>0</v>
      </c>
      <c r="H13" s="137">
        <f>IF(B$29=0,0,G13/B$29)</f>
        <v>0</v>
      </c>
      <c r="I13" s="98">
        <v>12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5</v>
      </c>
      <c r="C14" s="41">
        <f>IF(B$28=0,0,B14/B$28)</f>
        <v>0.16129032258064516</v>
      </c>
      <c r="E14" s="65" t="s">
        <v>77</v>
      </c>
      <c r="F14" s="62" t="s">
        <v>30</v>
      </c>
      <c r="G14" s="49">
        <v>0</v>
      </c>
      <c r="H14" s="137">
        <f>IF(B$29=0,0,G14/B$29)</f>
        <v>0</v>
      </c>
      <c r="I14" s="98">
        <v>7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37">
        <f>IF(B$29=0,0,G15/B$29)</f>
        <v>0</v>
      </c>
      <c r="I15" s="98">
        <v>6</v>
      </c>
      <c r="N15" s="118" t="s">
        <v>139</v>
      </c>
      <c r="O15" s="128">
        <f>IF(P15=0,0,Q15/P15)</f>
        <v>17.200000000000003</v>
      </c>
      <c r="P15" s="122">
        <v>2</v>
      </c>
      <c r="Q15" s="110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37">
        <f>IF(B$29=0,0,G16/B$29)</f>
        <v>0</v>
      </c>
      <c r="I16" s="98">
        <v>7</v>
      </c>
      <c r="N16" s="119" t="s">
        <v>157</v>
      </c>
      <c r="O16" s="129">
        <f>IF(P16=0,0,Q16/P16)</f>
        <v>-13.45</v>
      </c>
      <c r="P16" s="123">
        <v>2</v>
      </c>
      <c r="Q16" s="111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37">
        <f>IF(B$29=0,0,G17/B$29)</f>
        <v>0</v>
      </c>
      <c r="I17" s="98">
        <v>1</v>
      </c>
      <c r="N17" s="119" t="s">
        <v>135</v>
      </c>
      <c r="O17" s="129">
        <f>IF(P17=0,0,Q17/P17)</f>
        <v>-21.200000000000003</v>
      </c>
      <c r="P17" s="123">
        <v>3</v>
      </c>
      <c r="Q17" s="111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37">
        <f>IF(B$29=0,0,G18/B$29)</f>
        <v>0</v>
      </c>
      <c r="I18" s="98">
        <v>7</v>
      </c>
      <c r="N18" s="119" t="s">
        <v>194</v>
      </c>
      <c r="O18" s="129">
        <f>IF(P18=0,0,Q18/P18)</f>
        <v>-38.6</v>
      </c>
      <c r="P18" s="123">
        <v>2</v>
      </c>
      <c r="Q18" s="111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37">
        <f>IF(B$29=0,0,G19/B$29)</f>
        <v>0</v>
      </c>
      <c r="I19" s="98">
        <v>10</v>
      </c>
      <c r="N19" s="119" t="s">
        <v>133</v>
      </c>
      <c r="O19" s="129">
        <f>IF(P19=0,0,Q19/P19)</f>
        <v>-125.9</v>
      </c>
      <c r="P19" s="123">
        <v>1</v>
      </c>
      <c r="Q19" s="111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37">
        <f>IF(B$29=0,0,G20/B$29)</f>
        <v>0</v>
      </c>
      <c r="I20" s="98">
        <v>1</v>
      </c>
    </row>
    <row r="21" spans="1:17" x14ac:dyDescent="0.4">
      <c r="A21" s="57" t="s">
        <v>13</v>
      </c>
      <c r="B21" s="49">
        <v>3</v>
      </c>
      <c r="C21" s="41">
        <v>0</v>
      </c>
      <c r="E21" s="65" t="s">
        <v>85</v>
      </c>
      <c r="F21" s="62" t="s">
        <v>38</v>
      </c>
      <c r="G21" s="49">
        <v>0</v>
      </c>
      <c r="H21" s="137">
        <f>IF(B$29=0,0,G21/B$29)</f>
        <v>0</v>
      </c>
      <c r="I21" s="98">
        <v>3</v>
      </c>
    </row>
    <row r="22" spans="1:17" x14ac:dyDescent="0.4">
      <c r="A22" s="57" t="s">
        <v>263</v>
      </c>
      <c r="B22" s="49">
        <v>10</v>
      </c>
      <c r="C22" s="165">
        <v>10</v>
      </c>
      <c r="E22" s="65" t="s">
        <v>86</v>
      </c>
      <c r="F22" s="62" t="s">
        <v>39</v>
      </c>
      <c r="G22" s="49">
        <v>0</v>
      </c>
      <c r="H22" s="137">
        <f>IF(B$29=0,0,G22/B$29)</f>
        <v>0</v>
      </c>
      <c r="I22" s="98">
        <v>10</v>
      </c>
    </row>
    <row r="23" spans="1:17" x14ac:dyDescent="0.4">
      <c r="A23" s="57" t="s">
        <v>5</v>
      </c>
      <c r="B23" s="53">
        <f>IF(B$17=0,0,C23/B$17)</f>
        <v>7100</v>
      </c>
      <c r="C23" s="43">
        <v>71000</v>
      </c>
      <c r="E23" s="65" t="s">
        <v>87</v>
      </c>
      <c r="F23" s="62" t="s">
        <v>40</v>
      </c>
      <c r="G23" s="49">
        <v>0</v>
      </c>
      <c r="H23" s="137">
        <f>IF(B$29=0,0,G23/B$29)</f>
        <v>0</v>
      </c>
      <c r="I23" s="98">
        <v>1</v>
      </c>
    </row>
    <row r="24" spans="1:17" x14ac:dyDescent="0.4">
      <c r="A24" s="59" t="s">
        <v>14</v>
      </c>
      <c r="B24" s="54">
        <f>IF(B$20=0,0,C24/B$20)</f>
        <v>-12487.5</v>
      </c>
      <c r="C24" s="47">
        <v>-99900</v>
      </c>
      <c r="E24" s="65" t="s">
        <v>88</v>
      </c>
      <c r="F24" s="62" t="s">
        <v>41</v>
      </c>
      <c r="G24" s="49">
        <v>0</v>
      </c>
      <c r="H24" s="137">
        <f>IF(B$29=0,0,G24/B$29)</f>
        <v>0</v>
      </c>
      <c r="I24" s="98">
        <v>12</v>
      </c>
    </row>
    <row r="25" spans="1:17" x14ac:dyDescent="0.4">
      <c r="A25" s="94" t="s">
        <v>158</v>
      </c>
      <c r="B25" s="143">
        <v>3</v>
      </c>
      <c r="C25" s="144"/>
      <c r="E25" s="65" t="s">
        <v>89</v>
      </c>
      <c r="F25" s="62" t="s">
        <v>42</v>
      </c>
      <c r="G25" s="49">
        <v>0</v>
      </c>
      <c r="H25" s="137">
        <f>IF(B$29=0,0,G25/B$29)</f>
        <v>0</v>
      </c>
      <c r="I25" s="98">
        <v>5</v>
      </c>
    </row>
    <row r="26" spans="1:17" x14ac:dyDescent="0.4">
      <c r="A26" s="60" t="s">
        <v>198</v>
      </c>
      <c r="B26" s="141">
        <v>57800</v>
      </c>
      <c r="C26" s="142"/>
      <c r="E26" s="65" t="s">
        <v>90</v>
      </c>
      <c r="F26" s="62" t="s">
        <v>43</v>
      </c>
      <c r="G26" s="49">
        <v>0</v>
      </c>
      <c r="H26" s="137">
        <f>IF(B$29=0,0,G26/B$29)</f>
        <v>0</v>
      </c>
      <c r="I26" s="98">
        <v>6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92</v>
      </c>
      <c r="F27" s="62" t="s">
        <v>45</v>
      </c>
      <c r="G27" s="49">
        <v>0</v>
      </c>
      <c r="H27" s="137">
        <f>IF(B$29=0,0,G27/B$29)</f>
        <v>0</v>
      </c>
      <c r="I27" s="98">
        <v>5</v>
      </c>
    </row>
    <row r="28" spans="1:17" x14ac:dyDescent="0.4">
      <c r="A28" s="56" t="s">
        <v>126</v>
      </c>
      <c r="B28" s="147">
        <v>31</v>
      </c>
      <c r="C28" s="148"/>
      <c r="E28" s="65" t="s">
        <v>93</v>
      </c>
      <c r="F28" s="62" t="s">
        <v>46</v>
      </c>
      <c r="G28" s="49">
        <v>0</v>
      </c>
      <c r="H28" s="137">
        <f>IF(B$29=0,0,G28/B$29)</f>
        <v>0</v>
      </c>
      <c r="I28" s="98">
        <v>3</v>
      </c>
    </row>
    <row r="29" spans="1:17" x14ac:dyDescent="0.4">
      <c r="A29" s="59" t="s">
        <v>127</v>
      </c>
      <c r="B29" s="149">
        <v>9</v>
      </c>
      <c r="C29" s="150"/>
      <c r="E29" s="65" t="s">
        <v>94</v>
      </c>
      <c r="F29" s="62" t="s">
        <v>47</v>
      </c>
      <c r="G29" s="49">
        <v>0</v>
      </c>
      <c r="H29" s="137">
        <f>IF(B$29=0,0,G29/B$29)</f>
        <v>0</v>
      </c>
      <c r="I29" s="98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83203-AA6D-4719-9AD7-5F4B9685A4E0}">
  <sheetPr codeName="Sheet19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136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85</v>
      </c>
      <c r="C2" s="148"/>
      <c r="E2" s="64" t="s">
        <v>71</v>
      </c>
      <c r="F2" s="61" t="s">
        <v>25</v>
      </c>
      <c r="G2" s="48">
        <v>118</v>
      </c>
      <c r="H2" s="136">
        <f>IF(B$29=0,0,G2/B$29)</f>
        <v>0.88721804511278191</v>
      </c>
      <c r="I2" s="97">
        <v>7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-968.23529411764707</v>
      </c>
      <c r="P2" s="122">
        <v>85</v>
      </c>
      <c r="Q2" s="106">
        <v>-82300</v>
      </c>
    </row>
    <row r="3" spans="1:17" x14ac:dyDescent="0.4">
      <c r="A3" s="57" t="s">
        <v>8</v>
      </c>
      <c r="B3" s="153">
        <v>660</v>
      </c>
      <c r="C3" s="154"/>
      <c r="E3" s="65" t="s">
        <v>69</v>
      </c>
      <c r="F3" s="62" t="s">
        <v>23</v>
      </c>
      <c r="G3" s="49">
        <v>94</v>
      </c>
      <c r="H3" s="137">
        <f>IF(B$29=0,0,G3/B$29)</f>
        <v>0.70676691729323304</v>
      </c>
      <c r="I3" s="98">
        <v>7</v>
      </c>
      <c r="K3" s="40">
        <v>1</v>
      </c>
      <c r="L3" s="103">
        <v>68.2</v>
      </c>
      <c r="N3" s="119" t="s">
        <v>148</v>
      </c>
      <c r="O3" s="126">
        <f t="shared" si="0"/>
        <v>-3073.75</v>
      </c>
      <c r="P3" s="123">
        <v>80</v>
      </c>
      <c r="Q3" s="107">
        <v>-245900</v>
      </c>
    </row>
    <row r="4" spans="1:17" x14ac:dyDescent="0.4">
      <c r="A4" s="57" t="s">
        <v>6</v>
      </c>
      <c r="B4" s="155">
        <v>-559</v>
      </c>
      <c r="C4" s="156"/>
      <c r="E4" s="65" t="s">
        <v>76</v>
      </c>
      <c r="F4" s="62" t="s">
        <v>29</v>
      </c>
      <c r="G4" s="49">
        <v>78</v>
      </c>
      <c r="H4" s="137">
        <f>IF(B$29=0,0,G4/B$29)</f>
        <v>0.5864661654135338</v>
      </c>
      <c r="I4" s="98">
        <v>5</v>
      </c>
      <c r="K4" s="40">
        <v>2</v>
      </c>
      <c r="L4" s="103">
        <v>58.5</v>
      </c>
      <c r="N4" s="119" t="s">
        <v>149</v>
      </c>
      <c r="O4" s="126">
        <f t="shared" si="0"/>
        <v>-1090.2777777777778</v>
      </c>
      <c r="P4" s="123">
        <v>72</v>
      </c>
      <c r="Q4" s="107">
        <v>-78500</v>
      </c>
    </row>
    <row r="5" spans="1:17" x14ac:dyDescent="0.4">
      <c r="A5" s="57" t="s">
        <v>7</v>
      </c>
      <c r="B5" s="157">
        <f>IF(B$2=0,0,B$4/B$2)</f>
        <v>-6.5764705882352938</v>
      </c>
      <c r="C5" s="158"/>
      <c r="E5" s="65" t="s">
        <v>67</v>
      </c>
      <c r="F5" s="62" t="s">
        <v>21</v>
      </c>
      <c r="G5" s="49">
        <v>62</v>
      </c>
      <c r="H5" s="137">
        <f>IF(B$29=0,0,G5/B$29)</f>
        <v>0.46616541353383456</v>
      </c>
      <c r="I5" s="98">
        <v>10</v>
      </c>
      <c r="K5" s="40">
        <v>3</v>
      </c>
      <c r="L5" s="103">
        <v>82.1</v>
      </c>
      <c r="N5" s="119" t="s">
        <v>150</v>
      </c>
      <c r="O5" s="126">
        <f t="shared" si="0"/>
        <v>-556.52173913043475</v>
      </c>
      <c r="P5" s="123">
        <v>69</v>
      </c>
      <c r="Q5" s="107">
        <v>-38400</v>
      </c>
    </row>
    <row r="6" spans="1:17" x14ac:dyDescent="0.4">
      <c r="A6" s="57" t="s">
        <v>1</v>
      </c>
      <c r="B6" s="145">
        <f>IF(B$2=0,0,(B$7*1+B$8*2+B$9*3)/B$2)</f>
        <v>2.2117647058823531</v>
      </c>
      <c r="C6" s="146"/>
      <c r="E6" s="65" t="s">
        <v>72</v>
      </c>
      <c r="F6" s="62" t="s">
        <v>12</v>
      </c>
      <c r="G6" s="49">
        <v>43</v>
      </c>
      <c r="H6" s="137">
        <f>IF(B$29=0,0,G6/B$29)</f>
        <v>0.32330827067669171</v>
      </c>
      <c r="I6" s="98">
        <v>4</v>
      </c>
      <c r="K6" s="40">
        <v>4</v>
      </c>
      <c r="L6" s="103">
        <v>57.699999999999996</v>
      </c>
      <c r="N6" s="119" t="s">
        <v>151</v>
      </c>
      <c r="O6" s="126">
        <f t="shared" si="0"/>
        <v>-1555.1724137931035</v>
      </c>
      <c r="P6" s="123">
        <v>58</v>
      </c>
      <c r="Q6" s="107">
        <v>-90200</v>
      </c>
    </row>
    <row r="7" spans="1:17" x14ac:dyDescent="0.4">
      <c r="A7" s="57" t="s">
        <v>2</v>
      </c>
      <c r="B7" s="49">
        <v>19</v>
      </c>
      <c r="C7" s="41">
        <f>IF(B$2=0,0,B7/B$2)</f>
        <v>0.22352941176470589</v>
      </c>
      <c r="E7" s="65" t="s">
        <v>68</v>
      </c>
      <c r="F7" s="62" t="s">
        <v>22</v>
      </c>
      <c r="G7" s="49">
        <v>20</v>
      </c>
      <c r="H7" s="137">
        <f>IF(B$29=0,0,G7/B$29)</f>
        <v>0.15037593984962405</v>
      </c>
      <c r="I7" s="98">
        <v>4</v>
      </c>
      <c r="K7" s="40">
        <v>5</v>
      </c>
      <c r="L7" s="103">
        <v>123.69999999999999</v>
      </c>
      <c r="N7" s="120" t="s">
        <v>152</v>
      </c>
      <c r="O7" s="127">
        <f t="shared" si="0"/>
        <v>-887.23404255319144</v>
      </c>
      <c r="P7" s="124">
        <v>47</v>
      </c>
      <c r="Q7" s="108">
        <v>-41700</v>
      </c>
    </row>
    <row r="8" spans="1:17" x14ac:dyDescent="0.4">
      <c r="A8" s="57" t="s">
        <v>3</v>
      </c>
      <c r="B8" s="49">
        <v>29</v>
      </c>
      <c r="C8" s="41">
        <f>IF(B$2=0,0,B8/B$2)</f>
        <v>0.3411764705882353</v>
      </c>
      <c r="E8" s="65" t="s">
        <v>70</v>
      </c>
      <c r="F8" s="62" t="s">
        <v>24</v>
      </c>
      <c r="G8" s="49">
        <v>19</v>
      </c>
      <c r="H8" s="137">
        <f>IF(B$29=0,0,G8/B$29)</f>
        <v>0.14285714285714285</v>
      </c>
      <c r="I8" s="98">
        <v>12</v>
      </c>
      <c r="K8" s="40">
        <v>6</v>
      </c>
      <c r="L8" s="103">
        <v>125.19999999999999</v>
      </c>
      <c r="N8" s="45"/>
      <c r="O8" s="131"/>
      <c r="P8" s="115"/>
      <c r="Q8" s="113"/>
    </row>
    <row r="9" spans="1:17" x14ac:dyDescent="0.4">
      <c r="A9" s="58" t="s">
        <v>4</v>
      </c>
      <c r="B9" s="50">
        <v>37</v>
      </c>
      <c r="C9" s="42">
        <f t="shared" ref="C9" si="1">IF(B$2=0,0,B9/B$2)</f>
        <v>0.43529411764705883</v>
      </c>
      <c r="E9" s="65" t="s">
        <v>73</v>
      </c>
      <c r="F9" s="62" t="s">
        <v>26</v>
      </c>
      <c r="G9" s="49">
        <v>17</v>
      </c>
      <c r="H9" s="137">
        <f>IF(B$29=0,0,G9/B$29)</f>
        <v>0.12781954887218044</v>
      </c>
      <c r="I9" s="98">
        <v>8</v>
      </c>
      <c r="K9" s="40">
        <v>7</v>
      </c>
      <c r="L9" s="103">
        <v>129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16</v>
      </c>
      <c r="C10" s="42">
        <f>IF(B$2=0,0,B10/B$2)</f>
        <v>0.18823529411764706</v>
      </c>
      <c r="E10" s="65" t="s">
        <v>94</v>
      </c>
      <c r="F10" s="62" t="s">
        <v>47</v>
      </c>
      <c r="G10" s="49">
        <v>11</v>
      </c>
      <c r="H10" s="137">
        <f>IF(B$29=0,0,G10/B$29)</f>
        <v>8.2706766917293228E-2</v>
      </c>
      <c r="I10" s="98">
        <v>11</v>
      </c>
      <c r="K10" s="40">
        <v>8</v>
      </c>
      <c r="L10" s="103">
        <v>96.5</v>
      </c>
      <c r="N10" s="118" t="s">
        <v>250</v>
      </c>
      <c r="O10" s="128">
        <f>IF(P10=0,0,Q10/P10)</f>
        <v>-8.5526315789473717</v>
      </c>
      <c r="P10" s="122">
        <v>38</v>
      </c>
      <c r="Q10" s="110">
        <v>-325.00000000000011</v>
      </c>
    </row>
    <row r="11" spans="1:17" x14ac:dyDescent="0.4">
      <c r="A11" s="58" t="s">
        <v>155</v>
      </c>
      <c r="B11" s="50">
        <v>10</v>
      </c>
      <c r="C11" s="42">
        <f>IF(B$2=0,0,B11/B$2)</f>
        <v>0.11764705882352941</v>
      </c>
      <c r="E11" s="65" t="s">
        <v>74</v>
      </c>
      <c r="F11" s="62" t="s">
        <v>27</v>
      </c>
      <c r="G11" s="49">
        <v>10</v>
      </c>
      <c r="H11" s="137">
        <f>IF(B$29=0,0,G11/B$29)</f>
        <v>7.5187969924812026E-2</v>
      </c>
      <c r="I11" s="98">
        <v>10</v>
      </c>
      <c r="K11" s="40">
        <v>9</v>
      </c>
      <c r="L11" s="103">
        <v>82.8</v>
      </c>
      <c r="N11" s="119" t="s">
        <v>251</v>
      </c>
      <c r="O11" s="129">
        <f>IF(P11=0,0,Q11/P11)</f>
        <v>-5.708695652173911</v>
      </c>
      <c r="P11" s="123">
        <v>23</v>
      </c>
      <c r="Q11" s="111">
        <v>-131.29999999999995</v>
      </c>
    </row>
    <row r="12" spans="1:17" x14ac:dyDescent="0.4">
      <c r="A12" s="59" t="s">
        <v>238</v>
      </c>
      <c r="B12" s="51">
        <v>4</v>
      </c>
      <c r="C12" s="44">
        <f>IF(B$2=0,0,B12/B$2)</f>
        <v>4.7058823529411764E-2</v>
      </c>
      <c r="E12" s="65" t="s">
        <v>75</v>
      </c>
      <c r="F12" s="62" t="s">
        <v>28</v>
      </c>
      <c r="G12" s="49">
        <v>7</v>
      </c>
      <c r="H12" s="137">
        <f>IF(B$29=0,0,G12/B$29)</f>
        <v>5.2631578947368418E-2</v>
      </c>
      <c r="I12" s="98">
        <v>4</v>
      </c>
      <c r="K12" s="40">
        <v>10</v>
      </c>
      <c r="L12" s="103">
        <v>110.5</v>
      </c>
      <c r="N12" s="120" t="s">
        <v>252</v>
      </c>
      <c r="O12" s="130">
        <f>IF(P12=0,0,Q12/P12)</f>
        <v>-4.2791666666666668</v>
      </c>
      <c r="P12" s="124">
        <v>24</v>
      </c>
      <c r="Q12" s="112">
        <v>-102.7</v>
      </c>
    </row>
    <row r="13" spans="1:17" x14ac:dyDescent="0.4">
      <c r="A13" s="60" t="s">
        <v>128</v>
      </c>
      <c r="B13" s="52">
        <v>131</v>
      </c>
      <c r="C13" s="46">
        <f>IF(B$28=0,0,B13/B$28)</f>
        <v>0.27291666666666664</v>
      </c>
      <c r="E13" s="65" t="s">
        <v>82</v>
      </c>
      <c r="F13" s="62" t="s">
        <v>35</v>
      </c>
      <c r="G13" s="49">
        <v>5</v>
      </c>
      <c r="H13" s="137">
        <f>IF(B$29=0,0,G13/B$29)</f>
        <v>3.7593984962406013E-2</v>
      </c>
      <c r="I13" s="98">
        <v>4</v>
      </c>
      <c r="K13" s="40">
        <v>11</v>
      </c>
      <c r="L13" s="103">
        <v>71.599999999999994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136</v>
      </c>
      <c r="C14" s="41">
        <f>IF(B$28=0,0,B14/B$28)</f>
        <v>0.28333333333333333</v>
      </c>
      <c r="E14" s="65" t="s">
        <v>91</v>
      </c>
      <c r="F14" s="62" t="s">
        <v>44</v>
      </c>
      <c r="G14" s="49">
        <v>5</v>
      </c>
      <c r="H14" s="137">
        <f>IF(B$29=0,0,G14/B$29)</f>
        <v>3.7593984962406013E-2</v>
      </c>
      <c r="I14" s="98">
        <v>12</v>
      </c>
      <c r="K14" s="40">
        <v>12</v>
      </c>
      <c r="L14" s="103">
        <v>33.599999999999994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64</v>
      </c>
      <c r="C15" s="39">
        <f>IF(B$13=0,0,B15/B$13)</f>
        <v>0.48854961832061067</v>
      </c>
      <c r="E15" s="65" t="s">
        <v>86</v>
      </c>
      <c r="F15" s="62" t="s">
        <v>39</v>
      </c>
      <c r="G15" s="49">
        <v>4</v>
      </c>
      <c r="H15" s="137">
        <f>IF(B$29=0,0,G15/B$29)</f>
        <v>3.007518796992481E-2</v>
      </c>
      <c r="I15" s="98">
        <v>6</v>
      </c>
      <c r="K15" s="40">
        <v>13</v>
      </c>
      <c r="L15" s="103">
        <v>13.299999999999994</v>
      </c>
      <c r="N15" s="118" t="s">
        <v>157</v>
      </c>
      <c r="O15" s="128">
        <f>IF(P15=0,0,Q15/P15)</f>
        <v>26.95</v>
      </c>
      <c r="P15" s="122">
        <v>6</v>
      </c>
      <c r="Q15" s="110">
        <v>161.69999999999999</v>
      </c>
    </row>
    <row r="16" spans="1:17" x14ac:dyDescent="0.4">
      <c r="A16" s="56" t="s">
        <v>131</v>
      </c>
      <c r="B16" s="48">
        <v>50</v>
      </c>
      <c r="C16" s="39">
        <f>IF(B$14=0,0,B16/B$14)</f>
        <v>0.36764705882352944</v>
      </c>
      <c r="E16" s="65" t="s">
        <v>83</v>
      </c>
      <c r="F16" s="62" t="s">
        <v>36</v>
      </c>
      <c r="G16" s="49">
        <v>3</v>
      </c>
      <c r="H16" s="137">
        <f>IF(B$29=0,0,G16/B$29)</f>
        <v>2.2556390977443608E-2</v>
      </c>
      <c r="I16" s="98">
        <v>4</v>
      </c>
      <c r="K16" s="40">
        <v>14</v>
      </c>
      <c r="L16" s="103">
        <v>4.7999999999999936</v>
      </c>
      <c r="N16" s="119" t="s">
        <v>137</v>
      </c>
      <c r="O16" s="129">
        <f>IF(P16=0,0,Q16/P16)</f>
        <v>6.7891891891891882</v>
      </c>
      <c r="P16" s="123">
        <v>37</v>
      </c>
      <c r="Q16" s="111">
        <v>251.19999999999996</v>
      </c>
    </row>
    <row r="17" spans="1:17" x14ac:dyDescent="0.4">
      <c r="A17" s="56" t="s">
        <v>10</v>
      </c>
      <c r="B17" s="48">
        <f>B19+B18</f>
        <v>184</v>
      </c>
      <c r="C17" s="39">
        <f>IF(B$3=0,0,B17/B$3)</f>
        <v>0.27878787878787881</v>
      </c>
      <c r="E17" s="65" t="s">
        <v>88</v>
      </c>
      <c r="F17" s="62" t="s">
        <v>41</v>
      </c>
      <c r="G17" s="49">
        <v>2</v>
      </c>
      <c r="H17" s="137">
        <f>IF(B$29=0,0,G17/B$29)</f>
        <v>1.5037593984962405E-2</v>
      </c>
      <c r="I17" s="98">
        <v>11</v>
      </c>
      <c r="K17" s="40">
        <v>15</v>
      </c>
      <c r="L17" s="103">
        <v>-33.700000000000003</v>
      </c>
      <c r="N17" s="119" t="s">
        <v>139</v>
      </c>
      <c r="O17" s="129">
        <f>IF(P17=0,0,Q17/P17)</f>
        <v>-0.35263157894736707</v>
      </c>
      <c r="P17" s="123">
        <v>19</v>
      </c>
      <c r="Q17" s="111">
        <v>-6.6999999999999744</v>
      </c>
    </row>
    <row r="18" spans="1:17" x14ac:dyDescent="0.4">
      <c r="A18" s="57" t="s">
        <v>12</v>
      </c>
      <c r="B18" s="49">
        <v>88</v>
      </c>
      <c r="C18" s="41">
        <f>IF(B$17=0,0,B18/B$17)</f>
        <v>0.47826086956521741</v>
      </c>
      <c r="E18" s="65" t="s">
        <v>79</v>
      </c>
      <c r="F18" s="62" t="s">
        <v>32</v>
      </c>
      <c r="G18" s="49">
        <v>1</v>
      </c>
      <c r="H18" s="137">
        <f>IF(B$29=0,0,G18/B$29)</f>
        <v>7.5187969924812026E-3</v>
      </c>
      <c r="I18" s="98">
        <v>2</v>
      </c>
      <c r="K18" s="40">
        <v>16</v>
      </c>
      <c r="L18" s="103">
        <v>-45.300000000000004</v>
      </c>
      <c r="N18" s="119" t="s">
        <v>135</v>
      </c>
      <c r="O18" s="129">
        <f>IF(P18=0,0,Q18/P18)</f>
        <v>-16.333333333333332</v>
      </c>
      <c r="P18" s="123">
        <v>3</v>
      </c>
      <c r="Q18" s="111">
        <v>-49</v>
      </c>
    </row>
    <row r="19" spans="1:17" x14ac:dyDescent="0.4">
      <c r="A19" s="57" t="s">
        <v>11</v>
      </c>
      <c r="B19" s="49">
        <v>96</v>
      </c>
      <c r="C19" s="41">
        <f>IF(B$17=0,0,B19/B$17)</f>
        <v>0.52173913043478259</v>
      </c>
      <c r="E19" s="65" t="s">
        <v>81</v>
      </c>
      <c r="F19" s="62" t="s">
        <v>34</v>
      </c>
      <c r="G19" s="49">
        <v>1</v>
      </c>
      <c r="H19" s="137">
        <f>IF(B$29=0,0,G19/B$29)</f>
        <v>7.5187969924812026E-3</v>
      </c>
      <c r="I19" s="98">
        <v>3</v>
      </c>
      <c r="K19" s="40">
        <v>17</v>
      </c>
      <c r="L19" s="103">
        <v>-45.000000000000007</v>
      </c>
      <c r="N19" s="119" t="s">
        <v>133</v>
      </c>
      <c r="O19" s="129">
        <f>IF(P19=0,0,Q19/P19)</f>
        <v>-17.15735294117647</v>
      </c>
      <c r="P19" s="123">
        <v>68</v>
      </c>
      <c r="Q19" s="111">
        <v>-1166.7</v>
      </c>
    </row>
    <row r="20" spans="1:17" x14ac:dyDescent="0.4">
      <c r="A20" s="57" t="s">
        <v>13</v>
      </c>
      <c r="B20" s="49">
        <v>126</v>
      </c>
      <c r="C20" s="41">
        <f>IF(B$3=0,0,B20/B$3)</f>
        <v>0.19090909090909092</v>
      </c>
      <c r="E20" s="65" t="s">
        <v>77</v>
      </c>
      <c r="F20" s="62" t="s">
        <v>30</v>
      </c>
      <c r="G20" s="49">
        <v>0</v>
      </c>
      <c r="H20" s="137">
        <f>IF(B$29=0,0,G20/B$29)</f>
        <v>0</v>
      </c>
      <c r="I20" s="98">
        <v>7</v>
      </c>
      <c r="K20" s="40">
        <v>18</v>
      </c>
      <c r="L20" s="103">
        <v>-30.300000000000008</v>
      </c>
      <c r="N20" s="119" t="s">
        <v>134</v>
      </c>
      <c r="O20" s="129">
        <f>IF(P20=0,0,Q20/P20)</f>
        <v>-22.345454545454551</v>
      </c>
      <c r="P20" s="123">
        <v>22</v>
      </c>
      <c r="Q20" s="111">
        <v>-491.60000000000014</v>
      </c>
    </row>
    <row r="21" spans="1:17" x14ac:dyDescent="0.4">
      <c r="A21" s="57" t="s">
        <v>13</v>
      </c>
      <c r="B21" s="49">
        <v>4</v>
      </c>
      <c r="C21" s="41">
        <v>0</v>
      </c>
      <c r="E21" s="65" t="s">
        <v>78</v>
      </c>
      <c r="F21" s="62" t="s">
        <v>31</v>
      </c>
      <c r="G21" s="49">
        <v>0</v>
      </c>
      <c r="H21" s="137">
        <f>IF(B$29=0,0,G21/B$29)</f>
        <v>0</v>
      </c>
      <c r="I21" s="98">
        <v>6</v>
      </c>
      <c r="K21" s="40">
        <v>19</v>
      </c>
      <c r="L21" s="103">
        <v>17.699999999999992</v>
      </c>
      <c r="N21" s="119" t="s">
        <v>138</v>
      </c>
      <c r="O21" s="129">
        <f>IF(P21=0,0,Q21/P21)</f>
        <v>-24.993333333333332</v>
      </c>
      <c r="P21" s="123">
        <v>15</v>
      </c>
      <c r="Q21" s="111">
        <v>-374.9</v>
      </c>
    </row>
    <row r="22" spans="1:17" x14ac:dyDescent="0.4">
      <c r="A22" s="57" t="s">
        <v>263</v>
      </c>
      <c r="B22" s="49">
        <v>26</v>
      </c>
      <c r="C22" s="165">
        <v>4</v>
      </c>
      <c r="E22" s="65" t="s">
        <v>80</v>
      </c>
      <c r="F22" s="62" t="s">
        <v>33</v>
      </c>
      <c r="G22" s="49">
        <v>0</v>
      </c>
      <c r="H22" s="137">
        <f>IF(B$29=0,0,G22/B$29)</f>
        <v>0</v>
      </c>
      <c r="I22" s="98">
        <v>1</v>
      </c>
      <c r="K22" s="40">
        <v>20</v>
      </c>
      <c r="L22" s="103">
        <v>-24.100000000000005</v>
      </c>
    </row>
    <row r="23" spans="1:17" x14ac:dyDescent="0.4">
      <c r="A23" s="57" t="s">
        <v>5</v>
      </c>
      <c r="B23" s="53">
        <f>IF(B$17=0,0,C23/B$17)</f>
        <v>8946.1956521739139</v>
      </c>
      <c r="C23" s="43">
        <v>1646100</v>
      </c>
      <c r="E23" s="65" t="s">
        <v>84</v>
      </c>
      <c r="F23" s="62" t="s">
        <v>37</v>
      </c>
      <c r="G23" s="49">
        <v>0</v>
      </c>
      <c r="H23" s="137">
        <f>IF(B$29=0,0,G23/B$29)</f>
        <v>0</v>
      </c>
      <c r="I23" s="98">
        <v>1</v>
      </c>
      <c r="K23" s="40">
        <v>21</v>
      </c>
      <c r="L23" s="103">
        <v>-29.600000000000005</v>
      </c>
    </row>
    <row r="24" spans="1:17" x14ac:dyDescent="0.4">
      <c r="A24" s="59" t="s">
        <v>14</v>
      </c>
      <c r="B24" s="54">
        <f>IF(B$20=0,0,C24/B$20)</f>
        <v>-9651.5873015873021</v>
      </c>
      <c r="C24" s="47">
        <v>-1216100</v>
      </c>
      <c r="E24" s="65" t="s">
        <v>85</v>
      </c>
      <c r="F24" s="62" t="s">
        <v>38</v>
      </c>
      <c r="G24" s="49">
        <v>0</v>
      </c>
      <c r="H24" s="137">
        <f>IF(B$29=0,0,G24/B$29)</f>
        <v>0</v>
      </c>
      <c r="I24" s="98">
        <v>3</v>
      </c>
      <c r="K24" s="40">
        <v>22</v>
      </c>
      <c r="L24" s="103">
        <v>-4.7000000000000064</v>
      </c>
    </row>
    <row r="25" spans="1:17" x14ac:dyDescent="0.4">
      <c r="A25" s="94" t="s">
        <v>158</v>
      </c>
      <c r="B25" s="143">
        <v>6</v>
      </c>
      <c r="C25" s="144"/>
      <c r="E25" s="65" t="s">
        <v>87</v>
      </c>
      <c r="F25" s="62" t="s">
        <v>40</v>
      </c>
      <c r="G25" s="49">
        <v>0</v>
      </c>
      <c r="H25" s="137">
        <f>IF(B$29=0,0,G25/B$29)</f>
        <v>0</v>
      </c>
      <c r="I25" s="98">
        <v>1</v>
      </c>
      <c r="K25" s="40">
        <v>23</v>
      </c>
      <c r="L25" s="103">
        <v>-18.600000000000009</v>
      </c>
    </row>
    <row r="26" spans="1:17" x14ac:dyDescent="0.4">
      <c r="A26" s="60" t="s">
        <v>198</v>
      </c>
      <c r="B26" s="141">
        <v>103200</v>
      </c>
      <c r="C26" s="142"/>
      <c r="E26" s="65" t="s">
        <v>89</v>
      </c>
      <c r="F26" s="62" t="s">
        <v>42</v>
      </c>
      <c r="G26" s="49">
        <v>0</v>
      </c>
      <c r="H26" s="137">
        <f>IF(B$29=0,0,G26/B$29)</f>
        <v>0</v>
      </c>
      <c r="I26" s="98">
        <v>5</v>
      </c>
      <c r="K26" s="40">
        <v>24</v>
      </c>
      <c r="L26" s="103">
        <v>-26.900000000000009</v>
      </c>
    </row>
    <row r="27" spans="1:17" x14ac:dyDescent="0.4">
      <c r="A27" s="59" t="s">
        <v>159</v>
      </c>
      <c r="B27" s="67">
        <v>2</v>
      </c>
      <c r="C27" s="44">
        <f>IF(B$3=0,0,B27/B$3)</f>
        <v>3.0303030303030303E-3</v>
      </c>
      <c r="E27" s="65" t="s">
        <v>90</v>
      </c>
      <c r="F27" s="62" t="s">
        <v>43</v>
      </c>
      <c r="G27" s="49">
        <v>0</v>
      </c>
      <c r="H27" s="137">
        <f>IF(B$29=0,0,G27/B$29)</f>
        <v>0</v>
      </c>
      <c r="I27" s="98">
        <v>6</v>
      </c>
      <c r="K27" s="40">
        <v>25</v>
      </c>
      <c r="L27" s="103">
        <v>-37.900000000000006</v>
      </c>
    </row>
    <row r="28" spans="1:17" x14ac:dyDescent="0.4">
      <c r="A28" s="56" t="s">
        <v>126</v>
      </c>
      <c r="B28" s="147">
        <v>480</v>
      </c>
      <c r="C28" s="148"/>
      <c r="E28" s="65" t="s">
        <v>92</v>
      </c>
      <c r="F28" s="62" t="s">
        <v>45</v>
      </c>
      <c r="G28" s="49">
        <v>0</v>
      </c>
      <c r="H28" s="137">
        <f>IF(B$29=0,0,G28/B$29)</f>
        <v>0</v>
      </c>
      <c r="I28" s="98">
        <v>5</v>
      </c>
      <c r="K28" s="40">
        <v>26</v>
      </c>
      <c r="L28" s="103">
        <v>-59.800000000000004</v>
      </c>
    </row>
    <row r="29" spans="1:17" x14ac:dyDescent="0.4">
      <c r="A29" s="59" t="s">
        <v>127</v>
      </c>
      <c r="B29" s="149">
        <v>133</v>
      </c>
      <c r="C29" s="150"/>
      <c r="E29" s="65" t="s">
        <v>93</v>
      </c>
      <c r="F29" s="62" t="s">
        <v>46</v>
      </c>
      <c r="G29" s="49">
        <v>0</v>
      </c>
      <c r="H29" s="137">
        <f>IF(B$29=0,0,G29/B$29)</f>
        <v>0</v>
      </c>
      <c r="I29" s="98">
        <v>3</v>
      </c>
      <c r="K29" s="40">
        <v>27</v>
      </c>
      <c r="L29" s="103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  <c r="K30" s="40">
        <v>28</v>
      </c>
      <c r="L30" s="103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  <c r="K31" s="40">
        <v>29</v>
      </c>
      <c r="L31" s="103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  <c r="K32" s="40">
        <v>30</v>
      </c>
      <c r="L32" s="103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  <c r="K33" s="40">
        <v>31</v>
      </c>
      <c r="L33" s="103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-402.29999999999995</v>
      </c>
    </row>
    <row r="52" spans="5:12" x14ac:dyDescent="0.4">
      <c r="K52" s="40">
        <v>50</v>
      </c>
      <c r="L52" s="103">
        <v>-396.29999999999995</v>
      </c>
    </row>
    <row r="53" spans="5:12" x14ac:dyDescent="0.4">
      <c r="K53" s="40">
        <v>51</v>
      </c>
      <c r="L53" s="103">
        <v>-417.29999999999995</v>
      </c>
    </row>
    <row r="54" spans="5:12" x14ac:dyDescent="0.4">
      <c r="K54" s="40">
        <v>52</v>
      </c>
      <c r="L54" s="103">
        <v>-421.29999999999995</v>
      </c>
    </row>
    <row r="55" spans="5:12" x14ac:dyDescent="0.4">
      <c r="K55" s="40">
        <v>53</v>
      </c>
      <c r="L55" s="103">
        <v>-451.69999999999993</v>
      </c>
    </row>
    <row r="56" spans="5:12" x14ac:dyDescent="0.4">
      <c r="K56" s="40">
        <v>54</v>
      </c>
      <c r="L56" s="103">
        <v>-445.09999999999991</v>
      </c>
    </row>
    <row r="57" spans="5:12" x14ac:dyDescent="0.4">
      <c r="K57" s="40">
        <v>55</v>
      </c>
      <c r="L57" s="103">
        <v>-465.59999999999991</v>
      </c>
    </row>
    <row r="58" spans="5:12" x14ac:dyDescent="0.4">
      <c r="K58" s="40">
        <v>56</v>
      </c>
      <c r="L58" s="103">
        <v>-502.59999999999991</v>
      </c>
    </row>
    <row r="59" spans="5:12" x14ac:dyDescent="0.4">
      <c r="K59" s="40">
        <v>57</v>
      </c>
      <c r="L59" s="103">
        <v>-533.29999999999995</v>
      </c>
    </row>
    <row r="60" spans="5:12" x14ac:dyDescent="0.4">
      <c r="K60" s="40">
        <v>58</v>
      </c>
      <c r="L60" s="103">
        <v>-573.29999999999995</v>
      </c>
    </row>
    <row r="61" spans="5:12" x14ac:dyDescent="0.4">
      <c r="K61" s="40">
        <v>59</v>
      </c>
      <c r="L61" s="103">
        <v>-550.79999999999995</v>
      </c>
    </row>
    <row r="62" spans="5:12" x14ac:dyDescent="0.4">
      <c r="K62" s="40">
        <v>60</v>
      </c>
      <c r="L62" s="103">
        <v>-535.29999999999995</v>
      </c>
    </row>
    <row r="63" spans="5:12" x14ac:dyDescent="0.4">
      <c r="K63" s="40">
        <v>61</v>
      </c>
      <c r="L63" s="103">
        <v>-492.29999999999995</v>
      </c>
    </row>
    <row r="64" spans="5:12" x14ac:dyDescent="0.4">
      <c r="K64" s="40">
        <v>62</v>
      </c>
      <c r="L64" s="103">
        <v>-511.9</v>
      </c>
    </row>
    <row r="65" spans="11:12" x14ac:dyDescent="0.4">
      <c r="K65" s="40">
        <v>63</v>
      </c>
      <c r="L65" s="103">
        <v>-524.1</v>
      </c>
    </row>
    <row r="66" spans="11:12" x14ac:dyDescent="0.4">
      <c r="K66" s="40">
        <v>64</v>
      </c>
      <c r="L66" s="103">
        <v>-535.9</v>
      </c>
    </row>
    <row r="67" spans="11:12" x14ac:dyDescent="0.4">
      <c r="K67" s="40">
        <v>65</v>
      </c>
      <c r="L67" s="103">
        <v>-494.59999999999997</v>
      </c>
    </row>
    <row r="68" spans="11:12" x14ac:dyDescent="0.4">
      <c r="K68" s="40">
        <v>66</v>
      </c>
      <c r="L68" s="103">
        <v>-483.2</v>
      </c>
    </row>
    <row r="69" spans="11:12" x14ac:dyDescent="0.4">
      <c r="K69" s="40">
        <v>67</v>
      </c>
      <c r="L69" s="103">
        <v>-466.7</v>
      </c>
    </row>
    <row r="70" spans="11:12" x14ac:dyDescent="0.4">
      <c r="K70" s="40">
        <v>68</v>
      </c>
      <c r="L70" s="103">
        <v>-462</v>
      </c>
    </row>
    <row r="71" spans="11:12" x14ac:dyDescent="0.4">
      <c r="K71" s="40">
        <v>69</v>
      </c>
      <c r="L71" s="103">
        <v>-472.6</v>
      </c>
    </row>
    <row r="72" spans="11:12" x14ac:dyDescent="0.4">
      <c r="K72" s="40">
        <v>70</v>
      </c>
      <c r="L72" s="103">
        <v>-466.8</v>
      </c>
    </row>
    <row r="73" spans="11:12" x14ac:dyDescent="0.4">
      <c r="K73" s="40">
        <v>71</v>
      </c>
      <c r="L73" s="103">
        <v>-446.7</v>
      </c>
    </row>
    <row r="74" spans="11:12" x14ac:dyDescent="0.4">
      <c r="K74" s="40">
        <v>72</v>
      </c>
      <c r="L74" s="103">
        <v>-471.8</v>
      </c>
    </row>
    <row r="75" spans="11:12" x14ac:dyDescent="0.4">
      <c r="K75" s="40">
        <v>73</v>
      </c>
      <c r="L75" s="103">
        <v>-486.2</v>
      </c>
    </row>
    <row r="76" spans="11:12" x14ac:dyDescent="0.4">
      <c r="K76" s="40">
        <v>74</v>
      </c>
      <c r="L76" s="103">
        <v>-520.20000000000005</v>
      </c>
    </row>
    <row r="77" spans="11:12" x14ac:dyDescent="0.4">
      <c r="K77" s="40">
        <v>75</v>
      </c>
      <c r="L77" s="103">
        <v>-493.70000000000005</v>
      </c>
    </row>
    <row r="78" spans="11:12" x14ac:dyDescent="0.4">
      <c r="K78" s="40">
        <v>76</v>
      </c>
      <c r="L78" s="103">
        <v>-475.70000000000005</v>
      </c>
    </row>
    <row r="79" spans="11:12" x14ac:dyDescent="0.4">
      <c r="K79" s="40">
        <v>77</v>
      </c>
      <c r="L79" s="103">
        <v>-517.20000000000005</v>
      </c>
    </row>
    <row r="80" spans="11:12" x14ac:dyDescent="0.4">
      <c r="K80" s="40">
        <v>78</v>
      </c>
      <c r="L80" s="103">
        <v>-519</v>
      </c>
    </row>
    <row r="81" spans="11:12" x14ac:dyDescent="0.4">
      <c r="K81" s="40">
        <v>79</v>
      </c>
      <c r="L81" s="103">
        <v>-481</v>
      </c>
    </row>
    <row r="82" spans="11:12" x14ac:dyDescent="0.4">
      <c r="K82" s="40">
        <v>80</v>
      </c>
      <c r="L82" s="103">
        <v>-434.2</v>
      </c>
    </row>
    <row r="83" spans="11:12" x14ac:dyDescent="0.4">
      <c r="K83" s="40">
        <v>81</v>
      </c>
      <c r="L83" s="103">
        <v>-479.2</v>
      </c>
    </row>
    <row r="84" spans="11:12" x14ac:dyDescent="0.4">
      <c r="K84" s="40">
        <v>82</v>
      </c>
      <c r="L84" s="103">
        <v>-517.70000000000005</v>
      </c>
    </row>
    <row r="85" spans="11:12" x14ac:dyDescent="0.4">
      <c r="K85" s="40">
        <v>83</v>
      </c>
      <c r="L85" s="103">
        <v>-521.5</v>
      </c>
    </row>
    <row r="86" spans="11:12" x14ac:dyDescent="0.4">
      <c r="K86" s="40">
        <v>84</v>
      </c>
      <c r="L86" s="103">
        <v>-540.4</v>
      </c>
    </row>
    <row r="87" spans="11:12" x14ac:dyDescent="0.4">
      <c r="K87" s="40">
        <v>85</v>
      </c>
      <c r="L87" s="103">
        <v>-559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2C40-8420-4E0C-BAC1-2745172E7D5E}">
  <sheetPr codeName="Sheet21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137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123</v>
      </c>
      <c r="C2" s="148"/>
      <c r="E2" s="64" t="s">
        <v>71</v>
      </c>
      <c r="F2" s="61" t="s">
        <v>25</v>
      </c>
      <c r="G2" s="48">
        <v>220</v>
      </c>
      <c r="H2" s="136">
        <f>IF(B$29=0,0,G2/B$29)</f>
        <v>0.90909090909090906</v>
      </c>
      <c r="I2" s="97">
        <v>5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1019.00826446281</v>
      </c>
      <c r="P2" s="122">
        <v>121</v>
      </c>
      <c r="Q2" s="106">
        <v>123300</v>
      </c>
    </row>
    <row r="3" spans="1:17" x14ac:dyDescent="0.4">
      <c r="A3" s="57" t="s">
        <v>8</v>
      </c>
      <c r="B3" s="153">
        <v>934</v>
      </c>
      <c r="C3" s="154"/>
      <c r="E3" s="65" t="s">
        <v>69</v>
      </c>
      <c r="F3" s="62" t="s">
        <v>23</v>
      </c>
      <c r="G3" s="49">
        <v>182</v>
      </c>
      <c r="H3" s="137">
        <f>IF(B$29=0,0,G3/B$29)</f>
        <v>0.75206611570247939</v>
      </c>
      <c r="I3" s="98">
        <v>4</v>
      </c>
      <c r="K3" s="40">
        <v>1</v>
      </c>
      <c r="L3" s="103">
        <v>-36.700000000000003</v>
      </c>
      <c r="N3" s="119" t="s">
        <v>148</v>
      </c>
      <c r="O3" s="126">
        <f t="shared" si="0"/>
        <v>620.17543859649118</v>
      </c>
      <c r="P3" s="123">
        <v>114</v>
      </c>
      <c r="Q3" s="107">
        <v>70700</v>
      </c>
    </row>
    <row r="4" spans="1:17" x14ac:dyDescent="0.4">
      <c r="A4" s="57" t="s">
        <v>6</v>
      </c>
      <c r="B4" s="155">
        <v>201.39999999999984</v>
      </c>
      <c r="C4" s="156"/>
      <c r="E4" s="65" t="s">
        <v>76</v>
      </c>
      <c r="F4" s="62" t="s">
        <v>29</v>
      </c>
      <c r="G4" s="49">
        <v>139</v>
      </c>
      <c r="H4" s="137">
        <f>IF(B$29=0,0,G4/B$29)</f>
        <v>0.57438016528925617</v>
      </c>
      <c r="I4" s="98">
        <v>7</v>
      </c>
      <c r="K4" s="40">
        <v>2</v>
      </c>
      <c r="L4" s="103">
        <v>-45.300000000000004</v>
      </c>
      <c r="N4" s="119" t="s">
        <v>149</v>
      </c>
      <c r="O4" s="126">
        <f t="shared" si="0"/>
        <v>-58.490566037735846</v>
      </c>
      <c r="P4" s="123">
        <v>106</v>
      </c>
      <c r="Q4" s="107">
        <v>-6200</v>
      </c>
    </row>
    <row r="5" spans="1:17" x14ac:dyDescent="0.4">
      <c r="A5" s="57" t="s">
        <v>7</v>
      </c>
      <c r="B5" s="157">
        <f>IF(B$2=0,0,B$4/B$2)</f>
        <v>1.6373983739837386</v>
      </c>
      <c r="C5" s="158"/>
      <c r="E5" s="65" t="s">
        <v>67</v>
      </c>
      <c r="F5" s="62" t="s">
        <v>21</v>
      </c>
      <c r="G5" s="49">
        <v>131</v>
      </c>
      <c r="H5" s="137">
        <f>IF(B$29=0,0,G5/B$29)</f>
        <v>0.54132231404958675</v>
      </c>
      <c r="I5" s="98">
        <v>8</v>
      </c>
      <c r="K5" s="40">
        <v>3</v>
      </c>
      <c r="L5" s="103">
        <v>-81.7</v>
      </c>
      <c r="N5" s="119" t="s">
        <v>150</v>
      </c>
      <c r="O5" s="126">
        <f t="shared" si="0"/>
        <v>-810</v>
      </c>
      <c r="P5" s="123">
        <v>100</v>
      </c>
      <c r="Q5" s="107">
        <v>-81000</v>
      </c>
    </row>
    <row r="6" spans="1:17" x14ac:dyDescent="0.4">
      <c r="A6" s="57" t="s">
        <v>1</v>
      </c>
      <c r="B6" s="145">
        <f>IF(B$2=0,0,(B$7*1+B$8*2+B$9*3)/B$2)</f>
        <v>1.9268292682926829</v>
      </c>
      <c r="C6" s="146"/>
      <c r="E6" s="65" t="s">
        <v>70</v>
      </c>
      <c r="F6" s="62" t="s">
        <v>24</v>
      </c>
      <c r="G6" s="49">
        <v>86</v>
      </c>
      <c r="H6" s="137">
        <f>IF(B$29=0,0,G6/B$29)</f>
        <v>0.35537190082644626</v>
      </c>
      <c r="I6" s="98">
        <v>5</v>
      </c>
      <c r="K6" s="40">
        <v>4</v>
      </c>
      <c r="L6" s="103">
        <v>-114.30000000000001</v>
      </c>
      <c r="N6" s="119" t="s">
        <v>151</v>
      </c>
      <c r="O6" s="126">
        <f t="shared" si="0"/>
        <v>1012.6436781609195</v>
      </c>
      <c r="P6" s="123">
        <v>87</v>
      </c>
      <c r="Q6" s="107">
        <v>88100</v>
      </c>
    </row>
    <row r="7" spans="1:17" x14ac:dyDescent="0.4">
      <c r="A7" s="57" t="s">
        <v>2</v>
      </c>
      <c r="B7" s="49">
        <v>46</v>
      </c>
      <c r="C7" s="41">
        <f>IF(B$2=0,0,B7/B$2)</f>
        <v>0.37398373983739835</v>
      </c>
      <c r="E7" s="65" t="s">
        <v>72</v>
      </c>
      <c r="F7" s="62" t="s">
        <v>12</v>
      </c>
      <c r="G7" s="49">
        <v>77</v>
      </c>
      <c r="H7" s="137">
        <f>IF(B$29=0,0,G7/B$29)</f>
        <v>0.31818181818181818</v>
      </c>
      <c r="I7" s="98">
        <v>5</v>
      </c>
      <c r="K7" s="40">
        <v>5</v>
      </c>
      <c r="L7" s="103">
        <v>-136.30000000000001</v>
      </c>
      <c r="N7" s="120" t="s">
        <v>152</v>
      </c>
      <c r="O7" s="127">
        <f t="shared" si="0"/>
        <v>-462.16216216216219</v>
      </c>
      <c r="P7" s="124">
        <v>74</v>
      </c>
      <c r="Q7" s="108">
        <v>-34200</v>
      </c>
    </row>
    <row r="8" spans="1:17" x14ac:dyDescent="0.4">
      <c r="A8" s="57" t="s">
        <v>3</v>
      </c>
      <c r="B8" s="49">
        <v>40</v>
      </c>
      <c r="C8" s="41">
        <f>IF(B$2=0,0,B8/B$2)</f>
        <v>0.32520325203252032</v>
      </c>
      <c r="E8" s="65" t="s">
        <v>73</v>
      </c>
      <c r="F8" s="62" t="s">
        <v>26</v>
      </c>
      <c r="G8" s="49">
        <v>43</v>
      </c>
      <c r="H8" s="137">
        <f>IF(B$29=0,0,G8/B$29)</f>
        <v>0.17768595041322313</v>
      </c>
      <c r="I8" s="98">
        <v>2</v>
      </c>
      <c r="K8" s="40">
        <v>6</v>
      </c>
      <c r="L8" s="103">
        <v>-100.80000000000001</v>
      </c>
      <c r="N8" s="45"/>
      <c r="O8" s="131"/>
      <c r="P8" s="115"/>
      <c r="Q8" s="113"/>
    </row>
    <row r="9" spans="1:17" x14ac:dyDescent="0.4">
      <c r="A9" s="58" t="s">
        <v>4</v>
      </c>
      <c r="B9" s="50">
        <v>37</v>
      </c>
      <c r="C9" s="42">
        <f t="shared" ref="C9" si="1">IF(B$2=0,0,B9/B$2)</f>
        <v>0.30081300813008133</v>
      </c>
      <c r="E9" s="65" t="s">
        <v>94</v>
      </c>
      <c r="F9" s="62" t="s">
        <v>47</v>
      </c>
      <c r="G9" s="49">
        <v>36</v>
      </c>
      <c r="H9" s="137">
        <f>IF(B$29=0,0,G9/B$29)</f>
        <v>0.1487603305785124</v>
      </c>
      <c r="I9" s="98">
        <v>9</v>
      </c>
      <c r="K9" s="40">
        <v>7</v>
      </c>
      <c r="L9" s="103">
        <v>-106.20000000000002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14</v>
      </c>
      <c r="C10" s="42">
        <f>IF(B$2=0,0,B10/B$2)</f>
        <v>0.11382113821138211</v>
      </c>
      <c r="E10" s="65" t="s">
        <v>68</v>
      </c>
      <c r="F10" s="62" t="s">
        <v>22</v>
      </c>
      <c r="G10" s="49">
        <v>29</v>
      </c>
      <c r="H10" s="137">
        <f>IF(B$29=0,0,G10/B$29)</f>
        <v>0.11983471074380166</v>
      </c>
      <c r="I10" s="98">
        <v>8</v>
      </c>
      <c r="K10" s="40">
        <v>8</v>
      </c>
      <c r="L10" s="103">
        <v>-52.300000000000018</v>
      </c>
      <c r="N10" s="118" t="s">
        <v>250</v>
      </c>
      <c r="O10" s="128">
        <f>IF(P10=0,0,Q10/P10)</f>
        <v>3.925454545454544</v>
      </c>
      <c r="P10" s="122">
        <v>55</v>
      </c>
      <c r="Q10" s="110">
        <v>215.89999999999992</v>
      </c>
    </row>
    <row r="11" spans="1:17" x14ac:dyDescent="0.4">
      <c r="A11" s="58" t="s">
        <v>155</v>
      </c>
      <c r="B11" s="50">
        <v>21</v>
      </c>
      <c r="C11" s="42">
        <f>IF(B$2=0,0,B11/B$2)</f>
        <v>0.17073170731707318</v>
      </c>
      <c r="E11" s="65" t="s">
        <v>74</v>
      </c>
      <c r="F11" s="62" t="s">
        <v>27</v>
      </c>
      <c r="G11" s="49">
        <v>21</v>
      </c>
      <c r="H11" s="137">
        <f>IF(B$29=0,0,G11/B$29)</f>
        <v>8.6776859504132234E-2</v>
      </c>
      <c r="I11" s="98">
        <v>8</v>
      </c>
      <c r="K11" s="40">
        <v>9</v>
      </c>
      <c r="L11" s="103">
        <v>-53.500000000000021</v>
      </c>
      <c r="N11" s="119" t="s">
        <v>251</v>
      </c>
      <c r="O11" s="129">
        <f>IF(P11=0,0,Q11/P11)</f>
        <v>-5.3428571428571434</v>
      </c>
      <c r="P11" s="123">
        <v>35</v>
      </c>
      <c r="Q11" s="111">
        <v>-187.00000000000003</v>
      </c>
    </row>
    <row r="12" spans="1:17" x14ac:dyDescent="0.4">
      <c r="A12" s="59" t="s">
        <v>238</v>
      </c>
      <c r="B12" s="51">
        <v>11</v>
      </c>
      <c r="C12" s="44">
        <f>IF(B$2=0,0,B12/B$2)</f>
        <v>8.943089430894309E-2</v>
      </c>
      <c r="E12" s="65" t="s">
        <v>75</v>
      </c>
      <c r="F12" s="62" t="s">
        <v>28</v>
      </c>
      <c r="G12" s="49">
        <v>17</v>
      </c>
      <c r="H12" s="137">
        <f>IF(B$29=0,0,G12/B$29)</f>
        <v>7.0247933884297523E-2</v>
      </c>
      <c r="I12" s="98">
        <v>2</v>
      </c>
      <c r="K12" s="40">
        <v>10</v>
      </c>
      <c r="L12" s="103">
        <v>-72.800000000000026</v>
      </c>
      <c r="N12" s="120" t="s">
        <v>252</v>
      </c>
      <c r="O12" s="130">
        <f>IF(P12=0,0,Q12/P12)</f>
        <v>4.4451612903225808</v>
      </c>
      <c r="P12" s="124">
        <v>31</v>
      </c>
      <c r="Q12" s="112">
        <v>137.80000000000001</v>
      </c>
    </row>
    <row r="13" spans="1:17" x14ac:dyDescent="0.4">
      <c r="A13" s="60" t="s">
        <v>128</v>
      </c>
      <c r="B13" s="52">
        <v>240</v>
      </c>
      <c r="C13" s="46">
        <f>IF(B$28=0,0,B13/B$28)</f>
        <v>0.29702970297029702</v>
      </c>
      <c r="E13" s="65" t="s">
        <v>82</v>
      </c>
      <c r="F13" s="62" t="s">
        <v>35</v>
      </c>
      <c r="G13" s="49">
        <v>14</v>
      </c>
      <c r="H13" s="137">
        <f>IF(B$29=0,0,G13/B$29)</f>
        <v>5.7851239669421489E-2</v>
      </c>
      <c r="I13" s="98">
        <v>1</v>
      </c>
      <c r="K13" s="40">
        <v>11</v>
      </c>
      <c r="L13" s="103">
        <v>-69.800000000000026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174</v>
      </c>
      <c r="C14" s="41">
        <f>IF(B$28=0,0,B14/B$28)</f>
        <v>0.21534653465346534</v>
      </c>
      <c r="E14" s="65" t="s">
        <v>86</v>
      </c>
      <c r="F14" s="62" t="s">
        <v>39</v>
      </c>
      <c r="G14" s="49">
        <v>10</v>
      </c>
      <c r="H14" s="137">
        <f>IF(B$29=0,0,G14/B$29)</f>
        <v>4.1322314049586778E-2</v>
      </c>
      <c r="I14" s="98">
        <v>5</v>
      </c>
      <c r="K14" s="40">
        <v>12</v>
      </c>
      <c r="L14" s="103">
        <v>-54.300000000000026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134</v>
      </c>
      <c r="C15" s="39">
        <f>IF(B$13=0,0,B15/B$13)</f>
        <v>0.55833333333333335</v>
      </c>
      <c r="E15" s="65" t="s">
        <v>91</v>
      </c>
      <c r="F15" s="62" t="s">
        <v>44</v>
      </c>
      <c r="G15" s="49">
        <v>10</v>
      </c>
      <c r="H15" s="137">
        <f>IF(B$29=0,0,G15/B$29)</f>
        <v>4.1322314049586778E-2</v>
      </c>
      <c r="I15" s="98">
        <v>10</v>
      </c>
      <c r="K15" s="40">
        <v>13</v>
      </c>
      <c r="L15" s="103">
        <v>-43.200000000000024</v>
      </c>
      <c r="N15" s="118" t="s">
        <v>247</v>
      </c>
      <c r="O15" s="128">
        <f>IF(P15=0,0,Q15/P15)</f>
        <v>33.4</v>
      </c>
      <c r="P15" s="122">
        <v>1</v>
      </c>
      <c r="Q15" s="110">
        <v>33.4</v>
      </c>
    </row>
    <row r="16" spans="1:17" x14ac:dyDescent="0.4">
      <c r="A16" s="56" t="s">
        <v>131</v>
      </c>
      <c r="B16" s="48">
        <v>66</v>
      </c>
      <c r="C16" s="39">
        <f>IF(B$14=0,0,B16/B$14)</f>
        <v>0.37931034482758619</v>
      </c>
      <c r="E16" s="65" t="s">
        <v>88</v>
      </c>
      <c r="F16" s="62" t="s">
        <v>41</v>
      </c>
      <c r="G16" s="49">
        <v>8</v>
      </c>
      <c r="H16" s="137">
        <f>IF(B$29=0,0,G16/B$29)</f>
        <v>3.3057851239669422E-2</v>
      </c>
      <c r="I16" s="98">
        <v>8</v>
      </c>
      <c r="K16" s="40">
        <v>14</v>
      </c>
      <c r="L16" s="103">
        <v>-50.400000000000027</v>
      </c>
      <c r="N16" s="119" t="s">
        <v>157</v>
      </c>
      <c r="O16" s="129">
        <f>IF(P16=0,0,Q16/P16)</f>
        <v>14.79166666666667</v>
      </c>
      <c r="P16" s="123">
        <v>12</v>
      </c>
      <c r="Q16" s="111">
        <v>177.50000000000003</v>
      </c>
    </row>
    <row r="17" spans="1:17" x14ac:dyDescent="0.4">
      <c r="A17" s="56" t="s">
        <v>10</v>
      </c>
      <c r="B17" s="48">
        <f>B19+B18</f>
        <v>279</v>
      </c>
      <c r="C17" s="39">
        <f>IF(B$3=0,0,B17/B$3)</f>
        <v>0.29871520342612418</v>
      </c>
      <c r="E17" s="65" t="s">
        <v>96</v>
      </c>
      <c r="F17" s="62" t="s">
        <v>49</v>
      </c>
      <c r="G17" s="49">
        <v>6</v>
      </c>
      <c r="H17" s="137">
        <f>IF(B$29=0,0,G17/B$29)</f>
        <v>2.4793388429752067E-2</v>
      </c>
      <c r="I17" s="98">
        <v>4</v>
      </c>
      <c r="K17" s="40">
        <v>15</v>
      </c>
      <c r="L17" s="103">
        <v>23.89999999999997</v>
      </c>
      <c r="N17" s="119" t="s">
        <v>139</v>
      </c>
      <c r="O17" s="129">
        <f>IF(P17=0,0,Q17/P17)</f>
        <v>14.631707317073168</v>
      </c>
      <c r="P17" s="123">
        <v>41</v>
      </c>
      <c r="Q17" s="111">
        <v>599.89999999999986</v>
      </c>
    </row>
    <row r="18" spans="1:17" x14ac:dyDescent="0.4">
      <c r="A18" s="57" t="s">
        <v>12</v>
      </c>
      <c r="B18" s="49">
        <v>122</v>
      </c>
      <c r="C18" s="41">
        <f>IF(B$17=0,0,B18/B$17)</f>
        <v>0.43727598566308246</v>
      </c>
      <c r="E18" s="65" t="s">
        <v>77</v>
      </c>
      <c r="F18" s="62" t="s">
        <v>30</v>
      </c>
      <c r="G18" s="49">
        <v>4</v>
      </c>
      <c r="H18" s="137">
        <f>IF(B$29=0,0,G18/B$29)</f>
        <v>1.6528925619834711E-2</v>
      </c>
      <c r="I18" s="98">
        <v>2</v>
      </c>
      <c r="K18" s="40">
        <v>16</v>
      </c>
      <c r="L18" s="103">
        <v>58.89999999999997</v>
      </c>
      <c r="N18" s="119" t="s">
        <v>134</v>
      </c>
      <c r="O18" s="129">
        <f>IF(P18=0,0,Q18/P18)</f>
        <v>13.897297297297296</v>
      </c>
      <c r="P18" s="123">
        <v>37</v>
      </c>
      <c r="Q18" s="111">
        <v>514.19999999999993</v>
      </c>
    </row>
    <row r="19" spans="1:17" x14ac:dyDescent="0.4">
      <c r="A19" s="57" t="s">
        <v>11</v>
      </c>
      <c r="B19" s="49">
        <v>157</v>
      </c>
      <c r="C19" s="41">
        <f>IF(B$17=0,0,B19/B$17)</f>
        <v>0.56272401433691754</v>
      </c>
      <c r="E19" s="65" t="s">
        <v>81</v>
      </c>
      <c r="F19" s="62" t="s">
        <v>34</v>
      </c>
      <c r="G19" s="49">
        <v>2</v>
      </c>
      <c r="H19" s="137">
        <f>IF(B$29=0,0,G19/B$29)</f>
        <v>8.2644628099173556E-3</v>
      </c>
      <c r="I19" s="98">
        <v>2</v>
      </c>
      <c r="K19" s="40">
        <v>17</v>
      </c>
      <c r="L19" s="103">
        <v>58.599999999999973</v>
      </c>
      <c r="N19" s="119" t="s">
        <v>138</v>
      </c>
      <c r="O19" s="129">
        <f>IF(P19=0,0,Q19/P19)</f>
        <v>4.2166666666666677</v>
      </c>
      <c r="P19" s="123">
        <v>6</v>
      </c>
      <c r="Q19" s="111">
        <v>25.300000000000004</v>
      </c>
    </row>
    <row r="20" spans="1:17" x14ac:dyDescent="0.4">
      <c r="A20" s="57" t="s">
        <v>13</v>
      </c>
      <c r="B20" s="49">
        <v>150</v>
      </c>
      <c r="C20" s="41">
        <f>IF(B$3=0,0,B20/B$3)</f>
        <v>0.16059957173447537</v>
      </c>
      <c r="E20" s="65" t="s">
        <v>83</v>
      </c>
      <c r="F20" s="62" t="s">
        <v>36</v>
      </c>
      <c r="G20" s="49">
        <v>2</v>
      </c>
      <c r="H20" s="137">
        <f>IF(B$29=0,0,G20/B$29)</f>
        <v>8.2644628099173556E-3</v>
      </c>
      <c r="I20" s="98">
        <v>10</v>
      </c>
      <c r="K20" s="40">
        <v>18</v>
      </c>
      <c r="L20" s="103">
        <v>122.59999999999997</v>
      </c>
      <c r="N20" s="119" t="s">
        <v>133</v>
      </c>
      <c r="O20" s="129">
        <f>IF(P20=0,0,Q20/P20)</f>
        <v>-4.0326732673267331</v>
      </c>
      <c r="P20" s="123">
        <v>101</v>
      </c>
      <c r="Q20" s="111">
        <v>-407.30000000000007</v>
      </c>
    </row>
    <row r="21" spans="1:17" x14ac:dyDescent="0.4">
      <c r="A21" s="57" t="s">
        <v>13</v>
      </c>
      <c r="B21" s="49">
        <v>6</v>
      </c>
      <c r="C21" s="41">
        <v>2</v>
      </c>
      <c r="E21" s="65" t="s">
        <v>98</v>
      </c>
      <c r="F21" s="62" t="s">
        <v>51</v>
      </c>
      <c r="G21" s="49">
        <v>2</v>
      </c>
      <c r="H21" s="137">
        <f>IF(B$29=0,0,G21/B$29)</f>
        <v>8.2644628099173556E-3</v>
      </c>
      <c r="I21" s="98">
        <v>2</v>
      </c>
      <c r="K21" s="40">
        <v>19</v>
      </c>
      <c r="L21" s="103">
        <v>125.69999999999996</v>
      </c>
      <c r="N21" s="119" t="s">
        <v>194</v>
      </c>
      <c r="O21" s="129">
        <f>IF(P21=0,0,Q21/P21)</f>
        <v>-5.8666666666666671</v>
      </c>
      <c r="P21" s="123">
        <v>3</v>
      </c>
      <c r="Q21" s="111">
        <v>-17.600000000000001</v>
      </c>
    </row>
    <row r="22" spans="1:17" x14ac:dyDescent="0.4">
      <c r="A22" s="57" t="s">
        <v>263</v>
      </c>
      <c r="B22" s="49">
        <v>26</v>
      </c>
      <c r="C22" s="165">
        <v>3</v>
      </c>
      <c r="E22" s="65" t="s">
        <v>78</v>
      </c>
      <c r="F22" s="62" t="s">
        <v>31</v>
      </c>
      <c r="G22" s="49">
        <v>1</v>
      </c>
      <c r="H22" s="137">
        <f>IF(B$29=0,0,G22/B$29)</f>
        <v>4.1322314049586778E-3</v>
      </c>
      <c r="I22" s="98">
        <v>2</v>
      </c>
      <c r="K22" s="40">
        <v>20</v>
      </c>
      <c r="L22" s="103">
        <v>126.89999999999996</v>
      </c>
      <c r="N22" s="119" t="s">
        <v>136</v>
      </c>
      <c r="O22" s="129">
        <f>IF(P22=0,0,Q22/P22)</f>
        <v>-6.7891891891891909</v>
      </c>
      <c r="P22" s="123">
        <v>37</v>
      </c>
      <c r="Q22" s="111">
        <v>-251.20000000000007</v>
      </c>
    </row>
    <row r="23" spans="1:17" x14ac:dyDescent="0.4">
      <c r="A23" s="57" t="s">
        <v>5</v>
      </c>
      <c r="B23" s="53">
        <f>IF(B$17=0,0,C23/B$17)</f>
        <v>10381.362007168458</v>
      </c>
      <c r="C23" s="43">
        <v>2896400</v>
      </c>
      <c r="E23" s="65" t="s">
        <v>79</v>
      </c>
      <c r="F23" s="62" t="s">
        <v>32</v>
      </c>
      <c r="G23" s="49">
        <v>1</v>
      </c>
      <c r="H23" s="137">
        <f>IF(B$29=0,0,G23/B$29)</f>
        <v>4.1322314049586778E-3</v>
      </c>
      <c r="I23" s="98">
        <v>6</v>
      </c>
      <c r="K23" s="40">
        <v>21</v>
      </c>
      <c r="L23" s="103">
        <v>129.69999999999996</v>
      </c>
      <c r="N23" s="119" t="s">
        <v>135</v>
      </c>
      <c r="O23" s="129">
        <f>IF(P23=0,0,Q23/P23)</f>
        <v>-8.3750000000000036</v>
      </c>
      <c r="P23" s="123">
        <v>8</v>
      </c>
      <c r="Q23" s="111">
        <v>-67.000000000000028</v>
      </c>
    </row>
    <row r="24" spans="1:17" x14ac:dyDescent="0.4">
      <c r="A24" s="59" t="s">
        <v>14</v>
      </c>
      <c r="B24" s="54">
        <f>IF(B$20=0,0,C24/B$20)</f>
        <v>-9180.6666666666661</v>
      </c>
      <c r="C24" s="47">
        <v>-1377100</v>
      </c>
      <c r="E24" s="65" t="s">
        <v>89</v>
      </c>
      <c r="F24" s="62" t="s">
        <v>42</v>
      </c>
      <c r="G24" s="49">
        <v>1</v>
      </c>
      <c r="H24" s="137">
        <f>IF(B$29=0,0,G24/B$29)</f>
        <v>4.1322314049586778E-3</v>
      </c>
      <c r="I24" s="98">
        <v>2</v>
      </c>
      <c r="K24" s="40">
        <v>22</v>
      </c>
      <c r="L24" s="103">
        <v>174.29999999999995</v>
      </c>
    </row>
    <row r="25" spans="1:17" x14ac:dyDescent="0.4">
      <c r="A25" s="94" t="s">
        <v>158</v>
      </c>
      <c r="B25" s="143">
        <v>9</v>
      </c>
      <c r="C25" s="144"/>
      <c r="E25" s="65" t="s">
        <v>80</v>
      </c>
      <c r="F25" s="62" t="s">
        <v>33</v>
      </c>
      <c r="G25" s="49">
        <v>0</v>
      </c>
      <c r="H25" s="137">
        <f>IF(B$29=0,0,G25/B$29)</f>
        <v>0</v>
      </c>
      <c r="I25" s="98">
        <v>1</v>
      </c>
      <c r="K25" s="40">
        <v>23</v>
      </c>
      <c r="L25" s="103">
        <v>172.89999999999995</v>
      </c>
    </row>
    <row r="26" spans="1:17" x14ac:dyDescent="0.4">
      <c r="A26" s="60" t="s">
        <v>198</v>
      </c>
      <c r="B26" s="141">
        <v>109300</v>
      </c>
      <c r="C26" s="142"/>
      <c r="E26" s="65" t="s">
        <v>84</v>
      </c>
      <c r="F26" s="62" t="s">
        <v>37</v>
      </c>
      <c r="G26" s="49">
        <v>0</v>
      </c>
      <c r="H26" s="137">
        <f>IF(B$29=0,0,G26/B$29)</f>
        <v>0</v>
      </c>
      <c r="I26" s="98">
        <v>1</v>
      </c>
      <c r="K26" s="40">
        <v>24</v>
      </c>
      <c r="L26" s="103">
        <v>133.19999999999993</v>
      </c>
    </row>
    <row r="27" spans="1:17" x14ac:dyDescent="0.4">
      <c r="A27" s="59" t="s">
        <v>159</v>
      </c>
      <c r="B27" s="67">
        <v>3</v>
      </c>
      <c r="C27" s="44">
        <f>IF(B$3=0,0,B27/B$3)</f>
        <v>3.2119914346895075E-3</v>
      </c>
      <c r="E27" s="65" t="s">
        <v>85</v>
      </c>
      <c r="F27" s="62" t="s">
        <v>38</v>
      </c>
      <c r="G27" s="49">
        <v>0</v>
      </c>
      <c r="H27" s="137">
        <f>IF(B$29=0,0,G27/B$29)</f>
        <v>0</v>
      </c>
      <c r="I27" s="98">
        <v>3</v>
      </c>
      <c r="K27" s="40">
        <v>25</v>
      </c>
      <c r="L27" s="103">
        <v>117.39999999999993</v>
      </c>
    </row>
    <row r="28" spans="1:17" x14ac:dyDescent="0.4">
      <c r="A28" s="56" t="s">
        <v>126</v>
      </c>
      <c r="B28" s="147">
        <v>808</v>
      </c>
      <c r="C28" s="148"/>
      <c r="E28" s="65" t="s">
        <v>87</v>
      </c>
      <c r="F28" s="62" t="s">
        <v>40</v>
      </c>
      <c r="G28" s="49">
        <v>0</v>
      </c>
      <c r="H28" s="137">
        <f>IF(B$29=0,0,G28/B$29)</f>
        <v>0</v>
      </c>
      <c r="I28" s="98">
        <v>1</v>
      </c>
      <c r="K28" s="40">
        <v>26</v>
      </c>
      <c r="L28" s="103">
        <v>128.69999999999993</v>
      </c>
    </row>
    <row r="29" spans="1:17" x14ac:dyDescent="0.4">
      <c r="A29" s="59" t="s">
        <v>127</v>
      </c>
      <c r="B29" s="149">
        <v>242</v>
      </c>
      <c r="C29" s="150"/>
      <c r="E29" s="65" t="s">
        <v>90</v>
      </c>
      <c r="F29" s="62" t="s">
        <v>43</v>
      </c>
      <c r="G29" s="49">
        <v>0</v>
      </c>
      <c r="H29" s="137">
        <f>IF(B$29=0,0,G29/B$29)</f>
        <v>0</v>
      </c>
      <c r="I29" s="98">
        <v>6</v>
      </c>
      <c r="K29" s="40">
        <v>27</v>
      </c>
      <c r="L29" s="103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37">
        <f>IF(B$29=0,0,G30/B$29)</f>
        <v>0</v>
      </c>
      <c r="I30" s="98">
        <v>5</v>
      </c>
      <c r="K30" s="40">
        <v>28</v>
      </c>
      <c r="L30" s="103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37">
        <f>IF(B$29=0,0,G33/B$29)</f>
        <v>0</v>
      </c>
      <c r="I33" s="98">
        <v>7</v>
      </c>
      <c r="K33" s="40">
        <v>31</v>
      </c>
      <c r="L33" s="103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211.89999999999995</v>
      </c>
    </row>
    <row r="52" spans="5:12" x14ac:dyDescent="0.4">
      <c r="K52" s="40">
        <v>50</v>
      </c>
      <c r="L52" s="103">
        <v>185.49999999999994</v>
      </c>
    </row>
    <row r="53" spans="5:12" x14ac:dyDescent="0.4">
      <c r="K53" s="40">
        <v>51</v>
      </c>
      <c r="L53" s="103">
        <v>195.99999999999994</v>
      </c>
    </row>
    <row r="54" spans="5:12" x14ac:dyDescent="0.4">
      <c r="K54" s="40">
        <v>52</v>
      </c>
      <c r="L54" s="103">
        <v>195.59999999999994</v>
      </c>
    </row>
    <row r="55" spans="5:12" x14ac:dyDescent="0.4">
      <c r="K55" s="40">
        <v>53</v>
      </c>
      <c r="L55" s="103">
        <v>213.69999999999993</v>
      </c>
    </row>
    <row r="56" spans="5:12" x14ac:dyDescent="0.4">
      <c r="K56" s="40">
        <v>54</v>
      </c>
      <c r="L56" s="103">
        <v>236.49999999999994</v>
      </c>
    </row>
    <row r="57" spans="5:12" x14ac:dyDescent="0.4">
      <c r="K57" s="40">
        <v>55</v>
      </c>
      <c r="L57" s="103">
        <v>223.69999999999993</v>
      </c>
    </row>
    <row r="58" spans="5:12" x14ac:dyDescent="0.4">
      <c r="K58" s="40">
        <v>56</v>
      </c>
      <c r="L58" s="103">
        <v>259.69999999999993</v>
      </c>
    </row>
    <row r="59" spans="5:12" x14ac:dyDescent="0.4">
      <c r="K59" s="40">
        <v>57</v>
      </c>
      <c r="L59" s="103">
        <v>210.59999999999994</v>
      </c>
    </row>
    <row r="60" spans="5:12" x14ac:dyDescent="0.4">
      <c r="K60" s="40">
        <v>58</v>
      </c>
      <c r="L60" s="103">
        <v>207.99999999999994</v>
      </c>
    </row>
    <row r="61" spans="5:12" x14ac:dyDescent="0.4">
      <c r="K61" s="40">
        <v>59</v>
      </c>
      <c r="L61" s="103">
        <v>220.49999999999994</v>
      </c>
    </row>
    <row r="62" spans="5:12" x14ac:dyDescent="0.4">
      <c r="K62" s="40">
        <v>60</v>
      </c>
      <c r="L62" s="103">
        <v>232.79999999999995</v>
      </c>
    </row>
    <row r="63" spans="5:12" x14ac:dyDescent="0.4">
      <c r="K63" s="40">
        <v>61</v>
      </c>
      <c r="L63" s="103">
        <v>233.69999999999996</v>
      </c>
    </row>
    <row r="64" spans="5:12" x14ac:dyDescent="0.4">
      <c r="K64" s="40">
        <v>62</v>
      </c>
      <c r="L64" s="103">
        <v>229.89999999999995</v>
      </c>
    </row>
    <row r="65" spans="11:12" x14ac:dyDescent="0.4">
      <c r="K65" s="40">
        <v>63</v>
      </c>
      <c r="L65" s="103">
        <v>217.99999999999994</v>
      </c>
    </row>
    <row r="66" spans="11:12" x14ac:dyDescent="0.4">
      <c r="K66" s="40">
        <v>64</v>
      </c>
      <c r="L66" s="103">
        <v>200.49999999999994</v>
      </c>
    </row>
    <row r="67" spans="11:12" x14ac:dyDescent="0.4">
      <c r="K67" s="40">
        <v>65</v>
      </c>
      <c r="L67" s="103">
        <v>207.79999999999995</v>
      </c>
    </row>
    <row r="68" spans="11:12" x14ac:dyDescent="0.4">
      <c r="K68" s="40">
        <v>66</v>
      </c>
      <c r="L68" s="103">
        <v>203.19999999999996</v>
      </c>
    </row>
    <row r="69" spans="11:12" x14ac:dyDescent="0.4">
      <c r="K69" s="40">
        <v>67</v>
      </c>
      <c r="L69" s="103">
        <v>217.29999999999995</v>
      </c>
    </row>
    <row r="70" spans="11:12" x14ac:dyDescent="0.4">
      <c r="K70" s="40">
        <v>68</v>
      </c>
      <c r="L70" s="103">
        <v>178.79999999999995</v>
      </c>
    </row>
    <row r="71" spans="11:12" x14ac:dyDescent="0.4">
      <c r="K71" s="40">
        <v>69</v>
      </c>
      <c r="L71" s="103">
        <v>187.69999999999996</v>
      </c>
    </row>
    <row r="72" spans="11:12" x14ac:dyDescent="0.4">
      <c r="K72" s="40">
        <v>70</v>
      </c>
      <c r="L72" s="103">
        <v>217.39999999999995</v>
      </c>
    </row>
    <row r="73" spans="11:12" x14ac:dyDescent="0.4">
      <c r="K73" s="40">
        <v>71</v>
      </c>
      <c r="L73" s="103">
        <v>196.69999999999996</v>
      </c>
    </row>
    <row r="74" spans="11:12" x14ac:dyDescent="0.4">
      <c r="K74" s="40">
        <v>72</v>
      </c>
      <c r="L74" s="103">
        <v>158.69999999999996</v>
      </c>
    </row>
    <row r="75" spans="11:12" x14ac:dyDescent="0.4">
      <c r="K75" s="40">
        <v>73</v>
      </c>
      <c r="L75" s="103">
        <v>194.69999999999996</v>
      </c>
    </row>
    <row r="76" spans="11:12" x14ac:dyDescent="0.4">
      <c r="K76" s="40">
        <v>74</v>
      </c>
      <c r="L76" s="103">
        <v>224.59999999999997</v>
      </c>
    </row>
    <row r="77" spans="11:12" x14ac:dyDescent="0.4">
      <c r="K77" s="40">
        <v>75</v>
      </c>
      <c r="L77" s="103">
        <v>248.09999999999997</v>
      </c>
    </row>
    <row r="78" spans="11:12" x14ac:dyDescent="0.4">
      <c r="K78" s="40">
        <v>76</v>
      </c>
      <c r="L78" s="103">
        <v>242.29999999999995</v>
      </c>
    </row>
    <row r="79" spans="11:12" x14ac:dyDescent="0.4">
      <c r="K79" s="40">
        <v>77</v>
      </c>
      <c r="L79" s="103">
        <v>239.29999999999995</v>
      </c>
    </row>
    <row r="80" spans="11:12" x14ac:dyDescent="0.4">
      <c r="K80" s="40">
        <v>78</v>
      </c>
      <c r="L80" s="103">
        <v>232.59999999999997</v>
      </c>
    </row>
    <row r="81" spans="11:12" x14ac:dyDescent="0.4">
      <c r="K81" s="40">
        <v>79</v>
      </c>
      <c r="L81" s="103">
        <v>212.29999999999995</v>
      </c>
    </row>
    <row r="82" spans="11:12" x14ac:dyDescent="0.4">
      <c r="K82" s="40">
        <v>80</v>
      </c>
      <c r="L82" s="103">
        <v>239.79999999999995</v>
      </c>
    </row>
    <row r="83" spans="11:12" x14ac:dyDescent="0.4">
      <c r="K83" s="40">
        <v>81</v>
      </c>
      <c r="L83" s="103">
        <v>245.49999999999994</v>
      </c>
    </row>
    <row r="84" spans="11:12" x14ac:dyDescent="0.4">
      <c r="K84" s="40">
        <v>82</v>
      </c>
      <c r="L84" s="103">
        <v>258.69999999999993</v>
      </c>
    </row>
    <row r="85" spans="11:12" x14ac:dyDescent="0.4">
      <c r="K85" s="40">
        <v>83</v>
      </c>
      <c r="L85" s="103">
        <v>251.69999999999993</v>
      </c>
    </row>
    <row r="86" spans="11:12" x14ac:dyDescent="0.4">
      <c r="K86" s="40">
        <v>84</v>
      </c>
      <c r="L86" s="103">
        <v>271.99999999999994</v>
      </c>
    </row>
    <row r="87" spans="11:12" x14ac:dyDescent="0.4">
      <c r="K87" s="40">
        <v>85</v>
      </c>
      <c r="L87" s="103">
        <v>265.99999999999994</v>
      </c>
    </row>
    <row r="88" spans="11:12" x14ac:dyDescent="0.4">
      <c r="K88" s="40">
        <v>86</v>
      </c>
      <c r="L88" s="103">
        <v>239.79999999999995</v>
      </c>
    </row>
    <row r="89" spans="11:12" x14ac:dyDescent="0.4">
      <c r="K89" s="40">
        <v>87</v>
      </c>
      <c r="L89" s="103">
        <v>275.79999999999995</v>
      </c>
    </row>
    <row r="90" spans="11:12" x14ac:dyDescent="0.4">
      <c r="K90" s="40">
        <v>88</v>
      </c>
      <c r="L90" s="103">
        <v>276.09999999999997</v>
      </c>
    </row>
    <row r="91" spans="11:12" x14ac:dyDescent="0.4">
      <c r="K91" s="40">
        <v>89</v>
      </c>
      <c r="L91" s="103">
        <v>259.49999999999994</v>
      </c>
    </row>
    <row r="92" spans="11:12" x14ac:dyDescent="0.4">
      <c r="K92" s="40">
        <v>90</v>
      </c>
      <c r="L92" s="103">
        <v>286.89999999999992</v>
      </c>
    </row>
    <row r="93" spans="11:12" x14ac:dyDescent="0.4">
      <c r="K93" s="40">
        <v>91</v>
      </c>
      <c r="L93" s="103">
        <v>252.39999999999992</v>
      </c>
    </row>
    <row r="94" spans="11:12" x14ac:dyDescent="0.4">
      <c r="K94" s="40">
        <v>92</v>
      </c>
      <c r="L94" s="103">
        <v>278.59999999999991</v>
      </c>
    </row>
    <row r="95" spans="11:12" x14ac:dyDescent="0.4">
      <c r="K95" s="40">
        <v>93</v>
      </c>
      <c r="L95" s="103">
        <v>264.7999999999999</v>
      </c>
    </row>
    <row r="96" spans="11:12" x14ac:dyDescent="0.4">
      <c r="K96" s="40">
        <v>94</v>
      </c>
      <c r="L96" s="103">
        <v>247.89999999999989</v>
      </c>
    </row>
    <row r="97" spans="11:12" x14ac:dyDescent="0.4">
      <c r="K97" s="40">
        <v>95</v>
      </c>
      <c r="L97" s="103">
        <v>222.49999999999989</v>
      </c>
    </row>
    <row r="98" spans="11:12" x14ac:dyDescent="0.4">
      <c r="K98" s="40">
        <v>96</v>
      </c>
      <c r="L98" s="103">
        <v>234.99999999999989</v>
      </c>
    </row>
    <row r="99" spans="11:12" x14ac:dyDescent="0.4">
      <c r="K99" s="40">
        <v>97</v>
      </c>
      <c r="L99" s="103">
        <v>252.19999999999987</v>
      </c>
    </row>
    <row r="100" spans="11:12" x14ac:dyDescent="0.4">
      <c r="K100" s="40">
        <v>98</v>
      </c>
      <c r="L100" s="103">
        <v>221.59999999999988</v>
      </c>
    </row>
    <row r="101" spans="11:12" x14ac:dyDescent="0.4">
      <c r="K101" s="40">
        <v>99</v>
      </c>
      <c r="L101" s="103">
        <v>245.39999999999989</v>
      </c>
    </row>
    <row r="102" spans="11:12" x14ac:dyDescent="0.4">
      <c r="K102" s="40">
        <v>100</v>
      </c>
      <c r="L102" s="103">
        <v>252.89999999999989</v>
      </c>
    </row>
    <row r="103" spans="11:12" x14ac:dyDescent="0.4">
      <c r="K103" s="40">
        <v>101</v>
      </c>
      <c r="L103" s="103">
        <v>270.69999999999987</v>
      </c>
    </row>
    <row r="104" spans="11:12" x14ac:dyDescent="0.4">
      <c r="K104" s="40">
        <v>102</v>
      </c>
      <c r="L104" s="103">
        <v>248.89999999999986</v>
      </c>
    </row>
    <row r="105" spans="11:12" x14ac:dyDescent="0.4">
      <c r="K105" s="40">
        <v>103</v>
      </c>
      <c r="L105" s="103">
        <v>250.99999999999986</v>
      </c>
    </row>
    <row r="106" spans="11:12" x14ac:dyDescent="0.4">
      <c r="K106" s="40">
        <v>104</v>
      </c>
      <c r="L106" s="103">
        <v>256.59999999999985</v>
      </c>
    </row>
    <row r="107" spans="11:12" x14ac:dyDescent="0.4">
      <c r="K107" s="40">
        <v>105</v>
      </c>
      <c r="L107" s="103">
        <v>207.59999999999985</v>
      </c>
    </row>
    <row r="108" spans="11:12" x14ac:dyDescent="0.4">
      <c r="K108" s="40">
        <v>106</v>
      </c>
      <c r="L108" s="103">
        <v>192.19999999999985</v>
      </c>
    </row>
    <row r="109" spans="11:12" x14ac:dyDescent="0.4">
      <c r="K109" s="40">
        <v>107</v>
      </c>
      <c r="L109" s="103">
        <v>234.69999999999985</v>
      </c>
    </row>
    <row r="110" spans="11:12" x14ac:dyDescent="0.4">
      <c r="K110" s="40">
        <v>108</v>
      </c>
      <c r="L110" s="103">
        <v>243.69999999999985</v>
      </c>
    </row>
    <row r="111" spans="11:12" x14ac:dyDescent="0.4">
      <c r="K111" s="40">
        <v>109</v>
      </c>
      <c r="L111" s="103">
        <v>184.79999999999984</v>
      </c>
    </row>
    <row r="112" spans="11:12" x14ac:dyDescent="0.4">
      <c r="K112" s="40">
        <v>110</v>
      </c>
      <c r="L112" s="103">
        <v>225.49999999999983</v>
      </c>
    </row>
    <row r="113" spans="11:12" x14ac:dyDescent="0.4">
      <c r="K113" s="40">
        <v>111</v>
      </c>
      <c r="L113" s="103">
        <v>216.99999999999983</v>
      </c>
    </row>
    <row r="114" spans="11:12" x14ac:dyDescent="0.4">
      <c r="K114" s="40">
        <v>112</v>
      </c>
      <c r="L114" s="103">
        <v>225.49999999999983</v>
      </c>
    </row>
    <row r="115" spans="11:12" x14ac:dyDescent="0.4">
      <c r="K115" s="40">
        <v>113</v>
      </c>
      <c r="L115" s="103">
        <v>250.09999999999982</v>
      </c>
    </row>
    <row r="116" spans="11:12" x14ac:dyDescent="0.4">
      <c r="K116" s="40">
        <v>114</v>
      </c>
      <c r="L116" s="103">
        <v>271.99999999999983</v>
      </c>
    </row>
    <row r="117" spans="11:12" x14ac:dyDescent="0.4">
      <c r="K117" s="40">
        <v>115</v>
      </c>
      <c r="L117" s="103">
        <v>262.69999999999982</v>
      </c>
    </row>
    <row r="118" spans="11:12" x14ac:dyDescent="0.4">
      <c r="K118" s="40">
        <v>116</v>
      </c>
      <c r="L118" s="103">
        <v>245.69999999999982</v>
      </c>
    </row>
    <row r="119" spans="11:12" x14ac:dyDescent="0.4">
      <c r="K119" s="40">
        <v>117</v>
      </c>
      <c r="L119" s="103">
        <v>267.39999999999981</v>
      </c>
    </row>
    <row r="120" spans="11:12" x14ac:dyDescent="0.4">
      <c r="K120" s="40">
        <v>118</v>
      </c>
      <c r="L120" s="103">
        <v>221.89999999999981</v>
      </c>
    </row>
    <row r="121" spans="11:12" x14ac:dyDescent="0.4">
      <c r="K121" s="40">
        <v>119</v>
      </c>
      <c r="L121" s="103">
        <v>216.29999999999981</v>
      </c>
    </row>
    <row r="122" spans="11:12" x14ac:dyDescent="0.4">
      <c r="K122" s="40">
        <v>120</v>
      </c>
      <c r="L122" s="103">
        <v>195.79999999999981</v>
      </c>
    </row>
    <row r="123" spans="11:12" x14ac:dyDescent="0.4">
      <c r="K123" s="40">
        <v>121</v>
      </c>
      <c r="L123" s="103">
        <v>169.59999999999982</v>
      </c>
    </row>
    <row r="124" spans="11:12" x14ac:dyDescent="0.4">
      <c r="K124" s="40">
        <v>122</v>
      </c>
      <c r="L124" s="103">
        <v>161.89999999999984</v>
      </c>
    </row>
    <row r="125" spans="11:12" x14ac:dyDescent="0.4">
      <c r="K125" s="40">
        <v>123</v>
      </c>
      <c r="L125" s="103">
        <v>201.39999999999984</v>
      </c>
    </row>
  </sheetData>
  <sortState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CC5E8-4722-4F3E-90B8-4025E863C618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138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33</v>
      </c>
      <c r="C2" s="148"/>
      <c r="E2" s="64" t="s">
        <v>71</v>
      </c>
      <c r="F2" s="61" t="s">
        <v>25</v>
      </c>
      <c r="G2" s="48">
        <v>43</v>
      </c>
      <c r="H2" s="136">
        <f>IF(B$29=0,0,G2/B$29)</f>
        <v>0.9555555555555556</v>
      </c>
      <c r="I2" s="97">
        <v>3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327.27272727272725</v>
      </c>
      <c r="P2" s="122">
        <v>33</v>
      </c>
      <c r="Q2" s="106">
        <v>10800</v>
      </c>
    </row>
    <row r="3" spans="1:17" x14ac:dyDescent="0.4">
      <c r="A3" s="57" t="s">
        <v>8</v>
      </c>
      <c r="B3" s="153">
        <v>270</v>
      </c>
      <c r="C3" s="154"/>
      <c r="E3" s="65" t="s">
        <v>67</v>
      </c>
      <c r="F3" s="62" t="s">
        <v>21</v>
      </c>
      <c r="G3" s="49">
        <v>30</v>
      </c>
      <c r="H3" s="137">
        <f>IF(B$29=0,0,G3/B$29)</f>
        <v>0.66666666666666663</v>
      </c>
      <c r="I3" s="98">
        <v>1</v>
      </c>
      <c r="K3" s="40">
        <v>1</v>
      </c>
      <c r="L3" s="103">
        <v>-14.4</v>
      </c>
      <c r="N3" s="119" t="s">
        <v>148</v>
      </c>
      <c r="O3" s="126">
        <f t="shared" si="0"/>
        <v>2145.1612903225805</v>
      </c>
      <c r="P3" s="123">
        <v>31</v>
      </c>
      <c r="Q3" s="107">
        <v>66500</v>
      </c>
    </row>
    <row r="4" spans="1:17" x14ac:dyDescent="0.4">
      <c r="A4" s="57" t="s">
        <v>6</v>
      </c>
      <c r="B4" s="155">
        <v>-9.3999999999999773</v>
      </c>
      <c r="C4" s="156"/>
      <c r="E4" s="65" t="s">
        <v>70</v>
      </c>
      <c r="F4" s="62" t="s">
        <v>24</v>
      </c>
      <c r="G4" s="49">
        <v>24</v>
      </c>
      <c r="H4" s="137">
        <f>IF(B$29=0,0,G4/B$29)</f>
        <v>0.53333333333333333</v>
      </c>
      <c r="I4" s="98">
        <v>1</v>
      </c>
      <c r="K4" s="40">
        <v>2</v>
      </c>
      <c r="L4" s="103">
        <v>37.6</v>
      </c>
      <c r="N4" s="119" t="s">
        <v>149</v>
      </c>
      <c r="O4" s="126">
        <f t="shared" si="0"/>
        <v>-867.85714285714289</v>
      </c>
      <c r="P4" s="123">
        <v>28</v>
      </c>
      <c r="Q4" s="107">
        <v>-24300</v>
      </c>
    </row>
    <row r="5" spans="1:17" x14ac:dyDescent="0.4">
      <c r="A5" s="57" t="s">
        <v>7</v>
      </c>
      <c r="B5" s="157">
        <f>IF(B$2=0,0,B$4/B$2)</f>
        <v>-0.28484848484848418</v>
      </c>
      <c r="C5" s="158"/>
      <c r="E5" s="65" t="s">
        <v>69</v>
      </c>
      <c r="F5" s="62" t="s">
        <v>23</v>
      </c>
      <c r="G5" s="49">
        <v>23</v>
      </c>
      <c r="H5" s="137">
        <f>IF(B$29=0,0,G5/B$29)</f>
        <v>0.51111111111111107</v>
      </c>
      <c r="I5" s="98">
        <v>12</v>
      </c>
      <c r="K5" s="40">
        <v>3</v>
      </c>
      <c r="L5" s="103">
        <v>-2.7999999999999972</v>
      </c>
      <c r="N5" s="119" t="s">
        <v>150</v>
      </c>
      <c r="O5" s="126">
        <f t="shared" si="0"/>
        <v>469.23076923076923</v>
      </c>
      <c r="P5" s="123">
        <v>26</v>
      </c>
      <c r="Q5" s="107">
        <v>12200</v>
      </c>
    </row>
    <row r="6" spans="1:17" x14ac:dyDescent="0.4">
      <c r="A6" s="57" t="s">
        <v>1</v>
      </c>
      <c r="B6" s="145">
        <f>IF(B$2=0,0,(B$7*1+B$8*2+B$9*3)/B$2)</f>
        <v>2.0606060606060606</v>
      </c>
      <c r="C6" s="146"/>
      <c r="E6" s="65" t="s">
        <v>76</v>
      </c>
      <c r="F6" s="62" t="s">
        <v>29</v>
      </c>
      <c r="G6" s="49">
        <v>21</v>
      </c>
      <c r="H6" s="137">
        <f>IF(B$29=0,0,G6/B$29)</f>
        <v>0.46666666666666667</v>
      </c>
      <c r="I6" s="98">
        <v>12</v>
      </c>
      <c r="K6" s="40">
        <v>4</v>
      </c>
      <c r="L6" s="103">
        <v>-44.3</v>
      </c>
      <c r="N6" s="119" t="s">
        <v>151</v>
      </c>
      <c r="O6" s="126">
        <f t="shared" si="0"/>
        <v>-1950</v>
      </c>
      <c r="P6" s="123">
        <v>22</v>
      </c>
      <c r="Q6" s="107">
        <v>-42900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72</v>
      </c>
      <c r="F7" s="62" t="s">
        <v>12</v>
      </c>
      <c r="G7" s="49">
        <v>17</v>
      </c>
      <c r="H7" s="137">
        <f>IF(B$29=0,0,G7/B$29)</f>
        <v>0.37777777777777777</v>
      </c>
      <c r="I7" s="98">
        <v>1</v>
      </c>
      <c r="K7" s="40">
        <v>5</v>
      </c>
      <c r="L7" s="103">
        <v>8.2000000000000028</v>
      </c>
      <c r="N7" s="120" t="s">
        <v>152</v>
      </c>
      <c r="O7" s="127">
        <f t="shared" si="0"/>
        <v>-1668.421052631579</v>
      </c>
      <c r="P7" s="124">
        <v>19</v>
      </c>
      <c r="Q7" s="108">
        <v>-31700</v>
      </c>
    </row>
    <row r="8" spans="1:17" x14ac:dyDescent="0.4">
      <c r="A8" s="57" t="s">
        <v>3</v>
      </c>
      <c r="B8" s="49">
        <v>9</v>
      </c>
      <c r="C8" s="41">
        <f>IF(B$2=0,0,B8/B$2)</f>
        <v>0.27272727272727271</v>
      </c>
      <c r="E8" s="65" t="s">
        <v>68</v>
      </c>
      <c r="F8" s="62" t="s">
        <v>22</v>
      </c>
      <c r="G8" s="49">
        <v>7</v>
      </c>
      <c r="H8" s="137">
        <f>IF(B$29=0,0,G8/B$29)</f>
        <v>0.15555555555555556</v>
      </c>
      <c r="I8" s="98">
        <v>3</v>
      </c>
      <c r="K8" s="40">
        <v>6</v>
      </c>
      <c r="L8" s="103">
        <v>23.200000000000003</v>
      </c>
      <c r="N8" s="45"/>
      <c r="O8" s="131"/>
      <c r="P8" s="115"/>
      <c r="Q8" s="113"/>
    </row>
    <row r="9" spans="1:17" x14ac:dyDescent="0.4">
      <c r="A9" s="58" t="s">
        <v>4</v>
      </c>
      <c r="B9" s="50">
        <v>13</v>
      </c>
      <c r="C9" s="42">
        <f t="shared" ref="C9" si="1">IF(B$2=0,0,B9/B$2)</f>
        <v>0.39393939393939392</v>
      </c>
      <c r="E9" s="65" t="s">
        <v>94</v>
      </c>
      <c r="F9" s="62" t="s">
        <v>47</v>
      </c>
      <c r="G9" s="49">
        <v>7</v>
      </c>
      <c r="H9" s="137">
        <f>IF(B$29=0,0,G9/B$29)</f>
        <v>0.15555555555555556</v>
      </c>
      <c r="I9" s="98">
        <v>7</v>
      </c>
      <c r="K9" s="40">
        <v>7</v>
      </c>
      <c r="L9" s="103">
        <v>40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6</v>
      </c>
      <c r="C10" s="42">
        <f>IF(B$2=0,0,B10/B$2)</f>
        <v>0.18181818181818182</v>
      </c>
      <c r="E10" s="65" t="s">
        <v>73</v>
      </c>
      <c r="F10" s="62" t="s">
        <v>26</v>
      </c>
      <c r="G10" s="49">
        <v>5</v>
      </c>
      <c r="H10" s="137">
        <f>IF(B$29=0,0,G10/B$29)</f>
        <v>0.1111111111111111</v>
      </c>
      <c r="I10" s="98">
        <v>9</v>
      </c>
      <c r="K10" s="40">
        <v>8</v>
      </c>
      <c r="L10" s="103">
        <v>4.2000000000000028</v>
      </c>
      <c r="N10" s="118" t="s">
        <v>250</v>
      </c>
      <c r="O10" s="128">
        <f>IF(P10=0,0,Q10/P10)</f>
        <v>5.815384615384616</v>
      </c>
      <c r="P10" s="122">
        <v>13</v>
      </c>
      <c r="Q10" s="110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0.15151515151515152</v>
      </c>
      <c r="E11" s="65" t="s">
        <v>74</v>
      </c>
      <c r="F11" s="62" t="s">
        <v>27</v>
      </c>
      <c r="G11" s="49">
        <v>4</v>
      </c>
      <c r="H11" s="137">
        <f>IF(B$29=0,0,G11/B$29)</f>
        <v>8.8888888888888892E-2</v>
      </c>
      <c r="I11" s="98">
        <v>7</v>
      </c>
      <c r="K11" s="40">
        <v>9</v>
      </c>
      <c r="L11" s="103">
        <v>6.8000000000000025</v>
      </c>
      <c r="N11" s="119" t="s">
        <v>251</v>
      </c>
      <c r="O11" s="129">
        <f>IF(P11=0,0,Q11/P11)</f>
        <v>6.8181818181818157</v>
      </c>
      <c r="P11" s="123">
        <v>11</v>
      </c>
      <c r="Q11" s="111">
        <v>74.999999999999972</v>
      </c>
    </row>
    <row r="12" spans="1:17" x14ac:dyDescent="0.4">
      <c r="A12" s="59" t="s">
        <v>238</v>
      </c>
      <c r="B12" s="51">
        <v>3</v>
      </c>
      <c r="C12" s="44">
        <f>IF(B$2=0,0,B12/B$2)</f>
        <v>9.0909090909090912E-2</v>
      </c>
      <c r="E12" s="65" t="s">
        <v>75</v>
      </c>
      <c r="F12" s="62" t="s">
        <v>28</v>
      </c>
      <c r="G12" s="49">
        <v>2</v>
      </c>
      <c r="H12" s="137">
        <f>IF(B$29=0,0,G12/B$29)</f>
        <v>4.4444444444444446E-2</v>
      </c>
      <c r="I12" s="98">
        <v>7</v>
      </c>
      <c r="K12" s="40">
        <v>10</v>
      </c>
      <c r="L12" s="103">
        <v>56.800000000000004</v>
      </c>
      <c r="N12" s="120" t="s">
        <v>252</v>
      </c>
      <c r="O12" s="130">
        <f>IF(P12=0,0,Q12/P12)</f>
        <v>-17.777777777777779</v>
      </c>
      <c r="P12" s="124">
        <v>9</v>
      </c>
      <c r="Q12" s="112">
        <v>-160</v>
      </c>
    </row>
    <row r="13" spans="1:17" x14ac:dyDescent="0.4">
      <c r="A13" s="60" t="s">
        <v>128</v>
      </c>
      <c r="B13" s="52">
        <v>58</v>
      </c>
      <c r="C13" s="46">
        <f>IF(B$28=0,0,B13/B$28)</f>
        <v>0.30851063829787234</v>
      </c>
      <c r="E13" s="65" t="s">
        <v>82</v>
      </c>
      <c r="F13" s="62" t="s">
        <v>35</v>
      </c>
      <c r="G13" s="49">
        <v>2</v>
      </c>
      <c r="H13" s="137">
        <f>IF(B$29=0,0,G13/B$29)</f>
        <v>4.4444444444444446E-2</v>
      </c>
      <c r="I13" s="98">
        <v>3</v>
      </c>
      <c r="K13" s="40">
        <v>11</v>
      </c>
      <c r="L13" s="103">
        <v>69.300000000000011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40</v>
      </c>
      <c r="C14" s="41">
        <f>IF(B$28=0,0,B14/B$28)</f>
        <v>0.21276595744680851</v>
      </c>
      <c r="E14" s="65" t="s">
        <v>77</v>
      </c>
      <c r="F14" s="62" t="s">
        <v>30</v>
      </c>
      <c r="G14" s="49">
        <v>1</v>
      </c>
      <c r="H14" s="137">
        <f>IF(B$29=0,0,G14/B$29)</f>
        <v>2.2222222222222223E-2</v>
      </c>
      <c r="I14" s="98">
        <v>1</v>
      </c>
      <c r="K14" s="40">
        <v>12</v>
      </c>
      <c r="L14" s="103">
        <v>80.800000000000011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29</v>
      </c>
      <c r="C15" s="39">
        <f>IF(B$13=0,0,B15/B$13)</f>
        <v>0.5</v>
      </c>
      <c r="E15" s="65" t="s">
        <v>83</v>
      </c>
      <c r="F15" s="62" t="s">
        <v>36</v>
      </c>
      <c r="G15" s="49">
        <v>1</v>
      </c>
      <c r="H15" s="137">
        <f>IF(B$29=0,0,G15/B$29)</f>
        <v>2.2222222222222223E-2</v>
      </c>
      <c r="I15" s="98">
        <v>5</v>
      </c>
      <c r="K15" s="40">
        <v>13</v>
      </c>
      <c r="L15" s="103">
        <v>155.10000000000002</v>
      </c>
      <c r="N15" s="118" t="s">
        <v>136</v>
      </c>
      <c r="O15" s="128">
        <f>IF(P15=0,0,Q15/P15)</f>
        <v>24.993333333333332</v>
      </c>
      <c r="P15" s="122">
        <v>15</v>
      </c>
      <c r="Q15" s="110">
        <v>374.9</v>
      </c>
    </row>
    <row r="16" spans="1:17" x14ac:dyDescent="0.4">
      <c r="A16" s="56" t="s">
        <v>131</v>
      </c>
      <c r="B16" s="48">
        <v>9</v>
      </c>
      <c r="C16" s="39">
        <f>IF(B$14=0,0,B16/B$14)</f>
        <v>0.22500000000000001</v>
      </c>
      <c r="E16" s="65" t="s">
        <v>88</v>
      </c>
      <c r="F16" s="62" t="s">
        <v>41</v>
      </c>
      <c r="G16" s="49">
        <v>1</v>
      </c>
      <c r="H16" s="137">
        <f>IF(B$29=0,0,G16/B$29)</f>
        <v>2.2222222222222223E-2</v>
      </c>
      <c r="I16" s="98">
        <v>10</v>
      </c>
      <c r="K16" s="40">
        <v>14</v>
      </c>
      <c r="L16" s="103">
        <v>147.10000000000002</v>
      </c>
      <c r="N16" s="119" t="s">
        <v>134</v>
      </c>
      <c r="O16" s="129">
        <f>IF(P16=0,0,Q16/P16)</f>
        <v>0.14444444444444493</v>
      </c>
      <c r="P16" s="123">
        <v>9</v>
      </c>
      <c r="Q16" s="111">
        <v>1.3000000000000043</v>
      </c>
    </row>
    <row r="17" spans="1:17" x14ac:dyDescent="0.4">
      <c r="A17" s="56" t="s">
        <v>10</v>
      </c>
      <c r="B17" s="48">
        <f>B19+B18</f>
        <v>73</v>
      </c>
      <c r="C17" s="39">
        <f>IF(B$3=0,0,B17/B$3)</f>
        <v>0.27037037037037037</v>
      </c>
      <c r="E17" s="65" t="s">
        <v>91</v>
      </c>
      <c r="F17" s="62" t="s">
        <v>44</v>
      </c>
      <c r="G17" s="49">
        <v>1</v>
      </c>
      <c r="H17" s="137">
        <f>IF(B$29=0,0,G17/B$29)</f>
        <v>2.2222222222222223E-2</v>
      </c>
      <c r="I17" s="98">
        <v>13</v>
      </c>
      <c r="K17" s="40">
        <v>15</v>
      </c>
      <c r="L17" s="103">
        <v>148.80000000000001</v>
      </c>
      <c r="N17" s="119" t="s">
        <v>137</v>
      </c>
      <c r="O17" s="129">
        <f>IF(P17=0,0,Q17/P17)</f>
        <v>-4.2166666666666677</v>
      </c>
      <c r="P17" s="123">
        <v>6</v>
      </c>
      <c r="Q17" s="111">
        <v>-25.300000000000004</v>
      </c>
    </row>
    <row r="18" spans="1:17" x14ac:dyDescent="0.4">
      <c r="A18" s="57" t="s">
        <v>12</v>
      </c>
      <c r="B18" s="49">
        <v>33</v>
      </c>
      <c r="C18" s="41">
        <f>IF(B$17=0,0,B18/B$17)</f>
        <v>0.45205479452054792</v>
      </c>
      <c r="E18" s="65" t="s">
        <v>96</v>
      </c>
      <c r="F18" s="62" t="s">
        <v>49</v>
      </c>
      <c r="G18" s="49">
        <v>1</v>
      </c>
      <c r="H18" s="137">
        <f>IF(B$29=0,0,G18/B$29)</f>
        <v>2.2222222222222223E-2</v>
      </c>
      <c r="I18" s="98">
        <v>5</v>
      </c>
      <c r="K18" s="40">
        <v>16</v>
      </c>
      <c r="L18" s="103">
        <v>152.30000000000001</v>
      </c>
      <c r="N18" s="119" t="s">
        <v>247</v>
      </c>
      <c r="O18" s="129">
        <f>IF(P18=0,0,Q18/P18)</f>
        <v>-4.3000000000000007</v>
      </c>
      <c r="P18" s="123">
        <v>4</v>
      </c>
      <c r="Q18" s="111">
        <v>-17.200000000000003</v>
      </c>
    </row>
    <row r="19" spans="1:17" x14ac:dyDescent="0.4">
      <c r="A19" s="57" t="s">
        <v>11</v>
      </c>
      <c r="B19" s="49">
        <v>40</v>
      </c>
      <c r="C19" s="41">
        <f>IF(B$17=0,0,B19/B$17)</f>
        <v>0.54794520547945202</v>
      </c>
      <c r="E19" s="65" t="s">
        <v>97</v>
      </c>
      <c r="F19" s="62" t="s">
        <v>50</v>
      </c>
      <c r="G19" s="49">
        <v>1</v>
      </c>
      <c r="H19" s="137">
        <f>IF(B$29=0,0,G19/B$29)</f>
        <v>2.2222222222222223E-2</v>
      </c>
      <c r="I19" s="98">
        <v>1</v>
      </c>
      <c r="K19" s="40">
        <v>17</v>
      </c>
      <c r="L19" s="103">
        <v>178.10000000000002</v>
      </c>
      <c r="N19" s="119" t="s">
        <v>133</v>
      </c>
      <c r="O19" s="129">
        <f>IF(P19=0,0,Q19/P19)</f>
        <v>-9.155555555555555</v>
      </c>
      <c r="P19" s="123">
        <v>27</v>
      </c>
      <c r="Q19" s="111">
        <v>-247.2</v>
      </c>
    </row>
    <row r="20" spans="1:17" x14ac:dyDescent="0.4">
      <c r="A20" s="57" t="s">
        <v>13</v>
      </c>
      <c r="B20" s="49">
        <v>47</v>
      </c>
      <c r="C20" s="41">
        <f>IF(B$3=0,0,B20/B$3)</f>
        <v>0.17407407407407408</v>
      </c>
      <c r="E20" s="65" t="s">
        <v>78</v>
      </c>
      <c r="F20" s="62" t="s">
        <v>31</v>
      </c>
      <c r="G20" s="49">
        <v>0</v>
      </c>
      <c r="H20" s="137">
        <f>IF(B$29=0,0,G20/B$29)</f>
        <v>0</v>
      </c>
      <c r="I20" s="98">
        <v>6</v>
      </c>
      <c r="K20" s="40">
        <v>18</v>
      </c>
      <c r="L20" s="103">
        <v>155.00000000000003</v>
      </c>
      <c r="N20" s="119" t="s">
        <v>139</v>
      </c>
      <c r="O20" s="129">
        <f>IF(P20=0,0,Q20/P20)</f>
        <v>-19.925000000000004</v>
      </c>
      <c r="P20" s="123">
        <v>4</v>
      </c>
      <c r="Q20" s="111">
        <v>-79.700000000000017</v>
      </c>
    </row>
    <row r="21" spans="1:17" x14ac:dyDescent="0.4">
      <c r="A21" s="57" t="s">
        <v>13</v>
      </c>
      <c r="B21" s="49">
        <v>4</v>
      </c>
      <c r="C21" s="41">
        <v>0</v>
      </c>
      <c r="E21" s="65" t="s">
        <v>79</v>
      </c>
      <c r="F21" s="62" t="s">
        <v>32</v>
      </c>
      <c r="G21" s="49">
        <v>0</v>
      </c>
      <c r="H21" s="137">
        <f>IF(B$29=0,0,G21/B$29)</f>
        <v>0</v>
      </c>
      <c r="I21" s="98">
        <v>7</v>
      </c>
      <c r="K21" s="40">
        <v>19</v>
      </c>
      <c r="L21" s="103">
        <v>143.60000000000002</v>
      </c>
      <c r="N21" s="119" t="s">
        <v>135</v>
      </c>
      <c r="O21" s="129">
        <f>IF(P21=0,0,Q21/P21)</f>
        <v>-34</v>
      </c>
      <c r="P21" s="123">
        <v>1</v>
      </c>
      <c r="Q21" s="111">
        <v>-34</v>
      </c>
    </row>
    <row r="22" spans="1:17" x14ac:dyDescent="0.4">
      <c r="A22" s="57" t="s">
        <v>263</v>
      </c>
      <c r="B22" s="49">
        <v>23</v>
      </c>
      <c r="C22" s="165">
        <v>4</v>
      </c>
      <c r="E22" s="65" t="s">
        <v>80</v>
      </c>
      <c r="F22" s="62" t="s">
        <v>33</v>
      </c>
      <c r="G22" s="49">
        <v>0</v>
      </c>
      <c r="H22" s="137">
        <f>IF(B$29=0,0,G22/B$29)</f>
        <v>0</v>
      </c>
      <c r="I22" s="98">
        <v>1</v>
      </c>
      <c r="K22" s="40">
        <v>20</v>
      </c>
      <c r="L22" s="103">
        <v>152.50000000000003</v>
      </c>
    </row>
    <row r="23" spans="1:17" x14ac:dyDescent="0.4">
      <c r="A23" s="57" t="s">
        <v>5</v>
      </c>
      <c r="B23" s="53">
        <f>IF(B$17=0,0,C23/B$17)</f>
        <v>11054.794520547945</v>
      </c>
      <c r="C23" s="43">
        <v>807000</v>
      </c>
      <c r="E23" s="65" t="s">
        <v>81</v>
      </c>
      <c r="F23" s="62" t="s">
        <v>34</v>
      </c>
      <c r="G23" s="49">
        <v>0</v>
      </c>
      <c r="H23" s="137">
        <f>IF(B$29=0,0,G23/B$29)</f>
        <v>0</v>
      </c>
      <c r="I23" s="98">
        <v>7</v>
      </c>
      <c r="K23" s="40">
        <v>21</v>
      </c>
      <c r="L23" s="103">
        <v>138.00000000000003</v>
      </c>
    </row>
    <row r="24" spans="1:17" x14ac:dyDescent="0.4">
      <c r="A24" s="59" t="s">
        <v>14</v>
      </c>
      <c r="B24" s="54">
        <f>IF(B$20=0,0,C24/B$20)</f>
        <v>-8859.5744680851058</v>
      </c>
      <c r="C24" s="47">
        <v>-416400</v>
      </c>
      <c r="E24" s="65" t="s">
        <v>84</v>
      </c>
      <c r="F24" s="62" t="s">
        <v>37</v>
      </c>
      <c r="G24" s="49">
        <v>0</v>
      </c>
      <c r="H24" s="137">
        <f>IF(B$29=0,0,G24/B$29)</f>
        <v>0</v>
      </c>
      <c r="I24" s="98">
        <v>1</v>
      </c>
      <c r="K24" s="40">
        <v>22</v>
      </c>
      <c r="L24" s="103">
        <v>101.30000000000003</v>
      </c>
    </row>
    <row r="25" spans="1:17" x14ac:dyDescent="0.4">
      <c r="A25" s="94" t="s">
        <v>158</v>
      </c>
      <c r="B25" s="143">
        <v>7</v>
      </c>
      <c r="C25" s="144"/>
      <c r="E25" s="65" t="s">
        <v>85</v>
      </c>
      <c r="F25" s="62" t="s">
        <v>38</v>
      </c>
      <c r="G25" s="49">
        <v>0</v>
      </c>
      <c r="H25" s="137">
        <f>IF(B$29=0,0,G25/B$29)</f>
        <v>0</v>
      </c>
      <c r="I25" s="98">
        <v>3</v>
      </c>
      <c r="K25" s="40">
        <v>23</v>
      </c>
      <c r="L25" s="103">
        <v>53.800000000000026</v>
      </c>
    </row>
    <row r="26" spans="1:17" x14ac:dyDescent="0.4">
      <c r="A26" s="60" t="s">
        <v>198</v>
      </c>
      <c r="B26" s="141">
        <v>109300</v>
      </c>
      <c r="C26" s="142"/>
      <c r="E26" s="65" t="s">
        <v>86</v>
      </c>
      <c r="F26" s="62" t="s">
        <v>39</v>
      </c>
      <c r="G26" s="49">
        <v>0</v>
      </c>
      <c r="H26" s="137">
        <f>IF(B$29=0,0,G26/B$29)</f>
        <v>0</v>
      </c>
      <c r="I26" s="98">
        <v>10</v>
      </c>
      <c r="K26" s="40">
        <v>24</v>
      </c>
      <c r="L26" s="103">
        <v>81.500000000000028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87</v>
      </c>
      <c r="F27" s="62" t="s">
        <v>40</v>
      </c>
      <c r="G27" s="49">
        <v>0</v>
      </c>
      <c r="H27" s="137">
        <f>IF(B$29=0,0,G27/B$29)</f>
        <v>0</v>
      </c>
      <c r="I27" s="98">
        <v>1</v>
      </c>
      <c r="K27" s="40">
        <v>25</v>
      </c>
      <c r="L27" s="103">
        <v>79.500000000000028</v>
      </c>
    </row>
    <row r="28" spans="1:17" x14ac:dyDescent="0.4">
      <c r="A28" s="56" t="s">
        <v>126</v>
      </c>
      <c r="B28" s="147">
        <v>188</v>
      </c>
      <c r="C28" s="148"/>
      <c r="E28" s="65" t="s">
        <v>89</v>
      </c>
      <c r="F28" s="62" t="s">
        <v>42</v>
      </c>
      <c r="G28" s="49">
        <v>0</v>
      </c>
      <c r="H28" s="137">
        <f>IF(B$29=0,0,G28/B$29)</f>
        <v>0</v>
      </c>
      <c r="I28" s="98">
        <v>5</v>
      </c>
      <c r="K28" s="40">
        <v>26</v>
      </c>
      <c r="L28" s="103">
        <v>51.10000000000003</v>
      </c>
    </row>
    <row r="29" spans="1:17" x14ac:dyDescent="0.4">
      <c r="A29" s="59" t="s">
        <v>127</v>
      </c>
      <c r="B29" s="149">
        <v>45</v>
      </c>
      <c r="C29" s="150"/>
      <c r="E29" s="65" t="s">
        <v>90</v>
      </c>
      <c r="F29" s="62" t="s">
        <v>43</v>
      </c>
      <c r="G29" s="49">
        <v>0</v>
      </c>
      <c r="H29" s="137">
        <f>IF(B$29=0,0,G29/B$29)</f>
        <v>0</v>
      </c>
      <c r="I29" s="98">
        <v>6</v>
      </c>
      <c r="K29" s="40">
        <v>27</v>
      </c>
      <c r="L29" s="103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37">
        <f>IF(B$29=0,0,G30/B$29)</f>
        <v>0</v>
      </c>
      <c r="I30" s="98">
        <v>5</v>
      </c>
      <c r="K30" s="40">
        <v>28</v>
      </c>
      <c r="L30" s="103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  <c r="K33" s="40">
        <v>31</v>
      </c>
      <c r="L33" s="103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-9.3999999999999773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E5BB4-6041-413B-B473-EE539273726E}">
  <sheetPr codeName="Sheet25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139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131</v>
      </c>
      <c r="C2" s="148"/>
      <c r="E2" s="64" t="s">
        <v>71</v>
      </c>
      <c r="F2" s="61" t="s">
        <v>25</v>
      </c>
      <c r="G2" s="48">
        <v>254</v>
      </c>
      <c r="H2" s="136">
        <f>IF(B$29=0,0,G2/B$29)</f>
        <v>0.91366906474820142</v>
      </c>
      <c r="I2" s="97">
        <v>4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-1304.724409448819</v>
      </c>
      <c r="P2" s="122">
        <v>127</v>
      </c>
      <c r="Q2" s="106">
        <v>-165700</v>
      </c>
    </row>
    <row r="3" spans="1:17" x14ac:dyDescent="0.4">
      <c r="A3" s="57" t="s">
        <v>8</v>
      </c>
      <c r="B3" s="153">
        <v>1016</v>
      </c>
      <c r="C3" s="154"/>
      <c r="E3" s="65" t="s">
        <v>69</v>
      </c>
      <c r="F3" s="62" t="s">
        <v>23</v>
      </c>
      <c r="G3" s="49">
        <v>213</v>
      </c>
      <c r="H3" s="137">
        <f>IF(B$29=0,0,G3/B$29)</f>
        <v>0.76618705035971224</v>
      </c>
      <c r="I3" s="98">
        <v>3</v>
      </c>
      <c r="K3" s="40">
        <v>1</v>
      </c>
      <c r="L3" s="103">
        <v>3.9</v>
      </c>
      <c r="N3" s="119" t="s">
        <v>148</v>
      </c>
      <c r="O3" s="126">
        <f t="shared" si="0"/>
        <v>444</v>
      </c>
      <c r="P3" s="123">
        <v>125</v>
      </c>
      <c r="Q3" s="107">
        <v>55500</v>
      </c>
    </row>
    <row r="4" spans="1:17" x14ac:dyDescent="0.4">
      <c r="A4" s="57" t="s">
        <v>6</v>
      </c>
      <c r="B4" s="155">
        <v>-461.2999999999999</v>
      </c>
      <c r="C4" s="156"/>
      <c r="E4" s="65" t="s">
        <v>67</v>
      </c>
      <c r="F4" s="62" t="s">
        <v>21</v>
      </c>
      <c r="G4" s="49">
        <v>169</v>
      </c>
      <c r="H4" s="137">
        <f>IF(B$29=0,0,G4/B$29)</f>
        <v>0.6079136690647482</v>
      </c>
      <c r="I4" s="98">
        <v>5</v>
      </c>
      <c r="K4" s="40">
        <v>2</v>
      </c>
      <c r="L4" s="103">
        <v>-33.9</v>
      </c>
      <c r="N4" s="119" t="s">
        <v>149</v>
      </c>
      <c r="O4" s="126">
        <f t="shared" si="0"/>
        <v>-257.14285714285717</v>
      </c>
      <c r="P4" s="123">
        <v>119</v>
      </c>
      <c r="Q4" s="107">
        <v>-30600</v>
      </c>
    </row>
    <row r="5" spans="1:17" x14ac:dyDescent="0.4">
      <c r="A5" s="57" t="s">
        <v>7</v>
      </c>
      <c r="B5" s="157">
        <f>IF(B$2=0,0,B$4/B$2)</f>
        <v>-3.5213740458015259</v>
      </c>
      <c r="C5" s="158"/>
      <c r="E5" s="65" t="s">
        <v>76</v>
      </c>
      <c r="F5" s="62" t="s">
        <v>29</v>
      </c>
      <c r="G5" s="49">
        <v>163</v>
      </c>
      <c r="H5" s="137">
        <f>IF(B$29=0,0,G5/B$29)</f>
        <v>0.58633093525179858</v>
      </c>
      <c r="I5" s="98">
        <v>6</v>
      </c>
      <c r="K5" s="40">
        <v>3</v>
      </c>
      <c r="L5" s="103">
        <v>-70.099999999999994</v>
      </c>
      <c r="N5" s="119" t="s">
        <v>150</v>
      </c>
      <c r="O5" s="126">
        <f t="shared" si="0"/>
        <v>57.943925233644862</v>
      </c>
      <c r="P5" s="123">
        <v>107</v>
      </c>
      <c r="Q5" s="107">
        <v>6200</v>
      </c>
    </row>
    <row r="6" spans="1:17" x14ac:dyDescent="0.4">
      <c r="A6" s="57" t="s">
        <v>1</v>
      </c>
      <c r="B6" s="145">
        <f>IF(B$2=0,0,(B$7*1+B$8*2+B$9*3)/B$2)</f>
        <v>2.1603053435114505</v>
      </c>
      <c r="C6" s="146"/>
      <c r="E6" s="65" t="s">
        <v>70</v>
      </c>
      <c r="F6" s="62" t="s">
        <v>24</v>
      </c>
      <c r="G6" s="49">
        <v>102</v>
      </c>
      <c r="H6" s="137">
        <f>IF(B$29=0,0,G6/B$29)</f>
        <v>0.36690647482014388</v>
      </c>
      <c r="I6" s="98">
        <v>4</v>
      </c>
      <c r="K6" s="40">
        <v>4</v>
      </c>
      <c r="L6" s="103">
        <v>-35.099999999999994</v>
      </c>
      <c r="N6" s="119" t="s">
        <v>151</v>
      </c>
      <c r="O6" s="126">
        <f t="shared" si="0"/>
        <v>-2685.8585858585857</v>
      </c>
      <c r="P6" s="123">
        <v>99</v>
      </c>
      <c r="Q6" s="107">
        <v>-265900</v>
      </c>
    </row>
    <row r="7" spans="1:17" x14ac:dyDescent="0.4">
      <c r="A7" s="57" t="s">
        <v>2</v>
      </c>
      <c r="B7" s="49">
        <v>32</v>
      </c>
      <c r="C7" s="41">
        <f>IF(B$2=0,0,B7/B$2)</f>
        <v>0.24427480916030533</v>
      </c>
      <c r="E7" s="65" t="s">
        <v>72</v>
      </c>
      <c r="F7" s="62" t="s">
        <v>12</v>
      </c>
      <c r="G7" s="49">
        <v>87</v>
      </c>
      <c r="H7" s="137">
        <f>IF(B$29=0,0,G7/B$29)</f>
        <v>0.31294964028776978</v>
      </c>
      <c r="I7" s="98">
        <v>6</v>
      </c>
      <c r="K7" s="40">
        <v>5</v>
      </c>
      <c r="L7" s="103">
        <v>-80.099999999999994</v>
      </c>
      <c r="N7" s="120" t="s">
        <v>152</v>
      </c>
      <c r="O7" s="127">
        <f t="shared" si="0"/>
        <v>635.80246913580243</v>
      </c>
      <c r="P7" s="124">
        <v>81</v>
      </c>
      <c r="Q7" s="108">
        <v>51500</v>
      </c>
    </row>
    <row r="8" spans="1:17" x14ac:dyDescent="0.4">
      <c r="A8" s="57" t="s">
        <v>3</v>
      </c>
      <c r="B8" s="49">
        <v>46</v>
      </c>
      <c r="C8" s="41">
        <f>IF(B$2=0,0,B8/B$2)</f>
        <v>0.35114503816793891</v>
      </c>
      <c r="E8" s="65" t="s">
        <v>73</v>
      </c>
      <c r="F8" s="62" t="s">
        <v>26</v>
      </c>
      <c r="G8" s="49">
        <v>43</v>
      </c>
      <c r="H8" s="137">
        <f>IF(B$29=0,0,G8/B$29)</f>
        <v>0.15467625899280577</v>
      </c>
      <c r="I8" s="98">
        <v>5</v>
      </c>
      <c r="K8" s="40">
        <v>6</v>
      </c>
      <c r="L8" s="103">
        <v>-116.1</v>
      </c>
      <c r="N8" s="45"/>
      <c r="O8" s="131"/>
      <c r="P8" s="115"/>
      <c r="Q8" s="113"/>
    </row>
    <row r="9" spans="1:17" x14ac:dyDescent="0.4">
      <c r="A9" s="58" t="s">
        <v>4</v>
      </c>
      <c r="B9" s="50">
        <v>53</v>
      </c>
      <c r="C9" s="42">
        <f t="shared" ref="C9" si="1">IF(B$2=0,0,B9/B$2)</f>
        <v>0.40458015267175573</v>
      </c>
      <c r="E9" s="65" t="s">
        <v>94</v>
      </c>
      <c r="F9" s="62" t="s">
        <v>47</v>
      </c>
      <c r="G9" s="49">
        <v>35</v>
      </c>
      <c r="H9" s="137">
        <f>IF(B$29=0,0,G9/B$29)</f>
        <v>0.12589928057553956</v>
      </c>
      <c r="I9" s="98">
        <v>10</v>
      </c>
      <c r="K9" s="40">
        <v>7</v>
      </c>
      <c r="L9" s="103">
        <v>-147.4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23</v>
      </c>
      <c r="C10" s="42">
        <f>IF(B$2=0,0,B10/B$2)</f>
        <v>0.17557251908396945</v>
      </c>
      <c r="E10" s="65" t="s">
        <v>74</v>
      </c>
      <c r="F10" s="62" t="s">
        <v>27</v>
      </c>
      <c r="G10" s="49">
        <v>34</v>
      </c>
      <c r="H10" s="137">
        <f>IF(B$29=0,0,G10/B$29)</f>
        <v>0.1223021582733813</v>
      </c>
      <c r="I10" s="98">
        <v>4</v>
      </c>
      <c r="K10" s="40">
        <v>8</v>
      </c>
      <c r="L10" s="103">
        <v>-146</v>
      </c>
      <c r="N10" s="118" t="s">
        <v>250</v>
      </c>
      <c r="O10" s="128">
        <f>IF(P10=0,0,Q10/P10)</f>
        <v>-9.8355555555555565</v>
      </c>
      <c r="P10" s="122">
        <v>45</v>
      </c>
      <c r="Q10" s="110">
        <v>-442.60000000000008</v>
      </c>
    </row>
    <row r="11" spans="1:17" x14ac:dyDescent="0.4">
      <c r="A11" s="58" t="s">
        <v>155</v>
      </c>
      <c r="B11" s="50">
        <v>19</v>
      </c>
      <c r="C11" s="42">
        <f>IF(B$2=0,0,B11/B$2)</f>
        <v>0.14503816793893129</v>
      </c>
      <c r="E11" s="65" t="s">
        <v>68</v>
      </c>
      <c r="F11" s="62" t="s">
        <v>22</v>
      </c>
      <c r="G11" s="49">
        <v>31</v>
      </c>
      <c r="H11" s="137">
        <f>IF(B$29=0,0,G11/B$29)</f>
        <v>0.11151079136690648</v>
      </c>
      <c r="I11" s="98">
        <v>9</v>
      </c>
      <c r="K11" s="40">
        <v>9</v>
      </c>
      <c r="L11" s="103">
        <v>-173</v>
      </c>
      <c r="N11" s="119" t="s">
        <v>251</v>
      </c>
      <c r="O11" s="129">
        <f>IF(P11=0,0,Q11/P11)</f>
        <v>1.8440000000000001</v>
      </c>
      <c r="P11" s="123">
        <v>50</v>
      </c>
      <c r="Q11" s="111">
        <v>92.2</v>
      </c>
    </row>
    <row r="12" spans="1:17" x14ac:dyDescent="0.4">
      <c r="A12" s="59" t="s">
        <v>238</v>
      </c>
      <c r="B12" s="51">
        <v>12</v>
      </c>
      <c r="C12" s="44">
        <f>IF(B$2=0,0,B12/B$2)</f>
        <v>9.1603053435114504E-2</v>
      </c>
      <c r="E12" s="65" t="s">
        <v>91</v>
      </c>
      <c r="F12" s="62" t="s">
        <v>44</v>
      </c>
      <c r="G12" s="49">
        <v>24</v>
      </c>
      <c r="H12" s="137">
        <f>IF(B$29=0,0,G12/B$29)</f>
        <v>8.6330935251798566E-2</v>
      </c>
      <c r="I12" s="98">
        <v>6</v>
      </c>
      <c r="K12" s="40">
        <v>10</v>
      </c>
      <c r="L12" s="103">
        <v>-206.1</v>
      </c>
      <c r="N12" s="120" t="s">
        <v>252</v>
      </c>
      <c r="O12" s="130">
        <f>IF(P12=0,0,Q12/P12)</f>
        <v>4.2424242424242378E-2</v>
      </c>
      <c r="P12" s="124">
        <v>33</v>
      </c>
      <c r="Q12" s="112">
        <v>1.3999999999999986</v>
      </c>
    </row>
    <row r="13" spans="1:17" x14ac:dyDescent="0.4">
      <c r="A13" s="60" t="s">
        <v>128</v>
      </c>
      <c r="B13" s="52">
        <v>296</v>
      </c>
      <c r="C13" s="46">
        <f>IF(B$28=0,0,B13/B$28)</f>
        <v>0.30234933605720121</v>
      </c>
      <c r="E13" s="65" t="s">
        <v>82</v>
      </c>
      <c r="F13" s="62" t="s">
        <v>35</v>
      </c>
      <c r="G13" s="49">
        <v>10</v>
      </c>
      <c r="H13" s="137">
        <f>IF(B$29=0,0,G13/B$29)</f>
        <v>3.5971223021582732E-2</v>
      </c>
      <c r="I13" s="98">
        <v>5</v>
      </c>
      <c r="K13" s="40">
        <v>11</v>
      </c>
      <c r="L13" s="103">
        <v>-174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181</v>
      </c>
      <c r="C14" s="41">
        <f>IF(B$28=0,0,B14/B$28)</f>
        <v>0.18488253319713993</v>
      </c>
      <c r="E14" s="65" t="s">
        <v>75</v>
      </c>
      <c r="F14" s="62" t="s">
        <v>28</v>
      </c>
      <c r="G14" s="49">
        <v>8</v>
      </c>
      <c r="H14" s="137">
        <f>IF(B$29=0,0,G14/B$29)</f>
        <v>2.8776978417266189E-2</v>
      </c>
      <c r="I14" s="98">
        <v>10</v>
      </c>
      <c r="K14" s="40">
        <v>12</v>
      </c>
      <c r="L14" s="103">
        <v>-197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173</v>
      </c>
      <c r="C15" s="39">
        <f>IF(B$13=0,0,B15/B$13)</f>
        <v>0.58445945945945943</v>
      </c>
      <c r="E15" s="65" t="s">
        <v>88</v>
      </c>
      <c r="F15" s="62" t="s">
        <v>41</v>
      </c>
      <c r="G15" s="49">
        <v>8</v>
      </c>
      <c r="H15" s="137">
        <f>IF(B$29=0,0,G15/B$29)</f>
        <v>2.8776978417266189E-2</v>
      </c>
      <c r="I15" s="98">
        <v>9</v>
      </c>
      <c r="K15" s="40">
        <v>13</v>
      </c>
      <c r="L15" s="103">
        <v>-235</v>
      </c>
      <c r="N15" s="118" t="s">
        <v>247</v>
      </c>
      <c r="O15" s="128">
        <f>IF(P15=0,0,Q15/P15)</f>
        <v>28.18</v>
      </c>
      <c r="P15" s="122">
        <v>5</v>
      </c>
      <c r="Q15" s="110">
        <v>140.9</v>
      </c>
    </row>
    <row r="16" spans="1:17" x14ac:dyDescent="0.4">
      <c r="A16" s="56" t="s">
        <v>131</v>
      </c>
      <c r="B16" s="48">
        <v>71</v>
      </c>
      <c r="C16" s="39">
        <f>IF(B$14=0,0,B16/B$14)</f>
        <v>0.39226519337016574</v>
      </c>
      <c r="E16" s="65" t="s">
        <v>86</v>
      </c>
      <c r="F16" s="62" t="s">
        <v>39</v>
      </c>
      <c r="G16" s="49">
        <v>6</v>
      </c>
      <c r="H16" s="137">
        <f>IF(B$29=0,0,G16/B$29)</f>
        <v>2.1582733812949641E-2</v>
      </c>
      <c r="I16" s="98">
        <v>8</v>
      </c>
      <c r="K16" s="40">
        <v>14</v>
      </c>
      <c r="L16" s="103">
        <v>-231</v>
      </c>
      <c r="N16" s="119" t="s">
        <v>194</v>
      </c>
      <c r="O16" s="129">
        <f>IF(P16=0,0,Q16/P16)</f>
        <v>25.3</v>
      </c>
      <c r="P16" s="123">
        <v>2</v>
      </c>
      <c r="Q16" s="111">
        <v>50.6</v>
      </c>
    </row>
    <row r="17" spans="1:17" x14ac:dyDescent="0.4">
      <c r="A17" s="56" t="s">
        <v>10</v>
      </c>
      <c r="B17" s="48">
        <f>B19+B18</f>
        <v>288</v>
      </c>
      <c r="C17" s="39">
        <f>IF(B$3=0,0,B17/B$3)</f>
        <v>0.28346456692913385</v>
      </c>
      <c r="E17" s="65" t="s">
        <v>96</v>
      </c>
      <c r="F17" s="62" t="s">
        <v>49</v>
      </c>
      <c r="G17" s="49">
        <v>6</v>
      </c>
      <c r="H17" s="137">
        <f>IF(B$29=0,0,G17/B$29)</f>
        <v>2.1582733812949641E-2</v>
      </c>
      <c r="I17" s="98">
        <v>6</v>
      </c>
      <c r="K17" s="40">
        <v>15</v>
      </c>
      <c r="L17" s="103">
        <v>-212.5</v>
      </c>
      <c r="N17" s="119" t="s">
        <v>138</v>
      </c>
      <c r="O17" s="129">
        <f>IF(P17=0,0,Q17/P17)</f>
        <v>19.924999999999997</v>
      </c>
      <c r="P17" s="123">
        <v>4</v>
      </c>
      <c r="Q17" s="111">
        <v>79.699999999999989</v>
      </c>
    </row>
    <row r="18" spans="1:17" x14ac:dyDescent="0.4">
      <c r="A18" s="57" t="s">
        <v>12</v>
      </c>
      <c r="B18" s="49">
        <v>126</v>
      </c>
      <c r="C18" s="41">
        <f>IF(B$17=0,0,B18/B$17)</f>
        <v>0.4375</v>
      </c>
      <c r="E18" s="65" t="s">
        <v>77</v>
      </c>
      <c r="F18" s="62" t="s">
        <v>30</v>
      </c>
      <c r="G18" s="49">
        <v>4</v>
      </c>
      <c r="H18" s="137">
        <f>IF(B$29=0,0,G18/B$29)</f>
        <v>1.4388489208633094E-2</v>
      </c>
      <c r="I18" s="98">
        <v>3</v>
      </c>
      <c r="K18" s="40">
        <v>16</v>
      </c>
      <c r="L18" s="103">
        <v>-233.2</v>
      </c>
      <c r="N18" s="119" t="s">
        <v>157</v>
      </c>
      <c r="O18" s="129">
        <f>IF(P18=0,0,Q18/P18)</f>
        <v>13.440000000000001</v>
      </c>
      <c r="P18" s="123">
        <v>20</v>
      </c>
      <c r="Q18" s="111">
        <v>268.8</v>
      </c>
    </row>
    <row r="19" spans="1:17" x14ac:dyDescent="0.4">
      <c r="A19" s="57" t="s">
        <v>11</v>
      </c>
      <c r="B19" s="49">
        <v>162</v>
      </c>
      <c r="C19" s="41">
        <f>IF(B$17=0,0,B19/B$17)</f>
        <v>0.5625</v>
      </c>
      <c r="E19" s="65" t="s">
        <v>83</v>
      </c>
      <c r="F19" s="62" t="s">
        <v>36</v>
      </c>
      <c r="G19" s="49">
        <v>4</v>
      </c>
      <c r="H19" s="137">
        <f>IF(B$29=0,0,G19/B$29)</f>
        <v>1.4388489208633094E-2</v>
      </c>
      <c r="I19" s="98">
        <v>6</v>
      </c>
      <c r="K19" s="40">
        <v>17</v>
      </c>
      <c r="L19" s="103">
        <v>-268.7</v>
      </c>
      <c r="N19" s="119" t="s">
        <v>135</v>
      </c>
      <c r="O19" s="129">
        <f>IF(P19=0,0,Q19/P19)</f>
        <v>8.8833333333333329</v>
      </c>
      <c r="P19" s="123">
        <v>12</v>
      </c>
      <c r="Q19" s="111">
        <v>106.6</v>
      </c>
    </row>
    <row r="20" spans="1:17" x14ac:dyDescent="0.4">
      <c r="A20" s="57" t="s">
        <v>13</v>
      </c>
      <c r="B20" s="49">
        <v>197</v>
      </c>
      <c r="C20" s="41">
        <f>IF(B$3=0,0,B20/B$3)</f>
        <v>0.19389763779527558</v>
      </c>
      <c r="E20" s="65" t="s">
        <v>79</v>
      </c>
      <c r="F20" s="62" t="s">
        <v>32</v>
      </c>
      <c r="G20" s="49">
        <v>3</v>
      </c>
      <c r="H20" s="137">
        <f>IF(B$29=0,0,G20/B$29)</f>
        <v>1.0791366906474821E-2</v>
      </c>
      <c r="I20" s="98">
        <v>1</v>
      </c>
      <c r="K20" s="40">
        <v>18</v>
      </c>
      <c r="L20" s="103">
        <v>-295.8</v>
      </c>
      <c r="N20" s="119" t="s">
        <v>136</v>
      </c>
      <c r="O20" s="129">
        <f>IF(P20=0,0,Q20/P20)</f>
        <v>0.35263157894736707</v>
      </c>
      <c r="P20" s="123">
        <v>19</v>
      </c>
      <c r="Q20" s="111">
        <v>6.6999999999999744</v>
      </c>
    </row>
    <row r="21" spans="1:17" x14ac:dyDescent="0.4">
      <c r="A21" s="57" t="s">
        <v>13</v>
      </c>
      <c r="B21" s="49">
        <v>7</v>
      </c>
      <c r="C21" s="41">
        <v>0</v>
      </c>
      <c r="E21" s="65" t="s">
        <v>98</v>
      </c>
      <c r="F21" s="62" t="s">
        <v>51</v>
      </c>
      <c r="G21" s="49">
        <v>2</v>
      </c>
      <c r="H21" s="137">
        <f>IF(B$29=0,0,G21/B$29)</f>
        <v>7.1942446043165471E-3</v>
      </c>
      <c r="I21" s="98">
        <v>3</v>
      </c>
      <c r="K21" s="40">
        <v>19</v>
      </c>
      <c r="L21" s="103">
        <v>-273.2</v>
      </c>
      <c r="N21" s="119" t="s">
        <v>134</v>
      </c>
      <c r="O21" s="129">
        <f>IF(P21=0,0,Q21/P21)</f>
        <v>-3.1104166666666635</v>
      </c>
      <c r="P21" s="123">
        <v>48</v>
      </c>
      <c r="Q21" s="111">
        <v>-149.29999999999984</v>
      </c>
    </row>
    <row r="22" spans="1:17" x14ac:dyDescent="0.4">
      <c r="A22" s="57" t="s">
        <v>263</v>
      </c>
      <c r="B22" s="49">
        <v>30</v>
      </c>
      <c r="C22" s="165">
        <v>10</v>
      </c>
      <c r="E22" s="65" t="s">
        <v>78</v>
      </c>
      <c r="F22" s="62" t="s">
        <v>31</v>
      </c>
      <c r="G22" s="49">
        <v>1</v>
      </c>
      <c r="H22" s="137">
        <f>IF(B$29=0,0,G22/B$29)</f>
        <v>3.5971223021582736E-3</v>
      </c>
      <c r="I22" s="98">
        <v>4</v>
      </c>
      <c r="K22" s="40">
        <v>20</v>
      </c>
      <c r="L22" s="103">
        <v>-270</v>
      </c>
      <c r="N22" s="119" t="s">
        <v>167</v>
      </c>
      <c r="O22" s="129">
        <f>IF(P22=0,0,Q22/P22)</f>
        <v>-3.9666666666666663</v>
      </c>
      <c r="P22" s="123">
        <v>3</v>
      </c>
      <c r="Q22" s="111">
        <v>-11.899999999999999</v>
      </c>
    </row>
    <row r="23" spans="1:17" x14ac:dyDescent="0.4">
      <c r="A23" s="57" t="s">
        <v>5</v>
      </c>
      <c r="B23" s="53">
        <f>IF(B$17=0,0,C23/B$17)</f>
        <v>10578.125</v>
      </c>
      <c r="C23" s="43">
        <v>3046500</v>
      </c>
      <c r="E23" s="65" t="s">
        <v>81</v>
      </c>
      <c r="F23" s="62" t="s">
        <v>34</v>
      </c>
      <c r="G23" s="49">
        <v>1</v>
      </c>
      <c r="H23" s="137">
        <f>IF(B$29=0,0,G23/B$29)</f>
        <v>3.5971223021582736E-3</v>
      </c>
      <c r="I23" s="98">
        <v>6</v>
      </c>
      <c r="K23" s="40">
        <v>21</v>
      </c>
      <c r="L23" s="103">
        <v>-242</v>
      </c>
      <c r="N23" s="119" t="s">
        <v>133</v>
      </c>
      <c r="O23" s="129">
        <f>IF(P23=0,0,Q23/P23)</f>
        <v>-11.685849056603772</v>
      </c>
      <c r="P23" s="123">
        <v>106</v>
      </c>
      <c r="Q23" s="111">
        <v>-1238.6999999999998</v>
      </c>
    </row>
    <row r="24" spans="1:17" x14ac:dyDescent="0.4">
      <c r="A24" s="59" t="s">
        <v>14</v>
      </c>
      <c r="B24" s="54">
        <f>IF(B$20=0,0,C24/B$20)</f>
        <v>-9493.4010152284263</v>
      </c>
      <c r="C24" s="47">
        <v>-1870200</v>
      </c>
      <c r="E24" s="65" t="s">
        <v>89</v>
      </c>
      <c r="F24" s="62" t="s">
        <v>42</v>
      </c>
      <c r="G24" s="49">
        <v>1</v>
      </c>
      <c r="H24" s="137">
        <f>IF(B$29=0,0,G24/B$29)</f>
        <v>3.5971223021582736E-3</v>
      </c>
      <c r="I24" s="98">
        <v>3</v>
      </c>
      <c r="K24" s="40">
        <v>22</v>
      </c>
      <c r="L24" s="103">
        <v>-202.9</v>
      </c>
      <c r="N24" s="119" t="s">
        <v>137</v>
      </c>
      <c r="O24" s="129">
        <f>IF(P24=0,0,Q24/P24)</f>
        <v>-14.63170731707317</v>
      </c>
      <c r="P24" s="123">
        <v>41</v>
      </c>
      <c r="Q24" s="111">
        <v>-599.9</v>
      </c>
    </row>
    <row r="25" spans="1:17" x14ac:dyDescent="0.4">
      <c r="A25" s="94" t="s">
        <v>158</v>
      </c>
      <c r="B25" s="143">
        <v>7</v>
      </c>
      <c r="C25" s="144"/>
      <c r="E25" s="65" t="s">
        <v>90</v>
      </c>
      <c r="F25" s="62" t="s">
        <v>43</v>
      </c>
      <c r="G25" s="49">
        <v>1</v>
      </c>
      <c r="H25" s="137">
        <f>IF(B$29=0,0,G25/B$29)</f>
        <v>3.5971223021582736E-3</v>
      </c>
      <c r="I25" s="98">
        <v>5</v>
      </c>
      <c r="K25" s="40">
        <v>23</v>
      </c>
      <c r="L25" s="103">
        <v>-200.9</v>
      </c>
      <c r="N25" s="119" t="s">
        <v>171</v>
      </c>
      <c r="O25" s="129">
        <f>IF(P25=0,0,Q25/P25)</f>
        <v>-17.200000000000003</v>
      </c>
      <c r="P25" s="123">
        <v>2</v>
      </c>
      <c r="Q25" s="111">
        <v>-34.400000000000006</v>
      </c>
    </row>
    <row r="26" spans="1:17" x14ac:dyDescent="0.4">
      <c r="A26" s="60" t="s">
        <v>198</v>
      </c>
      <c r="B26" s="141">
        <v>124700</v>
      </c>
      <c r="C26" s="142"/>
      <c r="E26" s="65" t="s">
        <v>92</v>
      </c>
      <c r="F26" s="62" t="s">
        <v>45</v>
      </c>
      <c r="G26" s="49">
        <v>1</v>
      </c>
      <c r="H26" s="137">
        <f>IF(B$29=0,0,G26/B$29)</f>
        <v>3.5971223021582736E-3</v>
      </c>
      <c r="I26" s="98">
        <v>3</v>
      </c>
      <c r="K26" s="40">
        <v>24</v>
      </c>
      <c r="L26" s="103">
        <v>-168.2</v>
      </c>
    </row>
    <row r="27" spans="1:17" x14ac:dyDescent="0.4">
      <c r="A27" s="59" t="s">
        <v>159</v>
      </c>
      <c r="B27" s="67">
        <v>7</v>
      </c>
      <c r="C27" s="44">
        <f>IF(B$3=0,0,B27/B$3)</f>
        <v>6.889763779527559E-3</v>
      </c>
      <c r="E27" s="65" t="s">
        <v>95</v>
      </c>
      <c r="F27" s="62" t="s">
        <v>48</v>
      </c>
      <c r="G27" s="49">
        <v>1</v>
      </c>
      <c r="H27" s="137">
        <f>IF(B$29=0,0,G27/B$29)</f>
        <v>3.5971223021582736E-3</v>
      </c>
      <c r="I27" s="98">
        <v>1</v>
      </c>
      <c r="K27" s="40">
        <v>25</v>
      </c>
      <c r="L27" s="103">
        <v>-216.89999999999998</v>
      </c>
    </row>
    <row r="28" spans="1:17" x14ac:dyDescent="0.4">
      <c r="A28" s="56" t="s">
        <v>126</v>
      </c>
      <c r="B28" s="147">
        <v>979</v>
      </c>
      <c r="C28" s="148"/>
      <c r="E28" s="65" t="s">
        <v>97</v>
      </c>
      <c r="F28" s="62" t="s">
        <v>50</v>
      </c>
      <c r="G28" s="49">
        <v>1</v>
      </c>
      <c r="H28" s="137">
        <f>IF(B$29=0,0,G28/B$29)</f>
        <v>3.5971223021582736E-3</v>
      </c>
      <c r="I28" s="98">
        <v>6</v>
      </c>
      <c r="K28" s="40">
        <v>26</v>
      </c>
      <c r="L28" s="103">
        <v>-256.29999999999995</v>
      </c>
    </row>
    <row r="29" spans="1:17" x14ac:dyDescent="0.4">
      <c r="A29" s="59" t="s">
        <v>127</v>
      </c>
      <c r="B29" s="149">
        <v>278</v>
      </c>
      <c r="C29" s="150"/>
      <c r="E29" s="65" t="s">
        <v>80</v>
      </c>
      <c r="F29" s="62" t="s">
        <v>33</v>
      </c>
      <c r="G29" s="49">
        <v>0</v>
      </c>
      <c r="H29" s="137">
        <f>IF(B$29=0,0,G29/B$29)</f>
        <v>0</v>
      </c>
      <c r="I29" s="98">
        <v>1</v>
      </c>
      <c r="K29" s="40">
        <v>27</v>
      </c>
      <c r="L29" s="103">
        <v>-296.29999999999995</v>
      </c>
    </row>
    <row r="30" spans="1:17" x14ac:dyDescent="0.4">
      <c r="E30" s="65" t="s">
        <v>84</v>
      </c>
      <c r="F30" s="62" t="s">
        <v>37</v>
      </c>
      <c r="G30" s="49">
        <v>0</v>
      </c>
      <c r="H30" s="137">
        <f>IF(B$29=0,0,G30/B$29)</f>
        <v>0</v>
      </c>
      <c r="I30" s="98">
        <v>1</v>
      </c>
      <c r="K30" s="40">
        <v>28</v>
      </c>
      <c r="L30" s="103">
        <v>-290.19999999999993</v>
      </c>
    </row>
    <row r="31" spans="1:17" x14ac:dyDescent="0.4">
      <c r="E31" s="65" t="s">
        <v>85</v>
      </c>
      <c r="F31" s="62" t="s">
        <v>38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-239.19999999999993</v>
      </c>
    </row>
    <row r="32" spans="1:17" x14ac:dyDescent="0.4">
      <c r="E32" s="65" t="s">
        <v>87</v>
      </c>
      <c r="F32" s="62" t="s">
        <v>40</v>
      </c>
      <c r="G32" s="49">
        <v>0</v>
      </c>
      <c r="H32" s="137">
        <f>IF(B$29=0,0,G32/B$29)</f>
        <v>0</v>
      </c>
      <c r="I32" s="98">
        <v>1</v>
      </c>
      <c r="K32" s="40">
        <v>30</v>
      </c>
      <c r="L32" s="103">
        <v>-257.29999999999995</v>
      </c>
    </row>
    <row r="33" spans="5:12" x14ac:dyDescent="0.4">
      <c r="E33" s="65" t="s">
        <v>93</v>
      </c>
      <c r="F33" s="62" t="s">
        <v>46</v>
      </c>
      <c r="G33" s="49">
        <v>0</v>
      </c>
      <c r="H33" s="137">
        <f>IF(B$29=0,0,G33/B$29)</f>
        <v>0</v>
      </c>
      <c r="I33" s="98">
        <v>3</v>
      </c>
      <c r="K33" s="40">
        <v>31</v>
      </c>
      <c r="L33" s="103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  <c r="K39" s="40">
        <v>37</v>
      </c>
      <c r="L39" s="103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  <c r="K40" s="40">
        <v>38</v>
      </c>
      <c r="L40" s="103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  <c r="K41" s="40">
        <v>39</v>
      </c>
      <c r="L41" s="103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  <c r="K42" s="40">
        <v>40</v>
      </c>
      <c r="L42" s="103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  <c r="K43" s="40">
        <v>41</v>
      </c>
      <c r="L43" s="103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  <c r="K44" s="40">
        <v>42</v>
      </c>
      <c r="L44" s="103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  <c r="K45" s="40">
        <v>43</v>
      </c>
      <c r="L45" s="103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  <c r="K46" s="40">
        <v>44</v>
      </c>
      <c r="L46" s="103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  <c r="K47" s="40">
        <v>45</v>
      </c>
      <c r="L47" s="103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  <c r="K48" s="40">
        <v>46</v>
      </c>
      <c r="L48" s="103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  <c r="K49" s="40">
        <v>47</v>
      </c>
      <c r="L49" s="103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  <c r="K50" s="40">
        <v>48</v>
      </c>
      <c r="L50" s="103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  <c r="K51" s="40">
        <v>49</v>
      </c>
      <c r="L51" s="103">
        <v>-364.49999999999994</v>
      </c>
    </row>
    <row r="52" spans="5:12" x14ac:dyDescent="0.4">
      <c r="K52" s="40">
        <v>50</v>
      </c>
      <c r="L52" s="103">
        <v>-399.99999999999994</v>
      </c>
    </row>
    <row r="53" spans="5:12" x14ac:dyDescent="0.4">
      <c r="K53" s="40">
        <v>51</v>
      </c>
      <c r="L53" s="103">
        <v>-409.99999999999994</v>
      </c>
    </row>
    <row r="54" spans="5:12" x14ac:dyDescent="0.4">
      <c r="K54" s="40">
        <v>52</v>
      </c>
      <c r="L54" s="103">
        <v>-426.39999999999992</v>
      </c>
    </row>
    <row r="55" spans="5:12" x14ac:dyDescent="0.4">
      <c r="K55" s="40">
        <v>53</v>
      </c>
      <c r="L55" s="103">
        <v>-399.89999999999992</v>
      </c>
    </row>
    <row r="56" spans="5:12" x14ac:dyDescent="0.4">
      <c r="K56" s="40">
        <v>54</v>
      </c>
      <c r="L56" s="103">
        <v>-411.19999999999993</v>
      </c>
    </row>
    <row r="57" spans="5:12" x14ac:dyDescent="0.4">
      <c r="K57" s="40">
        <v>55</v>
      </c>
      <c r="L57" s="103">
        <v>-420.49999999999994</v>
      </c>
    </row>
    <row r="58" spans="5:12" x14ac:dyDescent="0.4">
      <c r="K58" s="40">
        <v>56</v>
      </c>
      <c r="L58" s="103">
        <v>-395.39999999999992</v>
      </c>
    </row>
    <row r="59" spans="5:12" x14ac:dyDescent="0.4">
      <c r="K59" s="40">
        <v>57</v>
      </c>
      <c r="L59" s="103">
        <v>-428.89999999999992</v>
      </c>
    </row>
    <row r="60" spans="5:12" x14ac:dyDescent="0.4">
      <c r="K60" s="40">
        <v>58</v>
      </c>
      <c r="L60" s="103">
        <v>-466.39999999999992</v>
      </c>
    </row>
    <row r="61" spans="5:12" x14ac:dyDescent="0.4">
      <c r="K61" s="40">
        <v>59</v>
      </c>
      <c r="L61" s="103">
        <v>-475.7999999999999</v>
      </c>
    </row>
    <row r="62" spans="5:12" x14ac:dyDescent="0.4">
      <c r="K62" s="40">
        <v>60</v>
      </c>
      <c r="L62" s="103">
        <v>-475.2999999999999</v>
      </c>
    </row>
    <row r="63" spans="5:12" x14ac:dyDescent="0.4">
      <c r="K63" s="40">
        <v>61</v>
      </c>
      <c r="L63" s="103">
        <v>-487.39999999999992</v>
      </c>
    </row>
    <row r="64" spans="5:12" x14ac:dyDescent="0.4">
      <c r="K64" s="40">
        <v>62</v>
      </c>
      <c r="L64" s="103">
        <v>-492.59999999999991</v>
      </c>
    </row>
    <row r="65" spans="11:12" x14ac:dyDescent="0.4">
      <c r="K65" s="40">
        <v>63</v>
      </c>
      <c r="L65" s="103">
        <v>-416.09999999999991</v>
      </c>
    </row>
    <row r="66" spans="11:12" x14ac:dyDescent="0.4">
      <c r="K66" s="40">
        <v>64</v>
      </c>
      <c r="L66" s="103">
        <v>-451.89999999999992</v>
      </c>
    </row>
    <row r="67" spans="11:12" x14ac:dyDescent="0.4">
      <c r="K67" s="40">
        <v>65</v>
      </c>
      <c r="L67" s="103">
        <v>-454.09999999999991</v>
      </c>
    </row>
    <row r="68" spans="11:12" x14ac:dyDescent="0.4">
      <c r="K68" s="40">
        <v>66</v>
      </c>
      <c r="L68" s="103">
        <v>-470.99999999999989</v>
      </c>
    </row>
    <row r="69" spans="11:12" x14ac:dyDescent="0.4">
      <c r="K69" s="40">
        <v>67</v>
      </c>
      <c r="L69" s="103">
        <v>-508.39999999999986</v>
      </c>
    </row>
    <row r="70" spans="11:12" x14ac:dyDescent="0.4">
      <c r="K70" s="40">
        <v>68</v>
      </c>
      <c r="L70" s="103">
        <v>-418.69999999999987</v>
      </c>
    </row>
    <row r="71" spans="11:12" x14ac:dyDescent="0.4">
      <c r="K71" s="40">
        <v>69</v>
      </c>
      <c r="L71" s="103">
        <v>-387.49999999999989</v>
      </c>
    </row>
    <row r="72" spans="11:12" x14ac:dyDescent="0.4">
      <c r="K72" s="40">
        <v>70</v>
      </c>
      <c r="L72" s="103">
        <v>-347.2999999999999</v>
      </c>
    </row>
    <row r="73" spans="11:12" x14ac:dyDescent="0.4">
      <c r="K73" s="40">
        <v>71</v>
      </c>
      <c r="L73" s="103">
        <v>-368.2999999999999</v>
      </c>
    </row>
    <row r="74" spans="11:12" x14ac:dyDescent="0.4">
      <c r="K74" s="40">
        <v>72</v>
      </c>
      <c r="L74" s="103">
        <v>-404.2999999999999</v>
      </c>
    </row>
    <row r="75" spans="11:12" x14ac:dyDescent="0.4">
      <c r="K75" s="40">
        <v>73</v>
      </c>
      <c r="L75" s="103">
        <v>-413.69999999999987</v>
      </c>
    </row>
    <row r="76" spans="11:12" x14ac:dyDescent="0.4">
      <c r="K76" s="40">
        <v>74</v>
      </c>
      <c r="L76" s="103">
        <v>-399.19999999999987</v>
      </c>
    </row>
    <row r="77" spans="11:12" x14ac:dyDescent="0.4">
      <c r="K77" s="40">
        <v>75</v>
      </c>
      <c r="L77" s="103">
        <v>-438.59999999999985</v>
      </c>
    </row>
    <row r="78" spans="11:12" x14ac:dyDescent="0.4">
      <c r="K78" s="40">
        <v>76</v>
      </c>
      <c r="L78" s="103">
        <v>-437.19999999999987</v>
      </c>
    </row>
    <row r="79" spans="11:12" x14ac:dyDescent="0.4">
      <c r="K79" s="40">
        <v>77</v>
      </c>
      <c r="L79" s="103">
        <v>-439.99999999999989</v>
      </c>
    </row>
    <row r="80" spans="11:12" x14ac:dyDescent="0.4">
      <c r="K80" s="40">
        <v>78</v>
      </c>
      <c r="L80" s="103">
        <v>-428.19999999999987</v>
      </c>
    </row>
    <row r="81" spans="11:12" x14ac:dyDescent="0.4">
      <c r="K81" s="40">
        <v>79</v>
      </c>
      <c r="L81" s="103">
        <v>-443.2999999999999</v>
      </c>
    </row>
    <row r="82" spans="11:12" x14ac:dyDescent="0.4">
      <c r="K82" s="40">
        <v>80</v>
      </c>
      <c r="L82" s="103">
        <v>-454.99999999999989</v>
      </c>
    </row>
    <row r="83" spans="11:12" x14ac:dyDescent="0.4">
      <c r="K83" s="40">
        <v>81</v>
      </c>
      <c r="L83" s="103">
        <v>-398.59999999999991</v>
      </c>
    </row>
    <row r="84" spans="11:12" x14ac:dyDescent="0.4">
      <c r="K84" s="40">
        <v>82</v>
      </c>
      <c r="L84" s="103">
        <v>-353.59999999999991</v>
      </c>
    </row>
    <row r="85" spans="11:12" x14ac:dyDescent="0.4">
      <c r="K85" s="40">
        <v>83</v>
      </c>
      <c r="L85" s="103">
        <v>-354.2999999999999</v>
      </c>
    </row>
    <row r="86" spans="11:12" x14ac:dyDescent="0.4">
      <c r="K86" s="40">
        <v>84</v>
      </c>
      <c r="L86" s="103">
        <v>-344.19999999999987</v>
      </c>
    </row>
    <row r="87" spans="11:12" x14ac:dyDescent="0.4">
      <c r="K87" s="40">
        <v>85</v>
      </c>
      <c r="L87" s="103">
        <v>-379.99999999999989</v>
      </c>
    </row>
    <row r="88" spans="11:12" x14ac:dyDescent="0.4">
      <c r="K88" s="40">
        <v>86</v>
      </c>
      <c r="L88" s="103">
        <v>-383.7999999999999</v>
      </c>
    </row>
    <row r="89" spans="11:12" x14ac:dyDescent="0.4">
      <c r="K89" s="40">
        <v>87</v>
      </c>
      <c r="L89" s="103">
        <v>-397.49999999999989</v>
      </c>
    </row>
    <row r="90" spans="11:12" x14ac:dyDescent="0.4">
      <c r="K90" s="40">
        <v>88</v>
      </c>
      <c r="L90" s="103">
        <v>-438.49999999999989</v>
      </c>
    </row>
    <row r="91" spans="11:12" x14ac:dyDescent="0.4">
      <c r="K91" s="40">
        <v>89</v>
      </c>
      <c r="L91" s="103">
        <v>-481.59999999999991</v>
      </c>
    </row>
    <row r="92" spans="11:12" x14ac:dyDescent="0.4">
      <c r="K92" s="40">
        <v>90</v>
      </c>
      <c r="L92" s="103">
        <v>-481.59999999999991</v>
      </c>
    </row>
    <row r="93" spans="11:12" x14ac:dyDescent="0.4">
      <c r="K93" s="40">
        <v>91</v>
      </c>
      <c r="L93" s="103">
        <v>-485.2999999999999</v>
      </c>
    </row>
    <row r="94" spans="11:12" x14ac:dyDescent="0.4">
      <c r="K94" s="40">
        <v>92</v>
      </c>
      <c r="L94" s="103">
        <v>-521.79999999999995</v>
      </c>
    </row>
    <row r="95" spans="11:12" x14ac:dyDescent="0.4">
      <c r="K95" s="40">
        <v>93</v>
      </c>
      <c r="L95" s="103">
        <v>-563.19999999999993</v>
      </c>
    </row>
    <row r="96" spans="11:12" x14ac:dyDescent="0.4">
      <c r="K96" s="40">
        <v>94</v>
      </c>
      <c r="L96" s="103">
        <v>-560.99999999999989</v>
      </c>
    </row>
    <row r="97" spans="11:12" x14ac:dyDescent="0.4">
      <c r="K97" s="40">
        <v>95</v>
      </c>
      <c r="L97" s="103">
        <v>-544.39999999999986</v>
      </c>
    </row>
    <row r="98" spans="11:12" x14ac:dyDescent="0.4">
      <c r="K98" s="40">
        <v>96</v>
      </c>
      <c r="L98" s="103">
        <v>-513.59999999999991</v>
      </c>
    </row>
    <row r="99" spans="11:12" x14ac:dyDescent="0.4">
      <c r="K99" s="40">
        <v>97</v>
      </c>
      <c r="L99" s="103">
        <v>-449.89999999999992</v>
      </c>
    </row>
    <row r="100" spans="11:12" x14ac:dyDescent="0.4">
      <c r="K100" s="40">
        <v>98</v>
      </c>
      <c r="L100" s="103">
        <v>-478.69999999999993</v>
      </c>
    </row>
    <row r="101" spans="11:12" x14ac:dyDescent="0.4">
      <c r="K101" s="40">
        <v>99</v>
      </c>
      <c r="L101" s="103">
        <v>-455.19999999999993</v>
      </c>
    </row>
    <row r="102" spans="11:12" x14ac:dyDescent="0.4">
      <c r="K102" s="40">
        <v>100</v>
      </c>
      <c r="L102" s="103">
        <v>-505.69999999999993</v>
      </c>
    </row>
    <row r="103" spans="11:12" x14ac:dyDescent="0.4">
      <c r="K103" s="40">
        <v>101</v>
      </c>
      <c r="L103" s="103">
        <v>-503.89999999999992</v>
      </c>
    </row>
    <row r="104" spans="11:12" x14ac:dyDescent="0.4">
      <c r="K104" s="40">
        <v>102</v>
      </c>
      <c r="L104" s="103">
        <v>-452.59999999999991</v>
      </c>
    </row>
    <row r="105" spans="11:12" x14ac:dyDescent="0.4">
      <c r="K105" s="40">
        <v>103</v>
      </c>
      <c r="L105" s="103">
        <v>-477.69999999999993</v>
      </c>
    </row>
    <row r="106" spans="11:12" x14ac:dyDescent="0.4">
      <c r="K106" s="40">
        <v>104</v>
      </c>
      <c r="L106" s="103">
        <v>-477.19999999999993</v>
      </c>
    </row>
    <row r="107" spans="11:12" x14ac:dyDescent="0.4">
      <c r="K107" s="40">
        <v>105</v>
      </c>
      <c r="L107" s="103">
        <v>-478.09999999999991</v>
      </c>
    </row>
    <row r="108" spans="11:12" x14ac:dyDescent="0.4">
      <c r="K108" s="40">
        <v>106</v>
      </c>
      <c r="L108" s="103">
        <v>-419.89999999999992</v>
      </c>
    </row>
    <row r="109" spans="11:12" x14ac:dyDescent="0.4">
      <c r="K109" s="40">
        <v>107</v>
      </c>
      <c r="L109" s="103">
        <v>-436.69999999999993</v>
      </c>
    </row>
    <row r="110" spans="11:12" x14ac:dyDescent="0.4">
      <c r="K110" s="40">
        <v>108</v>
      </c>
      <c r="L110" s="103">
        <v>-453.29999999999995</v>
      </c>
    </row>
    <row r="111" spans="11:12" x14ac:dyDescent="0.4">
      <c r="K111" s="40">
        <v>109</v>
      </c>
      <c r="L111" s="103">
        <v>-448.79999999999995</v>
      </c>
    </row>
    <row r="112" spans="11:12" x14ac:dyDescent="0.4">
      <c r="K112" s="40">
        <v>110</v>
      </c>
      <c r="L112" s="103">
        <v>-447.99999999999994</v>
      </c>
    </row>
    <row r="113" spans="11:12" x14ac:dyDescent="0.4">
      <c r="K113" s="40">
        <v>111</v>
      </c>
      <c r="L113" s="103">
        <v>-470.39999999999992</v>
      </c>
    </row>
    <row r="114" spans="11:12" x14ac:dyDescent="0.4">
      <c r="K114" s="40">
        <v>112</v>
      </c>
      <c r="L114" s="103">
        <v>-471.19999999999993</v>
      </c>
    </row>
    <row r="115" spans="11:12" x14ac:dyDescent="0.4">
      <c r="K115" s="40">
        <v>113</v>
      </c>
      <c r="L115" s="103">
        <v>-469.39999999999992</v>
      </c>
    </row>
    <row r="116" spans="11:12" x14ac:dyDescent="0.4">
      <c r="K116" s="40">
        <v>114</v>
      </c>
      <c r="L116" s="103">
        <v>-475.09999999999991</v>
      </c>
    </row>
    <row r="117" spans="11:12" x14ac:dyDescent="0.4">
      <c r="K117" s="40">
        <v>115</v>
      </c>
      <c r="L117" s="103">
        <v>-443.39999999999992</v>
      </c>
    </row>
    <row r="118" spans="11:12" x14ac:dyDescent="0.4">
      <c r="K118" s="40">
        <v>116</v>
      </c>
      <c r="L118" s="103">
        <v>-440.39999999999992</v>
      </c>
    </row>
    <row r="119" spans="11:12" x14ac:dyDescent="0.4">
      <c r="K119" s="40">
        <v>117</v>
      </c>
      <c r="L119" s="103">
        <v>-453.39999999999992</v>
      </c>
    </row>
    <row r="120" spans="11:12" x14ac:dyDescent="0.4">
      <c r="K120" s="40">
        <v>118</v>
      </c>
      <c r="L120" s="103">
        <v>-470.2999999999999</v>
      </c>
    </row>
    <row r="121" spans="11:12" x14ac:dyDescent="0.4">
      <c r="K121" s="40">
        <v>119</v>
      </c>
      <c r="L121" s="103">
        <v>-469.19999999999987</v>
      </c>
    </row>
    <row r="122" spans="11:12" x14ac:dyDescent="0.4">
      <c r="K122" s="40">
        <v>120</v>
      </c>
      <c r="L122" s="103">
        <v>-502.19999999999987</v>
      </c>
    </row>
    <row r="123" spans="11:12" x14ac:dyDescent="0.4">
      <c r="K123" s="40">
        <v>121</v>
      </c>
      <c r="L123" s="103">
        <v>-509.69999999999987</v>
      </c>
    </row>
    <row r="124" spans="11:12" x14ac:dyDescent="0.4">
      <c r="K124" s="40">
        <v>122</v>
      </c>
      <c r="L124" s="103">
        <v>-492.09999999999985</v>
      </c>
    </row>
    <row r="125" spans="11:12" x14ac:dyDescent="0.4">
      <c r="K125" s="40">
        <v>123</v>
      </c>
      <c r="L125" s="103">
        <v>-500.09999999999985</v>
      </c>
    </row>
    <row r="126" spans="11:12" x14ac:dyDescent="0.4">
      <c r="K126" s="40">
        <v>124</v>
      </c>
      <c r="L126" s="103">
        <v>-493.49999999999983</v>
      </c>
    </row>
    <row r="127" spans="11:12" x14ac:dyDescent="0.4">
      <c r="K127" s="40">
        <v>125</v>
      </c>
      <c r="L127" s="103">
        <v>-500.99999999999983</v>
      </c>
    </row>
    <row r="128" spans="11:12" x14ac:dyDescent="0.4">
      <c r="K128" s="40">
        <v>126</v>
      </c>
      <c r="L128" s="103">
        <v>-456.29999999999984</v>
      </c>
    </row>
    <row r="129" spans="11:12" x14ac:dyDescent="0.4">
      <c r="K129" s="40">
        <v>127</v>
      </c>
      <c r="L129" s="103">
        <v>-412.09999999999985</v>
      </c>
    </row>
    <row r="130" spans="11:12" x14ac:dyDescent="0.4">
      <c r="K130" s="40">
        <v>128</v>
      </c>
      <c r="L130" s="103">
        <v>-424.09999999999985</v>
      </c>
    </row>
    <row r="131" spans="11:12" x14ac:dyDescent="0.4">
      <c r="K131" s="40">
        <v>129</v>
      </c>
      <c r="L131" s="103">
        <v>-448.69999999999987</v>
      </c>
    </row>
    <row r="132" spans="11:12" x14ac:dyDescent="0.4">
      <c r="K132" s="40">
        <v>130</v>
      </c>
      <c r="L132" s="103">
        <v>-468.69999999999987</v>
      </c>
    </row>
    <row r="133" spans="11:12" x14ac:dyDescent="0.4">
      <c r="K133" s="40">
        <v>131</v>
      </c>
      <c r="L133" s="103">
        <v>-461.2999999999999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6F734-2263-47CB-B59B-DA46FB33F596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194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6</v>
      </c>
      <c r="C2" s="148"/>
      <c r="E2" s="64" t="s">
        <v>67</v>
      </c>
      <c r="F2" s="61" t="s">
        <v>21</v>
      </c>
      <c r="G2" s="48">
        <v>12</v>
      </c>
      <c r="H2" s="136">
        <f>IF(B$29=0,0,G2/B$29)</f>
        <v>0.63157894736842102</v>
      </c>
      <c r="I2" s="97">
        <v>3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7650</v>
      </c>
      <c r="P2" s="122">
        <v>6</v>
      </c>
      <c r="Q2" s="106">
        <v>45900</v>
      </c>
    </row>
    <row r="3" spans="1:17" x14ac:dyDescent="0.4">
      <c r="A3" s="57" t="s">
        <v>8</v>
      </c>
      <c r="B3" s="153">
        <v>50</v>
      </c>
      <c r="C3" s="154"/>
      <c r="E3" s="65" t="s">
        <v>69</v>
      </c>
      <c r="F3" s="62" t="s">
        <v>23</v>
      </c>
      <c r="G3" s="49">
        <v>12</v>
      </c>
      <c r="H3" s="137">
        <f>IF(B$29=0,0,G3/B$29)</f>
        <v>0.63157894736842102</v>
      </c>
      <c r="I3" s="98">
        <v>11</v>
      </c>
      <c r="K3" s="40">
        <v>1</v>
      </c>
      <c r="L3" s="103">
        <v>28.3</v>
      </c>
      <c r="N3" s="119" t="s">
        <v>148</v>
      </c>
      <c r="O3" s="126">
        <f t="shared" si="0"/>
        <v>-6450</v>
      </c>
      <c r="P3" s="123">
        <v>6</v>
      </c>
      <c r="Q3" s="107">
        <v>-38700</v>
      </c>
    </row>
    <row r="4" spans="1:17" x14ac:dyDescent="0.4">
      <c r="A4" s="57" t="s">
        <v>6</v>
      </c>
      <c r="B4" s="155">
        <v>47</v>
      </c>
      <c r="C4" s="156"/>
      <c r="E4" s="65" t="s">
        <v>71</v>
      </c>
      <c r="F4" s="62" t="s">
        <v>25</v>
      </c>
      <c r="G4" s="49">
        <v>12</v>
      </c>
      <c r="H4" s="137">
        <f>IF(B$29=0,0,G4/B$29)</f>
        <v>0.63157894736842102</v>
      </c>
      <c r="I4" s="98">
        <v>12</v>
      </c>
      <c r="K4" s="40">
        <v>2</v>
      </c>
      <c r="L4" s="103">
        <v>71.3</v>
      </c>
      <c r="N4" s="119" t="s">
        <v>149</v>
      </c>
      <c r="O4" s="126">
        <f t="shared" si="0"/>
        <v>-1500</v>
      </c>
      <c r="P4" s="123">
        <v>6</v>
      </c>
      <c r="Q4" s="107">
        <v>-9000</v>
      </c>
    </row>
    <row r="5" spans="1:17" x14ac:dyDescent="0.4">
      <c r="A5" s="57" t="s">
        <v>7</v>
      </c>
      <c r="B5" s="157">
        <f>IF(B$2=0,0,B$4/B$2)</f>
        <v>7.833333333333333</v>
      </c>
      <c r="C5" s="158"/>
      <c r="E5" s="65" t="s">
        <v>76</v>
      </c>
      <c r="F5" s="62" t="s">
        <v>29</v>
      </c>
      <c r="G5" s="49">
        <v>10</v>
      </c>
      <c r="H5" s="137">
        <f>IF(B$29=0,0,G5/B$29)</f>
        <v>0.52631578947368418</v>
      </c>
      <c r="I5" s="98">
        <v>10</v>
      </c>
      <c r="K5" s="40">
        <v>3</v>
      </c>
      <c r="L5" s="103">
        <v>57.3</v>
      </c>
      <c r="N5" s="119" t="s">
        <v>150</v>
      </c>
      <c r="O5" s="126">
        <f t="shared" si="0"/>
        <v>10700</v>
      </c>
      <c r="P5" s="123">
        <v>4</v>
      </c>
      <c r="Q5" s="107">
        <v>42800</v>
      </c>
    </row>
    <row r="6" spans="1:17" x14ac:dyDescent="0.4">
      <c r="A6" s="57" t="s">
        <v>1</v>
      </c>
      <c r="B6" s="145">
        <f>IF(B$2=0,0,(B$7*1+B$8*2+B$9*3)/B$2)</f>
        <v>1.8333333333333333</v>
      </c>
      <c r="C6" s="146"/>
      <c r="E6" s="65" t="s">
        <v>70</v>
      </c>
      <c r="F6" s="62" t="s">
        <v>24</v>
      </c>
      <c r="G6" s="49">
        <v>7</v>
      </c>
      <c r="H6" s="137">
        <f>IF(B$29=0,0,G6/B$29)</f>
        <v>0.36842105263157893</v>
      </c>
      <c r="I6" s="98">
        <v>3</v>
      </c>
      <c r="K6" s="40">
        <v>4</v>
      </c>
      <c r="L6" s="103">
        <v>64.5</v>
      </c>
      <c r="N6" s="119" t="s">
        <v>151</v>
      </c>
      <c r="O6" s="126">
        <f t="shared" si="0"/>
        <v>-1000</v>
      </c>
      <c r="P6" s="123">
        <v>4</v>
      </c>
      <c r="Q6" s="107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37">
        <f>IF(B$29=0,0,G7/B$29)</f>
        <v>0.21052631578947367</v>
      </c>
      <c r="I7" s="98">
        <v>12</v>
      </c>
      <c r="K7" s="40">
        <v>5</v>
      </c>
      <c r="L7" s="103">
        <v>89</v>
      </c>
      <c r="N7" s="120" t="s">
        <v>152</v>
      </c>
      <c r="O7" s="127">
        <f t="shared" si="0"/>
        <v>2500</v>
      </c>
      <c r="P7" s="124">
        <v>4</v>
      </c>
      <c r="Q7" s="108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37">
        <f>IF(B$29=0,0,G8/B$29)</f>
        <v>0.21052631578947367</v>
      </c>
      <c r="I8" s="98">
        <v>1</v>
      </c>
      <c r="K8" s="40">
        <v>6</v>
      </c>
      <c r="L8" s="103">
        <v>47</v>
      </c>
      <c r="N8" s="45"/>
      <c r="O8" s="131"/>
      <c r="P8" s="115"/>
      <c r="Q8" s="113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37">
        <f>IF(B$29=0,0,G9/B$29)</f>
        <v>0.15789473684210525</v>
      </c>
      <c r="I9" s="98">
        <v>2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37">
        <f>IF(B$29=0,0,G10/B$29)</f>
        <v>0.15789473684210525</v>
      </c>
      <c r="I10" s="98">
        <v>4</v>
      </c>
      <c r="N10" s="118" t="s">
        <v>250</v>
      </c>
      <c r="O10" s="128">
        <f>IF(P10=0,0,Q10/P10)</f>
        <v>-6.85</v>
      </c>
      <c r="P10" s="122">
        <v>2</v>
      </c>
      <c r="Q10" s="110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37">
        <f>IF(B$29=0,0,G11/B$29)</f>
        <v>0.15789473684210525</v>
      </c>
      <c r="I11" s="98">
        <v>2</v>
      </c>
      <c r="N11" s="119" t="s">
        <v>251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37">
        <f>IF(B$29=0,0,G12/B$29)</f>
        <v>0.15789473684210525</v>
      </c>
      <c r="I12" s="98">
        <v>6</v>
      </c>
      <c r="N12" s="120" t="s">
        <v>252</v>
      </c>
      <c r="O12" s="130">
        <f>IF(P12=0,0,Q12/P12)</f>
        <v>15.175000000000001</v>
      </c>
      <c r="P12" s="124">
        <v>4</v>
      </c>
      <c r="Q12" s="112">
        <v>60.7</v>
      </c>
    </row>
    <row r="13" spans="1:17" x14ac:dyDescent="0.4">
      <c r="A13" s="60" t="s">
        <v>128</v>
      </c>
      <c r="B13" s="52">
        <v>21</v>
      </c>
      <c r="C13" s="46">
        <f>IF(B$28=0,0,B13/B$28)</f>
        <v>0.42</v>
      </c>
      <c r="E13" s="65" t="s">
        <v>75</v>
      </c>
      <c r="F13" s="62" t="s">
        <v>28</v>
      </c>
      <c r="G13" s="49">
        <v>1</v>
      </c>
      <c r="H13" s="137">
        <f>IF(B$29=0,0,G13/B$29)</f>
        <v>5.2631578947368418E-2</v>
      </c>
      <c r="I13" s="98">
        <v>4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6</v>
      </c>
      <c r="C14" s="41">
        <f>IF(B$28=0,0,B14/B$28)</f>
        <v>0.12</v>
      </c>
      <c r="E14" s="65" t="s">
        <v>96</v>
      </c>
      <c r="F14" s="62" t="s">
        <v>49</v>
      </c>
      <c r="G14" s="49">
        <v>1</v>
      </c>
      <c r="H14" s="137">
        <f>IF(B$29=0,0,G14/B$29)</f>
        <v>5.2631578947368418E-2</v>
      </c>
      <c r="I14" s="98">
        <v>1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37">
        <f>IF(B$29=0,0,G15/B$29)</f>
        <v>0</v>
      </c>
      <c r="I15" s="98">
        <v>7</v>
      </c>
      <c r="N15" s="118" t="s">
        <v>171</v>
      </c>
      <c r="O15" s="128">
        <f>IF(P15=0,0,Q15/P15)</f>
        <v>38.6</v>
      </c>
      <c r="P15" s="122">
        <v>2</v>
      </c>
      <c r="Q15" s="110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37">
        <f>IF(B$29=0,0,G16/B$29)</f>
        <v>0</v>
      </c>
      <c r="I16" s="98">
        <v>6</v>
      </c>
      <c r="N16" s="119" t="s">
        <v>134</v>
      </c>
      <c r="O16" s="129">
        <f>IF(P16=0,0,Q16/P16)</f>
        <v>29.333333333333332</v>
      </c>
      <c r="P16" s="123">
        <v>3</v>
      </c>
      <c r="Q16" s="111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37">
        <f>IF(B$29=0,0,G17/B$29)</f>
        <v>0</v>
      </c>
      <c r="I17" s="98">
        <v>7</v>
      </c>
      <c r="N17" s="119" t="s">
        <v>137</v>
      </c>
      <c r="O17" s="129">
        <f>IF(P17=0,0,Q17/P17)</f>
        <v>5.8666666666666671</v>
      </c>
      <c r="P17" s="123">
        <v>3</v>
      </c>
      <c r="Q17" s="111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7">
        <f>IF(B$29=0,0,G18/B$29)</f>
        <v>0</v>
      </c>
      <c r="I18" s="98">
        <v>1</v>
      </c>
      <c r="N18" s="119" t="s">
        <v>135</v>
      </c>
      <c r="O18" s="129">
        <f>IF(P18=0,0,Q18/P18)</f>
        <v>4.9000000000000004</v>
      </c>
      <c r="P18" s="123">
        <v>2</v>
      </c>
      <c r="Q18" s="111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7">
        <f>IF(B$29=0,0,G19/B$29)</f>
        <v>0</v>
      </c>
      <c r="I19" s="98">
        <v>7</v>
      </c>
      <c r="N19" s="119" t="s">
        <v>139</v>
      </c>
      <c r="O19" s="129">
        <f>IF(P19=0,0,Q19/P19)</f>
        <v>-25.3</v>
      </c>
      <c r="P19" s="123">
        <v>2</v>
      </c>
      <c r="Q19" s="111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37">
        <f>IF(B$29=0,0,G20/B$29)</f>
        <v>0</v>
      </c>
      <c r="I20" s="98">
        <v>10</v>
      </c>
    </row>
    <row r="21" spans="1:17" x14ac:dyDescent="0.4">
      <c r="A21" s="57" t="s">
        <v>13</v>
      </c>
      <c r="B21" s="49">
        <v>3</v>
      </c>
      <c r="C21" s="41">
        <v>0</v>
      </c>
      <c r="E21" s="65" t="s">
        <v>83</v>
      </c>
      <c r="F21" s="62" t="s">
        <v>36</v>
      </c>
      <c r="G21" s="49">
        <v>0</v>
      </c>
      <c r="H21" s="137">
        <f>IF(B$29=0,0,G21/B$29)</f>
        <v>0</v>
      </c>
      <c r="I21" s="98">
        <v>11</v>
      </c>
    </row>
    <row r="22" spans="1:17" x14ac:dyDescent="0.4">
      <c r="A22" s="57" t="s">
        <v>263</v>
      </c>
      <c r="B22" s="49">
        <v>17</v>
      </c>
      <c r="C22" s="165">
        <v>2</v>
      </c>
      <c r="E22" s="65" t="s">
        <v>84</v>
      </c>
      <c r="F22" s="62" t="s">
        <v>37</v>
      </c>
      <c r="G22" s="49">
        <v>0</v>
      </c>
      <c r="H22" s="137">
        <f>IF(B$29=0,0,G22/B$29)</f>
        <v>0</v>
      </c>
      <c r="I22" s="98">
        <v>1</v>
      </c>
    </row>
    <row r="23" spans="1:17" x14ac:dyDescent="0.4">
      <c r="A23" s="57" t="s">
        <v>5</v>
      </c>
      <c r="B23" s="53">
        <f>IF(B$17=0,0,C23/B$17)</f>
        <v>9163.1578947368416</v>
      </c>
      <c r="C23" s="43">
        <v>174100</v>
      </c>
      <c r="E23" s="65" t="s">
        <v>85</v>
      </c>
      <c r="F23" s="62" t="s">
        <v>38</v>
      </c>
      <c r="G23" s="49">
        <v>0</v>
      </c>
      <c r="H23" s="137">
        <f>IF(B$29=0,0,G23/B$29)</f>
        <v>0</v>
      </c>
      <c r="I23" s="98">
        <v>3</v>
      </c>
    </row>
    <row r="24" spans="1:17" x14ac:dyDescent="0.4">
      <c r="A24" s="59" t="s">
        <v>14</v>
      </c>
      <c r="B24" s="54">
        <f>IF(B$20=0,0,C24/B$20)</f>
        <v>-10025</v>
      </c>
      <c r="C24" s="47">
        <v>-40100</v>
      </c>
      <c r="E24" s="65" t="s">
        <v>86</v>
      </c>
      <c r="F24" s="62" t="s">
        <v>39</v>
      </c>
      <c r="G24" s="49">
        <v>0</v>
      </c>
      <c r="H24" s="137">
        <f>IF(B$29=0,0,G24/B$29)</f>
        <v>0</v>
      </c>
      <c r="I24" s="98">
        <v>10</v>
      </c>
    </row>
    <row r="25" spans="1:17" x14ac:dyDescent="0.4">
      <c r="A25" s="94" t="s">
        <v>158</v>
      </c>
      <c r="B25" s="143">
        <v>5</v>
      </c>
      <c r="C25" s="144"/>
      <c r="E25" s="65" t="s">
        <v>87</v>
      </c>
      <c r="F25" s="62" t="s">
        <v>40</v>
      </c>
      <c r="G25" s="49">
        <v>0</v>
      </c>
      <c r="H25" s="137">
        <f>IF(B$29=0,0,G25/B$29)</f>
        <v>0</v>
      </c>
      <c r="I25" s="98">
        <v>1</v>
      </c>
    </row>
    <row r="26" spans="1:17" x14ac:dyDescent="0.4">
      <c r="A26" s="60" t="s">
        <v>198</v>
      </c>
      <c r="B26" s="141">
        <v>78000</v>
      </c>
      <c r="C26" s="142"/>
      <c r="E26" s="65" t="s">
        <v>88</v>
      </c>
      <c r="F26" s="62" t="s">
        <v>41</v>
      </c>
      <c r="G26" s="49">
        <v>0</v>
      </c>
      <c r="H26" s="137">
        <f>IF(B$29=0,0,G26/B$29)</f>
        <v>0</v>
      </c>
      <c r="I26" s="98">
        <v>12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89</v>
      </c>
      <c r="F27" s="62" t="s">
        <v>42</v>
      </c>
      <c r="G27" s="49">
        <v>0</v>
      </c>
      <c r="H27" s="137">
        <f>IF(B$29=0,0,G27/B$29)</f>
        <v>0</v>
      </c>
      <c r="I27" s="98">
        <v>5</v>
      </c>
    </row>
    <row r="28" spans="1:17" x14ac:dyDescent="0.4">
      <c r="A28" s="56" t="s">
        <v>126</v>
      </c>
      <c r="B28" s="147">
        <v>50</v>
      </c>
      <c r="C28" s="148"/>
      <c r="E28" s="65" t="s">
        <v>90</v>
      </c>
      <c r="F28" s="62" t="s">
        <v>43</v>
      </c>
      <c r="G28" s="49">
        <v>0</v>
      </c>
      <c r="H28" s="137">
        <f>IF(B$29=0,0,G28/B$29)</f>
        <v>0</v>
      </c>
      <c r="I28" s="98">
        <v>6</v>
      </c>
    </row>
    <row r="29" spans="1:17" x14ac:dyDescent="0.4">
      <c r="A29" s="59" t="s">
        <v>127</v>
      </c>
      <c r="B29" s="149">
        <v>19</v>
      </c>
      <c r="C29" s="150"/>
      <c r="E29" s="65" t="s">
        <v>92</v>
      </c>
      <c r="F29" s="62" t="s">
        <v>45</v>
      </c>
      <c r="G29" s="49">
        <v>0</v>
      </c>
      <c r="H29" s="137">
        <f>IF(B$29=0,0,G29/B$29)</f>
        <v>0</v>
      </c>
      <c r="I29" s="98">
        <v>5</v>
      </c>
    </row>
    <row r="30" spans="1:17" x14ac:dyDescent="0.4">
      <c r="E30" s="65" t="s">
        <v>93</v>
      </c>
      <c r="F30" s="62" t="s">
        <v>46</v>
      </c>
      <c r="G30" s="49">
        <v>0</v>
      </c>
      <c r="H30" s="137">
        <f>IF(B$29=0,0,G30/B$29)</f>
        <v>0</v>
      </c>
      <c r="I30" s="98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37">
        <f>IF(B$29=0,0,G31/B$29)</f>
        <v>0</v>
      </c>
      <c r="I31" s="98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D02A4-67DC-4F72-9AB1-8AD4FE4EFE13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157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36</v>
      </c>
      <c r="C2" s="148"/>
      <c r="E2" s="64" t="s">
        <v>71</v>
      </c>
      <c r="F2" s="61" t="s">
        <v>25</v>
      </c>
      <c r="G2" s="48">
        <v>55</v>
      </c>
      <c r="H2" s="136">
        <f>IF(B$29=0,0,G2/B$29)</f>
        <v>0.9821428571428571</v>
      </c>
      <c r="I2" s="97">
        <v>2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-2341.6666666666665</v>
      </c>
      <c r="P2" s="122">
        <v>36</v>
      </c>
      <c r="Q2" s="106">
        <v>-84300</v>
      </c>
    </row>
    <row r="3" spans="1:17" x14ac:dyDescent="0.4">
      <c r="A3" s="57" t="s">
        <v>8</v>
      </c>
      <c r="B3" s="153">
        <v>279</v>
      </c>
      <c r="C3" s="154"/>
      <c r="E3" s="65" t="s">
        <v>76</v>
      </c>
      <c r="F3" s="62" t="s">
        <v>29</v>
      </c>
      <c r="G3" s="49">
        <v>41</v>
      </c>
      <c r="H3" s="137">
        <f>IF(B$29=0,0,G3/B$29)</f>
        <v>0.7321428571428571</v>
      </c>
      <c r="I3" s="98">
        <v>3</v>
      </c>
      <c r="K3" s="40">
        <v>1</v>
      </c>
      <c r="L3" s="103">
        <v>15</v>
      </c>
      <c r="N3" s="119" t="s">
        <v>148</v>
      </c>
      <c r="O3" s="126">
        <f t="shared" si="0"/>
        <v>644.44444444444446</v>
      </c>
      <c r="P3" s="123">
        <v>36</v>
      </c>
      <c r="Q3" s="107">
        <v>23200</v>
      </c>
    </row>
    <row r="4" spans="1:17" x14ac:dyDescent="0.4">
      <c r="A4" s="57" t="s">
        <v>6</v>
      </c>
      <c r="B4" s="155">
        <v>-455.89999999999992</v>
      </c>
      <c r="C4" s="156"/>
      <c r="E4" s="65" t="s">
        <v>69</v>
      </c>
      <c r="F4" s="62" t="s">
        <v>23</v>
      </c>
      <c r="G4" s="49">
        <v>38</v>
      </c>
      <c r="H4" s="137">
        <f>IF(B$29=0,0,G4/B$29)</f>
        <v>0.6785714285714286</v>
      </c>
      <c r="I4" s="98">
        <v>8</v>
      </c>
      <c r="K4" s="40">
        <v>2</v>
      </c>
      <c r="L4" s="103">
        <v>-24.299999999999997</v>
      </c>
      <c r="N4" s="119" t="s">
        <v>149</v>
      </c>
      <c r="O4" s="126">
        <f t="shared" si="0"/>
        <v>-5609.375</v>
      </c>
      <c r="P4" s="123">
        <v>32</v>
      </c>
      <c r="Q4" s="107">
        <v>-179500</v>
      </c>
    </row>
    <row r="5" spans="1:17" x14ac:dyDescent="0.4">
      <c r="A5" s="57" t="s">
        <v>7</v>
      </c>
      <c r="B5" s="157">
        <f>IF(B$2=0,0,B$4/B$2)</f>
        <v>-12.663888888888886</v>
      </c>
      <c r="C5" s="158"/>
      <c r="E5" s="65" t="s">
        <v>67</v>
      </c>
      <c r="F5" s="62" t="s">
        <v>21</v>
      </c>
      <c r="G5" s="49">
        <v>17</v>
      </c>
      <c r="H5" s="137">
        <f>IF(B$29=0,0,G5/B$29)</f>
        <v>0.30357142857142855</v>
      </c>
      <c r="I5" s="98">
        <v>12</v>
      </c>
      <c r="K5" s="40">
        <v>3</v>
      </c>
      <c r="L5" s="103">
        <v>-15.599999999999998</v>
      </c>
      <c r="N5" s="119" t="s">
        <v>150</v>
      </c>
      <c r="O5" s="126">
        <f t="shared" si="0"/>
        <v>-3203.4482758620688</v>
      </c>
      <c r="P5" s="123">
        <v>29</v>
      </c>
      <c r="Q5" s="107">
        <v>-92900</v>
      </c>
    </row>
    <row r="6" spans="1:17" x14ac:dyDescent="0.4">
      <c r="A6" s="57" t="s">
        <v>1</v>
      </c>
      <c r="B6" s="145">
        <f>IF(B$2=0,0,(B$7*1+B$8*2+B$9*3)/B$2)</f>
        <v>2.3888888888888888</v>
      </c>
      <c r="C6" s="146"/>
      <c r="E6" s="65" t="s">
        <v>72</v>
      </c>
      <c r="F6" s="62" t="s">
        <v>12</v>
      </c>
      <c r="G6" s="49">
        <v>14</v>
      </c>
      <c r="H6" s="137">
        <f>IF(B$29=0,0,G6/B$29)</f>
        <v>0.25</v>
      </c>
      <c r="I6" s="98">
        <v>10</v>
      </c>
      <c r="K6" s="40">
        <v>4</v>
      </c>
      <c r="L6" s="103">
        <v>5.1000000000000014</v>
      </c>
      <c r="N6" s="119" t="s">
        <v>151</v>
      </c>
      <c r="O6" s="126">
        <f t="shared" si="0"/>
        <v>-2922.2222222222222</v>
      </c>
      <c r="P6" s="123">
        <v>27</v>
      </c>
      <c r="Q6" s="107">
        <v>-78900</v>
      </c>
    </row>
    <row r="7" spans="1:17" x14ac:dyDescent="0.4">
      <c r="A7" s="57" t="s">
        <v>2</v>
      </c>
      <c r="B7" s="49">
        <v>7</v>
      </c>
      <c r="C7" s="41">
        <f>IF(B$2=0,0,B7/B$2)</f>
        <v>0.19444444444444445</v>
      </c>
      <c r="E7" s="65" t="s">
        <v>88</v>
      </c>
      <c r="F7" s="62" t="s">
        <v>41</v>
      </c>
      <c r="G7" s="49">
        <v>9</v>
      </c>
      <c r="H7" s="137">
        <f>IF(B$29=0,0,G7/B$29)</f>
        <v>0.16071428571428573</v>
      </c>
      <c r="I7" s="98">
        <v>2</v>
      </c>
      <c r="K7" s="40">
        <v>5</v>
      </c>
      <c r="L7" s="103">
        <v>9.6000000000000014</v>
      </c>
      <c r="N7" s="120" t="s">
        <v>152</v>
      </c>
      <c r="O7" s="127">
        <f t="shared" si="0"/>
        <v>-2071.4285714285716</v>
      </c>
      <c r="P7" s="124">
        <v>21</v>
      </c>
      <c r="Q7" s="108">
        <v>-43500</v>
      </c>
    </row>
    <row r="8" spans="1:17" x14ac:dyDescent="0.4">
      <c r="A8" s="57" t="s">
        <v>3</v>
      </c>
      <c r="B8" s="49">
        <v>8</v>
      </c>
      <c r="C8" s="41">
        <f>IF(B$2=0,0,B8/B$2)</f>
        <v>0.22222222222222221</v>
      </c>
      <c r="E8" s="65" t="s">
        <v>94</v>
      </c>
      <c r="F8" s="62" t="s">
        <v>47</v>
      </c>
      <c r="G8" s="49">
        <v>9</v>
      </c>
      <c r="H8" s="137">
        <f>IF(B$29=0,0,G8/B$29)</f>
        <v>0.16071428571428573</v>
      </c>
      <c r="I8" s="98">
        <v>5</v>
      </c>
      <c r="K8" s="40">
        <v>6</v>
      </c>
      <c r="L8" s="103">
        <v>2.2000000000000011</v>
      </c>
      <c r="N8" s="45"/>
      <c r="O8" s="131"/>
      <c r="P8" s="115"/>
      <c r="Q8" s="113"/>
    </row>
    <row r="9" spans="1:17" x14ac:dyDescent="0.4">
      <c r="A9" s="58" t="s">
        <v>4</v>
      </c>
      <c r="B9" s="50">
        <v>21</v>
      </c>
      <c r="C9" s="42">
        <f t="shared" ref="C9" si="1">IF(B$2=0,0,B9/B$2)</f>
        <v>0.58333333333333337</v>
      </c>
      <c r="E9" s="65" t="s">
        <v>70</v>
      </c>
      <c r="F9" s="62" t="s">
        <v>24</v>
      </c>
      <c r="G9" s="49">
        <v>6</v>
      </c>
      <c r="H9" s="137">
        <f>IF(B$29=0,0,G9/B$29)</f>
        <v>0.10714285714285714</v>
      </c>
      <c r="I9" s="98">
        <v>13</v>
      </c>
      <c r="K9" s="40">
        <v>7</v>
      </c>
      <c r="L9" s="103">
        <v>27.200000000000003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10</v>
      </c>
      <c r="C10" s="42">
        <f>IF(B$2=0,0,B10/B$2)</f>
        <v>0.27777777777777779</v>
      </c>
      <c r="E10" s="65" t="s">
        <v>74</v>
      </c>
      <c r="F10" s="62" t="s">
        <v>27</v>
      </c>
      <c r="G10" s="49">
        <v>6</v>
      </c>
      <c r="H10" s="137">
        <f>IF(B$29=0,0,G10/B$29)</f>
        <v>0.10714285714285714</v>
      </c>
      <c r="I10" s="98">
        <v>5</v>
      </c>
      <c r="K10" s="40">
        <v>8</v>
      </c>
      <c r="L10" s="103">
        <v>-4.4999999999999964</v>
      </c>
      <c r="N10" s="118" t="s">
        <v>250</v>
      </c>
      <c r="O10" s="128">
        <f>IF(P10=0,0,Q10/P10)</f>
        <v>-15.350000000000001</v>
      </c>
      <c r="P10" s="122">
        <v>12</v>
      </c>
      <c r="Q10" s="110">
        <v>-184.20000000000002</v>
      </c>
    </row>
    <row r="11" spans="1:17" x14ac:dyDescent="0.4">
      <c r="A11" s="58" t="s">
        <v>155</v>
      </c>
      <c r="B11" s="50">
        <v>3</v>
      </c>
      <c r="C11" s="42">
        <f>IF(B$2=0,0,B11/B$2)</f>
        <v>8.3333333333333329E-2</v>
      </c>
      <c r="E11" s="65" t="s">
        <v>91</v>
      </c>
      <c r="F11" s="62" t="s">
        <v>44</v>
      </c>
      <c r="G11" s="49">
        <v>6</v>
      </c>
      <c r="H11" s="137">
        <f>IF(B$29=0,0,G11/B$29)</f>
        <v>0.10714285714285714</v>
      </c>
      <c r="I11" s="98">
        <v>4</v>
      </c>
      <c r="K11" s="40">
        <v>9</v>
      </c>
      <c r="L11" s="103">
        <v>-9.3999999999999968</v>
      </c>
      <c r="N11" s="119" t="s">
        <v>251</v>
      </c>
      <c r="O11" s="129">
        <f>IF(P11=0,0,Q11/P11)</f>
        <v>-14.470000000000002</v>
      </c>
      <c r="P11" s="123">
        <v>10</v>
      </c>
      <c r="Q11" s="111">
        <v>-144.70000000000002</v>
      </c>
    </row>
    <row r="12" spans="1:17" x14ac:dyDescent="0.4">
      <c r="A12" s="59" t="s">
        <v>238</v>
      </c>
      <c r="B12" s="51">
        <v>0</v>
      </c>
      <c r="C12" s="44">
        <f>IF(B$2=0,0,B12/B$2)</f>
        <v>0</v>
      </c>
      <c r="E12" s="65" t="s">
        <v>68</v>
      </c>
      <c r="F12" s="62" t="s">
        <v>22</v>
      </c>
      <c r="G12" s="49">
        <v>5</v>
      </c>
      <c r="H12" s="137">
        <f>IF(B$29=0,0,G12/B$29)</f>
        <v>8.9285714285714288E-2</v>
      </c>
      <c r="I12" s="98">
        <v>10</v>
      </c>
      <c r="K12" s="40">
        <v>10</v>
      </c>
      <c r="L12" s="103">
        <v>-24.299999999999997</v>
      </c>
      <c r="N12" s="120" t="s">
        <v>252</v>
      </c>
      <c r="O12" s="130">
        <f>IF(P12=0,0,Q12/P12)</f>
        <v>-9.0714285714285712</v>
      </c>
      <c r="P12" s="124">
        <v>14</v>
      </c>
      <c r="Q12" s="112">
        <v>-127</v>
      </c>
    </row>
    <row r="13" spans="1:17" x14ac:dyDescent="0.4">
      <c r="A13" s="60" t="s">
        <v>128</v>
      </c>
      <c r="B13" s="52">
        <v>39</v>
      </c>
      <c r="C13" s="46">
        <f>IF(B$28=0,0,B13/B$28)</f>
        <v>0.13978494623655913</v>
      </c>
      <c r="E13" s="65" t="s">
        <v>82</v>
      </c>
      <c r="F13" s="62" t="s">
        <v>35</v>
      </c>
      <c r="G13" s="49">
        <v>3</v>
      </c>
      <c r="H13" s="137">
        <f>IF(B$29=0,0,G13/B$29)</f>
        <v>5.3571428571428568E-2</v>
      </c>
      <c r="I13" s="98">
        <v>2</v>
      </c>
      <c r="K13" s="40">
        <v>11</v>
      </c>
      <c r="L13" s="103">
        <v>-70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99</v>
      </c>
      <c r="C14" s="41">
        <f>IF(B$28=0,0,B14/B$28)</f>
        <v>0.35483870967741937</v>
      </c>
      <c r="E14" s="65" t="s">
        <v>86</v>
      </c>
      <c r="F14" s="62" t="s">
        <v>39</v>
      </c>
      <c r="G14" s="49">
        <v>3</v>
      </c>
      <c r="H14" s="137">
        <f>IF(B$29=0,0,G14/B$29)</f>
        <v>5.3571428571428568E-2</v>
      </c>
      <c r="I14" s="98">
        <v>2</v>
      </c>
      <c r="K14" s="40">
        <v>12</v>
      </c>
      <c r="L14" s="103">
        <v>-43.8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18</v>
      </c>
      <c r="C15" s="39">
        <f>IF(B$13=0,0,B15/B$13)</f>
        <v>0.46153846153846156</v>
      </c>
      <c r="E15" s="65" t="s">
        <v>73</v>
      </c>
      <c r="F15" s="62" t="s">
        <v>26</v>
      </c>
      <c r="G15" s="49">
        <v>2</v>
      </c>
      <c r="H15" s="137">
        <f>IF(B$29=0,0,G15/B$29)</f>
        <v>3.5714285714285712E-2</v>
      </c>
      <c r="I15" s="98">
        <v>12</v>
      </c>
      <c r="K15" s="40">
        <v>13</v>
      </c>
      <c r="L15" s="103">
        <v>-11.099999999999994</v>
      </c>
      <c r="N15" s="118" t="s">
        <v>171</v>
      </c>
      <c r="O15" s="128">
        <f>IF(P15=0,0,Q15/P15)</f>
        <v>13.450000000000001</v>
      </c>
      <c r="P15" s="122">
        <v>2</v>
      </c>
      <c r="Q15" s="110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0.28282828282828282</v>
      </c>
      <c r="E16" s="65" t="s">
        <v>75</v>
      </c>
      <c r="F16" s="62" t="s">
        <v>28</v>
      </c>
      <c r="G16" s="49">
        <v>2</v>
      </c>
      <c r="H16" s="137">
        <f>IF(B$29=0,0,G16/B$29)</f>
        <v>3.5714285714285712E-2</v>
      </c>
      <c r="I16" s="98">
        <v>8</v>
      </c>
      <c r="K16" s="40">
        <v>14</v>
      </c>
      <c r="L16" s="103">
        <v>-5.7999999999999945</v>
      </c>
      <c r="N16" s="119" t="s">
        <v>134</v>
      </c>
      <c r="O16" s="129">
        <f>IF(P16=0,0,Q16/P16)</f>
        <v>10.366666666666665</v>
      </c>
      <c r="P16" s="123">
        <v>3</v>
      </c>
      <c r="Q16" s="111">
        <v>31.099999999999998</v>
      </c>
    </row>
    <row r="17" spans="1:17" x14ac:dyDescent="0.4">
      <c r="A17" s="56" t="s">
        <v>10</v>
      </c>
      <c r="B17" s="48">
        <f>B19+B18</f>
        <v>56</v>
      </c>
      <c r="C17" s="39">
        <f>IF(B$3=0,0,B17/B$3)</f>
        <v>0.20071684587813621</v>
      </c>
      <c r="E17" s="65" t="s">
        <v>83</v>
      </c>
      <c r="F17" s="62" t="s">
        <v>36</v>
      </c>
      <c r="G17" s="49">
        <v>2</v>
      </c>
      <c r="H17" s="137">
        <f>IF(B$29=0,0,G17/B$29)</f>
        <v>3.5714285714285712E-2</v>
      </c>
      <c r="I17" s="98">
        <v>3</v>
      </c>
      <c r="K17" s="40">
        <v>15</v>
      </c>
      <c r="L17" s="103">
        <v>-44.199999999999996</v>
      </c>
      <c r="N17" s="119" t="s">
        <v>139</v>
      </c>
      <c r="O17" s="129">
        <f>IF(P17=0,0,Q17/P17)</f>
        <v>-13.440000000000001</v>
      </c>
      <c r="P17" s="123">
        <v>20</v>
      </c>
      <c r="Q17" s="111">
        <v>-268.8</v>
      </c>
    </row>
    <row r="18" spans="1:17" x14ac:dyDescent="0.4">
      <c r="A18" s="57" t="s">
        <v>12</v>
      </c>
      <c r="B18" s="49">
        <v>21</v>
      </c>
      <c r="C18" s="41">
        <f>IF(B$17=0,0,B18/B$17)</f>
        <v>0.375</v>
      </c>
      <c r="E18" s="65" t="s">
        <v>81</v>
      </c>
      <c r="F18" s="62" t="s">
        <v>34</v>
      </c>
      <c r="G18" s="49">
        <v>1</v>
      </c>
      <c r="H18" s="137">
        <f>IF(B$29=0,0,G18/B$29)</f>
        <v>1.7857142857142856E-2</v>
      </c>
      <c r="I18" s="98">
        <v>1</v>
      </c>
      <c r="K18" s="40">
        <v>16</v>
      </c>
      <c r="L18" s="103">
        <v>-25.599999999999994</v>
      </c>
      <c r="N18" s="119" t="s">
        <v>137</v>
      </c>
      <c r="O18" s="129">
        <f>IF(P18=0,0,Q18/P18)</f>
        <v>-14.79166666666667</v>
      </c>
      <c r="P18" s="123">
        <v>12</v>
      </c>
      <c r="Q18" s="111">
        <v>-177.50000000000003</v>
      </c>
    </row>
    <row r="19" spans="1:17" x14ac:dyDescent="0.4">
      <c r="A19" s="57" t="s">
        <v>11</v>
      </c>
      <c r="B19" s="49">
        <v>35</v>
      </c>
      <c r="C19" s="41">
        <f>IF(B$17=0,0,B19/B$17)</f>
        <v>0.625</v>
      </c>
      <c r="E19" s="65" t="s">
        <v>90</v>
      </c>
      <c r="F19" s="62" t="s">
        <v>43</v>
      </c>
      <c r="G19" s="49">
        <v>1</v>
      </c>
      <c r="H19" s="137">
        <f>IF(B$29=0,0,G19/B$29)</f>
        <v>1.7857142857142856E-2</v>
      </c>
      <c r="I19" s="98">
        <v>1</v>
      </c>
      <c r="K19" s="40">
        <v>17</v>
      </c>
      <c r="L19" s="103">
        <v>-39.799999999999997</v>
      </c>
      <c r="N19" s="119" t="s">
        <v>247</v>
      </c>
      <c r="O19" s="129">
        <f>IF(P19=0,0,Q19/P19)</f>
        <v>-15.2</v>
      </c>
      <c r="P19" s="123">
        <v>2</v>
      </c>
      <c r="Q19" s="111">
        <v>-30.4</v>
      </c>
    </row>
    <row r="20" spans="1:17" x14ac:dyDescent="0.4">
      <c r="A20" s="57" t="s">
        <v>13</v>
      </c>
      <c r="B20" s="49">
        <v>53</v>
      </c>
      <c r="C20" s="41">
        <f>IF(B$3=0,0,B20/B$3)</f>
        <v>0.18996415770609318</v>
      </c>
      <c r="E20" s="65" t="s">
        <v>96</v>
      </c>
      <c r="F20" s="62" t="s">
        <v>49</v>
      </c>
      <c r="G20" s="49">
        <v>1</v>
      </c>
      <c r="H20" s="137">
        <f>IF(B$29=0,0,G20/B$29)</f>
        <v>1.7857142857142856E-2</v>
      </c>
      <c r="I20" s="98">
        <v>8</v>
      </c>
      <c r="K20" s="40">
        <v>18</v>
      </c>
      <c r="L20" s="103">
        <v>-60.4</v>
      </c>
      <c r="N20" s="119" t="s">
        <v>135</v>
      </c>
      <c r="O20" s="129">
        <f>IF(P20=0,0,Q20/P20)</f>
        <v>-24.85</v>
      </c>
      <c r="P20" s="123">
        <v>2</v>
      </c>
      <c r="Q20" s="111">
        <v>-49.7</v>
      </c>
    </row>
    <row r="21" spans="1:17" x14ac:dyDescent="0.4">
      <c r="A21" s="57" t="s">
        <v>13</v>
      </c>
      <c r="B21" s="49">
        <v>3</v>
      </c>
      <c r="C21" s="41">
        <v>0</v>
      </c>
      <c r="E21" s="65" t="s">
        <v>97</v>
      </c>
      <c r="F21" s="62" t="s">
        <v>50</v>
      </c>
      <c r="G21" s="49">
        <v>1</v>
      </c>
      <c r="H21" s="137">
        <f>IF(B$29=0,0,G21/B$29)</f>
        <v>1.7857142857142856E-2</v>
      </c>
      <c r="I21" s="98">
        <v>2</v>
      </c>
      <c r="K21" s="40">
        <v>19</v>
      </c>
      <c r="L21" s="103">
        <v>-60</v>
      </c>
      <c r="N21" s="119" t="s">
        <v>136</v>
      </c>
      <c r="O21" s="129">
        <f>IF(P21=0,0,Q21/P21)</f>
        <v>-26.95</v>
      </c>
      <c r="P21" s="123">
        <v>6</v>
      </c>
      <c r="Q21" s="111">
        <v>-161.69999999999999</v>
      </c>
    </row>
    <row r="22" spans="1:17" x14ac:dyDescent="0.4">
      <c r="A22" s="57" t="s">
        <v>263</v>
      </c>
      <c r="B22" s="49">
        <v>21</v>
      </c>
      <c r="C22" s="165">
        <v>3</v>
      </c>
      <c r="E22" s="65" t="s">
        <v>77</v>
      </c>
      <c r="F22" s="62" t="s">
        <v>30</v>
      </c>
      <c r="G22" s="49">
        <v>0</v>
      </c>
      <c r="H22" s="137">
        <f>IF(B$29=0,0,G22/B$29)</f>
        <v>0</v>
      </c>
      <c r="I22" s="98">
        <v>7</v>
      </c>
      <c r="K22" s="40">
        <v>20</v>
      </c>
      <c r="L22" s="103">
        <v>-88.2</v>
      </c>
      <c r="N22" s="119" t="s">
        <v>133</v>
      </c>
      <c r="O22" s="129">
        <f>IF(P22=0,0,Q22/P22)</f>
        <v>-29.463999999999995</v>
      </c>
      <c r="P22" s="123">
        <v>25</v>
      </c>
      <c r="Q22" s="111">
        <v>-736.59999999999991</v>
      </c>
    </row>
    <row r="23" spans="1:17" x14ac:dyDescent="0.4">
      <c r="A23" s="57" t="s">
        <v>5</v>
      </c>
      <c r="B23" s="53">
        <f>IF(B$17=0,0,C23/B$17)</f>
        <v>9373.2142857142862</v>
      </c>
      <c r="C23" s="43">
        <v>524900</v>
      </c>
      <c r="E23" s="65" t="s">
        <v>78</v>
      </c>
      <c r="F23" s="62" t="s">
        <v>31</v>
      </c>
      <c r="G23" s="49">
        <v>0</v>
      </c>
      <c r="H23" s="137">
        <f>IF(B$29=0,0,G23/B$29)</f>
        <v>0</v>
      </c>
      <c r="I23" s="98">
        <v>6</v>
      </c>
      <c r="K23" s="40">
        <v>21</v>
      </c>
      <c r="L23" s="103">
        <v>-125.80000000000001</v>
      </c>
    </row>
    <row r="24" spans="1:17" x14ac:dyDescent="0.4">
      <c r="A24" s="59" t="s">
        <v>14</v>
      </c>
      <c r="B24" s="54">
        <f>IF(B$20=0,0,C24/B$20)</f>
        <v>-8745.2830188679254</v>
      </c>
      <c r="C24" s="47">
        <v>-463500</v>
      </c>
      <c r="E24" s="65" t="s">
        <v>79</v>
      </c>
      <c r="F24" s="62" t="s">
        <v>32</v>
      </c>
      <c r="G24" s="49">
        <v>0</v>
      </c>
      <c r="H24" s="137">
        <f>IF(B$29=0,0,G24/B$29)</f>
        <v>0</v>
      </c>
      <c r="I24" s="98">
        <v>7</v>
      </c>
      <c r="K24" s="40">
        <v>22</v>
      </c>
      <c r="L24" s="103">
        <v>-149.30000000000001</v>
      </c>
    </row>
    <row r="25" spans="1:17" x14ac:dyDescent="0.4">
      <c r="A25" s="94" t="s">
        <v>158</v>
      </c>
      <c r="B25" s="143">
        <v>5</v>
      </c>
      <c r="C25" s="144"/>
      <c r="E25" s="65" t="s">
        <v>80</v>
      </c>
      <c r="F25" s="62" t="s">
        <v>33</v>
      </c>
      <c r="G25" s="49">
        <v>0</v>
      </c>
      <c r="H25" s="137">
        <f>IF(B$29=0,0,G25/B$29)</f>
        <v>0</v>
      </c>
      <c r="I25" s="98">
        <v>1</v>
      </c>
      <c r="K25" s="40">
        <v>23</v>
      </c>
      <c r="L25" s="103">
        <v>-150.30000000000001</v>
      </c>
    </row>
    <row r="26" spans="1:17" x14ac:dyDescent="0.4">
      <c r="A26" s="60" t="s">
        <v>198</v>
      </c>
      <c r="B26" s="141">
        <v>67700</v>
      </c>
      <c r="C26" s="142"/>
      <c r="E26" s="65" t="s">
        <v>84</v>
      </c>
      <c r="F26" s="62" t="s">
        <v>37</v>
      </c>
      <c r="G26" s="49">
        <v>0</v>
      </c>
      <c r="H26" s="137">
        <f>IF(B$29=0,0,G26/B$29)</f>
        <v>0</v>
      </c>
      <c r="I26" s="98">
        <v>1</v>
      </c>
      <c r="K26" s="40">
        <v>24</v>
      </c>
      <c r="L26" s="103">
        <v>-196.10000000000002</v>
      </c>
    </row>
    <row r="27" spans="1:17" x14ac:dyDescent="0.4">
      <c r="A27" s="59" t="s">
        <v>159</v>
      </c>
      <c r="B27" s="67">
        <v>1</v>
      </c>
      <c r="C27" s="44">
        <f>IF(B$3=0,0,B27/B$3)</f>
        <v>3.5842293906810036E-3</v>
      </c>
      <c r="E27" s="65" t="s">
        <v>85</v>
      </c>
      <c r="F27" s="62" t="s">
        <v>38</v>
      </c>
      <c r="G27" s="49">
        <v>0</v>
      </c>
      <c r="H27" s="137">
        <f>IF(B$29=0,0,G27/B$29)</f>
        <v>0</v>
      </c>
      <c r="I27" s="98">
        <v>3</v>
      </c>
      <c r="K27" s="40">
        <v>25</v>
      </c>
      <c r="L27" s="103">
        <v>-240.00000000000003</v>
      </c>
    </row>
    <row r="28" spans="1:17" x14ac:dyDescent="0.4">
      <c r="A28" s="56" t="s">
        <v>126</v>
      </c>
      <c r="B28" s="147">
        <v>279</v>
      </c>
      <c r="C28" s="148"/>
      <c r="E28" s="65" t="s">
        <v>87</v>
      </c>
      <c r="F28" s="62" t="s">
        <v>40</v>
      </c>
      <c r="G28" s="49">
        <v>0</v>
      </c>
      <c r="H28" s="137">
        <f>IF(B$29=0,0,G28/B$29)</f>
        <v>0</v>
      </c>
      <c r="I28" s="98">
        <v>1</v>
      </c>
      <c r="K28" s="40">
        <v>26</v>
      </c>
      <c r="L28" s="103">
        <v>-277</v>
      </c>
    </row>
    <row r="29" spans="1:17" x14ac:dyDescent="0.4">
      <c r="A29" s="59" t="s">
        <v>127</v>
      </c>
      <c r="B29" s="149">
        <v>56</v>
      </c>
      <c r="C29" s="150"/>
      <c r="E29" s="65" t="s">
        <v>89</v>
      </c>
      <c r="F29" s="62" t="s">
        <v>42</v>
      </c>
      <c r="G29" s="49">
        <v>0</v>
      </c>
      <c r="H29" s="137">
        <f>IF(B$29=0,0,G29/B$29)</f>
        <v>0</v>
      </c>
      <c r="I29" s="98">
        <v>5</v>
      </c>
      <c r="K29" s="40">
        <v>27</v>
      </c>
      <c r="L29" s="103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37">
        <f>IF(B$29=0,0,G30/B$29)</f>
        <v>0</v>
      </c>
      <c r="I30" s="98">
        <v>5</v>
      </c>
      <c r="K30" s="40">
        <v>28</v>
      </c>
      <c r="L30" s="103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37">
        <f>IF(B$29=0,0,G31/B$29)</f>
        <v>0</v>
      </c>
      <c r="I31" s="98">
        <v>3</v>
      </c>
      <c r="K31" s="40">
        <v>29</v>
      </c>
      <c r="L31" s="103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37">
        <f>IF(B$29=0,0,G32/B$29)</f>
        <v>0</v>
      </c>
      <c r="I32" s="98">
        <v>4</v>
      </c>
      <c r="K32" s="40">
        <v>30</v>
      </c>
      <c r="L32" s="103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  <c r="K33" s="40">
        <v>31</v>
      </c>
      <c r="L33" s="103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  <c r="K34" s="40">
        <v>32</v>
      </c>
      <c r="L34" s="103">
        <v>-360.79999999999995</v>
      </c>
    </row>
    <row r="35" spans="5:12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  <c r="K35" s="40">
        <v>33</v>
      </c>
      <c r="L35" s="103">
        <v>-386.69999999999993</v>
      </c>
    </row>
    <row r="36" spans="5:12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  <c r="K36" s="40">
        <v>34</v>
      </c>
      <c r="L36" s="103">
        <v>-412.99999999999994</v>
      </c>
    </row>
    <row r="37" spans="5:12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  <c r="K37" s="40">
        <v>35</v>
      </c>
      <c r="L37" s="103">
        <v>-448.39999999999992</v>
      </c>
    </row>
    <row r="38" spans="5:12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  <c r="K38" s="40">
        <v>36</v>
      </c>
      <c r="L38" s="103">
        <v>-455.89999999999992</v>
      </c>
    </row>
    <row r="39" spans="5:12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D8F48-A252-4EB6-ADF1-DB074017D96E}">
  <sheetPr codeName="Sheet3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2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3" customWidth="1"/>
    <col min="13" max="13" width="3.625" style="35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5"/>
  </cols>
  <sheetData>
    <row r="1" spans="1:17" x14ac:dyDescent="0.4">
      <c r="A1" s="55" t="s">
        <v>0</v>
      </c>
      <c r="B1" s="151" t="s">
        <v>247</v>
      </c>
      <c r="C1" s="152"/>
      <c r="E1" s="133" t="s">
        <v>253</v>
      </c>
      <c r="F1" s="140" t="s">
        <v>120</v>
      </c>
      <c r="G1" s="139" t="s">
        <v>121</v>
      </c>
      <c r="H1" s="134" t="s">
        <v>122</v>
      </c>
      <c r="I1" s="140" t="s">
        <v>226</v>
      </c>
      <c r="K1" s="36" t="s">
        <v>20</v>
      </c>
      <c r="L1" s="37" t="s">
        <v>125</v>
      </c>
      <c r="M1" s="135"/>
      <c r="N1" s="117" t="s">
        <v>153</v>
      </c>
      <c r="O1" s="36" t="s">
        <v>154</v>
      </c>
      <c r="P1" s="121" t="s">
        <v>121</v>
      </c>
      <c r="Q1" s="105" t="s">
        <v>233</v>
      </c>
    </row>
    <row r="2" spans="1:17" x14ac:dyDescent="0.4">
      <c r="A2" s="56" t="s">
        <v>9</v>
      </c>
      <c r="B2" s="147">
        <v>12</v>
      </c>
      <c r="C2" s="148"/>
      <c r="E2" s="64" t="s">
        <v>71</v>
      </c>
      <c r="F2" s="61" t="s">
        <v>25</v>
      </c>
      <c r="G2" s="48">
        <v>19</v>
      </c>
      <c r="H2" s="136">
        <f>IF(B$29=0,0,G2/B$29)</f>
        <v>1.1176470588235294</v>
      </c>
      <c r="I2" s="97">
        <v>1</v>
      </c>
      <c r="K2" s="38">
        <v>0</v>
      </c>
      <c r="L2" s="102">
        <v>0</v>
      </c>
      <c r="N2" s="118" t="s">
        <v>147</v>
      </c>
      <c r="O2" s="125">
        <f t="shared" ref="O2:O7" si="0">IF(P2=0,0,Q2/P2)</f>
        <v>-350</v>
      </c>
      <c r="P2" s="122">
        <v>12</v>
      </c>
      <c r="Q2" s="106">
        <v>-4200</v>
      </c>
    </row>
    <row r="3" spans="1:17" x14ac:dyDescent="0.4">
      <c r="A3" s="57" t="s">
        <v>8</v>
      </c>
      <c r="B3" s="153">
        <v>88</v>
      </c>
      <c r="C3" s="154"/>
      <c r="E3" s="65" t="s">
        <v>76</v>
      </c>
      <c r="F3" s="62" t="s">
        <v>29</v>
      </c>
      <c r="G3" s="49">
        <v>14</v>
      </c>
      <c r="H3" s="137">
        <f>IF(B$29=0,0,G3/B$29)</f>
        <v>0.82352941176470584</v>
      </c>
      <c r="I3" s="98">
        <v>1</v>
      </c>
      <c r="K3" s="40">
        <v>1</v>
      </c>
      <c r="L3" s="103">
        <v>4</v>
      </c>
      <c r="N3" s="119" t="s">
        <v>148</v>
      </c>
      <c r="O3" s="126">
        <f t="shared" si="0"/>
        <v>-3308.3333333333335</v>
      </c>
      <c r="P3" s="123">
        <v>12</v>
      </c>
      <c r="Q3" s="107">
        <v>-39700</v>
      </c>
    </row>
    <row r="4" spans="1:17" x14ac:dyDescent="0.4">
      <c r="A4" s="57" t="s">
        <v>6</v>
      </c>
      <c r="B4" s="155">
        <v>-155.1</v>
      </c>
      <c r="C4" s="156"/>
      <c r="E4" s="65" t="s">
        <v>69</v>
      </c>
      <c r="F4" s="62" t="s">
        <v>23</v>
      </c>
      <c r="G4" s="49">
        <v>11</v>
      </c>
      <c r="H4" s="137">
        <f>IF(B$29=0,0,G4/B$29)</f>
        <v>0.6470588235294118</v>
      </c>
      <c r="I4" s="98">
        <v>10</v>
      </c>
      <c r="K4" s="40">
        <v>2</v>
      </c>
      <c r="L4" s="103">
        <v>3.7</v>
      </c>
      <c r="N4" s="119" t="s">
        <v>149</v>
      </c>
      <c r="O4" s="126">
        <f t="shared" si="0"/>
        <v>-7000</v>
      </c>
      <c r="P4" s="123">
        <v>12</v>
      </c>
      <c r="Q4" s="107">
        <v>-84000</v>
      </c>
    </row>
    <row r="5" spans="1:17" x14ac:dyDescent="0.4">
      <c r="A5" s="57" t="s">
        <v>7</v>
      </c>
      <c r="B5" s="157">
        <f>IF(B$2=0,0,B$4/B$2)</f>
        <v>-12.924999999999999</v>
      </c>
      <c r="C5" s="158"/>
      <c r="E5" s="65" t="s">
        <v>67</v>
      </c>
      <c r="F5" s="62" t="s">
        <v>21</v>
      </c>
      <c r="G5" s="49">
        <v>5</v>
      </c>
      <c r="H5" s="137">
        <f>IF(B$29=0,0,G5/B$29)</f>
        <v>0.29411764705882354</v>
      </c>
      <c r="I5" s="98">
        <v>13</v>
      </c>
      <c r="K5" s="40">
        <v>3</v>
      </c>
      <c r="L5" s="103">
        <v>27.8</v>
      </c>
      <c r="N5" s="119" t="s">
        <v>150</v>
      </c>
      <c r="O5" s="126">
        <f t="shared" si="0"/>
        <v>-244.44444444444446</v>
      </c>
      <c r="P5" s="123">
        <v>9</v>
      </c>
      <c r="Q5" s="107">
        <v>-2200</v>
      </c>
    </row>
    <row r="6" spans="1:17" x14ac:dyDescent="0.4">
      <c r="A6" s="57" t="s">
        <v>1</v>
      </c>
      <c r="B6" s="145">
        <f>IF(B$2=0,0,(B$7*1+B$8*2+B$9*3)/B$2)</f>
        <v>2.4166666666666665</v>
      </c>
      <c r="C6" s="146"/>
      <c r="E6" s="65" t="s">
        <v>70</v>
      </c>
      <c r="F6" s="62" t="s">
        <v>24</v>
      </c>
      <c r="G6" s="49">
        <v>3</v>
      </c>
      <c r="H6" s="137">
        <f>IF(B$29=0,0,G6/B$29)</f>
        <v>0.17647058823529413</v>
      </c>
      <c r="I6" s="98">
        <v>11</v>
      </c>
      <c r="K6" s="40">
        <v>4</v>
      </c>
      <c r="L6" s="103">
        <v>52.3</v>
      </c>
      <c r="N6" s="119" t="s">
        <v>151</v>
      </c>
      <c r="O6" s="126">
        <f t="shared" si="0"/>
        <v>-2737.5</v>
      </c>
      <c r="P6" s="123">
        <v>8</v>
      </c>
      <c r="Q6" s="107">
        <v>-21900</v>
      </c>
    </row>
    <row r="7" spans="1:17" x14ac:dyDescent="0.4">
      <c r="A7" s="57" t="s">
        <v>2</v>
      </c>
      <c r="B7" s="49">
        <v>2</v>
      </c>
      <c r="C7" s="41">
        <f>IF(B$2=0,0,B7/B$2)</f>
        <v>0.16666666666666666</v>
      </c>
      <c r="E7" s="65" t="s">
        <v>72</v>
      </c>
      <c r="F7" s="62" t="s">
        <v>12</v>
      </c>
      <c r="G7" s="49">
        <v>3</v>
      </c>
      <c r="H7" s="137">
        <f>IF(B$29=0,0,G7/B$29)</f>
        <v>0.17647058823529413</v>
      </c>
      <c r="I7" s="98">
        <v>13</v>
      </c>
      <c r="K7" s="40">
        <v>5</v>
      </c>
      <c r="L7" s="103">
        <v>15</v>
      </c>
      <c r="N7" s="120" t="s">
        <v>152</v>
      </c>
      <c r="O7" s="127">
        <f t="shared" si="0"/>
        <v>-516.66666666666663</v>
      </c>
      <c r="P7" s="124">
        <v>6</v>
      </c>
      <c r="Q7" s="108">
        <v>-3100</v>
      </c>
    </row>
    <row r="8" spans="1:17" x14ac:dyDescent="0.4">
      <c r="A8" s="57" t="s">
        <v>3</v>
      </c>
      <c r="B8" s="49">
        <v>3</v>
      </c>
      <c r="C8" s="41">
        <f>IF(B$2=0,0,B8/B$2)</f>
        <v>0.25</v>
      </c>
      <c r="E8" s="65" t="s">
        <v>74</v>
      </c>
      <c r="F8" s="62" t="s">
        <v>27</v>
      </c>
      <c r="G8" s="49">
        <v>3</v>
      </c>
      <c r="H8" s="137">
        <f>IF(B$29=0,0,G8/B$29)</f>
        <v>0.17647058823529413</v>
      </c>
      <c r="I8" s="98">
        <v>2</v>
      </c>
      <c r="K8" s="40">
        <v>6</v>
      </c>
      <c r="L8" s="103">
        <v>-20.5</v>
      </c>
      <c r="N8" s="45"/>
      <c r="O8" s="131"/>
      <c r="P8" s="115"/>
      <c r="Q8" s="113"/>
    </row>
    <row r="9" spans="1:17" x14ac:dyDescent="0.4">
      <c r="A9" s="58" t="s">
        <v>4</v>
      </c>
      <c r="B9" s="50">
        <v>7</v>
      </c>
      <c r="C9" s="42">
        <f t="shared" ref="C9" si="1">IF(B$2=0,0,B9/B$2)</f>
        <v>0.58333333333333337</v>
      </c>
      <c r="E9" s="65" t="s">
        <v>94</v>
      </c>
      <c r="F9" s="62" t="s">
        <v>47</v>
      </c>
      <c r="G9" s="49">
        <v>3</v>
      </c>
      <c r="H9" s="137">
        <f>IF(B$29=0,0,G9/B$29)</f>
        <v>0.17647058823529413</v>
      </c>
      <c r="I9" s="98">
        <v>3</v>
      </c>
      <c r="K9" s="40">
        <v>7</v>
      </c>
      <c r="L9" s="103">
        <v>-31.8</v>
      </c>
      <c r="N9" s="117" t="s">
        <v>249</v>
      </c>
      <c r="O9" s="36" t="s">
        <v>125</v>
      </c>
      <c r="P9" s="121" t="s">
        <v>121</v>
      </c>
      <c r="Q9" s="109" t="s">
        <v>233</v>
      </c>
    </row>
    <row r="10" spans="1:17" x14ac:dyDescent="0.4">
      <c r="A10" s="58" t="s">
        <v>19</v>
      </c>
      <c r="B10" s="50">
        <v>4</v>
      </c>
      <c r="C10" s="42">
        <f>IF(B$2=0,0,B10/B$2)</f>
        <v>0.33333333333333331</v>
      </c>
      <c r="E10" s="65" t="s">
        <v>88</v>
      </c>
      <c r="F10" s="62" t="s">
        <v>41</v>
      </c>
      <c r="G10" s="49">
        <v>2</v>
      </c>
      <c r="H10" s="137">
        <f>IF(B$29=0,0,G10/B$29)</f>
        <v>0.11764705882352941</v>
      </c>
      <c r="I10" s="98">
        <v>3</v>
      </c>
      <c r="K10" s="40">
        <v>8</v>
      </c>
      <c r="L10" s="103">
        <v>-31.1</v>
      </c>
      <c r="N10" s="118" t="s">
        <v>250</v>
      </c>
      <c r="O10" s="128">
        <f>IF(P10=0,0,Q10/P10)</f>
        <v>-14.266666666666664</v>
      </c>
      <c r="P10" s="122">
        <v>9</v>
      </c>
      <c r="Q10" s="110">
        <v>-128.39999999999998</v>
      </c>
    </row>
    <row r="11" spans="1:17" x14ac:dyDescent="0.4">
      <c r="A11" s="58" t="s">
        <v>155</v>
      </c>
      <c r="B11" s="50">
        <v>1</v>
      </c>
      <c r="C11" s="42">
        <f>IF(B$2=0,0,B11/B$2)</f>
        <v>8.3333333333333329E-2</v>
      </c>
      <c r="E11" s="65" t="s">
        <v>83</v>
      </c>
      <c r="F11" s="62" t="s">
        <v>36</v>
      </c>
      <c r="G11" s="49">
        <v>1</v>
      </c>
      <c r="H11" s="137">
        <f>IF(B$29=0,0,G11/B$29)</f>
        <v>5.8823529411764705E-2</v>
      </c>
      <c r="I11" s="98">
        <v>2</v>
      </c>
      <c r="K11" s="40">
        <v>9</v>
      </c>
      <c r="L11" s="103">
        <v>-70.599999999999994</v>
      </c>
      <c r="N11" s="119" t="s">
        <v>251</v>
      </c>
      <c r="O11" s="129">
        <f>IF(P11=0,0,Q11/P11)</f>
        <v>-7.6999999999999993</v>
      </c>
      <c r="P11" s="123">
        <v>2</v>
      </c>
      <c r="Q11" s="111">
        <v>-15.399999999999999</v>
      </c>
    </row>
    <row r="12" spans="1:17" x14ac:dyDescent="0.4">
      <c r="A12" s="59" t="s">
        <v>238</v>
      </c>
      <c r="B12" s="51">
        <v>1</v>
      </c>
      <c r="C12" s="44">
        <f>IF(B$2=0,0,B12/B$2)</f>
        <v>8.3333333333333329E-2</v>
      </c>
      <c r="E12" s="65" t="s">
        <v>86</v>
      </c>
      <c r="F12" s="62" t="s">
        <v>39</v>
      </c>
      <c r="G12" s="49">
        <v>1</v>
      </c>
      <c r="H12" s="137">
        <f>IF(B$29=0,0,G12/B$29)</f>
        <v>5.8823529411764705E-2</v>
      </c>
      <c r="I12" s="98">
        <v>1</v>
      </c>
      <c r="K12" s="40">
        <v>10</v>
      </c>
      <c r="L12" s="103">
        <v>-115.89999999999999</v>
      </c>
      <c r="N12" s="120" t="s">
        <v>252</v>
      </c>
      <c r="O12" s="130">
        <f>IF(P12=0,0,Q12/P12)</f>
        <v>-11.3</v>
      </c>
      <c r="P12" s="124">
        <v>1</v>
      </c>
      <c r="Q12" s="112">
        <v>-11.3</v>
      </c>
    </row>
    <row r="13" spans="1:17" x14ac:dyDescent="0.4">
      <c r="A13" s="60" t="s">
        <v>128</v>
      </c>
      <c r="B13" s="52">
        <v>12</v>
      </c>
      <c r="C13" s="46">
        <f>IF(B$28=0,0,B13/B$28)</f>
        <v>0.13636363636363635</v>
      </c>
      <c r="E13" s="65" t="s">
        <v>91</v>
      </c>
      <c r="F13" s="62" t="s">
        <v>44</v>
      </c>
      <c r="G13" s="49">
        <v>1</v>
      </c>
      <c r="H13" s="137">
        <f>IF(B$29=0,0,G13/B$29)</f>
        <v>5.8823529411764705E-2</v>
      </c>
      <c r="I13" s="98">
        <v>9</v>
      </c>
      <c r="K13" s="40">
        <v>11</v>
      </c>
      <c r="L13" s="103">
        <v>-143.6</v>
      </c>
      <c r="N13" s="35"/>
      <c r="O13" s="114"/>
      <c r="P13" s="116"/>
      <c r="Q13" s="114"/>
    </row>
    <row r="14" spans="1:17" x14ac:dyDescent="0.4">
      <c r="A14" s="57" t="s">
        <v>123</v>
      </c>
      <c r="B14" s="49">
        <v>24</v>
      </c>
      <c r="C14" s="41">
        <f>IF(B$28=0,0,B14/B$28)</f>
        <v>0.27272727272727271</v>
      </c>
      <c r="E14" s="65" t="s">
        <v>68</v>
      </c>
      <c r="F14" s="62" t="s">
        <v>22</v>
      </c>
      <c r="G14" s="49">
        <v>0</v>
      </c>
      <c r="H14" s="137">
        <f>IF(B$29=0,0,G14/B$29)</f>
        <v>0</v>
      </c>
      <c r="I14" s="98">
        <v>12</v>
      </c>
      <c r="K14" s="40">
        <v>12</v>
      </c>
      <c r="L14" s="103">
        <v>-155.1</v>
      </c>
      <c r="N14" s="117" t="s">
        <v>230</v>
      </c>
      <c r="O14" s="36" t="s">
        <v>125</v>
      </c>
      <c r="P14" s="121" t="s">
        <v>121</v>
      </c>
      <c r="Q14" s="109" t="s">
        <v>233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37">
        <f>IF(B$29=0,0,G15/B$29)</f>
        <v>0</v>
      </c>
      <c r="I15" s="98">
        <v>13</v>
      </c>
      <c r="N15" s="118" t="s">
        <v>157</v>
      </c>
      <c r="O15" s="128">
        <f>IF(P15=0,0,Q15/P15)</f>
        <v>15.200000000000001</v>
      </c>
      <c r="P15" s="122">
        <v>2</v>
      </c>
      <c r="Q15" s="110">
        <v>30.400000000000002</v>
      </c>
    </row>
    <row r="16" spans="1:17" x14ac:dyDescent="0.4">
      <c r="A16" s="56" t="s">
        <v>131</v>
      </c>
      <c r="B16" s="48">
        <v>8</v>
      </c>
      <c r="C16" s="39">
        <f>IF(B$14=0,0,B16/B$14)</f>
        <v>0.33333333333333331</v>
      </c>
      <c r="E16" s="65" t="s">
        <v>75</v>
      </c>
      <c r="F16" s="62" t="s">
        <v>28</v>
      </c>
      <c r="G16" s="49">
        <v>0</v>
      </c>
      <c r="H16" s="137">
        <f>IF(B$29=0,0,G16/B$29)</f>
        <v>0</v>
      </c>
      <c r="I16" s="98">
        <v>12</v>
      </c>
      <c r="N16" s="119" t="s">
        <v>138</v>
      </c>
      <c r="O16" s="129">
        <f>IF(P16=0,0,Q16/P16)</f>
        <v>4.3000000000000007</v>
      </c>
      <c r="P16" s="123">
        <v>4</v>
      </c>
      <c r="Q16" s="111">
        <v>17.200000000000003</v>
      </c>
    </row>
    <row r="17" spans="1:17" x14ac:dyDescent="0.4">
      <c r="A17" s="56" t="s">
        <v>10</v>
      </c>
      <c r="B17" s="48">
        <f>B19+B18</f>
        <v>17</v>
      </c>
      <c r="C17" s="39">
        <f>IF(B$3=0,0,B17/B$3)</f>
        <v>0.19318181818181818</v>
      </c>
      <c r="E17" s="65" t="s">
        <v>77</v>
      </c>
      <c r="F17" s="62" t="s">
        <v>30</v>
      </c>
      <c r="G17" s="49">
        <v>0</v>
      </c>
      <c r="H17" s="137">
        <f>IF(B$29=0,0,G17/B$29)</f>
        <v>0</v>
      </c>
      <c r="I17" s="98">
        <v>7</v>
      </c>
      <c r="N17" s="119" t="s">
        <v>135</v>
      </c>
      <c r="O17" s="129">
        <f>IF(P17=0,0,Q17/P17)</f>
        <v>-9.65</v>
      </c>
      <c r="P17" s="123">
        <v>2</v>
      </c>
      <c r="Q17" s="111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0.41176470588235292</v>
      </c>
      <c r="E18" s="65" t="s">
        <v>78</v>
      </c>
      <c r="F18" s="62" t="s">
        <v>31</v>
      </c>
      <c r="G18" s="49">
        <v>0</v>
      </c>
      <c r="H18" s="137">
        <f>IF(B$29=0,0,G18/B$29)</f>
        <v>0</v>
      </c>
      <c r="I18" s="98">
        <v>6</v>
      </c>
      <c r="N18" s="119" t="s">
        <v>133</v>
      </c>
      <c r="O18" s="129">
        <f>IF(P18=0,0,Q18/P18)</f>
        <v>-26.587499999999995</v>
      </c>
      <c r="P18" s="123">
        <v>8</v>
      </c>
      <c r="Q18" s="111">
        <v>-212.69999999999996</v>
      </c>
    </row>
    <row r="19" spans="1:17" x14ac:dyDescent="0.4">
      <c r="A19" s="57" t="s">
        <v>11</v>
      </c>
      <c r="B19" s="49">
        <v>10</v>
      </c>
      <c r="C19" s="41">
        <f>IF(B$17=0,0,B19/B$17)</f>
        <v>0.58823529411764708</v>
      </c>
      <c r="E19" s="65" t="s">
        <v>79</v>
      </c>
      <c r="F19" s="62" t="s">
        <v>32</v>
      </c>
      <c r="G19" s="49">
        <v>0</v>
      </c>
      <c r="H19" s="137">
        <f>IF(B$29=0,0,G19/B$29)</f>
        <v>0</v>
      </c>
      <c r="I19" s="98">
        <v>7</v>
      </c>
      <c r="N19" s="119" t="s">
        <v>139</v>
      </c>
      <c r="O19" s="129">
        <f>IF(P19=0,0,Q19/P19)</f>
        <v>-28.18</v>
      </c>
      <c r="P19" s="123">
        <v>5</v>
      </c>
      <c r="Q19" s="111">
        <v>-140.9</v>
      </c>
    </row>
    <row r="20" spans="1:17" x14ac:dyDescent="0.4">
      <c r="A20" s="57" t="s">
        <v>13</v>
      </c>
      <c r="B20" s="49">
        <v>22</v>
      </c>
      <c r="C20" s="41">
        <f>IF(B$3=0,0,B20/B$3)</f>
        <v>0.25</v>
      </c>
      <c r="E20" s="65" t="s">
        <v>80</v>
      </c>
      <c r="F20" s="62" t="s">
        <v>33</v>
      </c>
      <c r="G20" s="49">
        <v>0</v>
      </c>
      <c r="H20" s="137">
        <f>IF(B$29=0,0,G20/B$29)</f>
        <v>0</v>
      </c>
      <c r="I20" s="98">
        <v>1</v>
      </c>
      <c r="N20" s="119" t="s">
        <v>137</v>
      </c>
      <c r="O20" s="129">
        <f>IF(P20=0,0,Q20/P20)</f>
        <v>-33.4</v>
      </c>
      <c r="P20" s="123">
        <v>1</v>
      </c>
      <c r="Q20" s="111">
        <v>-33.4</v>
      </c>
    </row>
    <row r="21" spans="1:17" x14ac:dyDescent="0.4">
      <c r="A21" s="57" t="s">
        <v>13</v>
      </c>
      <c r="B21" s="49">
        <v>2</v>
      </c>
      <c r="C21" s="41">
        <v>0</v>
      </c>
      <c r="E21" s="65" t="s">
        <v>81</v>
      </c>
      <c r="F21" s="62" t="s">
        <v>34</v>
      </c>
      <c r="G21" s="49">
        <v>0</v>
      </c>
      <c r="H21" s="137">
        <f>IF(B$29=0,0,G21/B$29)</f>
        <v>0</v>
      </c>
      <c r="I21" s="98">
        <v>7</v>
      </c>
      <c r="N21" s="119" t="s">
        <v>134</v>
      </c>
      <c r="O21" s="129">
        <f>IF(P21=0,0,Q21/P21)</f>
        <v>-53.3</v>
      </c>
      <c r="P21" s="123">
        <v>2</v>
      </c>
      <c r="Q21" s="111">
        <v>-106.6</v>
      </c>
    </row>
    <row r="22" spans="1:17" x14ac:dyDescent="0.4">
      <c r="A22" s="57" t="s">
        <v>263</v>
      </c>
      <c r="B22" s="49">
        <v>13</v>
      </c>
      <c r="C22" s="165">
        <v>1</v>
      </c>
      <c r="E22" s="65" t="s">
        <v>82</v>
      </c>
      <c r="F22" s="62" t="s">
        <v>35</v>
      </c>
      <c r="G22" s="49">
        <v>0</v>
      </c>
      <c r="H22" s="137">
        <f>IF(B$29=0,0,G22/B$29)</f>
        <v>0</v>
      </c>
      <c r="I22" s="98">
        <v>10</v>
      </c>
    </row>
    <row r="23" spans="1:17" x14ac:dyDescent="0.4">
      <c r="A23" s="57" t="s">
        <v>5</v>
      </c>
      <c r="B23" s="53">
        <f>IF(B$17=0,0,C23/B$17)</f>
        <v>8670.5882352941171</v>
      </c>
      <c r="C23" s="43">
        <v>147400</v>
      </c>
      <c r="E23" s="65" t="s">
        <v>84</v>
      </c>
      <c r="F23" s="62" t="s">
        <v>37</v>
      </c>
      <c r="G23" s="49">
        <v>0</v>
      </c>
      <c r="H23" s="137">
        <f>IF(B$29=0,0,G23/B$29)</f>
        <v>0</v>
      </c>
      <c r="I23" s="98">
        <v>1</v>
      </c>
    </row>
    <row r="24" spans="1:17" x14ac:dyDescent="0.4">
      <c r="A24" s="59" t="s">
        <v>14</v>
      </c>
      <c r="B24" s="54">
        <f>IF(B$20=0,0,C24/B$20)</f>
        <v>-9190.9090909090901</v>
      </c>
      <c r="C24" s="47">
        <v>-202200</v>
      </c>
      <c r="E24" s="65" t="s">
        <v>85</v>
      </c>
      <c r="F24" s="62" t="s">
        <v>38</v>
      </c>
      <c r="G24" s="49">
        <v>0</v>
      </c>
      <c r="H24" s="137">
        <f>IF(B$29=0,0,G24/B$29)</f>
        <v>0</v>
      </c>
      <c r="I24" s="98">
        <v>3</v>
      </c>
    </row>
    <row r="25" spans="1:17" x14ac:dyDescent="0.4">
      <c r="A25" s="94" t="s">
        <v>158</v>
      </c>
      <c r="B25" s="143">
        <v>5</v>
      </c>
      <c r="C25" s="144"/>
      <c r="E25" s="65" t="s">
        <v>87</v>
      </c>
      <c r="F25" s="62" t="s">
        <v>40</v>
      </c>
      <c r="G25" s="49">
        <v>0</v>
      </c>
      <c r="H25" s="137">
        <f>IF(B$29=0,0,G25/B$29)</f>
        <v>0</v>
      </c>
      <c r="I25" s="98">
        <v>1</v>
      </c>
    </row>
    <row r="26" spans="1:17" x14ac:dyDescent="0.4">
      <c r="A26" s="60" t="s">
        <v>198</v>
      </c>
      <c r="B26" s="141">
        <v>59500</v>
      </c>
      <c r="C26" s="142"/>
      <c r="E26" s="65" t="s">
        <v>89</v>
      </c>
      <c r="F26" s="62" t="s">
        <v>42</v>
      </c>
      <c r="G26" s="49">
        <v>0</v>
      </c>
      <c r="H26" s="137">
        <f>IF(B$29=0,0,G26/B$29)</f>
        <v>0</v>
      </c>
      <c r="I26" s="98">
        <v>5</v>
      </c>
    </row>
    <row r="27" spans="1:17" x14ac:dyDescent="0.4">
      <c r="A27" s="59" t="s">
        <v>159</v>
      </c>
      <c r="B27" s="67">
        <v>0</v>
      </c>
      <c r="C27" s="44">
        <f>IF(B$3=0,0,B27/B$3)</f>
        <v>0</v>
      </c>
      <c r="E27" s="65" t="s">
        <v>90</v>
      </c>
      <c r="F27" s="62" t="s">
        <v>43</v>
      </c>
      <c r="G27" s="49">
        <v>0</v>
      </c>
      <c r="H27" s="137">
        <f>IF(B$29=0,0,G27/B$29)</f>
        <v>0</v>
      </c>
      <c r="I27" s="98">
        <v>6</v>
      </c>
    </row>
    <row r="28" spans="1:17" x14ac:dyDescent="0.4">
      <c r="A28" s="56" t="s">
        <v>126</v>
      </c>
      <c r="B28" s="147">
        <v>88</v>
      </c>
      <c r="C28" s="148"/>
      <c r="E28" s="65" t="s">
        <v>92</v>
      </c>
      <c r="F28" s="62" t="s">
        <v>45</v>
      </c>
      <c r="G28" s="49">
        <v>0</v>
      </c>
      <c r="H28" s="137">
        <f>IF(B$29=0,0,G28/B$29)</f>
        <v>0</v>
      </c>
      <c r="I28" s="98">
        <v>5</v>
      </c>
    </row>
    <row r="29" spans="1:17" x14ac:dyDescent="0.4">
      <c r="A29" s="59" t="s">
        <v>127</v>
      </c>
      <c r="B29" s="149">
        <v>17</v>
      </c>
      <c r="C29" s="150"/>
      <c r="E29" s="65" t="s">
        <v>93</v>
      </c>
      <c r="F29" s="62" t="s">
        <v>46</v>
      </c>
      <c r="G29" s="49">
        <v>0</v>
      </c>
      <c r="H29" s="137">
        <f>IF(B$29=0,0,G29/B$29)</f>
        <v>0</v>
      </c>
      <c r="I29" s="98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7">
        <f>IF(B$29=0,0,G30/B$29)</f>
        <v>0</v>
      </c>
      <c r="I30" s="98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37">
        <f>IF(B$29=0,0,G31/B$29)</f>
        <v>0</v>
      </c>
      <c r="I31" s="98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7">
        <f>IF(B$29=0,0,G32/B$29)</f>
        <v>0</v>
      </c>
      <c r="I32" s="98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7">
        <f>IF(B$29=0,0,G33/B$29)</f>
        <v>0</v>
      </c>
      <c r="I33" s="98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7">
        <f>IF(B$29=0,0,G34/B$29)</f>
        <v>0</v>
      </c>
      <c r="I34" s="98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7">
        <f>IF(B$29=0,0,G35/B$29)</f>
        <v>0</v>
      </c>
      <c r="I35" s="98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7">
        <f>IF(B$29=0,0,G36/B$29)</f>
        <v>0</v>
      </c>
      <c r="I36" s="98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7">
        <f>IF(B$29=0,0,G37/B$29)</f>
        <v>0</v>
      </c>
      <c r="I37" s="98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7">
        <f>IF(B$29=0,0,G38/B$29)</f>
        <v>0</v>
      </c>
      <c r="I38" s="98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7">
        <f>IF(B$29=0,0,G39/B$29)</f>
        <v>0</v>
      </c>
      <c r="I39" s="98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7">
        <f>IF(B$29=0,0,G40/B$29)</f>
        <v>0</v>
      </c>
      <c r="I40" s="98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7">
        <f>IF(B$29=0,0,G41/B$29)</f>
        <v>0</v>
      </c>
      <c r="I41" s="98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7">
        <f>IF(B$29=0,0,G42/B$29)</f>
        <v>0</v>
      </c>
      <c r="I42" s="98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7">
        <f>IF(B$29=0,0,G43/B$29)</f>
        <v>0</v>
      </c>
      <c r="I43" s="98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7">
        <f>IF(B$29=0,0,G44/B$29)</f>
        <v>0</v>
      </c>
      <c r="I44" s="98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7">
        <f>IF(B$29=0,0,G45/B$29)</f>
        <v>0</v>
      </c>
      <c r="I45" s="98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7">
        <f>IF(B$29=0,0,G46/B$29)</f>
        <v>0</v>
      </c>
      <c r="I46" s="98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7">
        <f>IF(B$29=0,0,G47/B$29)</f>
        <v>0</v>
      </c>
      <c r="I47" s="98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7">
        <f>IF(B$29=0,0,G48/B$29)</f>
        <v>0</v>
      </c>
      <c r="I48" s="98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7">
        <f>IF(B$29=0,0,G49/B$29)</f>
        <v>0</v>
      </c>
      <c r="I49" s="98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7">
        <f>IF(B$29=0,0,G50/B$29)</f>
        <v>0</v>
      </c>
      <c r="I50" s="98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8">
        <f>IF(B$29=0,0,G51/B$29)</f>
        <v>0</v>
      </c>
      <c r="I51" s="99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922AD-2BA6-4D77-8B72-B0B3852C7EF8}">
  <sheetPr codeName="Sheet32"/>
  <dimension ref="A1:Q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247</v>
      </c>
      <c r="B1" s="72" t="s">
        <v>247</v>
      </c>
      <c r="C1" s="72" t="s">
        <v>247</v>
      </c>
      <c r="D1" s="73" t="s">
        <v>247</v>
      </c>
      <c r="E1" s="72" t="s">
        <v>247</v>
      </c>
      <c r="F1" s="72" t="s">
        <v>247</v>
      </c>
      <c r="G1" s="72" t="s">
        <v>247</v>
      </c>
      <c r="H1" s="72" t="s">
        <v>247</v>
      </c>
      <c r="I1" s="72" t="s">
        <v>247</v>
      </c>
      <c r="J1" s="72" t="s">
        <v>247</v>
      </c>
      <c r="K1" s="72" t="s">
        <v>247</v>
      </c>
      <c r="L1" s="72" t="s">
        <v>247</v>
      </c>
      <c r="M1" s="72" t="s">
        <v>247</v>
      </c>
      <c r="N1" s="72" t="s">
        <v>247</v>
      </c>
      <c r="O1" s="72" t="s">
        <v>247</v>
      </c>
      <c r="P1" s="72" t="s">
        <v>247</v>
      </c>
      <c r="Q1" s="72" t="s">
        <v>247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0.1111111111111111</v>
      </c>
      <c r="M4" s="69">
        <v>0.22222222222222221</v>
      </c>
      <c r="N4" s="69">
        <v>0</v>
      </c>
      <c r="O4" s="69">
        <v>0.5</v>
      </c>
      <c r="P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0.125</v>
      </c>
      <c r="M5" s="69">
        <v>0.1875</v>
      </c>
      <c r="N5" s="69">
        <v>0.5</v>
      </c>
      <c r="O5" s="69">
        <v>0.33333333333333331</v>
      </c>
      <c r="P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0.125</v>
      </c>
      <c r="M6" s="69">
        <v>0.33333333333333331</v>
      </c>
      <c r="N6" s="69">
        <v>0.33333333333333331</v>
      </c>
      <c r="O6" s="69">
        <v>0.625</v>
      </c>
      <c r="P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0.15625</v>
      </c>
      <c r="M7" s="69">
        <v>0.28125</v>
      </c>
      <c r="N7" s="69">
        <v>0.6</v>
      </c>
      <c r="O7" s="69">
        <v>0.55555555555555558</v>
      </c>
      <c r="P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0.18604651162790697</v>
      </c>
      <c r="M8" s="69">
        <v>0.2558139534883721</v>
      </c>
      <c r="N8" s="69">
        <v>0.5</v>
      </c>
      <c r="O8" s="69">
        <v>0.45454545454545453</v>
      </c>
      <c r="P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0.19148936170212766</v>
      </c>
      <c r="M9" s="69">
        <v>0.23404255319148937</v>
      </c>
      <c r="N9" s="69">
        <v>0.44444444444444442</v>
      </c>
      <c r="O9" s="69">
        <v>0.45454545454545453</v>
      </c>
      <c r="P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0.17543859649122806</v>
      </c>
      <c r="M10" s="69">
        <v>0.22807017543859648</v>
      </c>
      <c r="N10" s="69">
        <v>0.5</v>
      </c>
      <c r="O10" s="69">
        <v>0.38461538461538464</v>
      </c>
      <c r="P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0.15384615384615385</v>
      </c>
      <c r="M11" s="69">
        <v>0.24615384615384617</v>
      </c>
      <c r="N11" s="69">
        <v>0.5</v>
      </c>
      <c r="O11" s="69">
        <v>0.375</v>
      </c>
      <c r="P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0.14492753623188406</v>
      </c>
      <c r="M12" s="69">
        <v>0.2608695652173913</v>
      </c>
      <c r="N12" s="69">
        <v>0.5</v>
      </c>
      <c r="O12" s="69">
        <v>0.33333333333333331</v>
      </c>
      <c r="P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0.13698630136986301</v>
      </c>
      <c r="M13" s="69">
        <v>0.26027397260273971</v>
      </c>
      <c r="N13" s="69">
        <v>0.5</v>
      </c>
      <c r="O13" s="69">
        <v>0.31578947368421051</v>
      </c>
      <c r="P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0.14634146341463414</v>
      </c>
      <c r="M14" s="69">
        <v>0.28048780487804881</v>
      </c>
      <c r="N14" s="69">
        <v>0.41666666666666669</v>
      </c>
      <c r="O14" s="69">
        <v>0.30434782608695654</v>
      </c>
      <c r="P14" s="69">
        <v>0.4375</v>
      </c>
    </row>
    <row r="15" spans="1:17" x14ac:dyDescent="0.4">
      <c r="A15" s="71">
        <v>12</v>
      </c>
      <c r="B15" s="68">
        <v>-155.1</v>
      </c>
      <c r="C15" s="68">
        <v>-12.924999999999999</v>
      </c>
      <c r="D15" s="73">
        <v>2.4166666666666665</v>
      </c>
      <c r="E15" s="69">
        <v>0.16666666666666666</v>
      </c>
      <c r="F15" s="69">
        <v>0.19318181818181818</v>
      </c>
      <c r="G15" s="69">
        <v>0.25</v>
      </c>
      <c r="H15" s="70">
        <v>8670.5882352941171</v>
      </c>
      <c r="I15" s="70">
        <v>-9190.9090909090901</v>
      </c>
      <c r="J15" s="69">
        <v>0.33333333333333331</v>
      </c>
      <c r="K15" s="69">
        <v>8.3333333333333329E-2</v>
      </c>
      <c r="L15" s="69">
        <v>0.13636363636363635</v>
      </c>
      <c r="M15" s="69">
        <v>0.27272727272727271</v>
      </c>
      <c r="N15" s="69">
        <v>0.41666666666666669</v>
      </c>
      <c r="O15" s="69">
        <v>0.33333333333333331</v>
      </c>
      <c r="P15" s="6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78D45-C431-454B-9F71-D0F66A922EB6}">
  <sheetPr codeName="Sheet30"/>
  <dimension ref="A1:Q3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0.8571428571428571</v>
      </c>
      <c r="N4" s="69">
        <v>0</v>
      </c>
      <c r="O4" s="69">
        <v>0.33333333333333331</v>
      </c>
      <c r="P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0.5</v>
      </c>
      <c r="N5" s="69">
        <v>0</v>
      </c>
      <c r="O5" s="69">
        <v>0.2857142857142857</v>
      </c>
      <c r="P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4.1666666666666664E-2</v>
      </c>
      <c r="M6" s="69">
        <v>0.54166666666666663</v>
      </c>
      <c r="N6" s="69">
        <v>0</v>
      </c>
      <c r="O6" s="69">
        <v>0.46153846153846156</v>
      </c>
      <c r="P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6.8965517241379309E-2</v>
      </c>
      <c r="M7" s="69">
        <v>0.51724137931034486</v>
      </c>
      <c r="N7" s="69">
        <v>0.5</v>
      </c>
      <c r="O7" s="69">
        <v>0.46666666666666667</v>
      </c>
      <c r="P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6.0606060606060608E-2</v>
      </c>
      <c r="M8" s="69">
        <v>0.48484848484848486</v>
      </c>
      <c r="N8" s="69">
        <v>0.5</v>
      </c>
      <c r="O8" s="69">
        <v>0.5</v>
      </c>
      <c r="P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6.9767441860465115E-2</v>
      </c>
      <c r="M9" s="69">
        <v>0.48837209302325579</v>
      </c>
      <c r="N9" s="69">
        <v>0.33333333333333331</v>
      </c>
      <c r="O9" s="69">
        <v>0.38095238095238093</v>
      </c>
      <c r="P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6.25E-2</v>
      </c>
      <c r="M10" s="69">
        <v>0.47916666666666669</v>
      </c>
      <c r="N10" s="69">
        <v>0.33333333333333331</v>
      </c>
      <c r="O10" s="69">
        <v>0.43478260869565216</v>
      </c>
      <c r="P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7.0175438596491224E-2</v>
      </c>
      <c r="M11" s="69">
        <v>0.43859649122807015</v>
      </c>
      <c r="N11" s="69">
        <v>0.25</v>
      </c>
      <c r="O11" s="69">
        <v>0.4</v>
      </c>
      <c r="P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7.575757575757576E-2</v>
      </c>
      <c r="M12" s="69">
        <v>0.46969696969696972</v>
      </c>
      <c r="N12" s="69">
        <v>0.4</v>
      </c>
      <c r="O12" s="69">
        <v>0.38709677419354838</v>
      </c>
      <c r="P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0.10256410256410256</v>
      </c>
      <c r="M13" s="69">
        <v>0.47435897435897434</v>
      </c>
      <c r="N13" s="69">
        <v>0.5</v>
      </c>
      <c r="O13" s="69">
        <v>0.32432432432432434</v>
      </c>
      <c r="P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9.4117647058823528E-2</v>
      </c>
      <c r="M14" s="69">
        <v>0.47058823529411764</v>
      </c>
      <c r="N14" s="69">
        <v>0.5</v>
      </c>
      <c r="O14" s="69">
        <v>0.3</v>
      </c>
      <c r="P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0.11702127659574468</v>
      </c>
      <c r="M15" s="69">
        <v>0.43617021276595747</v>
      </c>
      <c r="N15" s="69">
        <v>0.54545454545454541</v>
      </c>
      <c r="O15" s="69">
        <v>0.31707317073170732</v>
      </c>
      <c r="P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0.16190476190476191</v>
      </c>
      <c r="M16" s="69">
        <v>0.40952380952380951</v>
      </c>
      <c r="N16" s="69">
        <v>0.58823529411764708</v>
      </c>
      <c r="O16" s="69">
        <v>0.32558139534883723</v>
      </c>
      <c r="P16" s="69">
        <v>0.22222222222222221</v>
      </c>
    </row>
    <row r="17" spans="1:16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0.17543859649122806</v>
      </c>
      <c r="M17" s="69">
        <v>0.41228070175438597</v>
      </c>
      <c r="N17" s="69">
        <v>0.6</v>
      </c>
      <c r="O17" s="69">
        <v>0.2978723404255319</v>
      </c>
      <c r="P17" s="69">
        <v>0.2413793103448276</v>
      </c>
    </row>
    <row r="18" spans="1:16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0.1864406779661017</v>
      </c>
      <c r="M18" s="69">
        <v>0.39830508474576271</v>
      </c>
      <c r="N18" s="69">
        <v>0.54545454545454541</v>
      </c>
      <c r="O18" s="69">
        <v>0.2978723404255319</v>
      </c>
      <c r="P18" s="69">
        <v>0.2413793103448276</v>
      </c>
    </row>
    <row r="19" spans="1:16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0.2</v>
      </c>
      <c r="M19" s="69">
        <v>0.39200000000000002</v>
      </c>
      <c r="N19" s="69">
        <v>0.56000000000000005</v>
      </c>
      <c r="O19" s="69">
        <v>0.30612244897959184</v>
      </c>
      <c r="P19" s="69">
        <v>0.24242424242424243</v>
      </c>
    </row>
    <row r="20" spans="1:16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0.19402985074626866</v>
      </c>
      <c r="M20" s="69">
        <v>0.38059701492537312</v>
      </c>
      <c r="N20" s="69">
        <v>0.53846153846153844</v>
      </c>
      <c r="O20" s="69">
        <v>0.33333333333333331</v>
      </c>
      <c r="P20" s="69">
        <v>0.25714285714285712</v>
      </c>
    </row>
    <row r="21" spans="1:16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0.18181818181818182</v>
      </c>
      <c r="M21" s="69">
        <v>0.3776223776223776</v>
      </c>
      <c r="N21" s="69">
        <v>0.53846153846153844</v>
      </c>
      <c r="O21" s="69">
        <v>0.33333333333333331</v>
      </c>
      <c r="P21" s="69">
        <v>0.29729729729729731</v>
      </c>
    </row>
    <row r="22" spans="1:16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0.17880794701986755</v>
      </c>
      <c r="M22" s="69">
        <v>0.38410596026490068</v>
      </c>
      <c r="N22" s="69">
        <v>0.51851851851851849</v>
      </c>
      <c r="O22" s="69">
        <v>0.36206896551724138</v>
      </c>
      <c r="P22" s="69">
        <v>0.27500000000000002</v>
      </c>
    </row>
    <row r="23" spans="1:16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0.16666666666666666</v>
      </c>
      <c r="M23" s="69">
        <v>0.3888888888888889</v>
      </c>
      <c r="N23" s="69">
        <v>0.51851851851851849</v>
      </c>
      <c r="O23" s="69">
        <v>0.33333333333333331</v>
      </c>
      <c r="P23" s="69">
        <v>0.29268292682926828</v>
      </c>
    </row>
    <row r="24" spans="1:16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0.15976331360946747</v>
      </c>
      <c r="M24" s="69">
        <v>0.38461538461538464</v>
      </c>
      <c r="N24" s="69">
        <v>0.51851851851851849</v>
      </c>
      <c r="O24" s="69">
        <v>0.32307692307692309</v>
      </c>
      <c r="P24" s="69">
        <v>0.29268292682926828</v>
      </c>
    </row>
    <row r="25" spans="1:16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0.15819209039548024</v>
      </c>
      <c r="M25" s="69">
        <v>0.38983050847457629</v>
      </c>
      <c r="N25" s="69">
        <v>0.5</v>
      </c>
      <c r="O25" s="69">
        <v>0.3188405797101449</v>
      </c>
      <c r="P25" s="69">
        <v>0.2857142857142857</v>
      </c>
    </row>
    <row r="26" spans="1:16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0.15135135135135136</v>
      </c>
      <c r="M26" s="69">
        <v>0.38918918918918921</v>
      </c>
      <c r="N26" s="69">
        <v>0.5</v>
      </c>
      <c r="O26" s="69">
        <v>0.31944444444444442</v>
      </c>
      <c r="P26" s="69">
        <v>0.27906976744186046</v>
      </c>
    </row>
    <row r="27" spans="1:16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0.15183246073298429</v>
      </c>
      <c r="M27" s="69">
        <v>0.39267015706806285</v>
      </c>
      <c r="N27" s="69">
        <v>0.48275862068965519</v>
      </c>
      <c r="O27" s="69">
        <v>0.32</v>
      </c>
      <c r="P27" s="69">
        <v>0.29545454545454547</v>
      </c>
    </row>
    <row r="28" spans="1:16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0.15306122448979592</v>
      </c>
      <c r="M28" s="69">
        <v>0.38775510204081631</v>
      </c>
      <c r="N28" s="69">
        <v>0.46666666666666667</v>
      </c>
      <c r="O28" s="69">
        <v>0.31578947368421051</v>
      </c>
      <c r="P28" s="69">
        <v>0.29545454545454547</v>
      </c>
    </row>
    <row r="29" spans="1:16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0.15121951219512195</v>
      </c>
      <c r="M29" s="69">
        <v>0.38536585365853659</v>
      </c>
      <c r="N29" s="69">
        <v>0.45161290322580644</v>
      </c>
      <c r="O29" s="69">
        <v>0.30379746835443039</v>
      </c>
      <c r="P29" s="69">
        <v>0.29545454545454547</v>
      </c>
    </row>
    <row r="30" spans="1:16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0.15094339622641509</v>
      </c>
      <c r="M30" s="69">
        <v>0.39150943396226418</v>
      </c>
      <c r="N30" s="69">
        <v>0.46875</v>
      </c>
      <c r="O30" s="69">
        <v>0.31325301204819278</v>
      </c>
      <c r="P30" s="69">
        <v>0.2978723404255319</v>
      </c>
    </row>
    <row r="31" spans="1:16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0.15</v>
      </c>
      <c r="M31" s="69">
        <v>0.39545454545454545</v>
      </c>
      <c r="N31" s="69">
        <v>0.45454545454545453</v>
      </c>
      <c r="O31" s="69">
        <v>0.32183908045977011</v>
      </c>
      <c r="P31" s="69">
        <v>0.32653061224489793</v>
      </c>
    </row>
    <row r="32" spans="1:16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0.14798206278026907</v>
      </c>
      <c r="M32" s="69">
        <v>0.39461883408071746</v>
      </c>
      <c r="N32" s="69">
        <v>0.45454545454545453</v>
      </c>
      <c r="O32" s="69">
        <v>0.31818181818181818</v>
      </c>
      <c r="P32" s="69">
        <v>0.32</v>
      </c>
    </row>
    <row r="33" spans="1:16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0.14847161572052403</v>
      </c>
      <c r="M33" s="69">
        <v>0.3930131004366812</v>
      </c>
      <c r="N33" s="69">
        <v>0.44117647058823528</v>
      </c>
      <c r="O33" s="69">
        <v>0.31111111111111112</v>
      </c>
      <c r="P33" s="69">
        <v>0.32</v>
      </c>
    </row>
    <row r="34" spans="1:16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0.14285714285714285</v>
      </c>
      <c r="M34" s="69">
        <v>0.40336134453781514</v>
      </c>
      <c r="N34" s="69">
        <v>0.44117647058823528</v>
      </c>
      <c r="O34" s="69">
        <v>0.29166666666666669</v>
      </c>
      <c r="P34" s="69">
        <v>0.32</v>
      </c>
    </row>
    <row r="35" spans="1:16" x14ac:dyDescent="0.4">
      <c r="A35" s="71">
        <v>32</v>
      </c>
      <c r="B35" s="68">
        <v>-360.79999999999995</v>
      </c>
      <c r="C35" s="68">
        <v>-11.274999999999999</v>
      </c>
      <c r="D35" s="73">
        <v>2.34375</v>
      </c>
      <c r="E35" s="69">
        <v>0.21875</v>
      </c>
      <c r="F35" s="69">
        <v>0.20491803278688525</v>
      </c>
      <c r="G35" s="69">
        <v>0.19672131147540983</v>
      </c>
      <c r="H35" s="70">
        <v>9544</v>
      </c>
      <c r="I35" s="70">
        <v>-8533.3333333333339</v>
      </c>
      <c r="J35" s="69">
        <v>0.28125</v>
      </c>
      <c r="K35" s="69">
        <v>9.375E-2</v>
      </c>
      <c r="L35" s="69">
        <v>0.13934426229508196</v>
      </c>
      <c r="M35" s="69">
        <v>0.39344262295081966</v>
      </c>
      <c r="N35" s="69">
        <v>0.44117647058823528</v>
      </c>
      <c r="O35" s="69">
        <v>0.29166666666666669</v>
      </c>
      <c r="P35" s="69">
        <v>0.32</v>
      </c>
    </row>
    <row r="36" spans="1:16" x14ac:dyDescent="0.4">
      <c r="A36" s="71">
        <v>33</v>
      </c>
      <c r="B36" s="68">
        <v>-386.69999999999993</v>
      </c>
      <c r="C36" s="68">
        <v>-11.718181818181817</v>
      </c>
      <c r="D36" s="73">
        <v>2.3636363636363638</v>
      </c>
      <c r="E36" s="69">
        <v>0.21212121212121213</v>
      </c>
      <c r="F36" s="69">
        <v>0.20078740157480315</v>
      </c>
      <c r="G36" s="69">
        <v>0.19685039370078741</v>
      </c>
      <c r="H36" s="70">
        <v>9827.4509803921574</v>
      </c>
      <c r="I36" s="70">
        <v>-8630</v>
      </c>
      <c r="J36" s="69">
        <v>0.27272727272727271</v>
      </c>
      <c r="K36" s="69">
        <v>9.0909090909090912E-2</v>
      </c>
      <c r="L36" s="69">
        <v>0.13779527559055119</v>
      </c>
      <c r="M36" s="69">
        <v>0.37795275590551181</v>
      </c>
      <c r="N36" s="69">
        <v>0.45714285714285713</v>
      </c>
      <c r="O36" s="69">
        <v>0.29166666666666669</v>
      </c>
      <c r="P36" s="69">
        <v>0.33333333333333331</v>
      </c>
    </row>
    <row r="37" spans="1:16" x14ac:dyDescent="0.4">
      <c r="A37" s="71">
        <v>34</v>
      </c>
      <c r="B37" s="68">
        <v>-412.99999999999994</v>
      </c>
      <c r="C37" s="68">
        <v>-12.147058823529409</v>
      </c>
      <c r="D37" s="73">
        <v>2.3823529411764706</v>
      </c>
      <c r="E37" s="69">
        <v>0.20588235294117646</v>
      </c>
      <c r="F37" s="69">
        <v>0.2</v>
      </c>
      <c r="G37" s="69">
        <v>0.19245283018867926</v>
      </c>
      <c r="H37" s="70">
        <v>9637.7358490566039</v>
      </c>
      <c r="I37" s="70">
        <v>-8617.6470588235297</v>
      </c>
      <c r="J37" s="69">
        <v>0.26470588235294118</v>
      </c>
      <c r="K37" s="69">
        <v>8.8235294117647065E-2</v>
      </c>
      <c r="L37" s="69">
        <v>0.13962264150943396</v>
      </c>
      <c r="M37" s="69">
        <v>0.37358490566037733</v>
      </c>
      <c r="N37" s="69">
        <v>0.45945945945945948</v>
      </c>
      <c r="O37" s="69">
        <v>0.28282828282828282</v>
      </c>
      <c r="P37" s="69">
        <v>0.33962264150943394</v>
      </c>
    </row>
    <row r="38" spans="1:16" x14ac:dyDescent="0.4">
      <c r="A38" s="71">
        <v>35</v>
      </c>
      <c r="B38" s="68">
        <v>-448.39999999999992</v>
      </c>
      <c r="C38" s="68">
        <v>-12.81142857142857</v>
      </c>
      <c r="D38" s="73">
        <v>2.4</v>
      </c>
      <c r="E38" s="69">
        <v>0.2</v>
      </c>
      <c r="F38" s="69">
        <v>0.19926199261992619</v>
      </c>
      <c r="G38" s="69">
        <v>0.1918819188191882</v>
      </c>
      <c r="H38" s="70">
        <v>9498.1481481481478</v>
      </c>
      <c r="I38" s="70">
        <v>-8605.7692307692305</v>
      </c>
      <c r="J38" s="69">
        <v>0.2857142857142857</v>
      </c>
      <c r="K38" s="69">
        <v>8.5714285714285715E-2</v>
      </c>
      <c r="L38" s="69">
        <v>0.13653136531365315</v>
      </c>
      <c r="M38" s="69">
        <v>0.36531365313653136</v>
      </c>
      <c r="N38" s="69">
        <v>0.45945945945945948</v>
      </c>
      <c r="O38" s="69">
        <v>0.28282828282828282</v>
      </c>
      <c r="P38" s="69">
        <v>0.35185185185185186</v>
      </c>
    </row>
    <row r="39" spans="1:16" x14ac:dyDescent="0.4">
      <c r="A39" s="71">
        <v>36</v>
      </c>
      <c r="B39" s="68">
        <v>-455.89999999999992</v>
      </c>
      <c r="C39" s="68">
        <v>-12.663888888888886</v>
      </c>
      <c r="D39" s="73">
        <v>2.3888888888888888</v>
      </c>
      <c r="E39" s="69">
        <v>0.19444444444444445</v>
      </c>
      <c r="F39" s="69">
        <v>0.20071684587813621</v>
      </c>
      <c r="G39" s="69">
        <v>0.18996415770609318</v>
      </c>
      <c r="H39" s="70">
        <v>9373.2142857142862</v>
      </c>
      <c r="I39" s="70">
        <v>-8745.2830188679254</v>
      </c>
      <c r="J39" s="69">
        <v>0.27777777777777779</v>
      </c>
      <c r="K39" s="69">
        <v>8.3333333333333329E-2</v>
      </c>
      <c r="L39" s="69">
        <v>0.13978494623655913</v>
      </c>
      <c r="M39" s="69">
        <v>0.35483870967741937</v>
      </c>
      <c r="N39" s="69">
        <v>0.46153846153846156</v>
      </c>
      <c r="O39" s="69">
        <v>0.28282828282828282</v>
      </c>
      <c r="P39" s="6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1AE07-A10B-48E3-B41D-23945D576F45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0.45454545454545453</v>
      </c>
      <c r="M4" s="69">
        <v>0.18181818181818182</v>
      </c>
      <c r="N4" s="69">
        <v>0.8</v>
      </c>
      <c r="O4" s="69">
        <v>0.5</v>
      </c>
      <c r="P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0.5714285714285714</v>
      </c>
      <c r="M5" s="69">
        <v>0.14285714285714285</v>
      </c>
      <c r="N5" s="69">
        <v>0.75</v>
      </c>
      <c r="O5" s="69">
        <v>0.5</v>
      </c>
      <c r="P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0.48148148148148145</v>
      </c>
      <c r="M6" s="69">
        <v>0.14814814814814814</v>
      </c>
      <c r="N6" s="69">
        <v>0.69230769230769229</v>
      </c>
      <c r="O6" s="69">
        <v>0.25</v>
      </c>
      <c r="P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0.43243243243243246</v>
      </c>
      <c r="M7" s="69">
        <v>0.13513513513513514</v>
      </c>
      <c r="N7" s="69">
        <v>0.6875</v>
      </c>
      <c r="O7" s="69">
        <v>0.4</v>
      </c>
      <c r="P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0.43478260869565216</v>
      </c>
      <c r="M8" s="69">
        <v>0.13043478260869565</v>
      </c>
      <c r="N8" s="69">
        <v>0.6</v>
      </c>
      <c r="O8" s="69">
        <v>0.5</v>
      </c>
      <c r="P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0.42</v>
      </c>
      <c r="M9" s="69">
        <v>0.12</v>
      </c>
      <c r="N9" s="69">
        <v>0.61904761904761907</v>
      </c>
      <c r="O9" s="69">
        <v>0.5</v>
      </c>
      <c r="P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D8485-6AED-4CFF-BA7F-F49B8427D1BC}">
  <sheetPr codeName="Sheet26"/>
  <dimension ref="A1:Q1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P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P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P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P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P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P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P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0.42857142857142855</v>
      </c>
      <c r="M11" s="69">
        <v>0.14285714285714285</v>
      </c>
      <c r="N11" s="69">
        <v>0.33333333333333331</v>
      </c>
      <c r="O11" s="69">
        <v>0</v>
      </c>
      <c r="P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0.33333333333333331</v>
      </c>
      <c r="M12" s="69">
        <v>0.13333333333333333</v>
      </c>
      <c r="N12" s="69">
        <v>0.6</v>
      </c>
      <c r="O12" s="69">
        <v>0.5</v>
      </c>
      <c r="P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0.2608695652173913</v>
      </c>
      <c r="M13" s="69">
        <v>0.21739130434782608</v>
      </c>
      <c r="N13" s="69">
        <v>0.5</v>
      </c>
      <c r="O13" s="69">
        <v>0.2</v>
      </c>
      <c r="P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0.25806451612903225</v>
      </c>
      <c r="M14" s="69">
        <v>0.22580645161290322</v>
      </c>
      <c r="N14" s="69">
        <v>0.5</v>
      </c>
      <c r="O14" s="69">
        <v>0.14285714285714285</v>
      </c>
      <c r="P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0.27906976744186046</v>
      </c>
      <c r="M15" s="69">
        <v>0.20930232558139536</v>
      </c>
      <c r="N15" s="69">
        <v>0.41666666666666669</v>
      </c>
      <c r="O15" s="69">
        <v>0.1111111111111111</v>
      </c>
      <c r="P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0.2857142857142857</v>
      </c>
      <c r="M16" s="69">
        <v>0.19642857142857142</v>
      </c>
      <c r="N16" s="69">
        <v>0.375</v>
      </c>
      <c r="O16" s="69">
        <v>0.18181818181818182</v>
      </c>
      <c r="P16" s="69">
        <v>0.5714285714285714</v>
      </c>
    </row>
    <row r="17" spans="1:16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0.27868852459016391</v>
      </c>
      <c r="M17" s="69">
        <v>0.21311475409836064</v>
      </c>
      <c r="N17" s="69">
        <v>0.41176470588235292</v>
      </c>
      <c r="O17" s="69">
        <v>0.15384615384615385</v>
      </c>
      <c r="P17" s="69">
        <v>0.59090909090909094</v>
      </c>
    </row>
    <row r="18" spans="1:16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0.28985507246376813</v>
      </c>
      <c r="M18" s="69">
        <v>0.21739130434782608</v>
      </c>
      <c r="N18" s="69">
        <v>0.5</v>
      </c>
      <c r="O18" s="69">
        <v>0.13333333333333333</v>
      </c>
      <c r="P18" s="69">
        <v>0.6</v>
      </c>
    </row>
    <row r="19" spans="1:16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0.27272727272727271</v>
      </c>
      <c r="M19" s="69">
        <v>0.20779220779220781</v>
      </c>
      <c r="N19" s="69">
        <v>0.52380952380952384</v>
      </c>
      <c r="O19" s="69">
        <v>0.125</v>
      </c>
      <c r="P19" s="69">
        <v>0.57692307692307687</v>
      </c>
    </row>
    <row r="20" spans="1:16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0.25609756097560976</v>
      </c>
      <c r="M20" s="69">
        <v>0.21951219512195122</v>
      </c>
      <c r="N20" s="69">
        <v>0.52380952380952384</v>
      </c>
      <c r="O20" s="69">
        <v>0.1111111111111111</v>
      </c>
      <c r="P20" s="69">
        <v>0.59259259259259256</v>
      </c>
    </row>
    <row r="21" spans="1:16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0.23958333333333334</v>
      </c>
      <c r="M21" s="69">
        <v>0.21875</v>
      </c>
      <c r="N21" s="69">
        <v>0.52173913043478259</v>
      </c>
      <c r="O21" s="69">
        <v>0.14285714285714285</v>
      </c>
      <c r="P21" s="69">
        <v>0.58620689655172409</v>
      </c>
    </row>
    <row r="22" spans="1:16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0.24038461538461539</v>
      </c>
      <c r="M22" s="69">
        <v>0.22115384615384615</v>
      </c>
      <c r="N22" s="69">
        <v>0.56000000000000005</v>
      </c>
      <c r="O22" s="69">
        <v>0.21739130434782608</v>
      </c>
      <c r="P22" s="69">
        <v>0.5757575757575758</v>
      </c>
    </row>
    <row r="23" spans="1:16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0.22413793103448276</v>
      </c>
      <c r="M23" s="69">
        <v>0.23275862068965517</v>
      </c>
      <c r="N23" s="69">
        <v>0.53846153846153844</v>
      </c>
      <c r="O23" s="69">
        <v>0.29629629629629628</v>
      </c>
      <c r="P23" s="69">
        <v>0.56756756756756754</v>
      </c>
    </row>
    <row r="24" spans="1:16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0.22764227642276422</v>
      </c>
      <c r="M24" s="69">
        <v>0.22764227642276422</v>
      </c>
      <c r="N24" s="69">
        <v>0.5714285714285714</v>
      </c>
      <c r="O24" s="69">
        <v>0.32142857142857145</v>
      </c>
      <c r="P24" s="69">
        <v>0.52500000000000002</v>
      </c>
    </row>
    <row r="25" spans="1:16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0.22727272727272727</v>
      </c>
      <c r="M25" s="69">
        <v>0.23484848484848486</v>
      </c>
      <c r="N25" s="69">
        <v>0.6</v>
      </c>
      <c r="O25" s="69">
        <v>0.35483870967741937</v>
      </c>
      <c r="P25" s="69">
        <v>0.53333333333333333</v>
      </c>
    </row>
    <row r="26" spans="1:16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0.23571428571428571</v>
      </c>
      <c r="M26" s="69">
        <v>0.24285714285714285</v>
      </c>
      <c r="N26" s="69">
        <v>0.5757575757575758</v>
      </c>
      <c r="O26" s="69">
        <v>0.35294117647058826</v>
      </c>
      <c r="P26" s="69">
        <v>0.53191489361702127</v>
      </c>
    </row>
    <row r="27" spans="1:16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0.25827814569536423</v>
      </c>
      <c r="M27" s="69">
        <v>0.2251655629139073</v>
      </c>
      <c r="N27" s="69">
        <v>0.61538461538461542</v>
      </c>
      <c r="O27" s="69">
        <v>0.35294117647058826</v>
      </c>
      <c r="P27" s="69">
        <v>0.51923076923076927</v>
      </c>
    </row>
    <row r="28" spans="1:16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0.24223602484472051</v>
      </c>
      <c r="M28" s="69">
        <v>0.22981366459627328</v>
      </c>
      <c r="N28" s="69">
        <v>0.61538461538461542</v>
      </c>
      <c r="O28" s="69">
        <v>0.3783783783783784</v>
      </c>
      <c r="P28" s="69">
        <v>0.5</v>
      </c>
    </row>
    <row r="29" spans="1:16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0.23809523809523808</v>
      </c>
      <c r="M29" s="69">
        <v>0.23214285714285715</v>
      </c>
      <c r="N29" s="69">
        <v>0.625</v>
      </c>
      <c r="O29" s="69">
        <v>0.35897435897435898</v>
      </c>
      <c r="P29" s="69">
        <v>0.49090909090909091</v>
      </c>
    </row>
    <row r="30" spans="1:16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0.23976608187134502</v>
      </c>
      <c r="M30" s="69">
        <v>0.22807017543859648</v>
      </c>
      <c r="N30" s="69">
        <v>0.6097560975609756</v>
      </c>
      <c r="O30" s="69">
        <v>0.35897435897435898</v>
      </c>
      <c r="P30" s="69">
        <v>0.49090909090909091</v>
      </c>
    </row>
    <row r="31" spans="1:16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0.25139664804469275</v>
      </c>
      <c r="M31" s="69">
        <v>0.24022346368715083</v>
      </c>
      <c r="N31" s="69">
        <v>0.6</v>
      </c>
      <c r="O31" s="69">
        <v>0.34883720930232559</v>
      </c>
      <c r="P31" s="69">
        <v>0.48275862068965519</v>
      </c>
    </row>
    <row r="32" spans="1:16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0.26486486486486488</v>
      </c>
      <c r="M32" s="69">
        <v>0.23243243243243245</v>
      </c>
      <c r="N32" s="69">
        <v>0.63265306122448983</v>
      </c>
      <c r="O32" s="69">
        <v>0.34883720930232559</v>
      </c>
      <c r="P32" s="69">
        <v>0.5</v>
      </c>
    </row>
    <row r="33" spans="1:16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0.26178010471204188</v>
      </c>
      <c r="M33" s="69">
        <v>0.22513089005235601</v>
      </c>
      <c r="N33" s="69">
        <v>0.62</v>
      </c>
      <c r="O33" s="69">
        <v>0.34883720930232559</v>
      </c>
      <c r="P33" s="69">
        <v>0.5</v>
      </c>
    </row>
    <row r="34" spans="1:16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0.25742574257425743</v>
      </c>
      <c r="M34" s="69">
        <v>0.21782178217821782</v>
      </c>
      <c r="N34" s="69">
        <v>0.63461538461538458</v>
      </c>
      <c r="O34" s="69">
        <v>0.36363636363636365</v>
      </c>
      <c r="P34" s="69">
        <v>0.49230769230769234</v>
      </c>
    </row>
    <row r="35" spans="1:16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0.25490196078431371</v>
      </c>
      <c r="M35" s="69">
        <v>0.21568627450980393</v>
      </c>
      <c r="N35" s="69">
        <v>0.63461538461538458</v>
      </c>
      <c r="O35" s="69">
        <v>0.36363636363636365</v>
      </c>
      <c r="P35" s="69">
        <v>0.49230769230769234</v>
      </c>
    </row>
    <row r="36" spans="1:16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0.25592417061611372</v>
      </c>
      <c r="M36" s="69">
        <v>0.2132701421800948</v>
      </c>
      <c r="N36" s="69">
        <v>0.62962962962962965</v>
      </c>
      <c r="O36" s="69">
        <v>0.35555555555555557</v>
      </c>
      <c r="P36" s="69">
        <v>0.5</v>
      </c>
    </row>
    <row r="37" spans="1:16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0.26363636363636361</v>
      </c>
      <c r="M37" s="69">
        <v>0.20909090909090908</v>
      </c>
      <c r="N37" s="69">
        <v>0.60344827586206895</v>
      </c>
      <c r="O37" s="69">
        <v>0.34782608695652173</v>
      </c>
      <c r="P37" s="69">
        <v>0.48529411764705882</v>
      </c>
    </row>
    <row r="38" spans="1:16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0.26106194690265488</v>
      </c>
      <c r="M38" s="69">
        <v>0.21238938053097345</v>
      </c>
      <c r="N38" s="69">
        <v>0.61016949152542377</v>
      </c>
      <c r="O38" s="69">
        <v>0.33333333333333331</v>
      </c>
      <c r="P38" s="69">
        <v>0.47826086956521741</v>
      </c>
    </row>
    <row r="39" spans="1:16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0.25847457627118642</v>
      </c>
      <c r="M39" s="69">
        <v>0.22033898305084745</v>
      </c>
      <c r="N39" s="69">
        <v>0.5901639344262295</v>
      </c>
      <c r="O39" s="69">
        <v>0.34615384615384615</v>
      </c>
      <c r="P39" s="69">
        <v>0.47222222222222221</v>
      </c>
    </row>
    <row r="40" spans="1:16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0.26141078838174275</v>
      </c>
      <c r="M40" s="69">
        <v>0.21576763485477179</v>
      </c>
      <c r="N40" s="69">
        <v>0.5714285714285714</v>
      </c>
      <c r="O40" s="69">
        <v>0.34615384615384615</v>
      </c>
      <c r="P40" s="69">
        <v>0.47222222222222221</v>
      </c>
    </row>
    <row r="41" spans="1:16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0.26400000000000001</v>
      </c>
      <c r="M41" s="69">
        <v>0.20799999999999999</v>
      </c>
      <c r="N41" s="69">
        <v>0.59090909090909094</v>
      </c>
      <c r="O41" s="69">
        <v>0.34615384615384615</v>
      </c>
      <c r="P41" s="69">
        <v>0.48</v>
      </c>
    </row>
    <row r="42" spans="1:16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0.2734375</v>
      </c>
      <c r="M42" s="69">
        <v>0.20703125</v>
      </c>
      <c r="N42" s="69">
        <v>0.6</v>
      </c>
      <c r="O42" s="69">
        <v>0.33962264150943394</v>
      </c>
      <c r="P42" s="69">
        <v>0.46153846153846156</v>
      </c>
    </row>
    <row r="43" spans="1:16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0.27547169811320754</v>
      </c>
      <c r="M43" s="69">
        <v>0.21509433962264152</v>
      </c>
      <c r="N43" s="69">
        <v>0.60273972602739723</v>
      </c>
      <c r="O43" s="69">
        <v>0.33333333333333331</v>
      </c>
      <c r="P43" s="69">
        <v>0.46913580246913578</v>
      </c>
    </row>
    <row r="44" spans="1:16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0.27407407407407408</v>
      </c>
      <c r="M44" s="69">
        <v>0.21481481481481482</v>
      </c>
      <c r="N44" s="69">
        <v>0.60810810810810811</v>
      </c>
      <c r="O44" s="69">
        <v>0.32758620689655171</v>
      </c>
      <c r="P44" s="69">
        <v>0.46987951807228917</v>
      </c>
    </row>
    <row r="45" spans="1:16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0.27272727272727271</v>
      </c>
      <c r="M45" s="69">
        <v>0.21454545454545454</v>
      </c>
      <c r="N45" s="69">
        <v>0.61333333333333329</v>
      </c>
      <c r="O45" s="69">
        <v>0.32203389830508472</v>
      </c>
      <c r="P45" s="69">
        <v>0.47619047619047616</v>
      </c>
    </row>
    <row r="46" spans="1:16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0.27598566308243727</v>
      </c>
      <c r="M46" s="69">
        <v>0.21863799283154123</v>
      </c>
      <c r="N46" s="69">
        <v>0.62337662337662336</v>
      </c>
      <c r="O46" s="69">
        <v>0.34426229508196721</v>
      </c>
      <c r="P46" s="69">
        <v>0.47727272727272729</v>
      </c>
    </row>
    <row r="47" spans="1:16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0.28027681660899656</v>
      </c>
      <c r="M47" s="69">
        <v>0.22491349480968859</v>
      </c>
      <c r="N47" s="69">
        <v>0.62962962962962965</v>
      </c>
      <c r="O47" s="69">
        <v>0.36923076923076925</v>
      </c>
      <c r="P47" s="69">
        <v>0.45744680851063829</v>
      </c>
    </row>
    <row r="48" spans="1:16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0.28000000000000003</v>
      </c>
      <c r="M48" s="69">
        <v>0.22666666666666666</v>
      </c>
      <c r="N48" s="69">
        <v>0.6428571428571429</v>
      </c>
      <c r="O48" s="69">
        <v>0.38235294117647056</v>
      </c>
      <c r="P48" s="69">
        <v>0.45454545454545453</v>
      </c>
    </row>
    <row r="49" spans="1:16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0.28155339805825241</v>
      </c>
      <c r="M49" s="69">
        <v>0.22653721682847897</v>
      </c>
      <c r="N49" s="69">
        <v>0.62068965517241381</v>
      </c>
      <c r="O49" s="69">
        <v>0.38571428571428573</v>
      </c>
      <c r="P49" s="69">
        <v>0.46</v>
      </c>
    </row>
    <row r="50" spans="1:16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0.29153605015673983</v>
      </c>
      <c r="M50" s="69">
        <v>0.21943573667711599</v>
      </c>
      <c r="N50" s="69">
        <v>0.60215053763440862</v>
      </c>
      <c r="O50" s="69">
        <v>0.38571428571428573</v>
      </c>
      <c r="P50" s="69">
        <v>0.44660194174757284</v>
      </c>
    </row>
    <row r="51" spans="1:16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0.29357798165137616</v>
      </c>
      <c r="M51" s="69">
        <v>0.22018348623853212</v>
      </c>
      <c r="N51" s="69">
        <v>0.59375</v>
      </c>
      <c r="O51" s="69">
        <v>0.3888888888888889</v>
      </c>
      <c r="P51" s="69">
        <v>0.44761904761904764</v>
      </c>
    </row>
    <row r="52" spans="1:16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0.29850746268656714</v>
      </c>
      <c r="M52" s="69">
        <v>0.22089552238805971</v>
      </c>
      <c r="N52" s="69">
        <v>0.57999999999999996</v>
      </c>
      <c r="O52" s="69">
        <v>0.39189189189189189</v>
      </c>
      <c r="P52" s="69">
        <v>0.46296296296296297</v>
      </c>
    </row>
    <row r="53" spans="1:16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0.29705882352941176</v>
      </c>
      <c r="M53" s="69">
        <v>0.22058823529411764</v>
      </c>
      <c r="N53" s="69">
        <v>0.57425742574257421</v>
      </c>
      <c r="O53" s="69">
        <v>0.38666666666666666</v>
      </c>
      <c r="P53" s="69">
        <v>0.46296296296296297</v>
      </c>
    </row>
    <row r="54" spans="1:16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0.29682997118155618</v>
      </c>
      <c r="M54" s="69">
        <v>0.21902017291066284</v>
      </c>
      <c r="N54" s="69">
        <v>0.58252427184466016</v>
      </c>
      <c r="O54" s="69">
        <v>0.39473684210526316</v>
      </c>
      <c r="P54" s="69">
        <v>0.45945945945945948</v>
      </c>
    </row>
    <row r="55" spans="1:16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0.29775280898876405</v>
      </c>
      <c r="M55" s="69">
        <v>0.21629213483146068</v>
      </c>
      <c r="N55" s="69">
        <v>0.58490566037735847</v>
      </c>
      <c r="O55" s="69">
        <v>0.38961038961038963</v>
      </c>
      <c r="P55" s="69">
        <v>0.45132743362831856</v>
      </c>
    </row>
    <row r="56" spans="1:16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0.29863013698630136</v>
      </c>
      <c r="M56" s="69">
        <v>0.21369863013698631</v>
      </c>
      <c r="N56" s="69">
        <v>0.59633027522935778</v>
      </c>
      <c r="O56" s="69">
        <v>0.39743589743589741</v>
      </c>
      <c r="P56" s="69">
        <v>0.46153846153846156</v>
      </c>
    </row>
    <row r="57" spans="1:16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0.30213903743315507</v>
      </c>
      <c r="M57" s="69">
        <v>0.21390374331550802</v>
      </c>
      <c r="N57" s="69">
        <v>0.59292035398230092</v>
      </c>
      <c r="O57" s="69">
        <v>0.38750000000000001</v>
      </c>
      <c r="P57" s="69">
        <v>0.46218487394957986</v>
      </c>
    </row>
    <row r="58" spans="1:16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0.29792746113989638</v>
      </c>
      <c r="M58" s="69">
        <v>0.21502590673575128</v>
      </c>
      <c r="N58" s="69">
        <v>0.59130434782608698</v>
      </c>
      <c r="O58" s="69">
        <v>0.38554216867469882</v>
      </c>
      <c r="P58" s="69">
        <v>0.47107438016528924</v>
      </c>
    </row>
    <row r="59" spans="1:16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0.2951653944020356</v>
      </c>
      <c r="M59" s="69">
        <v>0.21882951653944022</v>
      </c>
      <c r="N59" s="69">
        <v>0.59482758620689657</v>
      </c>
      <c r="O59" s="69">
        <v>0.39534883720930231</v>
      </c>
      <c r="P59" s="69">
        <v>0.46774193548387094</v>
      </c>
    </row>
    <row r="60" spans="1:16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0.29104477611940299</v>
      </c>
      <c r="M60" s="69">
        <v>0.22139303482587064</v>
      </c>
      <c r="N60" s="69">
        <v>0.58974358974358976</v>
      </c>
      <c r="O60" s="69">
        <v>0.39325842696629215</v>
      </c>
      <c r="P60" s="69">
        <v>0.47199999999999998</v>
      </c>
    </row>
    <row r="61" spans="1:16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0.29055690072639223</v>
      </c>
      <c r="M61" s="69">
        <v>0.21791767554479419</v>
      </c>
      <c r="N61" s="69">
        <v>0.58333333333333337</v>
      </c>
      <c r="O61" s="69">
        <v>0.3888888888888889</v>
      </c>
      <c r="P61" s="69">
        <v>0.46825396825396826</v>
      </c>
    </row>
    <row r="62" spans="1:16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0.29146919431279622</v>
      </c>
      <c r="M62" s="69">
        <v>0.21800947867298578</v>
      </c>
      <c r="N62" s="69">
        <v>0.5934959349593496</v>
      </c>
      <c r="O62" s="69">
        <v>0.38043478260869568</v>
      </c>
      <c r="P62" s="69">
        <v>0.47286821705426357</v>
      </c>
    </row>
    <row r="63" spans="1:16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0.29534883720930233</v>
      </c>
      <c r="M63" s="69">
        <v>0.21860465116279071</v>
      </c>
      <c r="N63" s="69">
        <v>0.59055118110236215</v>
      </c>
      <c r="O63" s="69">
        <v>0.38297872340425532</v>
      </c>
      <c r="P63" s="69">
        <v>0.4621212121212121</v>
      </c>
    </row>
    <row r="64" spans="1:16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0.29680365296803651</v>
      </c>
      <c r="M64" s="69">
        <v>0.21917808219178081</v>
      </c>
      <c r="N64" s="69">
        <v>0.57692307692307687</v>
      </c>
      <c r="O64" s="69">
        <v>0.375</v>
      </c>
      <c r="P64" s="69">
        <v>0.46616541353383456</v>
      </c>
    </row>
    <row r="65" spans="1:16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0.29464285714285715</v>
      </c>
      <c r="M65" s="69">
        <v>0.21651785714285715</v>
      </c>
      <c r="N65" s="69">
        <v>0.58333333333333337</v>
      </c>
      <c r="O65" s="69">
        <v>0.38144329896907214</v>
      </c>
      <c r="P65" s="69">
        <v>0.47058823529411764</v>
      </c>
    </row>
    <row r="66" spans="1:16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0.30434782608695654</v>
      </c>
      <c r="M66" s="69">
        <v>0.21304347826086956</v>
      </c>
      <c r="N66" s="69">
        <v>0.6</v>
      </c>
      <c r="O66" s="69">
        <v>0.37755102040816324</v>
      </c>
      <c r="P66" s="69">
        <v>0.46527777777777779</v>
      </c>
    </row>
    <row r="67" spans="1:16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0.30472103004291845</v>
      </c>
      <c r="M67" s="69">
        <v>0.21030042918454936</v>
      </c>
      <c r="N67" s="69">
        <v>0.59859154929577463</v>
      </c>
      <c r="O67" s="69">
        <v>0.37755102040816324</v>
      </c>
      <c r="P67" s="69">
        <v>0.46206896551724136</v>
      </c>
    </row>
    <row r="68" spans="1:16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0.30360934182590232</v>
      </c>
      <c r="M68" s="69">
        <v>0.21019108280254778</v>
      </c>
      <c r="N68" s="69">
        <v>0.59440559440559437</v>
      </c>
      <c r="O68" s="69">
        <v>0.37373737373737376</v>
      </c>
      <c r="P68" s="69">
        <v>0.46575342465753422</v>
      </c>
    </row>
    <row r="69" spans="1:16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0.30062630480167013</v>
      </c>
      <c r="M69" s="69">
        <v>0.21085594989561587</v>
      </c>
      <c r="N69" s="69">
        <v>0.59027777777777779</v>
      </c>
      <c r="O69" s="69">
        <v>0.36633663366336633</v>
      </c>
      <c r="P69" s="69">
        <v>0.46575342465753422</v>
      </c>
    </row>
    <row r="70" spans="1:16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0.29713114754098363</v>
      </c>
      <c r="M70" s="69">
        <v>0.21106557377049182</v>
      </c>
      <c r="N70" s="69">
        <v>0.59310344827586203</v>
      </c>
      <c r="O70" s="69">
        <v>0.35922330097087379</v>
      </c>
      <c r="P70" s="69">
        <v>0.46938775510204084</v>
      </c>
    </row>
    <row r="71" spans="1:16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0.29959514170040485</v>
      </c>
      <c r="M71" s="69">
        <v>0.20850202429149797</v>
      </c>
      <c r="N71" s="69">
        <v>0.60135135135135132</v>
      </c>
      <c r="O71" s="69">
        <v>0.35922330097087379</v>
      </c>
      <c r="P71" s="69">
        <v>0.46052631578947367</v>
      </c>
    </row>
    <row r="72" spans="1:16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0.30297029702970296</v>
      </c>
      <c r="M72" s="69">
        <v>0.20594059405940593</v>
      </c>
      <c r="N72" s="69">
        <v>0.6143790849673203</v>
      </c>
      <c r="O72" s="69">
        <v>0.36538461538461536</v>
      </c>
      <c r="P72" s="69">
        <v>0.46202531645569622</v>
      </c>
    </row>
    <row r="73" spans="1:16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0.3046875</v>
      </c>
      <c r="M73" s="69">
        <v>0.205078125</v>
      </c>
      <c r="N73" s="69">
        <v>0.62179487179487181</v>
      </c>
      <c r="O73" s="69">
        <v>0.37142857142857144</v>
      </c>
      <c r="P73" s="69">
        <v>0.46012269938650308</v>
      </c>
    </row>
    <row r="74" spans="1:16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0.30426356589147285</v>
      </c>
      <c r="M74" s="69">
        <v>0.20348837209302326</v>
      </c>
      <c r="N74" s="69">
        <v>0.61783439490445857</v>
      </c>
      <c r="O74" s="69">
        <v>0.37142857142857144</v>
      </c>
      <c r="P74" s="69">
        <v>0.46012269938650308</v>
      </c>
    </row>
    <row r="75" spans="1:16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0.30367504835589942</v>
      </c>
      <c r="M75" s="69">
        <v>0.20502901353965183</v>
      </c>
      <c r="N75" s="69">
        <v>0.61783439490445857</v>
      </c>
      <c r="O75" s="69">
        <v>0.36792452830188677</v>
      </c>
      <c r="P75" s="69">
        <v>0.46012269938650308</v>
      </c>
    </row>
    <row r="76" spans="1:16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0.30418250950570341</v>
      </c>
      <c r="M76" s="69">
        <v>0.20532319391634982</v>
      </c>
      <c r="N76" s="69">
        <v>0.625</v>
      </c>
      <c r="O76" s="69">
        <v>0.3611111111111111</v>
      </c>
      <c r="P76" s="69">
        <v>0.46385542168674698</v>
      </c>
    </row>
    <row r="77" spans="1:16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0.30524344569288392</v>
      </c>
      <c r="M77" s="69">
        <v>0.20411985018726592</v>
      </c>
      <c r="N77" s="69">
        <v>0.62576687116564422</v>
      </c>
      <c r="O77" s="69">
        <v>0.3669724770642202</v>
      </c>
      <c r="P77" s="69">
        <v>0.46153846153846156</v>
      </c>
    </row>
    <row r="78" spans="1:16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0.30868761552680224</v>
      </c>
      <c r="M78" s="69">
        <v>0.20517560073937152</v>
      </c>
      <c r="N78" s="69">
        <v>0.61676646706586824</v>
      </c>
      <c r="O78" s="69">
        <v>0.36036036036036034</v>
      </c>
      <c r="P78" s="69">
        <v>0.45882352941176469</v>
      </c>
    </row>
    <row r="79" spans="1:16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0.31034482758620691</v>
      </c>
      <c r="M79" s="69">
        <v>0.20689655172413793</v>
      </c>
      <c r="N79" s="69">
        <v>0.6257309941520468</v>
      </c>
      <c r="O79" s="69">
        <v>0.35964912280701755</v>
      </c>
      <c r="P79" s="69">
        <v>0.45714285714285713</v>
      </c>
    </row>
    <row r="80" spans="1:16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0.30948121645796062</v>
      </c>
      <c r="M80" s="69">
        <v>0.2075134168157424</v>
      </c>
      <c r="N80" s="69">
        <v>0.62427745664739887</v>
      </c>
      <c r="O80" s="69">
        <v>0.35344827586206895</v>
      </c>
      <c r="P80" s="69">
        <v>0.45454545454545453</v>
      </c>
    </row>
    <row r="81" spans="1:16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0.31040564373897706</v>
      </c>
      <c r="M81" s="69">
        <v>0.20987654320987653</v>
      </c>
      <c r="N81" s="69">
        <v>0.61931818181818177</v>
      </c>
      <c r="O81" s="69">
        <v>0.35294117647058826</v>
      </c>
      <c r="P81" s="69">
        <v>0.4606741573033708</v>
      </c>
    </row>
    <row r="82" spans="1:16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0.30608695652173912</v>
      </c>
      <c r="M82" s="69">
        <v>0.20869565217391303</v>
      </c>
      <c r="N82" s="69">
        <v>0.61931818181818177</v>
      </c>
      <c r="O82" s="69">
        <v>0.35833333333333334</v>
      </c>
      <c r="P82" s="69">
        <v>0.46666666666666667</v>
      </c>
    </row>
    <row r="83" spans="1:16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0.30636833046471601</v>
      </c>
      <c r="M83" s="69">
        <v>0.20826161790017211</v>
      </c>
      <c r="N83" s="69">
        <v>0.61235955056179781</v>
      </c>
      <c r="O83" s="69">
        <v>0.35537190082644626</v>
      </c>
      <c r="P83" s="69">
        <v>0.46961325966850831</v>
      </c>
    </row>
    <row r="84" spans="1:16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0.30716723549488056</v>
      </c>
      <c r="M84" s="69">
        <v>0.20989761092150169</v>
      </c>
      <c r="N84" s="69">
        <v>0.6166666666666667</v>
      </c>
      <c r="O84" s="69">
        <v>0.36585365853658536</v>
      </c>
      <c r="P84" s="69">
        <v>0.4702702702702703</v>
      </c>
    </row>
    <row r="85" spans="1:16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0.30847457627118646</v>
      </c>
      <c r="M85" s="69">
        <v>0.20847457627118643</v>
      </c>
      <c r="N85" s="69">
        <v>0.61538461538461542</v>
      </c>
      <c r="O85" s="69">
        <v>0.36585365853658536</v>
      </c>
      <c r="P85" s="69">
        <v>0.4731182795698925</v>
      </c>
    </row>
    <row r="86" spans="1:16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0.30897009966777411</v>
      </c>
      <c r="M86" s="69">
        <v>0.20764119601328904</v>
      </c>
      <c r="N86" s="69">
        <v>0.60752688172043012</v>
      </c>
      <c r="O86" s="69">
        <v>0.376</v>
      </c>
      <c r="P86" s="69">
        <v>0.46560846560846558</v>
      </c>
    </row>
    <row r="87" spans="1:16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0.31198686371100165</v>
      </c>
      <c r="M87" s="69">
        <v>0.20689655172413793</v>
      </c>
      <c r="N87" s="69">
        <v>0.60526315789473684</v>
      </c>
      <c r="O87" s="69">
        <v>0.38095238095238093</v>
      </c>
      <c r="P87" s="69">
        <v>0.46354166666666669</v>
      </c>
    </row>
    <row r="88" spans="1:16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0.31168831168831168</v>
      </c>
      <c r="M88" s="69">
        <v>0.20779220779220781</v>
      </c>
      <c r="N88" s="69">
        <v>0.59895833333333337</v>
      </c>
      <c r="O88" s="69">
        <v>0.3828125</v>
      </c>
      <c r="P88" s="69">
        <v>0.46113989637305697</v>
      </c>
    </row>
    <row r="89" spans="1:16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0.3108974358974359</v>
      </c>
      <c r="M89" s="69">
        <v>0.20673076923076922</v>
      </c>
      <c r="N89" s="69">
        <v>0.59793814432989689</v>
      </c>
      <c r="O89" s="69">
        <v>0.37984496124031009</v>
      </c>
      <c r="P89" s="69">
        <v>0.45876288659793812</v>
      </c>
    </row>
    <row r="90" spans="1:16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0.310126582278481</v>
      </c>
      <c r="M90" s="69">
        <v>0.20886075949367089</v>
      </c>
      <c r="N90" s="69">
        <v>0.59693877551020413</v>
      </c>
      <c r="O90" s="69">
        <v>0.37121212121212122</v>
      </c>
      <c r="P90" s="69">
        <v>0.46153846153846156</v>
      </c>
    </row>
    <row r="91" spans="1:16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0.30866141732283464</v>
      </c>
      <c r="M91" s="69">
        <v>0.20787401574803149</v>
      </c>
      <c r="N91" s="69">
        <v>0.59693877551020413</v>
      </c>
      <c r="O91" s="69">
        <v>0.37121212121212122</v>
      </c>
      <c r="P91" s="69">
        <v>0.46153846153846156</v>
      </c>
    </row>
    <row r="92" spans="1:16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0.30697674418604654</v>
      </c>
      <c r="M92" s="69">
        <v>0.20775193798449612</v>
      </c>
      <c r="N92" s="69">
        <v>0.59090909090909094</v>
      </c>
      <c r="O92" s="69">
        <v>0.36567164179104478</v>
      </c>
      <c r="P92" s="69">
        <v>0.46153846153846156</v>
      </c>
    </row>
    <row r="93" spans="1:16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0.30934150076569678</v>
      </c>
      <c r="M93" s="69">
        <v>0.20826952526799389</v>
      </c>
      <c r="N93" s="69">
        <v>0.58910891089108908</v>
      </c>
      <c r="O93" s="69">
        <v>0.36764705882352944</v>
      </c>
      <c r="P93" s="69">
        <v>0.457286432160804</v>
      </c>
    </row>
    <row r="94" spans="1:16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0.30664652567975831</v>
      </c>
      <c r="M94" s="69">
        <v>0.20845921450151059</v>
      </c>
      <c r="N94" s="69">
        <v>0.58620689655172409</v>
      </c>
      <c r="O94" s="69">
        <v>0.37681159420289856</v>
      </c>
      <c r="P94" s="69">
        <v>0.45049504950495051</v>
      </c>
    </row>
    <row r="95" spans="1:16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0.30505952380952384</v>
      </c>
      <c r="M95" s="69">
        <v>0.20684523809523808</v>
      </c>
      <c r="N95" s="69">
        <v>0.58048780487804874</v>
      </c>
      <c r="O95" s="69">
        <v>0.37410071942446044</v>
      </c>
      <c r="P95" s="69">
        <v>0.45049504950495051</v>
      </c>
    </row>
    <row r="96" spans="1:16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0.30396475770925108</v>
      </c>
      <c r="M96" s="69">
        <v>0.20851688693098386</v>
      </c>
      <c r="N96" s="69">
        <v>0.5748792270531401</v>
      </c>
      <c r="O96" s="69">
        <v>0.36619718309859156</v>
      </c>
      <c r="P96" s="69">
        <v>0.45049504950495051</v>
      </c>
    </row>
    <row r="97" spans="1:16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0.30303030303030304</v>
      </c>
      <c r="M97" s="69">
        <v>0.20779220779220781</v>
      </c>
      <c r="N97" s="69">
        <v>0.57619047619047614</v>
      </c>
      <c r="O97" s="69">
        <v>0.375</v>
      </c>
      <c r="P97" s="69">
        <v>0.4563106796116505</v>
      </c>
    </row>
    <row r="98" spans="1:16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0.30199430199430199</v>
      </c>
      <c r="M98" s="69">
        <v>0.20797720797720798</v>
      </c>
      <c r="N98" s="69">
        <v>0.58018867924528306</v>
      </c>
      <c r="O98" s="69">
        <v>0.37671232876712329</v>
      </c>
      <c r="P98" s="69">
        <v>0.45238095238095238</v>
      </c>
    </row>
    <row r="99" spans="1:16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0.30337078651685395</v>
      </c>
      <c r="M99" s="69">
        <v>0.20646067415730338</v>
      </c>
      <c r="N99" s="69">
        <v>0.58796296296296291</v>
      </c>
      <c r="O99" s="69">
        <v>0.37414965986394561</v>
      </c>
      <c r="P99" s="69">
        <v>0.45794392523364486</v>
      </c>
    </row>
    <row r="100" spans="1:16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0.30362116991643456</v>
      </c>
      <c r="M100" s="69">
        <v>0.20473537604456823</v>
      </c>
      <c r="N100" s="69">
        <v>0.59174311926605505</v>
      </c>
      <c r="O100" s="69">
        <v>0.37414965986394561</v>
      </c>
      <c r="P100" s="69">
        <v>0.46082949308755761</v>
      </c>
    </row>
    <row r="101" spans="1:16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0.30769230769230771</v>
      </c>
      <c r="M101" s="69">
        <v>0.2032967032967033</v>
      </c>
      <c r="N101" s="69">
        <v>0.5892857142857143</v>
      </c>
      <c r="O101" s="69">
        <v>0.3716216216216216</v>
      </c>
      <c r="P101" s="69">
        <v>0.45909090909090911</v>
      </c>
    </row>
    <row r="102" spans="1:16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0.30884353741496601</v>
      </c>
      <c r="M102" s="69">
        <v>0.20272108843537415</v>
      </c>
      <c r="N102" s="69">
        <v>0.5903083700440529</v>
      </c>
      <c r="O102" s="69">
        <v>0.36912751677852351</v>
      </c>
      <c r="P102" s="69">
        <v>0.45945945945945948</v>
      </c>
    </row>
    <row r="103" spans="1:16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0.30758807588075882</v>
      </c>
      <c r="M103" s="69">
        <v>0.2032520325203252</v>
      </c>
      <c r="N103" s="69">
        <v>0.5903083700440529</v>
      </c>
      <c r="O103" s="69">
        <v>0.36666666666666664</v>
      </c>
      <c r="P103" s="69">
        <v>0.45945945945945948</v>
      </c>
    </row>
    <row r="104" spans="1:16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0.30831099195710454</v>
      </c>
      <c r="M104" s="69">
        <v>0.20375335120643431</v>
      </c>
      <c r="N104" s="69">
        <v>0.59130434782608698</v>
      </c>
      <c r="O104" s="69">
        <v>0.36842105263157893</v>
      </c>
      <c r="P104" s="69">
        <v>0.45777777777777778</v>
      </c>
    </row>
    <row r="105" spans="1:16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0.3082010582010582</v>
      </c>
      <c r="M105" s="69">
        <v>0.20634920634920634</v>
      </c>
      <c r="N105" s="69">
        <v>0.59656652360515017</v>
      </c>
      <c r="O105" s="69">
        <v>0.37820512820512819</v>
      </c>
      <c r="P105" s="69">
        <v>0.45258620689655171</v>
      </c>
    </row>
    <row r="106" spans="1:16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0.30668414154652685</v>
      </c>
      <c r="M106" s="69">
        <v>0.20445609436435125</v>
      </c>
      <c r="N106" s="69">
        <v>0.59829059829059827</v>
      </c>
      <c r="O106" s="69">
        <v>0.37820512820512819</v>
      </c>
      <c r="P106" s="69">
        <v>0.45299145299145299</v>
      </c>
    </row>
    <row r="107" spans="1:16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0.30998702983138782</v>
      </c>
      <c r="M107" s="69">
        <v>0.20233463035019456</v>
      </c>
      <c r="N107" s="69">
        <v>0.59832635983263593</v>
      </c>
      <c r="O107" s="69">
        <v>0.37820512820512819</v>
      </c>
      <c r="P107" s="69">
        <v>0.45569620253164556</v>
      </c>
    </row>
    <row r="108" spans="1:16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0.30985915492957744</v>
      </c>
      <c r="M108" s="69">
        <v>0.20230473751600511</v>
      </c>
      <c r="N108" s="69">
        <v>0.5950413223140496</v>
      </c>
      <c r="O108" s="69">
        <v>0.379746835443038</v>
      </c>
      <c r="P108" s="69">
        <v>0.45833333333333331</v>
      </c>
    </row>
    <row r="109" spans="1:16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0.31170483460559795</v>
      </c>
      <c r="M109" s="69">
        <v>0.20229007633587787</v>
      </c>
      <c r="N109" s="69">
        <v>0.6</v>
      </c>
      <c r="O109" s="69">
        <v>0.38364779874213839</v>
      </c>
      <c r="P109" s="69">
        <v>0.45714285714285713</v>
      </c>
    </row>
    <row r="110" spans="1:16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0.31147540983606559</v>
      </c>
      <c r="M110" s="69">
        <v>0.20302648171500631</v>
      </c>
      <c r="N110" s="69">
        <v>0.59919028340080971</v>
      </c>
      <c r="O110" s="69">
        <v>0.37888198757763975</v>
      </c>
      <c r="P110" s="69">
        <v>0.45528455284552843</v>
      </c>
    </row>
    <row r="111" spans="1:16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0.30836454431960048</v>
      </c>
      <c r="M111" s="69">
        <v>0.20224719101123595</v>
      </c>
      <c r="N111" s="69">
        <v>0.59919028340080971</v>
      </c>
      <c r="O111" s="69">
        <v>0.37654320987654322</v>
      </c>
      <c r="P111" s="69">
        <v>0.45528455284552843</v>
      </c>
    </row>
    <row r="112" spans="1:16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0.30569306930693069</v>
      </c>
      <c r="M112" s="69">
        <v>0.20297029702970298</v>
      </c>
      <c r="N112" s="69">
        <v>0.59919028340080971</v>
      </c>
      <c r="O112" s="69">
        <v>0.37804878048780488</v>
      </c>
      <c r="P112" s="69">
        <v>0.45161290322580644</v>
      </c>
    </row>
    <row r="113" spans="1:16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0.30514705882352944</v>
      </c>
      <c r="M113" s="69">
        <v>0.20220588235294118</v>
      </c>
      <c r="N113" s="69">
        <v>0.59839357429718876</v>
      </c>
      <c r="O113" s="69">
        <v>0.38181818181818183</v>
      </c>
      <c r="P113" s="69">
        <v>0.44800000000000001</v>
      </c>
    </row>
    <row r="114" spans="1:16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0.30461165048543687</v>
      </c>
      <c r="M114" s="69">
        <v>0.20024271844660194</v>
      </c>
      <c r="N114" s="69">
        <v>0.59760956175298807</v>
      </c>
      <c r="O114" s="69">
        <v>0.38181818181818183</v>
      </c>
      <c r="P114" s="69">
        <v>0.45019920318725098</v>
      </c>
    </row>
    <row r="115" spans="1:16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0.30361445783132529</v>
      </c>
      <c r="M115" s="69">
        <v>0.19879518072289157</v>
      </c>
      <c r="N115" s="69">
        <v>0.59920634920634919</v>
      </c>
      <c r="O115" s="69">
        <v>0.38181818181818183</v>
      </c>
      <c r="P115" s="69">
        <v>0.44841269841269843</v>
      </c>
    </row>
    <row r="116" spans="1:16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0.30357142857142855</v>
      </c>
      <c r="M116" s="69">
        <v>0.19761904761904761</v>
      </c>
      <c r="N116" s="69">
        <v>0.59215686274509804</v>
      </c>
      <c r="O116" s="69">
        <v>0.38554216867469882</v>
      </c>
      <c r="P116" s="69">
        <v>0.44664031620553357</v>
      </c>
    </row>
    <row r="117" spans="1:16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0.30424528301886794</v>
      </c>
      <c r="M117" s="69">
        <v>0.19811320754716982</v>
      </c>
      <c r="N117" s="69">
        <v>0.59302325581395354</v>
      </c>
      <c r="O117" s="69">
        <v>0.38095238095238093</v>
      </c>
      <c r="P117" s="69">
        <v>0.44140625</v>
      </c>
    </row>
    <row r="118" spans="1:16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0.30516431924882631</v>
      </c>
      <c r="M118" s="69">
        <v>0.19835680751173709</v>
      </c>
      <c r="N118" s="69">
        <v>0.59615384615384615</v>
      </c>
      <c r="O118" s="69">
        <v>0.38461538461538464</v>
      </c>
      <c r="P118" s="69">
        <v>0.43629343629343631</v>
      </c>
    </row>
    <row r="119" spans="1:16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0.30490654205607476</v>
      </c>
      <c r="M119" s="69">
        <v>0.19859813084112149</v>
      </c>
      <c r="N119" s="69">
        <v>0.5938697318007663</v>
      </c>
      <c r="O119" s="69">
        <v>0.38235294117647056</v>
      </c>
      <c r="P119" s="69">
        <v>0.43846153846153846</v>
      </c>
    </row>
    <row r="120" spans="1:16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0.30289017341040464</v>
      </c>
      <c r="M120" s="69">
        <v>0.19768786127167631</v>
      </c>
      <c r="N120" s="69">
        <v>0.59160305343511455</v>
      </c>
      <c r="O120" s="69">
        <v>0.38596491228070173</v>
      </c>
      <c r="P120" s="69">
        <v>0.43893129770992367</v>
      </c>
    </row>
    <row r="121" spans="1:16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0.30136986301369861</v>
      </c>
      <c r="M121" s="69">
        <v>0.19634703196347031</v>
      </c>
      <c r="N121" s="69">
        <v>0.59090909090909094</v>
      </c>
      <c r="O121" s="69">
        <v>0.38372093023255816</v>
      </c>
      <c r="P121" s="69">
        <v>0.44106463878326996</v>
      </c>
    </row>
    <row r="122" spans="1:16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0.30203619909502261</v>
      </c>
      <c r="M122" s="69">
        <v>0.19570135746606335</v>
      </c>
      <c r="N122" s="69">
        <v>0.58801498127340823</v>
      </c>
      <c r="O122" s="69">
        <v>0.38728323699421963</v>
      </c>
      <c r="P122" s="69">
        <v>0.44150943396226416</v>
      </c>
    </row>
    <row r="123" spans="1:16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0.29944134078212292</v>
      </c>
      <c r="M123" s="69">
        <v>0.19441340782122904</v>
      </c>
      <c r="N123" s="69">
        <v>0.58582089552238803</v>
      </c>
      <c r="O123" s="69">
        <v>0.39080459770114945</v>
      </c>
      <c r="P123" s="69">
        <v>0.43984962406015038</v>
      </c>
    </row>
    <row r="124" spans="1:16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0.29822616407982261</v>
      </c>
      <c r="M124" s="69">
        <v>0.19401330376940132</v>
      </c>
      <c r="N124" s="69">
        <v>0.58736059479553904</v>
      </c>
      <c r="O124" s="69">
        <v>0.38857142857142857</v>
      </c>
      <c r="P124" s="69">
        <v>0.43820224719101125</v>
      </c>
    </row>
    <row r="125" spans="1:16" x14ac:dyDescent="0.4">
      <c r="A125" s="71">
        <v>122</v>
      </c>
      <c r="B125" s="68">
        <v>-492.09999999999985</v>
      </c>
      <c r="C125" s="68">
        <v>-4.0336065573770483</v>
      </c>
      <c r="D125" s="73">
        <v>2.1721311475409837</v>
      </c>
      <c r="E125" s="69">
        <v>0.24590163934426229</v>
      </c>
      <c r="F125" s="69">
        <v>0.28405491024287222</v>
      </c>
      <c r="G125" s="69">
        <v>0.19957761351636746</v>
      </c>
      <c r="H125" s="70">
        <v>10497.397769516729</v>
      </c>
      <c r="I125" s="70">
        <v>-9495.2380952380954</v>
      </c>
      <c r="J125" s="69">
        <v>0.18852459016393441</v>
      </c>
      <c r="K125" s="69">
        <v>0.13934426229508196</v>
      </c>
      <c r="L125" s="69">
        <v>0.30109890109890108</v>
      </c>
      <c r="M125" s="69">
        <v>0.19230769230769232</v>
      </c>
      <c r="N125" s="69">
        <v>0.58394160583941601</v>
      </c>
      <c r="O125" s="69">
        <v>0.38857142857142857</v>
      </c>
      <c r="P125" s="69">
        <v>0.43494423791821563</v>
      </c>
    </row>
    <row r="126" spans="1:16" x14ac:dyDescent="0.4">
      <c r="A126" s="71">
        <v>123</v>
      </c>
      <c r="B126" s="68">
        <v>-500.09999999999985</v>
      </c>
      <c r="C126" s="68">
        <v>-4.0658536585365841</v>
      </c>
      <c r="D126" s="73">
        <v>2.1707317073170733</v>
      </c>
      <c r="E126" s="69">
        <v>0.24390243902439024</v>
      </c>
      <c r="F126" s="69">
        <v>0.28376963350785339</v>
      </c>
      <c r="G126" s="69">
        <v>0.19895287958115182</v>
      </c>
      <c r="H126" s="70">
        <v>10471.586715867159</v>
      </c>
      <c r="I126" s="70">
        <v>-9508.4210526315783</v>
      </c>
      <c r="J126" s="69">
        <v>0.18699186991869918</v>
      </c>
      <c r="K126" s="69">
        <v>0.13821138211382114</v>
      </c>
      <c r="L126" s="69">
        <v>0.30174291938997821</v>
      </c>
      <c r="M126" s="69">
        <v>0.19063180827886711</v>
      </c>
      <c r="N126" s="69">
        <v>0.58122743682310474</v>
      </c>
      <c r="O126" s="69">
        <v>0.38857142857142857</v>
      </c>
      <c r="P126" s="69">
        <v>0.43542435424354242</v>
      </c>
    </row>
    <row r="127" spans="1:16" x14ac:dyDescent="0.4">
      <c r="A127" s="71">
        <v>124</v>
      </c>
      <c r="B127" s="68">
        <v>-493.49999999999983</v>
      </c>
      <c r="C127" s="68">
        <v>-3.9798387096774182</v>
      </c>
      <c r="D127" s="73">
        <v>2.1693548387096775</v>
      </c>
      <c r="E127" s="69">
        <v>0.24193548387096775</v>
      </c>
      <c r="F127" s="69">
        <v>0.2834890965732087</v>
      </c>
      <c r="G127" s="69">
        <v>0.19833852544132918</v>
      </c>
      <c r="H127" s="70">
        <v>10492.307692307691</v>
      </c>
      <c r="I127" s="70">
        <v>-9500.5235602094235</v>
      </c>
      <c r="J127" s="69">
        <v>0.18548387096774194</v>
      </c>
      <c r="K127" s="69">
        <v>0.13709677419354838</v>
      </c>
      <c r="L127" s="69">
        <v>0.30129589632829373</v>
      </c>
      <c r="M127" s="69">
        <v>0.19006479481641469</v>
      </c>
      <c r="N127" s="69">
        <v>0.58064516129032262</v>
      </c>
      <c r="O127" s="69">
        <v>0.38636363636363635</v>
      </c>
      <c r="P127" s="69">
        <v>0.4358974358974359</v>
      </c>
    </row>
    <row r="128" spans="1:16" x14ac:dyDescent="0.4">
      <c r="A128" s="71">
        <v>125</v>
      </c>
      <c r="B128" s="68">
        <v>-500.99999999999983</v>
      </c>
      <c r="C128" s="68">
        <v>-4.0079999999999982</v>
      </c>
      <c r="D128" s="73">
        <v>2.1680000000000001</v>
      </c>
      <c r="E128" s="69">
        <v>0.24</v>
      </c>
      <c r="F128" s="69">
        <v>0.28305785123966942</v>
      </c>
      <c r="G128" s="69">
        <v>0.19731404958677687</v>
      </c>
      <c r="H128" s="70">
        <v>10541.605839416059</v>
      </c>
      <c r="I128" s="70">
        <v>-9500.5235602094235</v>
      </c>
      <c r="J128" s="69">
        <v>0.184</v>
      </c>
      <c r="K128" s="69">
        <v>0.13600000000000001</v>
      </c>
      <c r="L128" s="69">
        <v>0.3007518796992481</v>
      </c>
      <c r="M128" s="69">
        <v>0.19011815252416756</v>
      </c>
      <c r="N128" s="69">
        <v>0.58214285714285718</v>
      </c>
      <c r="O128" s="69">
        <v>0.38418079096045199</v>
      </c>
      <c r="P128" s="69">
        <v>0.43795620437956206</v>
      </c>
    </row>
    <row r="129" spans="1:16" x14ac:dyDescent="0.4">
      <c r="A129" s="71">
        <v>126</v>
      </c>
      <c r="B129" s="68">
        <v>-456.29999999999984</v>
      </c>
      <c r="C129" s="68">
        <v>-3.6214285714285701</v>
      </c>
      <c r="D129" s="73">
        <v>2.1587301587301586</v>
      </c>
      <c r="E129" s="69">
        <v>0.24603174603174602</v>
      </c>
      <c r="F129" s="69">
        <v>0.28469387755102044</v>
      </c>
      <c r="G129" s="69">
        <v>0.19489795918367347</v>
      </c>
      <c r="H129" s="70">
        <v>10550.537634408602</v>
      </c>
      <c r="I129" s="70">
        <v>-9500.5235602094235</v>
      </c>
      <c r="J129" s="69">
        <v>0.18253968253968253</v>
      </c>
      <c r="K129" s="69">
        <v>0.14285714285714285</v>
      </c>
      <c r="L129" s="69">
        <v>0.3022269353128314</v>
      </c>
      <c r="M129" s="69">
        <v>0.18875927889713678</v>
      </c>
      <c r="N129" s="69">
        <v>0.5859649122807018</v>
      </c>
      <c r="O129" s="69">
        <v>0.38764044943820225</v>
      </c>
      <c r="P129" s="69">
        <v>0.44086021505376344</v>
      </c>
    </row>
    <row r="130" spans="1:16" x14ac:dyDescent="0.4">
      <c r="A130" s="71">
        <v>127</v>
      </c>
      <c r="B130" s="68">
        <v>-412.09999999999985</v>
      </c>
      <c r="C130" s="68">
        <v>-3.2448818897637786</v>
      </c>
      <c r="D130" s="73">
        <v>2.1496062992125986</v>
      </c>
      <c r="E130" s="69">
        <v>0.25196850393700787</v>
      </c>
      <c r="F130" s="69">
        <v>0.28600405679513186</v>
      </c>
      <c r="G130" s="69">
        <v>0.19371196754563894</v>
      </c>
      <c r="H130" s="70">
        <v>10608.510638297872</v>
      </c>
      <c r="I130" s="70">
        <v>-9500.5235602094235</v>
      </c>
      <c r="J130" s="69">
        <v>0.18110236220472442</v>
      </c>
      <c r="K130" s="69">
        <v>0.14960629921259844</v>
      </c>
      <c r="L130" s="69">
        <v>0.30242360379346683</v>
      </c>
      <c r="M130" s="69">
        <v>0.18861959957850369</v>
      </c>
      <c r="N130" s="69">
        <v>0.58885017421602792</v>
      </c>
      <c r="O130" s="69">
        <v>0.39106145251396646</v>
      </c>
      <c r="P130" s="69">
        <v>0.4432624113475177</v>
      </c>
    </row>
    <row r="131" spans="1:16" x14ac:dyDescent="0.4">
      <c r="A131" s="71">
        <v>128</v>
      </c>
      <c r="B131" s="68">
        <v>-424.09999999999985</v>
      </c>
      <c r="C131" s="68">
        <v>-3.3132812499999988</v>
      </c>
      <c r="D131" s="73">
        <v>2.15625</v>
      </c>
      <c r="E131" s="69">
        <v>0.25</v>
      </c>
      <c r="F131" s="69">
        <v>0.28470824949698187</v>
      </c>
      <c r="G131" s="69">
        <v>0.19315895372233399</v>
      </c>
      <c r="H131" s="70">
        <v>10627.561837455831</v>
      </c>
      <c r="I131" s="70">
        <v>-9513.5416666666661</v>
      </c>
      <c r="J131" s="69">
        <v>0.1796875</v>
      </c>
      <c r="K131" s="69">
        <v>0.1484375</v>
      </c>
      <c r="L131" s="69">
        <v>0.30407523510971785</v>
      </c>
      <c r="M131" s="69">
        <v>0.18704284221525602</v>
      </c>
      <c r="N131" s="69">
        <v>0.58419243986254299</v>
      </c>
      <c r="O131" s="69">
        <v>0.39106145251396646</v>
      </c>
      <c r="P131" s="69">
        <v>0.44169611307420492</v>
      </c>
    </row>
    <row r="132" spans="1:16" x14ac:dyDescent="0.4">
      <c r="A132" s="71">
        <v>129</v>
      </c>
      <c r="B132" s="68">
        <v>-448.69999999999987</v>
      </c>
      <c r="C132" s="68">
        <v>-3.4782945736434101</v>
      </c>
      <c r="D132" s="73">
        <v>2.1627906976744184</v>
      </c>
      <c r="E132" s="69">
        <v>0.24806201550387597</v>
      </c>
      <c r="F132" s="69">
        <v>0.28414755732801594</v>
      </c>
      <c r="G132" s="69">
        <v>0.19541375872382852</v>
      </c>
      <c r="H132" s="70">
        <v>10623.157894736842</v>
      </c>
      <c r="I132" s="70">
        <v>-9480.6122448979586</v>
      </c>
      <c r="J132" s="69">
        <v>0.17829457364341086</v>
      </c>
      <c r="K132" s="69">
        <v>0.14728682170542637</v>
      </c>
      <c r="L132" s="69">
        <v>0.30331262939958592</v>
      </c>
      <c r="M132" s="69">
        <v>0.18530020703933747</v>
      </c>
      <c r="N132" s="69">
        <v>0.58361774744027306</v>
      </c>
      <c r="O132" s="69">
        <v>0.39106145251396646</v>
      </c>
      <c r="P132" s="69">
        <v>0.44210526315789472</v>
      </c>
    </row>
    <row r="133" spans="1:16" x14ac:dyDescent="0.4">
      <c r="A133" s="71">
        <v>130</v>
      </c>
      <c r="B133" s="68">
        <v>-468.69999999999987</v>
      </c>
      <c r="C133" s="68">
        <v>-3.6053846153846143</v>
      </c>
      <c r="D133" s="73">
        <v>2.1615384615384614</v>
      </c>
      <c r="E133" s="69">
        <v>0.24615384615384617</v>
      </c>
      <c r="F133" s="69">
        <v>0.28273809523809523</v>
      </c>
      <c r="G133" s="69">
        <v>0.19543650793650794</v>
      </c>
      <c r="H133" s="70">
        <v>10623.157894736842</v>
      </c>
      <c r="I133" s="70">
        <v>-9493.4010152284263</v>
      </c>
      <c r="J133" s="69">
        <v>0.17692307692307693</v>
      </c>
      <c r="K133" s="69">
        <v>0.14615384615384616</v>
      </c>
      <c r="L133" s="69">
        <v>0.30175077239958803</v>
      </c>
      <c r="M133" s="69">
        <v>0.18537590113285274</v>
      </c>
      <c r="N133" s="69">
        <v>0.58361774744027306</v>
      </c>
      <c r="O133" s="69">
        <v>0.3888888888888889</v>
      </c>
      <c r="P133" s="69">
        <v>0.44210526315789472</v>
      </c>
    </row>
    <row r="134" spans="1:16" x14ac:dyDescent="0.4">
      <c r="A134" s="71">
        <v>131</v>
      </c>
      <c r="B134" s="68">
        <v>-461.2999999999999</v>
      </c>
      <c r="C134" s="68">
        <v>-3.5213740458015259</v>
      </c>
      <c r="D134" s="73">
        <v>2.1603053435114505</v>
      </c>
      <c r="E134" s="69">
        <v>0.24427480916030533</v>
      </c>
      <c r="F134" s="69">
        <v>0.28346456692913385</v>
      </c>
      <c r="G134" s="69">
        <v>0.19389763779527558</v>
      </c>
      <c r="H134" s="70">
        <v>10578.125</v>
      </c>
      <c r="I134" s="70">
        <v>-9493.4010152284263</v>
      </c>
      <c r="J134" s="69">
        <v>0.17557251908396945</v>
      </c>
      <c r="K134" s="69">
        <v>0.14503816793893129</v>
      </c>
      <c r="L134" s="69">
        <v>0.30234933605720121</v>
      </c>
      <c r="M134" s="69">
        <v>0.18488253319713993</v>
      </c>
      <c r="N134" s="69">
        <v>0.58445945945945943</v>
      </c>
      <c r="O134" s="69">
        <v>0.39226519337016574</v>
      </c>
      <c r="P134" s="69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32E29-B447-49A9-845C-8161A47E5544}">
  <sheetPr codeName="Sheet24"/>
  <dimension ref="A1:Q3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P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P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P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P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P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P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P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P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P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P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P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P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0.33333333333333331</v>
      </c>
      <c r="M16" s="69">
        <v>0.16666666666666666</v>
      </c>
      <c r="N16" s="69">
        <v>1</v>
      </c>
      <c r="O16" s="69">
        <v>1</v>
      </c>
      <c r="P16" s="69">
        <v>0.46875</v>
      </c>
    </row>
    <row r="17" spans="1:16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0.25</v>
      </c>
      <c r="M17" s="69">
        <v>0.375</v>
      </c>
      <c r="N17" s="69">
        <v>0.5</v>
      </c>
      <c r="O17" s="69">
        <v>0.33333333333333331</v>
      </c>
      <c r="P17" s="69">
        <v>0.47058823529411764</v>
      </c>
    </row>
    <row r="18" spans="1:16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0.2608695652173913</v>
      </c>
      <c r="M18" s="69">
        <v>0.30434782608695654</v>
      </c>
      <c r="N18" s="69">
        <v>0.5</v>
      </c>
      <c r="O18" s="69">
        <v>0.2857142857142857</v>
      </c>
      <c r="P18" s="69">
        <v>0.45714285714285713</v>
      </c>
    </row>
    <row r="19" spans="1:16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0.30303030303030304</v>
      </c>
      <c r="M19" s="69">
        <v>0.24242424242424243</v>
      </c>
      <c r="N19" s="69">
        <v>0.7</v>
      </c>
      <c r="O19" s="69">
        <v>0.25</v>
      </c>
      <c r="P19" s="69">
        <v>0.48717948717948717</v>
      </c>
    </row>
    <row r="20" spans="1:16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0.30232558139534882</v>
      </c>
      <c r="M20" s="69">
        <v>0.27906976744186046</v>
      </c>
      <c r="N20" s="69">
        <v>0.76923076923076927</v>
      </c>
      <c r="O20" s="69">
        <v>0.25</v>
      </c>
      <c r="P20" s="69">
        <v>0.46511627906976744</v>
      </c>
    </row>
    <row r="21" spans="1:16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0.33333333333333331</v>
      </c>
      <c r="M21" s="69">
        <v>0.27777777777777779</v>
      </c>
      <c r="N21" s="69">
        <v>0.61111111111111116</v>
      </c>
      <c r="O21" s="69">
        <v>0.2</v>
      </c>
      <c r="P21" s="69">
        <v>0.44444444444444442</v>
      </c>
    </row>
    <row r="22" spans="1:16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0.38805970149253732</v>
      </c>
      <c r="M22" s="69">
        <v>0.22388059701492538</v>
      </c>
      <c r="N22" s="69">
        <v>0.53846153846153844</v>
      </c>
      <c r="O22" s="69">
        <v>0.2</v>
      </c>
      <c r="P22" s="69">
        <v>0.4375</v>
      </c>
    </row>
    <row r="23" spans="1:16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0.36</v>
      </c>
      <c r="M23" s="69">
        <v>0.22666666666666666</v>
      </c>
      <c r="N23" s="69">
        <v>0.55555555555555558</v>
      </c>
      <c r="O23" s="69">
        <v>0.17647058823529413</v>
      </c>
      <c r="P23" s="69">
        <v>0.44</v>
      </c>
    </row>
    <row r="24" spans="1:16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0.37647058823529411</v>
      </c>
      <c r="M24" s="69">
        <v>0.22352941176470589</v>
      </c>
      <c r="N24" s="69">
        <v>0.5</v>
      </c>
      <c r="O24" s="69">
        <v>0.15789473684210525</v>
      </c>
      <c r="P24" s="69">
        <v>0.45098039215686275</v>
      </c>
    </row>
    <row r="25" spans="1:16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0.34408602150537637</v>
      </c>
      <c r="M25" s="69">
        <v>0.22580645161290322</v>
      </c>
      <c r="N25" s="69">
        <v>0.5</v>
      </c>
      <c r="O25" s="69">
        <v>0.14285714285714285</v>
      </c>
      <c r="P25" s="69">
        <v>0.45098039215686275</v>
      </c>
    </row>
    <row r="26" spans="1:16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0.33663366336633666</v>
      </c>
      <c r="M26" s="69">
        <v>0.22772277227722773</v>
      </c>
      <c r="N26" s="69">
        <v>0.47058823529411764</v>
      </c>
      <c r="O26" s="69">
        <v>0.13043478260869565</v>
      </c>
      <c r="P26" s="69">
        <v>0.45098039215686275</v>
      </c>
    </row>
    <row r="27" spans="1:16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0.32727272727272727</v>
      </c>
      <c r="M27" s="69">
        <v>0.25454545454545452</v>
      </c>
      <c r="N27" s="69">
        <v>0.5</v>
      </c>
      <c r="O27" s="69">
        <v>0.17857142857142858</v>
      </c>
      <c r="P27" s="69">
        <v>0.44642857142857145</v>
      </c>
    </row>
    <row r="28" spans="1:16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0.32231404958677684</v>
      </c>
      <c r="M28" s="69">
        <v>0.24793388429752067</v>
      </c>
      <c r="N28" s="69">
        <v>0.48717948717948717</v>
      </c>
      <c r="O28" s="69">
        <v>0.16666666666666666</v>
      </c>
      <c r="P28" s="69">
        <v>0.44067796610169491</v>
      </c>
    </row>
    <row r="29" spans="1:16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0.30827067669172931</v>
      </c>
      <c r="M29" s="69">
        <v>0.24060150375939848</v>
      </c>
      <c r="N29" s="69">
        <v>0.48780487804878048</v>
      </c>
      <c r="O29" s="69">
        <v>0.15625</v>
      </c>
      <c r="P29" s="69">
        <v>0.45</v>
      </c>
    </row>
    <row r="30" spans="1:16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0.32142857142857145</v>
      </c>
      <c r="M30" s="69">
        <v>0.23571428571428571</v>
      </c>
      <c r="N30" s="69">
        <v>0.51111111111111107</v>
      </c>
      <c r="O30" s="69">
        <v>0.18181818181818182</v>
      </c>
      <c r="P30" s="69">
        <v>0.453125</v>
      </c>
    </row>
    <row r="31" spans="1:16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0.31543624161073824</v>
      </c>
      <c r="M31" s="69">
        <v>0.22818791946308725</v>
      </c>
      <c r="N31" s="69">
        <v>0.51063829787234039</v>
      </c>
      <c r="O31" s="69">
        <v>0.17647058823529413</v>
      </c>
      <c r="P31" s="69">
        <v>0.44615384615384618</v>
      </c>
    </row>
    <row r="32" spans="1:16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0.30573248407643311</v>
      </c>
      <c r="M32" s="69">
        <v>0.22292993630573249</v>
      </c>
      <c r="N32" s="69">
        <v>0.5</v>
      </c>
      <c r="O32" s="69">
        <v>0.17142857142857143</v>
      </c>
      <c r="P32" s="69">
        <v>0.44615384615384618</v>
      </c>
    </row>
    <row r="33" spans="1:16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0.30303030303030304</v>
      </c>
      <c r="M33" s="69">
        <v>0.21818181818181817</v>
      </c>
      <c r="N33" s="69">
        <v>0.48</v>
      </c>
      <c r="O33" s="69">
        <v>0.19444444444444445</v>
      </c>
      <c r="P33" s="69">
        <v>0.43939393939393939</v>
      </c>
    </row>
    <row r="34" spans="1:16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0.30113636363636365</v>
      </c>
      <c r="M34" s="69">
        <v>0.21022727272727273</v>
      </c>
      <c r="N34" s="69">
        <v>0.49056603773584906</v>
      </c>
      <c r="O34" s="69">
        <v>0.21621621621621623</v>
      </c>
      <c r="P34" s="69">
        <v>0.44927536231884058</v>
      </c>
    </row>
    <row r="35" spans="1:16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0.31111111111111112</v>
      </c>
      <c r="M35" s="69">
        <v>0.20555555555555555</v>
      </c>
      <c r="N35" s="69">
        <v>0.5178571428571429</v>
      </c>
      <c r="O35" s="69">
        <v>0.21621621621621623</v>
      </c>
      <c r="P35" s="69">
        <v>0.45833333333333331</v>
      </c>
    </row>
    <row r="36" spans="1:16" x14ac:dyDescent="0.4">
      <c r="A36" s="71">
        <v>33</v>
      </c>
      <c r="B36" s="68">
        <v>-9.3999999999999773</v>
      </c>
      <c r="C36" s="68">
        <v>-0.28484848484848418</v>
      </c>
      <c r="D36" s="73">
        <v>2.0606060606060606</v>
      </c>
      <c r="E36" s="69">
        <v>0.33333333333333331</v>
      </c>
      <c r="F36" s="69">
        <v>0.27037037037037037</v>
      </c>
      <c r="G36" s="69">
        <v>0.17407407407407408</v>
      </c>
      <c r="H36" s="70">
        <v>11054.794520547945</v>
      </c>
      <c r="I36" s="70">
        <v>-8859.5744680851058</v>
      </c>
      <c r="J36" s="69">
        <v>0.18181818181818182</v>
      </c>
      <c r="K36" s="69">
        <v>0.15151515151515152</v>
      </c>
      <c r="L36" s="69">
        <v>0.30851063829787234</v>
      </c>
      <c r="M36" s="69">
        <v>0.21276595744680851</v>
      </c>
      <c r="N36" s="69">
        <v>0.5</v>
      </c>
      <c r="O36" s="69">
        <v>0.22500000000000001</v>
      </c>
      <c r="P36" s="6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99839-A599-4B5B-8C5D-3B8D8AAE9305}">
  <sheetPr codeName="Sheet22"/>
  <dimension ref="A1:Q12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P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P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P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P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P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P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P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P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P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P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P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P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P16" s="69">
        <v>0.38709677419354838</v>
      </c>
    </row>
    <row r="17" spans="1:16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P17" s="69">
        <v>0.36363636363636365</v>
      </c>
    </row>
    <row r="18" spans="1:16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P18" s="69">
        <v>0.3783783783783784</v>
      </c>
    </row>
    <row r="19" spans="1:16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P19" s="69">
        <v>0.3783783783783784</v>
      </c>
    </row>
    <row r="20" spans="1:16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P20" s="69">
        <v>0.3783783783783784</v>
      </c>
    </row>
    <row r="21" spans="1:16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1</v>
      </c>
      <c r="M21" s="69">
        <v>0</v>
      </c>
      <c r="N21" s="69">
        <v>1</v>
      </c>
      <c r="O21" s="69">
        <v>0</v>
      </c>
      <c r="P21" s="69">
        <v>0.4</v>
      </c>
    </row>
    <row r="22" spans="1:16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0.45454545454545453</v>
      </c>
      <c r="M22" s="69">
        <v>9.0909090909090912E-2</v>
      </c>
      <c r="N22" s="69">
        <v>1</v>
      </c>
      <c r="O22" s="69">
        <v>0</v>
      </c>
      <c r="P22" s="69">
        <v>0.36363636363636365</v>
      </c>
    </row>
    <row r="23" spans="1:16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0.47368421052631576</v>
      </c>
      <c r="M23" s="69">
        <v>0.10526315789473684</v>
      </c>
      <c r="N23" s="69">
        <v>0.88888888888888884</v>
      </c>
      <c r="O23" s="69">
        <v>0</v>
      </c>
      <c r="P23" s="69">
        <v>0.38297872340425532</v>
      </c>
    </row>
    <row r="24" spans="1:16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0.48</v>
      </c>
      <c r="M24" s="69">
        <v>0.12</v>
      </c>
      <c r="N24" s="69">
        <v>0.75</v>
      </c>
      <c r="O24" s="69">
        <v>0.33333333333333331</v>
      </c>
      <c r="P24" s="69">
        <v>0.36734693877551022</v>
      </c>
    </row>
    <row r="25" spans="1:16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0.46875</v>
      </c>
      <c r="M25" s="69">
        <v>0.21875</v>
      </c>
      <c r="N25" s="69">
        <v>0.8</v>
      </c>
      <c r="O25" s="69">
        <v>0.2857142857142857</v>
      </c>
      <c r="P25" s="69">
        <v>0.35849056603773582</v>
      </c>
    </row>
    <row r="26" spans="1:16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0.42499999999999999</v>
      </c>
      <c r="M26" s="69">
        <v>0.22500000000000001</v>
      </c>
      <c r="N26" s="69">
        <v>0.70588235294117652</v>
      </c>
      <c r="O26" s="69">
        <v>0.22222222222222221</v>
      </c>
      <c r="P26" s="69">
        <v>0.37037037037037035</v>
      </c>
    </row>
    <row r="27" spans="1:16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0.43478260869565216</v>
      </c>
      <c r="M27" s="69">
        <v>0.21739130434782608</v>
      </c>
      <c r="N27" s="69">
        <v>0.6</v>
      </c>
      <c r="O27" s="69">
        <v>0.2</v>
      </c>
      <c r="P27" s="69">
        <v>0.37037037037037035</v>
      </c>
    </row>
    <row r="28" spans="1:16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0.42307692307692307</v>
      </c>
      <c r="M28" s="69">
        <v>0.19230769230769232</v>
      </c>
      <c r="N28" s="69">
        <v>0.59090909090909094</v>
      </c>
      <c r="O28" s="69">
        <v>0.2</v>
      </c>
      <c r="P28" s="69">
        <v>0.36363636363636365</v>
      </c>
    </row>
    <row r="29" spans="1:16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0.40677966101694918</v>
      </c>
      <c r="M29" s="69">
        <v>0.1864406779661017</v>
      </c>
      <c r="N29" s="69">
        <v>0.625</v>
      </c>
      <c r="O29" s="69">
        <v>0.27272727272727271</v>
      </c>
      <c r="P29" s="69">
        <v>0.36206896551724138</v>
      </c>
    </row>
    <row r="30" spans="1:16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0.390625</v>
      </c>
      <c r="M30" s="69">
        <v>0.1875</v>
      </c>
      <c r="N30" s="69">
        <v>0.6</v>
      </c>
      <c r="O30" s="69">
        <v>0.25</v>
      </c>
      <c r="P30" s="69">
        <v>0.36206896551724138</v>
      </c>
    </row>
    <row r="31" spans="1:16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0.3888888888888889</v>
      </c>
      <c r="M31" s="69">
        <v>0.20833333333333334</v>
      </c>
      <c r="N31" s="69">
        <v>0.5357142857142857</v>
      </c>
      <c r="O31" s="69">
        <v>0.2</v>
      </c>
      <c r="P31" s="69">
        <v>0.36206896551724138</v>
      </c>
    </row>
    <row r="32" spans="1:16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0.375</v>
      </c>
      <c r="M32" s="69">
        <v>0.21249999999999999</v>
      </c>
      <c r="N32" s="69">
        <v>0.56666666666666665</v>
      </c>
      <c r="O32" s="69">
        <v>0.17647058823529413</v>
      </c>
      <c r="P32" s="69">
        <v>0.35</v>
      </c>
    </row>
    <row r="33" spans="1:16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0.38636363636363635</v>
      </c>
      <c r="M33" s="69">
        <v>0.20454545454545456</v>
      </c>
      <c r="N33" s="69">
        <v>0.61764705882352944</v>
      </c>
      <c r="O33" s="69">
        <v>0.16666666666666666</v>
      </c>
      <c r="P33" s="69">
        <v>0.359375</v>
      </c>
    </row>
    <row r="34" spans="1:16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0.36</v>
      </c>
      <c r="M34" s="69">
        <v>0.21</v>
      </c>
      <c r="N34" s="69">
        <v>0.61111111111111116</v>
      </c>
      <c r="O34" s="69">
        <v>0.23809523809523808</v>
      </c>
      <c r="P34" s="69">
        <v>0.35820895522388058</v>
      </c>
    </row>
    <row r="35" spans="1:16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0.35454545454545455</v>
      </c>
      <c r="M35" s="69">
        <v>0.21818181818181817</v>
      </c>
      <c r="N35" s="69">
        <v>0.61538461538461542</v>
      </c>
      <c r="O35" s="69">
        <v>0.25</v>
      </c>
      <c r="P35" s="69">
        <v>0.34285714285714286</v>
      </c>
    </row>
    <row r="36" spans="1:16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0.33613445378151263</v>
      </c>
      <c r="M36" s="69">
        <v>0.25210084033613445</v>
      </c>
      <c r="N36" s="69">
        <v>0.625</v>
      </c>
      <c r="O36" s="69">
        <v>0.3</v>
      </c>
      <c r="P36" s="69">
        <v>0.35135135135135137</v>
      </c>
    </row>
    <row r="37" spans="1:16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0.33333333333333331</v>
      </c>
      <c r="M37" s="69">
        <v>0.26190476190476192</v>
      </c>
      <c r="N37" s="69">
        <v>0.59523809523809523</v>
      </c>
      <c r="O37" s="69">
        <v>0.30303030303030304</v>
      </c>
      <c r="P37" s="69">
        <v>0.36</v>
      </c>
    </row>
    <row r="38" spans="1:16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0.34108527131782945</v>
      </c>
      <c r="M38" s="69">
        <v>0.2558139534883721</v>
      </c>
      <c r="N38" s="69">
        <v>0.61363636363636365</v>
      </c>
      <c r="O38" s="69">
        <v>0.30303030303030304</v>
      </c>
      <c r="P38" s="69">
        <v>0.37662337662337664</v>
      </c>
    </row>
    <row r="39" spans="1:16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0.33823529411764708</v>
      </c>
      <c r="M39" s="69">
        <v>0.25735294117647056</v>
      </c>
      <c r="N39" s="69">
        <v>0.58695652173913049</v>
      </c>
      <c r="O39" s="69">
        <v>0.31428571428571428</v>
      </c>
      <c r="P39" s="69">
        <v>0.38461538461538464</v>
      </c>
    </row>
    <row r="40" spans="1:16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0.34722222222222221</v>
      </c>
      <c r="M40" s="69">
        <v>0.2638888888888889</v>
      </c>
      <c r="N40" s="69">
        <v>0.6</v>
      </c>
      <c r="O40" s="69">
        <v>0.34210526315789475</v>
      </c>
      <c r="P40" s="69">
        <v>0.42168674698795183</v>
      </c>
    </row>
    <row r="41" spans="1:16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0.33766233766233766</v>
      </c>
      <c r="M41" s="69">
        <v>0.26623376623376621</v>
      </c>
      <c r="N41" s="69">
        <v>0.59615384615384615</v>
      </c>
      <c r="O41" s="69">
        <v>0.36585365853658536</v>
      </c>
      <c r="P41" s="69">
        <v>0.41860465116279072</v>
      </c>
    </row>
    <row r="42" spans="1:16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0.33750000000000002</v>
      </c>
      <c r="M42" s="69">
        <v>0.26250000000000001</v>
      </c>
      <c r="N42" s="69">
        <v>0.61111111111111116</v>
      </c>
      <c r="O42" s="69">
        <v>0.38095238095238093</v>
      </c>
      <c r="P42" s="69">
        <v>0.43333333333333335</v>
      </c>
    </row>
    <row r="43" spans="1:16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0.34545454545454546</v>
      </c>
      <c r="M43" s="69">
        <v>0.25454545454545452</v>
      </c>
      <c r="N43" s="69">
        <v>0.61403508771929827</v>
      </c>
      <c r="O43" s="69">
        <v>0.38095238095238093</v>
      </c>
      <c r="P43" s="69">
        <v>0.43478260869565216</v>
      </c>
    </row>
    <row r="44" spans="1:16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0.33707865168539325</v>
      </c>
      <c r="M44" s="69">
        <v>0.25842696629213485</v>
      </c>
      <c r="N44" s="69">
        <v>0.6</v>
      </c>
      <c r="O44" s="69">
        <v>0.39130434782608697</v>
      </c>
      <c r="P44" s="69">
        <v>0.42708333333333331</v>
      </c>
    </row>
    <row r="45" spans="1:16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0.33689839572192515</v>
      </c>
      <c r="M45" s="69">
        <v>0.24598930481283424</v>
      </c>
      <c r="N45" s="69">
        <v>0.61904761904761907</v>
      </c>
      <c r="O45" s="69">
        <v>0.39130434782608697</v>
      </c>
      <c r="P45" s="69">
        <v>0.42424242424242425</v>
      </c>
    </row>
    <row r="46" spans="1:16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0.3383838383838384</v>
      </c>
      <c r="M46" s="69">
        <v>0.25252525252525254</v>
      </c>
      <c r="N46" s="69">
        <v>0.61194029850746268</v>
      </c>
      <c r="O46" s="69">
        <v>0.38</v>
      </c>
      <c r="P46" s="69">
        <v>0.40776699029126212</v>
      </c>
    </row>
    <row r="47" spans="1:16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0.33658536585365856</v>
      </c>
      <c r="M47" s="69">
        <v>0.24390243902439024</v>
      </c>
      <c r="N47" s="69">
        <v>0.59420289855072461</v>
      </c>
      <c r="O47" s="69">
        <v>0.38</v>
      </c>
      <c r="P47" s="69">
        <v>0.41346153846153844</v>
      </c>
    </row>
    <row r="48" spans="1:16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0.34433962264150941</v>
      </c>
      <c r="M48" s="69">
        <v>0.24056603773584906</v>
      </c>
      <c r="N48" s="69">
        <v>0.61643835616438358</v>
      </c>
      <c r="O48" s="69">
        <v>0.39215686274509803</v>
      </c>
      <c r="P48" s="69">
        <v>0.41284403669724773</v>
      </c>
    </row>
    <row r="49" spans="1:16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0.35</v>
      </c>
      <c r="M49" s="69">
        <v>0.23181818181818181</v>
      </c>
      <c r="N49" s="69">
        <v>0.62337662337662336</v>
      </c>
      <c r="O49" s="69">
        <v>0.39215686274509803</v>
      </c>
      <c r="P49" s="69">
        <v>0.41964285714285715</v>
      </c>
    </row>
    <row r="50" spans="1:16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0.34782608695652173</v>
      </c>
      <c r="M50" s="69">
        <v>0.23043478260869565</v>
      </c>
      <c r="N50" s="69">
        <v>0.625</v>
      </c>
      <c r="O50" s="69">
        <v>0.39622641509433965</v>
      </c>
      <c r="P50" s="69">
        <v>0.41739130434782606</v>
      </c>
    </row>
    <row r="51" spans="1:16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0.34728033472803349</v>
      </c>
      <c r="M51" s="69">
        <v>0.2384937238493724</v>
      </c>
      <c r="N51" s="69">
        <v>0.61445783132530118</v>
      </c>
      <c r="O51" s="69">
        <v>0.40350877192982454</v>
      </c>
      <c r="P51" s="69">
        <v>0.40677966101694918</v>
      </c>
    </row>
    <row r="52" spans="1:16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0.34399999999999997</v>
      </c>
      <c r="M52" s="69">
        <v>0.23599999999999999</v>
      </c>
      <c r="N52" s="69">
        <v>0.61627906976744184</v>
      </c>
      <c r="O52" s="69">
        <v>0.38983050847457629</v>
      </c>
      <c r="P52" s="69">
        <v>0.4049586776859504</v>
      </c>
    </row>
    <row r="53" spans="1:16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0.33852140077821014</v>
      </c>
      <c r="M53" s="69">
        <v>0.23346303501945526</v>
      </c>
      <c r="N53" s="69">
        <v>0.60919540229885061</v>
      </c>
      <c r="O53" s="69">
        <v>0.38333333333333336</v>
      </c>
      <c r="P53" s="69">
        <v>0.4049586776859504</v>
      </c>
    </row>
    <row r="54" spans="1:16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0.33962264150943394</v>
      </c>
      <c r="M54" s="69">
        <v>0.23018867924528302</v>
      </c>
      <c r="N54" s="69">
        <v>0.61111111111111116</v>
      </c>
      <c r="O54" s="69">
        <v>0.37704918032786883</v>
      </c>
      <c r="P54" s="69">
        <v>0.41463414634146339</v>
      </c>
    </row>
    <row r="55" spans="1:16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0.33699633699633702</v>
      </c>
      <c r="M55" s="69">
        <v>0.23809523809523808</v>
      </c>
      <c r="N55" s="69">
        <v>0.61956521739130432</v>
      </c>
      <c r="O55" s="69">
        <v>0.38461538461538464</v>
      </c>
      <c r="P55" s="69">
        <v>0.4140625</v>
      </c>
    </row>
    <row r="56" spans="1:16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0.33922261484098942</v>
      </c>
      <c r="M56" s="69">
        <v>0.22968197879858657</v>
      </c>
      <c r="N56" s="69">
        <v>0.63541666666666663</v>
      </c>
      <c r="O56" s="69">
        <v>0.38461538461538464</v>
      </c>
      <c r="P56" s="69">
        <v>0.40909090909090912</v>
      </c>
    </row>
    <row r="57" spans="1:16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0.34146341463414637</v>
      </c>
      <c r="M57" s="69">
        <v>0.2264808362369338</v>
      </c>
      <c r="N57" s="69">
        <v>0.6428571428571429</v>
      </c>
      <c r="O57" s="69">
        <v>0.38461538461538464</v>
      </c>
      <c r="P57" s="69">
        <v>0.40740740740740738</v>
      </c>
    </row>
    <row r="58" spans="1:16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0.33333333333333331</v>
      </c>
      <c r="M58" s="69">
        <v>0.22448979591836735</v>
      </c>
      <c r="N58" s="69">
        <v>0.6428571428571429</v>
      </c>
      <c r="O58" s="69">
        <v>0.39393939393939392</v>
      </c>
      <c r="P58" s="69">
        <v>0.40441176470588236</v>
      </c>
    </row>
    <row r="59" spans="1:16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0.33559322033898303</v>
      </c>
      <c r="M59" s="69">
        <v>0.22372881355932203</v>
      </c>
      <c r="N59" s="69">
        <v>0.64646464646464652</v>
      </c>
      <c r="O59" s="69">
        <v>0.39393939393939392</v>
      </c>
      <c r="P59" s="69">
        <v>0.40145985401459855</v>
      </c>
    </row>
    <row r="60" spans="1:16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0.33223684210526316</v>
      </c>
      <c r="M60" s="69">
        <v>0.22368421052631579</v>
      </c>
      <c r="N60" s="69">
        <v>0.63366336633663367</v>
      </c>
      <c r="O60" s="69">
        <v>0.39705882352941174</v>
      </c>
      <c r="P60" s="69">
        <v>0.39855072463768115</v>
      </c>
    </row>
    <row r="61" spans="1:16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0.33546325878594252</v>
      </c>
      <c r="M61" s="69">
        <v>0.22044728434504793</v>
      </c>
      <c r="N61" s="69">
        <v>0.62857142857142856</v>
      </c>
      <c r="O61" s="69">
        <v>0.39130434782608697</v>
      </c>
      <c r="P61" s="69">
        <v>0.3971631205673759</v>
      </c>
    </row>
    <row r="62" spans="1:16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0.32919254658385094</v>
      </c>
      <c r="M62" s="69">
        <v>0.2267080745341615</v>
      </c>
      <c r="N62" s="69">
        <v>0.63207547169811318</v>
      </c>
      <c r="O62" s="69">
        <v>0.38356164383561642</v>
      </c>
      <c r="P62" s="69">
        <v>0.40689655172413791</v>
      </c>
    </row>
    <row r="63" spans="1:16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0.32826747720364741</v>
      </c>
      <c r="M63" s="69">
        <v>0.22492401215805471</v>
      </c>
      <c r="N63" s="69">
        <v>0.62962962962962965</v>
      </c>
      <c r="O63" s="69">
        <v>0.39189189189189189</v>
      </c>
      <c r="P63" s="69">
        <v>0.40816326530612246</v>
      </c>
    </row>
    <row r="64" spans="1:16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0.3303834808259587</v>
      </c>
      <c r="M64" s="69">
        <v>0.22418879056047197</v>
      </c>
      <c r="N64" s="69">
        <v>0.6428571428571429</v>
      </c>
      <c r="O64" s="69">
        <v>0.38157894736842107</v>
      </c>
      <c r="P64" s="69">
        <v>0.41059602649006621</v>
      </c>
    </row>
    <row r="65" spans="1:16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0.32853025936599423</v>
      </c>
      <c r="M65" s="69">
        <v>0.22478386167146974</v>
      </c>
      <c r="N65" s="69">
        <v>0.64035087719298245</v>
      </c>
      <c r="O65" s="69">
        <v>0.37179487179487181</v>
      </c>
      <c r="P65" s="69">
        <v>0.42207792207792205</v>
      </c>
    </row>
    <row r="66" spans="1:16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0.3342696629213483</v>
      </c>
      <c r="M66" s="69">
        <v>0.2247191011235955</v>
      </c>
      <c r="N66" s="69">
        <v>0.63025210084033612</v>
      </c>
      <c r="O66" s="69">
        <v>0.375</v>
      </c>
      <c r="P66" s="69">
        <v>0.43312101910828027</v>
      </c>
    </row>
    <row r="67" spans="1:16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0.3324175824175824</v>
      </c>
      <c r="M67" s="69">
        <v>0.23076923076923078</v>
      </c>
      <c r="N67" s="69">
        <v>0.6198347107438017</v>
      </c>
      <c r="O67" s="69">
        <v>0.36904761904761907</v>
      </c>
      <c r="P67" s="69">
        <v>0.43037974683544306</v>
      </c>
    </row>
    <row r="68" spans="1:16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0.33243243243243242</v>
      </c>
      <c r="M68" s="69">
        <v>0.23243243243243245</v>
      </c>
      <c r="N68" s="69">
        <v>0.62601626016260159</v>
      </c>
      <c r="O68" s="69">
        <v>0.38372093023255816</v>
      </c>
      <c r="P68" s="69">
        <v>0.41975308641975306</v>
      </c>
    </row>
    <row r="69" spans="1:16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0.33333333333333331</v>
      </c>
      <c r="M69" s="69">
        <v>0.23280423280423279</v>
      </c>
      <c r="N69" s="69">
        <v>0.62698412698412698</v>
      </c>
      <c r="O69" s="69">
        <v>0.38636363636363635</v>
      </c>
      <c r="P69" s="69">
        <v>0.42424242424242425</v>
      </c>
    </row>
    <row r="70" spans="1:16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0.328125</v>
      </c>
      <c r="M70" s="69">
        <v>0.234375</v>
      </c>
      <c r="N70" s="69">
        <v>0.62698412698412698</v>
      </c>
      <c r="O70" s="69">
        <v>0.4</v>
      </c>
      <c r="P70" s="69">
        <v>0.43113772455089822</v>
      </c>
    </row>
    <row r="71" spans="1:16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0.32647814910025708</v>
      </c>
      <c r="M71" s="69">
        <v>0.23393316195372751</v>
      </c>
      <c r="N71" s="69">
        <v>0.62204724409448819</v>
      </c>
      <c r="O71" s="69">
        <v>0.39560439560439559</v>
      </c>
      <c r="P71" s="69">
        <v>0.43113772455089822</v>
      </c>
    </row>
    <row r="72" spans="1:16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0.32241813602015112</v>
      </c>
      <c r="M72" s="69">
        <v>0.23425692695214106</v>
      </c>
      <c r="N72" s="69">
        <v>0.625</v>
      </c>
      <c r="O72" s="69">
        <v>0.39784946236559138</v>
      </c>
      <c r="P72" s="69">
        <v>0.42603550295857989</v>
      </c>
    </row>
    <row r="73" spans="1:16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0.32758620689655171</v>
      </c>
      <c r="M73" s="69">
        <v>0.23399014778325122</v>
      </c>
      <c r="N73" s="69">
        <v>0.62406015037593987</v>
      </c>
      <c r="O73" s="69">
        <v>0.38947368421052631</v>
      </c>
      <c r="P73" s="69">
        <v>0.43352601156069365</v>
      </c>
    </row>
    <row r="74" spans="1:16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0.32524271844660196</v>
      </c>
      <c r="M74" s="69">
        <v>0.2354368932038835</v>
      </c>
      <c r="N74" s="69">
        <v>0.61940298507462688</v>
      </c>
      <c r="O74" s="69">
        <v>0.38144329896907214</v>
      </c>
      <c r="P74" s="69">
        <v>0.43352601156069365</v>
      </c>
    </row>
    <row r="75" spans="1:16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0.32451923076923078</v>
      </c>
      <c r="M75" s="69">
        <v>0.23557692307692307</v>
      </c>
      <c r="N75" s="69">
        <v>0.61481481481481481</v>
      </c>
      <c r="O75" s="69">
        <v>0.37755102040816324</v>
      </c>
      <c r="P75" s="69">
        <v>0.43352601156069365</v>
      </c>
    </row>
    <row r="76" spans="1:16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0.32613908872901681</v>
      </c>
      <c r="M76" s="69">
        <v>0.23501199040767387</v>
      </c>
      <c r="N76" s="69">
        <v>0.61764705882352944</v>
      </c>
      <c r="O76" s="69">
        <v>0.37755102040816324</v>
      </c>
      <c r="P76" s="69">
        <v>0.43103448275862066</v>
      </c>
    </row>
    <row r="77" spans="1:16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0.32629107981220656</v>
      </c>
      <c r="M77" s="69">
        <v>0.23708920187793428</v>
      </c>
      <c r="N77" s="69">
        <v>0.62589928057553956</v>
      </c>
      <c r="O77" s="69">
        <v>0.38613861386138615</v>
      </c>
      <c r="P77" s="69">
        <v>0.44134078212290501</v>
      </c>
    </row>
    <row r="78" spans="1:16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0.32563510392609701</v>
      </c>
      <c r="M78" s="69">
        <v>0.24018475750577367</v>
      </c>
      <c r="N78" s="69">
        <v>0.62411347517730498</v>
      </c>
      <c r="O78" s="69">
        <v>0.375</v>
      </c>
      <c r="P78" s="69">
        <v>0.44198895027624308</v>
      </c>
    </row>
    <row r="79" spans="1:16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0.31828442437923249</v>
      </c>
      <c r="M79" s="69">
        <v>0.24153498871331827</v>
      </c>
      <c r="N79" s="69">
        <v>0.62411347517730498</v>
      </c>
      <c r="O79" s="69">
        <v>0.38317757009345793</v>
      </c>
      <c r="P79" s="69">
        <v>0.43478260869565216</v>
      </c>
    </row>
    <row r="80" spans="1:16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0.31767337807606266</v>
      </c>
      <c r="M80" s="69">
        <v>0.24161073825503357</v>
      </c>
      <c r="N80" s="69">
        <v>0.61971830985915488</v>
      </c>
      <c r="O80" s="69">
        <v>0.3888888888888889</v>
      </c>
      <c r="P80" s="69">
        <v>0.43243243243243246</v>
      </c>
    </row>
    <row r="81" spans="1:16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0.31277533039647576</v>
      </c>
      <c r="M81" s="69">
        <v>0.24008810572687225</v>
      </c>
      <c r="N81" s="69">
        <v>0.61971830985915488</v>
      </c>
      <c r="O81" s="69">
        <v>0.38532110091743121</v>
      </c>
      <c r="P81" s="69">
        <v>0.43548387096774194</v>
      </c>
    </row>
    <row r="82" spans="1:16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0.31019522776572667</v>
      </c>
      <c r="M82" s="69">
        <v>0.24078091106290672</v>
      </c>
      <c r="N82" s="69">
        <v>0.61538461538461542</v>
      </c>
      <c r="O82" s="69">
        <v>0.3783783783783784</v>
      </c>
      <c r="P82" s="69">
        <v>0.43548387096774194</v>
      </c>
    </row>
    <row r="83" spans="1:16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0.31196581196581197</v>
      </c>
      <c r="M83" s="69">
        <v>0.23931623931623933</v>
      </c>
      <c r="N83" s="69">
        <v>0.62328767123287676</v>
      </c>
      <c r="O83" s="69">
        <v>0.375</v>
      </c>
      <c r="P83" s="69">
        <v>0.43915343915343913</v>
      </c>
    </row>
    <row r="84" spans="1:16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0.31512605042016806</v>
      </c>
      <c r="M84" s="69">
        <v>0.23949579831932774</v>
      </c>
      <c r="N84" s="69">
        <v>0.62</v>
      </c>
      <c r="O84" s="69">
        <v>0.37719298245614036</v>
      </c>
      <c r="P84" s="69">
        <v>0.4375</v>
      </c>
    </row>
    <row r="85" spans="1:16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0.31198347107438018</v>
      </c>
      <c r="M85" s="69">
        <v>0.23966942148760331</v>
      </c>
      <c r="N85" s="69">
        <v>0.62251655629139069</v>
      </c>
      <c r="O85" s="69">
        <v>0.37068965517241381</v>
      </c>
      <c r="P85" s="69">
        <v>0.44102564102564101</v>
      </c>
    </row>
    <row r="86" spans="1:16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0.31211498973305957</v>
      </c>
      <c r="M86" s="69">
        <v>0.2402464065708419</v>
      </c>
      <c r="N86" s="69">
        <v>0.61842105263157898</v>
      </c>
      <c r="O86" s="69">
        <v>0.36752136752136755</v>
      </c>
      <c r="P86" s="69">
        <v>0.44102564102564101</v>
      </c>
    </row>
    <row r="87" spans="1:16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0.31991951710261568</v>
      </c>
      <c r="M87" s="69">
        <v>0.23742454728370221</v>
      </c>
      <c r="N87" s="69">
        <v>0.60377358490566035</v>
      </c>
      <c r="O87" s="69">
        <v>0.3728813559322034</v>
      </c>
      <c r="P87" s="69">
        <v>0.4494949494949495</v>
      </c>
    </row>
    <row r="88" spans="1:16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0.31683168316831684</v>
      </c>
      <c r="M88" s="69">
        <v>0.23564356435643563</v>
      </c>
      <c r="N88" s="69">
        <v>0.60624999999999996</v>
      </c>
      <c r="O88" s="69">
        <v>0.36974789915966388</v>
      </c>
      <c r="P88" s="69">
        <v>0.45226130653266333</v>
      </c>
    </row>
    <row r="89" spans="1:16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0.32038834951456313</v>
      </c>
      <c r="M89" s="69">
        <v>0.23300970873786409</v>
      </c>
      <c r="N89" s="69">
        <v>0.59393939393939399</v>
      </c>
      <c r="O89" s="69">
        <v>0.375</v>
      </c>
      <c r="P89" s="69">
        <v>0.45273631840796019</v>
      </c>
    </row>
    <row r="90" spans="1:16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0.32183908045977011</v>
      </c>
      <c r="M90" s="69">
        <v>0.22988505747126436</v>
      </c>
      <c r="N90" s="69">
        <v>0.59523809523809523</v>
      </c>
      <c r="O90" s="69">
        <v>0.375</v>
      </c>
      <c r="P90" s="69">
        <v>0.45812807881773399</v>
      </c>
    </row>
    <row r="91" spans="1:16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0.3206831119544592</v>
      </c>
      <c r="M91" s="69">
        <v>0.23339658444022771</v>
      </c>
      <c r="N91" s="69">
        <v>0.59171597633136097</v>
      </c>
      <c r="O91" s="69">
        <v>0.38211382113821141</v>
      </c>
      <c r="P91" s="69">
        <v>0.45853658536585368</v>
      </c>
    </row>
    <row r="92" spans="1:16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0.3252336448598131</v>
      </c>
      <c r="M92" s="69">
        <v>0.23177570093457944</v>
      </c>
      <c r="N92" s="69">
        <v>0.58620689655172409</v>
      </c>
      <c r="O92" s="69">
        <v>0.37903225806451613</v>
      </c>
      <c r="P92" s="69">
        <v>0.45410628019323673</v>
      </c>
    </row>
    <row r="93" spans="1:16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0.32536764705882354</v>
      </c>
      <c r="M93" s="69">
        <v>0.23345588235294118</v>
      </c>
      <c r="N93" s="69">
        <v>0.58757062146892658</v>
      </c>
      <c r="O93" s="69">
        <v>0.38582677165354329</v>
      </c>
      <c r="P93" s="69">
        <v>0.45023696682464454</v>
      </c>
    </row>
    <row r="94" spans="1:16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0.32549728752260398</v>
      </c>
      <c r="M94" s="69">
        <v>0.22965641952983726</v>
      </c>
      <c r="N94" s="69">
        <v>0.57777777777777772</v>
      </c>
      <c r="O94" s="69">
        <v>0.38582677165354329</v>
      </c>
      <c r="P94" s="69">
        <v>0.45023696682464454</v>
      </c>
    </row>
    <row r="95" spans="1:16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0.32035398230088497</v>
      </c>
      <c r="M95" s="69">
        <v>0.23185840707964603</v>
      </c>
      <c r="N95" s="69">
        <v>0.58011049723756902</v>
      </c>
      <c r="O95" s="69">
        <v>0.39694656488549618</v>
      </c>
      <c r="P95" s="69">
        <v>0.45833333333333331</v>
      </c>
    </row>
    <row r="96" spans="1:16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0.32291666666666669</v>
      </c>
      <c r="M96" s="69">
        <v>0.22916666666666666</v>
      </c>
      <c r="N96" s="69">
        <v>0.57526881720430112</v>
      </c>
      <c r="O96" s="69">
        <v>0.39393939393939392</v>
      </c>
      <c r="P96" s="69">
        <v>0.45662100456621002</v>
      </c>
    </row>
    <row r="97" spans="1:16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0.31965811965811963</v>
      </c>
      <c r="M97" s="69">
        <v>0.22564102564102564</v>
      </c>
      <c r="N97" s="69">
        <v>0.57754010695187163</v>
      </c>
      <c r="O97" s="69">
        <v>0.39393939393939392</v>
      </c>
      <c r="P97" s="69">
        <v>0.45248868778280543</v>
      </c>
    </row>
    <row r="98" spans="1:16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0.31764705882352939</v>
      </c>
      <c r="M98" s="69">
        <v>0.22184873949579831</v>
      </c>
      <c r="N98" s="69">
        <v>0.57671957671957674</v>
      </c>
      <c r="O98" s="69">
        <v>0.39393939393939392</v>
      </c>
      <c r="P98" s="69">
        <v>0.45739910313901344</v>
      </c>
    </row>
    <row r="99" spans="1:16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0.31509121061359868</v>
      </c>
      <c r="M99" s="69">
        <v>0.22222222222222221</v>
      </c>
      <c r="N99" s="69">
        <v>0.5736842105263158</v>
      </c>
      <c r="O99" s="69">
        <v>0.38805970149253732</v>
      </c>
      <c r="P99" s="69">
        <v>0.45535714285714285</v>
      </c>
    </row>
    <row r="100" spans="1:16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0.3125</v>
      </c>
      <c r="M100" s="69">
        <v>0.22368421052631579</v>
      </c>
      <c r="N100" s="69">
        <v>0.5736842105263158</v>
      </c>
      <c r="O100" s="69">
        <v>0.38235294117647056</v>
      </c>
      <c r="P100" s="69">
        <v>0.45777777777777778</v>
      </c>
    </row>
    <row r="101" spans="1:16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0.31382113821138213</v>
      </c>
      <c r="M101" s="69">
        <v>0.22276422764227644</v>
      </c>
      <c r="N101" s="69">
        <v>0.56476683937823835</v>
      </c>
      <c r="O101" s="69">
        <v>0.37956204379562042</v>
      </c>
      <c r="P101" s="69">
        <v>0.45777777777777778</v>
      </c>
    </row>
    <row r="102" spans="1:16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0.31519999999999998</v>
      </c>
      <c r="M102" s="69">
        <v>0.2208</v>
      </c>
      <c r="N102" s="69">
        <v>0.56345177664974622</v>
      </c>
      <c r="O102" s="69">
        <v>0.37681159420289856</v>
      </c>
      <c r="P102" s="69">
        <v>0.46255506607929514</v>
      </c>
    </row>
    <row r="103" spans="1:16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0.31528662420382164</v>
      </c>
      <c r="M103" s="69">
        <v>0.21974522292993631</v>
      </c>
      <c r="N103" s="69">
        <v>0.56565656565656564</v>
      </c>
      <c r="O103" s="69">
        <v>0.37681159420289856</v>
      </c>
      <c r="P103" s="69">
        <v>0.46052631578947367</v>
      </c>
    </row>
    <row r="104" spans="1:16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0.31603773584905659</v>
      </c>
      <c r="M104" s="69">
        <v>0.22012578616352202</v>
      </c>
      <c r="N104" s="69">
        <v>0.56218905472636815</v>
      </c>
      <c r="O104" s="69">
        <v>0.38571428571428573</v>
      </c>
      <c r="P104" s="69">
        <v>0.45689655172413796</v>
      </c>
    </row>
    <row r="105" spans="1:16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0.31259720062208396</v>
      </c>
      <c r="M105" s="69">
        <v>0.21928460342146189</v>
      </c>
      <c r="N105" s="69">
        <v>0.56218905472636815</v>
      </c>
      <c r="O105" s="69">
        <v>0.39007092198581561</v>
      </c>
      <c r="P105" s="69">
        <v>0.45299145299145299</v>
      </c>
    </row>
    <row r="106" spans="1:16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0.31441717791411045</v>
      </c>
      <c r="M106" s="69">
        <v>0.21932515337423314</v>
      </c>
      <c r="N106" s="69">
        <v>0.55609756097560981</v>
      </c>
      <c r="O106" s="69">
        <v>0.38461538461538464</v>
      </c>
      <c r="P106" s="69">
        <v>0.45338983050847459</v>
      </c>
    </row>
    <row r="107" spans="1:16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0.31515151515151513</v>
      </c>
      <c r="M107" s="69">
        <v>0.21666666666666667</v>
      </c>
      <c r="N107" s="69">
        <v>0.55769230769230771</v>
      </c>
      <c r="O107" s="69">
        <v>0.38461538461538464</v>
      </c>
      <c r="P107" s="69">
        <v>0.45378151260504201</v>
      </c>
    </row>
    <row r="108" spans="1:16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0.31523378582202111</v>
      </c>
      <c r="M108" s="69">
        <v>0.21568627450980393</v>
      </c>
      <c r="N108" s="69">
        <v>0.55502392344497609</v>
      </c>
      <c r="O108" s="69">
        <v>0.38461538461538464</v>
      </c>
      <c r="P108" s="69">
        <v>0.45378151260504201</v>
      </c>
    </row>
    <row r="109" spans="1:16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0.31390134529147984</v>
      </c>
      <c r="M109" s="69">
        <v>0.21674140508221226</v>
      </c>
      <c r="N109" s="69">
        <v>0.55238095238095242</v>
      </c>
      <c r="O109" s="69">
        <v>0.37931034482758619</v>
      </c>
      <c r="P109" s="69">
        <v>0.45378151260504201</v>
      </c>
    </row>
    <row r="110" spans="1:16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0.3112094395280236</v>
      </c>
      <c r="M110" s="69">
        <v>0.21828908554572271</v>
      </c>
      <c r="N110" s="69">
        <v>0.5545023696682464</v>
      </c>
      <c r="O110" s="69">
        <v>0.38513513513513514</v>
      </c>
      <c r="P110" s="69">
        <v>0.4462809917355372</v>
      </c>
    </row>
    <row r="111" spans="1:16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0.30903790087463556</v>
      </c>
      <c r="M111" s="69">
        <v>0.21865889212827988</v>
      </c>
      <c r="N111" s="69">
        <v>0.55660377358490565</v>
      </c>
      <c r="O111" s="69">
        <v>0.38</v>
      </c>
      <c r="P111" s="69">
        <v>0.44897959183673469</v>
      </c>
    </row>
    <row r="112" spans="1:16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0.3069164265129683</v>
      </c>
      <c r="M112" s="69">
        <v>0.21757925072046108</v>
      </c>
      <c r="N112" s="69">
        <v>0.5539906103286385</v>
      </c>
      <c r="O112" s="69">
        <v>0.37748344370860926</v>
      </c>
      <c r="P112" s="69">
        <v>0.44939271255060731</v>
      </c>
    </row>
    <row r="113" spans="1:16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0.30539772727272729</v>
      </c>
      <c r="M113" s="69">
        <v>0.21875</v>
      </c>
      <c r="N113" s="69">
        <v>0.55813953488372092</v>
      </c>
      <c r="O113" s="69">
        <v>0.38311688311688313</v>
      </c>
      <c r="P113" s="69">
        <v>0.45019920318725098</v>
      </c>
    </row>
    <row r="114" spans="1:16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0.3061797752808989</v>
      </c>
      <c r="M114" s="69">
        <v>0.21629213483146068</v>
      </c>
      <c r="N114" s="69">
        <v>0.55504587155963303</v>
      </c>
      <c r="O114" s="69">
        <v>0.38311688311688313</v>
      </c>
      <c r="P114" s="69">
        <v>0.44841269841269843</v>
      </c>
    </row>
    <row r="115" spans="1:16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0.30651872399445212</v>
      </c>
      <c r="M115" s="69">
        <v>0.21359223300970873</v>
      </c>
      <c r="N115" s="69">
        <v>0.56108597285067874</v>
      </c>
      <c r="O115" s="69">
        <v>0.38311688311688313</v>
      </c>
      <c r="P115" s="69">
        <v>0.44313725490196076</v>
      </c>
    </row>
    <row r="116" spans="1:16" x14ac:dyDescent="0.4">
      <c r="A116" s="71">
        <v>113</v>
      </c>
      <c r="B116" s="68">
        <v>250.09999999999982</v>
      </c>
      <c r="C116" s="68">
        <v>2.2132743362831842</v>
      </c>
      <c r="D116" s="73">
        <v>1.9203539823008851</v>
      </c>
      <c r="E116" s="69">
        <v>0.38053097345132741</v>
      </c>
      <c r="F116" s="69">
        <v>0.30292397660818715</v>
      </c>
      <c r="G116" s="69">
        <v>0.16257309941520467</v>
      </c>
      <c r="H116" s="70">
        <v>10469.111969111969</v>
      </c>
      <c r="I116" s="70">
        <v>-9257.5539568345321</v>
      </c>
      <c r="J116" s="69">
        <v>0.11504424778761062</v>
      </c>
      <c r="K116" s="69">
        <v>0.16814159292035399</v>
      </c>
      <c r="L116" s="69">
        <v>0.30452674897119342</v>
      </c>
      <c r="M116" s="69">
        <v>0.21536351165980797</v>
      </c>
      <c r="N116" s="69">
        <v>0.56306306306306309</v>
      </c>
      <c r="O116" s="69">
        <v>0.38216560509554143</v>
      </c>
      <c r="P116" s="69">
        <v>0.44401544401544402</v>
      </c>
    </row>
    <row r="117" spans="1:16" x14ac:dyDescent="0.4">
      <c r="A117" s="71">
        <v>114</v>
      </c>
      <c r="B117" s="68">
        <v>271.99999999999983</v>
      </c>
      <c r="C117" s="68">
        <v>2.3859649122807003</v>
      </c>
      <c r="D117" s="73">
        <v>1.9122807017543859</v>
      </c>
      <c r="E117" s="69">
        <v>0.38596491228070173</v>
      </c>
      <c r="F117" s="69">
        <v>0.30545876887340301</v>
      </c>
      <c r="G117" s="69">
        <v>0.16144018583042974</v>
      </c>
      <c r="H117" s="70">
        <v>10393.155893536121</v>
      </c>
      <c r="I117" s="70">
        <v>-9257.5539568345321</v>
      </c>
      <c r="J117" s="69">
        <v>0.11403508771929824</v>
      </c>
      <c r="K117" s="69">
        <v>0.16666666666666666</v>
      </c>
      <c r="L117" s="69">
        <v>0.30476190476190479</v>
      </c>
      <c r="M117" s="69">
        <v>0.21632653061224491</v>
      </c>
      <c r="N117" s="69">
        <v>0.5669642857142857</v>
      </c>
      <c r="O117" s="69">
        <v>0.38993710691823902</v>
      </c>
      <c r="P117" s="69">
        <v>0.44486692015209123</v>
      </c>
    </row>
    <row r="118" spans="1:16" x14ac:dyDescent="0.4">
      <c r="A118" s="71">
        <v>115</v>
      </c>
      <c r="B118" s="68">
        <v>262.69999999999982</v>
      </c>
      <c r="C118" s="68">
        <v>2.2843478260869547</v>
      </c>
      <c r="D118" s="73">
        <v>1.9130434782608696</v>
      </c>
      <c r="E118" s="69">
        <v>0.38260869565217392</v>
      </c>
      <c r="F118" s="69">
        <v>0.30334486735870819</v>
      </c>
      <c r="G118" s="69">
        <v>0.16032295271049596</v>
      </c>
      <c r="H118" s="70">
        <v>10393.155893536121</v>
      </c>
      <c r="I118" s="70">
        <v>-9257.5539568345321</v>
      </c>
      <c r="J118" s="69">
        <v>0.11304347826086956</v>
      </c>
      <c r="K118" s="69">
        <v>0.16521739130434782</v>
      </c>
      <c r="L118" s="69">
        <v>0.30364372469635625</v>
      </c>
      <c r="M118" s="69">
        <v>0.21592442645074225</v>
      </c>
      <c r="N118" s="69">
        <v>0.56444444444444442</v>
      </c>
      <c r="O118" s="69">
        <v>0.38750000000000001</v>
      </c>
      <c r="P118" s="69">
        <v>0.44486692015209123</v>
      </c>
    </row>
    <row r="119" spans="1:16" x14ac:dyDescent="0.4">
      <c r="A119" s="71">
        <v>116</v>
      </c>
      <c r="B119" s="68">
        <v>245.69999999999982</v>
      </c>
      <c r="C119" s="68">
        <v>2.1181034482758605</v>
      </c>
      <c r="D119" s="73">
        <v>1.9224137931034482</v>
      </c>
      <c r="E119" s="69">
        <v>0.37931034482758619</v>
      </c>
      <c r="F119" s="69">
        <v>0.30057142857142854</v>
      </c>
      <c r="G119" s="69">
        <v>0.16</v>
      </c>
      <c r="H119" s="70">
        <v>10393.155893536121</v>
      </c>
      <c r="I119" s="70">
        <v>-9198.5714285714294</v>
      </c>
      <c r="J119" s="69">
        <v>0.11206896551724138</v>
      </c>
      <c r="K119" s="69">
        <v>0.16379310344827586</v>
      </c>
      <c r="L119" s="69">
        <v>0.30307076101468627</v>
      </c>
      <c r="M119" s="69">
        <v>0.21495327102803738</v>
      </c>
      <c r="N119" s="69">
        <v>0.55947136563876654</v>
      </c>
      <c r="O119" s="69">
        <v>0.38509316770186336</v>
      </c>
      <c r="P119" s="69">
        <v>0.44486692015209123</v>
      </c>
    </row>
    <row r="120" spans="1:16" x14ac:dyDescent="0.4">
      <c r="A120" s="71">
        <v>117</v>
      </c>
      <c r="B120" s="68">
        <v>267.39999999999981</v>
      </c>
      <c r="C120" s="68">
        <v>2.285470085470084</v>
      </c>
      <c r="D120" s="73">
        <v>1.9145299145299146</v>
      </c>
      <c r="E120" s="69">
        <v>0.38461538461538464</v>
      </c>
      <c r="F120" s="69">
        <v>0.3009049773755656</v>
      </c>
      <c r="G120" s="69">
        <v>0.15837104072398189</v>
      </c>
      <c r="H120" s="70">
        <v>10393.233082706767</v>
      </c>
      <c r="I120" s="70">
        <v>-9198.5714285714294</v>
      </c>
      <c r="J120" s="69">
        <v>0.1111111111111111</v>
      </c>
      <c r="K120" s="69">
        <v>0.17094017094017094</v>
      </c>
      <c r="L120" s="69">
        <v>0.30211081794195249</v>
      </c>
      <c r="M120" s="69">
        <v>0.21240105540897097</v>
      </c>
      <c r="N120" s="69">
        <v>0.55895196506550215</v>
      </c>
      <c r="O120" s="69">
        <v>0.38509316770186336</v>
      </c>
      <c r="P120" s="69">
        <v>0.43984962406015038</v>
      </c>
    </row>
    <row r="121" spans="1:16" x14ac:dyDescent="0.4">
      <c r="A121" s="71">
        <v>118</v>
      </c>
      <c r="B121" s="68">
        <v>221.89999999999981</v>
      </c>
      <c r="C121" s="68">
        <v>1.8805084745762695</v>
      </c>
      <c r="D121" s="73">
        <v>1.923728813559322</v>
      </c>
      <c r="E121" s="69">
        <v>0.38135593220338981</v>
      </c>
      <c r="F121" s="69">
        <v>0.29988726042841035</v>
      </c>
      <c r="G121" s="69">
        <v>0.1600901916572717</v>
      </c>
      <c r="H121" s="70">
        <v>10393.233082706767</v>
      </c>
      <c r="I121" s="70">
        <v>-9322.5352112676064</v>
      </c>
      <c r="J121" s="69">
        <v>0.11864406779661017</v>
      </c>
      <c r="K121" s="69">
        <v>0.16949152542372881</v>
      </c>
      <c r="L121" s="69">
        <v>0.30223390275952694</v>
      </c>
      <c r="M121" s="69">
        <v>0.21156373193166886</v>
      </c>
      <c r="N121" s="69">
        <v>0.55652173913043479</v>
      </c>
      <c r="O121" s="69">
        <v>0.38509316770186336</v>
      </c>
      <c r="P121" s="69">
        <v>0.43984962406015038</v>
      </c>
    </row>
    <row r="122" spans="1:16" x14ac:dyDescent="0.4">
      <c r="A122" s="71">
        <v>119</v>
      </c>
      <c r="B122" s="68">
        <v>216.29999999999981</v>
      </c>
      <c r="C122" s="68">
        <v>1.8176470588235278</v>
      </c>
      <c r="D122" s="73">
        <v>1.9243697478991597</v>
      </c>
      <c r="E122" s="69">
        <v>0.37815126050420167</v>
      </c>
      <c r="F122" s="69">
        <v>0.30100334448160537</v>
      </c>
      <c r="G122" s="69">
        <v>0.15830546265328874</v>
      </c>
      <c r="H122" s="70">
        <v>10364.814814814816</v>
      </c>
      <c r="I122" s="70">
        <v>-9322.5352112676064</v>
      </c>
      <c r="J122" s="69">
        <v>0.11764705882352941</v>
      </c>
      <c r="K122" s="69">
        <v>0.16806722689075632</v>
      </c>
      <c r="L122" s="69">
        <v>0.29961089494163423</v>
      </c>
      <c r="M122" s="69">
        <v>0.21271076523994811</v>
      </c>
      <c r="N122" s="69">
        <v>0.55844155844155841</v>
      </c>
      <c r="O122" s="69">
        <v>0.3902439024390244</v>
      </c>
      <c r="P122" s="69">
        <v>0.43703703703703706</v>
      </c>
    </row>
    <row r="123" spans="1:16" x14ac:dyDescent="0.4">
      <c r="A123" s="71">
        <v>120</v>
      </c>
      <c r="B123" s="68">
        <v>195.79999999999981</v>
      </c>
      <c r="C123" s="68">
        <v>1.631666666666665</v>
      </c>
      <c r="D123" s="73">
        <v>1.925</v>
      </c>
      <c r="E123" s="69">
        <v>0.375</v>
      </c>
      <c r="F123" s="69">
        <v>0.29955947136563876</v>
      </c>
      <c r="G123" s="69">
        <v>0.16079295154185022</v>
      </c>
      <c r="H123" s="70">
        <v>10391.176470588236</v>
      </c>
      <c r="I123" s="70">
        <v>-9234.9315068493142</v>
      </c>
      <c r="J123" s="69">
        <v>0.11666666666666667</v>
      </c>
      <c r="K123" s="69">
        <v>0.16666666666666666</v>
      </c>
      <c r="L123" s="69">
        <v>0.29795396419437342</v>
      </c>
      <c r="M123" s="69">
        <v>0.21227621483375958</v>
      </c>
      <c r="N123" s="69">
        <v>0.5622317596566524</v>
      </c>
      <c r="O123" s="69">
        <v>0.38554216867469882</v>
      </c>
      <c r="P123" s="69">
        <v>0.4375</v>
      </c>
    </row>
    <row r="124" spans="1:16" x14ac:dyDescent="0.4">
      <c r="A124" s="71">
        <v>121</v>
      </c>
      <c r="B124" s="68">
        <v>169.59999999999982</v>
      </c>
      <c r="C124" s="68">
        <v>1.401652892561982</v>
      </c>
      <c r="D124" s="73">
        <v>1.9338842975206612</v>
      </c>
      <c r="E124" s="69">
        <v>0.37190082644628097</v>
      </c>
      <c r="F124" s="69">
        <v>0.29803493449781659</v>
      </c>
      <c r="G124" s="69">
        <v>0.16157205240174671</v>
      </c>
      <c r="H124" s="70">
        <v>10360.439560439561</v>
      </c>
      <c r="I124" s="70">
        <v>-9226.3513513513517</v>
      </c>
      <c r="J124" s="69">
        <v>0.11570247933884298</v>
      </c>
      <c r="K124" s="69">
        <v>0.16528925619834711</v>
      </c>
      <c r="L124" s="69">
        <v>0.29620253164556964</v>
      </c>
      <c r="M124" s="69">
        <v>0.21518987341772153</v>
      </c>
      <c r="N124" s="69">
        <v>0.55982905982905984</v>
      </c>
      <c r="O124" s="69">
        <v>0.38235294117647056</v>
      </c>
      <c r="P124" s="69">
        <v>0.4358974358974359</v>
      </c>
    </row>
    <row r="125" spans="1:16" x14ac:dyDescent="0.4">
      <c r="A125" s="71">
        <v>122</v>
      </c>
      <c r="B125" s="68">
        <v>161.89999999999984</v>
      </c>
      <c r="C125" s="68">
        <v>1.3270491803278675</v>
      </c>
      <c r="D125" s="73">
        <v>1.9344262295081966</v>
      </c>
      <c r="E125" s="69">
        <v>0.36885245901639346</v>
      </c>
      <c r="F125" s="69">
        <v>0.29653679653679654</v>
      </c>
      <c r="G125" s="69">
        <v>0.16125541125541126</v>
      </c>
      <c r="H125" s="70">
        <v>10351.824817518249</v>
      </c>
      <c r="I125" s="70">
        <v>-9190.6040268456381</v>
      </c>
      <c r="J125" s="69">
        <v>0.11475409836065574</v>
      </c>
      <c r="K125" s="69">
        <v>0.16393442622950818</v>
      </c>
      <c r="L125" s="69">
        <v>0.29448621553884713</v>
      </c>
      <c r="M125" s="69">
        <v>0.21679197994987467</v>
      </c>
      <c r="N125" s="69">
        <v>0.55744680851063833</v>
      </c>
      <c r="O125" s="69">
        <v>0.38150289017341038</v>
      </c>
      <c r="P125" s="69">
        <v>0.43430656934306572</v>
      </c>
    </row>
    <row r="126" spans="1:16" x14ac:dyDescent="0.4">
      <c r="A126" s="71">
        <v>123</v>
      </c>
      <c r="B126" s="68">
        <v>201.39999999999984</v>
      </c>
      <c r="C126" s="68">
        <v>1.6373983739837386</v>
      </c>
      <c r="D126" s="73">
        <v>1.9268292682926829</v>
      </c>
      <c r="E126" s="69">
        <v>0.37398373983739835</v>
      </c>
      <c r="F126" s="69">
        <v>0.29871520342612418</v>
      </c>
      <c r="G126" s="69">
        <v>0.16059957173447537</v>
      </c>
      <c r="H126" s="70">
        <v>10381.362007168458</v>
      </c>
      <c r="I126" s="70">
        <v>-9180.6666666666661</v>
      </c>
      <c r="J126" s="69">
        <v>0.11382113821138211</v>
      </c>
      <c r="K126" s="69">
        <v>0.17073170731707318</v>
      </c>
      <c r="L126" s="69">
        <v>0.29702970297029702</v>
      </c>
      <c r="M126" s="69">
        <v>0.21534653465346534</v>
      </c>
      <c r="N126" s="69">
        <v>0.55833333333333335</v>
      </c>
      <c r="O126" s="69">
        <v>0.37931034482758619</v>
      </c>
      <c r="P126" s="69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1B2F5-E2FE-4391-86AB-ED30159B410D}">
  <sheetPr codeName="Sheet20"/>
  <dimension ref="A1:Q8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P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P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P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P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P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P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P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P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P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P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P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P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P16" s="69">
        <v>0.48148148148148145</v>
      </c>
    </row>
    <row r="17" spans="1:16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P17" s="69">
        <v>0.48148148148148145</v>
      </c>
    </row>
    <row r="18" spans="1:16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P18" s="69">
        <v>0.4642857142857143</v>
      </c>
    </row>
    <row r="19" spans="1:16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P19" s="69">
        <v>0.5</v>
      </c>
    </row>
    <row r="20" spans="1:16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P20" s="69">
        <v>0.46875</v>
      </c>
    </row>
    <row r="21" spans="1:16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P21" s="69">
        <v>0.45945945945945948</v>
      </c>
    </row>
    <row r="22" spans="1:16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P22" s="69">
        <v>0.44736842105263158</v>
      </c>
    </row>
    <row r="23" spans="1:16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P23" s="69">
        <v>0.44736842105263158</v>
      </c>
    </row>
    <row r="24" spans="1:16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P24" s="69">
        <v>0.45</v>
      </c>
    </row>
    <row r="25" spans="1:16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P25" s="69">
        <v>0.46666666666666667</v>
      </c>
    </row>
    <row r="26" spans="1:16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P26" s="69">
        <v>0.46938775510204084</v>
      </c>
    </row>
    <row r="27" spans="1:16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P27" s="69">
        <v>0.45098039215686275</v>
      </c>
    </row>
    <row r="28" spans="1:16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</v>
      </c>
      <c r="M28" s="69">
        <v>0.33333333333333331</v>
      </c>
      <c r="N28" s="69">
        <v>0</v>
      </c>
      <c r="O28" s="69">
        <v>0.5</v>
      </c>
      <c r="P28" s="69">
        <v>0.44230769230769229</v>
      </c>
    </row>
    <row r="29" spans="1:16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0.1111111111111111</v>
      </c>
      <c r="M29" s="69">
        <v>0.33333333333333331</v>
      </c>
      <c r="N29" s="69">
        <v>0.5</v>
      </c>
      <c r="O29" s="69">
        <v>0.5</v>
      </c>
      <c r="P29" s="69">
        <v>0.45454545454545453</v>
      </c>
    </row>
    <row r="30" spans="1:16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0.16129032258064516</v>
      </c>
      <c r="M30" s="69">
        <v>0.35483870967741937</v>
      </c>
      <c r="N30" s="69">
        <v>0.4</v>
      </c>
      <c r="O30" s="69">
        <v>0.45454545454545453</v>
      </c>
      <c r="P30" s="69">
        <v>0.4576271186440678</v>
      </c>
    </row>
    <row r="31" spans="1:16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0.15384615384615385</v>
      </c>
      <c r="M31" s="69">
        <v>0.38461538461538464</v>
      </c>
      <c r="N31" s="69">
        <v>0.5</v>
      </c>
      <c r="O31" s="69">
        <v>0.46666666666666667</v>
      </c>
      <c r="P31" s="69">
        <v>0.45161290322580644</v>
      </c>
    </row>
    <row r="32" spans="1:16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0.17647058823529413</v>
      </c>
      <c r="M32" s="69">
        <v>0.37254901960784315</v>
      </c>
      <c r="N32" s="69">
        <v>0.44444444444444442</v>
      </c>
      <c r="O32" s="69">
        <v>0.47368421052631576</v>
      </c>
      <c r="P32" s="69">
        <v>0.43283582089552236</v>
      </c>
    </row>
    <row r="33" spans="1:16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0.21052631578947367</v>
      </c>
      <c r="M33" s="69">
        <v>0.35087719298245612</v>
      </c>
      <c r="N33" s="69">
        <v>0.33333333333333331</v>
      </c>
      <c r="O33" s="69">
        <v>0.45</v>
      </c>
      <c r="P33" s="69">
        <v>0.44117647058823528</v>
      </c>
    </row>
    <row r="34" spans="1:16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0.19696969696969696</v>
      </c>
      <c r="M34" s="69">
        <v>0.30303030303030304</v>
      </c>
      <c r="N34" s="69">
        <v>0.38461538461538464</v>
      </c>
      <c r="O34" s="69">
        <v>0.45</v>
      </c>
      <c r="P34" s="69">
        <v>0.43478260869565216</v>
      </c>
    </row>
    <row r="35" spans="1:16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0.20547945205479451</v>
      </c>
      <c r="M35" s="69">
        <v>0.28767123287671231</v>
      </c>
      <c r="N35" s="69">
        <v>0.4</v>
      </c>
      <c r="O35" s="69">
        <v>0.42857142857142855</v>
      </c>
      <c r="P35" s="69">
        <v>0.42253521126760563</v>
      </c>
    </row>
    <row r="36" spans="1:16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0.19753086419753085</v>
      </c>
      <c r="M36" s="69">
        <v>0.27160493827160492</v>
      </c>
      <c r="N36" s="69">
        <v>0.375</v>
      </c>
      <c r="O36" s="69">
        <v>0.40909090909090912</v>
      </c>
      <c r="P36" s="69">
        <v>0.41666666666666669</v>
      </c>
    </row>
    <row r="37" spans="1:16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0.19540229885057472</v>
      </c>
      <c r="M37" s="69">
        <v>0.28735632183908044</v>
      </c>
      <c r="N37" s="69">
        <v>0.41176470588235292</v>
      </c>
      <c r="O37" s="69">
        <v>0.4</v>
      </c>
      <c r="P37" s="69">
        <v>0.40540540540540543</v>
      </c>
    </row>
    <row r="38" spans="1:16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0.22340425531914893</v>
      </c>
      <c r="M38" s="69">
        <v>0.2978723404255319</v>
      </c>
      <c r="N38" s="69">
        <v>0.42857142857142855</v>
      </c>
      <c r="O38" s="69">
        <v>0.42857142857142855</v>
      </c>
      <c r="P38" s="69">
        <v>0.42307692307692307</v>
      </c>
    </row>
    <row r="39" spans="1:16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0.22772277227722773</v>
      </c>
      <c r="M39" s="69">
        <v>0.30693069306930693</v>
      </c>
      <c r="N39" s="69">
        <v>0.39130434782608697</v>
      </c>
      <c r="O39" s="69">
        <v>0.4838709677419355</v>
      </c>
      <c r="P39" s="69">
        <v>0.41975308641975306</v>
      </c>
    </row>
    <row r="40" spans="1:16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0.21100917431192662</v>
      </c>
      <c r="M40" s="69">
        <v>0.31192660550458717</v>
      </c>
      <c r="N40" s="69">
        <v>0.39130434782608697</v>
      </c>
      <c r="O40" s="69">
        <v>0.44117647058823528</v>
      </c>
      <c r="P40" s="69">
        <v>0.41975308641975306</v>
      </c>
    </row>
    <row r="41" spans="1:16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0.21238938053097345</v>
      </c>
      <c r="M41" s="69">
        <v>0.30973451327433627</v>
      </c>
      <c r="N41" s="69">
        <v>0.41666666666666669</v>
      </c>
      <c r="O41" s="69">
        <v>0.42857142857142855</v>
      </c>
      <c r="P41" s="69">
        <v>0.41463414634146339</v>
      </c>
    </row>
    <row r="42" spans="1:16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0.21666666666666667</v>
      </c>
      <c r="M42" s="69">
        <v>0.31666666666666665</v>
      </c>
      <c r="N42" s="69">
        <v>0.38461538461538464</v>
      </c>
      <c r="O42" s="69">
        <v>0.42105263157894735</v>
      </c>
      <c r="P42" s="69">
        <v>0.40963855421686746</v>
      </c>
    </row>
    <row r="43" spans="1:16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0.20472440944881889</v>
      </c>
      <c r="M43" s="69">
        <v>0.30708661417322836</v>
      </c>
      <c r="N43" s="69">
        <v>0.38461538461538464</v>
      </c>
      <c r="O43" s="69">
        <v>0.41025641025641024</v>
      </c>
      <c r="P43" s="69">
        <v>0.40963855421686746</v>
      </c>
    </row>
    <row r="44" spans="1:16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0.21481481481481482</v>
      </c>
      <c r="M44" s="69">
        <v>0.3037037037037037</v>
      </c>
      <c r="N44" s="69">
        <v>0.34482758620689657</v>
      </c>
      <c r="O44" s="69">
        <v>0.3902439024390244</v>
      </c>
      <c r="P44" s="69">
        <v>0.40963855421686746</v>
      </c>
    </row>
    <row r="45" spans="1:16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0.21379310344827587</v>
      </c>
      <c r="M45" s="69">
        <v>0.30344827586206896</v>
      </c>
      <c r="N45" s="69">
        <v>0.35483870967741937</v>
      </c>
      <c r="O45" s="69">
        <v>0.38636363636363635</v>
      </c>
      <c r="P45" s="69">
        <v>0.4</v>
      </c>
    </row>
    <row r="46" spans="1:16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0.2251655629139073</v>
      </c>
      <c r="M46" s="69">
        <v>0.29139072847682118</v>
      </c>
      <c r="N46" s="69">
        <v>0.35294117647058826</v>
      </c>
      <c r="O46" s="69">
        <v>0.38636363636363635</v>
      </c>
      <c r="P46" s="69">
        <v>0.40697674418604651</v>
      </c>
    </row>
    <row r="47" spans="1:16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0.22839506172839505</v>
      </c>
      <c r="M47" s="69">
        <v>0.2839506172839506</v>
      </c>
      <c r="N47" s="69">
        <v>0.35135135135135137</v>
      </c>
      <c r="O47" s="69">
        <v>0.39130434782608697</v>
      </c>
      <c r="P47" s="69">
        <v>0.42045454545454547</v>
      </c>
    </row>
    <row r="48" spans="1:16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0.22754491017964071</v>
      </c>
      <c r="M48" s="69">
        <v>0.28143712574850299</v>
      </c>
      <c r="N48" s="69">
        <v>0.34210526315789475</v>
      </c>
      <c r="O48" s="69">
        <v>0.38297872340425532</v>
      </c>
      <c r="P48" s="69">
        <v>0.42045454545454547</v>
      </c>
    </row>
    <row r="49" spans="1:16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0.22285714285714286</v>
      </c>
      <c r="M49" s="69">
        <v>0.28000000000000003</v>
      </c>
      <c r="N49" s="69">
        <v>0.35897435897435898</v>
      </c>
      <c r="O49" s="69">
        <v>0.36734693877551022</v>
      </c>
      <c r="P49" s="69">
        <v>0.42696629213483145</v>
      </c>
    </row>
    <row r="50" spans="1:16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0.22826086956521738</v>
      </c>
      <c r="M50" s="69">
        <v>0.27717391304347827</v>
      </c>
      <c r="N50" s="69">
        <v>0.35714285714285715</v>
      </c>
      <c r="O50" s="69">
        <v>0.37254901960784315</v>
      </c>
      <c r="P50" s="69">
        <v>0.42857142857142855</v>
      </c>
    </row>
    <row r="51" spans="1:16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0.22631578947368422</v>
      </c>
      <c r="M51" s="69">
        <v>0.27368421052631581</v>
      </c>
      <c r="N51" s="69">
        <v>0.37209302325581395</v>
      </c>
      <c r="O51" s="69">
        <v>0.36538461538461536</v>
      </c>
      <c r="P51" s="69">
        <v>0.42391304347826086</v>
      </c>
    </row>
    <row r="52" spans="1:16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0.22222222222222221</v>
      </c>
      <c r="M52" s="69">
        <v>0.27777777777777779</v>
      </c>
      <c r="N52" s="69">
        <v>0.38636363636363635</v>
      </c>
      <c r="O52" s="69">
        <v>0.38181818181818183</v>
      </c>
      <c r="P52" s="69">
        <v>0.43157894736842106</v>
      </c>
    </row>
    <row r="53" spans="1:16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0.23076923076923078</v>
      </c>
      <c r="M53" s="69">
        <v>0.27403846153846156</v>
      </c>
      <c r="N53" s="69">
        <v>0.41666666666666669</v>
      </c>
      <c r="O53" s="69">
        <v>0.36842105263157893</v>
      </c>
      <c r="P53" s="69">
        <v>0.43877551020408162</v>
      </c>
    </row>
    <row r="54" spans="1:16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0.23853211009174313</v>
      </c>
      <c r="M54" s="69">
        <v>0.27064220183486237</v>
      </c>
      <c r="N54" s="69">
        <v>0.40384615384615385</v>
      </c>
      <c r="O54" s="69">
        <v>0.3728813559322034</v>
      </c>
      <c r="P54" s="69">
        <v>0.44554455445544555</v>
      </c>
    </row>
    <row r="55" spans="1:16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0.24</v>
      </c>
      <c r="M55" s="69">
        <v>0.27111111111111114</v>
      </c>
      <c r="N55" s="69">
        <v>0.3888888888888889</v>
      </c>
      <c r="O55" s="69">
        <v>0.37704918032786883</v>
      </c>
      <c r="P55" s="69">
        <v>0.45098039215686275</v>
      </c>
    </row>
    <row r="56" spans="1:16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0.24050632911392406</v>
      </c>
      <c r="M56" s="69">
        <v>0.27004219409282698</v>
      </c>
      <c r="N56" s="69">
        <v>0.40350877192982454</v>
      </c>
      <c r="O56" s="69">
        <v>0.375</v>
      </c>
      <c r="P56" s="69">
        <v>0.45283018867924529</v>
      </c>
    </row>
    <row r="57" spans="1:16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0.24897959183673468</v>
      </c>
      <c r="M57" s="69">
        <v>0.26938775510204083</v>
      </c>
      <c r="N57" s="69">
        <v>0.42622950819672129</v>
      </c>
      <c r="O57" s="69">
        <v>0.36363636363636365</v>
      </c>
      <c r="P57" s="69">
        <v>0.45454545454545453</v>
      </c>
    </row>
    <row r="58" spans="1:16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0.24603174603174602</v>
      </c>
      <c r="M58" s="69">
        <v>0.26587301587301587</v>
      </c>
      <c r="N58" s="69">
        <v>0.43548387096774194</v>
      </c>
      <c r="O58" s="69">
        <v>0.37313432835820898</v>
      </c>
      <c r="P58" s="69">
        <v>0.45535714285714285</v>
      </c>
    </row>
    <row r="59" spans="1:16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0.24124513618677043</v>
      </c>
      <c r="M59" s="69">
        <v>0.26459143968871596</v>
      </c>
      <c r="N59" s="69">
        <v>0.43548387096774194</v>
      </c>
      <c r="O59" s="69">
        <v>0.36764705882352944</v>
      </c>
      <c r="P59" s="69">
        <v>0.45535714285714285</v>
      </c>
    </row>
    <row r="60" spans="1:16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0.24150943396226415</v>
      </c>
      <c r="M60" s="69">
        <v>0.26792452830188679</v>
      </c>
      <c r="N60" s="69">
        <v>0.453125</v>
      </c>
      <c r="O60" s="69">
        <v>0.36619718309859156</v>
      </c>
      <c r="P60" s="69">
        <v>0.46086956521739131</v>
      </c>
    </row>
    <row r="61" spans="1:16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0.24814814814814815</v>
      </c>
      <c r="M61" s="69">
        <v>0.26666666666666666</v>
      </c>
      <c r="N61" s="69">
        <v>0.43283582089552236</v>
      </c>
      <c r="O61" s="69">
        <v>0.3611111111111111</v>
      </c>
      <c r="P61" s="69">
        <v>0.46086956521739131</v>
      </c>
    </row>
    <row r="62" spans="1:16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0.25992779783393499</v>
      </c>
      <c r="M62" s="69">
        <v>0.25992779783393499</v>
      </c>
      <c r="N62" s="69">
        <v>0.44444444444444442</v>
      </c>
      <c r="O62" s="69">
        <v>0.3611111111111111</v>
      </c>
      <c r="P62" s="69">
        <v>0.4576271186440678</v>
      </c>
    </row>
    <row r="63" spans="1:16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0.25352112676056338</v>
      </c>
      <c r="M63" s="69">
        <v>0.26760563380281688</v>
      </c>
      <c r="N63" s="69">
        <v>0.44444444444444442</v>
      </c>
      <c r="O63" s="69">
        <v>0.36842105263157893</v>
      </c>
      <c r="P63" s="69">
        <v>0.45</v>
      </c>
    </row>
    <row r="64" spans="1:16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0.25783972125435539</v>
      </c>
      <c r="M64" s="69">
        <v>0.26829268292682928</v>
      </c>
      <c r="N64" s="69">
        <v>0.45945945945945948</v>
      </c>
      <c r="O64" s="69">
        <v>0.37662337662337664</v>
      </c>
      <c r="P64" s="69">
        <v>0.44715447154471544</v>
      </c>
    </row>
    <row r="65" spans="1:16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0.26101694915254237</v>
      </c>
      <c r="M65" s="69">
        <v>0.26779661016949152</v>
      </c>
      <c r="N65" s="69">
        <v>0.45454545454545453</v>
      </c>
      <c r="O65" s="69">
        <v>0.379746835443038</v>
      </c>
      <c r="P65" s="69">
        <v>0.45161290322580644</v>
      </c>
    </row>
    <row r="66" spans="1:16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0.26229508196721313</v>
      </c>
      <c r="M66" s="69">
        <v>0.26885245901639343</v>
      </c>
      <c r="N66" s="69">
        <v>0.46250000000000002</v>
      </c>
      <c r="O66" s="69">
        <v>0.36585365853658536</v>
      </c>
      <c r="P66" s="69">
        <v>0.45238095238095238</v>
      </c>
    </row>
    <row r="67" spans="1:16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0.25641025641025639</v>
      </c>
      <c r="M67" s="69">
        <v>0.26923076923076922</v>
      </c>
      <c r="N67" s="69">
        <v>0.46250000000000002</v>
      </c>
      <c r="O67" s="69">
        <v>0.36904761904761907</v>
      </c>
      <c r="P67" s="69">
        <v>0.44881889763779526</v>
      </c>
    </row>
    <row r="68" spans="1:16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0.2639751552795031</v>
      </c>
      <c r="M68" s="69">
        <v>0.2639751552795031</v>
      </c>
      <c r="N68" s="69">
        <v>0.47058823529411764</v>
      </c>
      <c r="O68" s="69">
        <v>0.36470588235294116</v>
      </c>
      <c r="P68" s="69">
        <v>0.46153846153846156</v>
      </c>
    </row>
    <row r="69" spans="1:16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0.26060606060606062</v>
      </c>
      <c r="M69" s="69">
        <v>0.26969696969696971</v>
      </c>
      <c r="N69" s="69">
        <v>0.47674418604651164</v>
      </c>
      <c r="O69" s="69">
        <v>0.3707865168539326</v>
      </c>
      <c r="P69" s="69">
        <v>0.45522388059701491</v>
      </c>
    </row>
    <row r="70" spans="1:16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0.26126126126126126</v>
      </c>
      <c r="M70" s="69">
        <v>0.26726726726726729</v>
      </c>
      <c r="N70" s="69">
        <v>0.48275862068965519</v>
      </c>
      <c r="O70" s="69">
        <v>0.3707865168539326</v>
      </c>
      <c r="P70" s="69">
        <v>0.45185185185185184</v>
      </c>
    </row>
    <row r="71" spans="1:16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0.27034883720930231</v>
      </c>
      <c r="M71" s="69">
        <v>0.26744186046511625</v>
      </c>
      <c r="N71" s="69">
        <v>0.4838709677419355</v>
      </c>
      <c r="O71" s="69">
        <v>0.38043478260869568</v>
      </c>
      <c r="P71" s="69">
        <v>0.45</v>
      </c>
    </row>
    <row r="72" spans="1:16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0.26704545454545453</v>
      </c>
      <c r="M72" s="69">
        <v>0.26988636363636365</v>
      </c>
      <c r="N72" s="69">
        <v>0.47872340425531917</v>
      </c>
      <c r="O72" s="69">
        <v>0.36842105263157893</v>
      </c>
      <c r="P72" s="69">
        <v>0.45390070921985815</v>
      </c>
    </row>
    <row r="73" spans="1:16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0.26721763085399447</v>
      </c>
      <c r="M73" s="69">
        <v>0.27548209366391185</v>
      </c>
      <c r="N73" s="69">
        <v>0.4845360824742268</v>
      </c>
      <c r="O73" s="69">
        <v>0.36</v>
      </c>
      <c r="P73" s="69">
        <v>0.45833333333333331</v>
      </c>
    </row>
    <row r="74" spans="1:16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0.27027027027027029</v>
      </c>
      <c r="M74" s="69">
        <v>0.27567567567567569</v>
      </c>
      <c r="N74" s="69">
        <v>0.49</v>
      </c>
      <c r="O74" s="69">
        <v>0.36274509803921567</v>
      </c>
      <c r="P74" s="69">
        <v>0.46938775510204084</v>
      </c>
    </row>
    <row r="75" spans="1:16" x14ac:dyDescent="0.4">
      <c r="A75" s="71">
        <v>72</v>
      </c>
      <c r="B75" s="68">
        <v>-471.8</v>
      </c>
      <c r="C75" s="68">
        <v>-6.552777777777778</v>
      </c>
      <c r="D75" s="73">
        <v>2.2083333333333335</v>
      </c>
      <c r="E75" s="69">
        <v>0.20833333333333334</v>
      </c>
      <c r="F75" s="69">
        <v>0.26523297491039427</v>
      </c>
      <c r="G75" s="69">
        <v>0.18458781362007168</v>
      </c>
      <c r="H75" s="70">
        <v>9085.135135135135</v>
      </c>
      <c r="I75" s="70">
        <v>-9679.6116504854363</v>
      </c>
      <c r="J75" s="69">
        <v>0.18055555555555555</v>
      </c>
      <c r="K75" s="69">
        <v>0.125</v>
      </c>
      <c r="L75" s="69">
        <v>0.26455026455026454</v>
      </c>
      <c r="M75" s="69">
        <v>0.28306878306878308</v>
      </c>
      <c r="N75" s="69">
        <v>0.49</v>
      </c>
      <c r="O75" s="69">
        <v>0.35514018691588783</v>
      </c>
      <c r="P75" s="69">
        <v>0.47297297297297297</v>
      </c>
    </row>
    <row r="76" spans="1:16" x14ac:dyDescent="0.4">
      <c r="A76" s="71">
        <v>73</v>
      </c>
      <c r="B76" s="68">
        <v>-486.2</v>
      </c>
      <c r="C76" s="68">
        <v>-6.6602739726027398</v>
      </c>
      <c r="D76" s="73">
        <v>2.2191780821917808</v>
      </c>
      <c r="E76" s="69">
        <v>0.20547945205479451</v>
      </c>
      <c r="F76" s="69">
        <v>0.2667844522968198</v>
      </c>
      <c r="G76" s="69">
        <v>0.18551236749116609</v>
      </c>
      <c r="H76" s="70">
        <v>9090.0662251655631</v>
      </c>
      <c r="I76" s="70">
        <v>-9751.4285714285706</v>
      </c>
      <c r="J76" s="69">
        <v>0.17808219178082191</v>
      </c>
      <c r="K76" s="69">
        <v>0.12328767123287671</v>
      </c>
      <c r="L76" s="69">
        <v>0.27202072538860106</v>
      </c>
      <c r="M76" s="69">
        <v>0.27979274611398963</v>
      </c>
      <c r="N76" s="69">
        <v>0.49523809523809526</v>
      </c>
      <c r="O76" s="69">
        <v>0.35185185185185186</v>
      </c>
      <c r="P76" s="69">
        <v>0.47682119205298013</v>
      </c>
    </row>
    <row r="77" spans="1:16" x14ac:dyDescent="0.4">
      <c r="A77" s="71">
        <v>74</v>
      </c>
      <c r="B77" s="68">
        <v>-520.20000000000005</v>
      </c>
      <c r="C77" s="68">
        <v>-7.0297297297297305</v>
      </c>
      <c r="D77" s="73">
        <v>2.2297297297297298</v>
      </c>
      <c r="E77" s="69">
        <v>0.20270270270270271</v>
      </c>
      <c r="F77" s="69">
        <v>0.26398601398601401</v>
      </c>
      <c r="G77" s="69">
        <v>0.18706293706293706</v>
      </c>
      <c r="H77" s="70">
        <v>9090.0662251655631</v>
      </c>
      <c r="I77" s="70">
        <v>-9756.074766355141</v>
      </c>
      <c r="J77" s="69">
        <v>0.17567567567567569</v>
      </c>
      <c r="K77" s="69">
        <v>0.12162162162162163</v>
      </c>
      <c r="L77" s="69">
        <v>0.27295918367346939</v>
      </c>
      <c r="M77" s="69">
        <v>0.27551020408163263</v>
      </c>
      <c r="N77" s="69">
        <v>0.48598130841121495</v>
      </c>
      <c r="O77" s="69">
        <v>0.35185185185185186</v>
      </c>
      <c r="P77" s="69">
        <v>0.47682119205298013</v>
      </c>
    </row>
    <row r="78" spans="1:16" x14ac:dyDescent="0.4">
      <c r="A78" s="71">
        <v>75</v>
      </c>
      <c r="B78" s="68">
        <v>-493.70000000000005</v>
      </c>
      <c r="C78" s="68">
        <v>-6.5826666666666673</v>
      </c>
      <c r="D78" s="73">
        <v>2.2133333333333334</v>
      </c>
      <c r="E78" s="69">
        <v>0.21333333333333335</v>
      </c>
      <c r="F78" s="69">
        <v>0.26816608996539792</v>
      </c>
      <c r="G78" s="69">
        <v>0.18685121107266436</v>
      </c>
      <c r="H78" s="70">
        <v>9070.967741935483</v>
      </c>
      <c r="I78" s="70">
        <v>-9701.8518518518522</v>
      </c>
      <c r="J78" s="69">
        <v>0.17333333333333334</v>
      </c>
      <c r="K78" s="69">
        <v>0.12</v>
      </c>
      <c r="L78" s="69">
        <v>0.271356783919598</v>
      </c>
      <c r="M78" s="69">
        <v>0.27889447236180903</v>
      </c>
      <c r="N78" s="69">
        <v>0.49074074074074076</v>
      </c>
      <c r="O78" s="69">
        <v>0.36036036036036034</v>
      </c>
      <c r="P78" s="69">
        <v>0.47741935483870968</v>
      </c>
    </row>
    <row r="79" spans="1:16" x14ac:dyDescent="0.4">
      <c r="A79" s="71">
        <v>76</v>
      </c>
      <c r="B79" s="68">
        <v>-475.70000000000005</v>
      </c>
      <c r="C79" s="68">
        <v>-6.2592105263157904</v>
      </c>
      <c r="D79" s="73">
        <v>2.1973684210526314</v>
      </c>
      <c r="E79" s="69">
        <v>0.22368421052631579</v>
      </c>
      <c r="F79" s="69">
        <v>0.2713310580204778</v>
      </c>
      <c r="G79" s="69">
        <v>0.18941979522184299</v>
      </c>
      <c r="H79" s="70">
        <v>9125.7861635220124</v>
      </c>
      <c r="I79" s="70">
        <v>-9637.8378378378384</v>
      </c>
      <c r="J79" s="69">
        <v>0.17105263157894737</v>
      </c>
      <c r="K79" s="69">
        <v>0.11842105263157894</v>
      </c>
      <c r="L79" s="69">
        <v>0.27093596059113301</v>
      </c>
      <c r="M79" s="69">
        <v>0.27832512315270935</v>
      </c>
      <c r="N79" s="69">
        <v>0.5</v>
      </c>
      <c r="O79" s="69">
        <v>0.36283185840707965</v>
      </c>
      <c r="P79" s="69">
        <v>0.4779874213836478</v>
      </c>
    </row>
    <row r="80" spans="1:16" x14ac:dyDescent="0.4">
      <c r="A80" s="71">
        <v>77</v>
      </c>
      <c r="B80" s="68">
        <v>-517.20000000000005</v>
      </c>
      <c r="C80" s="68">
        <v>-6.7168831168831176</v>
      </c>
      <c r="D80" s="73">
        <v>2.2077922077922079</v>
      </c>
      <c r="E80" s="69">
        <v>0.22077922077922077</v>
      </c>
      <c r="F80" s="69">
        <v>0.26890756302521007</v>
      </c>
      <c r="G80" s="69">
        <v>0.19327731092436976</v>
      </c>
      <c r="H80" s="70">
        <v>9118.75</v>
      </c>
      <c r="I80" s="70">
        <v>-9637.391304347826</v>
      </c>
      <c r="J80" s="69">
        <v>0.18181818181818182</v>
      </c>
      <c r="K80" s="69">
        <v>0.11688311688311688</v>
      </c>
      <c r="L80" s="69">
        <v>0.26746987951807227</v>
      </c>
      <c r="M80" s="69">
        <v>0.27710843373493976</v>
      </c>
      <c r="N80" s="69">
        <v>0.49549549549549549</v>
      </c>
      <c r="O80" s="69">
        <v>0.35652173913043478</v>
      </c>
      <c r="P80" s="69">
        <v>0.48125000000000001</v>
      </c>
    </row>
    <row r="81" spans="1:16" x14ac:dyDescent="0.4">
      <c r="A81" s="71">
        <v>78</v>
      </c>
      <c r="B81" s="68">
        <v>-519</v>
      </c>
      <c r="C81" s="68">
        <v>-6.6538461538461542</v>
      </c>
      <c r="D81" s="73">
        <v>2.2051282051282053</v>
      </c>
      <c r="E81" s="69">
        <v>0.21794871794871795</v>
      </c>
      <c r="F81" s="69">
        <v>0.27121464226289516</v>
      </c>
      <c r="G81" s="69">
        <v>0.1913477537437604</v>
      </c>
      <c r="H81" s="70">
        <v>9028.8343558282213</v>
      </c>
      <c r="I81" s="70">
        <v>-9637.391304347826</v>
      </c>
      <c r="J81" s="69">
        <v>0.17948717948717949</v>
      </c>
      <c r="K81" s="69">
        <v>0.11538461538461539</v>
      </c>
      <c r="L81" s="69">
        <v>0.26840855106888362</v>
      </c>
      <c r="M81" s="69">
        <v>0.27553444180522563</v>
      </c>
      <c r="N81" s="69">
        <v>0.49557522123893805</v>
      </c>
      <c r="O81" s="69">
        <v>0.35344827586206895</v>
      </c>
      <c r="P81" s="69">
        <v>0.4785276073619632</v>
      </c>
    </row>
    <row r="82" spans="1:16" x14ac:dyDescent="0.4">
      <c r="A82" s="71">
        <v>79</v>
      </c>
      <c r="B82" s="68">
        <v>-481</v>
      </c>
      <c r="C82" s="68">
        <v>-6.0886075949367084</v>
      </c>
      <c r="D82" s="73">
        <v>2.1898734177215191</v>
      </c>
      <c r="E82" s="69">
        <v>0.22784810126582278</v>
      </c>
      <c r="F82" s="69">
        <v>0.27317880794701987</v>
      </c>
      <c r="G82" s="69">
        <v>0.19039735099337748</v>
      </c>
      <c r="H82" s="70">
        <v>9137.575757575758</v>
      </c>
      <c r="I82" s="70">
        <v>-9637.391304347826</v>
      </c>
      <c r="J82" s="69">
        <v>0.17721518987341772</v>
      </c>
      <c r="K82" s="69">
        <v>0.12658227848101267</v>
      </c>
      <c r="L82" s="69">
        <v>0.26650943396226418</v>
      </c>
      <c r="M82" s="69">
        <v>0.27594339622641512</v>
      </c>
      <c r="N82" s="69">
        <v>0.49557522123893805</v>
      </c>
      <c r="O82" s="69">
        <v>0.35897435897435898</v>
      </c>
      <c r="P82" s="69">
        <v>0.47878787878787876</v>
      </c>
    </row>
    <row r="83" spans="1:16" x14ac:dyDescent="0.4">
      <c r="A83" s="71">
        <v>80</v>
      </c>
      <c r="B83" s="68">
        <v>-434.2</v>
      </c>
      <c r="C83" s="68">
        <v>-5.4275000000000002</v>
      </c>
      <c r="D83" s="73">
        <v>2.1749999999999998</v>
      </c>
      <c r="E83" s="69">
        <v>0.23749999999999999</v>
      </c>
      <c r="F83" s="69">
        <v>0.2780487804878049</v>
      </c>
      <c r="G83" s="69">
        <v>0.1886178861788618</v>
      </c>
      <c r="H83" s="70">
        <v>9183.625730994152</v>
      </c>
      <c r="I83" s="70">
        <v>-9587.9310344827591</v>
      </c>
      <c r="J83" s="69">
        <v>0.17499999999999999</v>
      </c>
      <c r="K83" s="69">
        <v>0.125</v>
      </c>
      <c r="L83" s="69">
        <v>0.26666666666666666</v>
      </c>
      <c r="M83" s="69">
        <v>0.27816091954022987</v>
      </c>
      <c r="N83" s="69">
        <v>0.5</v>
      </c>
      <c r="O83" s="69">
        <v>0.37190082644628097</v>
      </c>
      <c r="P83" s="69">
        <v>0.47368421052631576</v>
      </c>
    </row>
    <row r="84" spans="1:16" x14ac:dyDescent="0.4">
      <c r="A84" s="71">
        <v>81</v>
      </c>
      <c r="B84" s="68">
        <v>-479.2</v>
      </c>
      <c r="C84" s="68">
        <v>-5.9160493827160492</v>
      </c>
      <c r="D84" s="73">
        <v>2.1851851851851851</v>
      </c>
      <c r="E84" s="69">
        <v>0.23456790123456789</v>
      </c>
      <c r="F84" s="69">
        <v>0.27741935483870966</v>
      </c>
      <c r="G84" s="69">
        <v>0.18870967741935485</v>
      </c>
      <c r="H84" s="70">
        <v>9176.7441860465115</v>
      </c>
      <c r="I84" s="70">
        <v>-9642.735042735043</v>
      </c>
      <c r="J84" s="69">
        <v>0.18518518518518517</v>
      </c>
      <c r="K84" s="69">
        <v>0.12345679012345678</v>
      </c>
      <c r="L84" s="69">
        <v>0.26818181818181819</v>
      </c>
      <c r="M84" s="69">
        <v>0.27727272727272728</v>
      </c>
      <c r="N84" s="69">
        <v>0.5</v>
      </c>
      <c r="O84" s="69">
        <v>0.36885245901639346</v>
      </c>
      <c r="P84" s="69">
        <v>0.47674418604651164</v>
      </c>
    </row>
    <row r="85" spans="1:16" x14ac:dyDescent="0.4">
      <c r="A85" s="71">
        <v>82</v>
      </c>
      <c r="B85" s="68">
        <v>-517.70000000000005</v>
      </c>
      <c r="C85" s="68">
        <v>-6.3134146341463424</v>
      </c>
      <c r="D85" s="73">
        <v>2.1951219512195124</v>
      </c>
      <c r="E85" s="69">
        <v>0.23170731707317074</v>
      </c>
      <c r="F85" s="69">
        <v>0.27531645569620256</v>
      </c>
      <c r="G85" s="69">
        <v>0.189873417721519</v>
      </c>
      <c r="H85" s="70">
        <v>9163.2183908045972</v>
      </c>
      <c r="I85" s="70">
        <v>-9668.3333333333339</v>
      </c>
      <c r="J85" s="69">
        <v>0.1951219512195122</v>
      </c>
      <c r="K85" s="69">
        <v>0.12195121951219512</v>
      </c>
      <c r="L85" s="69">
        <v>0.27433628318584069</v>
      </c>
      <c r="M85" s="69">
        <v>0.27654867256637167</v>
      </c>
      <c r="N85" s="69">
        <v>0.49193548387096775</v>
      </c>
      <c r="O85" s="69">
        <v>0.36</v>
      </c>
      <c r="P85" s="69">
        <v>0.47701149425287354</v>
      </c>
    </row>
    <row r="86" spans="1:16" x14ac:dyDescent="0.4">
      <c r="A86" s="71">
        <v>83</v>
      </c>
      <c r="B86" s="68">
        <v>-521.5</v>
      </c>
      <c r="C86" s="68">
        <v>-6.2831325301204819</v>
      </c>
      <c r="D86" s="73">
        <v>2.1927710843373496</v>
      </c>
      <c r="E86" s="69">
        <v>0.2289156626506024</v>
      </c>
      <c r="F86" s="69">
        <v>0.27925117004680189</v>
      </c>
      <c r="G86" s="69">
        <v>0.19032761310452417</v>
      </c>
      <c r="H86" s="70">
        <v>9018.4357541899444</v>
      </c>
      <c r="I86" s="70">
        <v>-9640.1639344262294</v>
      </c>
      <c r="J86" s="69">
        <v>0.19277108433734941</v>
      </c>
      <c r="K86" s="69">
        <v>0.12048192771084337</v>
      </c>
      <c r="L86" s="69">
        <v>0.27331887201735355</v>
      </c>
      <c r="M86" s="69">
        <v>0.28199566160520606</v>
      </c>
      <c r="N86" s="69">
        <v>0.49206349206349204</v>
      </c>
      <c r="O86" s="69">
        <v>0.37692307692307692</v>
      </c>
      <c r="P86" s="69">
        <v>0.47486033519553073</v>
      </c>
    </row>
    <row r="87" spans="1:16" x14ac:dyDescent="0.4">
      <c r="A87" s="71">
        <v>84</v>
      </c>
      <c r="B87" s="68">
        <v>-540.4</v>
      </c>
      <c r="C87" s="68">
        <v>-6.4333333333333327</v>
      </c>
      <c r="D87" s="73">
        <v>2.2023809523809526</v>
      </c>
      <c r="E87" s="69">
        <v>0.22619047619047619</v>
      </c>
      <c r="F87" s="69">
        <v>0.27889060092449924</v>
      </c>
      <c r="G87" s="69">
        <v>0.19106317411402157</v>
      </c>
      <c r="H87" s="70">
        <v>8984.5303867403309</v>
      </c>
      <c r="I87" s="70">
        <v>-9645.967741935483</v>
      </c>
      <c r="J87" s="69">
        <v>0.19047619047619047</v>
      </c>
      <c r="K87" s="69">
        <v>0.11904761904761904</v>
      </c>
      <c r="L87" s="69">
        <v>0.27505330490405117</v>
      </c>
      <c r="M87" s="69">
        <v>0.28144989339019189</v>
      </c>
      <c r="N87" s="69">
        <v>0.48837209302325579</v>
      </c>
      <c r="O87" s="69">
        <v>0.37878787878787878</v>
      </c>
      <c r="P87" s="69">
        <v>0.47513812154696133</v>
      </c>
    </row>
    <row r="88" spans="1:16" x14ac:dyDescent="0.4">
      <c r="A88" s="71">
        <v>85</v>
      </c>
      <c r="B88" s="68">
        <v>-559</v>
      </c>
      <c r="C88" s="68">
        <v>-6.5764705882352938</v>
      </c>
      <c r="D88" s="73">
        <v>2.2117647058823531</v>
      </c>
      <c r="E88" s="69">
        <v>0.22352941176470589</v>
      </c>
      <c r="F88" s="69">
        <v>0.27878787878787881</v>
      </c>
      <c r="G88" s="69">
        <v>0.19090909090909092</v>
      </c>
      <c r="H88" s="70">
        <v>8946.1956521739139</v>
      </c>
      <c r="I88" s="70">
        <v>-9651.5873015873021</v>
      </c>
      <c r="J88" s="69">
        <v>0.18823529411764706</v>
      </c>
      <c r="K88" s="69">
        <v>0.11764705882352941</v>
      </c>
      <c r="L88" s="69">
        <v>0.27291666666666664</v>
      </c>
      <c r="M88" s="69">
        <v>0.28333333333333333</v>
      </c>
      <c r="N88" s="69">
        <v>0.48854961832061067</v>
      </c>
      <c r="O88" s="69">
        <v>0.36764705882352944</v>
      </c>
      <c r="P88" s="69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7CD5-0752-4F13-B1D0-EB469B420378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P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0.33333333333333331</v>
      </c>
      <c r="N5" s="69">
        <v>0</v>
      </c>
      <c r="O5" s="69">
        <v>1</v>
      </c>
      <c r="P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0.25</v>
      </c>
      <c r="M6" s="69">
        <v>0.25</v>
      </c>
      <c r="N6" s="69">
        <v>0.75</v>
      </c>
      <c r="O6" s="69">
        <v>0.25</v>
      </c>
      <c r="P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0.23076923076923078</v>
      </c>
      <c r="M7" s="69">
        <v>0.19230769230769232</v>
      </c>
      <c r="N7" s="69">
        <v>0.83333333333333337</v>
      </c>
      <c r="O7" s="69">
        <v>0.2</v>
      </c>
      <c r="P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0.25806451612903225</v>
      </c>
      <c r="M8" s="69">
        <v>0.16129032258064516</v>
      </c>
      <c r="N8" s="69">
        <v>0.75</v>
      </c>
      <c r="O8" s="69">
        <v>0.2</v>
      </c>
      <c r="P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C79AB-4BD3-4CC5-9980-2C7D69EB50D0}">
  <sheetPr codeName="Sheet16"/>
  <dimension ref="A1:Q6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P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P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P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P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P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P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P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P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P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P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P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P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P16" s="69">
        <v>0.26666666666666666</v>
      </c>
    </row>
    <row r="17" spans="1:16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P17" s="69">
        <v>0.27272727272727271</v>
      </c>
    </row>
    <row r="18" spans="1:16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P18" s="69">
        <v>0.34210526315789475</v>
      </c>
    </row>
    <row r="19" spans="1:16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P19" s="69">
        <v>0.36585365853658536</v>
      </c>
    </row>
    <row r="20" spans="1:16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P20" s="69">
        <v>0.38095238095238093</v>
      </c>
    </row>
    <row r="21" spans="1:16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P21" s="69">
        <v>0.37209302325581395</v>
      </c>
    </row>
    <row r="22" spans="1:16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P22" s="69">
        <v>0.38636363636363635</v>
      </c>
    </row>
    <row r="23" spans="1:16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P23" s="69">
        <v>0.38</v>
      </c>
    </row>
    <row r="24" spans="1:16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P24" s="69">
        <v>0.41818181818181815</v>
      </c>
    </row>
    <row r="25" spans="1:16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P25" s="69">
        <v>0.43859649122807015</v>
      </c>
    </row>
    <row r="26" spans="1:16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P26" s="69">
        <v>0.42622950819672129</v>
      </c>
    </row>
    <row r="27" spans="1:16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P27" s="69">
        <v>0.41935483870967744</v>
      </c>
    </row>
    <row r="28" spans="1:16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P28" s="69">
        <v>0.4375</v>
      </c>
    </row>
    <row r="29" spans="1:16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P29" s="69">
        <v>0.44927536231884058</v>
      </c>
    </row>
    <row r="30" spans="1:16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P30" s="69">
        <v>0.45070422535211269</v>
      </c>
    </row>
    <row r="31" spans="1:16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P31" s="69">
        <v>0.43835616438356162</v>
      </c>
    </row>
    <row r="32" spans="1:16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P32" s="69">
        <v>0.41558441558441561</v>
      </c>
    </row>
    <row r="33" spans="1:16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P33" s="69">
        <v>0.41558441558441561</v>
      </c>
    </row>
    <row r="34" spans="1:16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P34" s="69">
        <v>0.42307692307692307</v>
      </c>
    </row>
    <row r="35" spans="1:16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P35" s="69">
        <v>0.41975308641975306</v>
      </c>
    </row>
    <row r="36" spans="1:16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P36" s="69">
        <v>0.43529411764705883</v>
      </c>
    </row>
    <row r="37" spans="1:16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P37" s="69">
        <v>0.43678160919540232</v>
      </c>
    </row>
    <row r="38" spans="1:16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0.14285714285714285</v>
      </c>
      <c r="M38" s="69">
        <v>0.42857142857142855</v>
      </c>
      <c r="N38" s="69">
        <v>0</v>
      </c>
      <c r="O38" s="69">
        <v>0</v>
      </c>
      <c r="P38" s="69">
        <v>0.43678160919540232</v>
      </c>
    </row>
    <row r="39" spans="1:16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0.30769230769230771</v>
      </c>
      <c r="M39" s="69">
        <v>0.38461538461538464</v>
      </c>
      <c r="N39" s="69">
        <v>0.5</v>
      </c>
      <c r="O39" s="69">
        <v>0.2</v>
      </c>
      <c r="P39" s="69">
        <v>0.43956043956043955</v>
      </c>
    </row>
    <row r="40" spans="1:16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0.23809523809523808</v>
      </c>
      <c r="M40" s="69">
        <v>0.38095238095238093</v>
      </c>
      <c r="N40" s="69">
        <v>0.4</v>
      </c>
      <c r="O40" s="69">
        <v>0.375</v>
      </c>
      <c r="P40" s="69">
        <v>0.45263157894736844</v>
      </c>
    </row>
    <row r="41" spans="1:16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0.20689655172413793</v>
      </c>
      <c r="M41" s="69">
        <v>0.37931034482758619</v>
      </c>
      <c r="N41" s="69">
        <v>0.33333333333333331</v>
      </c>
      <c r="O41" s="69">
        <v>0.36363636363636365</v>
      </c>
      <c r="P41" s="69">
        <v>0.45833333333333331</v>
      </c>
    </row>
    <row r="42" spans="1:16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0.21212121212121213</v>
      </c>
      <c r="M42" s="69">
        <v>0.33333333333333331</v>
      </c>
      <c r="N42" s="69">
        <v>0.42857142857142855</v>
      </c>
      <c r="O42" s="69">
        <v>0.36363636363636365</v>
      </c>
      <c r="P42" s="69">
        <v>0.45360824742268041</v>
      </c>
    </row>
    <row r="43" spans="1:16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0.17391304347826086</v>
      </c>
      <c r="M43" s="69">
        <v>0.34782608695652173</v>
      </c>
      <c r="N43" s="69">
        <v>0.5</v>
      </c>
      <c r="O43" s="69">
        <v>0.375</v>
      </c>
      <c r="P43" s="69">
        <v>0.47</v>
      </c>
    </row>
    <row r="44" spans="1:16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0.16326530612244897</v>
      </c>
      <c r="M44" s="69">
        <v>0.34693877551020408</v>
      </c>
      <c r="N44" s="69">
        <v>0.5</v>
      </c>
      <c r="O44" s="69">
        <v>0.35294117647058826</v>
      </c>
      <c r="P44" s="69">
        <v>0.47</v>
      </c>
    </row>
    <row r="45" spans="1:16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0.20967741935483872</v>
      </c>
      <c r="M45" s="69">
        <v>0.32258064516129031</v>
      </c>
      <c r="N45" s="69">
        <v>0.53846153846153844</v>
      </c>
      <c r="O45" s="69">
        <v>0.35</v>
      </c>
      <c r="P45" s="69">
        <v>0.47619047619047616</v>
      </c>
    </row>
    <row r="46" spans="1:16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0.21212121212121213</v>
      </c>
      <c r="M46" s="69">
        <v>0.34848484848484851</v>
      </c>
      <c r="N46" s="69">
        <v>0.5714285714285714</v>
      </c>
      <c r="O46" s="69">
        <v>0.39130434782608697</v>
      </c>
      <c r="P46" s="69">
        <v>0.46296296296296297</v>
      </c>
    </row>
    <row r="47" spans="1:16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0.20547945205479451</v>
      </c>
      <c r="M47" s="69">
        <v>0.35616438356164382</v>
      </c>
      <c r="N47" s="69">
        <v>0.53333333333333333</v>
      </c>
      <c r="O47" s="69">
        <v>0.38461538461538464</v>
      </c>
      <c r="P47" s="69">
        <v>0.45454545454545453</v>
      </c>
    </row>
    <row r="48" spans="1:16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0.20253164556962025</v>
      </c>
      <c r="M48" s="69">
        <v>0.35443037974683544</v>
      </c>
      <c r="N48" s="69">
        <v>0.5625</v>
      </c>
      <c r="O48" s="69">
        <v>0.35714285714285715</v>
      </c>
      <c r="P48" s="69">
        <v>0.45045045045045046</v>
      </c>
    </row>
    <row r="49" spans="1:16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0.18390804597701149</v>
      </c>
      <c r="M49" s="69">
        <v>0.34482758620689657</v>
      </c>
      <c r="N49" s="69">
        <v>0.5625</v>
      </c>
      <c r="O49" s="69">
        <v>0.33333333333333331</v>
      </c>
      <c r="P49" s="69">
        <v>0.45045045045045046</v>
      </c>
    </row>
    <row r="50" spans="1:16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0.17894736842105263</v>
      </c>
      <c r="M50" s="69">
        <v>0.33684210526315789</v>
      </c>
      <c r="N50" s="69">
        <v>0.58823529411764708</v>
      </c>
      <c r="O50" s="69">
        <v>0.375</v>
      </c>
      <c r="P50" s="69">
        <v>0.43859649122807015</v>
      </c>
    </row>
    <row r="51" spans="1:16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0.20952380952380953</v>
      </c>
      <c r="M51" s="69">
        <v>0.32380952380952382</v>
      </c>
      <c r="N51" s="69">
        <v>0.68181818181818177</v>
      </c>
      <c r="O51" s="69">
        <v>0.38235294117647056</v>
      </c>
      <c r="P51" s="69">
        <v>0.42148760330578511</v>
      </c>
    </row>
    <row r="52" spans="1:16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0.22321428571428573</v>
      </c>
      <c r="M52" s="69">
        <v>0.33035714285714285</v>
      </c>
      <c r="N52" s="69">
        <v>0.68</v>
      </c>
      <c r="O52" s="69">
        <v>0.35135135135135137</v>
      </c>
      <c r="P52" s="69">
        <v>0.43089430894308944</v>
      </c>
    </row>
    <row r="53" spans="1:16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0.22123893805309736</v>
      </c>
      <c r="M53" s="69">
        <v>0.32743362831858408</v>
      </c>
      <c r="N53" s="69">
        <v>0.68</v>
      </c>
      <c r="O53" s="69">
        <v>0.35135135135135137</v>
      </c>
      <c r="P53" s="69">
        <v>0.43089430894308944</v>
      </c>
    </row>
    <row r="54" spans="1:16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0.22131147540983606</v>
      </c>
      <c r="M54" s="69">
        <v>0.31147540983606559</v>
      </c>
      <c r="N54" s="69">
        <v>0.66666666666666663</v>
      </c>
      <c r="O54" s="69">
        <v>0.36842105263157893</v>
      </c>
      <c r="P54" s="69">
        <v>0.4573643410852713</v>
      </c>
    </row>
    <row r="55" spans="1:16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0.22900763358778625</v>
      </c>
      <c r="M55" s="69">
        <v>0.29770992366412213</v>
      </c>
      <c r="N55" s="69">
        <v>0.66666666666666663</v>
      </c>
      <c r="O55" s="69">
        <v>0.38461538461538464</v>
      </c>
      <c r="P55" s="69">
        <v>0.46616541353383456</v>
      </c>
    </row>
    <row r="56" spans="1:16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0.22058823529411764</v>
      </c>
      <c r="M56" s="69">
        <v>0.3014705882352941</v>
      </c>
      <c r="N56" s="69">
        <v>0.66666666666666663</v>
      </c>
      <c r="O56" s="69">
        <v>0.36585365853658536</v>
      </c>
      <c r="P56" s="69">
        <v>0.46616541353383456</v>
      </c>
    </row>
    <row r="57" spans="1:16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0.22448979591836735</v>
      </c>
      <c r="M57" s="69">
        <v>0.32653061224489793</v>
      </c>
      <c r="N57" s="69">
        <v>0.66666666666666663</v>
      </c>
      <c r="O57" s="69">
        <v>0.35416666666666669</v>
      </c>
      <c r="P57" s="69">
        <v>0.45985401459854014</v>
      </c>
    </row>
    <row r="58" spans="1:16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0.23376623376623376</v>
      </c>
      <c r="M58" s="69">
        <v>0.32467532467532467</v>
      </c>
      <c r="N58" s="69">
        <v>0.63888888888888884</v>
      </c>
      <c r="O58" s="69">
        <v>0.38</v>
      </c>
      <c r="P58" s="69">
        <v>0.46099290780141844</v>
      </c>
    </row>
    <row r="59" spans="1:16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0.23170731707317074</v>
      </c>
      <c r="M59" s="69">
        <v>0.31707317073170732</v>
      </c>
      <c r="N59" s="69">
        <v>0.63157894736842102</v>
      </c>
      <c r="O59" s="69">
        <v>0.38461538461538464</v>
      </c>
      <c r="P59" s="69">
        <v>0.46853146853146854</v>
      </c>
    </row>
    <row r="60" spans="1:16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0.22674418604651161</v>
      </c>
      <c r="M60" s="69">
        <v>0.31976744186046513</v>
      </c>
      <c r="N60" s="69">
        <v>0.61538461538461542</v>
      </c>
      <c r="O60" s="69">
        <v>0.38181818181818183</v>
      </c>
      <c r="P60" s="69">
        <v>0.46527777777777779</v>
      </c>
    </row>
    <row r="61" spans="1:16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0.22651933701657459</v>
      </c>
      <c r="M61" s="69">
        <v>0.32596685082872928</v>
      </c>
      <c r="N61" s="69">
        <v>0.63414634146341464</v>
      </c>
      <c r="O61" s="69">
        <v>0.38983050847457629</v>
      </c>
      <c r="P61" s="69">
        <v>0.45945945945945948</v>
      </c>
    </row>
    <row r="62" spans="1:16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0.22872340425531915</v>
      </c>
      <c r="M62" s="69">
        <v>0.31914893617021278</v>
      </c>
      <c r="N62" s="69">
        <v>0.62790697674418605</v>
      </c>
      <c r="O62" s="69">
        <v>0.38333333333333336</v>
      </c>
      <c r="P62" s="69">
        <v>0.4563758389261745</v>
      </c>
    </row>
    <row r="63" spans="1:16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0.23076923076923078</v>
      </c>
      <c r="M63" s="69">
        <v>0.31794871794871793</v>
      </c>
      <c r="N63" s="69">
        <v>0.62222222222222223</v>
      </c>
      <c r="O63" s="69">
        <v>0.38709677419354838</v>
      </c>
      <c r="P63" s="69">
        <v>0.45033112582781459</v>
      </c>
    </row>
    <row r="64" spans="1:16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0.23645320197044334</v>
      </c>
      <c r="M64" s="69">
        <v>0.31527093596059114</v>
      </c>
      <c r="N64" s="69">
        <v>0.58333333333333337</v>
      </c>
      <c r="O64" s="69">
        <v>0.40625</v>
      </c>
      <c r="P64" s="69">
        <v>0.44444444444444442</v>
      </c>
    </row>
    <row r="65" spans="1:16" x14ac:dyDescent="0.4">
      <c r="A65" s="71">
        <v>62</v>
      </c>
      <c r="B65" s="68">
        <v>249.20000000000005</v>
      </c>
      <c r="C65" s="68">
        <v>4.0193548387096785</v>
      </c>
      <c r="D65" s="73">
        <v>1.9193548387096775</v>
      </c>
      <c r="E65" s="69">
        <v>0.33870967741935482</v>
      </c>
      <c r="F65" s="69">
        <v>0.3452914798206278</v>
      </c>
      <c r="G65" s="69">
        <v>0.15695067264573992</v>
      </c>
      <c r="H65" s="70">
        <v>9740.9090909090901</v>
      </c>
      <c r="I65" s="70">
        <v>-9035.7142857142862</v>
      </c>
      <c r="J65" s="69">
        <v>0.11290322580645161</v>
      </c>
      <c r="K65" s="69">
        <v>0.17741935483870969</v>
      </c>
      <c r="L65" s="69">
        <v>0.23076923076923078</v>
      </c>
      <c r="M65" s="69">
        <v>0.3125</v>
      </c>
      <c r="N65" s="69">
        <v>0.58333333333333337</v>
      </c>
      <c r="O65" s="69">
        <v>0.4</v>
      </c>
      <c r="P65" s="69">
        <v>0.44155844155844154</v>
      </c>
    </row>
    <row r="66" spans="1:16" x14ac:dyDescent="0.4">
      <c r="A66" s="71">
        <v>63</v>
      </c>
      <c r="B66" s="68">
        <v>243.20000000000005</v>
      </c>
      <c r="C66" s="68">
        <v>3.8603174603174613</v>
      </c>
      <c r="D66" s="73">
        <v>1.9365079365079365</v>
      </c>
      <c r="E66" s="69">
        <v>0.33333333333333331</v>
      </c>
      <c r="F66" s="69">
        <v>0.34505494505494505</v>
      </c>
      <c r="G66" s="69">
        <v>0.15604395604395604</v>
      </c>
      <c r="H66" s="70">
        <v>9724.2038216560504</v>
      </c>
      <c r="I66" s="70">
        <v>-9021.1267605633802</v>
      </c>
      <c r="J66" s="69">
        <v>0.1111111111111111</v>
      </c>
      <c r="K66" s="69">
        <v>0.17460317460317459</v>
      </c>
      <c r="L66" s="69">
        <v>0.22580645161290322</v>
      </c>
      <c r="M66" s="69">
        <v>0.30875576036866359</v>
      </c>
      <c r="N66" s="69">
        <v>0.5714285714285714</v>
      </c>
      <c r="O66" s="69">
        <v>0.41791044776119401</v>
      </c>
      <c r="P66" s="69">
        <v>0.43312101910828027</v>
      </c>
    </row>
    <row r="67" spans="1:16" x14ac:dyDescent="0.4">
      <c r="A67" s="71">
        <v>64</v>
      </c>
      <c r="B67" s="68">
        <v>261.90000000000003</v>
      </c>
      <c r="C67" s="68">
        <v>4.0921875000000005</v>
      </c>
      <c r="D67" s="73">
        <v>1.921875</v>
      </c>
      <c r="E67" s="69">
        <v>0.34375</v>
      </c>
      <c r="F67" s="69">
        <v>0.34482758620689657</v>
      </c>
      <c r="G67" s="69">
        <v>0.15732758620689655</v>
      </c>
      <c r="H67" s="70">
        <v>9716.25</v>
      </c>
      <c r="I67" s="70">
        <v>-8854.7945205479446</v>
      </c>
      <c r="J67" s="69">
        <v>0.109375</v>
      </c>
      <c r="K67" s="69">
        <v>0.171875</v>
      </c>
      <c r="L67" s="69">
        <v>0.22566371681415928</v>
      </c>
      <c r="M67" s="69">
        <v>0.30530973451327431</v>
      </c>
      <c r="N67" s="69">
        <v>0.58823529411764708</v>
      </c>
      <c r="O67" s="69">
        <v>0.42028985507246375</v>
      </c>
      <c r="P67" s="69">
        <v>0.43125000000000002</v>
      </c>
    </row>
    <row r="68" spans="1:16" x14ac:dyDescent="0.4">
      <c r="A68" s="71">
        <v>65</v>
      </c>
      <c r="B68" s="68">
        <v>267.8</v>
      </c>
      <c r="C68" s="68">
        <v>4.12</v>
      </c>
      <c r="D68" s="73">
        <v>1.9230769230769231</v>
      </c>
      <c r="E68" s="69">
        <v>0.33846153846153848</v>
      </c>
      <c r="F68" s="69">
        <v>0.34388185654008441</v>
      </c>
      <c r="G68" s="69">
        <v>0.15400843881856541</v>
      </c>
      <c r="H68" s="70">
        <v>9707.3619631901838</v>
      </c>
      <c r="I68" s="70">
        <v>-8854.7945205479446</v>
      </c>
      <c r="J68" s="69">
        <v>0.1076923076923077</v>
      </c>
      <c r="K68" s="69">
        <v>0.16923076923076924</v>
      </c>
      <c r="L68" s="69">
        <v>0.23305084745762711</v>
      </c>
      <c r="M68" s="69">
        <v>0.29661016949152541</v>
      </c>
      <c r="N68" s="69">
        <v>0.58181818181818179</v>
      </c>
      <c r="O68" s="69">
        <v>0.42857142857142855</v>
      </c>
      <c r="P68" s="69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94776-64B1-4827-AAEB-0F3452C1BAF2}">
  <sheetPr codeName="Sheet14"/>
  <dimension ref="A1:Q14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P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P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P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P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P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P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P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P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P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P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P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P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P16" s="69">
        <v>0.25</v>
      </c>
    </row>
    <row r="17" spans="1:16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P17" s="69">
        <v>0.30434782608695654</v>
      </c>
    </row>
    <row r="18" spans="1:16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P18" s="69">
        <v>0.32</v>
      </c>
    </row>
    <row r="19" spans="1:16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P19" s="69">
        <v>0.34615384615384615</v>
      </c>
    </row>
    <row r="20" spans="1:16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P20" s="69">
        <v>0.37931034482758619</v>
      </c>
    </row>
    <row r="21" spans="1:16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P21" s="69">
        <v>0.37931034482758619</v>
      </c>
    </row>
    <row r="22" spans="1:16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P22" s="69">
        <v>0.375</v>
      </c>
    </row>
    <row r="23" spans="1:16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P23" s="69">
        <v>0.39393939393939392</v>
      </c>
    </row>
    <row r="24" spans="1:16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P24" s="69">
        <v>0.39393939393939392</v>
      </c>
    </row>
    <row r="25" spans="1:16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P25" s="69">
        <v>0.37142857142857144</v>
      </c>
    </row>
    <row r="26" spans="1:16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P26" s="69">
        <v>0.3783783783783784</v>
      </c>
    </row>
    <row r="27" spans="1:16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P27" s="69">
        <v>0.4</v>
      </c>
    </row>
    <row r="28" spans="1:16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P28" s="69">
        <v>0.38095238095238093</v>
      </c>
    </row>
    <row r="29" spans="1:16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P29" s="69">
        <v>0.37209302325581395</v>
      </c>
    </row>
    <row r="30" spans="1:16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P30" s="69">
        <v>0.38636363636363635</v>
      </c>
    </row>
    <row r="31" spans="1:16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P31" s="69">
        <v>0.4</v>
      </c>
    </row>
    <row r="32" spans="1:16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P32" s="69">
        <v>0.39583333333333331</v>
      </c>
    </row>
    <row r="33" spans="1:16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P33" s="69">
        <v>0.39583333333333331</v>
      </c>
    </row>
    <row r="34" spans="1:16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P34" s="69">
        <v>0.39583333333333331</v>
      </c>
    </row>
    <row r="35" spans="1:16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P35" s="69">
        <v>0.37735849056603776</v>
      </c>
    </row>
    <row r="36" spans="1:16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P36" s="69">
        <v>0.35087719298245612</v>
      </c>
    </row>
    <row r="37" spans="1:16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P37" s="69">
        <v>0.3559322033898305</v>
      </c>
    </row>
    <row r="38" spans="1:16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P38" s="69">
        <v>0.37704918032786883</v>
      </c>
    </row>
    <row r="39" spans="1:16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P39" s="69">
        <v>0.37704918032786883</v>
      </c>
    </row>
    <row r="40" spans="1:16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0.33333333333333331</v>
      </c>
      <c r="M40" s="69">
        <v>0.33333333333333331</v>
      </c>
      <c r="N40" s="69">
        <v>0</v>
      </c>
      <c r="O40" s="69">
        <v>0</v>
      </c>
      <c r="P40" s="69">
        <v>0.37704918032786883</v>
      </c>
    </row>
    <row r="41" spans="1:16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0.45454545454545453</v>
      </c>
      <c r="M41" s="69">
        <v>0.18181818181818182</v>
      </c>
      <c r="N41" s="69">
        <v>0.4</v>
      </c>
      <c r="O41" s="69">
        <v>0</v>
      </c>
      <c r="P41" s="69">
        <v>0.3968253968253968</v>
      </c>
    </row>
    <row r="42" spans="1:16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0.42105263157894735</v>
      </c>
      <c r="M42" s="69">
        <v>0.15789473684210525</v>
      </c>
      <c r="N42" s="69">
        <v>0.375</v>
      </c>
      <c r="O42" s="69">
        <v>0.33333333333333331</v>
      </c>
      <c r="P42" s="69">
        <v>0.4</v>
      </c>
    </row>
    <row r="43" spans="1:16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0.32</v>
      </c>
      <c r="M43" s="69">
        <v>0.16</v>
      </c>
      <c r="N43" s="69">
        <v>0.375</v>
      </c>
      <c r="O43" s="69">
        <v>0.25</v>
      </c>
      <c r="P43" s="69">
        <v>0.4</v>
      </c>
    </row>
    <row r="44" spans="1:16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0.27586206896551724</v>
      </c>
      <c r="M44" s="69">
        <v>0.13793103448275862</v>
      </c>
      <c r="N44" s="69">
        <v>0.375</v>
      </c>
      <c r="O44" s="69">
        <v>0.25</v>
      </c>
      <c r="P44" s="69">
        <v>0.4</v>
      </c>
    </row>
    <row r="45" spans="1:16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0.31428571428571428</v>
      </c>
      <c r="M45" s="69">
        <v>0.11428571428571428</v>
      </c>
      <c r="N45" s="69">
        <v>0.45454545454545453</v>
      </c>
      <c r="O45" s="69">
        <v>0.25</v>
      </c>
      <c r="P45" s="69">
        <v>0.41791044776119401</v>
      </c>
    </row>
    <row r="46" spans="1:16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0.31707317073170732</v>
      </c>
      <c r="M46" s="69">
        <v>0.14634146341463414</v>
      </c>
      <c r="N46" s="69">
        <v>0.53846153846153844</v>
      </c>
      <c r="O46" s="69">
        <v>0.16666666666666666</v>
      </c>
      <c r="P46" s="69">
        <v>0.44285714285714284</v>
      </c>
    </row>
    <row r="47" spans="1:16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0.28301886792452829</v>
      </c>
      <c r="M47" s="69">
        <v>0.16981132075471697</v>
      </c>
      <c r="N47" s="69">
        <v>0.6</v>
      </c>
      <c r="O47" s="69">
        <v>0.33333333333333331</v>
      </c>
      <c r="P47" s="69">
        <v>0.44736842105263158</v>
      </c>
    </row>
    <row r="48" spans="1:16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0.3</v>
      </c>
      <c r="M48" s="69">
        <v>0.16666666666666666</v>
      </c>
      <c r="N48" s="69">
        <v>0.55555555555555558</v>
      </c>
      <c r="O48" s="69">
        <v>0.3</v>
      </c>
      <c r="P48" s="69">
        <v>0.45454545454545453</v>
      </c>
    </row>
    <row r="49" spans="1:16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0.30769230769230771</v>
      </c>
      <c r="M49" s="69">
        <v>0.18461538461538463</v>
      </c>
      <c r="N49" s="69">
        <v>0.6</v>
      </c>
      <c r="O49" s="69">
        <v>0.25</v>
      </c>
      <c r="P49" s="69">
        <v>0.45569620253164556</v>
      </c>
    </row>
    <row r="50" spans="1:16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0.30379746835443039</v>
      </c>
      <c r="M50" s="69">
        <v>0.21518987341772153</v>
      </c>
      <c r="N50" s="69">
        <v>0.58333333333333337</v>
      </c>
      <c r="O50" s="69">
        <v>0.29411764705882354</v>
      </c>
      <c r="P50" s="69">
        <v>0.4642857142857143</v>
      </c>
    </row>
    <row r="51" spans="1:16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0.31034482758620691</v>
      </c>
      <c r="M51" s="69">
        <v>0.22988505747126436</v>
      </c>
      <c r="N51" s="69">
        <v>0.55555555555555558</v>
      </c>
      <c r="O51" s="69">
        <v>0.25</v>
      </c>
      <c r="P51" s="69">
        <v>0.47058823529411764</v>
      </c>
    </row>
    <row r="52" spans="1:16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0.28421052631578947</v>
      </c>
      <c r="M52" s="69">
        <v>0.23157894736842105</v>
      </c>
      <c r="N52" s="69">
        <v>0.55555555555555558</v>
      </c>
      <c r="O52" s="69">
        <v>0.31818181818181818</v>
      </c>
      <c r="P52" s="69">
        <v>0.47126436781609193</v>
      </c>
    </row>
    <row r="53" spans="1:16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0.27184466019417475</v>
      </c>
      <c r="M53" s="69">
        <v>0.22330097087378642</v>
      </c>
      <c r="N53" s="69">
        <v>0.5714285714285714</v>
      </c>
      <c r="O53" s="69">
        <v>0.34782608695652173</v>
      </c>
      <c r="P53" s="69">
        <v>0.4606741573033708</v>
      </c>
    </row>
    <row r="54" spans="1:16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0.2818181818181818</v>
      </c>
      <c r="M54" s="69">
        <v>0.22727272727272727</v>
      </c>
      <c r="N54" s="69">
        <v>0.54838709677419351</v>
      </c>
      <c r="O54" s="69">
        <v>0.32</v>
      </c>
      <c r="P54" s="69">
        <v>0.45555555555555555</v>
      </c>
    </row>
    <row r="55" spans="1:16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0.27731092436974791</v>
      </c>
      <c r="M55" s="69">
        <v>0.21848739495798319</v>
      </c>
      <c r="N55" s="69">
        <v>0.51515151515151514</v>
      </c>
      <c r="O55" s="69">
        <v>0.30769230769230771</v>
      </c>
      <c r="P55" s="69">
        <v>0.45555555555555555</v>
      </c>
    </row>
    <row r="56" spans="1:16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0.27559055118110237</v>
      </c>
      <c r="M56" s="69">
        <v>0.22047244094488189</v>
      </c>
      <c r="N56" s="69">
        <v>0.54285714285714282</v>
      </c>
      <c r="O56" s="69">
        <v>0.32142857142857145</v>
      </c>
      <c r="P56" s="69">
        <v>0.44086021505376344</v>
      </c>
    </row>
    <row r="57" spans="1:16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0.28985507246376813</v>
      </c>
      <c r="M57" s="69">
        <v>0.20289855072463769</v>
      </c>
      <c r="N57" s="69">
        <v>0.5</v>
      </c>
      <c r="O57" s="69">
        <v>0.32142857142857145</v>
      </c>
      <c r="P57" s="69">
        <v>0.43617021276595747</v>
      </c>
    </row>
    <row r="58" spans="1:16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0.28472222222222221</v>
      </c>
      <c r="M58" s="69">
        <v>0.2013888888888889</v>
      </c>
      <c r="N58" s="69">
        <v>0.51219512195121952</v>
      </c>
      <c r="O58" s="69">
        <v>0.31034482758620691</v>
      </c>
      <c r="P58" s="69">
        <v>0.44210526315789472</v>
      </c>
    </row>
    <row r="59" spans="1:16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0.27272727272727271</v>
      </c>
      <c r="M59" s="69">
        <v>0.18831168831168832</v>
      </c>
      <c r="N59" s="69">
        <v>0.52380952380952384</v>
      </c>
      <c r="O59" s="69">
        <v>0.31034482758620691</v>
      </c>
      <c r="P59" s="69">
        <v>0.44329896907216493</v>
      </c>
    </row>
    <row r="60" spans="1:16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0.26993865030674846</v>
      </c>
      <c r="M60" s="69">
        <v>0.19018404907975461</v>
      </c>
      <c r="N60" s="69">
        <v>0.54545454545454541</v>
      </c>
      <c r="O60" s="69">
        <v>0.29032258064516131</v>
      </c>
      <c r="P60" s="69">
        <v>0.44</v>
      </c>
    </row>
    <row r="61" spans="1:16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0.2807017543859649</v>
      </c>
      <c r="M61" s="69">
        <v>0.19298245614035087</v>
      </c>
      <c r="N61" s="69">
        <v>0.5625</v>
      </c>
      <c r="O61" s="69">
        <v>0.33333333333333331</v>
      </c>
      <c r="P61" s="69">
        <v>0.43809523809523809</v>
      </c>
    </row>
    <row r="62" spans="1:16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0.2824858757062147</v>
      </c>
      <c r="M62" s="69">
        <v>0.19209039548022599</v>
      </c>
      <c r="N62" s="69">
        <v>0.56000000000000005</v>
      </c>
      <c r="O62" s="69">
        <v>0.35294117647058826</v>
      </c>
      <c r="P62" s="69">
        <v>0.44444444444444442</v>
      </c>
    </row>
    <row r="63" spans="1:16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0.28333333333333333</v>
      </c>
      <c r="M63" s="69">
        <v>0.19444444444444445</v>
      </c>
      <c r="N63" s="69">
        <v>0.56862745098039214</v>
      </c>
      <c r="O63" s="69">
        <v>0.34285714285714286</v>
      </c>
      <c r="P63" s="69">
        <v>0.44036697247706424</v>
      </c>
    </row>
    <row r="64" spans="1:16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0.27807486631016043</v>
      </c>
      <c r="M64" s="69">
        <v>0.18716577540106952</v>
      </c>
      <c r="N64" s="69">
        <v>0.57692307692307687</v>
      </c>
      <c r="O64" s="69">
        <v>0.34285714285714286</v>
      </c>
      <c r="P64" s="69">
        <v>0.43636363636363634</v>
      </c>
    </row>
    <row r="65" spans="1:16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0.27692307692307694</v>
      </c>
      <c r="M65" s="69">
        <v>0.17948717948717949</v>
      </c>
      <c r="N65" s="69">
        <v>0.55555555555555558</v>
      </c>
      <c r="O65" s="69">
        <v>0.34285714285714286</v>
      </c>
      <c r="P65" s="69">
        <v>0.43636363636363634</v>
      </c>
    </row>
    <row r="66" spans="1:16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0.2780487804878049</v>
      </c>
      <c r="M66" s="69">
        <v>0.17073170731707318</v>
      </c>
      <c r="N66" s="69">
        <v>0.54385964912280704</v>
      </c>
      <c r="O66" s="69">
        <v>0.34285714285714286</v>
      </c>
      <c r="P66" s="69">
        <v>0.43243243243243246</v>
      </c>
    </row>
    <row r="67" spans="1:16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0.28436018957345971</v>
      </c>
      <c r="M67" s="69">
        <v>0.16587677725118483</v>
      </c>
      <c r="N67" s="69">
        <v>0.51666666666666672</v>
      </c>
      <c r="O67" s="69">
        <v>0.34285714285714286</v>
      </c>
      <c r="P67" s="69">
        <v>0.43243243243243246</v>
      </c>
    </row>
    <row r="68" spans="1:16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0.28240740740740738</v>
      </c>
      <c r="M68" s="69">
        <v>0.16666666666666666</v>
      </c>
      <c r="N68" s="69">
        <v>0.50819672131147542</v>
      </c>
      <c r="O68" s="69">
        <v>0.33333333333333331</v>
      </c>
      <c r="P68" s="69">
        <v>0.42857142857142855</v>
      </c>
    </row>
    <row r="69" spans="1:16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0.29257641921397382</v>
      </c>
      <c r="M69" s="69">
        <v>0.16593886462882096</v>
      </c>
      <c r="N69" s="69">
        <v>0.5074626865671642</v>
      </c>
      <c r="O69" s="69">
        <v>0.31578947368421051</v>
      </c>
      <c r="P69" s="69">
        <v>0.42241379310344829</v>
      </c>
    </row>
    <row r="70" spans="1:16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0.28991596638655465</v>
      </c>
      <c r="M70" s="69">
        <v>0.1638655462184874</v>
      </c>
      <c r="N70" s="69">
        <v>0.52173913043478259</v>
      </c>
      <c r="O70" s="69">
        <v>0.33333333333333331</v>
      </c>
      <c r="P70" s="69">
        <v>0.42857142857142855</v>
      </c>
    </row>
    <row r="71" spans="1:16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0.28514056224899598</v>
      </c>
      <c r="M71" s="69">
        <v>0.1606425702811245</v>
      </c>
      <c r="N71" s="69">
        <v>0.52112676056338025</v>
      </c>
      <c r="O71" s="69">
        <v>0.35</v>
      </c>
      <c r="P71" s="69">
        <v>0.41803278688524592</v>
      </c>
    </row>
    <row r="72" spans="1:16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0.2890625</v>
      </c>
      <c r="M72" s="69">
        <v>0.16015625</v>
      </c>
      <c r="N72" s="69">
        <v>0.54054054054054057</v>
      </c>
      <c r="O72" s="69">
        <v>0.34146341463414637</v>
      </c>
      <c r="P72" s="69">
        <v>0.41599999999999998</v>
      </c>
    </row>
    <row r="73" spans="1:16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0.29343629343629346</v>
      </c>
      <c r="M73" s="69">
        <v>0.15830115830115829</v>
      </c>
      <c r="N73" s="69">
        <v>0.55263157894736847</v>
      </c>
      <c r="O73" s="69">
        <v>0.34146341463414637</v>
      </c>
      <c r="P73" s="69">
        <v>0.41732283464566927</v>
      </c>
    </row>
    <row r="74" spans="1:16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0.29588014981273408</v>
      </c>
      <c r="M74" s="69">
        <v>0.15355805243445692</v>
      </c>
      <c r="N74" s="69">
        <v>0.54430379746835444</v>
      </c>
      <c r="O74" s="69">
        <v>0.34146341463414637</v>
      </c>
      <c r="P74" s="69">
        <v>0.41538461538461541</v>
      </c>
    </row>
    <row r="75" spans="1:16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0.29304029304029305</v>
      </c>
      <c r="M75" s="69">
        <v>0.15018315018315018</v>
      </c>
      <c r="N75" s="69">
        <v>0.53749999999999998</v>
      </c>
      <c r="O75" s="69">
        <v>0.34146341463414637</v>
      </c>
      <c r="P75" s="69">
        <v>0.41538461538461541</v>
      </c>
    </row>
    <row r="76" spans="1:16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0.29020979020979021</v>
      </c>
      <c r="M76" s="69">
        <v>0.16783216783216784</v>
      </c>
      <c r="N76" s="69">
        <v>0.55421686746987953</v>
      </c>
      <c r="O76" s="69">
        <v>0.35416666666666669</v>
      </c>
      <c r="P76" s="69">
        <v>0.40441176470588236</v>
      </c>
    </row>
    <row r="77" spans="1:16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0.2910958904109589</v>
      </c>
      <c r="M77" s="69">
        <v>0.16438356164383561</v>
      </c>
      <c r="N77" s="69">
        <v>0.55294117647058827</v>
      </c>
      <c r="O77" s="69">
        <v>0.35416666666666669</v>
      </c>
      <c r="P77" s="69">
        <v>0.40579710144927539</v>
      </c>
    </row>
    <row r="78" spans="1:16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0.28382838283828382</v>
      </c>
      <c r="M78" s="69">
        <v>0.16831683168316833</v>
      </c>
      <c r="N78" s="69">
        <v>0.54651162790697672</v>
      </c>
      <c r="O78" s="69">
        <v>0.37254901960784315</v>
      </c>
      <c r="P78" s="69">
        <v>0.40714285714285714</v>
      </c>
    </row>
    <row r="79" spans="1:16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0.28852459016393445</v>
      </c>
      <c r="M79" s="69">
        <v>0.16721311475409836</v>
      </c>
      <c r="N79" s="69">
        <v>0.55681818181818177</v>
      </c>
      <c r="O79" s="69">
        <v>0.37254901960784315</v>
      </c>
      <c r="P79" s="69">
        <v>0.40845070422535212</v>
      </c>
    </row>
    <row r="80" spans="1:16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0.28525641025641024</v>
      </c>
      <c r="M80" s="69">
        <v>0.16987179487179488</v>
      </c>
      <c r="N80" s="69">
        <v>0.5617977528089888</v>
      </c>
      <c r="O80" s="69">
        <v>0.37735849056603776</v>
      </c>
      <c r="P80" s="69">
        <v>0.40972222222222221</v>
      </c>
    </row>
    <row r="81" spans="1:16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0.28660436137071649</v>
      </c>
      <c r="M81" s="69">
        <v>0.17445482866043613</v>
      </c>
      <c r="N81" s="69">
        <v>0.55434782608695654</v>
      </c>
      <c r="O81" s="69">
        <v>0.39285714285714285</v>
      </c>
      <c r="P81" s="69">
        <v>0.40540540540540543</v>
      </c>
    </row>
    <row r="82" spans="1:16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0.29051987767584098</v>
      </c>
      <c r="M82" s="69">
        <v>0.1743119266055046</v>
      </c>
      <c r="N82" s="69">
        <v>0.5368421052631579</v>
      </c>
      <c r="O82" s="69">
        <v>0.40350877192982454</v>
      </c>
      <c r="P82" s="69">
        <v>0.40666666666666668</v>
      </c>
    </row>
    <row r="83" spans="1:16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0.28869047619047616</v>
      </c>
      <c r="M83" s="69">
        <v>0.17261904761904762</v>
      </c>
      <c r="N83" s="69">
        <v>0.54639175257731953</v>
      </c>
      <c r="O83" s="69">
        <v>0.39655172413793105</v>
      </c>
      <c r="P83" s="69">
        <v>0.40131578947368424</v>
      </c>
    </row>
    <row r="84" spans="1:16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0.28901734104046245</v>
      </c>
      <c r="M84" s="69">
        <v>0.17341040462427745</v>
      </c>
      <c r="N84" s="69">
        <v>0.55000000000000004</v>
      </c>
      <c r="O84" s="69">
        <v>0.4</v>
      </c>
      <c r="P84" s="69">
        <v>0.4</v>
      </c>
    </row>
    <row r="85" spans="1:16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0.28732394366197184</v>
      </c>
      <c r="M85" s="69">
        <v>0.17746478873239438</v>
      </c>
      <c r="N85" s="69">
        <v>0.5490196078431373</v>
      </c>
      <c r="O85" s="69">
        <v>0.38095238095238093</v>
      </c>
      <c r="P85" s="69">
        <v>0.40384615384615385</v>
      </c>
    </row>
    <row r="86" spans="1:16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0.28846153846153844</v>
      </c>
      <c r="M86" s="69">
        <v>0.18131868131868131</v>
      </c>
      <c r="N86" s="69">
        <v>0.55238095238095242</v>
      </c>
      <c r="O86" s="69">
        <v>0.37878787878787878</v>
      </c>
      <c r="P86" s="69">
        <v>0.40251572327044027</v>
      </c>
    </row>
    <row r="87" spans="1:16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0.2872628726287263</v>
      </c>
      <c r="M87" s="69">
        <v>0.18157181571815717</v>
      </c>
      <c r="N87" s="69">
        <v>0.55660377358490565</v>
      </c>
      <c r="O87" s="69">
        <v>0.38805970149253732</v>
      </c>
      <c r="P87" s="69">
        <v>0.40372670807453415</v>
      </c>
    </row>
    <row r="88" spans="1:16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0.28342245989304815</v>
      </c>
      <c r="M88" s="69">
        <v>0.17914438502673796</v>
      </c>
      <c r="N88" s="69">
        <v>0.55660377358490565</v>
      </c>
      <c r="O88" s="69">
        <v>0.38805970149253732</v>
      </c>
      <c r="P88" s="69">
        <v>0.40372670807453415</v>
      </c>
    </row>
    <row r="89" spans="1:16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0.2879581151832461</v>
      </c>
      <c r="M89" s="69">
        <v>0.17801047120418848</v>
      </c>
      <c r="N89" s="69">
        <v>0.55454545454545456</v>
      </c>
      <c r="O89" s="69">
        <v>0.38235294117647056</v>
      </c>
      <c r="P89" s="69">
        <v>0.41104294478527609</v>
      </c>
    </row>
    <row r="90" spans="1:16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0.28900255754475701</v>
      </c>
      <c r="M90" s="69">
        <v>0.17902813299232737</v>
      </c>
      <c r="N90" s="69">
        <v>0.5663716814159292</v>
      </c>
      <c r="O90" s="69">
        <v>0.38571428571428573</v>
      </c>
      <c r="P90" s="69">
        <v>0.41916167664670656</v>
      </c>
    </row>
    <row r="91" spans="1:16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0.28678304239401498</v>
      </c>
      <c r="M91" s="69">
        <v>0.18453865336658354</v>
      </c>
      <c r="N91" s="69">
        <v>0.57391304347826089</v>
      </c>
      <c r="O91" s="69">
        <v>0.3783783783783784</v>
      </c>
      <c r="P91" s="69">
        <v>0.41764705882352943</v>
      </c>
    </row>
    <row r="92" spans="1:16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0.28223844282238442</v>
      </c>
      <c r="M92" s="69">
        <v>0.18734793187347931</v>
      </c>
      <c r="N92" s="69">
        <v>0.56896551724137934</v>
      </c>
      <c r="O92" s="69">
        <v>0.36363636363636365</v>
      </c>
      <c r="P92" s="69">
        <v>0.41764705882352943</v>
      </c>
    </row>
    <row r="93" spans="1:16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0.28297362110311752</v>
      </c>
      <c r="M93" s="69">
        <v>0.18465227817745802</v>
      </c>
      <c r="N93" s="69">
        <v>0.56779661016949157</v>
      </c>
      <c r="O93" s="69">
        <v>0.36363636363636365</v>
      </c>
      <c r="P93" s="69">
        <v>0.41520467836257308</v>
      </c>
    </row>
    <row r="94" spans="1:16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0.28199052132701424</v>
      </c>
      <c r="M94" s="69">
        <v>0.19194312796208532</v>
      </c>
      <c r="N94" s="69">
        <v>0.56302521008403361</v>
      </c>
      <c r="O94" s="69">
        <v>0.37037037037037035</v>
      </c>
      <c r="P94" s="69">
        <v>0.41618497109826591</v>
      </c>
    </row>
    <row r="95" spans="1:16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0.28205128205128205</v>
      </c>
      <c r="M95" s="69">
        <v>0.1888111888111888</v>
      </c>
      <c r="N95" s="69">
        <v>0.57024793388429751</v>
      </c>
      <c r="O95" s="69">
        <v>0.37037037037037035</v>
      </c>
      <c r="P95" s="69">
        <v>0.41142857142857142</v>
      </c>
    </row>
    <row r="96" spans="1:16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0.27954545454545454</v>
      </c>
      <c r="M96" s="69">
        <v>0.18863636363636363</v>
      </c>
      <c r="N96" s="69">
        <v>0.56097560975609762</v>
      </c>
      <c r="O96" s="69">
        <v>0.36144578313253012</v>
      </c>
      <c r="P96" s="69">
        <v>0.41142857142857142</v>
      </c>
    </row>
    <row r="97" spans="1:16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0.27640449438202247</v>
      </c>
      <c r="M97" s="69">
        <v>0.19101123595505617</v>
      </c>
      <c r="N97" s="69">
        <v>0.56097560975609762</v>
      </c>
      <c r="O97" s="69">
        <v>0.36470588235294116</v>
      </c>
      <c r="P97" s="69">
        <v>0.4101123595505618</v>
      </c>
    </row>
    <row r="98" spans="1:16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0.27814569536423839</v>
      </c>
      <c r="M98" s="69">
        <v>0.18984547461368653</v>
      </c>
      <c r="N98" s="69">
        <v>0.55555555555555558</v>
      </c>
      <c r="O98" s="69">
        <v>0.36046511627906974</v>
      </c>
      <c r="P98" s="69">
        <v>0.40782122905027934</v>
      </c>
    </row>
    <row r="99" spans="1:16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0.2813852813852814</v>
      </c>
      <c r="M99" s="69">
        <v>0.18831168831168832</v>
      </c>
      <c r="N99" s="69">
        <v>0.56153846153846154</v>
      </c>
      <c r="O99" s="69">
        <v>0.36781609195402298</v>
      </c>
      <c r="P99" s="69">
        <v>0.40760869565217389</v>
      </c>
    </row>
    <row r="100" spans="1:16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0.28025477707006369</v>
      </c>
      <c r="M100" s="69">
        <v>0.18683651804670912</v>
      </c>
      <c r="N100" s="69">
        <v>0.56818181818181823</v>
      </c>
      <c r="O100" s="69">
        <v>0.375</v>
      </c>
      <c r="P100" s="69">
        <v>0.40641711229946526</v>
      </c>
    </row>
    <row r="101" spans="1:16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0.28361344537815125</v>
      </c>
      <c r="M101" s="69">
        <v>0.18907563025210083</v>
      </c>
      <c r="N101" s="69">
        <v>0.57037037037037042</v>
      </c>
      <c r="O101" s="69">
        <v>0.37777777777777777</v>
      </c>
      <c r="P101" s="69">
        <v>0.41052631578947368</v>
      </c>
    </row>
    <row r="102" spans="1:16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0.28747433264887062</v>
      </c>
      <c r="M102" s="69">
        <v>0.18480492813141683</v>
      </c>
      <c r="N102" s="69">
        <v>0.55714285714285716</v>
      </c>
      <c r="O102" s="69">
        <v>0.37777777777777777</v>
      </c>
      <c r="P102" s="69">
        <v>0.41361256544502617</v>
      </c>
    </row>
    <row r="103" spans="1:16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0.2834008097165992</v>
      </c>
      <c r="M103" s="69">
        <v>0.19028340080971659</v>
      </c>
      <c r="N103" s="69">
        <v>0.55714285714285716</v>
      </c>
      <c r="O103" s="69">
        <v>0.38297872340425532</v>
      </c>
      <c r="P103" s="69">
        <v>0.40932642487046633</v>
      </c>
    </row>
    <row r="104" spans="1:16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0.28628230616302186</v>
      </c>
      <c r="M104" s="69">
        <v>0.18886679920477137</v>
      </c>
      <c r="N104" s="69">
        <v>0.5625</v>
      </c>
      <c r="O104" s="69">
        <v>0.37894736842105264</v>
      </c>
      <c r="P104" s="69">
        <v>0.41836734693877553</v>
      </c>
    </row>
    <row r="105" spans="1:16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0.28627450980392155</v>
      </c>
      <c r="M105" s="69">
        <v>0.18823529411764706</v>
      </c>
      <c r="N105" s="69">
        <v>0.56164383561643838</v>
      </c>
      <c r="O105" s="69">
        <v>0.375</v>
      </c>
      <c r="P105" s="69">
        <v>0.41624365482233505</v>
      </c>
    </row>
    <row r="106" spans="1:16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0.28820116054158607</v>
      </c>
      <c r="M106" s="69">
        <v>0.18762088974854932</v>
      </c>
      <c r="N106" s="69">
        <v>0.56375838926174493</v>
      </c>
      <c r="O106" s="69">
        <v>0.37113402061855671</v>
      </c>
      <c r="P106" s="69">
        <v>0.41708542713567837</v>
      </c>
    </row>
    <row r="107" spans="1:16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0.2884250474383302</v>
      </c>
      <c r="M107" s="69">
        <v>0.1859582542694497</v>
      </c>
      <c r="N107" s="69">
        <v>0.55921052631578949</v>
      </c>
      <c r="O107" s="69">
        <v>0.37755102040816324</v>
      </c>
      <c r="P107" s="69">
        <v>0.41293532338308458</v>
      </c>
    </row>
    <row r="108" spans="1:16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0.2899628252788104</v>
      </c>
      <c r="M108" s="69">
        <v>0.18401486988847585</v>
      </c>
      <c r="N108" s="69">
        <v>0.55769230769230771</v>
      </c>
      <c r="O108" s="69">
        <v>0.38383838383838381</v>
      </c>
      <c r="P108" s="69">
        <v>0.40975609756097559</v>
      </c>
    </row>
    <row r="109" spans="1:16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0.29401088929219599</v>
      </c>
      <c r="M109" s="69">
        <v>0.18148820326678766</v>
      </c>
      <c r="N109" s="69">
        <v>0.55555555555555558</v>
      </c>
      <c r="O109" s="69">
        <v>0.38</v>
      </c>
      <c r="P109" s="69">
        <v>0.41626794258373206</v>
      </c>
    </row>
    <row r="110" spans="1:16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0.29443447037701975</v>
      </c>
      <c r="M110" s="69">
        <v>0.18312387791741472</v>
      </c>
      <c r="N110" s="69">
        <v>0.55487804878048785</v>
      </c>
      <c r="O110" s="69">
        <v>0.37254901960784315</v>
      </c>
      <c r="P110" s="69">
        <v>0.41904761904761906</v>
      </c>
    </row>
    <row r="111" spans="1:16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0.2938053097345133</v>
      </c>
      <c r="M111" s="69">
        <v>0.18230088495575222</v>
      </c>
      <c r="N111" s="69">
        <v>0.56024096385542166</v>
      </c>
      <c r="O111" s="69">
        <v>0.37864077669902912</v>
      </c>
      <c r="P111" s="69">
        <v>0.41784037558685444</v>
      </c>
    </row>
    <row r="112" spans="1:16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0.29116117850953205</v>
      </c>
      <c r="M112" s="69">
        <v>0.17850953206239167</v>
      </c>
      <c r="N112" s="69">
        <v>0.56547619047619047</v>
      </c>
      <c r="O112" s="69">
        <v>0.37864077669902912</v>
      </c>
      <c r="P112" s="69">
        <v>0.42325581395348838</v>
      </c>
    </row>
    <row r="113" spans="1:16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0.29059829059829062</v>
      </c>
      <c r="M113" s="69">
        <v>0.17777777777777778</v>
      </c>
      <c r="N113" s="69">
        <v>0.56470588235294117</v>
      </c>
      <c r="O113" s="69">
        <v>0.38461538461538464</v>
      </c>
      <c r="P113" s="69">
        <v>0.42396313364055299</v>
      </c>
    </row>
    <row r="114" spans="1:16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0.29075630252100843</v>
      </c>
      <c r="M114" s="69">
        <v>0.17815126050420169</v>
      </c>
      <c r="N114" s="69">
        <v>0.56647398843930641</v>
      </c>
      <c r="O114" s="69">
        <v>0.3867924528301887</v>
      </c>
      <c r="P114" s="69">
        <v>0.42272727272727273</v>
      </c>
    </row>
    <row r="115" spans="1:16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0.29139072847682118</v>
      </c>
      <c r="M115" s="69">
        <v>0.17549668874172186</v>
      </c>
      <c r="N115" s="69">
        <v>0.56818181818181823</v>
      </c>
      <c r="O115" s="69">
        <v>0.3867924528301887</v>
      </c>
      <c r="P115" s="69">
        <v>0.42152466367713004</v>
      </c>
    </row>
    <row r="116" spans="1:16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0.29315960912052119</v>
      </c>
      <c r="M116" s="69">
        <v>0.17263843648208468</v>
      </c>
      <c r="N116" s="69">
        <v>0.57222222222222219</v>
      </c>
      <c r="O116" s="69">
        <v>0.3867924528301887</v>
      </c>
      <c r="P116" s="69">
        <v>0.42290748898678415</v>
      </c>
    </row>
    <row r="117" spans="1:16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0.29260450160771706</v>
      </c>
      <c r="M117" s="69">
        <v>0.17202572347266881</v>
      </c>
      <c r="N117" s="69">
        <v>0.57692307692307687</v>
      </c>
      <c r="O117" s="69">
        <v>0.3925233644859813</v>
      </c>
      <c r="P117" s="69">
        <v>0.42173913043478262</v>
      </c>
    </row>
    <row r="118" spans="1:16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0.29411764705882354</v>
      </c>
      <c r="M118" s="69">
        <v>0.17170111287758347</v>
      </c>
      <c r="N118" s="69">
        <v>0.572972972972973</v>
      </c>
      <c r="O118" s="69">
        <v>0.3888888888888889</v>
      </c>
      <c r="P118" s="69">
        <v>0.41991341991341991</v>
      </c>
    </row>
    <row r="119" spans="1:16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0.29513343799058084</v>
      </c>
      <c r="M119" s="69">
        <v>0.1695447409733124</v>
      </c>
      <c r="N119" s="69">
        <v>0.57978723404255317</v>
      </c>
      <c r="O119" s="69">
        <v>0.3888888888888889</v>
      </c>
      <c r="P119" s="69">
        <v>0.42307692307692307</v>
      </c>
    </row>
    <row r="120" spans="1:16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0.29475308641975306</v>
      </c>
      <c r="M120" s="69">
        <v>0.17129629629629631</v>
      </c>
      <c r="N120" s="69">
        <v>0.5759162303664922</v>
      </c>
      <c r="O120" s="69">
        <v>0.38738738738738737</v>
      </c>
      <c r="P120" s="69">
        <v>0.42372881355932202</v>
      </c>
    </row>
    <row r="121" spans="1:16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0.29590288315629742</v>
      </c>
      <c r="M121" s="69">
        <v>0.16995447647951442</v>
      </c>
      <c r="N121" s="69">
        <v>0.56923076923076921</v>
      </c>
      <c r="O121" s="69">
        <v>0.38392857142857145</v>
      </c>
      <c r="P121" s="69">
        <v>0.42616033755274263</v>
      </c>
    </row>
    <row r="122" spans="1:16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0.29624060150375942</v>
      </c>
      <c r="M122" s="69">
        <v>0.1699248120300752</v>
      </c>
      <c r="N122" s="69">
        <v>0.57360406091370564</v>
      </c>
      <c r="O122" s="69">
        <v>0.38053097345132741</v>
      </c>
      <c r="P122" s="69">
        <v>0.42677824267782427</v>
      </c>
    </row>
    <row r="123" spans="1:16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0.29333333333333333</v>
      </c>
      <c r="M123" s="69">
        <v>0.16740740740740739</v>
      </c>
      <c r="N123" s="69">
        <v>0.5757575757575758</v>
      </c>
      <c r="O123" s="69">
        <v>0.38053097345132741</v>
      </c>
      <c r="P123" s="69">
        <v>0.42499999999999999</v>
      </c>
    </row>
    <row r="124" spans="1:16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0.2932551319648094</v>
      </c>
      <c r="M124" s="69">
        <v>0.16862170087976538</v>
      </c>
      <c r="N124" s="69">
        <v>0.57999999999999996</v>
      </c>
      <c r="O124" s="69">
        <v>0.39130434782608697</v>
      </c>
      <c r="P124" s="69">
        <v>0.43032786885245899</v>
      </c>
    </row>
    <row r="125" spans="1:16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0.29275362318840581</v>
      </c>
      <c r="M125" s="69">
        <v>0.16956521739130434</v>
      </c>
      <c r="N125" s="69">
        <v>0.57920792079207917</v>
      </c>
      <c r="O125" s="69">
        <v>0.39316239316239315</v>
      </c>
      <c r="P125" s="69">
        <v>0.43089430894308944</v>
      </c>
    </row>
    <row r="126" spans="1:16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0.2906474820143885</v>
      </c>
      <c r="M126" s="69">
        <v>0.16834532374100719</v>
      </c>
      <c r="N126" s="69">
        <v>0.57920792079207917</v>
      </c>
      <c r="O126" s="69">
        <v>0.39316239316239315</v>
      </c>
      <c r="P126" s="69">
        <v>0.43089430894308944</v>
      </c>
    </row>
    <row r="127" spans="1:16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0.29344729344729342</v>
      </c>
      <c r="M127" s="69">
        <v>0.16809116809116809</v>
      </c>
      <c r="N127" s="69">
        <v>0.57766990291262132</v>
      </c>
      <c r="O127" s="69">
        <v>0.39830508474576271</v>
      </c>
      <c r="P127" s="69">
        <v>0.43373493975903615</v>
      </c>
    </row>
    <row r="128" spans="1:16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0.29436619718309859</v>
      </c>
      <c r="M128" s="69">
        <v>0.1704225352112676</v>
      </c>
      <c r="N128" s="69">
        <v>0.57894736842105265</v>
      </c>
      <c r="O128" s="69">
        <v>0.4049586776859504</v>
      </c>
      <c r="P128" s="69">
        <v>0.43873517786561267</v>
      </c>
    </row>
    <row r="129" spans="1:16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0.29542302357836336</v>
      </c>
      <c r="M129" s="69">
        <v>0.17059639389736478</v>
      </c>
      <c r="N129" s="69">
        <v>0.5821596244131455</v>
      </c>
      <c r="O129" s="69">
        <v>0.41463414634146339</v>
      </c>
      <c r="P129" s="69">
        <v>0.43798449612403101</v>
      </c>
    </row>
    <row r="130" spans="1:16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0.29655172413793102</v>
      </c>
      <c r="M130" s="69">
        <v>0.17103448275862068</v>
      </c>
      <c r="N130" s="69">
        <v>0.58139534883720934</v>
      </c>
      <c r="O130" s="69">
        <v>0.41129032258064518</v>
      </c>
      <c r="P130" s="69">
        <v>0.43629343629343631</v>
      </c>
    </row>
    <row r="131" spans="1:16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0.29958960328317374</v>
      </c>
      <c r="M131" s="69">
        <v>0.16963064295485636</v>
      </c>
      <c r="N131" s="69">
        <v>0.57534246575342463</v>
      </c>
      <c r="O131" s="69">
        <v>0.41129032258064518</v>
      </c>
      <c r="P131" s="69">
        <v>0.43461538461538463</v>
      </c>
    </row>
    <row r="132" spans="1:16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0.29905277401894453</v>
      </c>
      <c r="M132" s="69">
        <v>0.17050067658998647</v>
      </c>
      <c r="N132" s="69">
        <v>0.57466063348416285</v>
      </c>
      <c r="O132" s="69">
        <v>0.40476190476190477</v>
      </c>
      <c r="P132" s="69">
        <v>0.43893129770992367</v>
      </c>
    </row>
    <row r="133" spans="1:16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0.29773030707610149</v>
      </c>
      <c r="M133" s="69">
        <v>0.17489986648865152</v>
      </c>
      <c r="N133" s="69">
        <v>0.57399103139013452</v>
      </c>
      <c r="O133" s="69">
        <v>0.39694656488549618</v>
      </c>
      <c r="P133" s="69">
        <v>0.43560606060606061</v>
      </c>
    </row>
    <row r="134" spans="1:16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0.29590488771466317</v>
      </c>
      <c r="M134" s="69">
        <v>0.17701453104359313</v>
      </c>
      <c r="N134" s="69">
        <v>0.5758928571428571</v>
      </c>
      <c r="O134" s="69">
        <v>0.38805970149253732</v>
      </c>
      <c r="P134" s="69">
        <v>0.43609022556390975</v>
      </c>
    </row>
    <row r="135" spans="1:16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0.29765013054830286</v>
      </c>
      <c r="M135" s="69">
        <v>0.17754569190600522</v>
      </c>
      <c r="N135" s="69">
        <v>0.57894736842105265</v>
      </c>
      <c r="O135" s="69">
        <v>0.38235294117647056</v>
      </c>
      <c r="P135" s="69">
        <v>0.44237918215613381</v>
      </c>
    </row>
    <row r="136" spans="1:16" x14ac:dyDescent="0.4">
      <c r="A136" s="71">
        <v>133</v>
      </c>
      <c r="B136" s="68">
        <v>-489.59999999999997</v>
      </c>
      <c r="C136" s="68">
        <v>-3.6812030075187967</v>
      </c>
      <c r="D136" s="73">
        <v>2.1052631578947367</v>
      </c>
      <c r="E136" s="69">
        <v>0.2932330827067669</v>
      </c>
      <c r="F136" s="69">
        <v>0.26065891472868219</v>
      </c>
      <c r="G136" s="69">
        <v>0.19476744186046513</v>
      </c>
      <c r="H136" s="70">
        <v>11027.509293680298</v>
      </c>
      <c r="I136" s="70">
        <v>-9575.1243781094527</v>
      </c>
      <c r="J136" s="69">
        <v>0.19548872180451127</v>
      </c>
      <c r="K136" s="69">
        <v>0.12781954887218044</v>
      </c>
      <c r="L136" s="69">
        <v>0.29571984435797666</v>
      </c>
      <c r="M136" s="69">
        <v>0.17769130998702984</v>
      </c>
      <c r="N136" s="69">
        <v>0.57894736842105265</v>
      </c>
      <c r="O136" s="69">
        <v>0.37956204379562042</v>
      </c>
      <c r="P136" s="69">
        <v>0.44237918215613381</v>
      </c>
    </row>
    <row r="137" spans="1:16" x14ac:dyDescent="0.4">
      <c r="A137" s="71">
        <v>134</v>
      </c>
      <c r="B137" s="68">
        <v>-489.9</v>
      </c>
      <c r="C137" s="68">
        <v>-3.6559701492537311</v>
      </c>
      <c r="D137" s="73">
        <v>2.1044776119402986</v>
      </c>
      <c r="E137" s="69">
        <v>0.29104477611940299</v>
      </c>
      <c r="F137" s="69">
        <v>0.26128722382324687</v>
      </c>
      <c r="G137" s="69">
        <v>0.19404418828049952</v>
      </c>
      <c r="H137" s="70">
        <v>10987.5</v>
      </c>
      <c r="I137" s="70">
        <v>-9587.1287128712866</v>
      </c>
      <c r="J137" s="69">
        <v>0.19402985074626866</v>
      </c>
      <c r="K137" s="69">
        <v>0.12686567164179105</v>
      </c>
      <c r="L137" s="69">
        <v>0.29487179487179488</v>
      </c>
      <c r="M137" s="69">
        <v>0.17692307692307693</v>
      </c>
      <c r="N137" s="69">
        <v>0.57826086956521738</v>
      </c>
      <c r="O137" s="69">
        <v>0.38405797101449274</v>
      </c>
      <c r="P137" s="69">
        <v>0.4485294117647059</v>
      </c>
    </row>
    <row r="138" spans="1:16" x14ac:dyDescent="0.4">
      <c r="A138" s="71">
        <v>135</v>
      </c>
      <c r="B138" s="68">
        <v>-480.2</v>
      </c>
      <c r="C138" s="68">
        <v>-3.5570370370370368</v>
      </c>
      <c r="D138" s="73">
        <v>2.1037037037037036</v>
      </c>
      <c r="E138" s="69">
        <v>0.28888888888888886</v>
      </c>
      <c r="F138" s="69">
        <v>0.26170009551098378</v>
      </c>
      <c r="G138" s="69">
        <v>0.19293218720152819</v>
      </c>
      <c r="H138" s="70">
        <v>10980.29197080292</v>
      </c>
      <c r="I138" s="70">
        <v>-9587.1287128712866</v>
      </c>
      <c r="J138" s="69">
        <v>0.19259259259259259</v>
      </c>
      <c r="K138" s="69">
        <v>0.12592592592592591</v>
      </c>
      <c r="L138" s="69">
        <v>0.29389312977099236</v>
      </c>
      <c r="M138" s="69">
        <v>0.17684478371501272</v>
      </c>
      <c r="N138" s="69">
        <v>0.58008658008658009</v>
      </c>
      <c r="O138" s="69">
        <v>0.38848920863309355</v>
      </c>
      <c r="P138" s="69">
        <v>0.4489051094890511</v>
      </c>
    </row>
    <row r="139" spans="1:16" x14ac:dyDescent="0.4">
      <c r="A139" s="71">
        <v>136</v>
      </c>
      <c r="B139" s="68">
        <v>-497.4</v>
      </c>
      <c r="C139" s="68">
        <v>-3.6573529411764705</v>
      </c>
      <c r="D139" s="73">
        <v>2.1102941176470589</v>
      </c>
      <c r="E139" s="69">
        <v>0.28676470588235292</v>
      </c>
      <c r="F139" s="69">
        <v>0.2621082621082621</v>
      </c>
      <c r="G139" s="69">
        <v>0.19373219373219372</v>
      </c>
      <c r="H139" s="70">
        <v>10943.840579710144</v>
      </c>
      <c r="I139" s="70">
        <v>-9620.5882352941171</v>
      </c>
      <c r="J139" s="69">
        <v>0.19117647058823528</v>
      </c>
      <c r="K139" s="69">
        <v>0.125</v>
      </c>
      <c r="L139" s="69">
        <v>0.29292929292929293</v>
      </c>
      <c r="M139" s="69">
        <v>0.17803030303030304</v>
      </c>
      <c r="N139" s="69">
        <v>0.5818965517241379</v>
      </c>
      <c r="O139" s="69">
        <v>0.39007092198581561</v>
      </c>
      <c r="P139" s="69">
        <v>0.44927536231884058</v>
      </c>
    </row>
    <row r="140" spans="1:16" x14ac:dyDescent="0.4">
      <c r="A140" s="71">
        <v>137</v>
      </c>
      <c r="B140" s="68">
        <v>-505.9</v>
      </c>
      <c r="C140" s="68">
        <v>-3.6927007299270072</v>
      </c>
      <c r="D140" s="73">
        <v>2.1094890510948905</v>
      </c>
      <c r="E140" s="69">
        <v>0.28467153284671531</v>
      </c>
      <c r="F140" s="69">
        <v>0.26177024482109229</v>
      </c>
      <c r="G140" s="69">
        <v>0.19209039548022599</v>
      </c>
      <c r="H140" s="70">
        <v>10888.489208633093</v>
      </c>
      <c r="I140" s="70">
        <v>-9620.5882352941171</v>
      </c>
      <c r="J140" s="69">
        <v>0.18978102189781021</v>
      </c>
      <c r="K140" s="69">
        <v>0.12408759124087591</v>
      </c>
      <c r="L140" s="69">
        <v>0.29213483146067415</v>
      </c>
      <c r="M140" s="69">
        <v>0.17602996254681649</v>
      </c>
      <c r="N140" s="69">
        <v>0.58119658119658124</v>
      </c>
      <c r="O140" s="69">
        <v>0.39007092198581561</v>
      </c>
      <c r="P140" s="69">
        <v>0.4460431654676259</v>
      </c>
    </row>
    <row r="141" spans="1:16" x14ac:dyDescent="0.4">
      <c r="A141" s="71">
        <v>138</v>
      </c>
      <c r="B141" s="68">
        <v>-553.9</v>
      </c>
      <c r="C141" s="68">
        <v>-4.0137681159420291</v>
      </c>
      <c r="D141" s="73">
        <v>2.1159420289855073</v>
      </c>
      <c r="E141" s="69">
        <v>0.28260869565217389</v>
      </c>
      <c r="F141" s="69">
        <v>0.26054358013120898</v>
      </c>
      <c r="G141" s="69">
        <v>0.19306466729147143</v>
      </c>
      <c r="H141" s="70">
        <v>10888.489208633093</v>
      </c>
      <c r="I141" s="70">
        <v>-9701.9417475728151</v>
      </c>
      <c r="J141" s="69">
        <v>0.19565217391304349</v>
      </c>
      <c r="K141" s="69">
        <v>0.12318840579710146</v>
      </c>
      <c r="L141" s="69">
        <v>0.29156327543424315</v>
      </c>
      <c r="M141" s="69">
        <v>0.17493796526054592</v>
      </c>
      <c r="N141" s="69">
        <v>0.5787234042553191</v>
      </c>
      <c r="O141" s="69">
        <v>0.39007092198581561</v>
      </c>
      <c r="P141" s="69">
        <v>0.4460431654676259</v>
      </c>
    </row>
    <row r="142" spans="1:16" x14ac:dyDescent="0.4">
      <c r="A142" s="71">
        <v>139</v>
      </c>
      <c r="B142" s="68">
        <v>-539.4</v>
      </c>
      <c r="C142" s="68">
        <v>-3.880575539568345</v>
      </c>
      <c r="D142" s="73">
        <v>2.1079136690647484</v>
      </c>
      <c r="E142" s="69">
        <v>0.28776978417266186</v>
      </c>
      <c r="F142" s="69">
        <v>0.26139534883720933</v>
      </c>
      <c r="G142" s="69">
        <v>0.19162790697674417</v>
      </c>
      <c r="H142" s="70">
        <v>10843.416370106761</v>
      </c>
      <c r="I142" s="70">
        <v>-9701.9417475728151</v>
      </c>
      <c r="J142" s="69">
        <v>0.19424460431654678</v>
      </c>
      <c r="K142" s="69">
        <v>0.1223021582733813</v>
      </c>
      <c r="L142" s="69">
        <v>0.29115479115479115</v>
      </c>
      <c r="M142" s="69">
        <v>0.17567567567567569</v>
      </c>
      <c r="N142" s="69">
        <v>0.58227848101265822</v>
      </c>
      <c r="O142" s="69">
        <v>0.39160839160839161</v>
      </c>
      <c r="P142" s="69">
        <v>0.45195729537366547</v>
      </c>
    </row>
    <row r="143" spans="1:16" x14ac:dyDescent="0.4">
      <c r="A143" s="71">
        <v>140</v>
      </c>
      <c r="B143" s="68">
        <v>-522.19999999999993</v>
      </c>
      <c r="C143" s="68">
        <v>-3.7299999999999995</v>
      </c>
      <c r="D143" s="73">
        <v>2.1</v>
      </c>
      <c r="E143" s="69">
        <v>0.29285714285714287</v>
      </c>
      <c r="F143" s="69">
        <v>0.26315789473684209</v>
      </c>
      <c r="G143" s="69">
        <v>0.19205909510618652</v>
      </c>
      <c r="H143" s="70">
        <v>10821.754385964912</v>
      </c>
      <c r="I143" s="70">
        <v>-9656.7307692307695</v>
      </c>
      <c r="J143" s="69">
        <v>0.19285714285714287</v>
      </c>
      <c r="K143" s="69">
        <v>0.12142857142857143</v>
      </c>
      <c r="L143" s="69">
        <v>0.29197080291970801</v>
      </c>
      <c r="M143" s="69">
        <v>0.17761557177615572</v>
      </c>
      <c r="N143" s="69">
        <v>0.58333333333333337</v>
      </c>
      <c r="O143" s="69">
        <v>0.39726027397260272</v>
      </c>
      <c r="P143" s="69">
        <v>0.44912280701754387</v>
      </c>
    </row>
    <row r="144" spans="1:16" x14ac:dyDescent="0.4">
      <c r="A144" s="71">
        <v>141</v>
      </c>
      <c r="B144" s="68">
        <v>-537.09999999999991</v>
      </c>
      <c r="C144" s="68">
        <v>-3.8092198581560277</v>
      </c>
      <c r="D144" s="73">
        <v>2.1063829787234041</v>
      </c>
      <c r="E144" s="69">
        <v>0.29078014184397161</v>
      </c>
      <c r="F144" s="69">
        <v>0.26190476190476192</v>
      </c>
      <c r="G144" s="69">
        <v>0.19139194139194138</v>
      </c>
      <c r="H144" s="70">
        <v>10791.258741258742</v>
      </c>
      <c r="I144" s="70">
        <v>-9648.8038277511969</v>
      </c>
      <c r="J144" s="69">
        <v>0.19148936170212766</v>
      </c>
      <c r="K144" s="69">
        <v>0.12056737588652482</v>
      </c>
      <c r="L144" s="69">
        <v>0.29121540312876054</v>
      </c>
      <c r="M144" s="69">
        <v>0.17689530685920576</v>
      </c>
      <c r="N144" s="69">
        <v>0.57851239669421484</v>
      </c>
      <c r="O144" s="69">
        <v>0.39455782312925169</v>
      </c>
      <c r="P144" s="69">
        <v>0.45104895104895104</v>
      </c>
    </row>
    <row r="145" spans="1:16" x14ac:dyDescent="0.4">
      <c r="A145" s="71">
        <v>142</v>
      </c>
      <c r="B145" s="68">
        <v>-538.49999999999989</v>
      </c>
      <c r="C145" s="68">
        <v>-3.7922535211267596</v>
      </c>
      <c r="D145" s="73">
        <v>2.1056338028169015</v>
      </c>
      <c r="E145" s="69">
        <v>0.28873239436619719</v>
      </c>
      <c r="F145" s="69">
        <v>0.26110607434270172</v>
      </c>
      <c r="G145" s="69">
        <v>0.19038984587488667</v>
      </c>
      <c r="H145" s="70">
        <v>10792.708333333334</v>
      </c>
      <c r="I145" s="70">
        <v>-9621.4285714285706</v>
      </c>
      <c r="J145" s="69">
        <v>0.19014084507042253</v>
      </c>
      <c r="K145" s="69">
        <v>0.11971830985915492</v>
      </c>
      <c r="L145" s="69">
        <v>0.28978622327790976</v>
      </c>
      <c r="M145" s="69">
        <v>0.17577197149643706</v>
      </c>
      <c r="N145" s="69">
        <v>0.57786885245901642</v>
      </c>
      <c r="O145" s="69">
        <v>0.39189189189189189</v>
      </c>
      <c r="P145" s="69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39E8-C3A7-400E-8BEC-17A27984169F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P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0.5</v>
      </c>
      <c r="M5" s="69">
        <v>0</v>
      </c>
      <c r="N5" s="69">
        <v>0</v>
      </c>
      <c r="O5" s="69">
        <v>0</v>
      </c>
      <c r="P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0.45454545454545453</v>
      </c>
      <c r="M6" s="69">
        <v>0</v>
      </c>
      <c r="N6" s="69">
        <v>0.2</v>
      </c>
      <c r="O6" s="69">
        <v>0</v>
      </c>
      <c r="P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0.42105263157894735</v>
      </c>
      <c r="M7" s="69">
        <v>0.10526315789473684</v>
      </c>
      <c r="N7" s="69">
        <v>0.25</v>
      </c>
      <c r="O7" s="69">
        <v>1</v>
      </c>
      <c r="P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2709B-591C-44AA-852A-0477C7333C38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P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P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P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P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5527-C552-4EF2-BD35-A0430C6CA3CC}">
  <sheetPr codeName="Sheet8"/>
  <dimension ref="A1:Q26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P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P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P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P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P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P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P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P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P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P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P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P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P16" s="69">
        <v>0.33333333333333331</v>
      </c>
    </row>
    <row r="17" spans="1:16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P17" s="69">
        <v>0.33333333333333331</v>
      </c>
    </row>
    <row r="18" spans="1:16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P18" s="69">
        <v>0.33333333333333331</v>
      </c>
    </row>
    <row r="19" spans="1:16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P19" s="69">
        <v>0.34285714285714286</v>
      </c>
    </row>
    <row r="20" spans="1:16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P20" s="69">
        <v>0.34285714285714286</v>
      </c>
    </row>
    <row r="21" spans="1:16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P21" s="69">
        <v>0.31707317073170732</v>
      </c>
    </row>
    <row r="22" spans="1:16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P22" s="69">
        <v>0.32608695652173914</v>
      </c>
    </row>
    <row r="23" spans="1:16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P23" s="69">
        <v>0.32</v>
      </c>
    </row>
    <row r="24" spans="1:16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P24" s="69">
        <v>0.32692307692307693</v>
      </c>
    </row>
    <row r="25" spans="1:16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P25" s="69">
        <v>0.32692307692307693</v>
      </c>
    </row>
    <row r="26" spans="1:16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P26" s="69">
        <v>0.36363636363636365</v>
      </c>
    </row>
    <row r="27" spans="1:16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P27" s="69">
        <v>0.35714285714285715</v>
      </c>
    </row>
    <row r="28" spans="1:16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P28" s="69">
        <v>0.35087719298245612</v>
      </c>
    </row>
    <row r="29" spans="1:16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P29" s="69">
        <v>0.33333333333333331</v>
      </c>
    </row>
    <row r="30" spans="1:16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P30" s="69">
        <v>0.33333333333333331</v>
      </c>
    </row>
    <row r="31" spans="1:16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P31" s="69">
        <v>0.34375</v>
      </c>
    </row>
    <row r="32" spans="1:16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P32" s="69">
        <v>0.35820895522388058</v>
      </c>
    </row>
    <row r="33" spans="1:16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P33" s="69">
        <v>0.34246575342465752</v>
      </c>
    </row>
    <row r="34" spans="1:16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P34" s="69">
        <v>0.33783783783783783</v>
      </c>
    </row>
    <row r="35" spans="1:16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P35" s="69">
        <v>0.35443037974683544</v>
      </c>
    </row>
    <row r="36" spans="1:16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P36" s="69">
        <v>0.35365853658536583</v>
      </c>
    </row>
    <row r="37" spans="1:16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P37" s="69">
        <v>0.35714285714285715</v>
      </c>
    </row>
    <row r="38" spans="1:16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P38" s="69">
        <v>0.34883720930232559</v>
      </c>
    </row>
    <row r="39" spans="1:16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P39" s="69">
        <v>0.35227272727272729</v>
      </c>
    </row>
    <row r="40" spans="1:16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P40" s="69">
        <v>0.38043478260869568</v>
      </c>
    </row>
    <row r="41" spans="1:16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P41" s="69">
        <v>0.38043478260869568</v>
      </c>
    </row>
    <row r="42" spans="1:16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P42" s="69">
        <v>0.38709677419354838</v>
      </c>
    </row>
    <row r="43" spans="1:16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P43" s="69">
        <v>0.39361702127659576</v>
      </c>
    </row>
    <row r="44" spans="1:16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P44" s="69">
        <v>0.38947368421052631</v>
      </c>
    </row>
    <row r="45" spans="1:16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P45" s="69">
        <v>0.40816326530612246</v>
      </c>
    </row>
    <row r="46" spans="1:16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P46" s="69">
        <v>0.40196078431372551</v>
      </c>
    </row>
    <row r="47" spans="1:16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P47" s="69">
        <v>0.39047619047619048</v>
      </c>
    </row>
    <row r="48" spans="1:16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P48" s="69">
        <v>0.37614678899082571</v>
      </c>
    </row>
    <row r="49" spans="1:16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P49" s="69">
        <v>0.375</v>
      </c>
    </row>
    <row r="50" spans="1:16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P50" s="69">
        <v>0.37168141592920356</v>
      </c>
    </row>
    <row r="51" spans="1:16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P51" s="69">
        <v>0.36752136752136755</v>
      </c>
    </row>
    <row r="52" spans="1:16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P52" s="69">
        <v>0.36974789915966388</v>
      </c>
    </row>
    <row r="53" spans="1:16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P53" s="69">
        <v>0.37096774193548387</v>
      </c>
    </row>
    <row r="54" spans="1:16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P54" s="69">
        <v>0.37007874015748032</v>
      </c>
    </row>
    <row r="55" spans="1:16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P55" s="69">
        <v>0.37209302325581395</v>
      </c>
    </row>
    <row r="56" spans="1:16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P56" s="69">
        <v>0.36923076923076925</v>
      </c>
    </row>
    <row r="57" spans="1:16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P57" s="69">
        <v>0.36842105263157893</v>
      </c>
    </row>
    <row r="58" spans="1:16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P58" s="69">
        <v>0.36842105263157893</v>
      </c>
    </row>
    <row r="59" spans="1:16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P59" s="69">
        <v>0.36956521739130432</v>
      </c>
    </row>
    <row r="60" spans="1:16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P60" s="69">
        <v>0.36428571428571427</v>
      </c>
    </row>
    <row r="61" spans="1:16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P61" s="69">
        <v>0.36363636363636365</v>
      </c>
    </row>
    <row r="62" spans="1:16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P62" s="69">
        <v>0.36054421768707484</v>
      </c>
    </row>
    <row r="63" spans="1:16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P63" s="69">
        <v>0.36054421768707484</v>
      </c>
    </row>
    <row r="64" spans="1:16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P64" s="69">
        <v>0.35526315789473684</v>
      </c>
    </row>
    <row r="65" spans="1:16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P65" s="69">
        <v>0.35256410256410259</v>
      </c>
    </row>
    <row r="66" spans="1:16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P66" s="69">
        <v>0.35256410256410259</v>
      </c>
    </row>
    <row r="67" spans="1:16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P67" s="69">
        <v>0.35256410256410259</v>
      </c>
    </row>
    <row r="68" spans="1:16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P68" s="69">
        <v>0.35256410256410259</v>
      </c>
    </row>
    <row r="69" spans="1:16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0</v>
      </c>
      <c r="M69" s="69">
        <v>0</v>
      </c>
      <c r="N69" s="69">
        <v>0</v>
      </c>
      <c r="O69" s="69">
        <v>0</v>
      </c>
      <c r="P69" s="69">
        <v>0.35256410256410259</v>
      </c>
    </row>
    <row r="70" spans="1:16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0.18181818181818182</v>
      </c>
      <c r="M70" s="69">
        <v>0.27272727272727271</v>
      </c>
      <c r="N70" s="69">
        <v>0.5</v>
      </c>
      <c r="O70" s="69">
        <v>0.33333333333333331</v>
      </c>
      <c r="P70" s="69">
        <v>0.34810126582278483</v>
      </c>
    </row>
    <row r="71" spans="1:16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0.15789473684210525</v>
      </c>
      <c r="M71" s="69">
        <v>0.26315789473684209</v>
      </c>
      <c r="N71" s="69">
        <v>0.66666666666666663</v>
      </c>
      <c r="O71" s="69">
        <v>0.4</v>
      </c>
      <c r="P71" s="69">
        <v>0.34782608695652173</v>
      </c>
    </row>
    <row r="72" spans="1:16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0.2</v>
      </c>
      <c r="M72" s="69">
        <v>0.28000000000000003</v>
      </c>
      <c r="N72" s="69">
        <v>0.8</v>
      </c>
      <c r="O72" s="69">
        <v>0.42857142857142855</v>
      </c>
      <c r="P72" s="69">
        <v>0.35365853658536583</v>
      </c>
    </row>
    <row r="73" spans="1:16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0.21212121212121213</v>
      </c>
      <c r="M73" s="69">
        <v>0.33333333333333331</v>
      </c>
      <c r="N73" s="69">
        <v>0.8571428571428571</v>
      </c>
      <c r="O73" s="69">
        <v>0.36363636363636365</v>
      </c>
      <c r="P73" s="69">
        <v>0.3592814371257485</v>
      </c>
    </row>
    <row r="74" spans="1:16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0.20512820512820512</v>
      </c>
      <c r="M74" s="69">
        <v>0.30769230769230771</v>
      </c>
      <c r="N74" s="69">
        <v>0.875</v>
      </c>
      <c r="O74" s="69">
        <v>0.33333333333333331</v>
      </c>
      <c r="P74" s="69">
        <v>0.35714285714285715</v>
      </c>
    </row>
    <row r="75" spans="1:16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0.21276595744680851</v>
      </c>
      <c r="M75" s="69">
        <v>0.31914893617021278</v>
      </c>
      <c r="N75" s="69">
        <v>0.8</v>
      </c>
      <c r="O75" s="69">
        <v>0.4</v>
      </c>
      <c r="P75" s="69">
        <v>0.35087719298245612</v>
      </c>
    </row>
    <row r="76" spans="1:16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0.21818181818181817</v>
      </c>
      <c r="M76" s="69">
        <v>0.32727272727272727</v>
      </c>
      <c r="N76" s="69">
        <v>0.75</v>
      </c>
      <c r="O76" s="69">
        <v>0.5</v>
      </c>
      <c r="P76" s="69">
        <v>0.35428571428571426</v>
      </c>
    </row>
    <row r="77" spans="1:16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0.23728813559322035</v>
      </c>
      <c r="M77" s="69">
        <v>0.32203389830508472</v>
      </c>
      <c r="N77" s="69">
        <v>0.7857142857142857</v>
      </c>
      <c r="O77" s="69">
        <v>0.52631578947368418</v>
      </c>
      <c r="P77" s="69">
        <v>0.3539325842696629</v>
      </c>
    </row>
    <row r="78" spans="1:16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0.26153846153846155</v>
      </c>
      <c r="M78" s="69">
        <v>0.30769230769230771</v>
      </c>
      <c r="N78" s="69">
        <v>0.76470588235294112</v>
      </c>
      <c r="O78" s="69">
        <v>0.5</v>
      </c>
      <c r="P78" s="69">
        <v>0.35911602209944754</v>
      </c>
    </row>
    <row r="79" spans="1:16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0.25352112676056338</v>
      </c>
      <c r="M79" s="69">
        <v>0.29577464788732394</v>
      </c>
      <c r="N79" s="69">
        <v>0.77777777777777779</v>
      </c>
      <c r="O79" s="69">
        <v>0.47619047619047616</v>
      </c>
      <c r="P79" s="69">
        <v>0.35714285714285715</v>
      </c>
    </row>
    <row r="80" spans="1:16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0.28205128205128205</v>
      </c>
      <c r="M80" s="69">
        <v>0.29487179487179488</v>
      </c>
      <c r="N80" s="69">
        <v>0.77272727272727271</v>
      </c>
      <c r="O80" s="69">
        <v>0.43478260869565216</v>
      </c>
      <c r="P80" s="69">
        <v>0.35675675675675678</v>
      </c>
    </row>
    <row r="81" spans="1:16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0.25274725274725274</v>
      </c>
      <c r="M81" s="69">
        <v>0.30769230769230771</v>
      </c>
      <c r="N81" s="69">
        <v>0.78260869565217395</v>
      </c>
      <c r="O81" s="69">
        <v>0.42857142857142855</v>
      </c>
      <c r="P81" s="69">
        <v>0.3473684210526316</v>
      </c>
    </row>
    <row r="82" spans="1:16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0.27083333333333331</v>
      </c>
      <c r="M82" s="69">
        <v>0.29166666666666669</v>
      </c>
      <c r="N82" s="69">
        <v>0.76923076923076927</v>
      </c>
      <c r="O82" s="69">
        <v>0.42857142857142855</v>
      </c>
      <c r="P82" s="69">
        <v>0.34196891191709844</v>
      </c>
    </row>
    <row r="83" spans="1:16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0.25961538461538464</v>
      </c>
      <c r="M83" s="69">
        <v>0.28846153846153844</v>
      </c>
      <c r="N83" s="69">
        <v>0.77777777777777779</v>
      </c>
      <c r="O83" s="69">
        <v>0.46666666666666667</v>
      </c>
      <c r="P83" s="69">
        <v>0.34343434343434343</v>
      </c>
    </row>
    <row r="84" spans="1:16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0.25892857142857145</v>
      </c>
      <c r="M84" s="69">
        <v>0.2767857142857143</v>
      </c>
      <c r="N84" s="69">
        <v>0.75862068965517238</v>
      </c>
      <c r="O84" s="69">
        <v>0.45161290322580644</v>
      </c>
      <c r="P84" s="69">
        <v>0.35323383084577115</v>
      </c>
    </row>
    <row r="85" spans="1:16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0.26495726495726496</v>
      </c>
      <c r="M85" s="69">
        <v>0.26495726495726496</v>
      </c>
      <c r="N85" s="69">
        <v>0.74193548387096775</v>
      </c>
      <c r="O85" s="69">
        <v>0.45161290322580644</v>
      </c>
      <c r="P85" s="69">
        <v>0.35960591133004927</v>
      </c>
    </row>
    <row r="86" spans="1:16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0.27480916030534353</v>
      </c>
      <c r="M86" s="69">
        <v>0.25190839694656486</v>
      </c>
      <c r="N86" s="69">
        <v>0.75</v>
      </c>
      <c r="O86" s="69">
        <v>0.45454545454545453</v>
      </c>
      <c r="P86" s="69">
        <v>0.35406698564593303</v>
      </c>
    </row>
    <row r="87" spans="1:16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0.28776978417266186</v>
      </c>
      <c r="M87" s="69">
        <v>0.2446043165467626</v>
      </c>
      <c r="N87" s="69">
        <v>0.72499999999999998</v>
      </c>
      <c r="O87" s="69">
        <v>0.44117647058823528</v>
      </c>
      <c r="P87" s="69">
        <v>0.35071090047393366</v>
      </c>
    </row>
    <row r="88" spans="1:16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0.29251700680272108</v>
      </c>
      <c r="M88" s="69">
        <v>0.23129251700680273</v>
      </c>
      <c r="N88" s="69">
        <v>0.72093023255813948</v>
      </c>
      <c r="O88" s="69">
        <v>0.44117647058823528</v>
      </c>
      <c r="P88" s="69">
        <v>0.352112676056338</v>
      </c>
    </row>
    <row r="89" spans="1:16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0.29032258064516131</v>
      </c>
      <c r="M89" s="69">
        <v>0.23225806451612904</v>
      </c>
      <c r="N89" s="69">
        <v>0.71111111111111114</v>
      </c>
      <c r="O89" s="69">
        <v>0.47222222222222221</v>
      </c>
      <c r="P89" s="69">
        <v>0.34722222222222221</v>
      </c>
    </row>
    <row r="90" spans="1:16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0.29012345679012347</v>
      </c>
      <c r="M90" s="69">
        <v>0.23456790123456789</v>
      </c>
      <c r="N90" s="69">
        <v>0.7021276595744681</v>
      </c>
      <c r="O90" s="69">
        <v>0.47368421052631576</v>
      </c>
      <c r="P90" s="69">
        <v>0.34862385321100919</v>
      </c>
    </row>
    <row r="91" spans="1:16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0.29239766081871343</v>
      </c>
      <c r="M91" s="69">
        <v>0.23391812865497075</v>
      </c>
      <c r="N91" s="69">
        <v>0.72</v>
      </c>
      <c r="O91" s="69">
        <v>0.47499999999999998</v>
      </c>
      <c r="P91" s="69">
        <v>0.34684684684684686</v>
      </c>
    </row>
    <row r="92" spans="1:16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0.29050279329608941</v>
      </c>
      <c r="M92" s="69">
        <v>0.22346368715083798</v>
      </c>
      <c r="N92" s="69">
        <v>0.73076923076923073</v>
      </c>
      <c r="O92" s="69">
        <v>0.47499999999999998</v>
      </c>
      <c r="P92" s="69">
        <v>0.35267857142857145</v>
      </c>
    </row>
    <row r="93" spans="1:16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0.28421052631578947</v>
      </c>
      <c r="M93" s="69">
        <v>0.23157894736842105</v>
      </c>
      <c r="N93" s="69">
        <v>0.7407407407407407</v>
      </c>
      <c r="O93" s="69">
        <v>0.45454545454545453</v>
      </c>
      <c r="P93" s="69">
        <v>0.35087719298245612</v>
      </c>
    </row>
    <row r="94" spans="1:16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0.29081632653061223</v>
      </c>
      <c r="M94" s="69">
        <v>0.23469387755102042</v>
      </c>
      <c r="N94" s="69">
        <v>0.75438596491228072</v>
      </c>
      <c r="O94" s="69">
        <v>0.45652173913043476</v>
      </c>
      <c r="P94" s="69">
        <v>0.34913793103448276</v>
      </c>
    </row>
    <row r="95" spans="1:16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0.29556650246305421</v>
      </c>
      <c r="M95" s="69">
        <v>0.23645320197044334</v>
      </c>
      <c r="N95" s="69">
        <v>0.75</v>
      </c>
      <c r="O95" s="69">
        <v>0.47916666666666669</v>
      </c>
      <c r="P95" s="69">
        <v>0.35169491525423729</v>
      </c>
    </row>
    <row r="96" spans="1:16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0.29383886255924169</v>
      </c>
      <c r="M96" s="69">
        <v>0.22748815165876776</v>
      </c>
      <c r="N96" s="69">
        <v>0.74193548387096775</v>
      </c>
      <c r="O96" s="69">
        <v>0.47916666666666669</v>
      </c>
      <c r="P96" s="69">
        <v>0.35294117647058826</v>
      </c>
    </row>
    <row r="97" spans="1:16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0.29032258064516131</v>
      </c>
      <c r="M97" s="69">
        <v>0.22580645161290322</v>
      </c>
      <c r="N97" s="69">
        <v>0.73015873015873012</v>
      </c>
      <c r="O97" s="69">
        <v>0.46938775510204084</v>
      </c>
      <c r="P97" s="69">
        <v>0.35294117647058826</v>
      </c>
    </row>
    <row r="98" spans="1:16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0.29090909090909089</v>
      </c>
      <c r="M98" s="69">
        <v>0.22272727272727272</v>
      </c>
      <c r="N98" s="69">
        <v>0.71875</v>
      </c>
      <c r="O98" s="69">
        <v>0.46938775510204084</v>
      </c>
      <c r="P98" s="69">
        <v>0.35294117647058826</v>
      </c>
    </row>
    <row r="99" spans="1:16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0.29515418502202645</v>
      </c>
      <c r="M99" s="69">
        <v>0.22466960352422907</v>
      </c>
      <c r="N99" s="69">
        <v>0.71641791044776115</v>
      </c>
      <c r="O99" s="69">
        <v>0.47058823529411764</v>
      </c>
      <c r="P99" s="69">
        <v>0.35537190082644626</v>
      </c>
    </row>
    <row r="100" spans="1:16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0.2978723404255319</v>
      </c>
      <c r="M100" s="69">
        <v>0.21702127659574469</v>
      </c>
      <c r="N100" s="69">
        <v>0.7142857142857143</v>
      </c>
      <c r="O100" s="69">
        <v>0.47058823529411764</v>
      </c>
      <c r="P100" s="69">
        <v>0.36065573770491804</v>
      </c>
    </row>
    <row r="101" spans="1:16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0.29795918367346941</v>
      </c>
      <c r="M101" s="69">
        <v>0.22448979591836735</v>
      </c>
      <c r="N101" s="69">
        <v>0.71232876712328763</v>
      </c>
      <c r="O101" s="69">
        <v>0.49090909090909091</v>
      </c>
      <c r="P101" s="69">
        <v>0.35856573705179284</v>
      </c>
    </row>
    <row r="102" spans="1:16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0.30278884462151395</v>
      </c>
      <c r="M102" s="69">
        <v>0.21912350597609562</v>
      </c>
      <c r="N102" s="69">
        <v>0.71052631578947367</v>
      </c>
      <c r="O102" s="69">
        <v>0.49090909090909091</v>
      </c>
      <c r="P102" s="69">
        <v>0.35968379446640314</v>
      </c>
    </row>
    <row r="103" spans="1:16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0.30078125</v>
      </c>
      <c r="M103" s="69">
        <v>0.21875</v>
      </c>
      <c r="N103" s="69">
        <v>0.7142857142857143</v>
      </c>
      <c r="O103" s="69">
        <v>0.48214285714285715</v>
      </c>
      <c r="P103" s="69">
        <v>0.36220472440944884</v>
      </c>
    </row>
    <row r="104" spans="1:16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0.29368029739776952</v>
      </c>
      <c r="M104" s="69">
        <v>0.21561338289962825</v>
      </c>
      <c r="N104" s="69">
        <v>0.70886075949367089</v>
      </c>
      <c r="O104" s="69">
        <v>0.46551724137931033</v>
      </c>
      <c r="P104" s="69">
        <v>0.35797665369649806</v>
      </c>
    </row>
    <row r="105" spans="1:16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0.29496402877697842</v>
      </c>
      <c r="M105" s="69">
        <v>0.21582733812949639</v>
      </c>
      <c r="N105" s="69">
        <v>0.70731707317073167</v>
      </c>
      <c r="O105" s="69">
        <v>0.45</v>
      </c>
      <c r="P105" s="69">
        <v>0.36153846153846153</v>
      </c>
    </row>
    <row r="106" spans="1:16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0.28719723183391005</v>
      </c>
      <c r="M106" s="69">
        <v>0.2179930795847751</v>
      </c>
      <c r="N106" s="69">
        <v>0.6987951807228916</v>
      </c>
      <c r="O106" s="69">
        <v>0.44444444444444442</v>
      </c>
      <c r="P106" s="69">
        <v>0.36501901140684412</v>
      </c>
    </row>
    <row r="107" spans="1:16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0.28716216216216217</v>
      </c>
      <c r="M107" s="69">
        <v>0.2195945945945946</v>
      </c>
      <c r="N107" s="69">
        <v>0.70588235294117652</v>
      </c>
      <c r="O107" s="69">
        <v>0.44615384615384618</v>
      </c>
      <c r="P107" s="69">
        <v>0.36842105263157893</v>
      </c>
    </row>
    <row r="108" spans="1:16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0.28428093645484948</v>
      </c>
      <c r="M108" s="69">
        <v>0.21739130434782608</v>
      </c>
      <c r="N108" s="69">
        <v>0.70588235294117652</v>
      </c>
      <c r="O108" s="69">
        <v>0.44615384615384618</v>
      </c>
      <c r="P108" s="69">
        <v>0.36704119850187267</v>
      </c>
    </row>
    <row r="109" spans="1:16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0.28338762214983715</v>
      </c>
      <c r="M109" s="69">
        <v>0.21824104234527689</v>
      </c>
      <c r="N109" s="69">
        <v>0.70114942528735635</v>
      </c>
      <c r="O109" s="69">
        <v>0.44776119402985076</v>
      </c>
      <c r="P109" s="69">
        <v>0.36431226765799257</v>
      </c>
    </row>
    <row r="110" spans="1:16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0.28115015974440893</v>
      </c>
      <c r="M110" s="69">
        <v>0.21725239616613418</v>
      </c>
      <c r="N110" s="69">
        <v>0.70454545454545459</v>
      </c>
      <c r="O110" s="69">
        <v>0.45588235294117646</v>
      </c>
      <c r="P110" s="69">
        <v>0.36900369003690037</v>
      </c>
    </row>
    <row r="111" spans="1:16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0.2822085889570552</v>
      </c>
      <c r="M111" s="69">
        <v>0.21779141104294478</v>
      </c>
      <c r="N111" s="69">
        <v>0.70652173913043481</v>
      </c>
      <c r="O111" s="69">
        <v>0.45070422535211269</v>
      </c>
      <c r="P111" s="69">
        <v>0.37454545454545457</v>
      </c>
    </row>
    <row r="112" spans="1:16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0.28313253012048195</v>
      </c>
      <c r="M112" s="69">
        <v>0.22289156626506024</v>
      </c>
      <c r="N112" s="69">
        <v>0.71276595744680848</v>
      </c>
      <c r="O112" s="69">
        <v>0.44594594594594594</v>
      </c>
      <c r="P112" s="69">
        <v>0.37410071942446044</v>
      </c>
    </row>
    <row r="113" spans="1:16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0.28613569321533922</v>
      </c>
      <c r="M113" s="69">
        <v>0.22123893805309736</v>
      </c>
      <c r="N113" s="69">
        <v>0.72164948453608246</v>
      </c>
      <c r="O113" s="69">
        <v>0.44</v>
      </c>
      <c r="P113" s="69">
        <v>0.37722419928825623</v>
      </c>
    </row>
    <row r="114" spans="1:16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0.28735632183908044</v>
      </c>
      <c r="M114" s="69">
        <v>0.21551724137931033</v>
      </c>
      <c r="N114" s="69">
        <v>0.72</v>
      </c>
      <c r="O114" s="69">
        <v>0.44</v>
      </c>
      <c r="P114" s="69">
        <v>0.37809187279151946</v>
      </c>
    </row>
    <row r="115" spans="1:16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0.28813559322033899</v>
      </c>
      <c r="M115" s="69">
        <v>0.2175141242937853</v>
      </c>
      <c r="N115" s="69">
        <v>0.71568627450980393</v>
      </c>
      <c r="O115" s="69">
        <v>0.45454545454545453</v>
      </c>
      <c r="P115" s="69">
        <v>0.37412587412587411</v>
      </c>
    </row>
    <row r="116" spans="1:16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0.29005524861878451</v>
      </c>
      <c r="M116" s="69">
        <v>0.21546961325966851</v>
      </c>
      <c r="N116" s="69">
        <v>0.70476190476190481</v>
      </c>
      <c r="O116" s="69">
        <v>0.46153846153846156</v>
      </c>
      <c r="P116" s="69">
        <v>0.37024221453287198</v>
      </c>
    </row>
    <row r="117" spans="1:16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0.28688524590163933</v>
      </c>
      <c r="M117" s="69">
        <v>0.21311475409836064</v>
      </c>
      <c r="N117" s="69">
        <v>0.70476190476190481</v>
      </c>
      <c r="O117" s="69">
        <v>0.46153846153846156</v>
      </c>
      <c r="P117" s="69">
        <v>0.37024221453287198</v>
      </c>
    </row>
    <row r="118" spans="1:16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0.28418230563002683</v>
      </c>
      <c r="M118" s="69">
        <v>0.21179624664879357</v>
      </c>
      <c r="N118" s="69">
        <v>0.70754716981132071</v>
      </c>
      <c r="O118" s="69">
        <v>0.46835443037974683</v>
      </c>
      <c r="P118" s="69">
        <v>0.3651877133105802</v>
      </c>
    </row>
    <row r="119" spans="1:16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0.2879581151832461</v>
      </c>
      <c r="M119" s="69">
        <v>0.20942408376963351</v>
      </c>
      <c r="N119" s="69">
        <v>0.70909090909090911</v>
      </c>
      <c r="O119" s="69">
        <v>0.46250000000000002</v>
      </c>
      <c r="P119" s="69">
        <v>0.36148648648648651</v>
      </c>
    </row>
    <row r="120" spans="1:16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0.28865979381443296</v>
      </c>
      <c r="M120" s="69">
        <v>0.20876288659793815</v>
      </c>
      <c r="N120" s="69">
        <v>0.7142857142857143</v>
      </c>
      <c r="O120" s="69">
        <v>0.4567901234567901</v>
      </c>
      <c r="P120" s="69">
        <v>0.36241610738255031</v>
      </c>
    </row>
    <row r="121" spans="1:16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0.2871536523929471</v>
      </c>
      <c r="M121" s="69">
        <v>0.20906801007556675</v>
      </c>
      <c r="N121" s="69">
        <v>0.71052631578947367</v>
      </c>
      <c r="O121" s="69">
        <v>0.44578313253012047</v>
      </c>
      <c r="P121" s="69">
        <v>0.36333333333333334</v>
      </c>
    </row>
    <row r="122" spans="1:16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0.28358208955223879</v>
      </c>
      <c r="M122" s="69">
        <v>0.20895522388059701</v>
      </c>
      <c r="N122" s="69">
        <v>0.71052631578947367</v>
      </c>
      <c r="O122" s="69">
        <v>0.44047619047619047</v>
      </c>
      <c r="P122" s="69">
        <v>0.36333333333333334</v>
      </c>
    </row>
    <row r="123" spans="1:16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0.28501228501228504</v>
      </c>
      <c r="M123" s="69">
        <v>0.20638820638820637</v>
      </c>
      <c r="N123" s="69">
        <v>0.71551724137931039</v>
      </c>
      <c r="O123" s="69">
        <v>0.44047619047619047</v>
      </c>
      <c r="P123" s="69">
        <v>0.36513157894736842</v>
      </c>
    </row>
    <row r="124" spans="1:16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0.28467153284671531</v>
      </c>
      <c r="M124" s="69">
        <v>0.20681265206812652</v>
      </c>
      <c r="N124" s="69">
        <v>0.70940170940170943</v>
      </c>
      <c r="O124" s="69">
        <v>0.43529411764705883</v>
      </c>
      <c r="P124" s="69">
        <v>0.36513157894736842</v>
      </c>
    </row>
    <row r="125" spans="1:16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0.28503562945368172</v>
      </c>
      <c r="M125" s="69">
        <v>0.20902612826603326</v>
      </c>
      <c r="N125" s="69">
        <v>0.69166666666666665</v>
      </c>
      <c r="O125" s="69">
        <v>0.43181818181818182</v>
      </c>
      <c r="P125" s="69">
        <v>0.36601307189542481</v>
      </c>
    </row>
    <row r="126" spans="1:16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0.28472222222222221</v>
      </c>
      <c r="M126" s="69">
        <v>0.20833333333333334</v>
      </c>
      <c r="N126" s="69">
        <v>0.68292682926829273</v>
      </c>
      <c r="O126" s="69">
        <v>0.42222222222222222</v>
      </c>
      <c r="P126" s="69">
        <v>0.36482084690553745</v>
      </c>
    </row>
    <row r="127" spans="1:16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0.2847380410022779</v>
      </c>
      <c r="M127" s="69">
        <v>0.20956719817767655</v>
      </c>
      <c r="N127" s="69">
        <v>0.68</v>
      </c>
      <c r="O127" s="69">
        <v>0.43478260869565216</v>
      </c>
      <c r="P127" s="69">
        <v>0.36334405144694532</v>
      </c>
    </row>
    <row r="128" spans="1:16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0.28635346756152125</v>
      </c>
      <c r="M128" s="69">
        <v>0.21252796420581654</v>
      </c>
      <c r="N128" s="69">
        <v>0.6796875</v>
      </c>
      <c r="O128" s="69">
        <v>0.45263157894736844</v>
      </c>
      <c r="P128" s="69">
        <v>0.36075949367088606</v>
      </c>
    </row>
    <row r="129" spans="1:16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0.28289473684210525</v>
      </c>
      <c r="M129" s="69">
        <v>0.21710526315789475</v>
      </c>
      <c r="N129" s="69">
        <v>0.68217054263565891</v>
      </c>
      <c r="O129" s="69">
        <v>0.46464646464646464</v>
      </c>
      <c r="P129" s="69">
        <v>0.36562499999999998</v>
      </c>
    </row>
    <row r="130" spans="1:16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0.28232758620689657</v>
      </c>
      <c r="M130" s="69">
        <v>0.21982758620689655</v>
      </c>
      <c r="N130" s="69">
        <v>0.68702290076335881</v>
      </c>
      <c r="O130" s="69">
        <v>0.48039215686274511</v>
      </c>
      <c r="P130" s="69">
        <v>0.36615384615384616</v>
      </c>
    </row>
    <row r="131" spans="1:16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0.28177966101694918</v>
      </c>
      <c r="M131" s="69">
        <v>0.22033898305084745</v>
      </c>
      <c r="N131" s="69">
        <v>0.69172932330827064</v>
      </c>
      <c r="O131" s="69">
        <v>0.47115384615384615</v>
      </c>
      <c r="P131" s="69">
        <v>0.37003058103975534</v>
      </c>
    </row>
    <row r="132" spans="1:16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0.28215767634854771</v>
      </c>
      <c r="M132" s="69">
        <v>0.22199170124481327</v>
      </c>
      <c r="N132" s="69">
        <v>0.68382352941176472</v>
      </c>
      <c r="O132" s="69">
        <v>0.46728971962616822</v>
      </c>
      <c r="P132" s="69">
        <v>0.37082066869300911</v>
      </c>
    </row>
    <row r="133" spans="1:16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0.28688524590163933</v>
      </c>
      <c r="M133" s="69">
        <v>0.22131147540983606</v>
      </c>
      <c r="N133" s="69">
        <v>0.6785714285714286</v>
      </c>
      <c r="O133" s="69">
        <v>0.47222222222222221</v>
      </c>
      <c r="P133" s="69">
        <v>0.37349397590361444</v>
      </c>
    </row>
    <row r="134" spans="1:16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0.28282828282828282</v>
      </c>
      <c r="M134" s="69">
        <v>0.22222222222222221</v>
      </c>
      <c r="N134" s="69">
        <v>0.6785714285714286</v>
      </c>
      <c r="O134" s="69">
        <v>0.47272727272727272</v>
      </c>
      <c r="P134" s="69">
        <v>0.37237237237237236</v>
      </c>
    </row>
    <row r="135" spans="1:16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0.28063241106719367</v>
      </c>
      <c r="M135" s="69">
        <v>0.22332015810276679</v>
      </c>
      <c r="N135" s="69">
        <v>0.676056338028169</v>
      </c>
      <c r="O135" s="69">
        <v>0.48672566371681414</v>
      </c>
      <c r="P135" s="69">
        <v>0.36950146627565983</v>
      </c>
    </row>
    <row r="136" spans="1:16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0.28375733855185908</v>
      </c>
      <c r="M136" s="69">
        <v>0.22309197651663404</v>
      </c>
      <c r="N136" s="69">
        <v>0.66896551724137931</v>
      </c>
      <c r="O136" s="69">
        <v>0.48245614035087719</v>
      </c>
      <c r="P136" s="69">
        <v>0.36842105263157893</v>
      </c>
    </row>
    <row r="137" spans="1:16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0.28709055876685935</v>
      </c>
      <c r="M137" s="69">
        <v>0.22157996146435452</v>
      </c>
      <c r="N137" s="69">
        <v>0.67785234899328861</v>
      </c>
      <c r="O137" s="69">
        <v>0.48695652173913045</v>
      </c>
      <c r="P137" s="69">
        <v>0.37068965517241381</v>
      </c>
    </row>
    <row r="138" spans="1:16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0.28977272727272729</v>
      </c>
      <c r="M138" s="69">
        <v>0.2196969696969697</v>
      </c>
      <c r="N138" s="69">
        <v>0.6797385620915033</v>
      </c>
      <c r="O138" s="69">
        <v>0.48275862068965519</v>
      </c>
      <c r="P138" s="69">
        <v>0.36931818181818182</v>
      </c>
    </row>
    <row r="139" spans="1:16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0.29422718808193671</v>
      </c>
      <c r="M139" s="69">
        <v>0.21601489757914338</v>
      </c>
      <c r="N139" s="69">
        <v>0.67088607594936711</v>
      </c>
      <c r="O139" s="69">
        <v>0.48275862068965519</v>
      </c>
      <c r="P139" s="69">
        <v>0.36901408450704226</v>
      </c>
    </row>
    <row r="140" spans="1:16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0.29326047358834245</v>
      </c>
      <c r="M140" s="69">
        <v>0.21493624772313297</v>
      </c>
      <c r="N140" s="69">
        <v>0.67080745341614911</v>
      </c>
      <c r="O140" s="69">
        <v>0.48305084745762711</v>
      </c>
      <c r="P140" s="69">
        <v>0.36768802228412256</v>
      </c>
    </row>
    <row r="141" spans="1:16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0.29316546762589929</v>
      </c>
      <c r="M141" s="69">
        <v>0.21762589928057555</v>
      </c>
      <c r="N141" s="69">
        <v>0.66871165644171782</v>
      </c>
      <c r="O141" s="69">
        <v>0.48760330578512395</v>
      </c>
      <c r="P141" s="69">
        <v>0.36464088397790057</v>
      </c>
    </row>
    <row r="142" spans="1:16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0.29203539823008851</v>
      </c>
      <c r="M142" s="69">
        <v>0.21592920353982301</v>
      </c>
      <c r="N142" s="69">
        <v>0.67272727272727273</v>
      </c>
      <c r="O142" s="69">
        <v>0.48360655737704916</v>
      </c>
      <c r="P142" s="69">
        <v>0.36538461538461536</v>
      </c>
    </row>
    <row r="143" spans="1:16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0.296875</v>
      </c>
      <c r="M143" s="69">
        <v>0.2170138888888889</v>
      </c>
      <c r="N143" s="69">
        <v>0.67251461988304095</v>
      </c>
      <c r="O143" s="69">
        <v>0.47199999999999998</v>
      </c>
      <c r="P143" s="69">
        <v>0.37127371273712739</v>
      </c>
    </row>
    <row r="144" spans="1:16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0.29401709401709403</v>
      </c>
      <c r="M144" s="69">
        <v>0.22222222222222221</v>
      </c>
      <c r="N144" s="69">
        <v>0.66860465116279066</v>
      </c>
      <c r="O144" s="69">
        <v>0.46923076923076923</v>
      </c>
      <c r="P144" s="69">
        <v>0.37096774193548387</v>
      </c>
    </row>
    <row r="145" spans="1:16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0.29342327150084319</v>
      </c>
      <c r="M145" s="69">
        <v>0.22259696458684655</v>
      </c>
      <c r="N145" s="69">
        <v>0.66666666666666663</v>
      </c>
      <c r="O145" s="69">
        <v>0.46969696969696972</v>
      </c>
      <c r="P145" s="69">
        <v>0.37165775401069517</v>
      </c>
    </row>
    <row r="146" spans="1:16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0.28951747088186358</v>
      </c>
      <c r="M146" s="69">
        <v>0.22296173044925124</v>
      </c>
      <c r="N146" s="69">
        <v>0.66666666666666663</v>
      </c>
      <c r="O146" s="69">
        <v>0.47014925373134331</v>
      </c>
      <c r="P146" s="69">
        <v>0.36968085106382981</v>
      </c>
    </row>
    <row r="147" spans="1:16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0.28641571194762683</v>
      </c>
      <c r="M147" s="69">
        <v>0.22422258592471359</v>
      </c>
      <c r="N147" s="69">
        <v>0.66285714285714281</v>
      </c>
      <c r="O147" s="69">
        <v>0.46715328467153283</v>
      </c>
      <c r="P147" s="69">
        <v>0.3687002652519894</v>
      </c>
    </row>
    <row r="148" spans="1:16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0.28780487804878047</v>
      </c>
      <c r="M148" s="69">
        <v>0.22439024390243903</v>
      </c>
      <c r="N148" s="69">
        <v>0.66101694915254239</v>
      </c>
      <c r="O148" s="69">
        <v>0.47101449275362317</v>
      </c>
      <c r="P148" s="69">
        <v>0.36675461741424803</v>
      </c>
    </row>
    <row r="149" spans="1:16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0.2861736334405145</v>
      </c>
      <c r="M149" s="69">
        <v>0.22990353697749197</v>
      </c>
      <c r="N149" s="69">
        <v>0.6629213483146067</v>
      </c>
      <c r="O149" s="69">
        <v>0.47552447552447552</v>
      </c>
      <c r="P149" s="69">
        <v>0.36292428198433418</v>
      </c>
    </row>
    <row r="150" spans="1:16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0.2857142857142857</v>
      </c>
      <c r="M150" s="69">
        <v>0.22953451043338685</v>
      </c>
      <c r="N150" s="69">
        <v>0.6629213483146067</v>
      </c>
      <c r="O150" s="69">
        <v>0.47552447552447552</v>
      </c>
      <c r="P150" s="69">
        <v>0.36292428198433418</v>
      </c>
    </row>
    <row r="151" spans="1:16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0.2848101265822785</v>
      </c>
      <c r="M151" s="69">
        <v>0.23259493670886075</v>
      </c>
      <c r="N151" s="69">
        <v>0.66111111111111109</v>
      </c>
      <c r="O151" s="69">
        <v>0.46938775510204084</v>
      </c>
      <c r="P151" s="69">
        <v>0.36623376623376624</v>
      </c>
    </row>
    <row r="152" spans="1:16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0.28705148205928238</v>
      </c>
      <c r="M152" s="69">
        <v>0.23244929797191888</v>
      </c>
      <c r="N152" s="69">
        <v>0.65760869565217395</v>
      </c>
      <c r="O152" s="69">
        <v>0.47651006711409394</v>
      </c>
      <c r="P152" s="69">
        <v>0.36503856041131105</v>
      </c>
    </row>
    <row r="153" spans="1:16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0.2846153846153846</v>
      </c>
      <c r="M153" s="69">
        <v>0.23692307692307693</v>
      </c>
      <c r="N153" s="69">
        <v>0.6594594594594595</v>
      </c>
      <c r="O153" s="69">
        <v>0.46753246753246752</v>
      </c>
      <c r="P153" s="69">
        <v>0.3631713554987212</v>
      </c>
    </row>
    <row r="154" spans="1:16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0.28396946564885495</v>
      </c>
      <c r="M154" s="69">
        <v>0.23511450381679388</v>
      </c>
      <c r="N154" s="69">
        <v>0.66129032258064513</v>
      </c>
      <c r="O154" s="69">
        <v>0.46753246753246752</v>
      </c>
      <c r="P154" s="69">
        <v>0.36479591836734693</v>
      </c>
    </row>
    <row r="155" spans="1:16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0.28378378378378377</v>
      </c>
      <c r="M155" s="69">
        <v>0.23273273273273273</v>
      </c>
      <c r="N155" s="69">
        <v>0.65608465608465605</v>
      </c>
      <c r="O155" s="69">
        <v>0.47096774193548385</v>
      </c>
      <c r="P155" s="69">
        <v>0.36775818639798491</v>
      </c>
    </row>
    <row r="156" spans="1:16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0.2838038632986627</v>
      </c>
      <c r="M156" s="69">
        <v>0.23179791976225855</v>
      </c>
      <c r="N156" s="69">
        <v>0.65445026178010468</v>
      </c>
      <c r="O156" s="69">
        <v>0.46794871794871795</v>
      </c>
      <c r="P156" s="69">
        <v>0.36683417085427134</v>
      </c>
    </row>
    <row r="157" spans="1:16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0.2838235294117647</v>
      </c>
      <c r="M157" s="69">
        <v>0.23088235294117648</v>
      </c>
      <c r="N157" s="69">
        <v>0.65803108808290156</v>
      </c>
      <c r="O157" s="69">
        <v>0.46496815286624205</v>
      </c>
      <c r="P157" s="69">
        <v>0.36907730673316708</v>
      </c>
    </row>
    <row r="158" spans="1:16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0.28425655976676384</v>
      </c>
      <c r="M158" s="69">
        <v>0.22886297376093295</v>
      </c>
      <c r="N158" s="69">
        <v>0.65641025641025641</v>
      </c>
      <c r="O158" s="69">
        <v>0.46496815286624205</v>
      </c>
      <c r="P158" s="69">
        <v>0.36815920398009949</v>
      </c>
    </row>
    <row r="159" spans="1:16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0.28591954022988508</v>
      </c>
      <c r="M159" s="69">
        <v>0.22557471264367815</v>
      </c>
      <c r="N159" s="69">
        <v>0.65326633165829151</v>
      </c>
      <c r="O159" s="69">
        <v>0.46496815286624205</v>
      </c>
      <c r="P159" s="69">
        <v>0.36633663366336633</v>
      </c>
    </row>
    <row r="160" spans="1:16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0.28267045454545453</v>
      </c>
      <c r="M160" s="69">
        <v>0.22443181818181818</v>
      </c>
      <c r="N160" s="69">
        <v>0.65326633165829151</v>
      </c>
      <c r="O160" s="69">
        <v>0.46835443037974683</v>
      </c>
      <c r="P160" s="69">
        <v>0.36945812807881773</v>
      </c>
    </row>
    <row r="161" spans="1:16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0.28270042194092826</v>
      </c>
      <c r="M161" s="69">
        <v>0.22222222222222221</v>
      </c>
      <c r="N161" s="69">
        <v>0.65671641791044777</v>
      </c>
      <c r="O161" s="69">
        <v>0.46835443037974683</v>
      </c>
      <c r="P161" s="69">
        <v>0.36829268292682926</v>
      </c>
    </row>
    <row r="162" spans="1:16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0.28710124826629679</v>
      </c>
      <c r="M162" s="69">
        <v>0.22052704576976423</v>
      </c>
      <c r="N162" s="69">
        <v>0.64734299516908211</v>
      </c>
      <c r="O162" s="69">
        <v>0.46540880503144655</v>
      </c>
      <c r="P162" s="69">
        <v>0.36650485436893204</v>
      </c>
    </row>
    <row r="163" spans="1:16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0.28767123287671231</v>
      </c>
      <c r="M163" s="69">
        <v>0.22054794520547946</v>
      </c>
      <c r="N163" s="69">
        <v>0.64761904761904765</v>
      </c>
      <c r="O163" s="69">
        <v>0.46583850931677018</v>
      </c>
      <c r="P163" s="69">
        <v>0.36867469879518072</v>
      </c>
    </row>
    <row r="164" spans="1:16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0.2872628726287263</v>
      </c>
      <c r="M164" s="69">
        <v>0.22086720867208673</v>
      </c>
      <c r="N164" s="69">
        <v>0.65094339622641506</v>
      </c>
      <c r="O164" s="69">
        <v>0.47239263803680981</v>
      </c>
      <c r="P164" s="69">
        <v>0.37231503579952269</v>
      </c>
    </row>
    <row r="165" spans="1:16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0.28838451268357812</v>
      </c>
      <c r="M165" s="69">
        <v>0.22162883845126835</v>
      </c>
      <c r="N165" s="69">
        <v>0.64351851851851849</v>
      </c>
      <c r="O165" s="69">
        <v>0.4759036144578313</v>
      </c>
      <c r="P165" s="69">
        <v>0.37677725118483413</v>
      </c>
    </row>
    <row r="166" spans="1:16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0.28477690288713908</v>
      </c>
      <c r="M166" s="69">
        <v>0.2230971128608924</v>
      </c>
      <c r="N166" s="69">
        <v>0.64055299539170507</v>
      </c>
      <c r="O166" s="69">
        <v>0.48823529411764705</v>
      </c>
      <c r="P166" s="69">
        <v>0.3779342723004695</v>
      </c>
    </row>
    <row r="167" spans="1:16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0.28385416666666669</v>
      </c>
      <c r="M167" s="69">
        <v>0.22135416666666666</v>
      </c>
      <c r="N167" s="69">
        <v>0.63761467889908252</v>
      </c>
      <c r="O167" s="69">
        <v>0.48823529411764705</v>
      </c>
      <c r="P167" s="69">
        <v>0.37939110070257609</v>
      </c>
    </row>
    <row r="168" spans="1:16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0.28479381443298968</v>
      </c>
      <c r="M168" s="69">
        <v>0.22293814432989692</v>
      </c>
      <c r="N168" s="69">
        <v>0.63348416289592757</v>
      </c>
      <c r="O168" s="69">
        <v>0.48554913294797686</v>
      </c>
      <c r="P168" s="69">
        <v>0.38228438228438227</v>
      </c>
    </row>
    <row r="169" spans="1:16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0.28172588832487311</v>
      </c>
      <c r="M169" s="69">
        <v>0.22461928934010153</v>
      </c>
      <c r="N169" s="69">
        <v>0.63063063063063063</v>
      </c>
      <c r="O169" s="69">
        <v>0.47457627118644069</v>
      </c>
      <c r="P169" s="69">
        <v>0.38139534883720932</v>
      </c>
    </row>
    <row r="170" spans="1:16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0.28211586901763225</v>
      </c>
      <c r="M170" s="69">
        <v>0.22418136020151133</v>
      </c>
      <c r="N170" s="69">
        <v>0.6294642857142857</v>
      </c>
      <c r="O170" s="69">
        <v>0.47752808988764045</v>
      </c>
      <c r="P170" s="69">
        <v>0.38106235565819863</v>
      </c>
    </row>
    <row r="171" spans="1:16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0.28410513141426785</v>
      </c>
      <c r="M171" s="69">
        <v>0.2227784730913642</v>
      </c>
      <c r="N171" s="69">
        <v>0.63436123348017626</v>
      </c>
      <c r="O171" s="69">
        <v>0.47752808988764045</v>
      </c>
      <c r="P171" s="69">
        <v>0.37986270022883295</v>
      </c>
    </row>
    <row r="172" spans="1:16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0.28376703841387857</v>
      </c>
      <c r="M172" s="69">
        <v>0.22304832713754646</v>
      </c>
      <c r="N172" s="69">
        <v>0.63755458515283847</v>
      </c>
      <c r="O172" s="69">
        <v>0.48333333333333334</v>
      </c>
      <c r="P172" s="69">
        <v>0.3832199546485261</v>
      </c>
    </row>
    <row r="173" spans="1:16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0.28431372549019607</v>
      </c>
      <c r="M173" s="69">
        <v>0.22426470588235295</v>
      </c>
      <c r="N173" s="69">
        <v>0.64224137931034486</v>
      </c>
      <c r="O173" s="69">
        <v>0.47540983606557374</v>
      </c>
      <c r="P173" s="69">
        <v>0.38288288288288286</v>
      </c>
    </row>
    <row r="174" spans="1:16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0.28223844282238442</v>
      </c>
      <c r="M174" s="69">
        <v>0.22384428223844283</v>
      </c>
      <c r="N174" s="69">
        <v>0.64224137931034486</v>
      </c>
      <c r="O174" s="69">
        <v>0.47826086956521741</v>
      </c>
      <c r="P174" s="69">
        <v>0.38426966292134829</v>
      </c>
    </row>
    <row r="175" spans="1:16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0.28331332533013204</v>
      </c>
      <c r="M175" s="69">
        <v>0.22448979591836735</v>
      </c>
      <c r="N175" s="69">
        <v>0.63983050847457623</v>
      </c>
      <c r="O175" s="69">
        <v>0.47593582887700536</v>
      </c>
      <c r="P175" s="69">
        <v>0.38392857142857145</v>
      </c>
    </row>
    <row r="176" spans="1:16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0.28333333333333333</v>
      </c>
      <c r="M176" s="69">
        <v>0.22261904761904761</v>
      </c>
      <c r="N176" s="69">
        <v>0.6386554621848739</v>
      </c>
      <c r="O176" s="69">
        <v>0.47593582887700536</v>
      </c>
      <c r="P176" s="69">
        <v>0.38530066815144765</v>
      </c>
    </row>
    <row r="177" spans="1:16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0.28436018957345971</v>
      </c>
      <c r="M177" s="69">
        <v>0.22393364928909953</v>
      </c>
      <c r="N177" s="69">
        <v>0.64166666666666672</v>
      </c>
      <c r="O177" s="69">
        <v>0.48148148148148145</v>
      </c>
      <c r="P177" s="69">
        <v>0.38189845474613687</v>
      </c>
    </row>
    <row r="178" spans="1:16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0.28402366863905326</v>
      </c>
      <c r="M178" s="69">
        <v>0.22366863905325443</v>
      </c>
      <c r="N178" s="69">
        <v>0.64166666666666672</v>
      </c>
      <c r="O178" s="69">
        <v>0.48148148148148145</v>
      </c>
      <c r="P178" s="69">
        <v>0.38189845474613687</v>
      </c>
    </row>
    <row r="179" spans="1:16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0.28337236533957844</v>
      </c>
      <c r="M179" s="69">
        <v>0.22131147540983606</v>
      </c>
      <c r="N179" s="69">
        <v>0.64049586776859502</v>
      </c>
      <c r="O179" s="69">
        <v>0.48148148148148145</v>
      </c>
      <c r="P179" s="69">
        <v>0.38105726872246698</v>
      </c>
    </row>
    <row r="180" spans="1:16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0.28703703703703703</v>
      </c>
      <c r="M180" s="69">
        <v>0.22106481481481483</v>
      </c>
      <c r="N180" s="69">
        <v>0.63709677419354838</v>
      </c>
      <c r="O180" s="69">
        <v>0.47643979057591623</v>
      </c>
      <c r="P180" s="69">
        <v>0.38074398249452956</v>
      </c>
    </row>
    <row r="181" spans="1:16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0.29128440366972475</v>
      </c>
      <c r="M181" s="69">
        <v>0.22018348623853212</v>
      </c>
      <c r="N181" s="69">
        <v>0.63779527559055116</v>
      </c>
      <c r="O181" s="69">
        <v>0.47916666666666669</v>
      </c>
      <c r="P181" s="69">
        <v>0.38012958963282939</v>
      </c>
    </row>
    <row r="182" spans="1:16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0.29090909090909089</v>
      </c>
      <c r="M182" s="69">
        <v>0.21818181818181817</v>
      </c>
      <c r="N182" s="69">
        <v>0.640625</v>
      </c>
      <c r="O182" s="69">
        <v>0.47916666666666669</v>
      </c>
      <c r="P182" s="69">
        <v>0.38329764453961457</v>
      </c>
    </row>
    <row r="183" spans="1:16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0.29166666666666669</v>
      </c>
      <c r="M183" s="69">
        <v>0.21734234234234234</v>
      </c>
      <c r="N183" s="69">
        <v>0.64478764478764483</v>
      </c>
      <c r="O183" s="69">
        <v>0.48186528497409326</v>
      </c>
      <c r="P183" s="69">
        <v>0.38004246284501064</v>
      </c>
    </row>
    <row r="184" spans="1:16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0.29464285714285715</v>
      </c>
      <c r="M184" s="69">
        <v>0.21651785714285715</v>
      </c>
      <c r="N184" s="69">
        <v>0.64772727272727271</v>
      </c>
      <c r="O184" s="69">
        <v>0.47938144329896909</v>
      </c>
      <c r="P184" s="69">
        <v>0.38105263157894737</v>
      </c>
    </row>
    <row r="185" spans="1:16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0.29490022172949004</v>
      </c>
      <c r="M185" s="69">
        <v>0.21507760532150777</v>
      </c>
      <c r="N185" s="69">
        <v>0.65037593984962405</v>
      </c>
      <c r="O185" s="69">
        <v>0.47938144329896909</v>
      </c>
      <c r="P185" s="69">
        <v>0.38284518828451886</v>
      </c>
    </row>
    <row r="186" spans="1:16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0.29547960308710031</v>
      </c>
      <c r="M186" s="69">
        <v>0.21499448732083792</v>
      </c>
      <c r="N186" s="69">
        <v>0.64552238805970152</v>
      </c>
      <c r="O186" s="69">
        <v>0.47692307692307695</v>
      </c>
      <c r="P186" s="69">
        <v>0.38204592901878914</v>
      </c>
    </row>
    <row r="187" spans="1:16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0.2964989059080963</v>
      </c>
      <c r="M187" s="69">
        <v>0.21444201312910285</v>
      </c>
      <c r="N187" s="69">
        <v>0.64944649446494462</v>
      </c>
      <c r="O187" s="69">
        <v>0.47959183673469385</v>
      </c>
      <c r="P187" s="69">
        <v>0.38095238095238093</v>
      </c>
    </row>
    <row r="188" spans="1:16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0.29697624190064797</v>
      </c>
      <c r="M188" s="69">
        <v>0.21274298056155508</v>
      </c>
      <c r="N188" s="69">
        <v>0.65090909090909088</v>
      </c>
      <c r="O188" s="69">
        <v>0.48223350253807107</v>
      </c>
      <c r="P188" s="69">
        <v>0.38114754098360654</v>
      </c>
    </row>
    <row r="189" spans="1:16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0.29796355841371919</v>
      </c>
      <c r="M189" s="69">
        <v>0.21221864951768488</v>
      </c>
      <c r="N189" s="69">
        <v>0.65107913669064743</v>
      </c>
      <c r="O189" s="69">
        <v>0.48484848484848486</v>
      </c>
      <c r="P189" s="69">
        <v>0.38289205702647655</v>
      </c>
    </row>
    <row r="190" spans="1:16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0.29680851063829788</v>
      </c>
      <c r="M190" s="69">
        <v>0.21063829787234042</v>
      </c>
      <c r="N190" s="69">
        <v>0.6523297491039427</v>
      </c>
      <c r="O190" s="69">
        <v>0.48484848484848486</v>
      </c>
      <c r="P190" s="69">
        <v>0.38259109311740891</v>
      </c>
    </row>
    <row r="191" spans="1:16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0.29852320675105487</v>
      </c>
      <c r="M191" s="69">
        <v>0.20991561181434598</v>
      </c>
      <c r="N191" s="69">
        <v>0.65017667844522964</v>
      </c>
      <c r="O191" s="69">
        <v>0.48241206030150752</v>
      </c>
      <c r="P191" s="69">
        <v>0.38104838709677419</v>
      </c>
    </row>
    <row r="192" spans="1:16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0.30020920502092052</v>
      </c>
      <c r="M192" s="69">
        <v>0.20815899581589958</v>
      </c>
      <c r="N192" s="69">
        <v>0.65156794425087106</v>
      </c>
      <c r="O192" s="69">
        <v>0.48241206030150752</v>
      </c>
      <c r="P192" s="69">
        <v>0.38076152304609218</v>
      </c>
    </row>
    <row r="193" spans="1:16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0.30239833159541191</v>
      </c>
      <c r="M193" s="69">
        <v>0.20750782064650677</v>
      </c>
      <c r="N193" s="69">
        <v>0.65517241379310343</v>
      </c>
      <c r="O193" s="69">
        <v>0.48241206030150752</v>
      </c>
      <c r="P193" s="69">
        <v>0.38047808764940239</v>
      </c>
    </row>
    <row r="194" spans="1:16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0.30237358101135192</v>
      </c>
      <c r="M194" s="69">
        <v>0.20536635706914344</v>
      </c>
      <c r="N194" s="69">
        <v>0.65529010238907848</v>
      </c>
      <c r="O194" s="69">
        <v>0.48241206030150752</v>
      </c>
      <c r="P194" s="69">
        <v>0.37944664031620551</v>
      </c>
    </row>
    <row r="195" spans="1:16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0.30399181166837258</v>
      </c>
      <c r="M195" s="69">
        <v>0.20368474923234392</v>
      </c>
      <c r="N195" s="69">
        <v>0.65656565656565657</v>
      </c>
      <c r="O195" s="69">
        <v>0.48241206030150752</v>
      </c>
      <c r="P195" s="69">
        <v>0.37917485265225931</v>
      </c>
    </row>
    <row r="196" spans="1:16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0.30223123732251522</v>
      </c>
      <c r="M196" s="69">
        <v>0.20689655172413793</v>
      </c>
      <c r="N196" s="69">
        <v>0.65436241610738255</v>
      </c>
      <c r="O196" s="69">
        <v>0.48039215686274511</v>
      </c>
      <c r="P196" s="69">
        <v>0.37964774951076319</v>
      </c>
    </row>
    <row r="197" spans="1:16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0.30181086519114686</v>
      </c>
      <c r="M197" s="69">
        <v>0.20623742454728369</v>
      </c>
      <c r="N197" s="69">
        <v>0.65333333333333332</v>
      </c>
      <c r="O197" s="69">
        <v>0.47804878048780486</v>
      </c>
      <c r="P197" s="69">
        <v>0.380859375</v>
      </c>
    </row>
    <row r="198" spans="1:16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0.3033033033033033</v>
      </c>
      <c r="M198" s="69">
        <v>0.20520520520520522</v>
      </c>
      <c r="N198" s="69">
        <v>0.65346534653465349</v>
      </c>
      <c r="O198" s="69">
        <v>0.47804878048780486</v>
      </c>
      <c r="P198" s="69">
        <v>0.38058252427184464</v>
      </c>
    </row>
    <row r="199" spans="1:16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0.30387288977159882</v>
      </c>
      <c r="M199" s="69">
        <v>0.20456802383316783</v>
      </c>
      <c r="N199" s="69">
        <v>0.65686274509803921</v>
      </c>
      <c r="O199" s="69">
        <v>0.47572815533980584</v>
      </c>
      <c r="P199" s="69">
        <v>0.38030888030888033</v>
      </c>
    </row>
    <row r="200" spans="1:16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0.30413385826771655</v>
      </c>
      <c r="M200" s="69">
        <v>0.20472440944881889</v>
      </c>
      <c r="N200" s="69">
        <v>0.65695792880258896</v>
      </c>
      <c r="O200" s="69">
        <v>0.47596153846153844</v>
      </c>
      <c r="P200" s="69">
        <v>0.38195777351247601</v>
      </c>
    </row>
    <row r="201" spans="1:16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0.30341463414634146</v>
      </c>
      <c r="M201" s="69">
        <v>0.20585365853658535</v>
      </c>
      <c r="N201" s="69">
        <v>0.65594855305466238</v>
      </c>
      <c r="O201" s="69">
        <v>0.47393364928909953</v>
      </c>
      <c r="P201" s="69">
        <v>0.38049713193116635</v>
      </c>
    </row>
    <row r="202" spans="1:16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0.30598455598455598</v>
      </c>
      <c r="M202" s="69">
        <v>0.2055984555984556</v>
      </c>
      <c r="N202" s="69">
        <v>0.65615141955835965</v>
      </c>
      <c r="O202" s="69">
        <v>0.47417840375586856</v>
      </c>
      <c r="P202" s="69">
        <v>0.37878787878787878</v>
      </c>
    </row>
    <row r="203" spans="1:16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0.30468003820439349</v>
      </c>
      <c r="M203" s="69">
        <v>0.2072588347659981</v>
      </c>
      <c r="N203" s="69">
        <v>0.65830721003134796</v>
      </c>
      <c r="O203" s="69">
        <v>0.47004608294930877</v>
      </c>
      <c r="P203" s="69">
        <v>0.37969924812030076</v>
      </c>
    </row>
    <row r="204" spans="1:16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0.30492424242424243</v>
      </c>
      <c r="M204" s="69">
        <v>0.20738636363636365</v>
      </c>
      <c r="N204" s="69">
        <v>0.65527950310559002</v>
      </c>
      <c r="O204" s="69">
        <v>0.47031963470319632</v>
      </c>
      <c r="P204" s="69">
        <v>0.37827715355805241</v>
      </c>
    </row>
    <row r="205" spans="1:16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0.30393996247654786</v>
      </c>
      <c r="M205" s="69">
        <v>0.20637898686679174</v>
      </c>
      <c r="N205" s="69">
        <v>0.65740740740740744</v>
      </c>
      <c r="O205" s="69">
        <v>0.47272727272727272</v>
      </c>
      <c r="P205" s="69">
        <v>0.37616387337057727</v>
      </c>
    </row>
    <row r="206" spans="1:16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0.30410447761194032</v>
      </c>
      <c r="M206" s="69">
        <v>0.20522388059701493</v>
      </c>
      <c r="N206" s="69">
        <v>0.65644171779141103</v>
      </c>
      <c r="O206" s="69">
        <v>0.47272727272727272</v>
      </c>
      <c r="P206" s="69">
        <v>0.37732342007434944</v>
      </c>
    </row>
    <row r="207" spans="1:16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0.3037037037037037</v>
      </c>
      <c r="M207" s="69">
        <v>0.20462962962962963</v>
      </c>
      <c r="N207" s="69">
        <v>0.65853658536585369</v>
      </c>
      <c r="O207" s="69">
        <v>0.47511312217194568</v>
      </c>
      <c r="P207" s="69">
        <v>0.37707948243992606</v>
      </c>
    </row>
    <row r="208" spans="1:16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0.30414746543778803</v>
      </c>
      <c r="M208" s="69">
        <v>0.20460829493087557</v>
      </c>
      <c r="N208" s="69">
        <v>0.66060606060606064</v>
      </c>
      <c r="O208" s="69">
        <v>0.47297297297297297</v>
      </c>
      <c r="P208" s="69">
        <v>0.37683823529411764</v>
      </c>
    </row>
    <row r="209" spans="1:16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0.30586080586080588</v>
      </c>
      <c r="M209" s="69">
        <v>0.20512820512820512</v>
      </c>
      <c r="N209" s="69">
        <v>0.66167664670658688</v>
      </c>
      <c r="O209" s="69">
        <v>0.46875</v>
      </c>
      <c r="P209" s="69">
        <v>0.37659963436928701</v>
      </c>
    </row>
    <row r="210" spans="1:16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0.30671506352087113</v>
      </c>
      <c r="M210" s="69">
        <v>0.20689655172413793</v>
      </c>
      <c r="N210" s="69">
        <v>0.65680473372781067</v>
      </c>
      <c r="O210" s="69">
        <v>0.4692982456140351</v>
      </c>
      <c r="P210" s="69">
        <v>0.37818181818181817</v>
      </c>
    </row>
    <row r="211" spans="1:16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0.30658250676284943</v>
      </c>
      <c r="M211" s="69">
        <v>0.20829576194770064</v>
      </c>
      <c r="N211" s="69">
        <v>0.65294117647058825</v>
      </c>
      <c r="O211" s="69">
        <v>0.47186147186147187</v>
      </c>
      <c r="P211" s="69">
        <v>0.37862318840579712</v>
      </c>
    </row>
    <row r="212" spans="1:16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0.30645161290322581</v>
      </c>
      <c r="M212" s="69">
        <v>0.2078853046594982</v>
      </c>
      <c r="N212" s="69">
        <v>0.64912280701754388</v>
      </c>
      <c r="O212" s="69">
        <v>0.47413793103448276</v>
      </c>
      <c r="P212" s="69">
        <v>0.379746835443038</v>
      </c>
    </row>
    <row r="213" spans="1:16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0.30488888888888888</v>
      </c>
      <c r="M213" s="69">
        <v>0.20799999999999999</v>
      </c>
      <c r="N213" s="69">
        <v>0.65014577259475215</v>
      </c>
      <c r="O213" s="69">
        <v>0.47435897435897434</v>
      </c>
      <c r="P213" s="69">
        <v>0.37949640287769787</v>
      </c>
    </row>
    <row r="214" spans="1:16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0.3053839364518976</v>
      </c>
      <c r="M214" s="69">
        <v>0.20741394527802295</v>
      </c>
      <c r="N214" s="69">
        <v>0.6502890173410405</v>
      </c>
      <c r="O214" s="69">
        <v>0.47234042553191491</v>
      </c>
      <c r="P214" s="69">
        <v>0.38172043010752688</v>
      </c>
    </row>
    <row r="215" spans="1:16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0.30411919368974583</v>
      </c>
      <c r="M215" s="69">
        <v>0.20946538124452235</v>
      </c>
      <c r="N215" s="69">
        <v>0.64841498559077815</v>
      </c>
      <c r="O215" s="69">
        <v>0.47698744769874479</v>
      </c>
      <c r="P215" s="69">
        <v>0.37967914438502676</v>
      </c>
    </row>
    <row r="216" spans="1:16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0.30321459600347522</v>
      </c>
      <c r="M216" s="69">
        <v>0.20938314509122502</v>
      </c>
      <c r="N216" s="69">
        <v>0.64469914040114618</v>
      </c>
      <c r="O216" s="69">
        <v>0.47717842323651455</v>
      </c>
      <c r="P216" s="69">
        <v>0.37900355871886121</v>
      </c>
    </row>
    <row r="217" spans="1:16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0.30337078651685395</v>
      </c>
      <c r="M217" s="69">
        <v>0.21089023336214346</v>
      </c>
      <c r="N217" s="69">
        <v>0.64672364672364668</v>
      </c>
      <c r="O217" s="69">
        <v>0.48360655737704916</v>
      </c>
      <c r="P217" s="69">
        <v>0.37918871252204583</v>
      </c>
    </row>
    <row r="218" spans="1:16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0.30274442538593482</v>
      </c>
      <c r="M218" s="69">
        <v>0.21097770154373929</v>
      </c>
      <c r="N218" s="69">
        <v>0.6458923512747875</v>
      </c>
      <c r="O218" s="69">
        <v>0.48373983739837401</v>
      </c>
      <c r="P218" s="69">
        <v>0.38003502626970226</v>
      </c>
    </row>
    <row r="219" spans="1:16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0.30145175064047824</v>
      </c>
      <c r="M219" s="69">
        <v>0.21093082835183605</v>
      </c>
      <c r="N219" s="69">
        <v>0.6458923512747875</v>
      </c>
      <c r="O219" s="69">
        <v>0.48178137651821862</v>
      </c>
      <c r="P219" s="69">
        <v>0.38003502626970226</v>
      </c>
    </row>
    <row r="220" spans="1:16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0.30305602716468588</v>
      </c>
      <c r="M220" s="69">
        <v>0.21052631578947367</v>
      </c>
      <c r="N220" s="69">
        <v>0.64145658263305327</v>
      </c>
      <c r="O220" s="69">
        <v>0.4838709677419355</v>
      </c>
      <c r="P220" s="69">
        <v>0.38327526132404183</v>
      </c>
    </row>
    <row r="221" spans="1:16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0.30101180438448566</v>
      </c>
      <c r="M221" s="69">
        <v>0.20910623946037099</v>
      </c>
      <c r="N221" s="69">
        <v>0.64145658263305327</v>
      </c>
      <c r="O221" s="69">
        <v>0.4838709677419355</v>
      </c>
      <c r="P221" s="69">
        <v>0.38062283737024222</v>
      </c>
    </row>
    <row r="222" spans="1:16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0.30092204526404026</v>
      </c>
      <c r="M222" s="69">
        <v>0.20955574182732606</v>
      </c>
      <c r="N222" s="69">
        <v>0.64066852367688021</v>
      </c>
      <c r="O222" s="69">
        <v>0.48399999999999999</v>
      </c>
      <c r="P222" s="69">
        <v>0.38275862068965516</v>
      </c>
    </row>
    <row r="223" spans="1:16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0.29891756869275604</v>
      </c>
      <c r="M223" s="69">
        <v>0.20982514571190675</v>
      </c>
      <c r="N223" s="69">
        <v>0.64066852367688021</v>
      </c>
      <c r="O223" s="69">
        <v>0.48412698412698413</v>
      </c>
      <c r="P223" s="69">
        <v>0.38250428816466553</v>
      </c>
    </row>
    <row r="224" spans="1:16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0.30024813895781638</v>
      </c>
      <c r="M224" s="69">
        <v>0.20926385442514475</v>
      </c>
      <c r="N224" s="69">
        <v>0.64187327823691465</v>
      </c>
      <c r="O224" s="69">
        <v>0.48616600790513836</v>
      </c>
      <c r="P224" s="69">
        <v>0.37989778534923341</v>
      </c>
    </row>
    <row r="225" spans="1:16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0.3012345679012346</v>
      </c>
      <c r="M225" s="69">
        <v>0.20823045267489712</v>
      </c>
      <c r="N225" s="69">
        <v>0.63661202185792354</v>
      </c>
      <c r="O225" s="69">
        <v>0.48616600790513836</v>
      </c>
      <c r="P225" s="69">
        <v>0.38030560271646857</v>
      </c>
    </row>
    <row r="226" spans="1:16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0.30089942763695832</v>
      </c>
      <c r="M226" s="69">
        <v>0.20932134096484056</v>
      </c>
      <c r="N226" s="69">
        <v>0.63586956521739135</v>
      </c>
      <c r="O226" s="69">
        <v>0.484375</v>
      </c>
      <c r="P226" s="69">
        <v>0.38175675675675674</v>
      </c>
    </row>
    <row r="227" spans="1:16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0.30251419302514193</v>
      </c>
      <c r="M227" s="69">
        <v>0.20843471208434713</v>
      </c>
      <c r="N227" s="69">
        <v>0.63270777479892759</v>
      </c>
      <c r="O227" s="69">
        <v>0.48249027237354086</v>
      </c>
      <c r="P227" s="69">
        <v>0.38047138047138046</v>
      </c>
    </row>
    <row r="228" spans="1:16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0.30539887187751813</v>
      </c>
      <c r="M228" s="69">
        <v>0.20709105560032232</v>
      </c>
      <c r="N228" s="69">
        <v>0.63324538258575203</v>
      </c>
      <c r="O228" s="69">
        <v>0.48249027237354086</v>
      </c>
      <c r="P228" s="69">
        <v>0.37959866220735788</v>
      </c>
    </row>
    <row r="229" spans="1:16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0.30615507593924862</v>
      </c>
      <c r="M229" s="69">
        <v>0.20623501199040767</v>
      </c>
      <c r="N229" s="69">
        <v>0.63446475195822449</v>
      </c>
      <c r="O229" s="69">
        <v>0.48449612403100772</v>
      </c>
      <c r="P229" s="69">
        <v>0.37707641196013292</v>
      </c>
    </row>
    <row r="230" spans="1:16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0.3057982525814138</v>
      </c>
      <c r="M230" s="69">
        <v>0.20651310563939634</v>
      </c>
      <c r="N230" s="69">
        <v>0.63116883116883116</v>
      </c>
      <c r="O230" s="69">
        <v>0.48846153846153845</v>
      </c>
      <c r="P230" s="69">
        <v>0.3768595041322314</v>
      </c>
    </row>
    <row r="231" spans="1:16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0.30562153602533648</v>
      </c>
      <c r="M231" s="69">
        <v>0.20665083135391923</v>
      </c>
      <c r="N231" s="69">
        <v>0.63212435233160624</v>
      </c>
      <c r="O231" s="69">
        <v>0.48659003831417624</v>
      </c>
      <c r="P231" s="69">
        <v>0.37788778877887791</v>
      </c>
    </row>
    <row r="232" spans="1:16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0.30544593528018943</v>
      </c>
      <c r="M232" s="69">
        <v>0.20678768745067089</v>
      </c>
      <c r="N232" s="69">
        <v>0.63307493540051685</v>
      </c>
      <c r="O232" s="69">
        <v>0.48854961832061067</v>
      </c>
      <c r="P232" s="69">
        <v>0.3760262725779967</v>
      </c>
    </row>
    <row r="233" spans="1:16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0.30721003134796238</v>
      </c>
      <c r="M233" s="69">
        <v>0.2061128526645768</v>
      </c>
      <c r="N233" s="69">
        <v>0.63775510204081631</v>
      </c>
      <c r="O233" s="69">
        <v>0.49049429657794674</v>
      </c>
      <c r="P233" s="69">
        <v>0.37560975609756098</v>
      </c>
    </row>
    <row r="234" spans="1:16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0.30817120622568095</v>
      </c>
      <c r="M234" s="69">
        <v>0.20544747081712061</v>
      </c>
      <c r="N234" s="69">
        <v>0.63636363636363635</v>
      </c>
      <c r="O234" s="69">
        <v>0.48863636363636365</v>
      </c>
      <c r="P234" s="69">
        <v>0.37439222042139386</v>
      </c>
    </row>
    <row r="235" spans="1:16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0.30709876543209874</v>
      </c>
      <c r="M235" s="69">
        <v>0.20601851851851852</v>
      </c>
      <c r="N235" s="69">
        <v>0.63819095477386933</v>
      </c>
      <c r="O235" s="69">
        <v>0.48689138576779029</v>
      </c>
      <c r="P235" s="69">
        <v>0.37419354838709679</v>
      </c>
    </row>
    <row r="236" spans="1:16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0.30598159509202455</v>
      </c>
      <c r="M236" s="69">
        <v>0.20628834355828221</v>
      </c>
      <c r="N236" s="69">
        <v>0.63909774436090228</v>
      </c>
      <c r="O236" s="69">
        <v>0.48698884758364314</v>
      </c>
      <c r="P236" s="69">
        <v>0.3756019261637239</v>
      </c>
    </row>
    <row r="237" spans="1:16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0.30418250950570341</v>
      </c>
      <c r="M237" s="69">
        <v>0.20608365019011407</v>
      </c>
      <c r="N237" s="69">
        <v>0.63749999999999996</v>
      </c>
      <c r="O237" s="69">
        <v>0.4907749077490775</v>
      </c>
      <c r="P237" s="69">
        <v>0.37480063795853269</v>
      </c>
    </row>
    <row r="238" spans="1:16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0.30484114977307109</v>
      </c>
      <c r="M238" s="69">
        <v>0.20499243570347958</v>
      </c>
      <c r="N238" s="69">
        <v>0.63771712158808935</v>
      </c>
      <c r="O238" s="69">
        <v>0.4907749077490775</v>
      </c>
      <c r="P238" s="69">
        <v>0.37519872813990462</v>
      </c>
    </row>
    <row r="239" spans="1:16" x14ac:dyDescent="0.4">
      <c r="A239" s="71">
        <v>236</v>
      </c>
      <c r="B239" s="68">
        <v>1584.1999999999998</v>
      </c>
      <c r="C239" s="68">
        <v>6.7127118644067787</v>
      </c>
      <c r="D239" s="73">
        <v>1.7669491525423728</v>
      </c>
      <c r="E239" s="69">
        <v>0.44067796610169491</v>
      </c>
      <c r="F239" s="69">
        <v>0.35442329227323627</v>
      </c>
      <c r="G239" s="69">
        <v>0.14109742441209405</v>
      </c>
      <c r="H239" s="70">
        <v>9824.8025276461303</v>
      </c>
      <c r="I239" s="70">
        <v>-9302.7777777777774</v>
      </c>
      <c r="J239" s="69">
        <v>0.10169491525423729</v>
      </c>
      <c r="K239" s="69">
        <v>0.19067796610169491</v>
      </c>
      <c r="L239" s="69">
        <v>0.30451127819548873</v>
      </c>
      <c r="M239" s="69">
        <v>0.20451127819548873</v>
      </c>
      <c r="N239" s="69">
        <v>0.63950617283950617</v>
      </c>
      <c r="O239" s="69">
        <v>0.49264705882352944</v>
      </c>
      <c r="P239" s="69">
        <v>0.37598736176935227</v>
      </c>
    </row>
    <row r="240" spans="1:16" x14ac:dyDescent="0.4">
      <c r="A240" s="71">
        <v>237</v>
      </c>
      <c r="B240" s="68">
        <v>1591.9999999999998</v>
      </c>
      <c r="C240" s="68">
        <v>6.7172995780590705</v>
      </c>
      <c r="D240" s="73">
        <v>1.7637130801687764</v>
      </c>
      <c r="E240" s="69">
        <v>0.44303797468354428</v>
      </c>
      <c r="F240" s="69">
        <v>0.35395763656633222</v>
      </c>
      <c r="G240" s="69">
        <v>0.14102564102564102</v>
      </c>
      <c r="H240" s="70">
        <v>9836.2204724409457</v>
      </c>
      <c r="I240" s="70">
        <v>-9276.2845849802379</v>
      </c>
      <c r="J240" s="69">
        <v>0.10126582278481013</v>
      </c>
      <c r="K240" s="69">
        <v>0.189873417721519</v>
      </c>
      <c r="L240" s="69">
        <v>0.30568011958146485</v>
      </c>
      <c r="M240" s="69">
        <v>0.20478325859491778</v>
      </c>
      <c r="N240" s="69">
        <v>0.63814180929095354</v>
      </c>
      <c r="O240" s="69">
        <v>0.48905109489051096</v>
      </c>
      <c r="P240" s="69">
        <v>0.37480314960629924</v>
      </c>
    </row>
    <row r="241" spans="1:16" x14ac:dyDescent="0.4">
      <c r="A241" s="71">
        <v>238</v>
      </c>
      <c r="B241" s="68">
        <v>1638.8999999999999</v>
      </c>
      <c r="C241" s="68">
        <v>6.8861344537815121</v>
      </c>
      <c r="D241" s="73">
        <v>1.7605042016806722</v>
      </c>
      <c r="E241" s="69">
        <v>0.44537815126050423</v>
      </c>
      <c r="F241" s="69">
        <v>0.35519733185102836</v>
      </c>
      <c r="G241" s="69">
        <v>0.14063368538076709</v>
      </c>
      <c r="H241" s="70">
        <v>9841.7840375586857</v>
      </c>
      <c r="I241" s="70">
        <v>-9276.2845849802379</v>
      </c>
      <c r="J241" s="69">
        <v>0.10084033613445378</v>
      </c>
      <c r="K241" s="69">
        <v>0.19327731092436976</v>
      </c>
      <c r="L241" s="69">
        <v>0.3060312732688012</v>
      </c>
      <c r="M241" s="69">
        <v>0.20625465376023827</v>
      </c>
      <c r="N241" s="69">
        <v>0.63990267639902676</v>
      </c>
      <c r="O241" s="69">
        <v>0.49097472924187724</v>
      </c>
      <c r="P241" s="69">
        <v>0.37402190923317685</v>
      </c>
    </row>
    <row r="242" spans="1:16" x14ac:dyDescent="0.4">
      <c r="A242" s="71">
        <v>239</v>
      </c>
      <c r="B242" s="68">
        <v>1645.1999999999998</v>
      </c>
      <c r="C242" s="68">
        <v>6.8836820083681998</v>
      </c>
      <c r="D242" s="73">
        <v>1.7573221757322175</v>
      </c>
      <c r="E242" s="69">
        <v>0.44769874476987448</v>
      </c>
      <c r="F242" s="69">
        <v>0.35508849557522126</v>
      </c>
      <c r="G242" s="69">
        <v>0.14103982300884957</v>
      </c>
      <c r="H242" s="70">
        <v>9845.6386292834886</v>
      </c>
      <c r="I242" s="70">
        <v>-9260.7843137254895</v>
      </c>
      <c r="J242" s="69">
        <v>0.100418410041841</v>
      </c>
      <c r="K242" s="69">
        <v>0.19246861924686193</v>
      </c>
      <c r="L242" s="69">
        <v>0.30473372781065089</v>
      </c>
      <c r="M242" s="69">
        <v>0.20784023668639054</v>
      </c>
      <c r="N242" s="69">
        <v>0.64077669902912626</v>
      </c>
      <c r="O242" s="69">
        <v>0.48754448398576511</v>
      </c>
      <c r="P242" s="69">
        <v>0.37538940809968846</v>
      </c>
    </row>
    <row r="243" spans="1:16" x14ac:dyDescent="0.4">
      <c r="A243" s="71">
        <v>240</v>
      </c>
      <c r="B243" s="68">
        <v>1669.4999999999998</v>
      </c>
      <c r="C243" s="68">
        <v>6.9562499999999989</v>
      </c>
      <c r="D243" s="73">
        <v>1.7541666666666667</v>
      </c>
      <c r="E243" s="69">
        <v>0.45</v>
      </c>
      <c r="F243" s="69">
        <v>0.35611907386990077</v>
      </c>
      <c r="G243" s="69">
        <v>0.14057331863285558</v>
      </c>
      <c r="H243" s="70">
        <v>9823.8390092879254</v>
      </c>
      <c r="I243" s="70">
        <v>-9260.7843137254895</v>
      </c>
      <c r="J243" s="69">
        <v>0.1</v>
      </c>
      <c r="K243" s="69">
        <v>0.19166666666666668</v>
      </c>
      <c r="L243" s="69">
        <v>0.30633284241531666</v>
      </c>
      <c r="M243" s="69">
        <v>0.20839469808541974</v>
      </c>
      <c r="N243" s="69">
        <v>0.64423076923076927</v>
      </c>
      <c r="O243" s="69">
        <v>0.48409893992932862</v>
      </c>
      <c r="P243" s="69">
        <v>0.37770897832817335</v>
      </c>
    </row>
    <row r="244" spans="1:16" x14ac:dyDescent="0.4">
      <c r="A244" s="71">
        <v>241</v>
      </c>
      <c r="B244" s="68">
        <v>1659.0999999999997</v>
      </c>
      <c r="C244" s="68">
        <v>6.8842323651452269</v>
      </c>
      <c r="D244" s="73">
        <v>1.7551867219917012</v>
      </c>
      <c r="E244" s="69">
        <v>0.44813278008298757</v>
      </c>
      <c r="F244" s="69">
        <v>0.35604395604395606</v>
      </c>
      <c r="G244" s="69">
        <v>0.14120879120879121</v>
      </c>
      <c r="H244" s="70">
        <v>9810.8024691358023</v>
      </c>
      <c r="I244" s="70">
        <v>-9250.1945525291831</v>
      </c>
      <c r="J244" s="69">
        <v>9.9585062240663894E-2</v>
      </c>
      <c r="K244" s="69">
        <v>0.1908713692946058</v>
      </c>
      <c r="L244" s="69">
        <v>0.30498533724340177</v>
      </c>
      <c r="M244" s="69">
        <v>0.20821114369501467</v>
      </c>
      <c r="N244" s="69">
        <v>0.64423076923076927</v>
      </c>
      <c r="O244" s="69">
        <v>0.4859154929577465</v>
      </c>
      <c r="P244" s="69">
        <v>0.37654320987654322</v>
      </c>
    </row>
    <row r="245" spans="1:16" x14ac:dyDescent="0.4">
      <c r="A245" s="71">
        <v>242</v>
      </c>
      <c r="B245" s="68">
        <v>1658.0999999999997</v>
      </c>
      <c r="C245" s="68">
        <v>6.8516528925619822</v>
      </c>
      <c r="D245" s="73">
        <v>1.7561983471074381</v>
      </c>
      <c r="E245" s="69">
        <v>0.4462809917355372</v>
      </c>
      <c r="F245" s="69">
        <v>0.35667396061269147</v>
      </c>
      <c r="G245" s="69">
        <v>0.14113785557986872</v>
      </c>
      <c r="H245" s="70">
        <v>9802.7607361963182</v>
      </c>
      <c r="I245" s="70">
        <v>-9307.364341085271</v>
      </c>
      <c r="J245" s="69">
        <v>9.9173553719008267E-2</v>
      </c>
      <c r="K245" s="69">
        <v>0.19008264462809918</v>
      </c>
      <c r="L245" s="69">
        <v>0.30466472303206998</v>
      </c>
      <c r="M245" s="69">
        <v>0.2099125364431487</v>
      </c>
      <c r="N245" s="69">
        <v>0.64593301435406703</v>
      </c>
      <c r="O245" s="69">
        <v>0.4861111111111111</v>
      </c>
      <c r="P245" s="69">
        <v>0.37576687116564417</v>
      </c>
    </row>
    <row r="246" spans="1:16" x14ac:dyDescent="0.4">
      <c r="A246" s="71">
        <v>243</v>
      </c>
      <c r="B246" s="68">
        <v>1677.8999999999996</v>
      </c>
      <c r="C246" s="68">
        <v>6.9049382716049363</v>
      </c>
      <c r="D246" s="73">
        <v>1.7572016460905351</v>
      </c>
      <c r="E246" s="69">
        <v>0.44444444444444442</v>
      </c>
      <c r="F246" s="69">
        <v>0.35710397387044096</v>
      </c>
      <c r="G246" s="69">
        <v>0.14153511159499182</v>
      </c>
      <c r="H246" s="70">
        <v>9815.0914634146338</v>
      </c>
      <c r="I246" s="70">
        <v>-9343.461538461539</v>
      </c>
      <c r="J246" s="69">
        <v>9.8765432098765427E-2</v>
      </c>
      <c r="K246" s="69">
        <v>0.18930041152263374</v>
      </c>
      <c r="L246" s="69">
        <v>0.30485155684286747</v>
      </c>
      <c r="M246" s="69">
        <v>0.20854453294713976</v>
      </c>
      <c r="N246" s="69">
        <v>0.64845605700712594</v>
      </c>
      <c r="O246" s="69">
        <v>0.4861111111111111</v>
      </c>
      <c r="P246" s="69">
        <v>0.375</v>
      </c>
    </row>
    <row r="247" spans="1:16" x14ac:dyDescent="0.4">
      <c r="A247" s="71">
        <v>244</v>
      </c>
      <c r="B247" s="68">
        <v>1705.5999999999997</v>
      </c>
      <c r="C247" s="68">
        <v>6.9901639344262279</v>
      </c>
      <c r="D247" s="73">
        <v>1.7540983606557377</v>
      </c>
      <c r="E247" s="69">
        <v>0.44672131147540983</v>
      </c>
      <c r="F247" s="69">
        <v>0.35756918068366794</v>
      </c>
      <c r="G247" s="69">
        <v>0.14161692892023875</v>
      </c>
      <c r="H247" s="70">
        <v>9825.0379362670719</v>
      </c>
      <c r="I247" s="70">
        <v>-9338.3141762452105</v>
      </c>
      <c r="J247" s="69">
        <v>9.8360655737704916E-2</v>
      </c>
      <c r="K247" s="69">
        <v>0.18852459016393441</v>
      </c>
      <c r="L247" s="69">
        <v>0.30569574621485218</v>
      </c>
      <c r="M247" s="69">
        <v>0.20764239365537129</v>
      </c>
      <c r="N247" s="69">
        <v>0.65094339622641506</v>
      </c>
      <c r="O247" s="69">
        <v>0.4861111111111111</v>
      </c>
      <c r="P247" s="69">
        <v>0.37632776934749623</v>
      </c>
    </row>
    <row r="248" spans="1:16" x14ac:dyDescent="0.4">
      <c r="A248" s="71">
        <v>245</v>
      </c>
      <c r="B248" s="68">
        <v>1713.0999999999997</v>
      </c>
      <c r="C248" s="68">
        <v>6.992244897959182</v>
      </c>
      <c r="D248" s="73">
        <v>1.7551020408163265</v>
      </c>
      <c r="E248" s="69">
        <v>0.44489795918367347</v>
      </c>
      <c r="F248" s="69">
        <v>0.35752979414951247</v>
      </c>
      <c r="G248" s="69">
        <v>0.14138678223185266</v>
      </c>
      <c r="H248" s="70">
        <v>9828.3333333333339</v>
      </c>
      <c r="I248" s="70">
        <v>-9338.3141762452105</v>
      </c>
      <c r="J248" s="69">
        <v>9.7959183673469383E-2</v>
      </c>
      <c r="K248" s="69">
        <v>0.18775510204081633</v>
      </c>
      <c r="L248" s="69">
        <v>0.30503597122302156</v>
      </c>
      <c r="M248" s="69">
        <v>0.2079136690647482</v>
      </c>
      <c r="N248" s="69">
        <v>0.65094339622641506</v>
      </c>
      <c r="O248" s="69">
        <v>0.48788927335640137</v>
      </c>
      <c r="P248" s="69">
        <v>0.37575757575757573</v>
      </c>
    </row>
    <row r="249" spans="1:16" x14ac:dyDescent="0.4">
      <c r="A249" s="71">
        <v>246</v>
      </c>
      <c r="B249" s="68">
        <v>1744.5999999999997</v>
      </c>
      <c r="C249" s="68">
        <v>7.091869918699186</v>
      </c>
      <c r="D249" s="73">
        <v>1.7520325203252032</v>
      </c>
      <c r="E249" s="69">
        <v>0.44715447154471544</v>
      </c>
      <c r="F249" s="69">
        <v>0.35721982758620691</v>
      </c>
      <c r="G249" s="69">
        <v>0.14116379310344829</v>
      </c>
      <c r="H249" s="70">
        <v>9862.2926093514325</v>
      </c>
      <c r="I249" s="70">
        <v>-9333.2061068702296</v>
      </c>
      <c r="J249" s="69">
        <v>9.7560975609756101E-2</v>
      </c>
      <c r="K249" s="69">
        <v>0.18699186991869918</v>
      </c>
      <c r="L249" s="69">
        <v>0.30499999999999999</v>
      </c>
      <c r="M249" s="69">
        <v>0.20785714285714285</v>
      </c>
      <c r="N249" s="69">
        <v>0.65105386416861821</v>
      </c>
      <c r="O249" s="69">
        <v>0.4845360824742268</v>
      </c>
      <c r="P249" s="69">
        <v>0.37858220211161386</v>
      </c>
    </row>
    <row r="250" spans="1:16" x14ac:dyDescent="0.4">
      <c r="A250" s="71">
        <v>247</v>
      </c>
      <c r="B250" s="68">
        <v>1797.0999999999997</v>
      </c>
      <c r="C250" s="68">
        <v>7.2757085020242904</v>
      </c>
      <c r="D250" s="73">
        <v>1.7489878542510122</v>
      </c>
      <c r="E250" s="69">
        <v>0.44939271255060731</v>
      </c>
      <c r="F250" s="69">
        <v>0.35733476625470179</v>
      </c>
      <c r="G250" s="69">
        <v>0.14078452444922085</v>
      </c>
      <c r="H250" s="70">
        <v>9928.8721804511279</v>
      </c>
      <c r="I250" s="70">
        <v>-9333.2061068702296</v>
      </c>
      <c r="J250" s="69">
        <v>9.7165991902834009E-2</v>
      </c>
      <c r="K250" s="69">
        <v>0.19028340080971659</v>
      </c>
      <c r="L250" s="69">
        <v>0.30533807829181497</v>
      </c>
      <c r="M250" s="69">
        <v>0.20782918149466192</v>
      </c>
      <c r="N250" s="69">
        <v>0.65034965034965031</v>
      </c>
      <c r="O250" s="69">
        <v>0.48287671232876711</v>
      </c>
      <c r="P250" s="69">
        <v>0.37894736842105264</v>
      </c>
    </row>
    <row r="251" spans="1:16" x14ac:dyDescent="0.4">
      <c r="A251" s="71">
        <v>248</v>
      </c>
      <c r="B251" s="68">
        <v>1790.8999999999996</v>
      </c>
      <c r="C251" s="68">
        <v>7.221370967741934</v>
      </c>
      <c r="D251" s="73">
        <v>1.75</v>
      </c>
      <c r="E251" s="69">
        <v>0.44758064516129031</v>
      </c>
      <c r="F251" s="69">
        <v>0.35664709022957819</v>
      </c>
      <c r="G251" s="69">
        <v>0.14095034703683929</v>
      </c>
      <c r="H251" s="70">
        <v>9941.1676646706583</v>
      </c>
      <c r="I251" s="70">
        <v>-9338.257575757576</v>
      </c>
      <c r="J251" s="69">
        <v>9.6774193548387094E-2</v>
      </c>
      <c r="K251" s="69">
        <v>0.18951612903225806</v>
      </c>
      <c r="L251" s="69">
        <v>0.30416372618207482</v>
      </c>
      <c r="M251" s="69">
        <v>0.20748059280169373</v>
      </c>
      <c r="N251" s="69">
        <v>0.65197215777262185</v>
      </c>
      <c r="O251" s="69">
        <v>0.48299319727891155</v>
      </c>
      <c r="P251" s="69">
        <v>0.3787425149700599</v>
      </c>
    </row>
    <row r="252" spans="1:16" x14ac:dyDescent="0.4">
      <c r="A252" s="71">
        <v>249</v>
      </c>
      <c r="B252" s="68">
        <v>1782.0999999999997</v>
      </c>
      <c r="C252" s="68">
        <v>7.1570281124497983</v>
      </c>
      <c r="D252" s="73">
        <v>1.751004016064257</v>
      </c>
      <c r="E252" s="69">
        <v>0.44578313253012047</v>
      </c>
      <c r="F252" s="69">
        <v>0.35604044704630122</v>
      </c>
      <c r="G252" s="69">
        <v>0.14050026609898883</v>
      </c>
      <c r="H252" s="70">
        <v>9944.2451420029902</v>
      </c>
      <c r="I252" s="70">
        <v>-9338.257575757576</v>
      </c>
      <c r="J252" s="69">
        <v>9.6385542168674704E-2</v>
      </c>
      <c r="K252" s="69">
        <v>0.18875502008032127</v>
      </c>
      <c r="L252" s="69">
        <v>0.30358397751229799</v>
      </c>
      <c r="M252" s="69">
        <v>0.20660576247364723</v>
      </c>
      <c r="N252" s="69">
        <v>0.65277777777777779</v>
      </c>
      <c r="O252" s="69">
        <v>0.48299319727891155</v>
      </c>
      <c r="P252" s="69">
        <v>0.37967115097159942</v>
      </c>
    </row>
    <row r="253" spans="1:16" x14ac:dyDescent="0.4">
      <c r="A253" s="71">
        <v>250</v>
      </c>
      <c r="B253" s="68">
        <v>1800.5999999999997</v>
      </c>
      <c r="C253" s="68">
        <v>7.202399999999999</v>
      </c>
      <c r="D253" s="73">
        <v>1.748</v>
      </c>
      <c r="E253" s="69">
        <v>0.44800000000000001</v>
      </c>
      <c r="F253" s="69">
        <v>0.35559088500264968</v>
      </c>
      <c r="G253" s="69">
        <v>0.13990461049284578</v>
      </c>
      <c r="H253" s="70">
        <v>9956.3338301043223</v>
      </c>
      <c r="I253" s="70">
        <v>-9338.257575757576</v>
      </c>
      <c r="J253" s="69">
        <v>9.6000000000000002E-2</v>
      </c>
      <c r="K253" s="69">
        <v>0.188</v>
      </c>
      <c r="L253" s="69">
        <v>0.30468204053109715</v>
      </c>
      <c r="M253" s="69">
        <v>0.20545073375262055</v>
      </c>
      <c r="N253" s="69">
        <v>0.65137614678899081</v>
      </c>
      <c r="O253" s="69">
        <v>0.48299319727891155</v>
      </c>
      <c r="P253" s="69">
        <v>0.38002980625931443</v>
      </c>
    </row>
    <row r="254" spans="1:16" x14ac:dyDescent="0.4">
      <c r="A254" s="71">
        <v>251</v>
      </c>
      <c r="B254" s="68">
        <v>1833.6999999999996</v>
      </c>
      <c r="C254" s="68">
        <v>7.3055776892430266</v>
      </c>
      <c r="D254" s="73">
        <v>1.7450199203187251</v>
      </c>
      <c r="E254" s="69">
        <v>0.45019920318725098</v>
      </c>
      <c r="F254" s="69">
        <v>0.35654008438818563</v>
      </c>
      <c r="G254" s="69">
        <v>0.14029535864978904</v>
      </c>
      <c r="H254" s="70">
        <v>9953.2544378698221</v>
      </c>
      <c r="I254" s="70">
        <v>-9307.894736842105</v>
      </c>
      <c r="J254" s="69">
        <v>9.5617529880478086E-2</v>
      </c>
      <c r="K254" s="69">
        <v>0.18725099601593626</v>
      </c>
      <c r="L254" s="69">
        <v>0.30486111111111114</v>
      </c>
      <c r="M254" s="69">
        <v>0.20624999999999999</v>
      </c>
      <c r="N254" s="69">
        <v>0.65375854214123008</v>
      </c>
      <c r="O254" s="69">
        <v>0.48148148148148145</v>
      </c>
      <c r="P254" s="69">
        <v>0.38017751479289941</v>
      </c>
    </row>
    <row r="255" spans="1:16" x14ac:dyDescent="0.4">
      <c r="A255" s="71">
        <v>252</v>
      </c>
      <c r="B255" s="68">
        <v>1901.6999999999996</v>
      </c>
      <c r="C255" s="68">
        <v>7.5464285714285699</v>
      </c>
      <c r="D255" s="73">
        <v>1.7420634920634921</v>
      </c>
      <c r="E255" s="69">
        <v>0.45238095238095238</v>
      </c>
      <c r="F255" s="69">
        <v>0.35823250920568123</v>
      </c>
      <c r="G255" s="69">
        <v>0.13992635455023672</v>
      </c>
      <c r="H255" s="70">
        <v>9974.1556534508072</v>
      </c>
      <c r="I255" s="70">
        <v>-9307.894736842105</v>
      </c>
      <c r="J255" s="69">
        <v>9.5238095238095233E-2</v>
      </c>
      <c r="K255" s="69">
        <v>0.19047619047619047</v>
      </c>
      <c r="L255" s="69">
        <v>0.30519031141868513</v>
      </c>
      <c r="M255" s="69">
        <v>0.20761245674740483</v>
      </c>
      <c r="N255" s="69">
        <v>0.65532879818594103</v>
      </c>
      <c r="O255" s="69">
        <v>0.48666666666666669</v>
      </c>
      <c r="P255" s="69">
        <v>0.38032305433186492</v>
      </c>
    </row>
    <row r="256" spans="1:16" x14ac:dyDescent="0.4">
      <c r="A256" s="71">
        <v>253</v>
      </c>
      <c r="B256" s="68">
        <v>1879.7999999999995</v>
      </c>
      <c r="C256" s="68">
        <v>7.430039525691698</v>
      </c>
      <c r="D256" s="73">
        <v>1.7470355731225296</v>
      </c>
      <c r="E256" s="69">
        <v>0.45059288537549408</v>
      </c>
      <c r="F256" s="69">
        <v>0.35725510738606603</v>
      </c>
      <c r="G256" s="69">
        <v>0.14091147197485596</v>
      </c>
      <c r="H256" s="70">
        <v>9965.395894428153</v>
      </c>
      <c r="I256" s="70">
        <v>-9274.3494423791817</v>
      </c>
      <c r="J256" s="69">
        <v>9.4861660079051377E-2</v>
      </c>
      <c r="K256" s="69">
        <v>0.18972332015810275</v>
      </c>
      <c r="L256" s="69">
        <v>0.30488644184445973</v>
      </c>
      <c r="M256" s="69">
        <v>0.20646937370956642</v>
      </c>
      <c r="N256" s="69">
        <v>0.65462753950338604</v>
      </c>
      <c r="O256" s="69">
        <v>0.48666666666666669</v>
      </c>
      <c r="P256" s="69">
        <v>0.38123167155425219</v>
      </c>
    </row>
    <row r="257" spans="1:16" x14ac:dyDescent="0.4">
      <c r="A257" s="71">
        <v>254</v>
      </c>
      <c r="B257" s="68">
        <v>1888.7999999999995</v>
      </c>
      <c r="C257" s="68">
        <v>7.4362204724409429</v>
      </c>
      <c r="D257" s="73">
        <v>1.7480314960629921</v>
      </c>
      <c r="E257" s="69">
        <v>0.44881889763779526</v>
      </c>
      <c r="F257" s="69">
        <v>0.35732916014606153</v>
      </c>
      <c r="G257" s="69">
        <v>0.14084507042253522</v>
      </c>
      <c r="H257" s="70">
        <v>9956.7883211678836</v>
      </c>
      <c r="I257" s="70">
        <v>-9284.4444444444453</v>
      </c>
      <c r="J257" s="69">
        <v>9.4488188976377951E-2</v>
      </c>
      <c r="K257" s="69">
        <v>0.1889763779527559</v>
      </c>
      <c r="L257" s="69">
        <v>0.30458590006844627</v>
      </c>
      <c r="M257" s="69">
        <v>0.20602327173169063</v>
      </c>
      <c r="N257" s="69">
        <v>0.65617977528089888</v>
      </c>
      <c r="O257" s="69">
        <v>0.48837209302325579</v>
      </c>
      <c r="P257" s="69">
        <v>0.38248175182481753</v>
      </c>
    </row>
    <row r="258" spans="1:16" x14ac:dyDescent="0.4">
      <c r="A258" s="71">
        <v>255</v>
      </c>
      <c r="B258" s="68">
        <v>1915.3999999999994</v>
      </c>
      <c r="C258" s="68">
        <v>7.5113725490196055</v>
      </c>
      <c r="D258" s="73">
        <v>1.7450980392156863</v>
      </c>
      <c r="E258" s="69">
        <v>0.45098039215686275</v>
      </c>
      <c r="F258" s="69">
        <v>0.35792207792207792</v>
      </c>
      <c r="G258" s="69">
        <v>0.14025974025974025</v>
      </c>
      <c r="H258" s="70">
        <v>9942.670537010159</v>
      </c>
      <c r="I258" s="70">
        <v>-9284.4444444444453</v>
      </c>
      <c r="J258" s="69">
        <v>9.4117647058823528E-2</v>
      </c>
      <c r="K258" s="69">
        <v>0.18823529411764706</v>
      </c>
      <c r="L258" s="69">
        <v>0.30496936691626958</v>
      </c>
      <c r="M258" s="69">
        <v>0.20626276378488767</v>
      </c>
      <c r="N258" s="69">
        <v>0.65625</v>
      </c>
      <c r="O258" s="69">
        <v>0.49174917491749176</v>
      </c>
      <c r="P258" s="69">
        <v>0.38461538461538464</v>
      </c>
    </row>
    <row r="259" spans="1:16" x14ac:dyDescent="0.4">
      <c r="A259" s="71">
        <v>256</v>
      </c>
      <c r="B259" s="68">
        <v>1934.3999999999994</v>
      </c>
      <c r="C259" s="68">
        <v>7.5562499999999977</v>
      </c>
      <c r="D259" s="73">
        <v>1.7421875</v>
      </c>
      <c r="E259" s="69">
        <v>0.453125</v>
      </c>
      <c r="F259" s="69">
        <v>0.35795454545454547</v>
      </c>
      <c r="G259" s="69">
        <v>0.13946280991735538</v>
      </c>
      <c r="H259" s="70">
        <v>9937.2294372294364</v>
      </c>
      <c r="I259" s="70">
        <v>-9284.4444444444453</v>
      </c>
      <c r="J259" s="69">
        <v>9.375E-2</v>
      </c>
      <c r="K259" s="69">
        <v>0.1875</v>
      </c>
      <c r="L259" s="69">
        <v>0.30405405405405406</v>
      </c>
      <c r="M259" s="69">
        <v>0.20743243243243242</v>
      </c>
      <c r="N259" s="69">
        <v>0.65555555555555556</v>
      </c>
      <c r="O259" s="69">
        <v>0.49511400651465798</v>
      </c>
      <c r="P259" s="69">
        <v>0.38528138528138528</v>
      </c>
    </row>
    <row r="260" spans="1:16" x14ac:dyDescent="0.4">
      <c r="A260" s="71">
        <v>257</v>
      </c>
      <c r="B260" s="68">
        <v>1888.9999999999993</v>
      </c>
      <c r="C260" s="68">
        <v>7.3501945525291799</v>
      </c>
      <c r="D260" s="73">
        <v>1.7470817120622568</v>
      </c>
      <c r="E260" s="69">
        <v>0.45136186770428016</v>
      </c>
      <c r="F260" s="69">
        <v>0.35714285714285715</v>
      </c>
      <c r="G260" s="69">
        <v>0.14028776978417265</v>
      </c>
      <c r="H260" s="70">
        <v>9923.1654676258986</v>
      </c>
      <c r="I260" s="70">
        <v>-9277.6556776556772</v>
      </c>
      <c r="J260" s="69">
        <v>9.727626459143969E-2</v>
      </c>
      <c r="K260" s="69">
        <v>0.1867704280155642</v>
      </c>
      <c r="L260" s="69">
        <v>0.30335570469798656</v>
      </c>
      <c r="M260" s="69">
        <v>0.20872483221476509</v>
      </c>
      <c r="N260" s="69">
        <v>0.65486725663716816</v>
      </c>
      <c r="O260" s="69">
        <v>0.49196141479099681</v>
      </c>
      <c r="P260" s="69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EC02A-65B0-421D-A1A8-E65CBEBFB155}">
  <sheetPr codeName="Sheet6"/>
  <dimension ref="A1:Q30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6" width="10.75" style="69"/>
    <col min="17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129</v>
      </c>
      <c r="M2" s="72" t="s">
        <v>124</v>
      </c>
      <c r="N2" s="72" t="s">
        <v>132</v>
      </c>
      <c r="O2" s="72" t="s">
        <v>164</v>
      </c>
      <c r="P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P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P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P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P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P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P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P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P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P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P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P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P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P16" s="69">
        <v>0.30379746835443039</v>
      </c>
    </row>
    <row r="17" spans="1:16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P17" s="69">
        <v>0.30952380952380953</v>
      </c>
    </row>
    <row r="18" spans="1:16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P18" s="69">
        <v>0.30232558139534882</v>
      </c>
    </row>
    <row r="19" spans="1:16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P19" s="69">
        <v>0.32978723404255317</v>
      </c>
    </row>
    <row r="20" spans="1:16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P20" s="69">
        <v>0.34343434343434343</v>
      </c>
    </row>
    <row r="21" spans="1:16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P21" s="69">
        <v>0.33027522935779818</v>
      </c>
    </row>
    <row r="22" spans="1:16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P22" s="69">
        <v>0.33898305084745761</v>
      </c>
    </row>
    <row r="23" spans="1:16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P23" s="69">
        <v>0.33600000000000002</v>
      </c>
    </row>
    <row r="24" spans="1:16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P24" s="69">
        <v>0.3359375</v>
      </c>
    </row>
    <row r="25" spans="1:16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P25" s="69">
        <v>0.3188405797101449</v>
      </c>
    </row>
    <row r="26" spans="1:16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P26" s="69">
        <v>0.34027777777777779</v>
      </c>
    </row>
    <row r="27" spans="1:16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P27" s="69">
        <v>0.33783783783783783</v>
      </c>
    </row>
    <row r="28" spans="1:16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P28" s="69">
        <v>0.35256410256410259</v>
      </c>
    </row>
    <row r="29" spans="1:16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P29" s="69">
        <v>0.34969325153374231</v>
      </c>
    </row>
    <row r="30" spans="1:16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P30" s="69">
        <v>0.36144578313253012</v>
      </c>
    </row>
    <row r="31" spans="1:16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P31" s="69">
        <v>0.36781609195402298</v>
      </c>
    </row>
    <row r="32" spans="1:16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P32" s="69">
        <v>0.37016574585635359</v>
      </c>
    </row>
    <row r="33" spans="1:16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P33" s="69">
        <v>0.37037037037037035</v>
      </c>
    </row>
    <row r="34" spans="1:16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P34" s="69">
        <v>0.375</v>
      </c>
    </row>
    <row r="35" spans="1:16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P35" s="69">
        <v>0.37623762376237624</v>
      </c>
    </row>
    <row r="36" spans="1:16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P36" s="69">
        <v>0.37560975609756098</v>
      </c>
    </row>
    <row r="37" spans="1:16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P37" s="69">
        <v>0.38497652582159625</v>
      </c>
    </row>
    <row r="38" spans="1:16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P38" s="69">
        <v>0.38636363636363635</v>
      </c>
    </row>
    <row r="39" spans="1:16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P39" s="69">
        <v>0.38325991189427311</v>
      </c>
    </row>
    <row r="40" spans="1:16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P40" s="69">
        <v>0.39240506329113922</v>
      </c>
    </row>
    <row r="41" spans="1:16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P41" s="69">
        <v>0.38912133891213391</v>
      </c>
    </row>
    <row r="42" spans="1:16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P42" s="69">
        <v>0.38934426229508196</v>
      </c>
    </row>
    <row r="43" spans="1:16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P43" s="69">
        <v>0.39200000000000002</v>
      </c>
    </row>
    <row r="44" spans="1:16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P44" s="69">
        <v>0.39382239382239381</v>
      </c>
    </row>
    <row r="45" spans="1:16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P45" s="69">
        <v>0.4044943820224719</v>
      </c>
    </row>
    <row r="46" spans="1:16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P46" s="69">
        <v>0.40433212996389889</v>
      </c>
    </row>
    <row r="47" spans="1:16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P47" s="69">
        <v>0.40350877192982454</v>
      </c>
    </row>
    <row r="48" spans="1:16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P48" s="69">
        <v>0.4</v>
      </c>
    </row>
    <row r="49" spans="1:16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P49" s="69">
        <v>0.39735099337748342</v>
      </c>
    </row>
    <row r="50" spans="1:16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P50" s="69">
        <v>0.4045307443365696</v>
      </c>
    </row>
    <row r="51" spans="1:16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P51" s="69">
        <v>0.40634920634920635</v>
      </c>
    </row>
    <row r="52" spans="1:16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P52" s="69">
        <v>0.4024767801857585</v>
      </c>
    </row>
    <row r="53" spans="1:16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P53" s="69">
        <v>0.40298507462686567</v>
      </c>
    </row>
    <row r="54" spans="1:16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P54" s="69">
        <v>0.40350877192982454</v>
      </c>
    </row>
    <row r="55" spans="1:16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P55" s="69">
        <v>0.40517241379310343</v>
      </c>
    </row>
    <row r="56" spans="1:16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P56" s="69">
        <v>0.40563380281690142</v>
      </c>
    </row>
    <row r="57" spans="1:16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P57" s="69">
        <v>0.40720221606648199</v>
      </c>
    </row>
    <row r="58" spans="1:16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P58" s="69">
        <v>0.40659340659340659</v>
      </c>
    </row>
    <row r="59" spans="1:16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P59" s="69">
        <v>0.40750670241286863</v>
      </c>
    </row>
    <row r="60" spans="1:16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P60" s="69">
        <v>0.40105540897097625</v>
      </c>
    </row>
    <row r="61" spans="1:16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P61" s="69">
        <v>0.40052356020942409</v>
      </c>
    </row>
    <row r="62" spans="1:16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P62" s="69">
        <v>0.39795918367346939</v>
      </c>
    </row>
    <row r="63" spans="1:16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P63" s="69">
        <v>0.39250000000000002</v>
      </c>
    </row>
    <row r="64" spans="1:16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P64" s="69">
        <v>0.39655172413793105</v>
      </c>
    </row>
    <row r="65" spans="1:16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P65" s="69">
        <v>0.40193704600484259</v>
      </c>
    </row>
    <row r="66" spans="1:16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P66" s="69">
        <v>0.39858490566037735</v>
      </c>
    </row>
    <row r="67" spans="1:16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P67" s="69">
        <v>0.39631336405529954</v>
      </c>
    </row>
    <row r="68" spans="1:16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P68" s="69">
        <v>0.39631336405529954</v>
      </c>
    </row>
    <row r="69" spans="1:16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P69" s="69">
        <v>0.39631336405529954</v>
      </c>
    </row>
    <row r="70" spans="1:16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P70" s="69">
        <v>0.39631336405529954</v>
      </c>
    </row>
    <row r="71" spans="1:16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0.44444444444444442</v>
      </c>
      <c r="M71" s="69">
        <v>0.1111111111111111</v>
      </c>
      <c r="N71" s="69">
        <v>0.75</v>
      </c>
      <c r="O71" s="69">
        <v>0</v>
      </c>
      <c r="P71" s="69">
        <v>0.39816933638443935</v>
      </c>
    </row>
    <row r="72" spans="1:16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0.36363636363636365</v>
      </c>
      <c r="M72" s="69">
        <v>0.18181818181818182</v>
      </c>
      <c r="N72" s="69">
        <v>0.66666666666666663</v>
      </c>
      <c r="O72" s="69">
        <v>0.16666666666666666</v>
      </c>
      <c r="P72" s="69">
        <v>0.39550561797752809</v>
      </c>
    </row>
    <row r="73" spans="1:16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0.35087719298245612</v>
      </c>
      <c r="M73" s="69">
        <v>0.17543859649122806</v>
      </c>
      <c r="N73" s="69">
        <v>0.65</v>
      </c>
      <c r="O73" s="69">
        <v>0.3</v>
      </c>
      <c r="P73" s="69">
        <v>0.39735099337748342</v>
      </c>
    </row>
    <row r="74" spans="1:16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0.33333333333333331</v>
      </c>
      <c r="M74" s="69">
        <v>0.18666666666666668</v>
      </c>
      <c r="N74" s="69">
        <v>0.64</v>
      </c>
      <c r="O74" s="69">
        <v>0.35714285714285715</v>
      </c>
      <c r="P74" s="69">
        <v>0.39737991266375544</v>
      </c>
    </row>
    <row r="75" spans="1:16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0.33333333333333331</v>
      </c>
      <c r="M75" s="69">
        <v>0.22916666666666666</v>
      </c>
      <c r="N75" s="69">
        <v>0.625</v>
      </c>
      <c r="O75" s="69">
        <v>0.27272727272727271</v>
      </c>
      <c r="P75" s="69">
        <v>0.39655172413793105</v>
      </c>
    </row>
    <row r="76" spans="1:16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0.31666666666666665</v>
      </c>
      <c r="M76" s="69">
        <v>0.24166666666666667</v>
      </c>
      <c r="N76" s="69">
        <v>0.63157894736842102</v>
      </c>
      <c r="O76" s="69">
        <v>0.27586206896551724</v>
      </c>
      <c r="P76" s="69">
        <v>0.40127388535031849</v>
      </c>
    </row>
    <row r="77" spans="1:16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0.32608695652173914</v>
      </c>
      <c r="M77" s="69">
        <v>0.2391304347826087</v>
      </c>
      <c r="N77" s="69">
        <v>0.6</v>
      </c>
      <c r="O77" s="69">
        <v>0.27272727272727271</v>
      </c>
      <c r="P77" s="69">
        <v>0.40126050420168069</v>
      </c>
    </row>
    <row r="78" spans="1:16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0.30246913580246915</v>
      </c>
      <c r="M78" s="69">
        <v>0.25925925925925924</v>
      </c>
      <c r="N78" s="69">
        <v>0.5714285714285714</v>
      </c>
      <c r="O78" s="69">
        <v>0.30952380952380953</v>
      </c>
      <c r="P78" s="69">
        <v>0.40165631469979296</v>
      </c>
    </row>
    <row r="79" spans="1:16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0.29032258064516131</v>
      </c>
      <c r="M79" s="69">
        <v>0.26881720430107525</v>
      </c>
      <c r="N79" s="69">
        <v>0.55555555555555558</v>
      </c>
      <c r="O79" s="69">
        <v>0.34</v>
      </c>
      <c r="P79" s="69">
        <v>0.40612244897959182</v>
      </c>
    </row>
    <row r="80" spans="1:16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0.2878787878787879</v>
      </c>
      <c r="M80" s="69">
        <v>0.25757575757575757</v>
      </c>
      <c r="N80" s="69">
        <v>0.57894736842105265</v>
      </c>
      <c r="O80" s="69">
        <v>0.35294117647058826</v>
      </c>
      <c r="P80" s="69">
        <v>0.40485829959514169</v>
      </c>
    </row>
    <row r="81" spans="1:16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0.29166666666666669</v>
      </c>
      <c r="M81" s="69">
        <v>0.25</v>
      </c>
      <c r="N81" s="69">
        <v>0.58730158730158732</v>
      </c>
      <c r="O81" s="69">
        <v>0.35185185185185186</v>
      </c>
      <c r="P81" s="69">
        <v>0.40799999999999997</v>
      </c>
    </row>
    <row r="82" spans="1:16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0.29059829059829062</v>
      </c>
      <c r="M82" s="69">
        <v>0.24358974358974358</v>
      </c>
      <c r="N82" s="69">
        <v>0.6029411764705882</v>
      </c>
      <c r="O82" s="69">
        <v>0.33333333333333331</v>
      </c>
      <c r="P82" s="69">
        <v>0.40990099009900988</v>
      </c>
    </row>
    <row r="83" spans="1:16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0.2814814814814815</v>
      </c>
      <c r="M83" s="69">
        <v>0.24444444444444444</v>
      </c>
      <c r="N83" s="69">
        <v>0.59210526315789469</v>
      </c>
      <c r="O83" s="69">
        <v>0.34848484848484851</v>
      </c>
      <c r="P83" s="69">
        <v>0.41359223300970877</v>
      </c>
    </row>
    <row r="84" spans="1:16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0.29209621993127149</v>
      </c>
      <c r="M84" s="69">
        <v>0.24054982817869416</v>
      </c>
      <c r="N84" s="69">
        <v>0.6</v>
      </c>
      <c r="O84" s="69">
        <v>0.34285714285714286</v>
      </c>
      <c r="P84" s="69">
        <v>0.41379310344827586</v>
      </c>
    </row>
    <row r="85" spans="1:16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0.2818181818181818</v>
      </c>
      <c r="M85" s="69">
        <v>0.24848484848484848</v>
      </c>
      <c r="N85" s="69">
        <v>0.58064516129032262</v>
      </c>
      <c r="O85" s="69">
        <v>0.35365853658536583</v>
      </c>
      <c r="P85" s="69">
        <v>0.4101123595505618</v>
      </c>
    </row>
    <row r="86" spans="1:16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0.28405797101449276</v>
      </c>
      <c r="M86" s="69">
        <v>0.24637681159420291</v>
      </c>
      <c r="N86" s="69">
        <v>0.58163265306122447</v>
      </c>
      <c r="O86" s="69">
        <v>0.3411764705882353</v>
      </c>
      <c r="P86" s="69">
        <v>0.40892193308550184</v>
      </c>
    </row>
    <row r="87" spans="1:16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0.28455284552845528</v>
      </c>
      <c r="M87" s="69">
        <v>0.24932249322493225</v>
      </c>
      <c r="N87" s="69">
        <v>0.580952380952381</v>
      </c>
      <c r="O87" s="69">
        <v>0.33695652173913043</v>
      </c>
      <c r="P87" s="69">
        <v>0.41025641025641024</v>
      </c>
    </row>
    <row r="88" spans="1:16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0.27989821882951654</v>
      </c>
      <c r="M88" s="69">
        <v>0.24427480916030533</v>
      </c>
      <c r="N88" s="69">
        <v>0.59090909090909094</v>
      </c>
      <c r="O88" s="69">
        <v>0.32291666666666669</v>
      </c>
      <c r="P88" s="69">
        <v>0.41123188405797101</v>
      </c>
    </row>
    <row r="89" spans="1:16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0.27941176470588236</v>
      </c>
      <c r="M89" s="69">
        <v>0.24509803921568626</v>
      </c>
      <c r="N89" s="69">
        <v>0.59649122807017541</v>
      </c>
      <c r="O89" s="69">
        <v>0.31</v>
      </c>
      <c r="P89" s="69">
        <v>0.414721723518851</v>
      </c>
    </row>
    <row r="90" spans="1:16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0.27777777777777779</v>
      </c>
      <c r="M90" s="69">
        <v>0.24444444444444444</v>
      </c>
      <c r="N90" s="69">
        <v>0.6</v>
      </c>
      <c r="O90" s="69">
        <v>0.31818181818181818</v>
      </c>
      <c r="P90" s="69">
        <v>0.41403508771929826</v>
      </c>
    </row>
    <row r="91" spans="1:16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0.28270042194092826</v>
      </c>
      <c r="M91" s="69">
        <v>0.24472573839662448</v>
      </c>
      <c r="N91" s="69">
        <v>0.59701492537313428</v>
      </c>
      <c r="O91" s="69">
        <v>0.31896551724137934</v>
      </c>
      <c r="P91" s="69">
        <v>0.41421143847487002</v>
      </c>
    </row>
    <row r="92" spans="1:16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0.28313253012048195</v>
      </c>
      <c r="M92" s="69">
        <v>0.23895582329317269</v>
      </c>
      <c r="N92" s="69">
        <v>0.60992907801418439</v>
      </c>
      <c r="O92" s="69">
        <v>0.32773109243697479</v>
      </c>
      <c r="P92" s="69">
        <v>0.41538461538461541</v>
      </c>
    </row>
    <row r="93" spans="1:16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0.27777777777777779</v>
      </c>
      <c r="M93" s="69">
        <v>0.2413793103448276</v>
      </c>
      <c r="N93" s="69">
        <v>0.61379310344827587</v>
      </c>
      <c r="O93" s="69">
        <v>0.34920634920634919</v>
      </c>
      <c r="P93" s="69">
        <v>0.41146711635750421</v>
      </c>
    </row>
    <row r="94" spans="1:16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0.27060931899641577</v>
      </c>
      <c r="M94" s="69">
        <v>0.24551971326164876</v>
      </c>
      <c r="N94" s="69">
        <v>0.60264900662251653</v>
      </c>
      <c r="O94" s="69">
        <v>0.37226277372262773</v>
      </c>
      <c r="P94" s="69">
        <v>0.40991735537190083</v>
      </c>
    </row>
    <row r="95" spans="1:16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0.27288428324697755</v>
      </c>
      <c r="M95" s="69">
        <v>0.24525043177892919</v>
      </c>
      <c r="N95" s="69">
        <v>0.60126582278481011</v>
      </c>
      <c r="O95" s="69">
        <v>0.37323943661971831</v>
      </c>
      <c r="P95" s="69">
        <v>0.40752864157119478</v>
      </c>
    </row>
    <row r="96" spans="1:16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0.2722772277227723</v>
      </c>
      <c r="M96" s="69">
        <v>0.24422442244224424</v>
      </c>
      <c r="N96" s="69">
        <v>0.60606060606060608</v>
      </c>
      <c r="O96" s="69">
        <v>0.3783783783783784</v>
      </c>
      <c r="P96" s="69">
        <v>0.40806451612903227</v>
      </c>
    </row>
    <row r="97" spans="1:16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0.27301587301587299</v>
      </c>
      <c r="M97" s="69">
        <v>0.24285714285714285</v>
      </c>
      <c r="N97" s="69">
        <v>0.61046511627906974</v>
      </c>
      <c r="O97" s="69">
        <v>0.37908496732026142</v>
      </c>
      <c r="P97" s="69">
        <v>0.40829346092503987</v>
      </c>
    </row>
    <row r="98" spans="1:16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0.27903469079939669</v>
      </c>
      <c r="M98" s="69">
        <v>0.2368024132730015</v>
      </c>
      <c r="N98" s="69">
        <v>0.61081081081081079</v>
      </c>
      <c r="O98" s="69">
        <v>0.37579617834394907</v>
      </c>
      <c r="P98" s="69">
        <v>0.40659340659340659</v>
      </c>
    </row>
    <row r="99" spans="1:16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0.28193832599118945</v>
      </c>
      <c r="M99" s="69">
        <v>0.23641703377386197</v>
      </c>
      <c r="N99" s="69">
        <v>0.609375</v>
      </c>
      <c r="O99" s="69">
        <v>0.37267080745341613</v>
      </c>
      <c r="P99" s="69">
        <v>0.40746500777604977</v>
      </c>
    </row>
    <row r="100" spans="1:16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0.27566807313642755</v>
      </c>
      <c r="M100" s="69">
        <v>0.23488045007032349</v>
      </c>
      <c r="N100" s="69">
        <v>0.61224489795918369</v>
      </c>
      <c r="O100" s="69">
        <v>0.3772455089820359</v>
      </c>
      <c r="P100" s="69">
        <v>0.4046153846153846</v>
      </c>
    </row>
    <row r="101" spans="1:16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0.27100271002710025</v>
      </c>
      <c r="M101" s="69">
        <v>0.23712737127371275</v>
      </c>
      <c r="N101" s="69">
        <v>0.62</v>
      </c>
      <c r="O101" s="69">
        <v>0.37714285714285717</v>
      </c>
      <c r="P101" s="69">
        <v>0.40425531914893614</v>
      </c>
    </row>
    <row r="102" spans="1:16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0.27272727272727271</v>
      </c>
      <c r="M102" s="69">
        <v>0.23847167325428195</v>
      </c>
      <c r="N102" s="69">
        <v>0.61352657004830913</v>
      </c>
      <c r="O102" s="69">
        <v>0.38121546961325969</v>
      </c>
      <c r="P102" s="69">
        <v>0.40451127819548871</v>
      </c>
    </row>
    <row r="103" spans="1:16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0.27330779054916987</v>
      </c>
      <c r="M103" s="69">
        <v>0.23499361430395913</v>
      </c>
      <c r="N103" s="69">
        <v>0.61214953271028039</v>
      </c>
      <c r="O103" s="69">
        <v>0.3858695652173913</v>
      </c>
      <c r="P103" s="69">
        <v>0.40416047548291234</v>
      </c>
    </row>
    <row r="104" spans="1:16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0.27215980024968789</v>
      </c>
      <c r="M104" s="69">
        <v>0.23595505617977527</v>
      </c>
      <c r="N104" s="69">
        <v>0.61009174311926606</v>
      </c>
      <c r="O104" s="69">
        <v>0.38624338624338622</v>
      </c>
      <c r="P104" s="69">
        <v>0.40412979351032446</v>
      </c>
    </row>
    <row r="105" spans="1:16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0.27407407407407408</v>
      </c>
      <c r="M105" s="69">
        <v>0.23456790123456789</v>
      </c>
      <c r="N105" s="69">
        <v>0.61261261261261257</v>
      </c>
      <c r="O105" s="69">
        <v>0.38421052631578945</v>
      </c>
      <c r="P105" s="69">
        <v>0.40528634361233479</v>
      </c>
    </row>
    <row r="106" spans="1:16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0.27436823104693142</v>
      </c>
      <c r="M106" s="69">
        <v>0.23345367027677497</v>
      </c>
      <c r="N106" s="69">
        <v>0.60964912280701755</v>
      </c>
      <c r="O106" s="69">
        <v>0.38659793814432991</v>
      </c>
      <c r="P106" s="69">
        <v>0.40611353711790393</v>
      </c>
    </row>
    <row r="107" spans="1:16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0.27719298245614032</v>
      </c>
      <c r="M107" s="69">
        <v>0.2304093567251462</v>
      </c>
      <c r="N107" s="69">
        <v>0.60759493670886078</v>
      </c>
      <c r="O107" s="69">
        <v>0.39086294416243655</v>
      </c>
      <c r="P107" s="69">
        <v>0.41210374639769454</v>
      </c>
    </row>
    <row r="108" spans="1:16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0.2768361581920904</v>
      </c>
      <c r="M108" s="69">
        <v>0.23050847457627119</v>
      </c>
      <c r="N108" s="69">
        <v>0.60408163265306125</v>
      </c>
      <c r="O108" s="69">
        <v>0.40196078431372551</v>
      </c>
      <c r="P108" s="69">
        <v>0.40992907801418438</v>
      </c>
    </row>
    <row r="109" spans="1:16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0.28017718715393136</v>
      </c>
      <c r="M109" s="69">
        <v>0.22702104097452935</v>
      </c>
      <c r="N109" s="69">
        <v>0.60079051383399207</v>
      </c>
      <c r="O109" s="69">
        <v>0.40487804878048783</v>
      </c>
      <c r="P109" s="69">
        <v>0.41209563994374121</v>
      </c>
    </row>
    <row r="110" spans="1:16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0.28104575163398693</v>
      </c>
      <c r="M110" s="69">
        <v>0.22549019607843138</v>
      </c>
      <c r="N110" s="69">
        <v>0.60077519379844957</v>
      </c>
      <c r="O110" s="69">
        <v>0.40096618357487923</v>
      </c>
      <c r="P110" s="69">
        <v>0.41258741258741261</v>
      </c>
    </row>
    <row r="111" spans="1:16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0.28108672936259144</v>
      </c>
      <c r="M111" s="69">
        <v>0.22466039707419017</v>
      </c>
      <c r="N111" s="69">
        <v>0.59479553903345728</v>
      </c>
      <c r="O111" s="69">
        <v>0.39534883720930231</v>
      </c>
      <c r="P111" s="69">
        <v>0.40909090909090912</v>
      </c>
    </row>
    <row r="112" spans="1:16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0.2815040650406504</v>
      </c>
      <c r="M112" s="69">
        <v>0.22154471544715448</v>
      </c>
      <c r="N112" s="69">
        <v>0.6028880866425993</v>
      </c>
      <c r="O112" s="69">
        <v>0.39449541284403672</v>
      </c>
      <c r="P112" s="69">
        <v>0.41088435374149662</v>
      </c>
    </row>
    <row r="113" spans="1:16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0.27925270403146507</v>
      </c>
      <c r="M113" s="69">
        <v>0.22222222222222221</v>
      </c>
      <c r="N113" s="69">
        <v>0.59859154929577463</v>
      </c>
      <c r="O113" s="69">
        <v>0.39380530973451328</v>
      </c>
      <c r="P113" s="69">
        <v>0.40805369127516777</v>
      </c>
    </row>
    <row r="114" spans="1:16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0.279383429672447</v>
      </c>
      <c r="M114" s="69">
        <v>0.22254335260115607</v>
      </c>
      <c r="N114" s="69">
        <v>0.60689655172413792</v>
      </c>
      <c r="O114" s="69">
        <v>0.38961038961038963</v>
      </c>
      <c r="P114" s="69">
        <v>0.40824468085106386</v>
      </c>
    </row>
    <row r="115" spans="1:16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0.279847182425979</v>
      </c>
      <c r="M115" s="69">
        <v>0.22063037249283668</v>
      </c>
      <c r="N115" s="69">
        <v>0.60750853242320824</v>
      </c>
      <c r="O115" s="69">
        <v>0.38961038961038963</v>
      </c>
      <c r="P115" s="69">
        <v>0.40794701986754967</v>
      </c>
    </row>
    <row r="116" spans="1:16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0.28197945845004668</v>
      </c>
      <c r="M116" s="69">
        <v>0.22128851540616246</v>
      </c>
      <c r="N116" s="69">
        <v>0.60264900662251653</v>
      </c>
      <c r="O116" s="69">
        <v>0.3881856540084388</v>
      </c>
      <c r="P116" s="69">
        <v>0.40629095674967236</v>
      </c>
    </row>
    <row r="117" spans="1:16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0.28282828282828282</v>
      </c>
      <c r="M117" s="69">
        <v>0.21854912764003673</v>
      </c>
      <c r="N117" s="69">
        <v>0.6071428571428571</v>
      </c>
      <c r="O117" s="69">
        <v>0.3907563025210084</v>
      </c>
      <c r="P117" s="69">
        <v>0.4096228868660598</v>
      </c>
    </row>
    <row r="118" spans="1:16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0.28014184397163122</v>
      </c>
      <c r="M118" s="69">
        <v>0.22429078014184398</v>
      </c>
      <c r="N118" s="69">
        <v>0.61392405063291144</v>
      </c>
      <c r="O118" s="69">
        <v>0.39130434782608697</v>
      </c>
      <c r="P118" s="69">
        <v>0.41176470588235292</v>
      </c>
    </row>
    <row r="119" spans="1:16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0.28010471204188481</v>
      </c>
      <c r="M119" s="69">
        <v>0.22338568935427575</v>
      </c>
      <c r="N119" s="69">
        <v>0.61370716510903423</v>
      </c>
      <c r="O119" s="69">
        <v>0.390625</v>
      </c>
      <c r="P119" s="69">
        <v>0.41168996188055906</v>
      </c>
    </row>
    <row r="120" spans="1:16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0.27905004240882103</v>
      </c>
      <c r="M120" s="69">
        <v>0.22222222222222221</v>
      </c>
      <c r="N120" s="69">
        <v>0.61702127659574468</v>
      </c>
      <c r="O120" s="69">
        <v>0.39694656488549618</v>
      </c>
      <c r="P120" s="69">
        <v>0.40977443609022557</v>
      </c>
    </row>
    <row r="121" spans="1:16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0.28016877637130799</v>
      </c>
      <c r="M121" s="69">
        <v>0.22109704641350211</v>
      </c>
      <c r="N121" s="69">
        <v>0.61746987951807231</v>
      </c>
      <c r="O121" s="69">
        <v>0.39694656488549618</v>
      </c>
      <c r="P121" s="69">
        <v>0.41</v>
      </c>
    </row>
    <row r="122" spans="1:16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0.28026533996683251</v>
      </c>
      <c r="M122" s="69">
        <v>0.22056384742951907</v>
      </c>
      <c r="N122" s="69">
        <v>0.62130177514792895</v>
      </c>
      <c r="O122" s="69">
        <v>0.39473684210526316</v>
      </c>
      <c r="P122" s="69">
        <v>0.41191066997518611</v>
      </c>
    </row>
    <row r="123" spans="1:16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0.28223844282238442</v>
      </c>
      <c r="M123" s="69">
        <v>0.21897810218978103</v>
      </c>
      <c r="N123" s="69">
        <v>0.61494252873563215</v>
      </c>
      <c r="O123" s="69">
        <v>0.39629629629629631</v>
      </c>
      <c r="P123" s="69">
        <v>0.41031941031941033</v>
      </c>
    </row>
    <row r="124" spans="1:16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0.28297362110311752</v>
      </c>
      <c r="M124" s="69">
        <v>0.21982414068745004</v>
      </c>
      <c r="N124" s="69">
        <v>0.61016949152542377</v>
      </c>
      <c r="O124" s="69">
        <v>0.4</v>
      </c>
      <c r="P124" s="69">
        <v>0.40853658536585363</v>
      </c>
    </row>
    <row r="125" spans="1:16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0.28333333333333333</v>
      </c>
      <c r="M125" s="69">
        <v>0.21984126984126984</v>
      </c>
      <c r="N125" s="69">
        <v>0.61064425770308128</v>
      </c>
      <c r="O125" s="69">
        <v>0.4007220216606498</v>
      </c>
      <c r="P125" s="69">
        <v>0.40704738760631837</v>
      </c>
    </row>
    <row r="126" spans="1:16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0.28560431100846806</v>
      </c>
      <c r="M126" s="69">
        <v>0.21939953810623555</v>
      </c>
      <c r="N126" s="69">
        <v>0.61185983827493262</v>
      </c>
      <c r="O126" s="69">
        <v>0.39298245614035088</v>
      </c>
      <c r="P126" s="69">
        <v>0.40887290167865709</v>
      </c>
    </row>
    <row r="127" spans="1:16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0.28560606060606059</v>
      </c>
      <c r="M127" s="69">
        <v>0.22272727272727272</v>
      </c>
      <c r="N127" s="69">
        <v>0.60742705570291777</v>
      </c>
      <c r="O127" s="69">
        <v>0.39455782312925169</v>
      </c>
      <c r="P127" s="69">
        <v>0.41022592152199761</v>
      </c>
    </row>
    <row r="128" spans="1:16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0.28560775540641314</v>
      </c>
      <c r="M128" s="69">
        <v>0.22296793437733034</v>
      </c>
      <c r="N128" s="69">
        <v>0.60835509138381205</v>
      </c>
      <c r="O128" s="69">
        <v>0.40133779264214048</v>
      </c>
      <c r="P128" s="69">
        <v>0.40989399293286222</v>
      </c>
    </row>
    <row r="129" spans="1:16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0.2857142857142857</v>
      </c>
      <c r="M129" s="69">
        <v>0.22197802197802197</v>
      </c>
      <c r="N129" s="69">
        <v>0.60769230769230764</v>
      </c>
      <c r="O129" s="69">
        <v>0.39933993399339934</v>
      </c>
      <c r="P129" s="69">
        <v>0.40935672514619881</v>
      </c>
    </row>
    <row r="130" spans="1:16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0.28467683369644153</v>
      </c>
      <c r="M130" s="69">
        <v>0.22294843863471314</v>
      </c>
      <c r="N130" s="69">
        <v>0.60969387755102045</v>
      </c>
      <c r="O130" s="69">
        <v>0.40065146579804561</v>
      </c>
      <c r="P130" s="69">
        <v>0.40745052386495928</v>
      </c>
    </row>
    <row r="131" spans="1:16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0.2832618025751073</v>
      </c>
      <c r="M131" s="69">
        <v>0.22460658082975679</v>
      </c>
      <c r="N131" s="69">
        <v>0.60606060606060608</v>
      </c>
      <c r="O131" s="69">
        <v>0.40127388535031849</v>
      </c>
      <c r="P131" s="69">
        <v>0.40415704387990764</v>
      </c>
    </row>
    <row r="132" spans="1:16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0.28081232492997199</v>
      </c>
      <c r="M132" s="69">
        <v>0.22759103641456582</v>
      </c>
      <c r="N132" s="69">
        <v>0.60349127182044893</v>
      </c>
      <c r="O132" s="69">
        <v>0.40615384615384614</v>
      </c>
      <c r="P132" s="69">
        <v>0.40114285714285713</v>
      </c>
    </row>
    <row r="133" spans="1:16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0.28135828135828134</v>
      </c>
      <c r="M133" s="69">
        <v>0.22661122661122662</v>
      </c>
      <c r="N133" s="69">
        <v>0.60098522167487689</v>
      </c>
      <c r="O133" s="69">
        <v>0.40672782874617736</v>
      </c>
      <c r="P133" s="69">
        <v>0.4</v>
      </c>
    </row>
    <row r="134" spans="1:16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0.28231292517006801</v>
      </c>
      <c r="M134" s="69">
        <v>0.22380952380952382</v>
      </c>
      <c r="N134" s="69">
        <v>0.60722891566265058</v>
      </c>
      <c r="O134" s="69">
        <v>0.40425531914893614</v>
      </c>
      <c r="P134" s="69">
        <v>0.39864864864864863</v>
      </c>
    </row>
    <row r="135" spans="1:16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0.28360215053763443</v>
      </c>
      <c r="M135" s="69">
        <v>0.22379032258064516</v>
      </c>
      <c r="N135" s="69">
        <v>0.61137440758293837</v>
      </c>
      <c r="O135" s="69">
        <v>0.39939939939939939</v>
      </c>
      <c r="P135" s="69">
        <v>0.3970917225950783</v>
      </c>
    </row>
    <row r="136" spans="1:16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0.28392621870882739</v>
      </c>
      <c r="M136" s="69">
        <v>0.22266139657444006</v>
      </c>
      <c r="N136" s="69">
        <v>0.61252900232018559</v>
      </c>
      <c r="O136" s="69">
        <v>0.40236686390532544</v>
      </c>
      <c r="P136" s="69">
        <v>0.39712389380530971</v>
      </c>
    </row>
    <row r="137" spans="1:16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0.28478964401294499</v>
      </c>
      <c r="M137" s="69">
        <v>0.22394822006472492</v>
      </c>
      <c r="N137" s="69">
        <v>0.60681818181818181</v>
      </c>
      <c r="O137" s="69">
        <v>0.40173410404624277</v>
      </c>
      <c r="P137" s="69">
        <v>0.39626783754116357</v>
      </c>
    </row>
    <row r="138" spans="1:16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0.28498727735368956</v>
      </c>
      <c r="M138" s="69">
        <v>0.22582697201017812</v>
      </c>
      <c r="N138" s="69">
        <v>0.6071428571428571</v>
      </c>
      <c r="O138" s="69">
        <v>0.39718309859154932</v>
      </c>
      <c r="P138" s="69">
        <v>0.397170837867247</v>
      </c>
    </row>
    <row r="139" spans="1:16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0.28355387523629488</v>
      </c>
      <c r="M139" s="69">
        <v>0.22558286074354128</v>
      </c>
      <c r="N139" s="69">
        <v>0.60888888888888892</v>
      </c>
      <c r="O139" s="69">
        <v>0.39664804469273746</v>
      </c>
      <c r="P139" s="69">
        <v>0.39761646803900325</v>
      </c>
    </row>
    <row r="140" spans="1:16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0.28277153558052437</v>
      </c>
      <c r="M140" s="69">
        <v>0.22409488139825218</v>
      </c>
      <c r="N140" s="69">
        <v>0.61147902869757176</v>
      </c>
      <c r="O140" s="69">
        <v>0.3955431754874652</v>
      </c>
      <c r="P140" s="69">
        <v>0.39870689655172414</v>
      </c>
    </row>
    <row r="141" spans="1:16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0.28252788104089221</v>
      </c>
      <c r="M141" s="69">
        <v>0.22490706319702602</v>
      </c>
      <c r="N141" s="69">
        <v>0.61184210526315785</v>
      </c>
      <c r="O141" s="69">
        <v>0.39944903581267216</v>
      </c>
      <c r="P141" s="69">
        <v>0.3987138263665595</v>
      </c>
    </row>
    <row r="142" spans="1:16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0.28223844282238442</v>
      </c>
      <c r="M142" s="69">
        <v>0.2281021897810219</v>
      </c>
      <c r="N142" s="69">
        <v>0.60775862068965514</v>
      </c>
      <c r="O142" s="69">
        <v>0.39733333333333332</v>
      </c>
      <c r="P142" s="69">
        <v>0.39744952178533477</v>
      </c>
    </row>
    <row r="143" spans="1:16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0.28205128205128205</v>
      </c>
      <c r="M143" s="69">
        <v>0.22778771615980919</v>
      </c>
      <c r="N143" s="69">
        <v>0.60887949260042284</v>
      </c>
      <c r="O143" s="69">
        <v>0.39528795811518325</v>
      </c>
      <c r="P143" s="69">
        <v>0.39684210526315788</v>
      </c>
    </row>
    <row r="144" spans="1:16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0.28032979976442873</v>
      </c>
      <c r="M144" s="69">
        <v>0.22732626619552415</v>
      </c>
      <c r="N144" s="69">
        <v>0.6071428571428571</v>
      </c>
      <c r="O144" s="69">
        <v>0.39637305699481867</v>
      </c>
      <c r="P144" s="69">
        <v>0.39622641509433965</v>
      </c>
    </row>
    <row r="145" spans="1:16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0.28222996515679444</v>
      </c>
      <c r="M145" s="69">
        <v>0.22764227642276422</v>
      </c>
      <c r="N145" s="69">
        <v>0.60288065843621397</v>
      </c>
      <c r="O145" s="69">
        <v>0.39795918367346939</v>
      </c>
      <c r="P145" s="69">
        <v>0.39646201873048909</v>
      </c>
    </row>
    <row r="146" spans="1:16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0.28187535734705543</v>
      </c>
      <c r="M146" s="69">
        <v>0.22870211549456831</v>
      </c>
      <c r="N146" s="69">
        <v>0.60243407707910746</v>
      </c>
      <c r="O146" s="69">
        <v>0.40250000000000002</v>
      </c>
      <c r="P146" s="69">
        <v>0.4</v>
      </c>
    </row>
    <row r="147" spans="1:16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0.28274311410905001</v>
      </c>
      <c r="M147" s="69">
        <v>0.22878021360314785</v>
      </c>
      <c r="N147" s="69">
        <v>0.60039761431411531</v>
      </c>
      <c r="O147" s="69">
        <v>0.40049140049140047</v>
      </c>
      <c r="P147" s="69">
        <v>0.39775051124744376</v>
      </c>
    </row>
    <row r="148" spans="1:16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0.28175263449805882</v>
      </c>
      <c r="M148" s="69">
        <v>0.22961730449251247</v>
      </c>
      <c r="N148" s="69">
        <v>0.60039370078740162</v>
      </c>
      <c r="O148" s="69">
        <v>0.40338164251207731</v>
      </c>
      <c r="P148" s="69">
        <v>0.39796954314720812</v>
      </c>
    </row>
    <row r="149" spans="1:16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0.28188286808976465</v>
      </c>
      <c r="M149" s="69">
        <v>0.22988505747126436</v>
      </c>
      <c r="N149" s="69">
        <v>0.6</v>
      </c>
      <c r="O149" s="69">
        <v>0.40476190476190477</v>
      </c>
      <c r="P149" s="69">
        <v>0.3997985901309164</v>
      </c>
    </row>
    <row r="150" spans="1:16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0.28217555196553579</v>
      </c>
      <c r="M150" s="69">
        <v>0.23047926763597198</v>
      </c>
      <c r="N150" s="69">
        <v>0.60114503816793896</v>
      </c>
      <c r="O150" s="69">
        <v>0.40186915887850466</v>
      </c>
      <c r="P150" s="69">
        <v>0.39820359281437123</v>
      </c>
    </row>
    <row r="151" spans="1:16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0.28426666666666667</v>
      </c>
      <c r="M151" s="69">
        <v>0.2288</v>
      </c>
      <c r="N151" s="69">
        <v>0.59849906191369606</v>
      </c>
      <c r="O151" s="69">
        <v>0.40326340326340326</v>
      </c>
      <c r="P151" s="69">
        <v>0.39920556107249255</v>
      </c>
    </row>
    <row r="152" spans="1:16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0.28306878306878308</v>
      </c>
      <c r="M152" s="69">
        <v>0.23068783068783069</v>
      </c>
      <c r="N152" s="69">
        <v>0.5962616822429907</v>
      </c>
      <c r="O152" s="69">
        <v>0.40596330275229359</v>
      </c>
      <c r="P152" s="69">
        <v>0.39960435212660733</v>
      </c>
    </row>
    <row r="153" spans="1:16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0.28205128205128205</v>
      </c>
      <c r="M153" s="69">
        <v>0.22972265829408686</v>
      </c>
      <c r="N153" s="69">
        <v>0.5992578849721707</v>
      </c>
      <c r="O153" s="69">
        <v>0.40774487471526194</v>
      </c>
      <c r="P153" s="69">
        <v>0.39823008849557523</v>
      </c>
    </row>
    <row r="154" spans="1:16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0.28086419753086422</v>
      </c>
      <c r="M154" s="69">
        <v>0.22942386831275721</v>
      </c>
      <c r="N154" s="69">
        <v>0.59523809523809523</v>
      </c>
      <c r="O154" s="69">
        <v>0.4103139013452915</v>
      </c>
      <c r="P154" s="69">
        <v>0.39824732229795523</v>
      </c>
    </row>
    <row r="155" spans="1:16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0.28075548749361917</v>
      </c>
      <c r="M155" s="69">
        <v>0.22970903522205208</v>
      </c>
      <c r="N155" s="69">
        <v>0.59272727272727277</v>
      </c>
      <c r="O155" s="69">
        <v>0.40888888888888891</v>
      </c>
      <c r="P155" s="69">
        <v>0.39767216294859359</v>
      </c>
    </row>
    <row r="156" spans="1:16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0.28139183055975792</v>
      </c>
      <c r="M156" s="69">
        <v>0.22894604135148763</v>
      </c>
      <c r="N156" s="69">
        <v>0.59498207885304655</v>
      </c>
      <c r="O156" s="69">
        <v>0.40748898678414097</v>
      </c>
      <c r="P156" s="69">
        <v>0.39846005774783444</v>
      </c>
    </row>
    <row r="157" spans="1:16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0.28308457711442786</v>
      </c>
      <c r="M157" s="69">
        <v>0.22686567164179106</v>
      </c>
      <c r="N157" s="69">
        <v>0.59402460456942008</v>
      </c>
      <c r="O157" s="69">
        <v>0.40789473684210525</v>
      </c>
      <c r="P157" s="69">
        <v>0.39732569245463228</v>
      </c>
    </row>
    <row r="158" spans="1:16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0.28325969563082964</v>
      </c>
      <c r="M158" s="69">
        <v>0.22582228767795778</v>
      </c>
      <c r="N158" s="69">
        <v>0.59618717504332752</v>
      </c>
      <c r="O158" s="69">
        <v>0.40652173913043477</v>
      </c>
      <c r="P158" s="69">
        <v>0.39772727272727271</v>
      </c>
    </row>
    <row r="159" spans="1:16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0.28439922480620156</v>
      </c>
      <c r="M159" s="69">
        <v>0.22674418604651161</v>
      </c>
      <c r="N159" s="69">
        <v>0.59454855195911416</v>
      </c>
      <c r="O159" s="69">
        <v>0.40384615384615385</v>
      </c>
      <c r="P159" s="69">
        <v>0.39661654135338348</v>
      </c>
    </row>
    <row r="160" spans="1:16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0.28333333333333333</v>
      </c>
      <c r="M160" s="69">
        <v>0.2280952380952381</v>
      </c>
      <c r="N160" s="69">
        <v>0.59495798319327731</v>
      </c>
      <c r="O160" s="69">
        <v>0.39874739039665968</v>
      </c>
      <c r="P160" s="69">
        <v>0.39794967381174279</v>
      </c>
    </row>
    <row r="161" spans="1:16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0.28194247996228194</v>
      </c>
      <c r="M161" s="69">
        <v>0.23008015087223008</v>
      </c>
      <c r="N161" s="69">
        <v>0.59531772575250841</v>
      </c>
      <c r="O161" s="69">
        <v>0.39959016393442626</v>
      </c>
      <c r="P161" s="69">
        <v>0.39666357738646896</v>
      </c>
    </row>
    <row r="162" spans="1:16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0.28119180633147112</v>
      </c>
      <c r="M162" s="69">
        <v>0.22951582867783984</v>
      </c>
      <c r="N162" s="69">
        <v>0.59602649006622521</v>
      </c>
      <c r="O162" s="69">
        <v>0.39959432048681542</v>
      </c>
      <c r="P162" s="69">
        <v>0.39686924493554326</v>
      </c>
    </row>
    <row r="163" spans="1:16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0.28381476386978449</v>
      </c>
      <c r="M163" s="69">
        <v>0.22879413113250802</v>
      </c>
      <c r="N163" s="69">
        <v>0.59612277867528274</v>
      </c>
      <c r="O163" s="69">
        <v>0.39679358717434871</v>
      </c>
      <c r="P163" s="69">
        <v>0.39835916134913402</v>
      </c>
    </row>
    <row r="164" spans="1:16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0.28351449275362317</v>
      </c>
      <c r="M164" s="69">
        <v>0.23097826086956522</v>
      </c>
      <c r="N164" s="69">
        <v>0.597444089456869</v>
      </c>
      <c r="O164" s="69">
        <v>0.39215686274509803</v>
      </c>
      <c r="P164" s="69">
        <v>0.39909502262443441</v>
      </c>
    </row>
    <row r="165" spans="1:16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0.28449820788530467</v>
      </c>
      <c r="M165" s="69">
        <v>0.2307347670250896</v>
      </c>
      <c r="N165" s="69">
        <v>0.59685039370078741</v>
      </c>
      <c r="O165" s="69">
        <v>0.39223300970873787</v>
      </c>
      <c r="P165" s="69">
        <v>0.39928057553956836</v>
      </c>
    </row>
    <row r="166" spans="1:16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0.28368794326241137</v>
      </c>
      <c r="M166" s="69">
        <v>0.23182624113475178</v>
      </c>
      <c r="N166" s="69">
        <v>0.59531250000000002</v>
      </c>
      <c r="O166" s="69">
        <v>0.39196940726577439</v>
      </c>
      <c r="P166" s="69">
        <v>0.39910714285714288</v>
      </c>
    </row>
    <row r="167" spans="1:16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0.28302712160979876</v>
      </c>
      <c r="M167" s="69">
        <v>0.23053368328958881</v>
      </c>
      <c r="N167" s="69">
        <v>0.59814528593508498</v>
      </c>
      <c r="O167" s="69">
        <v>0.39278937381404172</v>
      </c>
      <c r="P167" s="69">
        <v>0.39893617021276595</v>
      </c>
    </row>
    <row r="168" spans="1:16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0.28416013925152306</v>
      </c>
      <c r="M168" s="69">
        <v>0.2297650130548303</v>
      </c>
      <c r="N168" s="69">
        <v>0.59724349157733536</v>
      </c>
      <c r="O168" s="69">
        <v>0.39393939393939392</v>
      </c>
      <c r="P168" s="69">
        <v>0.39805825242718446</v>
      </c>
    </row>
    <row r="169" spans="1:16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0.2833117723156533</v>
      </c>
      <c r="M169" s="69">
        <v>0.23156532988357051</v>
      </c>
      <c r="N169" s="69">
        <v>0.59817351598173518</v>
      </c>
      <c r="O169" s="69">
        <v>0.39478584729981381</v>
      </c>
      <c r="P169" s="69">
        <v>0.39736842105263159</v>
      </c>
    </row>
    <row r="170" spans="1:16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0.2833763996554694</v>
      </c>
      <c r="M170" s="69">
        <v>0.23126614987080105</v>
      </c>
      <c r="N170" s="69">
        <v>0.59878419452887544</v>
      </c>
      <c r="O170" s="69">
        <v>0.39478584729981381</v>
      </c>
      <c r="P170" s="69">
        <v>0.39702015775635408</v>
      </c>
    </row>
    <row r="171" spans="1:16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0.28267347807577692</v>
      </c>
      <c r="M171" s="69">
        <v>0.23158790974882928</v>
      </c>
      <c r="N171" s="69">
        <v>0.59638554216867468</v>
      </c>
      <c r="O171" s="69">
        <v>0.3952205882352941</v>
      </c>
      <c r="P171" s="69">
        <v>0.40086956521739131</v>
      </c>
    </row>
    <row r="172" spans="1:16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0.28409090909090912</v>
      </c>
      <c r="M172" s="69">
        <v>0.23106060606060605</v>
      </c>
      <c r="N172" s="69">
        <v>0.59407407407407409</v>
      </c>
      <c r="O172" s="69">
        <v>0.39708561020036431</v>
      </c>
      <c r="P172" s="69">
        <v>0.40034512510785158</v>
      </c>
    </row>
    <row r="173" spans="1:16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0.28339575530586769</v>
      </c>
      <c r="M173" s="69">
        <v>0.23137744486059092</v>
      </c>
      <c r="N173" s="69">
        <v>0.59618208516886928</v>
      </c>
      <c r="O173" s="69">
        <v>0.39748201438848924</v>
      </c>
      <c r="P173" s="69">
        <v>0.40068493150684931</v>
      </c>
    </row>
    <row r="174" spans="1:16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0.28329197684036395</v>
      </c>
      <c r="M174" s="69">
        <v>0.23159636062861869</v>
      </c>
      <c r="N174" s="69">
        <v>0.59708029197080292</v>
      </c>
      <c r="O174" s="69">
        <v>0.39642857142857141</v>
      </c>
      <c r="P174" s="69">
        <v>0.40187713310580203</v>
      </c>
    </row>
    <row r="175" spans="1:16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0.28396572827417382</v>
      </c>
      <c r="M175" s="69">
        <v>0.2317421460628315</v>
      </c>
      <c r="N175" s="69">
        <v>0.5933908045977011</v>
      </c>
      <c r="O175" s="69">
        <v>0.39612676056338031</v>
      </c>
      <c r="P175" s="69">
        <v>0.40270727580372251</v>
      </c>
    </row>
    <row r="176" spans="1:16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0.28357605177993528</v>
      </c>
      <c r="M176" s="69">
        <v>0.23260517799352751</v>
      </c>
      <c r="N176" s="69">
        <v>0.59343794579172615</v>
      </c>
      <c r="O176" s="69">
        <v>0.39652173913043476</v>
      </c>
      <c r="P176" s="69">
        <v>0.40117746005046256</v>
      </c>
    </row>
    <row r="177" spans="1:16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0.28291316526610644</v>
      </c>
      <c r="M177" s="69">
        <v>0.23289315726290516</v>
      </c>
      <c r="N177" s="69">
        <v>0.59405940594059403</v>
      </c>
      <c r="O177" s="69">
        <v>0.39690721649484534</v>
      </c>
      <c r="P177" s="69">
        <v>0.40400667779632721</v>
      </c>
    </row>
    <row r="178" spans="1:16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0.28293650793650793</v>
      </c>
      <c r="M178" s="69">
        <v>0.23214285714285715</v>
      </c>
      <c r="N178" s="69">
        <v>0.5946704067321178</v>
      </c>
      <c r="O178" s="69">
        <v>0.39658119658119656</v>
      </c>
      <c r="P178" s="69">
        <v>0.40448504983388706</v>
      </c>
    </row>
    <row r="179" spans="1:16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0.28289992119779356</v>
      </c>
      <c r="M179" s="69">
        <v>0.23128447596532703</v>
      </c>
      <c r="N179" s="69">
        <v>0.59610027855153203</v>
      </c>
      <c r="O179" s="69">
        <v>0.39693356047700168</v>
      </c>
      <c r="P179" s="69">
        <v>0.40413223140495869</v>
      </c>
    </row>
    <row r="180" spans="1:16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0.2834890965732087</v>
      </c>
      <c r="M180" s="69">
        <v>0.23130841121495327</v>
      </c>
      <c r="N180" s="69">
        <v>0.59615384615384615</v>
      </c>
      <c r="O180" s="69">
        <v>0.39393939393939392</v>
      </c>
      <c r="P180" s="69">
        <v>0.4039408866995074</v>
      </c>
    </row>
    <row r="181" spans="1:16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0.28202160493827161</v>
      </c>
      <c r="M181" s="69">
        <v>0.23148148148148148</v>
      </c>
      <c r="N181" s="69">
        <v>0.59644322845417241</v>
      </c>
      <c r="O181" s="69">
        <v>0.39500000000000002</v>
      </c>
      <c r="P181" s="69">
        <v>0.40701468189233281</v>
      </c>
    </row>
    <row r="182" spans="1:16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0.28243398392652125</v>
      </c>
      <c r="M182" s="69">
        <v>0.23038652889399158</v>
      </c>
      <c r="N182" s="69">
        <v>0.59756097560975607</v>
      </c>
      <c r="O182" s="69">
        <v>0.39368770764119604</v>
      </c>
      <c r="P182" s="69">
        <v>0.40632603406326034</v>
      </c>
    </row>
    <row r="183" spans="1:16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0.2833900870223231</v>
      </c>
      <c r="M183" s="69">
        <v>0.22928490351872871</v>
      </c>
      <c r="N183" s="69">
        <v>0.59946595460614149</v>
      </c>
      <c r="O183" s="69">
        <v>0.39273927392739272</v>
      </c>
      <c r="P183" s="69">
        <v>0.40740740740740738</v>
      </c>
    </row>
    <row r="184" spans="1:16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0.28507295173961839</v>
      </c>
      <c r="M184" s="69">
        <v>0.22933034044145156</v>
      </c>
      <c r="N184" s="69">
        <v>0.59711286089238846</v>
      </c>
      <c r="O184" s="69">
        <v>0.39151712887438828</v>
      </c>
      <c r="P184" s="69">
        <v>0.40687450039968026</v>
      </c>
    </row>
    <row r="185" spans="1:16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0.28518518518518521</v>
      </c>
      <c r="M185" s="69">
        <v>0.22962962962962963</v>
      </c>
      <c r="N185" s="69">
        <v>0.59610389610389614</v>
      </c>
      <c r="O185" s="69">
        <v>0.39193548387096772</v>
      </c>
      <c r="P185" s="69">
        <v>0.40984908657664815</v>
      </c>
    </row>
    <row r="186" spans="1:16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0.28450807635829661</v>
      </c>
      <c r="M186" s="69">
        <v>0.23127753303964757</v>
      </c>
      <c r="N186" s="69">
        <v>0.59483870967741936</v>
      </c>
      <c r="O186" s="69">
        <v>0.39523809523809522</v>
      </c>
      <c r="P186" s="69">
        <v>0.409629044988161</v>
      </c>
    </row>
    <row r="187" spans="1:16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0.28581791802684076</v>
      </c>
      <c r="M187" s="69">
        <v>0.23104824084149439</v>
      </c>
      <c r="N187" s="69">
        <v>0.59010152284263961</v>
      </c>
      <c r="O187" s="69">
        <v>0.39560439560439559</v>
      </c>
      <c r="P187" s="69">
        <v>0.40987460815047022</v>
      </c>
    </row>
    <row r="188" spans="1:16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0.28719599427753933</v>
      </c>
      <c r="M188" s="69">
        <v>0.2296137339055794</v>
      </c>
      <c r="N188" s="69">
        <v>0.58655043586550437</v>
      </c>
      <c r="O188" s="69">
        <v>0.39875389408099687</v>
      </c>
      <c r="P188" s="69">
        <v>0.41103341103341101</v>
      </c>
    </row>
    <row r="189" spans="1:16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0.28713574982231699</v>
      </c>
      <c r="M189" s="69">
        <v>0.22956645344705046</v>
      </c>
      <c r="N189" s="69">
        <v>0.5866336633663366</v>
      </c>
      <c r="O189" s="69">
        <v>0.39938080495356038</v>
      </c>
      <c r="P189" s="69">
        <v>0.41067285382830626</v>
      </c>
    </row>
    <row r="190" spans="1:16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0.28752642706131076</v>
      </c>
      <c r="M190" s="69">
        <v>0.22973925299506695</v>
      </c>
      <c r="N190" s="69">
        <v>0.58700980392156865</v>
      </c>
      <c r="O190" s="69">
        <v>0.40030674846625769</v>
      </c>
      <c r="P190" s="69">
        <v>0.41199077632590314</v>
      </c>
    </row>
    <row r="191" spans="1:16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0.28775226165622825</v>
      </c>
      <c r="M191" s="69">
        <v>0.22860125260960334</v>
      </c>
      <c r="N191" s="69">
        <v>0.59008464328899635</v>
      </c>
      <c r="O191" s="69">
        <v>0.39726027397260272</v>
      </c>
      <c r="P191" s="69">
        <v>0.41234756097560976</v>
      </c>
    </row>
    <row r="192" spans="1:16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0.28734439834024894</v>
      </c>
      <c r="M192" s="69">
        <v>0.22821576763485477</v>
      </c>
      <c r="N192" s="69">
        <v>0.58965102286401927</v>
      </c>
      <c r="O192" s="69">
        <v>0.4</v>
      </c>
      <c r="P192" s="69">
        <v>0.41274658573596357</v>
      </c>
    </row>
    <row r="193" spans="1:16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0.28758169934640521</v>
      </c>
      <c r="M193" s="69">
        <v>0.22772617819057447</v>
      </c>
      <c r="N193" s="69">
        <v>0.58971291866028708</v>
      </c>
      <c r="O193" s="69">
        <v>0.3987915407854985</v>
      </c>
      <c r="P193" s="69">
        <v>0.41269841269841268</v>
      </c>
    </row>
    <row r="194" spans="1:16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0.2865916069600819</v>
      </c>
      <c r="M194" s="69">
        <v>0.22790856363016035</v>
      </c>
      <c r="N194" s="69">
        <v>0.59047619047619049</v>
      </c>
      <c r="O194" s="69">
        <v>0.39970059880239522</v>
      </c>
      <c r="P194" s="69">
        <v>0.41309255079006774</v>
      </c>
    </row>
    <row r="195" spans="1:16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0.2870182555780933</v>
      </c>
      <c r="M195" s="69">
        <v>0.2281947261663286</v>
      </c>
      <c r="N195" s="69">
        <v>0.59246171967020023</v>
      </c>
      <c r="O195" s="69">
        <v>0.39555555555555555</v>
      </c>
      <c r="P195" s="69">
        <v>0.41436050860134632</v>
      </c>
    </row>
    <row r="196" spans="1:16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0.2866263440860215</v>
      </c>
      <c r="M196" s="69">
        <v>0.22782258064516128</v>
      </c>
      <c r="N196" s="69">
        <v>0.59320046893317702</v>
      </c>
      <c r="O196" s="69">
        <v>0.39528023598820061</v>
      </c>
      <c r="P196" s="69">
        <v>0.41399851079672373</v>
      </c>
    </row>
    <row r="197" spans="1:16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0.28647391159853774</v>
      </c>
      <c r="M197" s="69">
        <v>0.22831505483549352</v>
      </c>
      <c r="N197" s="69">
        <v>0.59512761020881666</v>
      </c>
      <c r="O197" s="69">
        <v>0.3930131004366812</v>
      </c>
      <c r="P197" s="69">
        <v>0.41463414634146339</v>
      </c>
    </row>
    <row r="198" spans="1:16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0.28613861386138612</v>
      </c>
      <c r="M198" s="69">
        <v>0.22772277227722773</v>
      </c>
      <c r="N198" s="69">
        <v>0.59630911188004609</v>
      </c>
      <c r="O198" s="69">
        <v>0.39275362318840579</v>
      </c>
      <c r="P198" s="69">
        <v>0.41501103752759383</v>
      </c>
    </row>
    <row r="199" spans="1:16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0.28632478632478631</v>
      </c>
      <c r="M199" s="69">
        <v>0.22781065088757396</v>
      </c>
      <c r="N199" s="69">
        <v>0.59586681974741673</v>
      </c>
      <c r="O199" s="69">
        <v>0.39393939393939392</v>
      </c>
      <c r="P199" s="69">
        <v>0.41379310344827586</v>
      </c>
    </row>
    <row r="200" spans="1:16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0.28637110016420364</v>
      </c>
      <c r="M200" s="69">
        <v>0.22791461412151068</v>
      </c>
      <c r="N200" s="69">
        <v>0.59633027522935778</v>
      </c>
      <c r="O200" s="69">
        <v>0.39337175792507206</v>
      </c>
      <c r="P200" s="69">
        <v>0.41348973607038125</v>
      </c>
    </row>
    <row r="201" spans="1:16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0.28645833333333331</v>
      </c>
      <c r="M201" s="69">
        <v>0.2275390625</v>
      </c>
      <c r="N201" s="69">
        <v>0.59886363636363638</v>
      </c>
      <c r="O201" s="69">
        <v>0.39341917024320455</v>
      </c>
      <c r="P201" s="69">
        <v>0.41514930808448652</v>
      </c>
    </row>
    <row r="202" spans="1:16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0.28617571059431524</v>
      </c>
      <c r="M202" s="69">
        <v>0.2270671834625323</v>
      </c>
      <c r="N202" s="69">
        <v>0.59932279909706543</v>
      </c>
      <c r="O202" s="69">
        <v>0.39402560455192032</v>
      </c>
      <c r="P202" s="69">
        <v>0.41521739130434782</v>
      </c>
    </row>
    <row r="203" spans="1:16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0.287135065768367</v>
      </c>
      <c r="M203" s="69">
        <v>0.22778312479948667</v>
      </c>
      <c r="N203" s="69">
        <v>0.59664804469273747</v>
      </c>
      <c r="O203" s="69">
        <v>0.39295774647887322</v>
      </c>
      <c r="P203" s="69">
        <v>0.41528478731074259</v>
      </c>
    </row>
    <row r="204" spans="1:16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0.28884652049571019</v>
      </c>
      <c r="M204" s="69">
        <v>0.22751827136955832</v>
      </c>
      <c r="N204" s="69">
        <v>0.59405940594059403</v>
      </c>
      <c r="O204" s="69">
        <v>0.39106145251396646</v>
      </c>
      <c r="P204" s="69">
        <v>0.41535150645624103</v>
      </c>
    </row>
    <row r="205" spans="1:16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0.28800755429650615</v>
      </c>
      <c r="M205" s="69">
        <v>0.22788794460182563</v>
      </c>
      <c r="N205" s="69">
        <v>0.59562841530054644</v>
      </c>
      <c r="O205" s="69">
        <v>0.39226519337016574</v>
      </c>
      <c r="P205" s="69">
        <v>0.41524216524216523</v>
      </c>
    </row>
    <row r="206" spans="1:16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0.28834739144017496</v>
      </c>
      <c r="M206" s="69">
        <v>0.22774133083411435</v>
      </c>
      <c r="N206" s="69">
        <v>0.59588299024918745</v>
      </c>
      <c r="O206" s="69">
        <v>0.39094650205761317</v>
      </c>
      <c r="P206" s="69">
        <v>0.41459957476966691</v>
      </c>
    </row>
    <row r="207" spans="1:16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0.28775193798449611</v>
      </c>
      <c r="M207" s="69">
        <v>0.22759689922480619</v>
      </c>
      <c r="N207" s="69">
        <v>0.59482758620689657</v>
      </c>
      <c r="O207" s="69">
        <v>0.38964577656675747</v>
      </c>
      <c r="P207" s="69">
        <v>0.4152542372881356</v>
      </c>
    </row>
    <row r="208" spans="1:16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0.28778085564789163</v>
      </c>
      <c r="M208" s="69">
        <v>0.22837796244998462</v>
      </c>
      <c r="N208" s="69">
        <v>0.59465240641711226</v>
      </c>
      <c r="O208" s="69">
        <v>0.38948787061994611</v>
      </c>
      <c r="P208" s="69">
        <v>0.41461700632466619</v>
      </c>
    </row>
    <row r="209" spans="1:16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0.2871982890314696</v>
      </c>
      <c r="M209" s="69">
        <v>0.22823098075160403</v>
      </c>
      <c r="N209" s="69">
        <v>0.5957446808510638</v>
      </c>
      <c r="O209" s="69">
        <v>0.38955823293172692</v>
      </c>
      <c r="P209" s="69">
        <v>0.41538461538461541</v>
      </c>
    </row>
    <row r="210" spans="1:16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0.2871467639015497</v>
      </c>
      <c r="M210" s="69">
        <v>0.22819811607414159</v>
      </c>
      <c r="N210" s="69">
        <v>0.59470899470899474</v>
      </c>
      <c r="O210" s="69">
        <v>0.38881491344873503</v>
      </c>
      <c r="P210" s="69">
        <v>0.41672473867595816</v>
      </c>
    </row>
    <row r="211" spans="1:16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0.28735632183908044</v>
      </c>
      <c r="M211" s="69">
        <v>0.22837265577737448</v>
      </c>
      <c r="N211" s="69">
        <v>0.59368421052631581</v>
      </c>
      <c r="O211" s="69">
        <v>0.38940397350993378</v>
      </c>
      <c r="P211" s="69">
        <v>0.41666666666666669</v>
      </c>
    </row>
    <row r="212" spans="1:16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0.28752260397830021</v>
      </c>
      <c r="M212" s="69">
        <v>0.22784810126582278</v>
      </c>
      <c r="N212" s="69">
        <v>0.59329140461215935</v>
      </c>
      <c r="O212" s="69">
        <v>0.39021164021164023</v>
      </c>
      <c r="P212" s="69">
        <v>0.41718641718641719</v>
      </c>
    </row>
    <row r="213" spans="1:16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0.28721174004192873</v>
      </c>
      <c r="M213" s="69">
        <v>0.22761305780173705</v>
      </c>
      <c r="N213" s="69">
        <v>0.59332638164754958</v>
      </c>
      <c r="O213" s="69">
        <v>0.39078947368421052</v>
      </c>
      <c r="P213" s="69">
        <v>0.41752933057280883</v>
      </c>
    </row>
    <row r="214" spans="1:16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0.28740740740740739</v>
      </c>
      <c r="M214" s="69">
        <v>0.22696296296296295</v>
      </c>
      <c r="N214" s="69">
        <v>0.59278350515463918</v>
      </c>
      <c r="O214" s="69">
        <v>0.39295039164490864</v>
      </c>
      <c r="P214" s="69">
        <v>0.41683778234086244</v>
      </c>
    </row>
    <row r="215" spans="1:16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0.28798586572438162</v>
      </c>
      <c r="M215" s="69">
        <v>0.22673733804475854</v>
      </c>
      <c r="N215" s="69">
        <v>0.59202453987730064</v>
      </c>
      <c r="O215" s="69">
        <v>0.39350649350649353</v>
      </c>
      <c r="P215" s="69">
        <v>0.41717791411042943</v>
      </c>
    </row>
    <row r="216" spans="1:16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0.28797190517998245</v>
      </c>
      <c r="M216" s="69">
        <v>0.22622183201638865</v>
      </c>
      <c r="N216" s="69">
        <v>0.59247967479674801</v>
      </c>
      <c r="O216" s="69">
        <v>0.39327296248382926</v>
      </c>
      <c r="P216" s="69">
        <v>0.41723202170963364</v>
      </c>
    </row>
    <row r="217" spans="1:16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0.28886951467596628</v>
      </c>
      <c r="M217" s="69">
        <v>0.22580645161290322</v>
      </c>
      <c r="N217" s="69">
        <v>0.59154929577464788</v>
      </c>
      <c r="O217" s="69">
        <v>0.39253539253539255</v>
      </c>
      <c r="P217" s="69">
        <v>0.41621621621621624</v>
      </c>
    </row>
    <row r="218" spans="1:16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0.28888888888888886</v>
      </c>
      <c r="M218" s="69">
        <v>0.22568542568542568</v>
      </c>
      <c r="N218" s="69">
        <v>0.59240759240759244</v>
      </c>
      <c r="O218" s="69">
        <v>0.39002557544757033</v>
      </c>
      <c r="P218" s="69">
        <v>0.41694687289845328</v>
      </c>
    </row>
    <row r="219" spans="1:16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0.28929188255613125</v>
      </c>
      <c r="M219" s="69">
        <v>0.22538860103626943</v>
      </c>
      <c r="N219" s="69">
        <v>0.59303482587064682</v>
      </c>
      <c r="O219" s="69">
        <v>0.38952745849297571</v>
      </c>
      <c r="P219" s="69">
        <v>0.41677852348993288</v>
      </c>
    </row>
    <row r="220" spans="1:16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0.29023972602739728</v>
      </c>
      <c r="M220" s="69">
        <v>0.22431506849315069</v>
      </c>
      <c r="N220" s="69">
        <v>0.58997050147492625</v>
      </c>
      <c r="O220" s="69">
        <v>0.38931297709923662</v>
      </c>
      <c r="P220" s="69">
        <v>0.41750167000668004</v>
      </c>
    </row>
    <row r="221" spans="1:16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0.29081632653061223</v>
      </c>
      <c r="M221" s="69">
        <v>0.22363945578231292</v>
      </c>
      <c r="N221" s="69">
        <v>0.59064327485380119</v>
      </c>
      <c r="O221" s="69">
        <v>0.38910012674271227</v>
      </c>
      <c r="P221" s="69">
        <v>0.41727574750830565</v>
      </c>
    </row>
    <row r="222" spans="1:16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0.29001406469760899</v>
      </c>
      <c r="M222" s="69">
        <v>0.2239099859353024</v>
      </c>
      <c r="N222" s="69">
        <v>0.58971871968962175</v>
      </c>
      <c r="O222" s="69">
        <v>0.3907035175879397</v>
      </c>
      <c r="P222" s="69">
        <v>0.41639127561136813</v>
      </c>
    </row>
    <row r="223" spans="1:16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0.29065550906555093</v>
      </c>
      <c r="M223" s="69">
        <v>0.22259414225941423</v>
      </c>
      <c r="N223" s="69">
        <v>0.58733205374280228</v>
      </c>
      <c r="O223" s="69">
        <v>0.39097744360902253</v>
      </c>
      <c r="P223" s="69">
        <v>0.41672152732060569</v>
      </c>
    </row>
    <row r="224" spans="1:16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0.29093931837073983</v>
      </c>
      <c r="M224" s="69">
        <v>0.22222222222222221</v>
      </c>
      <c r="N224" s="69">
        <v>0.58857142857142852</v>
      </c>
      <c r="O224" s="69">
        <v>0.39027431421446385</v>
      </c>
      <c r="P224" s="69">
        <v>0.4171578258022266</v>
      </c>
    </row>
    <row r="225" spans="1:16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0.2911845730027548</v>
      </c>
      <c r="M225" s="69">
        <v>0.22148760330578512</v>
      </c>
      <c r="N225" s="69">
        <v>0.5884578997161779</v>
      </c>
      <c r="O225" s="69">
        <v>0.39054726368159204</v>
      </c>
      <c r="P225" s="69">
        <v>0.4177545691906005</v>
      </c>
    </row>
    <row r="226" spans="1:16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0.29108367626886145</v>
      </c>
      <c r="M226" s="69">
        <v>0.22167352537722909</v>
      </c>
      <c r="N226" s="69">
        <v>0.58812441093308199</v>
      </c>
      <c r="O226" s="69">
        <v>0.3910891089108911</v>
      </c>
      <c r="P226" s="69">
        <v>0.41769681197137282</v>
      </c>
    </row>
    <row r="227" spans="1:16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0.29217770509675661</v>
      </c>
      <c r="M227" s="69">
        <v>0.22076860179885527</v>
      </c>
      <c r="N227" s="69">
        <v>0.58955223880597019</v>
      </c>
      <c r="O227" s="69">
        <v>0.39012345679012345</v>
      </c>
      <c r="P227" s="69">
        <v>0.41747572815533979</v>
      </c>
    </row>
    <row r="228" spans="1:16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0.29220779220779219</v>
      </c>
      <c r="M228" s="69">
        <v>0.22132034632034633</v>
      </c>
      <c r="N228" s="69">
        <v>0.58888888888888891</v>
      </c>
      <c r="O228" s="69">
        <v>0.38997555012224938</v>
      </c>
      <c r="P228" s="69">
        <v>0.4175257731958763</v>
      </c>
    </row>
    <row r="229" spans="1:16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0.29196884233145315</v>
      </c>
      <c r="M229" s="69">
        <v>0.22186408810099381</v>
      </c>
      <c r="N229" s="69">
        <v>0.58785648574057037</v>
      </c>
      <c r="O229" s="69">
        <v>0.38983050847457629</v>
      </c>
      <c r="P229" s="69">
        <v>0.41693393200769724</v>
      </c>
    </row>
    <row r="230" spans="1:16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0.29259850905218315</v>
      </c>
      <c r="M230" s="69">
        <v>0.22177848775292866</v>
      </c>
      <c r="N230" s="69">
        <v>0.5868971792538672</v>
      </c>
      <c r="O230" s="69">
        <v>0.38895558223289317</v>
      </c>
      <c r="P230" s="69">
        <v>0.41618865519439135</v>
      </c>
    </row>
    <row r="231" spans="1:16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0.29140295358649787</v>
      </c>
      <c r="M231" s="69">
        <v>0.22178270042194093</v>
      </c>
      <c r="N231" s="69">
        <v>0.58733031674208147</v>
      </c>
      <c r="O231" s="69">
        <v>0.39120095124851367</v>
      </c>
      <c r="P231" s="69">
        <v>0.41861937935402155</v>
      </c>
    </row>
    <row r="232" spans="1:16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0.29176470588235293</v>
      </c>
      <c r="M232" s="69">
        <v>0.22143790849673203</v>
      </c>
      <c r="N232" s="69">
        <v>0.58602150537634412</v>
      </c>
      <c r="O232" s="69">
        <v>0.38961038961038963</v>
      </c>
      <c r="P232" s="69">
        <v>0.41902961562696911</v>
      </c>
    </row>
    <row r="233" spans="1:16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0.29127725856697817</v>
      </c>
      <c r="M233" s="69">
        <v>0.22092419522326065</v>
      </c>
      <c r="N233" s="69">
        <v>0.58645276292335113</v>
      </c>
      <c r="O233" s="69">
        <v>0.39012925969447709</v>
      </c>
      <c r="P233" s="69">
        <v>0.41755485893416927</v>
      </c>
    </row>
    <row r="234" spans="1:16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0.29108706852138072</v>
      </c>
      <c r="M234" s="69">
        <v>0.21973209685729006</v>
      </c>
      <c r="N234" s="69">
        <v>0.58849557522123896</v>
      </c>
      <c r="O234" s="69">
        <v>0.39038686987104337</v>
      </c>
      <c r="P234" s="69">
        <v>0.41832917705735662</v>
      </c>
    </row>
    <row r="235" spans="1:16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0.29128205128205126</v>
      </c>
      <c r="M235" s="69">
        <v>0.21897435897435896</v>
      </c>
      <c r="N235" s="69">
        <v>0.58978873239436624</v>
      </c>
      <c r="O235" s="69">
        <v>0.38992974238875877</v>
      </c>
      <c r="P235" s="69">
        <v>0.41925465838509318</v>
      </c>
    </row>
    <row r="236" spans="1:16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0.29077471967380225</v>
      </c>
      <c r="M236" s="69">
        <v>0.21916411824668705</v>
      </c>
      <c r="N236" s="69">
        <v>0.59070990359333919</v>
      </c>
      <c r="O236" s="69">
        <v>0.38953488372093026</v>
      </c>
      <c r="P236" s="69">
        <v>0.41929499072356213</v>
      </c>
    </row>
    <row r="237" spans="1:16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0.29093678598629091</v>
      </c>
      <c r="M237" s="69">
        <v>0.21934501142421933</v>
      </c>
      <c r="N237" s="69">
        <v>0.58987783595113441</v>
      </c>
      <c r="O237" s="69">
        <v>0.38773148148148145</v>
      </c>
      <c r="P237" s="69">
        <v>0.41949413942011105</v>
      </c>
    </row>
    <row r="238" spans="1:16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0.29242424242424242</v>
      </c>
      <c r="M238" s="69">
        <v>0.21893939393939393</v>
      </c>
      <c r="N238" s="69">
        <v>0.58894645941278068</v>
      </c>
      <c r="O238" s="69">
        <v>0.38638985005767013</v>
      </c>
      <c r="P238" s="69">
        <v>0.41917639827904118</v>
      </c>
    </row>
    <row r="239" spans="1:16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0.29373433583959901</v>
      </c>
      <c r="M239" s="69">
        <v>0.21879699248120302</v>
      </c>
      <c r="N239" s="69">
        <v>0.58703071672354945</v>
      </c>
      <c r="O239" s="69">
        <v>0.38602520045819017</v>
      </c>
      <c r="P239" s="69">
        <v>0.42018348623853213</v>
      </c>
    </row>
    <row r="240" spans="1:16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0.29344303166292696</v>
      </c>
      <c r="M240" s="69">
        <v>0.21964597357267515</v>
      </c>
      <c r="N240" s="69">
        <v>0.5862361937128292</v>
      </c>
      <c r="O240" s="69">
        <v>0.38706015891032919</v>
      </c>
      <c r="P240" s="69">
        <v>0.4198659354052407</v>
      </c>
    </row>
    <row r="241" spans="1:16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0.29353233830845771</v>
      </c>
      <c r="M241" s="69">
        <v>0.21965174129353235</v>
      </c>
      <c r="N241" s="69">
        <v>0.58728813559322035</v>
      </c>
      <c r="O241" s="69">
        <v>0.38731596828992071</v>
      </c>
      <c r="P241" s="69">
        <v>0.41945288753799392</v>
      </c>
    </row>
    <row r="242" spans="1:16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0.29401582591493569</v>
      </c>
      <c r="M242" s="69">
        <v>0.21983184965380811</v>
      </c>
      <c r="N242" s="69">
        <v>0.58620689655172409</v>
      </c>
      <c r="O242" s="69">
        <v>0.38920134983127108</v>
      </c>
      <c r="P242" s="69">
        <v>0.41923774954627951</v>
      </c>
    </row>
    <row r="243" spans="1:16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0.29397293972939731</v>
      </c>
      <c r="M243" s="69">
        <v>0.21943419434194342</v>
      </c>
      <c r="N243" s="69">
        <v>0.58577405857740583</v>
      </c>
      <c r="O243" s="69">
        <v>0.39125560538116594</v>
      </c>
      <c r="P243" s="69">
        <v>0.41927710843373495</v>
      </c>
    </row>
    <row r="244" spans="1:16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0.29374389051808408</v>
      </c>
      <c r="M244" s="69">
        <v>0.21920821114369501</v>
      </c>
      <c r="N244" s="69">
        <v>0.58485856905158073</v>
      </c>
      <c r="O244" s="69">
        <v>0.39018952062430323</v>
      </c>
      <c r="P244" s="69">
        <v>0.4189675870348139</v>
      </c>
    </row>
    <row r="245" spans="1:16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0.29330422125181949</v>
      </c>
      <c r="M245" s="69">
        <v>0.21931101407083939</v>
      </c>
      <c r="N245" s="69">
        <v>0.58643507030603803</v>
      </c>
      <c r="O245" s="69">
        <v>0.39048672566371684</v>
      </c>
      <c r="P245" s="69">
        <v>0.41825775656324582</v>
      </c>
    </row>
    <row r="246" spans="1:16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0.29254163649529324</v>
      </c>
      <c r="M246" s="69">
        <v>0.21916485638426261</v>
      </c>
      <c r="N246" s="69">
        <v>0.58745874587458746</v>
      </c>
      <c r="O246" s="69">
        <v>0.39207048458149779</v>
      </c>
      <c r="P246" s="69">
        <v>0.41889483065953653</v>
      </c>
    </row>
    <row r="247" spans="1:16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0.29325653947684183</v>
      </c>
      <c r="M247" s="69">
        <v>0.21886249100071994</v>
      </c>
      <c r="N247" s="69">
        <v>0.58674304418985268</v>
      </c>
      <c r="O247" s="69">
        <v>0.39364035087719296</v>
      </c>
      <c r="P247" s="69">
        <v>0.41986989946777054</v>
      </c>
    </row>
    <row r="248" spans="1:16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0.29232236528373867</v>
      </c>
      <c r="M248" s="69">
        <v>0.21959942775393418</v>
      </c>
      <c r="N248" s="69">
        <v>0.58646003262642743</v>
      </c>
      <c r="O248" s="69">
        <v>0.39305103148751358</v>
      </c>
      <c r="P248" s="69">
        <v>0.41956393635827932</v>
      </c>
    </row>
    <row r="249" spans="1:16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0.29181494661921709</v>
      </c>
      <c r="M249" s="69">
        <v>0.2199288256227758</v>
      </c>
      <c r="N249" s="69">
        <v>0.58699186991869923</v>
      </c>
      <c r="O249" s="69">
        <v>0.39266450916936352</v>
      </c>
      <c r="P249" s="69">
        <v>0.4192601291837933</v>
      </c>
    </row>
    <row r="250" spans="1:16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0.29134229771172448</v>
      </c>
      <c r="M250" s="69">
        <v>0.22033498466619486</v>
      </c>
      <c r="N250" s="69">
        <v>0.58623481781376519</v>
      </c>
      <c r="O250" s="69">
        <v>0.39400428265524623</v>
      </c>
      <c r="P250" s="69">
        <v>0.41988304093567252</v>
      </c>
    </row>
    <row r="251" spans="1:16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0.29087497067792634</v>
      </c>
      <c r="M251" s="69">
        <v>0.22050199390100869</v>
      </c>
      <c r="N251" s="69">
        <v>0.5854838709677419</v>
      </c>
      <c r="O251" s="69">
        <v>0.39574468085106385</v>
      </c>
      <c r="P251" s="69">
        <v>0.4184149184149184</v>
      </c>
    </row>
    <row r="252" spans="1:16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0.29117167481947354</v>
      </c>
      <c r="M252" s="69">
        <v>0.22012578616352202</v>
      </c>
      <c r="N252" s="69">
        <v>0.58399999999999996</v>
      </c>
      <c r="O252" s="69">
        <v>0.39576719576719577</v>
      </c>
      <c r="P252" s="69">
        <v>0.4196169471851422</v>
      </c>
    </row>
    <row r="253" spans="1:16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0.29071114199675702</v>
      </c>
      <c r="M253" s="69">
        <v>0.2207551540421589</v>
      </c>
      <c r="N253" s="69">
        <v>0.58406374501992031</v>
      </c>
      <c r="O253" s="69">
        <v>0.39664218258132217</v>
      </c>
      <c r="P253" s="69">
        <v>0.41998844598497981</v>
      </c>
    </row>
    <row r="254" spans="1:16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0.29056865464632453</v>
      </c>
      <c r="M254" s="69">
        <v>0.22052704576976423</v>
      </c>
      <c r="N254" s="69">
        <v>0.58392999204455054</v>
      </c>
      <c r="O254" s="69">
        <v>0.39622641509433965</v>
      </c>
      <c r="P254" s="69">
        <v>0.41950375072129253</v>
      </c>
    </row>
    <row r="255" spans="1:16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0.2902854511970534</v>
      </c>
      <c r="M255" s="69">
        <v>0.22122467771639043</v>
      </c>
      <c r="N255" s="69">
        <v>0.58366375892149092</v>
      </c>
      <c r="O255" s="69">
        <v>0.39646201873048909</v>
      </c>
      <c r="P255" s="69">
        <v>0.41944764096662829</v>
      </c>
    </row>
    <row r="256" spans="1:16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0.28917867764813543</v>
      </c>
      <c r="M256" s="69">
        <v>0.22237474262182566</v>
      </c>
      <c r="N256" s="69">
        <v>0.58386075949367089</v>
      </c>
      <c r="O256" s="69">
        <v>0.39506172839506171</v>
      </c>
      <c r="P256" s="69">
        <v>0.4186712485681558</v>
      </c>
    </row>
    <row r="257" spans="1:16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0.28887368901048793</v>
      </c>
      <c r="M257" s="69">
        <v>0.22207022343821251</v>
      </c>
      <c r="N257" s="69">
        <v>0.58484609313338598</v>
      </c>
      <c r="O257" s="69">
        <v>0.39527720739219713</v>
      </c>
      <c r="P257" s="69">
        <v>0.41861793260993718</v>
      </c>
    </row>
    <row r="258" spans="1:16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0.28976628091672341</v>
      </c>
      <c r="M258" s="69">
        <v>0.22191967324710687</v>
      </c>
      <c r="N258" s="69">
        <v>0.58339859044635867</v>
      </c>
      <c r="O258" s="69">
        <v>0.39570552147239263</v>
      </c>
      <c r="P258" s="69">
        <v>0.41979522184300339</v>
      </c>
    </row>
    <row r="259" spans="1:16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0.28887384337621302</v>
      </c>
      <c r="M259" s="69">
        <v>0.22162040171518846</v>
      </c>
      <c r="N259" s="69">
        <v>0.58359375000000002</v>
      </c>
      <c r="O259" s="69">
        <v>0.39613034623217924</v>
      </c>
      <c r="P259" s="69">
        <v>0.41959229898074746</v>
      </c>
    </row>
    <row r="260" spans="1:16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0.2884097035040431</v>
      </c>
      <c r="M260" s="69">
        <v>0.22192273135669363</v>
      </c>
      <c r="N260" s="69">
        <v>0.58333333333333337</v>
      </c>
      <c r="O260" s="69">
        <v>0.39676113360323889</v>
      </c>
      <c r="P260" s="69">
        <v>0.41930022573363429</v>
      </c>
    </row>
    <row r="261" spans="1:16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0.28798033958891867</v>
      </c>
      <c r="M261" s="69">
        <v>0.22184986595174264</v>
      </c>
      <c r="N261" s="69">
        <v>0.58184639255236614</v>
      </c>
      <c r="O261" s="69">
        <v>0.3987915407854985</v>
      </c>
      <c r="P261" s="69">
        <v>0.41821247892074198</v>
      </c>
    </row>
    <row r="262" spans="1:16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0.28809048569527612</v>
      </c>
      <c r="M262" s="69">
        <v>0.22133510756265248</v>
      </c>
      <c r="N262" s="69">
        <v>0.58198614318706698</v>
      </c>
      <c r="O262" s="69">
        <v>0.3997995991983968</v>
      </c>
      <c r="P262" s="69">
        <v>0.41834451901565994</v>
      </c>
    </row>
    <row r="263" spans="1:16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0.28865295288652953</v>
      </c>
      <c r="M263" s="69">
        <v>0.22096881220968811</v>
      </c>
      <c r="N263" s="69">
        <v>0.58237547892720309</v>
      </c>
      <c r="O263" s="69">
        <v>0.39939939939939939</v>
      </c>
      <c r="P263" s="69">
        <v>0.4185267857142857</v>
      </c>
    </row>
    <row r="264" spans="1:16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0.28866886688668869</v>
      </c>
      <c r="M264" s="69">
        <v>0.22046204620462045</v>
      </c>
      <c r="N264" s="69">
        <v>0.58307926829268297</v>
      </c>
      <c r="O264" s="69">
        <v>0.39920159680638723</v>
      </c>
      <c r="P264" s="69">
        <v>0.41833333333333333</v>
      </c>
    </row>
    <row r="265" spans="1:16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0.28928336620644313</v>
      </c>
      <c r="M265" s="69">
        <v>0.21959237343852728</v>
      </c>
      <c r="N265" s="69">
        <v>0.58106060606060606</v>
      </c>
      <c r="O265" s="69">
        <v>0.39920159680638723</v>
      </c>
      <c r="P265" s="69">
        <v>0.41796008869179602</v>
      </c>
    </row>
    <row r="266" spans="1:16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0.28885982123392195</v>
      </c>
      <c r="M266" s="69">
        <v>0.21975147155003269</v>
      </c>
      <c r="N266" s="69">
        <v>0.58037735849056604</v>
      </c>
      <c r="O266" s="69">
        <v>0.39781746031746029</v>
      </c>
      <c r="P266" s="69">
        <v>0.41910546659304254</v>
      </c>
    </row>
    <row r="267" spans="1:16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0.28893220706086203</v>
      </c>
      <c r="M267" s="69">
        <v>0.22027290448343079</v>
      </c>
      <c r="N267" s="69">
        <v>0.58020989505247378</v>
      </c>
      <c r="O267" s="69">
        <v>0.39724680432645032</v>
      </c>
      <c r="P267" s="69">
        <v>0.41836173721825176</v>
      </c>
    </row>
    <row r="268" spans="1:16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0.2895927601809955</v>
      </c>
      <c r="M268" s="69">
        <v>0.21978021978021978</v>
      </c>
      <c r="N268" s="69">
        <v>0.5803571428571429</v>
      </c>
      <c r="O268" s="69">
        <v>0.396078431372549</v>
      </c>
      <c r="P268" s="69">
        <v>0.41785323110624317</v>
      </c>
    </row>
    <row r="269" spans="1:16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0.28944551487904091</v>
      </c>
      <c r="M269" s="69">
        <v>0.21922500535217299</v>
      </c>
      <c r="N269" s="69">
        <v>0.57988165680473369</v>
      </c>
      <c r="O269" s="69">
        <v>0.396484375</v>
      </c>
      <c r="P269" s="69">
        <v>0.41734860883797054</v>
      </c>
    </row>
    <row r="270" spans="1:16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0.28903088391906284</v>
      </c>
      <c r="M270" s="69">
        <v>0.21959531416400427</v>
      </c>
      <c r="N270" s="69">
        <v>0.57921886514369936</v>
      </c>
      <c r="O270" s="69">
        <v>0.39670223084384093</v>
      </c>
      <c r="P270" s="69">
        <v>0.41684782608695653</v>
      </c>
    </row>
    <row r="271" spans="1:16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0.28893137879753561</v>
      </c>
      <c r="M271" s="69">
        <v>0.21988527724665391</v>
      </c>
      <c r="N271" s="69">
        <v>0.58014705882352946</v>
      </c>
      <c r="O271" s="69">
        <v>0.39613526570048307</v>
      </c>
      <c r="P271" s="69">
        <v>0.41648590021691972</v>
      </c>
    </row>
    <row r="272" spans="1:16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0.28862047043865224</v>
      </c>
      <c r="M272" s="69">
        <v>0.2199618563254927</v>
      </c>
      <c r="N272" s="69">
        <v>0.58002936857562404</v>
      </c>
      <c r="O272" s="69">
        <v>0.39595375722543352</v>
      </c>
      <c r="P272" s="69">
        <v>0.41612554112554112</v>
      </c>
    </row>
    <row r="273" spans="1:16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0.28866413822166037</v>
      </c>
      <c r="M273" s="69">
        <v>0.21997471554993678</v>
      </c>
      <c r="N273" s="69">
        <v>0.58029197080291972</v>
      </c>
      <c r="O273" s="69">
        <v>0.39655172413793105</v>
      </c>
      <c r="P273" s="69">
        <v>0.41572428648357568</v>
      </c>
    </row>
    <row r="274" spans="1:16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0.28933584747538238</v>
      </c>
      <c r="M274" s="69">
        <v>0.21935889377749843</v>
      </c>
      <c r="N274" s="69">
        <v>0.58146270818247647</v>
      </c>
      <c r="O274" s="69">
        <v>0.39541547277936961</v>
      </c>
      <c r="P274" s="69">
        <v>0.41554959785522788</v>
      </c>
    </row>
    <row r="275" spans="1:16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0.28942987931751979</v>
      </c>
      <c r="M275" s="69">
        <v>0.21930919683728672</v>
      </c>
      <c r="N275" s="69">
        <v>0.58159597411933861</v>
      </c>
      <c r="O275" s="69">
        <v>0.39563567362428842</v>
      </c>
      <c r="P275" s="69">
        <v>0.41568836712913554</v>
      </c>
    </row>
    <row r="276" spans="1:16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0.28902691511387163</v>
      </c>
      <c r="M276" s="69">
        <v>0.21946169772256729</v>
      </c>
      <c r="N276" s="69">
        <v>0.58094555873925502</v>
      </c>
      <c r="O276" s="69">
        <v>0.39528301886792455</v>
      </c>
      <c r="P276" s="69">
        <v>0.41648936170212764</v>
      </c>
    </row>
    <row r="277" spans="1:16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0.28809376927822333</v>
      </c>
      <c r="M277" s="69">
        <v>0.21961752004935226</v>
      </c>
      <c r="N277" s="69">
        <v>0.58029978586723774</v>
      </c>
      <c r="O277" s="69">
        <v>0.3960674157303371</v>
      </c>
      <c r="P277" s="69">
        <v>0.4163135593220339</v>
      </c>
    </row>
    <row r="278" spans="1:16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0.28828828828828829</v>
      </c>
      <c r="M278" s="69">
        <v>0.21928746928746928</v>
      </c>
      <c r="N278" s="69">
        <v>0.58096590909090906</v>
      </c>
      <c r="O278" s="69">
        <v>0.39589169000933705</v>
      </c>
      <c r="P278" s="69">
        <v>0.41710665258711721</v>
      </c>
    </row>
    <row r="279" spans="1:16" x14ac:dyDescent="0.4">
      <c r="A279" s="71">
        <v>276</v>
      </c>
      <c r="B279" s="68">
        <v>-4.9999999999999361</v>
      </c>
      <c r="C279" s="68">
        <v>-6.0386473429950918E-3</v>
      </c>
      <c r="D279" s="73">
        <v>2</v>
      </c>
      <c r="E279" s="69">
        <v>0.33333333333333331</v>
      </c>
      <c r="F279" s="69">
        <v>0.30060088551549652</v>
      </c>
      <c r="G279" s="69">
        <v>0.17172675521821631</v>
      </c>
      <c r="H279" s="70">
        <v>10130.142030510258</v>
      </c>
      <c r="I279" s="70">
        <v>-9380.3867403314925</v>
      </c>
      <c r="J279" s="69">
        <v>0.15579710144927536</v>
      </c>
      <c r="K279" s="69">
        <v>0.15579710144927536</v>
      </c>
      <c r="L279" s="69">
        <v>0.28830480847595763</v>
      </c>
      <c r="M279" s="69">
        <v>0.21943765281173594</v>
      </c>
      <c r="N279" s="69">
        <v>0.58091872791519439</v>
      </c>
      <c r="O279" s="69">
        <v>0.3955431754874652</v>
      </c>
      <c r="P279" s="69">
        <v>0.41714886901630721</v>
      </c>
    </row>
    <row r="280" spans="1:16" x14ac:dyDescent="0.4">
      <c r="A280" s="71">
        <v>277</v>
      </c>
      <c r="B280" s="68">
        <v>-5.9999999999999361</v>
      </c>
      <c r="C280" s="68">
        <v>-7.220216606498118E-3</v>
      </c>
      <c r="D280" s="73">
        <v>2</v>
      </c>
      <c r="E280" s="69">
        <v>0.33333333333333331</v>
      </c>
      <c r="F280" s="69">
        <v>0.30056710775047257</v>
      </c>
      <c r="G280" s="69">
        <v>0.17170762444864524</v>
      </c>
      <c r="H280" s="70">
        <v>10124.737945492663</v>
      </c>
      <c r="I280" s="70">
        <v>-9377.7064220183493</v>
      </c>
      <c r="J280" s="69">
        <v>0.1552346570397112</v>
      </c>
      <c r="K280" s="69">
        <v>0.1552346570397112</v>
      </c>
      <c r="L280" s="69">
        <v>0.28811841038118413</v>
      </c>
      <c r="M280" s="69">
        <v>0.21958637469586376</v>
      </c>
      <c r="N280" s="69">
        <v>0.57987332864180152</v>
      </c>
      <c r="O280" s="69">
        <v>0.39519852262234534</v>
      </c>
      <c r="P280" s="69">
        <v>0.41719077568134172</v>
      </c>
    </row>
    <row r="281" spans="1:16" x14ac:dyDescent="0.4">
      <c r="A281" s="71">
        <v>278</v>
      </c>
      <c r="B281" s="68">
        <v>-5.9999999999999378</v>
      </c>
      <c r="C281" s="68">
        <v>-7.1942446043164725E-3</v>
      </c>
      <c r="D281" s="73">
        <v>2</v>
      </c>
      <c r="E281" s="69">
        <v>0.33333333333333331</v>
      </c>
      <c r="F281" s="69">
        <v>0.30053358443188949</v>
      </c>
      <c r="G281" s="69">
        <v>0.17168863779033269</v>
      </c>
      <c r="H281" s="70">
        <v>10130.287206266319</v>
      </c>
      <c r="I281" s="70">
        <v>-9377.6965265082272</v>
      </c>
      <c r="J281" s="69">
        <v>0.15467625899280577</v>
      </c>
      <c r="K281" s="69">
        <v>0.15467625899280577</v>
      </c>
      <c r="L281" s="69">
        <v>0.28894269572235676</v>
      </c>
      <c r="M281" s="69">
        <v>0.21933010492332528</v>
      </c>
      <c r="N281" s="69">
        <v>0.57960893854748607</v>
      </c>
      <c r="O281" s="69">
        <v>0.39374425022999082</v>
      </c>
      <c r="P281" s="69">
        <v>0.41723237597911228</v>
      </c>
    </row>
    <row r="282" spans="1:16" x14ac:dyDescent="0.4">
      <c r="A282" s="71">
        <v>279</v>
      </c>
      <c r="B282" s="68">
        <v>-5.9999999999999361</v>
      </c>
      <c r="C282" s="68">
        <v>-7.1684587813619308E-3</v>
      </c>
      <c r="D282" s="73">
        <v>2</v>
      </c>
      <c r="E282" s="69">
        <v>0.33333333333333331</v>
      </c>
      <c r="F282" s="69">
        <v>0.30061061531235322</v>
      </c>
      <c r="G282" s="69">
        <v>0.17191169563175199</v>
      </c>
      <c r="H282" s="70">
        <v>10132.5</v>
      </c>
      <c r="I282" s="70">
        <v>-9382.6047358834239</v>
      </c>
      <c r="J282" s="69">
        <v>0.15531660692951016</v>
      </c>
      <c r="K282" s="69">
        <v>0.15531660692951016</v>
      </c>
      <c r="L282" s="69">
        <v>0.28847314423657211</v>
      </c>
      <c r="M282" s="69">
        <v>0.21967410983705493</v>
      </c>
      <c r="N282" s="69">
        <v>0.58019525801952576</v>
      </c>
      <c r="O282" s="69">
        <v>0.39377289377289376</v>
      </c>
      <c r="P282" s="69">
        <v>0.41666666666666669</v>
      </c>
    </row>
    <row r="283" spans="1:16" x14ac:dyDescent="0.4">
      <c r="A283" s="71">
        <v>280</v>
      </c>
      <c r="B283" s="68">
        <v>-5.9999999999999361</v>
      </c>
      <c r="C283" s="68">
        <v>-7.1428571428570663E-3</v>
      </c>
      <c r="D283" s="73">
        <v>2</v>
      </c>
      <c r="E283" s="69">
        <v>0.33333333333333331</v>
      </c>
      <c r="F283" s="69">
        <v>0.30074836295603369</v>
      </c>
      <c r="G283" s="69">
        <v>0.17181166198939818</v>
      </c>
      <c r="H283" s="70">
        <v>10127.112493519959</v>
      </c>
      <c r="I283" s="70">
        <v>-9379.9455535390207</v>
      </c>
      <c r="J283" s="69">
        <v>0.15476190476190477</v>
      </c>
      <c r="K283" s="69">
        <v>0.15476190476190477</v>
      </c>
      <c r="L283" s="69">
        <v>0.28771508603441376</v>
      </c>
      <c r="M283" s="69">
        <v>0.21988795518207283</v>
      </c>
      <c r="N283" s="69">
        <v>0.57997218358831715</v>
      </c>
      <c r="O283" s="69">
        <v>0.39490445859872614</v>
      </c>
      <c r="P283" s="69">
        <v>0.41731467081389323</v>
      </c>
    </row>
    <row r="284" spans="1:16" x14ac:dyDescent="0.4">
      <c r="A284" s="71">
        <v>281</v>
      </c>
      <c r="B284" s="68">
        <v>-5.9999999999999361</v>
      </c>
      <c r="C284" s="68">
        <v>-7.117437722419853E-3</v>
      </c>
      <c r="D284" s="73">
        <v>2</v>
      </c>
      <c r="E284" s="69">
        <v>0.33333333333333331</v>
      </c>
      <c r="F284" s="69">
        <v>0.30083955223880599</v>
      </c>
      <c r="G284" s="69">
        <v>0.17164179104477612</v>
      </c>
      <c r="H284" s="70">
        <v>10119.121447028423</v>
      </c>
      <c r="I284" s="70">
        <v>-9381.06884057971</v>
      </c>
      <c r="J284" s="69">
        <v>0.15421115065243179</v>
      </c>
      <c r="K284" s="69">
        <v>0.15421115065243179</v>
      </c>
      <c r="L284" s="69">
        <v>0.28807814992025521</v>
      </c>
      <c r="M284" s="69">
        <v>0.2196969696969697</v>
      </c>
      <c r="N284" s="69">
        <v>0.58062283737024223</v>
      </c>
      <c r="O284" s="69">
        <v>0.39473684210526316</v>
      </c>
      <c r="P284" s="69">
        <v>0.41808785529715764</v>
      </c>
    </row>
    <row r="285" spans="1:16" x14ac:dyDescent="0.4">
      <c r="A285" s="71">
        <v>282</v>
      </c>
      <c r="B285" s="68">
        <v>-5.9999999999999361</v>
      </c>
      <c r="C285" s="68">
        <v>-7.0921985815602081E-3</v>
      </c>
      <c r="D285" s="73">
        <v>2</v>
      </c>
      <c r="E285" s="69">
        <v>0.33333333333333331</v>
      </c>
      <c r="F285" s="69">
        <v>0.30108527131782947</v>
      </c>
      <c r="G285" s="69">
        <v>0.1717829457364341</v>
      </c>
      <c r="H285" s="70">
        <v>10103.810504634397</v>
      </c>
      <c r="I285" s="70">
        <v>-9371.5703971119128</v>
      </c>
      <c r="J285" s="69">
        <v>0.15366430260047281</v>
      </c>
      <c r="K285" s="69">
        <v>0.15366430260047281</v>
      </c>
      <c r="L285" s="69">
        <v>0.28744537147397697</v>
      </c>
      <c r="M285" s="69">
        <v>0.21970599920540326</v>
      </c>
      <c r="N285" s="69">
        <v>0.58120248790601248</v>
      </c>
      <c r="O285" s="69">
        <v>0.39692585895117538</v>
      </c>
      <c r="P285" s="69">
        <v>0.41761071060762101</v>
      </c>
    </row>
    <row r="286" spans="1:16" x14ac:dyDescent="0.4">
      <c r="A286" s="71">
        <v>283</v>
      </c>
      <c r="B286" s="68">
        <v>-5.9999999999999361</v>
      </c>
      <c r="C286" s="68">
        <v>-7.0671378091872036E-3</v>
      </c>
      <c r="D286" s="73">
        <v>2</v>
      </c>
      <c r="E286" s="69">
        <v>0.33333333333333331</v>
      </c>
      <c r="F286" s="69">
        <v>0.30117501546072972</v>
      </c>
      <c r="G286" s="69">
        <v>0.17176870748299319</v>
      </c>
      <c r="H286" s="70">
        <v>10095.94455852156</v>
      </c>
      <c r="I286" s="70">
        <v>-9373.1773177317737</v>
      </c>
      <c r="J286" s="69">
        <v>0.15312131919905772</v>
      </c>
      <c r="K286" s="69">
        <v>0.15312131919905772</v>
      </c>
      <c r="L286" s="69">
        <v>0.28701504354711005</v>
      </c>
      <c r="M286" s="69">
        <v>0.22011084718923199</v>
      </c>
      <c r="N286" s="69">
        <v>0.58137931034482759</v>
      </c>
      <c r="O286" s="69">
        <v>0.39748201438848924</v>
      </c>
      <c r="P286" s="69">
        <v>0.41786447638603696</v>
      </c>
    </row>
    <row r="287" spans="1:16" x14ac:dyDescent="0.4">
      <c r="A287" s="71">
        <v>284</v>
      </c>
      <c r="B287" s="68">
        <v>-5.9999999999999361</v>
      </c>
      <c r="C287" s="68">
        <v>-7.0422535211266853E-3</v>
      </c>
      <c r="D287" s="73">
        <v>2</v>
      </c>
      <c r="E287" s="69">
        <v>0.33333333333333331</v>
      </c>
      <c r="F287" s="69">
        <v>0.30129390018484287</v>
      </c>
      <c r="G287" s="69">
        <v>0.17190388170055454</v>
      </c>
      <c r="H287" s="70">
        <v>10095.040899795502</v>
      </c>
      <c r="I287" s="70">
        <v>-9373.2974910394259</v>
      </c>
      <c r="J287" s="69">
        <v>0.15258215962441316</v>
      </c>
      <c r="K287" s="69">
        <v>0.15258215962441316</v>
      </c>
      <c r="L287" s="69">
        <v>0.28684003152088261</v>
      </c>
      <c r="M287" s="69">
        <v>0.22044917257683216</v>
      </c>
      <c r="N287" s="69">
        <v>0.58173076923076927</v>
      </c>
      <c r="O287" s="69">
        <v>0.39767649687220735</v>
      </c>
      <c r="P287" s="69">
        <v>0.41768916155419222</v>
      </c>
    </row>
    <row r="288" spans="1:16" x14ac:dyDescent="0.4">
      <c r="A288" s="71">
        <v>285</v>
      </c>
      <c r="B288" s="68">
        <v>-5.9999999999999361</v>
      </c>
      <c r="C288" s="68">
        <v>-7.0175438596490483E-3</v>
      </c>
      <c r="D288" s="73">
        <v>2</v>
      </c>
      <c r="E288" s="69">
        <v>0.33333333333333331</v>
      </c>
      <c r="F288" s="69">
        <v>0.30127320141125941</v>
      </c>
      <c r="G288" s="69">
        <v>0.17211228716060745</v>
      </c>
      <c r="H288" s="70">
        <v>10097.9633401222</v>
      </c>
      <c r="I288" s="70">
        <v>-9382.442067736185</v>
      </c>
      <c r="J288" s="69">
        <v>0.15321637426900586</v>
      </c>
      <c r="K288" s="69">
        <v>0.15321637426900586</v>
      </c>
      <c r="L288" s="69">
        <v>0.28649813834999022</v>
      </c>
      <c r="M288" s="69">
        <v>0.21967470115618265</v>
      </c>
      <c r="N288" s="69">
        <v>0.58207934336525313</v>
      </c>
      <c r="O288" s="69">
        <v>0.39696699375557537</v>
      </c>
      <c r="P288" s="69">
        <v>0.41700610997963339</v>
      </c>
    </row>
    <row r="289" spans="1:16" x14ac:dyDescent="0.4">
      <c r="A289" s="71">
        <v>286</v>
      </c>
      <c r="B289" s="68">
        <v>-5.9999999999999361</v>
      </c>
      <c r="C289" s="68">
        <v>-6.9930069930069184E-3</v>
      </c>
      <c r="D289" s="73">
        <v>2</v>
      </c>
      <c r="E289" s="69">
        <v>0.33333333333333331</v>
      </c>
      <c r="F289" s="69">
        <v>0.30136148080159092</v>
      </c>
      <c r="G289" s="69">
        <v>0.1720972923359339</v>
      </c>
      <c r="H289" s="70">
        <v>10091.928934010153</v>
      </c>
      <c r="I289" s="70">
        <v>-9377.5111111111109</v>
      </c>
      <c r="J289" s="69">
        <v>0.15268065268065267</v>
      </c>
      <c r="K289" s="69">
        <v>0.15268065268065267</v>
      </c>
      <c r="L289" s="69">
        <v>0.28646748681898065</v>
      </c>
      <c r="M289" s="69">
        <v>0.21909783245459871</v>
      </c>
      <c r="N289" s="69">
        <v>0.58282208588957052</v>
      </c>
      <c r="O289" s="69">
        <v>0.39661319073083778</v>
      </c>
      <c r="P289" s="69">
        <v>0.41725888324873095</v>
      </c>
    </row>
    <row r="290" spans="1:16" x14ac:dyDescent="0.4">
      <c r="A290" s="71">
        <v>287</v>
      </c>
      <c r="B290" s="68">
        <v>-5.9999999999999361</v>
      </c>
      <c r="C290" s="68">
        <v>-6.9686411149825038E-3</v>
      </c>
      <c r="D290" s="73">
        <v>2</v>
      </c>
      <c r="E290" s="69">
        <v>0.33333333333333331</v>
      </c>
      <c r="F290" s="69">
        <v>0.3014054384356859</v>
      </c>
      <c r="G290" s="69">
        <v>0.1721662083715246</v>
      </c>
      <c r="H290" s="70">
        <v>10100.91231626964</v>
      </c>
      <c r="I290" s="70">
        <v>-9392.8127772848275</v>
      </c>
      <c r="J290" s="69">
        <v>0.15331010452961671</v>
      </c>
      <c r="K290" s="69">
        <v>0.15331010452961671</v>
      </c>
      <c r="L290" s="69">
        <v>0.28615984405458089</v>
      </c>
      <c r="M290" s="69">
        <v>0.21910331384015594</v>
      </c>
      <c r="N290" s="69">
        <v>0.58242506811989103</v>
      </c>
      <c r="O290" s="69">
        <v>0.39768683274021355</v>
      </c>
      <c r="P290" s="69">
        <v>0.41713127217435375</v>
      </c>
    </row>
    <row r="291" spans="1:16" x14ac:dyDescent="0.4">
      <c r="A291" s="71">
        <v>288</v>
      </c>
      <c r="B291" s="68">
        <v>-5.9999999999999361</v>
      </c>
      <c r="C291" s="68">
        <v>-6.9444444444443703E-3</v>
      </c>
      <c r="D291" s="73">
        <v>2</v>
      </c>
      <c r="E291" s="69">
        <v>0.33333333333333331</v>
      </c>
      <c r="F291" s="69">
        <v>0.30124695863746959</v>
      </c>
      <c r="G291" s="69">
        <v>0.17183698296836983</v>
      </c>
      <c r="H291" s="70">
        <v>10115.598182735992</v>
      </c>
      <c r="I291" s="70">
        <v>-9394.3362831858412</v>
      </c>
      <c r="J291" s="69">
        <v>0.15277777777777779</v>
      </c>
      <c r="K291" s="69">
        <v>0.15277777777777779</v>
      </c>
      <c r="L291" s="69">
        <v>0.28546511627906979</v>
      </c>
      <c r="M291" s="69">
        <v>0.21879844961240311</v>
      </c>
      <c r="N291" s="69">
        <v>0.58316361167684994</v>
      </c>
      <c r="O291" s="69">
        <v>0.39769707705934454</v>
      </c>
      <c r="P291" s="69">
        <v>0.41797072185764766</v>
      </c>
    </row>
    <row r="292" spans="1:16" x14ac:dyDescent="0.4">
      <c r="A292" s="71">
        <v>289</v>
      </c>
      <c r="B292" s="68">
        <v>-5.9999999999999396</v>
      </c>
      <c r="C292" s="68">
        <v>-6.9204152249134248E-3</v>
      </c>
      <c r="D292" s="73">
        <v>2</v>
      </c>
      <c r="E292" s="69">
        <v>0.33333333333333331</v>
      </c>
      <c r="F292" s="69">
        <v>0.30125586321682551</v>
      </c>
      <c r="G292" s="69">
        <v>0.17188682100166439</v>
      </c>
      <c r="H292" s="70">
        <v>10115.118031140131</v>
      </c>
      <c r="I292" s="70">
        <v>-9376.7605633802814</v>
      </c>
      <c r="J292" s="69">
        <v>0.15224913494809689</v>
      </c>
      <c r="K292" s="69">
        <v>0.15224913494809689</v>
      </c>
      <c r="L292" s="69">
        <v>0.28499903716541497</v>
      </c>
      <c r="M292" s="69">
        <v>0.21914115155016367</v>
      </c>
      <c r="N292" s="69">
        <v>0.58378378378378382</v>
      </c>
      <c r="O292" s="69">
        <v>0.39718804920913886</v>
      </c>
      <c r="P292" s="69">
        <v>0.41788046207935708</v>
      </c>
    </row>
    <row r="293" spans="1:16" x14ac:dyDescent="0.4">
      <c r="A293" s="71">
        <v>290</v>
      </c>
      <c r="B293" s="68">
        <v>-5.9999999999999432</v>
      </c>
      <c r="C293" s="68">
        <v>-6.8965517241378659E-3</v>
      </c>
      <c r="D293" s="73">
        <v>2</v>
      </c>
      <c r="E293" s="69">
        <v>0.33333333333333331</v>
      </c>
      <c r="F293" s="69">
        <v>0.30117753623188404</v>
      </c>
      <c r="G293" s="69">
        <v>0.17164855072463769</v>
      </c>
      <c r="H293" s="70">
        <v>10142.95739348371</v>
      </c>
      <c r="I293" s="70">
        <v>-9382.5857519788915</v>
      </c>
      <c r="J293" s="69">
        <v>0.1528735632183908</v>
      </c>
      <c r="K293" s="69">
        <v>0.1528735632183908</v>
      </c>
      <c r="L293" s="69">
        <v>0.28513824884792627</v>
      </c>
      <c r="M293" s="69">
        <v>0.21908602150537634</v>
      </c>
      <c r="N293" s="69">
        <v>0.58383838383838382</v>
      </c>
      <c r="O293" s="69">
        <v>0.39614373356704646</v>
      </c>
      <c r="P293" s="69">
        <v>0.41854636591478694</v>
      </c>
    </row>
    <row r="294" spans="1:16" x14ac:dyDescent="0.4">
      <c r="A294" s="71">
        <v>291</v>
      </c>
      <c r="B294" s="68">
        <v>-5.9999999999999432</v>
      </c>
      <c r="C294" s="68">
        <v>-6.8728522336769108E-3</v>
      </c>
      <c r="D294" s="73">
        <v>2</v>
      </c>
      <c r="E294" s="69">
        <v>0.33333333333333331</v>
      </c>
      <c r="F294" s="69">
        <v>0.30105105105105107</v>
      </c>
      <c r="G294" s="69">
        <v>0.17147147147147146</v>
      </c>
      <c r="H294" s="70">
        <v>10146.832917705735</v>
      </c>
      <c r="I294" s="70">
        <v>-9387.040280210158</v>
      </c>
      <c r="J294" s="69">
        <v>0.15349369988545247</v>
      </c>
      <c r="K294" s="69">
        <v>0.15349369988545247</v>
      </c>
      <c r="L294" s="69">
        <v>0.28565980167810834</v>
      </c>
      <c r="M294" s="69">
        <v>0.21872616323417238</v>
      </c>
      <c r="N294" s="69">
        <v>0.58411214953271029</v>
      </c>
      <c r="O294" s="69">
        <v>0.39581517000871841</v>
      </c>
      <c r="P294" s="69">
        <v>0.41895261845386533</v>
      </c>
    </row>
    <row r="295" spans="1:16" x14ac:dyDescent="0.4">
      <c r="A295" s="71">
        <v>292</v>
      </c>
      <c r="B295" s="68">
        <v>-5.9999999999999432</v>
      </c>
      <c r="C295" s="68">
        <v>-6.8493150684930861E-3</v>
      </c>
      <c r="D295" s="73">
        <v>2</v>
      </c>
      <c r="E295" s="69">
        <v>0.33333333333333331</v>
      </c>
      <c r="F295" s="69">
        <v>0.30098831985624436</v>
      </c>
      <c r="G295" s="69">
        <v>0.1711590296495957</v>
      </c>
      <c r="H295" s="70">
        <v>10152.487562189055</v>
      </c>
      <c r="I295" s="70">
        <v>-9385.8267716535429</v>
      </c>
      <c r="J295" s="69">
        <v>0.1541095890410959</v>
      </c>
      <c r="K295" s="69">
        <v>0.1541095890410959</v>
      </c>
      <c r="L295" s="69">
        <v>0.28525275560623337</v>
      </c>
      <c r="M295" s="69">
        <v>0.21816799695933106</v>
      </c>
      <c r="N295" s="69">
        <v>0.58494337108594274</v>
      </c>
      <c r="O295" s="69">
        <v>0.39634146341463417</v>
      </c>
      <c r="P295" s="69">
        <v>0.4199004975124378</v>
      </c>
    </row>
    <row r="296" spans="1:16" x14ac:dyDescent="0.4">
      <c r="A296" s="71">
        <v>293</v>
      </c>
      <c r="B296" s="68">
        <v>-6.9999999999999432</v>
      </c>
      <c r="C296" s="68">
        <v>-7.963594994311653E-3</v>
      </c>
      <c r="D296" s="73">
        <v>2</v>
      </c>
      <c r="E296" s="69">
        <v>0.33333333333333331</v>
      </c>
      <c r="F296" s="69">
        <v>0.30065652044165919</v>
      </c>
      <c r="G296" s="69">
        <v>0.1708445240226798</v>
      </c>
      <c r="H296" s="70">
        <v>10155.086848635236</v>
      </c>
      <c r="I296" s="70">
        <v>-9393.8864628820957</v>
      </c>
      <c r="J296" s="69">
        <v>0.15358361774744028</v>
      </c>
      <c r="K296" s="69">
        <v>0.15358361774744028</v>
      </c>
      <c r="L296" s="69">
        <v>0.28584941354521376</v>
      </c>
      <c r="M296" s="69">
        <v>0.21717744986757473</v>
      </c>
      <c r="N296" s="69">
        <v>0.5837193911317009</v>
      </c>
      <c r="O296" s="69">
        <v>0.39634146341463417</v>
      </c>
      <c r="P296" s="69">
        <v>0.42034739454094294</v>
      </c>
    </row>
    <row r="297" spans="1:16" x14ac:dyDescent="0.4">
      <c r="A297" s="71">
        <v>294</v>
      </c>
      <c r="B297" s="68">
        <v>-6.9999999999999432</v>
      </c>
      <c r="C297" s="68">
        <v>-7.9365079365078719E-3</v>
      </c>
      <c r="D297" s="73">
        <v>2</v>
      </c>
      <c r="E297" s="69">
        <v>0.33333333333333331</v>
      </c>
      <c r="F297" s="69">
        <v>0.30078763560707383</v>
      </c>
      <c r="G297" s="69">
        <v>0.17105067617773814</v>
      </c>
      <c r="H297" s="70">
        <v>10146.59090909091</v>
      </c>
      <c r="I297" s="70">
        <v>-9381.5812337098178</v>
      </c>
      <c r="J297" s="69">
        <v>0.15306122448979592</v>
      </c>
      <c r="K297" s="69">
        <v>0.15306122448979592</v>
      </c>
      <c r="L297" s="69">
        <v>0.2857142857142857</v>
      </c>
      <c r="M297" s="69">
        <v>0.21663843402973837</v>
      </c>
      <c r="N297" s="69">
        <v>0.58432147562582348</v>
      </c>
      <c r="O297" s="69">
        <v>0.39617723718505649</v>
      </c>
      <c r="P297" s="69">
        <v>0.41996047430830041</v>
      </c>
    </row>
    <row r="298" spans="1:16" x14ac:dyDescent="0.4">
      <c r="A298" s="71">
        <v>295</v>
      </c>
      <c r="B298" s="68">
        <v>-6.9999999999999432</v>
      </c>
      <c r="C298" s="68">
        <v>-7.9096045197739467E-3</v>
      </c>
      <c r="D298" s="73">
        <v>2</v>
      </c>
      <c r="E298" s="69">
        <v>0.33333333333333331</v>
      </c>
      <c r="F298" s="69">
        <v>0.30086002372479242</v>
      </c>
      <c r="G298" s="69">
        <v>0.17111506524317913</v>
      </c>
      <c r="H298" s="70">
        <v>10153.12962050271</v>
      </c>
      <c r="I298" s="70">
        <v>-9398.7868284228771</v>
      </c>
      <c r="J298" s="69">
        <v>0.1536723163841808</v>
      </c>
      <c r="K298" s="69">
        <v>0.1536723163841808</v>
      </c>
      <c r="L298" s="69">
        <v>0.28547297297297297</v>
      </c>
      <c r="M298" s="69">
        <v>0.21677927927927929</v>
      </c>
      <c r="N298" s="69">
        <v>0.58448389217619989</v>
      </c>
      <c r="O298" s="69">
        <v>0.39740259740259742</v>
      </c>
      <c r="P298" s="69">
        <v>0.41991128634795466</v>
      </c>
    </row>
    <row r="299" spans="1:16" x14ac:dyDescent="0.4">
      <c r="A299" s="71">
        <v>296</v>
      </c>
      <c r="B299" s="68">
        <v>-6.9999999999999414</v>
      </c>
      <c r="C299" s="68">
        <v>-7.8828828828828162E-3</v>
      </c>
      <c r="D299" s="73">
        <v>2</v>
      </c>
      <c r="E299" s="69">
        <v>0.33333333333333331</v>
      </c>
      <c r="F299" s="69">
        <v>0.30082742316784872</v>
      </c>
      <c r="G299" s="69">
        <v>0.17095153664302601</v>
      </c>
      <c r="H299" s="70">
        <v>10139.292730844794</v>
      </c>
      <c r="I299" s="70">
        <v>-9390.751944684529</v>
      </c>
      <c r="J299" s="69">
        <v>0.15315315315315314</v>
      </c>
      <c r="K299" s="69">
        <v>0.15315315315315314</v>
      </c>
      <c r="L299" s="69">
        <v>0.28550074738415543</v>
      </c>
      <c r="M299" s="69">
        <v>0.21636771300448429</v>
      </c>
      <c r="N299" s="69">
        <v>0.58507853403141363</v>
      </c>
      <c r="O299" s="69">
        <v>0.39810017271157166</v>
      </c>
      <c r="P299" s="69">
        <v>0.4204322200392927</v>
      </c>
    </row>
    <row r="300" spans="1:16" x14ac:dyDescent="0.4">
      <c r="A300" s="71">
        <v>297</v>
      </c>
      <c r="B300" s="68">
        <v>-6.9999999999999396</v>
      </c>
      <c r="C300" s="68">
        <v>-7.856341189674456E-3</v>
      </c>
      <c r="D300" s="73">
        <v>2</v>
      </c>
      <c r="E300" s="69">
        <v>0.33333333333333331</v>
      </c>
      <c r="F300" s="69">
        <v>0.30094228504122494</v>
      </c>
      <c r="G300" s="69">
        <v>0.17108362779740871</v>
      </c>
      <c r="H300" s="70">
        <v>10130.528375733855</v>
      </c>
      <c r="I300" s="70">
        <v>-9384.0791738382104</v>
      </c>
      <c r="J300" s="69">
        <v>0.1526374859708193</v>
      </c>
      <c r="K300" s="69">
        <v>0.1526374859708193</v>
      </c>
      <c r="L300" s="69">
        <v>0.28534226190476192</v>
      </c>
      <c r="M300" s="69">
        <v>0.21688988095238096</v>
      </c>
      <c r="N300" s="69">
        <v>0.5853976531942634</v>
      </c>
      <c r="O300" s="69">
        <v>0.39879931389365353</v>
      </c>
      <c r="P300" s="69">
        <v>0.42025440313111545</v>
      </c>
    </row>
    <row r="301" spans="1:16" x14ac:dyDescent="0.4">
      <c r="A301" s="71">
        <v>298</v>
      </c>
      <c r="B301" s="68">
        <v>-6.9999999999999405</v>
      </c>
      <c r="C301" s="68">
        <v>-7.8299776286352794E-3</v>
      </c>
      <c r="D301" s="73">
        <v>2</v>
      </c>
      <c r="E301" s="69">
        <v>0.33333333333333331</v>
      </c>
      <c r="F301" s="69">
        <v>0.30107053820208241</v>
      </c>
      <c r="G301" s="69">
        <v>0.17113946326440826</v>
      </c>
      <c r="H301" s="70">
        <v>10110.423770092548</v>
      </c>
      <c r="I301" s="70">
        <v>-9369.4087403598969</v>
      </c>
      <c r="J301" s="69">
        <v>0.15212527964205816</v>
      </c>
      <c r="K301" s="69">
        <v>0.15212527964205816</v>
      </c>
      <c r="L301" s="69">
        <v>0.28502683694243941</v>
      </c>
      <c r="M301" s="69">
        <v>0.2172866925781973</v>
      </c>
      <c r="N301" s="69">
        <v>0.58506493506493507</v>
      </c>
      <c r="O301" s="69">
        <v>0.40034071550255534</v>
      </c>
      <c r="P301" s="69">
        <v>0.42036044812469558</v>
      </c>
    </row>
    <row r="302" spans="1:16" x14ac:dyDescent="0.4">
      <c r="A302" s="71">
        <v>299</v>
      </c>
      <c r="B302" s="68">
        <v>-6.9999999999999369</v>
      </c>
      <c r="C302" s="68">
        <v>-7.8037904124859947E-3</v>
      </c>
      <c r="D302" s="73">
        <v>2</v>
      </c>
      <c r="E302" s="69">
        <v>0.33333333333333331</v>
      </c>
      <c r="F302" s="69">
        <v>0.30103755662721027</v>
      </c>
      <c r="G302" s="69">
        <v>0.17097764138535729</v>
      </c>
      <c r="H302" s="70">
        <v>10100.339805825242</v>
      </c>
      <c r="I302" s="70">
        <v>-9365.8119658119649</v>
      </c>
      <c r="J302" s="69">
        <v>0.1516164994425864</v>
      </c>
      <c r="K302" s="69">
        <v>0.1516164994425864</v>
      </c>
      <c r="L302" s="69">
        <v>0.28505620047908603</v>
      </c>
      <c r="M302" s="69">
        <v>0.21761562557582459</v>
      </c>
      <c r="N302" s="69">
        <v>0.58435681965093733</v>
      </c>
      <c r="O302" s="69">
        <v>0.40135478408128705</v>
      </c>
      <c r="P302" s="69">
        <v>0.42087378640776701</v>
      </c>
    </row>
    <row r="303" spans="1:16" x14ac:dyDescent="0.4">
      <c r="A303" s="71">
        <v>300</v>
      </c>
      <c r="B303" s="68">
        <v>-7.9999999999999378</v>
      </c>
      <c r="C303" s="68">
        <v>-8.8888888888888195E-3</v>
      </c>
      <c r="D303" s="73">
        <v>2</v>
      </c>
      <c r="E303" s="69">
        <v>0.33333333333333331</v>
      </c>
      <c r="F303" s="69">
        <v>0.30090168702734149</v>
      </c>
      <c r="G303" s="69">
        <v>0.1705933682373473</v>
      </c>
      <c r="H303" s="70">
        <v>10094.055099081683</v>
      </c>
      <c r="I303" s="70">
        <v>-9362.2335890878094</v>
      </c>
      <c r="J303" s="69">
        <v>0.15111111111111111</v>
      </c>
      <c r="K303" s="69">
        <v>0.15111111111111111</v>
      </c>
      <c r="L303" s="69">
        <v>0.28443223443223442</v>
      </c>
      <c r="M303" s="69">
        <v>0.21794871794871795</v>
      </c>
      <c r="N303" s="69">
        <v>0.58403090792015455</v>
      </c>
      <c r="O303" s="69">
        <v>0.4008403361344538</v>
      </c>
      <c r="P303" s="69">
        <v>0.4219429676172064</v>
      </c>
    </row>
    <row r="304" spans="1:16" x14ac:dyDescent="0.4">
      <c r="A304" s="71">
        <v>301</v>
      </c>
      <c r="B304" s="68">
        <v>-7.9999999999999343</v>
      </c>
      <c r="C304" s="68">
        <v>-8.8593576965669257E-3</v>
      </c>
      <c r="D304" s="73">
        <v>2</v>
      </c>
      <c r="E304" s="69">
        <v>0.33333333333333331</v>
      </c>
      <c r="F304" s="69">
        <v>0.30104257167680276</v>
      </c>
      <c r="G304" s="69">
        <v>0.17043150883289893</v>
      </c>
      <c r="H304" s="70">
        <v>10092.544492544492</v>
      </c>
      <c r="I304" s="70">
        <v>-9359.0484282073066</v>
      </c>
      <c r="J304" s="69">
        <v>0.15171650055370986</v>
      </c>
      <c r="K304" s="69">
        <v>0.15171650055370986</v>
      </c>
      <c r="L304" s="69">
        <v>0.2848816029143898</v>
      </c>
      <c r="M304" s="69">
        <v>0.21785063752276868</v>
      </c>
      <c r="N304" s="69">
        <v>0.5837595907928389</v>
      </c>
      <c r="O304" s="69">
        <v>0.40050167224080269</v>
      </c>
      <c r="P304" s="69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2019-04-12T01:44:15Z</dcterms:modified>
</cp:coreProperties>
</file>