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JOD\対局\"/>
    </mc:Choice>
  </mc:AlternateContent>
  <xr:revisionPtr revIDLastSave="0" documentId="13_ncr:1_{3AC6CA80-4429-4875-AFC4-0E838CE238AB}" xr6:coauthVersionLast="47" xr6:coauthVersionMax="47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8" i="20"/>
  <c r="C8" i="20"/>
  <c r="D7" i="20"/>
  <c r="C7" i="20"/>
  <c r="D6" i="20"/>
  <c r="C6" i="20"/>
  <c r="O5" i="20"/>
  <c r="D5" i="20"/>
  <c r="C5" i="20"/>
  <c r="B5" i="20"/>
  <c r="B6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A5" i="20" l="1"/>
  <c r="V4" i="20"/>
  <c r="T6" i="20"/>
  <c r="B7" i="20"/>
  <c r="A6" i="20"/>
  <c r="A7" i="20" s="1"/>
  <c r="J5" i="20"/>
  <c r="U4" i="20"/>
  <c r="W4" i="20"/>
  <c r="O6" i="20"/>
  <c r="W3" i="19"/>
  <c r="V3" i="19"/>
  <c r="U3" i="19"/>
  <c r="U5" i="20" l="1"/>
  <c r="J6" i="20"/>
  <c r="V5" i="20"/>
  <c r="B8" i="20"/>
  <c r="A8" i="20"/>
  <c r="W6" i="20"/>
  <c r="T7" i="20"/>
  <c r="O7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0" l="1"/>
  <c r="B9" i="20"/>
  <c r="A9" i="20"/>
  <c r="T8" i="20"/>
  <c r="U6" i="20"/>
  <c r="J7" i="20"/>
  <c r="V7" i="20" s="1"/>
  <c r="V6" i="20"/>
  <c r="W11" i="19"/>
  <c r="V11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0" l="1"/>
  <c r="W7" i="20"/>
  <c r="U7" i="20"/>
  <c r="J8" i="20"/>
  <c r="W8" i="20" s="1"/>
  <c r="B10" i="20"/>
  <c r="A10" i="20"/>
  <c r="O9" i="20"/>
  <c r="V8" i="20"/>
  <c r="W5" i="19"/>
  <c r="V5" i="19"/>
  <c r="U5" i="19"/>
  <c r="O10" i="20" l="1"/>
  <c r="U8" i="20"/>
  <c r="J9" i="20"/>
  <c r="B11" i="20"/>
  <c r="A11" i="20" s="1"/>
  <c r="T10" i="20"/>
  <c r="W9" i="20" l="1"/>
  <c r="T11" i="20"/>
  <c r="U9" i="20"/>
  <c r="J10" i="20"/>
  <c r="V10" i="20"/>
  <c r="O11" i="20"/>
  <c r="V9" i="20"/>
  <c r="U10" i="20" l="1"/>
  <c r="J11" i="20"/>
  <c r="U11" i="20" s="1"/>
  <c r="W10" i="20"/>
  <c r="W11" i="20" l="1"/>
  <c r="V11" i="20"/>
</calcChain>
</file>

<file path=xl/sharedStrings.xml><?xml version="1.0" encoding="utf-8"?>
<sst xmlns="http://schemas.openxmlformats.org/spreadsheetml/2006/main" count="680" uniqueCount="204">
  <si>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</si>
  <si>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</si>
  <si>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</si>
  <si>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</si>
  <si>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</si>
  <si>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</si>
  <si>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</si>
  <si>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</si>
  <si>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</si>
  <si>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</si>
  <si>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</si>
  <si>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</si>
  <si>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</si>
  <si>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</si>
  <si>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</si>
  <si>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</si>
  <si>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</si>
  <si>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</si>
  <si>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</si>
  <si>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</si>
  <si>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</si>
  <si>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</si>
  <si>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</si>
  <si>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</si>
  <si>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</si>
  <si>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</si>
  <si>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</si>
  <si>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</si>
  <si>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</si>
  <si>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</si>
  <si>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</si>
  <si>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</si>
  <si>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</si>
  <si>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</si>
  <si>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</si>
  <si>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</si>
  <si>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</si>
  <si>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</si>
  <si>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</si>
  <si>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</si>
  <si>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</si>
  <si>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</si>
  <si>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</si>
  <si>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</si>
  <si>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</si>
  <si>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</si>
  <si>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</si>
  <si>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</si>
  <si>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</si>
  <si>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</si>
  <si>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</si>
  <si>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</si>
  <si>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</si>
  <si>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</si>
  <si>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</si>
  <si>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</si>
  <si>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</si>
  <si>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</si>
  <si>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</si>
  <si>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</si>
  <si>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</si>
  <si>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</si>
  <si>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</si>
  <si>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</si>
  <si>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</si>
  <si>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</si>
  <si>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</si>
  <si>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</si>
  <si>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</si>
  <si>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</si>
  <si>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</si>
  <si>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</si>
  <si>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</si>
  <si>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</si>
  <si>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</si>
  <si>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</si>
  <si>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</si>
  <si>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</si>
  <si>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</si>
  <si>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</si>
  <si>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</si>
  <si>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</si>
  <si>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</si>
  <si>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</si>
  <si>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</si>
  <si>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</si>
  <si>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</si>
  <si>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</si>
  <si>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</si>
  <si>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</si>
  <si>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</si>
  <si>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</si>
  <si>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</si>
  <si>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</si>
  <si>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</si>
  <si>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</si>
  <si>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</si>
  <si>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</si>
  <si>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</si>
  <si>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</si>
  <si>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</si>
  <si>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</si>
  <si>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</si>
  <si>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</si>
  <si>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</si>
  <si>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</si>
  <si>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</si>
  <si>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</si>
  <si>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</si>
  <si>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</si>
  <si>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</si>
  <si>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</si>
  <si>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</si>
  <si>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</si>
  <si>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</si>
  <si>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</si>
  <si>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</si>
  <si>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</si>
  <si>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</si>
  <si>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</si>
  <si>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</si>
  <si>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</si>
  <si>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</si>
  <si>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</si>
  <si>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</si>
  <si>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</si>
  <si>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</si>
  <si>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</si>
  <si>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</si>
  <si>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</si>
  <si>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</si>
  <si>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</si>
  <si>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</si>
  <si>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</si>
  <si>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</si>
  <si>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</si>
  <si>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</si>
  <si>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</si>
  <si>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</si>
  <si>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</si>
  <si>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</si>
  <si>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</si>
  <si>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</si>
  <si>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</si>
  <si>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</si>
  <si>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</si>
  <si>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</si>
  <si>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</si>
  <si>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</si>
  <si>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</si>
  <si>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</si>
  <si>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</si>
  <si>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</si>
  <si>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</si>
  <si>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</si>
  <si>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</si>
  <si>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</si>
  <si>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</si>
  <si>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</si>
  <si>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</si>
  <si>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</si>
  <si>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</si>
  <si>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</si>
  <si>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</si>
  <si>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</si>
  <si>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</si>
  <si>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</si>
  <si>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</si>
  <si>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</si>
  <si>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</si>
  <si>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</si>
  <si>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</si>
  <si>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</si>
  <si>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</si>
  <si>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</si>
  <si>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</si>
  <si>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</si>
  <si>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</si>
  <si>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</si>
  <si>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</si>
  <si>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</si>
  <si>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</si>
  <si>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</si>
  <si>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</si>
  <si>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</si>
  <si>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</si>
  <si>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</si>
  <si>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</si>
  <si>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</si>
  <si>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</si>
  <si>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</t>
    <phoneticPr fontId="1"/>
  </si>
  <si>
    <t>だいち</t>
  </si>
  <si>
    <t>だいち</t>
    <phoneticPr fontId="1"/>
  </si>
  <si>
    <t>りょうすけ</t>
  </si>
  <si>
    <t>りょうすけ</t>
    <phoneticPr fontId="1"/>
  </si>
  <si>
    <t>きょっくん</t>
  </si>
  <si>
    <t>きょっくん</t>
    <phoneticPr fontId="1"/>
  </si>
  <si>
    <t>ツモ支払</t>
  </si>
  <si>
    <t>ツモ</t>
  </si>
  <si>
    <t>*</t>
  </si>
  <si>
    <t>52</t>
  </si>
  <si>
    <t>放銃</t>
  </si>
  <si>
    <t>ロン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</si>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</sst>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りょうすけ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きょっくん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りょうすけ</v>
      </c>
      <c r="W2" s="16" t="str">
        <f>$P$1</f>
        <v>きょっくん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198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197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IF($J4="","",ROUND(($J4-$J$3)/1000,1)+(_xlfn.RANK.AVG($J4,($J4,$O4,$T4),1)-2)*10)</f>
        <v>-6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-17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79</v>
      </c>
      <c r="BB4" s="41" t="s">
        <v>200</v>
      </c>
      <c r="BC4" s="41" t="s">
        <v>81</v>
      </c>
      <c r="BD4" s="41" t="s">
        <v>81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29000</v>
      </c>
      <c r="K5" s="8" t="s">
        <v>201</v>
      </c>
      <c r="L5" s="9">
        <v>-16000</v>
      </c>
      <c r="M5" s="9"/>
      <c r="N5" s="48">
        <v>-1000</v>
      </c>
      <c r="O5" s="21">
        <f t="shared" ref="O5:O30" si="3">IF(COUNTA($F5,$K5,$P5)&gt;0,O4+SUM(L5:N5),"")</f>
        <v>31000</v>
      </c>
      <c r="P5" s="8" t="s">
        <v>202</v>
      </c>
      <c r="Q5" s="9">
        <v>16000</v>
      </c>
      <c r="R5" s="9"/>
      <c r="S5" s="48">
        <v>1000</v>
      </c>
      <c r="T5" s="21">
        <f t="shared" ref="T5:T30" si="4">IF(COUNTA($F5,$K5,$P5)&gt;0,T4+SUM(Q5:S5),"")</f>
        <v>45000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20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199</v>
      </c>
      <c r="BU5" s="40" t="s">
        <v>203</v>
      </c>
      <c r="BV5" s="41" t="s">
        <v>84</v>
      </c>
      <c r="BW5" s="41" t="s">
        <v>81</v>
      </c>
      <c r="BX5" s="41" t="s">
        <v>81</v>
      </c>
      <c r="BY5" s="41" t="s">
        <v>79</v>
      </c>
      <c r="BZ5" s="41" t="s">
        <v>79</v>
      </c>
      <c r="CA5" s="41" t="s">
        <v>200</v>
      </c>
      <c r="CB5" s="41" t="s">
        <v>200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-1000</v>
      </c>
      <c r="H6" s="9">
        <v>-1000</v>
      </c>
      <c r="I6" s="48">
        <v>0</v>
      </c>
      <c r="J6" s="21">
        <f t="shared" si="2"/>
        <v>27000</v>
      </c>
      <c r="K6" s="8" t="s">
        <v>202</v>
      </c>
      <c r="L6" s="9">
        <v>1000</v>
      </c>
      <c r="M6" s="9">
        <v>1000</v>
      </c>
      <c r="N6" s="48">
        <v>0</v>
      </c>
      <c r="O6" s="21">
        <f t="shared" si="3"/>
        <v>33000</v>
      </c>
      <c r="P6" s="8"/>
      <c r="Q6" s="9"/>
      <c r="R6" s="9"/>
      <c r="S6" s="48"/>
      <c r="T6" s="21">
        <f t="shared" si="4"/>
        <v>45000</v>
      </c>
      <c r="U6" s="53">
        <f>IF($J6="","",ROUND(($J6-$J$3)/1000,1)+(_xlfn.RANK.AVG($J6,($J6,$O6,$T6),1)-2)*10)</f>
        <v>-18</v>
      </c>
      <c r="V6" s="54">
        <f>IF($O6="","",ROUND(($O6-$O$3)/1000,1)+(_xlfn.RANK.AVG($O6,($J6,$O6,$T6),1)-2)*10)</f>
        <v>-2</v>
      </c>
      <c r="W6" s="55">
        <f>IF($T6="","",ROUND(($T6-$T$3)/1000,1)+(_xlfn.RANK.AVG($T6,($J6,$O6,$T6),1)-2)*10)</f>
        <v>20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-5000</v>
      </c>
      <c r="H7" s="9"/>
      <c r="I7" s="48">
        <v>0</v>
      </c>
      <c r="J7" s="21">
        <f t="shared" si="2"/>
        <v>22000</v>
      </c>
      <c r="K7" s="8" t="s">
        <v>197</v>
      </c>
      <c r="L7" s="9">
        <v>-3000</v>
      </c>
      <c r="M7" s="9"/>
      <c r="N7" s="48">
        <v>0</v>
      </c>
      <c r="O7" s="21">
        <f t="shared" si="3"/>
        <v>30000</v>
      </c>
      <c r="P7" s="8" t="s">
        <v>198</v>
      </c>
      <c r="Q7" s="9">
        <v>8000</v>
      </c>
      <c r="R7" s="9"/>
      <c r="S7" s="48">
        <v>0</v>
      </c>
      <c r="T7" s="21">
        <f t="shared" si="4"/>
        <v>53000</v>
      </c>
      <c r="U7" s="53">
        <f>IF($J7="","",ROUND(($J7-$J$3)/1000,1)+(_xlfn.RANK.AVG($J7,($J7,$O7,$T7),1)-2)*10)</f>
        <v>-23</v>
      </c>
      <c r="V7" s="54">
        <f>IF($O7="","",ROUND(($O7-$O$3)/1000,1)+(_xlfn.RANK.AVG($O7,($J7,$O7,$T7),1)-2)*10)</f>
        <v>-5</v>
      </c>
      <c r="W7" s="55">
        <f>IF($T7="","",ROUND(($T7-$T$3)/1000,1)+(_xlfn.RANK.AVG($T7,($J7,$O7,$T7),1)-2)*10)</f>
        <v>28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203</v>
      </c>
      <c r="BV7" s="41" t="s">
        <v>82</v>
      </c>
      <c r="BW7" s="41" t="s">
        <v>79</v>
      </c>
      <c r="BX7" s="41" t="s">
        <v>79</v>
      </c>
      <c r="BY7" s="41" t="s">
        <v>81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-800</v>
      </c>
      <c r="H8" s="9"/>
      <c r="I8" s="48">
        <v>0</v>
      </c>
      <c r="J8" s="21">
        <f t="shared" si="2"/>
        <v>21200</v>
      </c>
      <c r="K8" s="8" t="s">
        <v>198</v>
      </c>
      <c r="L8" s="9">
        <v>1600</v>
      </c>
      <c r="M8" s="9"/>
      <c r="N8" s="48">
        <v>0</v>
      </c>
      <c r="O8" s="21">
        <f t="shared" si="3"/>
        <v>31600</v>
      </c>
      <c r="P8" s="8" t="s">
        <v>197</v>
      </c>
      <c r="Q8" s="9">
        <v>-800</v>
      </c>
      <c r="R8" s="9"/>
      <c r="S8" s="48">
        <v>0</v>
      </c>
      <c r="T8" s="21">
        <f t="shared" si="4"/>
        <v>52200</v>
      </c>
      <c r="U8" s="53">
        <f>IF($J8="","",ROUND(($J8-$J$3)/1000,1)+(_xlfn.RANK.AVG($J8,($J8,$O8,$T8),1)-2)*10)</f>
        <v>-23.8</v>
      </c>
      <c r="V8" s="54">
        <f>IF($O8="","",ROUND(($O8-$O$3)/1000,1)+(_xlfn.RANK.AVG($O8,($J8,$O8,$T8),1)-2)*10)</f>
        <v>-3.4</v>
      </c>
      <c r="W8" s="55">
        <f>IF($T8="","",ROUND(($T8-$T$3)/1000,1)+(_xlfn.RANK.AVG($T8,($J8,$O8,$T8),1)-2)*10)</f>
        <v>27.2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30</v>
      </c>
      <c r="AZ8" s="40" t="s">
        <v>82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198</v>
      </c>
      <c r="G9" s="9">
        <v>8000</v>
      </c>
      <c r="H9" s="9">
        <v>1000</v>
      </c>
      <c r="I9" s="48">
        <v>1000</v>
      </c>
      <c r="J9" s="21">
        <f t="shared" si="2"/>
        <v>31200</v>
      </c>
      <c r="K9" s="8" t="s">
        <v>197</v>
      </c>
      <c r="L9" s="9">
        <v>-5000</v>
      </c>
      <c r="M9" s="9">
        <v>-1000</v>
      </c>
      <c r="N9" s="48">
        <v>-500</v>
      </c>
      <c r="O9" s="21">
        <f t="shared" si="3"/>
        <v>25100</v>
      </c>
      <c r="P9" s="8" t="s">
        <v>197</v>
      </c>
      <c r="Q9" s="9">
        <v>-3000</v>
      </c>
      <c r="R9" s="9"/>
      <c r="S9" s="48">
        <v>-500</v>
      </c>
      <c r="T9" s="21">
        <f t="shared" si="4"/>
        <v>48700</v>
      </c>
      <c r="U9" s="53">
        <f>IF($J9="","",ROUND(($J9-$J$3)/1000,1)+(_xlfn.RANK.AVG($J9,($J9,$O9,$T9),1)-2)*10)</f>
        <v>-3.8</v>
      </c>
      <c r="V9" s="54">
        <f>IF($O9="","",ROUND(($O9-$O$3)/1000,1)+(_xlfn.RANK.AVG($O9,($J9,$O9,$T9),1)-2)*10)</f>
        <v>-19.899999999999999</v>
      </c>
      <c r="W9" s="55">
        <f>IF($T9="","",ROUND(($T9-$T$3)/1000,1)+(_xlfn.RANK.AVG($T9,($J9,$O9,$T9),1)-2)*10)</f>
        <v>23.7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104</v>
      </c>
      <c r="AG9" s="41" t="s">
        <v>89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-4500</v>
      </c>
      <c r="H10" s="9"/>
      <c r="I10" s="48">
        <v>0</v>
      </c>
      <c r="J10" s="21">
        <f t="shared" si="2"/>
        <v>26700</v>
      </c>
      <c r="K10" s="8" t="s">
        <v>198</v>
      </c>
      <c r="L10" s="9">
        <v>12000</v>
      </c>
      <c r="M10" s="9">
        <v>1000</v>
      </c>
      <c r="N10" s="48">
        <v>0</v>
      </c>
      <c r="O10" s="21">
        <f t="shared" si="3"/>
        <v>38100</v>
      </c>
      <c r="P10" s="8" t="s">
        <v>197</v>
      </c>
      <c r="Q10" s="9">
        <v>-7500</v>
      </c>
      <c r="R10" s="9">
        <v>-1000</v>
      </c>
      <c r="S10" s="48">
        <v>0</v>
      </c>
      <c r="T10" s="21">
        <f t="shared" si="4"/>
        <v>40200</v>
      </c>
      <c r="U10" s="53">
        <f>IF($J10="","",ROUND(($J10-$J$3)/1000,1)+(_xlfn.RANK.AVG($J10,($J10,$O10,$T10),1)-2)*10)</f>
        <v>-18.3</v>
      </c>
      <c r="V10" s="54">
        <f>IF($O10="","",ROUND(($O10-$O$3)/1000,1)+(_xlfn.RANK.AVG($O10,($J10,$O10,$T10),1)-2)*10)</f>
        <v>3.1</v>
      </c>
      <c r="W10" s="55">
        <f>IF($T10="","",ROUND(($T10-$T$3)/1000,1)+(_xlfn.RANK.AVG($T10,($J10,$O10,$T10),1)-2)*10)</f>
        <v>15.2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199</v>
      </c>
      <c r="AZ10" s="40" t="s">
        <v>203</v>
      </c>
      <c r="BA10" s="41" t="s">
        <v>82</v>
      </c>
      <c r="BB10" s="41" t="s">
        <v>81</v>
      </c>
      <c r="BC10" s="41" t="s">
        <v>200</v>
      </c>
      <c r="BD10" s="41" t="s">
        <v>80</v>
      </c>
      <c r="BE10" s="41" t="s">
        <v>84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-1300</v>
      </c>
      <c r="H11" s="9"/>
      <c r="I11" s="48">
        <v>0</v>
      </c>
      <c r="J11" s="21">
        <f t="shared" si="2"/>
        <v>25400</v>
      </c>
      <c r="K11" s="8" t="s">
        <v>197</v>
      </c>
      <c r="L11" s="9">
        <v>-800</v>
      </c>
      <c r="M11" s="9"/>
      <c r="N11" s="48">
        <v>0</v>
      </c>
      <c r="O11" s="21">
        <f t="shared" si="3"/>
        <v>37300</v>
      </c>
      <c r="P11" s="8" t="s">
        <v>198</v>
      </c>
      <c r="Q11" s="9">
        <v>2100</v>
      </c>
      <c r="R11" s="9"/>
      <c r="S11" s="48">
        <v>0</v>
      </c>
      <c r="T11" s="21">
        <f t="shared" si="4"/>
        <v>42300</v>
      </c>
      <c r="U11" s="53">
        <f>IF($J11="","",ROUND(($J11-$J$3)/1000,1)+(_xlfn.RANK.AVG($J11,($J11,$O11,$T11),1)-2)*10)</f>
        <v>-19.600000000000001</v>
      </c>
      <c r="V11" s="54">
        <f>IF($O11="","",ROUND(($O11-$O$3)/1000,1)+(_xlfn.RANK.AVG($O11,($J11,$O11,$T11),1)-2)*10)</f>
        <v>2.2999999999999998</v>
      </c>
      <c r="W11" s="55">
        <f>IF($T11="","",ROUND(($T11-$T$3)/1000,1)+(_xlfn.RANK.AVG($T11,($J11,$O11,$T11),1)-2)*10)</f>
        <v>17.3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81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B404-B6B3-4F29-A4AE-D41D25BD3171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りょうすけ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きょっくん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りょうすけ</v>
      </c>
      <c r="W2" s="16" t="str">
        <f>$P$1</f>
        <v>きょっくん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-6400</v>
      </c>
      <c r="M4" s="9"/>
      <c r="N4" s="48">
        <v>0</v>
      </c>
      <c r="O4" s="21">
        <f>IF(COUNTA($F4,$K4,$P4)&gt;0,O3+SUM(L4:N4),"")</f>
        <v>28600</v>
      </c>
      <c r="P4" s="8" t="s">
        <v>202</v>
      </c>
      <c r="Q4" s="9">
        <v>6400</v>
      </c>
      <c r="R4" s="9"/>
      <c r="S4" s="48">
        <v>0</v>
      </c>
      <c r="T4" s="21">
        <f>IF(COUNTA($F4,$K4,$P4)&gt;0,T3+SUM(Q4:S4),"")</f>
        <v>41400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-16.399999999999999</v>
      </c>
      <c r="W4" s="55">
        <f>IF($T4="","",ROUND(($T4-$T$3)/1000,1)+(_xlfn.RANK.AVG($T4,($J4,$O4,$T4),1)-2)*10)</f>
        <v>16.399999999999999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203</v>
      </c>
      <c r="BV4" s="41" t="s">
        <v>81</v>
      </c>
      <c r="BW4" s="41" t="s">
        <v>81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16000</v>
      </c>
      <c r="H5" s="9"/>
      <c r="I5" s="48">
        <v>0</v>
      </c>
      <c r="J5" s="21">
        <f t="shared" ref="J5:J30" si="2">IF(COUNTA($F5,$K5,$P5)&gt;0,J4+SUM(G5:I5),"")</f>
        <v>51000</v>
      </c>
      <c r="K5" s="8" t="s">
        <v>201</v>
      </c>
      <c r="L5" s="9">
        <v>-16000</v>
      </c>
      <c r="M5" s="9"/>
      <c r="N5" s="48">
        <v>0</v>
      </c>
      <c r="O5" s="21">
        <f t="shared" ref="O5:O30" si="3">IF(COUNTA($F5,$K5,$P5)&gt;0,O4+SUM(L5:N5),"")</f>
        <v>12600</v>
      </c>
      <c r="P5" s="8"/>
      <c r="Q5" s="9"/>
      <c r="R5" s="9"/>
      <c r="S5" s="48"/>
      <c r="T5" s="21">
        <f t="shared" ref="T5:T30" si="4">IF(COUNTA($F5,$K5,$P5)&gt;0,T4+SUM(Q5:S5),"")</f>
        <v>41400</v>
      </c>
      <c r="U5" s="53">
        <f>IF($J5="","",ROUND(($J5-$J$3)/1000,1)+(_xlfn.RANK.AVG($J5,($J5,$O5,$T5),1)-2)*10)</f>
        <v>26</v>
      </c>
      <c r="V5" s="54">
        <f>IF($O5="","",ROUND(($O5-$O$3)/1000,1)+(_xlfn.RANK.AVG($O5,($J5,$O5,$T5),1)-2)*10)</f>
        <v>-32.4</v>
      </c>
      <c r="W5" s="55">
        <f>IF($T5="","",ROUND(($T5-$T$3)/1000,1)+(_xlfn.RANK.AVG($T5,($J5,$O5,$T5),1)-2)*10)</f>
        <v>6.4</v>
      </c>
      <c r="Y5" s="8"/>
      <c r="Z5" s="34"/>
      <c r="AA5" s="26"/>
      <c r="AB5" s="26">
        <v>1</v>
      </c>
      <c r="AC5" s="26">
        <v>8</v>
      </c>
      <c r="AD5" s="30" t="s">
        <v>199</v>
      </c>
      <c r="AE5" s="40" t="s">
        <v>106</v>
      </c>
      <c r="AF5" s="41" t="s">
        <v>81</v>
      </c>
      <c r="AG5" s="41" t="s">
        <v>81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-4800</v>
      </c>
      <c r="H6" s="9">
        <v>-1000</v>
      </c>
      <c r="I6" s="48">
        <v>0</v>
      </c>
      <c r="J6" s="21">
        <f t="shared" si="2"/>
        <v>45200</v>
      </c>
      <c r="K6" s="8" t="s">
        <v>197</v>
      </c>
      <c r="L6" s="9">
        <v>-2900</v>
      </c>
      <c r="M6" s="9"/>
      <c r="N6" s="48">
        <v>0</v>
      </c>
      <c r="O6" s="21">
        <f t="shared" si="3"/>
        <v>9700</v>
      </c>
      <c r="P6" s="8" t="s">
        <v>198</v>
      </c>
      <c r="Q6" s="9">
        <v>7700</v>
      </c>
      <c r="R6" s="9">
        <v>1000</v>
      </c>
      <c r="S6" s="48">
        <v>0</v>
      </c>
      <c r="T6" s="21">
        <f t="shared" si="4"/>
        <v>50100</v>
      </c>
      <c r="U6" s="53">
        <f>IF($J6="","",ROUND(($J6-$J$3)/1000,1)+(_xlfn.RANK.AVG($J6,($J6,$O6,$T6),1)-2)*10)</f>
        <v>10.199999999999999</v>
      </c>
      <c r="V6" s="54">
        <f>IF($O6="","",ROUND(($O6-$O$3)/1000,1)+(_xlfn.RANK.AVG($O6,($J6,$O6,$T6),1)-2)*10)</f>
        <v>-35.299999999999997</v>
      </c>
      <c r="W6" s="55">
        <f>IF($T6="","",ROUND(($T6-$T$3)/1000,1)+(_xlfn.RANK.AVG($T6,($J6,$O6,$T6),1)-2)*10)</f>
        <v>25.1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203</v>
      </c>
      <c r="BV6" s="41" t="s">
        <v>82</v>
      </c>
      <c r="BW6" s="41" t="s">
        <v>80</v>
      </c>
      <c r="BX6" s="41" t="s">
        <v>81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202</v>
      </c>
      <c r="G7" s="9">
        <v>1600</v>
      </c>
      <c r="H7" s="9"/>
      <c r="I7" s="48">
        <v>0</v>
      </c>
      <c r="J7" s="21">
        <f t="shared" si="2"/>
        <v>46800</v>
      </c>
      <c r="K7" s="8" t="s">
        <v>201</v>
      </c>
      <c r="L7" s="9">
        <v>-1600</v>
      </c>
      <c r="M7" s="9"/>
      <c r="N7" s="48">
        <v>0</v>
      </c>
      <c r="O7" s="21">
        <f t="shared" si="3"/>
        <v>8100</v>
      </c>
      <c r="P7" s="8"/>
      <c r="Q7" s="9"/>
      <c r="R7" s="9"/>
      <c r="S7" s="48"/>
      <c r="T7" s="21">
        <f t="shared" si="4"/>
        <v>50100</v>
      </c>
      <c r="U7" s="53">
        <f>IF($J7="","",ROUND(($J7-$J$3)/1000,1)+(_xlfn.RANK.AVG($J7,($J7,$O7,$T7),1)-2)*10)</f>
        <v>11.8</v>
      </c>
      <c r="V7" s="54">
        <f>IF($O7="","",ROUND(($O7-$O$3)/1000,1)+(_xlfn.RANK.AVG($O7,($J7,$O7,$T7),1)-2)*10)</f>
        <v>-36.9</v>
      </c>
      <c r="W7" s="55">
        <f>IF($T7="","",ROUND(($T7-$T$3)/1000,1)+(_xlfn.RANK.AVG($T7,($J7,$O7,$T7),1)-2)*10)</f>
        <v>25.1</v>
      </c>
      <c r="Y7" s="8"/>
      <c r="Z7" s="34"/>
      <c r="AA7" s="26"/>
      <c r="AB7" s="26"/>
      <c r="AC7" s="26">
        <v>2</v>
      </c>
      <c r="AD7" s="30">
        <v>25</v>
      </c>
      <c r="AE7" s="40" t="s">
        <v>101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202</v>
      </c>
      <c r="G8" s="9">
        <v>16000</v>
      </c>
      <c r="H8" s="9"/>
      <c r="I8" s="48">
        <v>0</v>
      </c>
      <c r="J8" s="21">
        <f t="shared" si="2"/>
        <v>62800</v>
      </c>
      <c r="K8" s="8" t="s">
        <v>201</v>
      </c>
      <c r="L8" s="9">
        <v>-16000</v>
      </c>
      <c r="M8" s="9"/>
      <c r="N8" s="48">
        <v>0</v>
      </c>
      <c r="O8" s="21">
        <f t="shared" si="3"/>
        <v>-7900</v>
      </c>
      <c r="P8" s="8"/>
      <c r="Q8" s="9"/>
      <c r="R8" s="9"/>
      <c r="S8" s="48"/>
      <c r="T8" s="21">
        <f t="shared" si="4"/>
        <v>50100</v>
      </c>
      <c r="U8" s="53">
        <f>IF($J8="","",ROUND(($J8-$J$3)/1000,1)+(_xlfn.RANK.AVG($J8,($J8,$O8,$T8),1)-2)*10)</f>
        <v>37.799999999999997</v>
      </c>
      <c r="V8" s="54">
        <f>IF($O8="","",ROUND(($O8-$O$3)/1000,1)+(_xlfn.RANK.AVG($O8,($J8,$O8,$T8),1)-2)*10)</f>
        <v>-52.9</v>
      </c>
      <c r="W8" s="55">
        <f>IF($T8="","",ROUND(($T8-$T$3)/1000,1)+(_xlfn.RANK.AVG($T8,($J8,$O8,$T8),1)-2)*10)</f>
        <v>15.1</v>
      </c>
      <c r="Y8" s="8"/>
      <c r="Z8" s="34"/>
      <c r="AA8" s="26">
        <v>1</v>
      </c>
      <c r="AB8" s="26"/>
      <c r="AC8" s="26">
        <v>8</v>
      </c>
      <c r="AD8" s="30" t="s">
        <v>199</v>
      </c>
      <c r="AE8" s="40" t="s">
        <v>203</v>
      </c>
      <c r="AF8" s="41" t="s">
        <v>85</v>
      </c>
      <c r="AG8" s="41" t="s">
        <v>83</v>
      </c>
      <c r="AH8" s="41" t="s">
        <v>79</v>
      </c>
      <c r="AI8" s="41" t="s">
        <v>80</v>
      </c>
      <c r="AJ8" s="41" t="s">
        <v>200</v>
      </c>
      <c r="AK8" s="41" t="s">
        <v>81</v>
      </c>
      <c r="AL8" s="41" t="s">
        <v>81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F2834F7F-FF7E-403B-88D2-E8FCCD687993}">
      <formula1>"ロン,ツモ,放銃,ツモ支払,流局,チョンボ"</formula1>
    </dataValidation>
    <dataValidation type="list" allowBlank="1" showInputMessage="1" showErrorMessage="1" sqref="E4:E30" xr:uid="{A2503751-0F93-4ABA-981D-044B2BF08D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190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187</v>
      </c>
      <c r="C54" s="15" t="s">
        <v>189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2022-07-09T05:29:47Z</dcterms:modified>
</cp:coreProperties>
</file>