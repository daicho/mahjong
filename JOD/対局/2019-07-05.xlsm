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対局\"/>
    </mc:Choice>
  </mc:AlternateContent>
  <xr:revisionPtr revIDLastSave="0" documentId="13_ncr:1_{52CA8EDB-AC37-45A0-BF3F-405F131DB43E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/>
  <c r="T10" i="16"/>
  <c r="O10" i="16"/>
  <c r="J10" i="16"/>
  <c r="U10" i="16" s="1"/>
  <c r="D10" i="16"/>
  <c r="C10" i="16"/>
  <c r="B10" i="16"/>
  <c r="A10" i="16" s="1"/>
  <c r="T9" i="16"/>
  <c r="O9" i="16"/>
  <c r="J9" i="16"/>
  <c r="D9" i="16"/>
  <c r="C9" i="16"/>
  <c r="D8" i="16"/>
  <c r="C8" i="16"/>
  <c r="D7" i="16"/>
  <c r="C7" i="16"/>
  <c r="B6" i="16"/>
  <c r="B7" i="16" s="1"/>
  <c r="A6" i="16"/>
  <c r="T5" i="16"/>
  <c r="D5" i="16"/>
  <c r="D6" i="16" s="1"/>
  <c r="C5" i="16"/>
  <c r="C6" i="16" s="1"/>
  <c r="B5" i="16"/>
  <c r="A5" i="16"/>
  <c r="T4" i="16"/>
  <c r="O4" i="16"/>
  <c r="O5" i="16" s="1"/>
  <c r="J4" i="16"/>
  <c r="W3" i="16"/>
  <c r="V3" i="16"/>
  <c r="U3" i="16"/>
  <c r="W2" i="16"/>
  <c r="V2" i="16"/>
  <c r="U2" i="16"/>
  <c r="BO1" i="16"/>
  <c r="AT1" i="16"/>
  <c r="Y1" i="16"/>
  <c r="V10" i="16" l="1"/>
  <c r="W10" i="16"/>
  <c r="W9" i="16"/>
  <c r="U9" i="16"/>
  <c r="V9" i="16"/>
  <c r="W4" i="16"/>
  <c r="V4" i="16"/>
  <c r="O6" i="16"/>
  <c r="B8" i="16"/>
  <c r="A7" i="16"/>
  <c r="J5" i="16"/>
  <c r="W5" i="16" s="1"/>
  <c r="U4" i="16"/>
  <c r="T6" i="16"/>
  <c r="W3" i="1"/>
  <c r="V3" i="1"/>
  <c r="U3" i="1"/>
  <c r="A8" i="16" l="1"/>
  <c r="V5" i="16"/>
  <c r="T7" i="16"/>
  <c r="U5" i="16"/>
  <c r="J6" i="16"/>
  <c r="B9" i="16"/>
  <c r="A9" i="16" s="1"/>
  <c r="O7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U6" i="16" l="1"/>
  <c r="J7" i="16"/>
  <c r="W7" i="16"/>
  <c r="T8" i="16"/>
  <c r="W6" i="16"/>
  <c r="O8" i="16"/>
  <c r="V6" i="16"/>
  <c r="B5" i="1"/>
  <c r="A5" i="1" s="1"/>
  <c r="D6" i="1"/>
  <c r="B6" i="1"/>
  <c r="A6" i="1" s="1"/>
  <c r="D5" i="1"/>
  <c r="U7" i="16" l="1"/>
  <c r="J8" i="16"/>
  <c r="U8" i="16" s="1"/>
  <c r="V7" i="16"/>
  <c r="Y1" i="1"/>
  <c r="W8" i="16" l="1"/>
  <c r="V8" i="16"/>
  <c r="BO1" i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W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U6" i="1" s="1"/>
  <c r="B12" i="1"/>
  <c r="A12" i="1" s="1"/>
  <c r="V6" i="1" l="1"/>
  <c r="W6" i="1"/>
  <c r="T7" i="1"/>
  <c r="U7" i="1" s="1"/>
  <c r="J9" i="1"/>
  <c r="T8" i="1"/>
  <c r="W8" i="1" s="1"/>
  <c r="O9" i="1"/>
  <c r="B13" i="1"/>
  <c r="A13" i="1" s="1"/>
  <c r="V9" i="1" l="1"/>
  <c r="U8" i="1"/>
  <c r="U9" i="1"/>
  <c r="V8" i="1"/>
  <c r="V7" i="1"/>
  <c r="W7" i="1"/>
  <c r="J10" i="1"/>
  <c r="U10" i="1" s="1"/>
  <c r="J11" i="1"/>
  <c r="U11" i="1" s="1"/>
  <c r="O10" i="1"/>
  <c r="V10" i="1" s="1"/>
  <c r="T9" i="1"/>
  <c r="B14" i="1"/>
  <c r="A14" i="1" s="1"/>
  <c r="W9" i="1" l="1"/>
  <c r="O11" i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<sst xmlns="http://schemas.openxmlformats.org/spreadsheetml/2006/main" count="635" uniqueCount="157">
  <si>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</si>
  <si>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</si>
  <si>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</si>
  <si>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</si>
  <si>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</si>
  <si>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</si>
  <si>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</si>
  <si>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</si>
  <si>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</si>
  <si>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</si>
  <si>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</si>
  <si>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</si>
  <si>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</si>
  <si>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</si>
  <si>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</si>
  <si>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</si>
  <si>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</si>
  <si>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</si>
  <si>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</si>
  <si>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</si>
  <si>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</si>
  <si>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</si>
  <si>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</si>
  <si>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</si>
  <si>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</si>
  <si>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</si>
  <si>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</si>
  <si>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</si>
  <si>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</si>
  <si>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</si>
  <si>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</si>
  <si>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</si>
  <si>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</si>
  <si>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</si>
  <si>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</si>
  <si>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</si>
  <si>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</si>
  <si>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</si>
  <si>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</si>
  <si>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</si>
  <si>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</si>
  <si>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</si>
  <si>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</si>
  <si>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</si>
  <si>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</si>
  <si>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</si>
  <si>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</si>
  <si>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</si>
  <si>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</si>
  <si>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</si>
  <si>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</si>
  <si>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</si>
  <si>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</si>
  <si>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</si>
  <si>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</si>
  <si>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</si>
  <si>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</si>
  <si>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</si>
  <si>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</si>
  <si>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</si>
  <si>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</si>
  <si>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</si>
  <si>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</si>
  <si>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</si>
  <si>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</si>
  <si>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</si>
  <si>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</si>
  <si>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</si>
  <si>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</si>
  <si>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</si>
  <si>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</si>
  <si>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</si>
  <si>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</si>
  <si>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</si>
  <si>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</si>
  <si>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</si>
  <si>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</si>
  <si>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</si>
  <si>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</si>
  <si>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</si>
  <si>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</si>
  <si>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</si>
  <si>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</si>
  <si>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</si>
  <si>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</si>
  <si>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</si>
  <si>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</si>
  <si>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</si>
  <si>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</si>
  <si>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</si>
  <si>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</si>
  <si>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</si>
  <si>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</si>
  <si>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</si>
  <si>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</si>
  <si>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</si>
  <si>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</si>
  <si>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</si>
  <si>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</si>
  <si>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</si>
  <si>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</si>
  <si>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</si>
  <si>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</si>
  <si>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</si>
  <si>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</si>
  <si>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</si>
  <si>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</si>
  <si>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</si>
  <si>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</si>
  <si>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</si>
  <si>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</si>
  <si>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</si>
  <si>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</si>
  <si>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</si>
  <si>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</si>
  <si>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</si>
  <si>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</si>
  <si>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</si>
  <si>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</si>
  <si>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</si>
  <si>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</si>
  <si>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</si>
  <si>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</si>
  <si>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</si>
  <si>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</si>
  <si>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</si>
  <si>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</si>
  <si>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</si>
  <si>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</si>
  <si>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</si>
  <si>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</si>
  <si>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</si>
  <si>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</si>
  <si>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</si>
  <si>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</si>
  <si>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</si>
  <si>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</si>
  <si>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</si>
  <si>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</si>
  <si>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りょうすけ</t>
  </si>
  <si>
    <t>りょうすけ</t>
    <phoneticPr fontId="1"/>
  </si>
  <si>
    <t>だいち</t>
  </si>
  <si>
    <t>だいち</t>
    <phoneticPr fontId="1"/>
  </si>
  <si>
    <t>てんちゃん</t>
  </si>
  <si>
    <t>てんちゃん</t>
    <phoneticPr fontId="1"/>
  </si>
  <si>
    <t>ツモ</t>
  </si>
  <si>
    <t>ツモ支払</t>
  </si>
  <si>
    <t>52</t>
  </si>
  <si>
    <t>T</t>
  </si>
  <si>
    <t>N</t>
  </si>
  <si>
    <t>流局</t>
    <phoneticPr fontId="1"/>
  </si>
  <si>
    <t>放銃</t>
  </si>
  <si>
    <t>ロン</t>
  </si>
  <si>
    <t>*</t>
  </si>
  <si>
    <t>01</t>
  </si>
  <si>
    <t>05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</si>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</sst>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りょうすけ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りょうすけ</v>
      </c>
      <c r="V2" s="27" t="str">
        <f>$K$1</f>
        <v>だいち</v>
      </c>
      <c r="W2" s="16" t="str">
        <f>$P$1</f>
        <v>てんちゃん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3000</v>
      </c>
      <c r="H4" s="9"/>
      <c r="I4" s="55">
        <v>0</v>
      </c>
      <c r="J4" s="21">
        <f>IF(COUNTA($F4,$K4,$P4)&gt;0,J3+SUM(G4:I4),"")</f>
        <v>38000</v>
      </c>
      <c r="K4" s="8" t="s">
        <v>146</v>
      </c>
      <c r="L4" s="9">
        <v>-1500</v>
      </c>
      <c r="M4" s="9"/>
      <c r="N4" s="55">
        <v>0</v>
      </c>
      <c r="O4" s="21">
        <f>IF(COUNTA($F4,$K4,$P4)&gt;0,O3+SUM(L4:N4),"")</f>
        <v>33500</v>
      </c>
      <c r="P4" s="8" t="s">
        <v>146</v>
      </c>
      <c r="Q4" s="9">
        <v>-1500</v>
      </c>
      <c r="R4" s="9"/>
      <c r="S4" s="55">
        <v>0</v>
      </c>
      <c r="T4" s="21">
        <f>IF(COUNTA($F4,$K4,$P4)&gt;0,T3+SUM(Q4:S4),"")</f>
        <v>33500</v>
      </c>
      <c r="U4" s="60">
        <f>IF($J4="","",ROUND(($J4-$J$3)/1000,1)+(_xlfn.RANK.AVG($J4,($J4,$O4,$T4),1)-2)*20)</f>
        <v>23</v>
      </c>
      <c r="V4" s="61">
        <f>IF($O4="","",ROUND(($O4-$O$3)/1000,1)+(_xlfn.RANK.AVG($O4,($J4,$O4,$T4),1)-2)*20)</f>
        <v>-11.5</v>
      </c>
      <c r="W4" s="62">
        <f>IF($T4="","",ROUND(($T4-$T$3)/1000,1)+(_xlfn.RANK.AVG($T4,($J4,$O4,$T4),1)-2)*20)</f>
        <v>-11.5</v>
      </c>
      <c r="Y4" s="8"/>
      <c r="Z4" s="41"/>
      <c r="AA4" s="32"/>
      <c r="AB4" s="32"/>
      <c r="AC4" s="32">
        <v>2</v>
      </c>
      <c r="AD4" s="36">
        <v>30</v>
      </c>
      <c r="AE4" s="47" t="s">
        <v>83</v>
      </c>
      <c r="AF4" s="48" t="s">
        <v>147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150</v>
      </c>
      <c r="G5" s="9">
        <v>3000</v>
      </c>
      <c r="H5" s="9"/>
      <c r="I5" s="55"/>
      <c r="J5" s="21">
        <f t="shared" ref="J5:J30" si="2">IF(COUNTA($F5,$K5,$P5)&gt;0,J4+SUM(G5:I5),"")</f>
        <v>41000</v>
      </c>
      <c r="K5" s="8" t="s">
        <v>150</v>
      </c>
      <c r="L5" s="9">
        <v>-1500</v>
      </c>
      <c r="M5" s="9"/>
      <c r="N5" s="55"/>
      <c r="O5" s="21">
        <f t="shared" ref="O5:O30" si="3">IF(COUNTA($F5,$K5,$P5)&gt;0,O4+SUM(L5:N5),"")</f>
        <v>32000</v>
      </c>
      <c r="P5" s="8" t="s">
        <v>150</v>
      </c>
      <c r="Q5" s="9">
        <v>-1500</v>
      </c>
      <c r="R5" s="9"/>
      <c r="S5" s="55"/>
      <c r="T5" s="21">
        <f t="shared" ref="T5:T30" si="4">IF(COUNTA($F5,$K5,$P5)&gt;0,T4+SUM(Q5:S5),"")</f>
        <v>32000</v>
      </c>
      <c r="U5" s="60">
        <f>IF($J5="","",ROUND(($J5-$J$3)/1000,1)+(_xlfn.RANK.AVG($J5,($J5,$O5,$T5),1)-2)*20)</f>
        <v>26</v>
      </c>
      <c r="V5" s="61">
        <f>IF($O5="","",ROUND(($O5-$O$3)/1000,1)+(_xlfn.RANK.AVG($O5,($J5,$O5,$T5),1)-2)*20)</f>
        <v>-13</v>
      </c>
      <c r="W5" s="62">
        <f>IF($T5="","",ROUND(($T5-$T$3)/1000,1)+(_xlfn.RANK.AVG($T5,($J5,$O5,$T5),1)-2)*20)</f>
        <v>-13</v>
      </c>
      <c r="Y5" s="8" t="s">
        <v>148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149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149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139</v>
      </c>
      <c r="F6" s="8"/>
      <c r="G6" s="9"/>
      <c r="H6" s="9"/>
      <c r="I6" s="55"/>
      <c r="J6" s="21">
        <f t="shared" si="2"/>
        <v>41000</v>
      </c>
      <c r="K6" s="8" t="s">
        <v>151</v>
      </c>
      <c r="L6" s="9">
        <v>-24000</v>
      </c>
      <c r="M6" s="9"/>
      <c r="N6" s="55">
        <v>-2000</v>
      </c>
      <c r="O6" s="21">
        <f t="shared" si="3"/>
        <v>6000</v>
      </c>
      <c r="P6" s="8" t="s">
        <v>152</v>
      </c>
      <c r="Q6" s="9">
        <v>24000</v>
      </c>
      <c r="R6" s="9"/>
      <c r="S6" s="55">
        <v>2000</v>
      </c>
      <c r="T6" s="21">
        <f t="shared" si="4"/>
        <v>58000</v>
      </c>
      <c r="U6" s="60">
        <f>IF($J6="","",ROUND(($J6-$J$3)/1000,1)+(_xlfn.RANK.AVG($J6,($J6,$O6,$T6),1)-2)*20)</f>
        <v>6</v>
      </c>
      <c r="V6" s="61">
        <f>IF($O6="","",ROUND(($O6-$O$3)/1000,1)+(_xlfn.RANK.AVG($O6,($J6,$O6,$T6),1)-2)*20)</f>
        <v>-49</v>
      </c>
      <c r="W6" s="62">
        <f>IF($T6="","",ROUND(($T6-$T$3)/1000,1)+(_xlfn.RANK.AVG($T6,($J6,$O6,$T6),1)-2)*20)</f>
        <v>43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11</v>
      </c>
      <c r="BT6" s="36" t="s">
        <v>153</v>
      </c>
      <c r="BU6" s="47" t="s">
        <v>154</v>
      </c>
      <c r="BV6" s="48" t="s">
        <v>80</v>
      </c>
      <c r="BW6" s="48" t="s">
        <v>80</v>
      </c>
      <c r="BX6" s="48" t="s">
        <v>80</v>
      </c>
      <c r="BY6" s="48" t="s">
        <v>81</v>
      </c>
      <c r="BZ6" s="48" t="s">
        <v>81</v>
      </c>
      <c r="CA6" s="48" t="s">
        <v>81</v>
      </c>
      <c r="CB6" s="48" t="s">
        <v>147</v>
      </c>
      <c r="CC6" s="48" t="s">
        <v>147</v>
      </c>
      <c r="CD6" s="48" t="s">
        <v>147</v>
      </c>
      <c r="CE6" s="48" t="s">
        <v>86</v>
      </c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146</v>
      </c>
      <c r="G7" s="9">
        <v>-1100</v>
      </c>
      <c r="H7" s="9"/>
      <c r="I7" s="55">
        <v>0</v>
      </c>
      <c r="J7" s="21">
        <f t="shared" si="2"/>
        <v>39900</v>
      </c>
      <c r="K7" s="8" t="s">
        <v>146</v>
      </c>
      <c r="L7" s="9">
        <v>-1700</v>
      </c>
      <c r="M7" s="9"/>
      <c r="N7" s="55">
        <v>0</v>
      </c>
      <c r="O7" s="21">
        <f t="shared" si="3"/>
        <v>4300</v>
      </c>
      <c r="P7" s="8" t="s">
        <v>145</v>
      </c>
      <c r="Q7" s="9">
        <v>2800</v>
      </c>
      <c r="R7" s="9"/>
      <c r="S7" s="55">
        <v>0</v>
      </c>
      <c r="T7" s="21">
        <f t="shared" si="4"/>
        <v>60800</v>
      </c>
      <c r="U7" s="60">
        <f>IF($J7="","",ROUND(($J7-$J$3)/1000,1)+(_xlfn.RANK.AVG($J7,($J7,$O7,$T7),1)-2)*20)</f>
        <v>4.9000000000000004</v>
      </c>
      <c r="V7" s="61">
        <f>IF($O7="","",ROUND(($O7-$O$3)/1000,1)+(_xlfn.RANK.AVG($O7,($J7,$O7,$T7),1)-2)*20)</f>
        <v>-50.7</v>
      </c>
      <c r="W7" s="62">
        <f>IF($T7="","",ROUND(($T7-$T$3)/1000,1)+(_xlfn.RANK.AVG($T7,($J7,$O7,$T7),1)-2)*20)</f>
        <v>45.8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20</v>
      </c>
      <c r="BU7" s="47" t="s">
        <v>154</v>
      </c>
      <c r="BV7" s="48" t="s">
        <v>83</v>
      </c>
      <c r="BW7" s="48" t="s">
        <v>84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146</v>
      </c>
      <c r="G8" s="9">
        <v>-12000</v>
      </c>
      <c r="H8" s="9"/>
      <c r="I8" s="55">
        <v>0</v>
      </c>
      <c r="J8" s="21">
        <f t="shared" si="2"/>
        <v>27900</v>
      </c>
      <c r="K8" s="8" t="s">
        <v>146</v>
      </c>
      <c r="L8" s="9">
        <v>-12000</v>
      </c>
      <c r="M8" s="9"/>
      <c r="N8" s="55">
        <v>0</v>
      </c>
      <c r="O8" s="21">
        <f t="shared" si="3"/>
        <v>-7700</v>
      </c>
      <c r="P8" s="8" t="s">
        <v>145</v>
      </c>
      <c r="Q8" s="9">
        <v>24000</v>
      </c>
      <c r="R8" s="9"/>
      <c r="S8" s="55">
        <v>0</v>
      </c>
      <c r="T8" s="21">
        <f t="shared" si="4"/>
        <v>84800</v>
      </c>
      <c r="U8" s="60">
        <f>IF($J8="","",ROUND(($J8-$J$3)/1000,1)+(_xlfn.RANK.AVG($J8,($J8,$O8,$T8),1)-2)*20)</f>
        <v>-7.1</v>
      </c>
      <c r="V8" s="61">
        <f>IF($O8="","",ROUND(($O8-$O$3)/1000,1)+(_xlfn.RANK.AVG($O8,($J8,$O8,$T8),1)-2)*20)</f>
        <v>-62.7</v>
      </c>
      <c r="W8" s="62">
        <f>IF($T8="","",ROUND(($T8-$T$3)/1000,1)+(_xlfn.RANK.AVG($T8,($J8,$O8,$T8),1)-2)*20)</f>
        <v>69.8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8</v>
      </c>
      <c r="BT8" s="36" t="s">
        <v>153</v>
      </c>
      <c r="BU8" s="47" t="s">
        <v>154</v>
      </c>
      <c r="BV8" s="48" t="s">
        <v>83</v>
      </c>
      <c r="BW8" s="48" t="s">
        <v>155</v>
      </c>
      <c r="BX8" s="48" t="s">
        <v>155</v>
      </c>
      <c r="BY8" s="48" t="s">
        <v>85</v>
      </c>
      <c r="BZ8" s="48" t="s">
        <v>81</v>
      </c>
      <c r="CA8" s="48" t="s">
        <v>81</v>
      </c>
      <c r="CB8" s="48" t="s">
        <v>81</v>
      </c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82399-0482-4372-A94F-0847ABE4E4E2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りょうすけ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てんちゃん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りょうすけ</v>
      </c>
      <c r="V2" s="71" t="str">
        <f>$K$1</f>
        <v>だいち</v>
      </c>
      <c r="W2" s="16" t="str">
        <f>$P$1</f>
        <v>てんちゃん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146</v>
      </c>
      <c r="L4" s="9">
        <v>-7500</v>
      </c>
      <c r="M4" s="9"/>
      <c r="N4" s="55">
        <v>0</v>
      </c>
      <c r="O4" s="21">
        <f>IF(COUNTA($F4,$K4,$P4)&gt;0,O3+SUM(L4:N4),"")</f>
        <v>27500</v>
      </c>
      <c r="P4" s="8" t="s">
        <v>146</v>
      </c>
      <c r="Q4" s="9">
        <v>-4500</v>
      </c>
      <c r="R4" s="9"/>
      <c r="S4" s="55">
        <v>0</v>
      </c>
      <c r="T4" s="21">
        <f>IF(COUNTA($F4,$K4,$P4)&gt;0,T3+SUM(Q4:S4),"")</f>
        <v>30500</v>
      </c>
      <c r="U4" s="60">
        <f>IF($J4="","",ROUND(($J4-$J$3)/1000,1)+(_xlfn.RANK.AVG($J4,($J4,$O4,$T4),1)-2)*20)</f>
        <v>32</v>
      </c>
      <c r="V4" s="61">
        <f>IF($O4="","",ROUND(($O4-$O$3)/1000,1)+(_xlfn.RANK.AVG($O4,($J4,$O4,$T4),1)-2)*20)</f>
        <v>-27.5</v>
      </c>
      <c r="W4" s="62">
        <f>IF($T4="","",ROUND(($T4-$T$3)/1000,1)+(_xlfn.RANK.AVG($T4,($J4,$O4,$T4),1)-2)*20)</f>
        <v>-4.5</v>
      </c>
      <c r="Y4" s="8"/>
      <c r="Z4" s="41"/>
      <c r="AA4" s="32"/>
      <c r="AB4" s="32">
        <v>1</v>
      </c>
      <c r="AC4" s="32">
        <v>7</v>
      </c>
      <c r="AD4" s="36" t="s">
        <v>153</v>
      </c>
      <c r="AE4" s="47" t="s">
        <v>86</v>
      </c>
      <c r="AF4" s="48" t="s">
        <v>80</v>
      </c>
      <c r="AG4" s="48" t="s">
        <v>147</v>
      </c>
      <c r="AH4" s="48" t="s">
        <v>80</v>
      </c>
      <c r="AI4" s="48" t="s">
        <v>80</v>
      </c>
      <c r="AJ4" s="48" t="s">
        <v>80</v>
      </c>
      <c r="AK4" s="48" t="s">
        <v>82</v>
      </c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143</v>
      </c>
      <c r="F5" s="8"/>
      <c r="G5" s="9"/>
      <c r="H5" s="9"/>
      <c r="I5" s="55"/>
      <c r="J5" s="21">
        <f t="shared" ref="J5:J30" si="2">IF(COUNTA($F5,$K5,$P5)&gt;0,J4+SUM(G5:I5),"")</f>
        <v>47000</v>
      </c>
      <c r="K5" s="8" t="s">
        <v>152</v>
      </c>
      <c r="L5" s="9">
        <v>8000</v>
      </c>
      <c r="M5" s="9"/>
      <c r="N5" s="55">
        <v>0</v>
      </c>
      <c r="O5" s="21">
        <f t="shared" ref="O5:O30" si="3">IF(COUNTA($F5,$K5,$P5)&gt;0,O4+SUM(L5:N5),"")</f>
        <v>35500</v>
      </c>
      <c r="P5" s="8" t="s">
        <v>151</v>
      </c>
      <c r="Q5" s="9">
        <v>-8000</v>
      </c>
      <c r="R5" s="9"/>
      <c r="S5" s="55">
        <v>0</v>
      </c>
      <c r="T5" s="21">
        <f t="shared" ref="T5:T30" si="4">IF(COUNTA($F5,$K5,$P5)&gt;0,T4+SUM(Q5:S5),"")</f>
        <v>22500</v>
      </c>
      <c r="U5" s="60">
        <f>IF($J5="","",ROUND(($J5-$J$3)/1000,1)+(_xlfn.RANK.AVG($J5,($J5,$O5,$T5),1)-2)*20)</f>
        <v>32</v>
      </c>
      <c r="V5" s="61">
        <f>IF($O5="","",ROUND(($O5-$O$3)/1000,1)+(_xlfn.RANK.AVG($O5,($J5,$O5,$T5),1)-2)*20)</f>
        <v>0.5</v>
      </c>
      <c r="W5" s="62">
        <f>IF($T5="","",ROUND(($T5-$T$3)/1000,1)+(_xlfn.RANK.AVG($T5,($J5,$O5,$T5),1)-2)*20)</f>
        <v>-32.5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5</v>
      </c>
      <c r="AY5" s="36" t="s">
        <v>153</v>
      </c>
      <c r="AZ5" s="47" t="s">
        <v>105</v>
      </c>
      <c r="BA5" s="48" t="s">
        <v>87</v>
      </c>
      <c r="BB5" s="48" t="s">
        <v>147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146</v>
      </c>
      <c r="G6" s="9">
        <v>-15000</v>
      </c>
      <c r="H6" s="9"/>
      <c r="I6" s="55">
        <v>0</v>
      </c>
      <c r="J6" s="21">
        <f t="shared" si="2"/>
        <v>32000</v>
      </c>
      <c r="K6" s="8" t="s">
        <v>145</v>
      </c>
      <c r="L6" s="9">
        <v>24000</v>
      </c>
      <c r="M6" s="9">
        <v>1000</v>
      </c>
      <c r="N6" s="55">
        <v>0</v>
      </c>
      <c r="O6" s="21">
        <f t="shared" si="3"/>
        <v>60500</v>
      </c>
      <c r="P6" s="8" t="s">
        <v>146</v>
      </c>
      <c r="Q6" s="9">
        <v>-9000</v>
      </c>
      <c r="R6" s="9">
        <v>-1000</v>
      </c>
      <c r="S6" s="55">
        <v>0</v>
      </c>
      <c r="T6" s="21">
        <f t="shared" si="4"/>
        <v>12500</v>
      </c>
      <c r="U6" s="60">
        <f>IF($J6="","",ROUND(($J6-$J$3)/1000,1)+(_xlfn.RANK.AVG($J6,($J6,$O6,$T6),1)-2)*20)</f>
        <v>-3</v>
      </c>
      <c r="V6" s="61">
        <f>IF($O6="","",ROUND(($O6-$O$3)/1000,1)+(_xlfn.RANK.AVG($O6,($J6,$O6,$T6),1)-2)*20)</f>
        <v>45.5</v>
      </c>
      <c r="W6" s="62">
        <f>IF($T6="","",ROUND(($T6-$T$3)/1000,1)+(_xlfn.RANK.AVG($T6,($J6,$O6,$T6),1)-2)*20)</f>
        <v>-42.5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11</v>
      </c>
      <c r="AY6" s="36" t="s">
        <v>153</v>
      </c>
      <c r="AZ6" s="47" t="s">
        <v>154</v>
      </c>
      <c r="BA6" s="48" t="s">
        <v>83</v>
      </c>
      <c r="BB6" s="48" t="s">
        <v>156</v>
      </c>
      <c r="BC6" s="48" t="s">
        <v>84</v>
      </c>
      <c r="BD6" s="48" t="s">
        <v>147</v>
      </c>
      <c r="BE6" s="48" t="s">
        <v>80</v>
      </c>
      <c r="BF6" s="48" t="s">
        <v>81</v>
      </c>
      <c r="BG6" s="48" t="s">
        <v>81</v>
      </c>
      <c r="BH6" s="48" t="s">
        <v>82</v>
      </c>
      <c r="BI6" s="48" t="s">
        <v>82</v>
      </c>
      <c r="BJ6" s="48" t="s">
        <v>82</v>
      </c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146</v>
      </c>
      <c r="G7" s="9">
        <v>-2900</v>
      </c>
      <c r="H7" s="9"/>
      <c r="I7" s="55">
        <v>0</v>
      </c>
      <c r="J7" s="21">
        <f t="shared" si="2"/>
        <v>29100</v>
      </c>
      <c r="K7" s="8" t="s">
        <v>146</v>
      </c>
      <c r="L7" s="9">
        <v>-4800</v>
      </c>
      <c r="M7" s="9"/>
      <c r="N7" s="55">
        <v>0</v>
      </c>
      <c r="O7" s="21">
        <f t="shared" si="3"/>
        <v>55700</v>
      </c>
      <c r="P7" s="8" t="s">
        <v>145</v>
      </c>
      <c r="Q7" s="9">
        <v>7700</v>
      </c>
      <c r="R7" s="9"/>
      <c r="S7" s="55">
        <v>0</v>
      </c>
      <c r="T7" s="21">
        <f t="shared" si="4"/>
        <v>20200</v>
      </c>
      <c r="U7" s="60">
        <f>IF($J7="","",ROUND(($J7-$J$3)/1000,1)+(_xlfn.RANK.AVG($J7,($J7,$O7,$T7),1)-2)*20)</f>
        <v>-5.9</v>
      </c>
      <c r="V7" s="61">
        <f>IF($O7="","",ROUND(($O7-$O$3)/1000,1)+(_xlfn.RANK.AVG($O7,($J7,$O7,$T7),1)-2)*20)</f>
        <v>40.700000000000003</v>
      </c>
      <c r="W7" s="62">
        <f>IF($T7="","",ROUND(($T7-$T$3)/1000,1)+(_xlfn.RANK.AVG($T7,($J7,$O7,$T7),1)-2)*20)</f>
        <v>-34.799999999999997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4</v>
      </c>
      <c r="BT7" s="36">
        <v>30</v>
      </c>
      <c r="BU7" s="47" t="s">
        <v>154</v>
      </c>
      <c r="BV7" s="48" t="s">
        <v>83</v>
      </c>
      <c r="BW7" s="48" t="s">
        <v>80</v>
      </c>
      <c r="BX7" s="48" t="s">
        <v>82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146</v>
      </c>
      <c r="G8" s="9">
        <v>-6000</v>
      </c>
      <c r="H8" s="9"/>
      <c r="I8" s="55">
        <v>0</v>
      </c>
      <c r="J8" s="21">
        <f t="shared" si="2"/>
        <v>23100</v>
      </c>
      <c r="K8" s="8" t="s">
        <v>146</v>
      </c>
      <c r="L8" s="9">
        <v>-6000</v>
      </c>
      <c r="M8" s="9">
        <v>-1000</v>
      </c>
      <c r="N8" s="55">
        <v>0</v>
      </c>
      <c r="O8" s="21">
        <f t="shared" si="3"/>
        <v>48700</v>
      </c>
      <c r="P8" s="8" t="s">
        <v>145</v>
      </c>
      <c r="Q8" s="9">
        <v>12000</v>
      </c>
      <c r="R8" s="9">
        <v>1000</v>
      </c>
      <c r="S8" s="55">
        <v>0</v>
      </c>
      <c r="T8" s="21">
        <f t="shared" si="4"/>
        <v>33200</v>
      </c>
      <c r="U8" s="60">
        <f>IF($J8="","",ROUND(($J8-$J$3)/1000,1)+(_xlfn.RANK.AVG($J8,($J8,$O8,$T8),1)-2)*20)</f>
        <v>-31.9</v>
      </c>
      <c r="V8" s="61">
        <f>IF($O8="","",ROUND(($O8-$O$3)/1000,1)+(_xlfn.RANK.AVG($O8,($J8,$O8,$T8),1)-2)*20)</f>
        <v>33.700000000000003</v>
      </c>
      <c r="W8" s="62">
        <f>IF($T8="","",ROUND(($T8-$T$3)/1000,1)+(_xlfn.RANK.AVG($T8,($J8,$O8,$T8),1)-2)*20)</f>
        <v>-1.8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4</v>
      </c>
      <c r="BT8" s="36">
        <v>40</v>
      </c>
      <c r="BU8" s="47" t="s">
        <v>83</v>
      </c>
      <c r="BV8" s="48" t="s">
        <v>80</v>
      </c>
      <c r="BW8" s="48" t="s">
        <v>82</v>
      </c>
      <c r="BX8" s="48" t="s">
        <v>82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143</v>
      </c>
      <c r="F9" s="8" t="s">
        <v>146</v>
      </c>
      <c r="G9" s="9">
        <v>-3000</v>
      </c>
      <c r="H9" s="9"/>
      <c r="I9" s="55">
        <v>-500</v>
      </c>
      <c r="J9" s="21">
        <f t="shared" si="2"/>
        <v>19600</v>
      </c>
      <c r="K9" s="8" t="s">
        <v>146</v>
      </c>
      <c r="L9" s="9">
        <v>-3000</v>
      </c>
      <c r="M9" s="9"/>
      <c r="N9" s="55">
        <v>-500</v>
      </c>
      <c r="O9" s="21">
        <f t="shared" si="3"/>
        <v>45200</v>
      </c>
      <c r="P9" s="8" t="s">
        <v>145</v>
      </c>
      <c r="Q9" s="9">
        <v>6000</v>
      </c>
      <c r="R9" s="9"/>
      <c r="S9" s="55">
        <v>1000</v>
      </c>
      <c r="T9" s="21">
        <f t="shared" si="4"/>
        <v>40200</v>
      </c>
      <c r="U9" s="60">
        <f>IF($J9="","",ROUND(($J9-$J$3)/1000,1)+(_xlfn.RANK.AVG($J9,($J9,$O9,$T9),1)-2)*20)</f>
        <v>-35.4</v>
      </c>
      <c r="V9" s="61">
        <f>IF($O9="","",ROUND(($O9-$O$3)/1000,1)+(_xlfn.RANK.AVG($O9,($J9,$O9,$T9),1)-2)*20)</f>
        <v>30.2</v>
      </c>
      <c r="W9" s="62">
        <f>IF($T9="","",ROUND(($T9-$T$3)/1000,1)+(_xlfn.RANK.AVG($T9,($J9,$O9,$T9),1)-2)*20)</f>
        <v>5.2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3</v>
      </c>
      <c r="BT9" s="36">
        <v>30</v>
      </c>
      <c r="BU9" s="47" t="s">
        <v>87</v>
      </c>
      <c r="BV9" s="48" t="s">
        <v>82</v>
      </c>
      <c r="BW9" s="48" t="s">
        <v>82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143</v>
      </c>
      <c r="F10" s="8"/>
      <c r="G10" s="9"/>
      <c r="H10" s="9"/>
      <c r="I10" s="55"/>
      <c r="J10" s="21">
        <f t="shared" si="2"/>
        <v>19600</v>
      </c>
      <c r="K10" s="8" t="s">
        <v>151</v>
      </c>
      <c r="L10" s="9">
        <v>-48000</v>
      </c>
      <c r="M10" s="9"/>
      <c r="N10" s="55">
        <v>-2000</v>
      </c>
      <c r="O10" s="21">
        <f t="shared" si="3"/>
        <v>-4800</v>
      </c>
      <c r="P10" s="8" t="s">
        <v>152</v>
      </c>
      <c r="Q10" s="9">
        <v>48000</v>
      </c>
      <c r="R10" s="9"/>
      <c r="S10" s="55">
        <v>2000</v>
      </c>
      <c r="T10" s="21">
        <f t="shared" si="4"/>
        <v>90200</v>
      </c>
      <c r="U10" s="60">
        <f>IF($J10="","",ROUND(($J10-$J$3)/1000,1)+(_xlfn.RANK.AVG($J10,($J10,$O10,$T10),1)-2)*20)</f>
        <v>-15.4</v>
      </c>
      <c r="V10" s="61">
        <f>IF($O10="","",ROUND(($O10-$O$3)/1000,1)+(_xlfn.RANK.AVG($O10,($J10,$O10,$T10),1)-2)*20)</f>
        <v>-59.8</v>
      </c>
      <c r="W10" s="62">
        <f>IF($T10="","",ROUND(($T10-$T$3)/1000,1)+(_xlfn.RANK.AVG($T10,($J10,$O10,$T10),1)-2)*20)</f>
        <v>75.2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13</v>
      </c>
      <c r="BT10" s="36" t="s">
        <v>153</v>
      </c>
      <c r="BU10" s="47" t="s">
        <v>111</v>
      </c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3905013D-B207-4112-9886-149EA89ADE88}">
      <formula1>$U$2:$W$2</formula1>
    </dataValidation>
    <dataValidation type="list" showInputMessage="1" showErrorMessage="1" sqref="K4:K30 P4:P30 F4:F30" xr:uid="{3B457C8E-BACE-4FE9-9827-2D162A14FAA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2019-07-05T12:27:34Z</dcterms:modified>
</cp:coreProperties>
</file>