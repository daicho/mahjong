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バレー部\対局\"/>
    </mc:Choice>
  </mc:AlternateContent>
  <xr:revisionPtr revIDLastSave="0" documentId="13_ncr:1_{9F8C7B67-137E-4EB6-AC3C-564A09F4B260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O10" i="19"/>
  <c r="J10" i="19"/>
  <c r="U10" i="19" s="1"/>
  <c r="D10" i="19"/>
  <c r="C10" i="19"/>
  <c r="B10" i="19"/>
  <c r="A10" i="19" s="1"/>
  <c r="D9" i="19"/>
  <c r="C9" i="19"/>
  <c r="D7" i="19"/>
  <c r="D8" i="19" s="1"/>
  <c r="C7" i="19"/>
  <c r="C8" i="19" s="1"/>
  <c r="J6" i="19"/>
  <c r="D6" i="19"/>
  <c r="C6" i="19"/>
  <c r="O5" i="19"/>
  <c r="J5" i="19"/>
  <c r="D5" i="19"/>
  <c r="C5" i="19"/>
  <c r="B5" i="19"/>
  <c r="B6" i="19" s="1"/>
  <c r="T4" i="19"/>
  <c r="O4" i="19"/>
  <c r="J4" i="19"/>
  <c r="W3" i="19"/>
  <c r="V3" i="19"/>
  <c r="U3" i="19"/>
  <c r="W2" i="19"/>
  <c r="V2" i="19"/>
  <c r="U2" i="19"/>
  <c r="BO1" i="19"/>
  <c r="AT1" i="19"/>
  <c r="Y1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/>
  <c r="T12" i="18"/>
  <c r="W12" i="18" s="1"/>
  <c r="O12" i="18"/>
  <c r="V12" i="18" s="1"/>
  <c r="J12" i="18"/>
  <c r="U12" i="18" s="1"/>
  <c r="D12" i="18"/>
  <c r="C12" i="18"/>
  <c r="B12" i="18"/>
  <c r="A12" i="18"/>
  <c r="T11" i="18"/>
  <c r="W11" i="18" s="1"/>
  <c r="O11" i="18"/>
  <c r="V11" i="18" s="1"/>
  <c r="J11" i="18"/>
  <c r="U11" i="18" s="1"/>
  <c r="D11" i="18"/>
  <c r="C11" i="18"/>
  <c r="B11" i="18"/>
  <c r="A11" i="18"/>
  <c r="T10" i="18"/>
  <c r="W10" i="18" s="1"/>
  <c r="O10" i="18"/>
  <c r="V10" i="18" s="1"/>
  <c r="J10" i="18"/>
  <c r="U10" i="18" s="1"/>
  <c r="D10" i="18"/>
  <c r="C10" i="18"/>
  <c r="B10" i="18"/>
  <c r="A10" i="18"/>
  <c r="T9" i="18"/>
  <c r="O9" i="18"/>
  <c r="J9" i="18"/>
  <c r="D9" i="18"/>
  <c r="C9" i="18"/>
  <c r="B9" i="18"/>
  <c r="A9" i="18" s="1"/>
  <c r="T8" i="18"/>
  <c r="O8" i="18"/>
  <c r="J8" i="18"/>
  <c r="D8" i="18"/>
  <c r="C8" i="18"/>
  <c r="B8" i="18"/>
  <c r="A8" i="18" s="1"/>
  <c r="D7" i="18"/>
  <c r="O6" i="18"/>
  <c r="D6" i="18"/>
  <c r="C6" i="18"/>
  <c r="C7" i="18" s="1"/>
  <c r="O5" i="18"/>
  <c r="J5" i="18"/>
  <c r="D5" i="18"/>
  <c r="C5" i="18"/>
  <c r="B5" i="18"/>
  <c r="B6" i="18" s="1"/>
  <c r="T4" i="18"/>
  <c r="O4" i="18"/>
  <c r="J4" i="18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/>
  <c r="T11" i="17"/>
  <c r="W11" i="17" s="1"/>
  <c r="O11" i="17"/>
  <c r="V11" i="17" s="1"/>
  <c r="J11" i="17"/>
  <c r="U11" i="17" s="1"/>
  <c r="D11" i="17"/>
  <c r="C11" i="17"/>
  <c r="B11" i="17"/>
  <c r="A11" i="17"/>
  <c r="D10" i="17"/>
  <c r="C10" i="17"/>
  <c r="D9" i="17"/>
  <c r="C9" i="17"/>
  <c r="D8" i="17"/>
  <c r="C8" i="17"/>
  <c r="D7" i="17"/>
  <c r="C7" i="17"/>
  <c r="D6" i="17"/>
  <c r="C6" i="17"/>
  <c r="O5" i="17"/>
  <c r="J5" i="17"/>
  <c r="J6" i="17" s="1"/>
  <c r="D5" i="17"/>
  <c r="C5" i="17"/>
  <c r="B5" i="17"/>
  <c r="B6" i="17" s="1"/>
  <c r="A5" i="17"/>
  <c r="T4" i="17"/>
  <c r="T5" i="17" s="1"/>
  <c r="O4" i="17"/>
  <c r="J4" i="17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T11" i="16"/>
  <c r="W11" i="16" s="1"/>
  <c r="O11" i="16"/>
  <c r="V11" i="16" s="1"/>
  <c r="J11" i="16"/>
  <c r="U11" i="16" s="1"/>
  <c r="D11" i="16"/>
  <c r="C11" i="16"/>
  <c r="B11" i="16"/>
  <c r="A11" i="16"/>
  <c r="T10" i="16"/>
  <c r="O10" i="16"/>
  <c r="J10" i="16"/>
  <c r="U10" i="16" s="1"/>
  <c r="D10" i="16"/>
  <c r="C10" i="16"/>
  <c r="B10" i="16"/>
  <c r="A10" i="16" s="1"/>
  <c r="T9" i="16"/>
  <c r="O9" i="16"/>
  <c r="J9" i="16"/>
  <c r="D9" i="16"/>
  <c r="C9" i="16"/>
  <c r="B9" i="16"/>
  <c r="A9" i="16" s="1"/>
  <c r="T8" i="16"/>
  <c r="O8" i="16"/>
  <c r="J8" i="16"/>
  <c r="D8" i="16"/>
  <c r="C8" i="16"/>
  <c r="B8" i="16"/>
  <c r="A8" i="16" s="1"/>
  <c r="D7" i="16"/>
  <c r="D6" i="16"/>
  <c r="T5" i="16"/>
  <c r="O5" i="16"/>
  <c r="D5" i="16"/>
  <c r="C5" i="16"/>
  <c r="C6" i="16" s="1"/>
  <c r="C7" i="16" s="1"/>
  <c r="B5" i="16"/>
  <c r="B6" i="16" s="1"/>
  <c r="T4" i="16"/>
  <c r="O4" i="16"/>
  <c r="J4" i="16"/>
  <c r="W3" i="16"/>
  <c r="V3" i="16"/>
  <c r="U3" i="16"/>
  <c r="W2" i="16"/>
  <c r="V2" i="16"/>
  <c r="U2" i="16"/>
  <c r="BO1" i="16"/>
  <c r="AT1" i="16"/>
  <c r="Y1" i="16"/>
  <c r="V10" i="19" l="1"/>
  <c r="W10" i="19"/>
  <c r="A5" i="19"/>
  <c r="W4" i="19"/>
  <c r="U4" i="19"/>
  <c r="V4" i="19"/>
  <c r="A6" i="19"/>
  <c r="B7" i="19"/>
  <c r="T5" i="19"/>
  <c r="V5" i="19" s="1"/>
  <c r="O6" i="19"/>
  <c r="J7" i="19"/>
  <c r="V9" i="18"/>
  <c r="U9" i="18"/>
  <c r="W9" i="18"/>
  <c r="U8" i="18"/>
  <c r="V8" i="18"/>
  <c r="W8" i="18"/>
  <c r="V4" i="18"/>
  <c r="B7" i="18"/>
  <c r="U4" i="18"/>
  <c r="J6" i="18"/>
  <c r="T5" i="18"/>
  <c r="W4" i="18"/>
  <c r="A5" i="18"/>
  <c r="A6" i="18" s="1"/>
  <c r="O7" i="18"/>
  <c r="V5" i="17"/>
  <c r="W5" i="17"/>
  <c r="T6" i="17"/>
  <c r="J7" i="17"/>
  <c r="A6" i="17"/>
  <c r="B7" i="17"/>
  <c r="V4" i="17"/>
  <c r="W4" i="17"/>
  <c r="U5" i="17"/>
  <c r="O6" i="17"/>
  <c r="U4" i="17"/>
  <c r="V10" i="16"/>
  <c r="W10" i="16"/>
  <c r="U9" i="16"/>
  <c r="V9" i="16"/>
  <c r="W9" i="16"/>
  <c r="V8" i="16"/>
  <c r="U8" i="16"/>
  <c r="W8" i="16"/>
  <c r="A5" i="16"/>
  <c r="U4" i="16"/>
  <c r="V4" i="16"/>
  <c r="W4" i="16"/>
  <c r="W5" i="16"/>
  <c r="V5" i="16"/>
  <c r="A6" i="16"/>
  <c r="B7" i="16"/>
  <c r="J5" i="16"/>
  <c r="O6" i="16"/>
  <c r="T6" i="16"/>
  <c r="J8" i="19" l="1"/>
  <c r="O7" i="19"/>
  <c r="B8" i="19"/>
  <c r="W5" i="19"/>
  <c r="T6" i="19"/>
  <c r="V6" i="19" s="1"/>
  <c r="U5" i="19"/>
  <c r="A7" i="19"/>
  <c r="A8" i="19" s="1"/>
  <c r="A7" i="18"/>
  <c r="W5" i="18"/>
  <c r="T6" i="18"/>
  <c r="U6" i="18" s="1"/>
  <c r="J7" i="18"/>
  <c r="V6" i="18"/>
  <c r="V5" i="18"/>
  <c r="U5" i="18"/>
  <c r="A7" i="17"/>
  <c r="B8" i="17"/>
  <c r="J8" i="17"/>
  <c r="V6" i="17"/>
  <c r="O7" i="17"/>
  <c r="U6" i="17"/>
  <c r="W6" i="17"/>
  <c r="T7" i="17"/>
  <c r="U7" i="17" s="1"/>
  <c r="A7" i="16"/>
  <c r="T7" i="16"/>
  <c r="O7" i="16"/>
  <c r="U5" i="16"/>
  <c r="J6" i="16"/>
  <c r="V6" i="16" s="1"/>
  <c r="J9" i="19" l="1"/>
  <c r="W6" i="19"/>
  <c r="T7" i="19"/>
  <c r="U6" i="19"/>
  <c r="B9" i="19"/>
  <c r="A9" i="19" s="1"/>
  <c r="O8" i="19"/>
  <c r="V7" i="19"/>
  <c r="W6" i="18"/>
  <c r="T7" i="18"/>
  <c r="B9" i="17"/>
  <c r="A8" i="17"/>
  <c r="W7" i="17"/>
  <c r="T8" i="17"/>
  <c r="O8" i="17"/>
  <c r="V7" i="17"/>
  <c r="J9" i="17"/>
  <c r="U8" i="17"/>
  <c r="U6" i="16"/>
  <c r="J7" i="16"/>
  <c r="U7" i="16" s="1"/>
  <c r="V7" i="16"/>
  <c r="W6" i="16"/>
  <c r="O9" i="19" l="1"/>
  <c r="W7" i="19"/>
  <c r="T8" i="19"/>
  <c r="V8" i="19" s="1"/>
  <c r="U7" i="19"/>
  <c r="W7" i="18"/>
  <c r="V7" i="18"/>
  <c r="U7" i="18"/>
  <c r="B10" i="17"/>
  <c r="A10" i="17" s="1"/>
  <c r="J10" i="17"/>
  <c r="W8" i="17"/>
  <c r="T9" i="17"/>
  <c r="A9" i="17"/>
  <c r="O9" i="17"/>
  <c r="V8" i="17"/>
  <c r="W7" i="16"/>
  <c r="W8" i="19" l="1"/>
  <c r="T9" i="19"/>
  <c r="U8" i="19"/>
  <c r="V9" i="17"/>
  <c r="O10" i="17"/>
  <c r="V10" i="17" s="1"/>
  <c r="U10" i="17"/>
  <c r="W9" i="17"/>
  <c r="T10" i="17"/>
  <c r="U9" i="17"/>
  <c r="W9" i="19" l="1"/>
  <c r="U9" i="19"/>
  <c r="V9" i="19"/>
  <c r="W10" i="17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4" i="1" l="1"/>
  <c r="W4" i="1"/>
  <c r="V4" i="1"/>
  <c r="J6" i="1"/>
  <c r="T5" i="1"/>
  <c r="V5" i="1" s="1"/>
  <c r="O6" i="1"/>
  <c r="B10" i="1"/>
  <c r="U5" i="1" l="1"/>
  <c r="W5" i="1"/>
  <c r="O7" i="1"/>
  <c r="J7" i="1"/>
  <c r="J8" i="1"/>
  <c r="U8" i="1" s="1"/>
  <c r="B11" i="1"/>
  <c r="A11" i="1" s="1"/>
  <c r="A10" i="1"/>
  <c r="O8" i="1"/>
  <c r="V8" i="1" s="1"/>
  <c r="T6" i="1"/>
  <c r="V6" i="1" s="1"/>
  <c r="B12" i="1"/>
  <c r="A12" i="1" s="1"/>
  <c r="U6" i="1" l="1"/>
  <c r="W6" i="1"/>
  <c r="T7" i="1"/>
  <c r="V7" i="1" s="1"/>
  <c r="J9" i="1"/>
  <c r="U9" i="1" s="1"/>
  <c r="T8" i="1"/>
  <c r="W8" i="1" s="1"/>
  <c r="O9" i="1"/>
  <c r="V9" i="1" s="1"/>
  <c r="B13" i="1"/>
  <c r="A13" i="1" s="1"/>
  <c r="U7" i="1" l="1"/>
  <c r="W7" i="1"/>
  <c r="J10" i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<sst xmlns="http://schemas.openxmlformats.org/spreadsheetml/2006/main" count="896" uniqueCount="156">
  <si>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</si>
  <si>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</si>
  <si>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</si>
  <si>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</si>
  <si>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</si>
  <si>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</si>
  <si>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</si>
  <si>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</si>
  <si>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</si>
  <si>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</si>
  <si>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</si>
  <si>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</si>
  <si>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</si>
  <si>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</si>
  <si>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</si>
  <si>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</si>
  <si>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</si>
  <si>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</si>
  <si>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</si>
  <si>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</si>
  <si>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</si>
  <si>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</si>
  <si>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</si>
  <si>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</si>
  <si>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</si>
  <si>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</si>
  <si>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</si>
  <si>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</si>
  <si>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</si>
  <si>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</si>
  <si>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</si>
  <si>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</si>
  <si>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</si>
  <si>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</si>
  <si>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</si>
  <si>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</si>
  <si>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</si>
  <si>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</si>
  <si>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</si>
  <si>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</si>
  <si>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</si>
  <si>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</si>
  <si>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</si>
  <si>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</si>
  <si>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</si>
  <si>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</si>
  <si>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</si>
  <si>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</si>
  <si>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</si>
  <si>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</si>
  <si>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</si>
  <si>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</si>
  <si>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</si>
  <si>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</si>
  <si>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</si>
  <si>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</si>
  <si>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</si>
  <si>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</si>
  <si>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</si>
  <si>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</si>
  <si>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</si>
  <si>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</si>
  <si>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</si>
  <si>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</si>
  <si>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</si>
  <si>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</si>
  <si>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</si>
  <si>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</si>
  <si>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</si>
  <si>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</si>
  <si>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</si>
  <si>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</si>
  <si>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</si>
  <si>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</si>
  <si>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</si>
  <si>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</si>
  <si>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</si>
  <si>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</si>
  <si>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</si>
  <si>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</si>
  <si>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</si>
  <si>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</si>
  <si>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</si>
  <si>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</si>
  <si>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</si>
  <si>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</si>
  <si>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</si>
  <si>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</si>
  <si>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</si>
  <si>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</si>
  <si>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</si>
  <si>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</si>
  <si>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</si>
  <si>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</si>
  <si>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</si>
  <si>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</si>
  <si>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</si>
  <si>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</si>
  <si>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</si>
  <si>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</si>
  <si>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</si>
  <si>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</si>
  <si>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</si>
  <si>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</si>
  <si>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</si>
  <si>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</si>
  <si>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</si>
  <si>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</si>
  <si>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</si>
  <si>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</si>
  <si>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</si>
  <si>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</si>
  <si>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</si>
  <si>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</si>
  <si>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</si>
  <si>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</si>
  <si>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</si>
  <si>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</si>
  <si>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</si>
  <si>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</si>
  <si>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</si>
  <si>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</si>
  <si>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</si>
  <si>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</si>
  <si>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</si>
  <si>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</si>
  <si>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</si>
  <si>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</si>
  <si>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</si>
  <si>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</si>
  <si>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</si>
  <si>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</si>
  <si>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</si>
  <si>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</si>
  <si>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</si>
  <si>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</si>
  <si>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</si>
  <si>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</si>
  <si>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</si>
  <si>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</si>
  <si>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</si>
  <si>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りょうすけ</t>
  </si>
  <si>
    <t>りょうすけ</t>
    <phoneticPr fontId="1"/>
  </si>
  <si>
    <t>てんちゃん</t>
  </si>
  <si>
    <t>てんちゃん</t>
    <phoneticPr fontId="1"/>
  </si>
  <si>
    <t>ロン</t>
  </si>
  <si>
    <t>放銃</t>
  </si>
  <si>
    <t>01</t>
  </si>
  <si>
    <t>02</t>
  </si>
  <si>
    <t>ツモ</t>
  </si>
  <si>
    <t>ツモ支払</t>
  </si>
  <si>
    <t>*</t>
  </si>
  <si>
    <t>52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</si>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</sst>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りょうすけ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てんちゃん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りょうすけ</v>
      </c>
      <c r="W2" s="16" t="str">
        <f>$P$1</f>
        <v>てんちゃん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 t="s">
        <v>145</v>
      </c>
      <c r="G4" s="9">
        <v>8000</v>
      </c>
      <c r="H4" s="9"/>
      <c r="I4" s="55">
        <v>0</v>
      </c>
      <c r="J4" s="21">
        <f>IF(COUNTA($F4,$K4,$P4)&gt;0,J3+SUM(G4:I4),"")</f>
        <v>43000</v>
      </c>
      <c r="K4" s="8"/>
      <c r="L4" s="9"/>
      <c r="M4" s="9"/>
      <c r="N4" s="55"/>
      <c r="O4" s="21">
        <f>IF(COUNTA($F4,$K4,$P4)&gt;0,O3+SUM(L4:N4),"")</f>
        <v>35000</v>
      </c>
      <c r="P4" s="8" t="s">
        <v>146</v>
      </c>
      <c r="Q4" s="9">
        <v>-8000</v>
      </c>
      <c r="R4" s="9"/>
      <c r="S4" s="55">
        <v>0</v>
      </c>
      <c r="T4" s="21">
        <f>IF(COUNTA($F4,$K4,$P4)&gt;0,T3+SUM(Q4:S4),"")</f>
        <v>27000</v>
      </c>
      <c r="U4" s="60">
        <f>IF($J4="","",ROUND(($J4-$J$3)/1000,1)+(_xlfn.RANK.AVG($J4,($J4,$O4,$T4),1)-2)*20)</f>
        <v>28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-28</v>
      </c>
      <c r="Y4" s="8"/>
      <c r="Z4" s="41"/>
      <c r="AA4" s="32">
        <v>1</v>
      </c>
      <c r="AB4" s="32"/>
      <c r="AC4" s="32">
        <v>4</v>
      </c>
      <c r="AD4" s="36">
        <v>40</v>
      </c>
      <c r="AE4" s="47" t="s">
        <v>147</v>
      </c>
      <c r="AF4" s="48" t="s">
        <v>148</v>
      </c>
      <c r="AG4" s="48" t="s">
        <v>86</v>
      </c>
      <c r="AH4" s="48" t="s">
        <v>82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149</v>
      </c>
      <c r="G5" s="9">
        <v>24000</v>
      </c>
      <c r="H5" s="9"/>
      <c r="I5" s="55">
        <v>0</v>
      </c>
      <c r="J5" s="21">
        <f t="shared" ref="J5:J30" si="2">IF(COUNTA($F5,$K5,$P5)&gt;0,J4+SUM(G5:I5),"")</f>
        <v>67000</v>
      </c>
      <c r="K5" s="8" t="s">
        <v>150</v>
      </c>
      <c r="L5" s="9">
        <v>-12000</v>
      </c>
      <c r="M5" s="9"/>
      <c r="N5" s="55">
        <v>0</v>
      </c>
      <c r="O5" s="21">
        <f t="shared" ref="O5:O30" si="3">IF(COUNTA($F5,$K5,$P5)&gt;0,O4+SUM(L5:N5),"")</f>
        <v>23000</v>
      </c>
      <c r="P5" s="8" t="s">
        <v>150</v>
      </c>
      <c r="Q5" s="9">
        <v>-12000</v>
      </c>
      <c r="R5" s="9"/>
      <c r="S5" s="55">
        <v>0</v>
      </c>
      <c r="T5" s="21">
        <f t="shared" ref="T5:T30" si="4">IF(COUNTA($F5,$K5,$P5)&gt;0,T4+SUM(Q5:S5),"")</f>
        <v>15000</v>
      </c>
      <c r="U5" s="60">
        <f>IF($J5="","",ROUND(($J5-$J$3)/1000,1)+(_xlfn.RANK.AVG($J5,($J5,$O5,$T5),1)-2)*20)</f>
        <v>52</v>
      </c>
      <c r="V5" s="61">
        <f>IF($O5="","",ROUND(($O5-$O$3)/1000,1)+(_xlfn.RANK.AVG($O5,($J5,$O5,$T5),1)-2)*20)</f>
        <v>-12</v>
      </c>
      <c r="W5" s="62">
        <f>IF($T5="","",ROUND(($T5-$T$3)/1000,1)+(_xlfn.RANK.AVG($T5,($J5,$O5,$T5),1)-2)*20)</f>
        <v>-40</v>
      </c>
      <c r="Y5" s="8"/>
      <c r="Z5" s="41"/>
      <c r="AA5" s="32">
        <v>1</v>
      </c>
      <c r="AB5" s="32"/>
      <c r="AC5" s="32">
        <v>10</v>
      </c>
      <c r="AD5" s="36" t="s">
        <v>151</v>
      </c>
      <c r="AE5" s="47" t="s">
        <v>147</v>
      </c>
      <c r="AF5" s="48" t="s">
        <v>83</v>
      </c>
      <c r="AG5" s="48" t="s">
        <v>148</v>
      </c>
      <c r="AH5" s="48" t="s">
        <v>102</v>
      </c>
      <c r="AI5" s="48" t="s">
        <v>82</v>
      </c>
      <c r="AJ5" s="48" t="s">
        <v>80</v>
      </c>
      <c r="AK5" s="48" t="s">
        <v>80</v>
      </c>
      <c r="AL5" s="48" t="s">
        <v>81</v>
      </c>
      <c r="AM5" s="48" t="s">
        <v>81</v>
      </c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139</v>
      </c>
      <c r="F6" s="8" t="s">
        <v>145</v>
      </c>
      <c r="G6" s="9">
        <v>4800</v>
      </c>
      <c r="H6" s="9"/>
      <c r="I6" s="55">
        <v>1000</v>
      </c>
      <c r="J6" s="21">
        <f t="shared" si="2"/>
        <v>72800</v>
      </c>
      <c r="K6" s="8"/>
      <c r="L6" s="9"/>
      <c r="M6" s="9"/>
      <c r="N6" s="55"/>
      <c r="O6" s="21">
        <f t="shared" si="3"/>
        <v>23000</v>
      </c>
      <c r="P6" s="8" t="s">
        <v>146</v>
      </c>
      <c r="Q6" s="9">
        <v>-4800</v>
      </c>
      <c r="R6" s="9"/>
      <c r="S6" s="55">
        <v>-1000</v>
      </c>
      <c r="T6" s="21">
        <f t="shared" si="4"/>
        <v>9200</v>
      </c>
      <c r="U6" s="60">
        <f>IF($J6="","",ROUND(($J6-$J$3)/1000,1)+(_xlfn.RANK.AVG($J6,($J6,$O6,$T6),1)-2)*20)</f>
        <v>57.8</v>
      </c>
      <c r="V6" s="61">
        <f>IF($O6="","",ROUND(($O6-$O$3)/1000,1)+(_xlfn.RANK.AVG($O6,($J6,$O6,$T6),1)-2)*20)</f>
        <v>-12</v>
      </c>
      <c r="W6" s="62">
        <f>IF($T6="","",ROUND(($T6-$T$3)/1000,1)+(_xlfn.RANK.AVG($T6,($J6,$O6,$T6),1)-2)*20)</f>
        <v>-45.8</v>
      </c>
      <c r="Y6" s="8"/>
      <c r="Z6" s="41"/>
      <c r="AA6" s="32"/>
      <c r="AB6" s="32"/>
      <c r="AC6" s="32">
        <v>3</v>
      </c>
      <c r="AD6" s="36">
        <v>25</v>
      </c>
      <c r="AE6" s="47" t="s">
        <v>102</v>
      </c>
      <c r="AF6" s="48" t="s">
        <v>82</v>
      </c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139</v>
      </c>
      <c r="F7" s="8" t="s">
        <v>145</v>
      </c>
      <c r="G7" s="9">
        <v>18000</v>
      </c>
      <c r="H7" s="9"/>
      <c r="I7" s="55"/>
      <c r="J7" s="21">
        <f t="shared" si="2"/>
        <v>90800</v>
      </c>
      <c r="K7" s="8" t="s">
        <v>146</v>
      </c>
      <c r="L7" s="9">
        <v>-30000</v>
      </c>
      <c r="M7" s="9"/>
      <c r="N7" s="55">
        <v>-2000</v>
      </c>
      <c r="O7" s="21">
        <f t="shared" si="3"/>
        <v>-9000</v>
      </c>
      <c r="P7" s="8" t="s">
        <v>145</v>
      </c>
      <c r="Q7" s="9">
        <v>12000</v>
      </c>
      <c r="R7" s="9"/>
      <c r="S7" s="55">
        <v>2000</v>
      </c>
      <c r="T7" s="21">
        <f t="shared" si="4"/>
        <v>23200</v>
      </c>
      <c r="U7" s="60">
        <f>IF($J7="","",ROUND(($J7-$J$3)/1000,1)+(_xlfn.RANK.AVG($J7,($J7,$O7,$T7),1)-2)*20)</f>
        <v>75.8</v>
      </c>
      <c r="V7" s="61">
        <f>IF($O7="","",ROUND(($O7-$O$3)/1000,1)+(_xlfn.RANK.AVG($O7,($J7,$O7,$T7),1)-2)*20)</f>
        <v>-64</v>
      </c>
      <c r="W7" s="62">
        <f>IF($T7="","",ROUND(($T7-$T$3)/1000,1)+(_xlfn.RANK.AVG($T7,($J7,$O7,$T7),1)-2)*20)</f>
        <v>-11.8</v>
      </c>
      <c r="Y7" s="8"/>
      <c r="Z7" s="41"/>
      <c r="AA7" s="32">
        <v>1</v>
      </c>
      <c r="AB7" s="32"/>
      <c r="AC7" s="32">
        <v>6</v>
      </c>
      <c r="AD7" s="36" t="s">
        <v>151</v>
      </c>
      <c r="AE7" s="47" t="s">
        <v>82</v>
      </c>
      <c r="AF7" s="48" t="s">
        <v>82</v>
      </c>
      <c r="AG7" s="48" t="s">
        <v>87</v>
      </c>
      <c r="AH7" s="48" t="s">
        <v>80</v>
      </c>
      <c r="AI7" s="48" t="s">
        <v>80</v>
      </c>
      <c r="AJ7" s="48" t="s">
        <v>152</v>
      </c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6</v>
      </c>
      <c r="BT7" s="36" t="s">
        <v>151</v>
      </c>
      <c r="BU7" s="47" t="s">
        <v>82</v>
      </c>
      <c r="BV7" s="48" t="s">
        <v>82</v>
      </c>
      <c r="BW7" s="48" t="s">
        <v>87</v>
      </c>
      <c r="BX7" s="48" t="s">
        <v>80</v>
      </c>
      <c r="BY7" s="48" t="s">
        <v>80</v>
      </c>
      <c r="BZ7" s="48" t="s">
        <v>152</v>
      </c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55"/>
      <c r="J8" s="21" t="str">
        <f t="shared" si="2"/>
        <v/>
      </c>
      <c r="K8" s="8"/>
      <c r="L8" s="9"/>
      <c r="M8" s="9"/>
      <c r="N8" s="55"/>
      <c r="O8" s="21" t="str">
        <f t="shared" si="3"/>
        <v/>
      </c>
      <c r="P8" s="8"/>
      <c r="Q8" s="9"/>
      <c r="R8" s="9"/>
      <c r="S8" s="55"/>
      <c r="T8" s="21" t="str">
        <f t="shared" si="4"/>
        <v/>
      </c>
      <c r="U8" s="60" t="str">
        <f>IF($J8="","",ROUND(($J8-$J$3)/1000,1)+(_xlfn.RANK.AVG($J8,($J8,$O8,$T8),1)-2)*20)</f>
        <v/>
      </c>
      <c r="V8" s="61" t="str">
        <f>IF($O8="","",ROUND(($O8-$O$3)/1000,1)+(_xlfn.RANK.AVG($O8,($J8,$O8,$T8),1)-2)*20)</f>
        <v/>
      </c>
      <c r="W8" s="62" t="str">
        <f>IF($T8="","",ROUND(($T8-$T$3)/1000,1)+(_xlfn.RANK.AVG($T8,($J8,$O8,$T8),1)-2)*20)</f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179B6-4912-4D53-9EE6-384F0D32A9CC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りょうすけ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てんちゃん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りょうすけ</v>
      </c>
      <c r="W2" s="16" t="str">
        <f>$P$1</f>
        <v>てんちゃん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 t="s">
        <v>155</v>
      </c>
      <c r="G4" s="9">
        <v>-3000</v>
      </c>
      <c r="H4" s="9"/>
      <c r="I4" s="55"/>
      <c r="J4" s="21">
        <f>IF(COUNTA($F4,$K4,$P4)&gt;0,J3+SUM(G4:I4),"")</f>
        <v>32000</v>
      </c>
      <c r="K4" s="8" t="s">
        <v>155</v>
      </c>
      <c r="L4" s="9">
        <v>1500</v>
      </c>
      <c r="M4" s="9"/>
      <c r="N4" s="55"/>
      <c r="O4" s="21">
        <f>IF(COUNTA($F4,$K4,$P4)&gt;0,O3+SUM(L4:N4),"")</f>
        <v>36500</v>
      </c>
      <c r="P4" s="8" t="s">
        <v>155</v>
      </c>
      <c r="Q4" s="9">
        <v>1500</v>
      </c>
      <c r="R4" s="9"/>
      <c r="S4" s="55"/>
      <c r="T4" s="21">
        <f>IF(COUNTA($F4,$K4,$P4)&gt;0,T3+SUM(Q4:S4),"")</f>
        <v>36500</v>
      </c>
      <c r="U4" s="60">
        <f>IF($J4="","",ROUND(($J4-$J$3)/1000,1)+(_xlfn.RANK.AVG($J4,($J4,$O4,$T4),1)-2)*20)</f>
        <v>-23</v>
      </c>
      <c r="V4" s="61">
        <f>IF($O4="","",ROUND(($O4-$O$3)/1000,1)+(_xlfn.RANK.AVG($O4,($J4,$O4,$T4),1)-2)*20)</f>
        <v>11.5</v>
      </c>
      <c r="W4" s="62">
        <f>IF($T4="","",ROUND(($T4-$T$3)/1000,1)+(_xlfn.RANK.AVG($T4,($J4,$O4,$T4),1)-2)*20)</f>
        <v>11.5</v>
      </c>
      <c r="Y4" s="8" t="s">
        <v>153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154</v>
      </c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154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143</v>
      </c>
      <c r="F5" s="8" t="s">
        <v>145</v>
      </c>
      <c r="G5" s="9">
        <v>8000</v>
      </c>
      <c r="H5" s="9"/>
      <c r="I5" s="55">
        <v>1000</v>
      </c>
      <c r="J5" s="21">
        <f t="shared" ref="J5:J30" si="2">IF(COUNTA($F5,$K5,$P5)&gt;0,J4+SUM(G5:I5),"")</f>
        <v>41000</v>
      </c>
      <c r="K5" s="8" t="s">
        <v>146</v>
      </c>
      <c r="L5" s="9">
        <v>-8000</v>
      </c>
      <c r="M5" s="9"/>
      <c r="N5" s="55">
        <v>-1000</v>
      </c>
      <c r="O5" s="21">
        <f t="shared" ref="O5:O30" si="3">IF(COUNTA($F5,$K5,$P5)&gt;0,O4+SUM(L5:N5),"")</f>
        <v>27500</v>
      </c>
      <c r="P5" s="8"/>
      <c r="Q5" s="9"/>
      <c r="R5" s="9"/>
      <c r="S5" s="55"/>
      <c r="T5" s="21">
        <f t="shared" ref="T5:T30" si="4">IF(COUNTA($F5,$K5,$P5)&gt;0,T4+SUM(Q5:S5),"")</f>
        <v>36500</v>
      </c>
      <c r="U5" s="60">
        <f>IF($J5="","",ROUND(($J5-$J$3)/1000,1)+(_xlfn.RANK.AVG($J5,($J5,$O5,$T5),1)-2)*20)</f>
        <v>26</v>
      </c>
      <c r="V5" s="61">
        <f>IF($O5="","",ROUND(($O5-$O$3)/1000,1)+(_xlfn.RANK.AVG($O5,($J5,$O5,$T5),1)-2)*20)</f>
        <v>-27.5</v>
      </c>
      <c r="W5" s="62">
        <f>IF($T5="","",ROUND(($T5-$T$3)/1000,1)+(_xlfn.RANK.AVG($T5,($J5,$O5,$T5),1)-2)*20)</f>
        <v>1.5</v>
      </c>
      <c r="Y5" s="8"/>
      <c r="Z5" s="41"/>
      <c r="AA5" s="32">
        <v>1</v>
      </c>
      <c r="AB5" s="32"/>
      <c r="AC5" s="32">
        <v>5</v>
      </c>
      <c r="AD5" s="36" t="s">
        <v>151</v>
      </c>
      <c r="AE5" s="47" t="s">
        <v>147</v>
      </c>
      <c r="AF5" s="48" t="s">
        <v>148</v>
      </c>
      <c r="AG5" s="48" t="s">
        <v>87</v>
      </c>
      <c r="AH5" s="48" t="s">
        <v>81</v>
      </c>
      <c r="AI5" s="48" t="s">
        <v>85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139</v>
      </c>
      <c r="F6" s="8"/>
      <c r="G6" s="9"/>
      <c r="H6" s="9"/>
      <c r="I6" s="55"/>
      <c r="J6" s="21">
        <f t="shared" si="2"/>
        <v>41000</v>
      </c>
      <c r="K6" s="8" t="s">
        <v>145</v>
      </c>
      <c r="L6" s="9">
        <v>12000</v>
      </c>
      <c r="M6" s="9"/>
      <c r="N6" s="55">
        <v>0</v>
      </c>
      <c r="O6" s="21">
        <f t="shared" si="3"/>
        <v>39500</v>
      </c>
      <c r="P6" s="8" t="s">
        <v>146</v>
      </c>
      <c r="Q6" s="9">
        <v>-12000</v>
      </c>
      <c r="R6" s="9"/>
      <c r="S6" s="55">
        <v>0</v>
      </c>
      <c r="T6" s="21">
        <f t="shared" si="4"/>
        <v>24500</v>
      </c>
      <c r="U6" s="60">
        <f>IF($J6="","",ROUND(($J6-$J$3)/1000,1)+(_xlfn.RANK.AVG($J6,($J6,$O6,$T6),1)-2)*20)</f>
        <v>26</v>
      </c>
      <c r="V6" s="61">
        <f>IF($O6="","",ROUND(($O6-$O$3)/1000,1)+(_xlfn.RANK.AVG($O6,($J6,$O6,$T6),1)-2)*20)</f>
        <v>4.5</v>
      </c>
      <c r="W6" s="62">
        <f>IF($T6="","",ROUND(($T6-$T$3)/1000,1)+(_xlfn.RANK.AVG($T6,($J6,$O6,$T6),1)-2)*20)</f>
        <v>-30.5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6</v>
      </c>
      <c r="AY6" s="36" t="s">
        <v>151</v>
      </c>
      <c r="AZ6" s="47" t="s">
        <v>147</v>
      </c>
      <c r="BA6" s="48" t="s">
        <v>93</v>
      </c>
      <c r="BB6" s="48" t="s">
        <v>152</v>
      </c>
      <c r="BC6" s="48" t="s">
        <v>148</v>
      </c>
      <c r="BD6" s="48" t="s">
        <v>80</v>
      </c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141</v>
      </c>
      <c r="F7" s="8" t="s">
        <v>146</v>
      </c>
      <c r="G7" s="9">
        <v>-8000</v>
      </c>
      <c r="H7" s="9"/>
      <c r="I7" s="55">
        <v>0</v>
      </c>
      <c r="J7" s="21">
        <f t="shared" si="2"/>
        <v>33000</v>
      </c>
      <c r="K7" s="8"/>
      <c r="L7" s="9"/>
      <c r="M7" s="9"/>
      <c r="N7" s="55"/>
      <c r="O7" s="21">
        <f t="shared" si="3"/>
        <v>39500</v>
      </c>
      <c r="P7" s="8" t="s">
        <v>145</v>
      </c>
      <c r="Q7" s="9">
        <v>8000</v>
      </c>
      <c r="R7" s="9"/>
      <c r="S7" s="55">
        <v>0</v>
      </c>
      <c r="T7" s="21">
        <f t="shared" si="4"/>
        <v>32500</v>
      </c>
      <c r="U7" s="60">
        <f>IF($J7="","",ROUND(($J7-$J$3)/1000,1)+(_xlfn.RANK.AVG($J7,($J7,$O7,$T7),1)-2)*20)</f>
        <v>-2</v>
      </c>
      <c r="V7" s="61">
        <f>IF($O7="","",ROUND(($O7-$O$3)/1000,1)+(_xlfn.RANK.AVG($O7,($J7,$O7,$T7),1)-2)*20)</f>
        <v>24.5</v>
      </c>
      <c r="W7" s="62">
        <f>IF($T7="","",ROUND(($T7-$T$3)/1000,1)+(_xlfn.RANK.AVG($T7,($J7,$O7,$T7),1)-2)*20)</f>
        <v>-22.5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4</v>
      </c>
      <c r="BT7" s="36">
        <v>40</v>
      </c>
      <c r="BU7" s="47" t="s">
        <v>85</v>
      </c>
      <c r="BV7" s="48" t="s">
        <v>147</v>
      </c>
      <c r="BW7" s="48" t="s">
        <v>80</v>
      </c>
      <c r="BX7" s="48" t="s">
        <v>82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143</v>
      </c>
      <c r="F8" s="8" t="s">
        <v>149</v>
      </c>
      <c r="G8" s="9">
        <v>16000</v>
      </c>
      <c r="H8" s="9"/>
      <c r="I8" s="55">
        <v>0</v>
      </c>
      <c r="J8" s="21">
        <f t="shared" si="2"/>
        <v>49000</v>
      </c>
      <c r="K8" s="8" t="s">
        <v>150</v>
      </c>
      <c r="L8" s="9">
        <v>-6000</v>
      </c>
      <c r="M8" s="9"/>
      <c r="N8" s="55">
        <v>0</v>
      </c>
      <c r="O8" s="21">
        <f t="shared" si="3"/>
        <v>33500</v>
      </c>
      <c r="P8" s="8" t="s">
        <v>150</v>
      </c>
      <c r="Q8" s="9">
        <v>-10000</v>
      </c>
      <c r="R8" s="9"/>
      <c r="S8" s="55">
        <v>0</v>
      </c>
      <c r="T8" s="21">
        <f t="shared" si="4"/>
        <v>22500</v>
      </c>
      <c r="U8" s="60">
        <f>IF($J8="","",ROUND(($J8-$J$3)/1000,1)+(_xlfn.RANK.AVG($J8,($J8,$O8,$T8),1)-2)*20)</f>
        <v>34</v>
      </c>
      <c r="V8" s="61">
        <f>IF($O8="","",ROUND(($O8-$O$3)/1000,1)+(_xlfn.RANK.AVG($O8,($J8,$O8,$T8),1)-2)*20)</f>
        <v>-1.5</v>
      </c>
      <c r="W8" s="62">
        <f>IF($T8="","",ROUND(($T8-$T$3)/1000,1)+(_xlfn.RANK.AVG($T8,($J8,$O8,$T8),1)-2)*20)</f>
        <v>-32.5</v>
      </c>
      <c r="Y8" s="8"/>
      <c r="Z8" s="41"/>
      <c r="AA8" s="32">
        <v>1</v>
      </c>
      <c r="AB8" s="32"/>
      <c r="AC8" s="32">
        <v>9</v>
      </c>
      <c r="AD8" s="36" t="s">
        <v>151</v>
      </c>
      <c r="AE8" s="47" t="s">
        <v>147</v>
      </c>
      <c r="AF8" s="48" t="s">
        <v>83</v>
      </c>
      <c r="AG8" s="48" t="s">
        <v>148</v>
      </c>
      <c r="AH8" s="48" t="s">
        <v>105</v>
      </c>
      <c r="AI8" s="48" t="s">
        <v>87</v>
      </c>
      <c r="AJ8" s="48" t="s">
        <v>82</v>
      </c>
      <c r="AK8" s="48" t="s">
        <v>82</v>
      </c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139</v>
      </c>
      <c r="F9" s="8"/>
      <c r="G9" s="9"/>
      <c r="H9" s="9"/>
      <c r="I9" s="55"/>
      <c r="J9" s="21">
        <f t="shared" si="2"/>
        <v>49000</v>
      </c>
      <c r="K9" s="8" t="s">
        <v>146</v>
      </c>
      <c r="L9" s="9">
        <v>-3900</v>
      </c>
      <c r="M9" s="9"/>
      <c r="N9" s="55">
        <v>0</v>
      </c>
      <c r="O9" s="21">
        <f t="shared" si="3"/>
        <v>29600</v>
      </c>
      <c r="P9" s="8" t="s">
        <v>145</v>
      </c>
      <c r="Q9" s="9">
        <v>3900</v>
      </c>
      <c r="R9" s="9"/>
      <c r="S9" s="55">
        <v>0</v>
      </c>
      <c r="T9" s="21">
        <f t="shared" si="4"/>
        <v>26400</v>
      </c>
      <c r="U9" s="60">
        <f>IF($J9="","",ROUND(($J9-$J$3)/1000,1)+(_xlfn.RANK.AVG($J9,($J9,$O9,$T9),1)-2)*20)</f>
        <v>34</v>
      </c>
      <c r="V9" s="61">
        <f>IF($O9="","",ROUND(($O9-$O$3)/1000,1)+(_xlfn.RANK.AVG($O9,($J9,$O9,$T9),1)-2)*20)</f>
        <v>-5.4</v>
      </c>
      <c r="W9" s="62">
        <f>IF($T9="","",ROUND(($T9-$T$3)/1000,1)+(_xlfn.RANK.AVG($T9,($J9,$O9,$T9),1)-2)*20)</f>
        <v>-28.6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3</v>
      </c>
      <c r="BT9" s="36">
        <v>30</v>
      </c>
      <c r="BU9" s="47" t="s">
        <v>87</v>
      </c>
      <c r="BV9" s="48" t="s">
        <v>82</v>
      </c>
      <c r="BW9" s="48" t="s">
        <v>82</v>
      </c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141</v>
      </c>
      <c r="F10" s="8" t="s">
        <v>155</v>
      </c>
      <c r="G10" s="9">
        <v>3000</v>
      </c>
      <c r="H10" s="9"/>
      <c r="I10" s="55"/>
      <c r="J10" s="21">
        <f t="shared" si="2"/>
        <v>52000</v>
      </c>
      <c r="K10" s="8" t="s">
        <v>155</v>
      </c>
      <c r="L10" s="9">
        <v>-1500</v>
      </c>
      <c r="M10" s="9"/>
      <c r="N10" s="55"/>
      <c r="O10" s="21">
        <f t="shared" si="3"/>
        <v>28100</v>
      </c>
      <c r="P10" s="8" t="s">
        <v>155</v>
      </c>
      <c r="Q10" s="9">
        <v>-1500</v>
      </c>
      <c r="R10" s="9"/>
      <c r="S10" s="55"/>
      <c r="T10" s="21">
        <f t="shared" si="4"/>
        <v>24900</v>
      </c>
      <c r="U10" s="60">
        <f>IF($J10="","",ROUND(($J10-$J$3)/1000,1)+(_xlfn.RANK.AVG($J10,($J10,$O10,$T10),1)-2)*20)</f>
        <v>37</v>
      </c>
      <c r="V10" s="61">
        <f>IF($O10="","",ROUND(($O10-$O$3)/1000,1)+(_xlfn.RANK.AVG($O10,($J10,$O10,$T10),1)-2)*20)</f>
        <v>-6.9</v>
      </c>
      <c r="W10" s="62">
        <f>IF($T10="","",ROUND(($T10-$T$3)/1000,1)+(_xlfn.RANK.AVG($T10,($J10,$O10,$T10),1)-2)*20)</f>
        <v>-30.1</v>
      </c>
      <c r="Y10" s="8" t="s">
        <v>154</v>
      </c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153</v>
      </c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153</v>
      </c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05CD61D2-26F7-4B8F-BF6F-A5B76222E8D1}">
      <formula1>$U$2:$W$2</formula1>
    </dataValidation>
    <dataValidation type="list" showInputMessage="1" showErrorMessage="1" sqref="K4:K30 P4:P30 F4:F30" xr:uid="{53095241-34F0-4B18-9487-E34220777F3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A22BA-6114-4C61-8888-85A8340F219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りょうすけ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てんちゃん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りょうすけ</v>
      </c>
      <c r="W2" s="16" t="str">
        <f>$P$1</f>
        <v>てんちゃん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/>
      <c r="G4" s="9"/>
      <c r="H4" s="9"/>
      <c r="I4" s="55"/>
      <c r="J4" s="21">
        <f>IF(COUNTA($F4,$K4,$P4)&gt;0,J3+SUM(G4:I4),"")</f>
        <v>35000</v>
      </c>
      <c r="K4" s="8" t="s">
        <v>146</v>
      </c>
      <c r="L4" s="9">
        <v>-7700</v>
      </c>
      <c r="M4" s="9"/>
      <c r="N4" s="55">
        <v>0</v>
      </c>
      <c r="O4" s="21">
        <f>IF(COUNTA($F4,$K4,$P4)&gt;0,O3+SUM(L4:N4),"")</f>
        <v>27300</v>
      </c>
      <c r="P4" s="8" t="s">
        <v>145</v>
      </c>
      <c r="Q4" s="9">
        <v>7700</v>
      </c>
      <c r="R4" s="9"/>
      <c r="S4" s="55">
        <v>0</v>
      </c>
      <c r="T4" s="21">
        <f>IF(COUNTA($F4,$K4,$P4)&gt;0,T3+SUM(Q4:S4),"")</f>
        <v>42700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-27.7</v>
      </c>
      <c r="W4" s="62">
        <f>IF($T4="","",ROUND(($T4-$T$3)/1000,1)+(_xlfn.RANK.AVG($T4,($J4,$O4,$T4),1)-2)*20)</f>
        <v>27.7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4</v>
      </c>
      <c r="BT4" s="36">
        <v>30</v>
      </c>
      <c r="BU4" s="47" t="s">
        <v>87</v>
      </c>
      <c r="BV4" s="48" t="s">
        <v>152</v>
      </c>
      <c r="BW4" s="48" t="s">
        <v>105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/>
      <c r="G5" s="9"/>
      <c r="H5" s="9"/>
      <c r="I5" s="55"/>
      <c r="J5" s="21">
        <f t="shared" ref="J5:J30" si="2">IF(COUNTA($F5,$K5,$P5)&gt;0,J4+SUM(G5:I5),"")</f>
        <v>35000</v>
      </c>
      <c r="K5" s="8" t="s">
        <v>146</v>
      </c>
      <c r="L5" s="9">
        <v>-12000</v>
      </c>
      <c r="M5" s="9"/>
      <c r="N5" s="55">
        <v>0</v>
      </c>
      <c r="O5" s="21">
        <f t="shared" ref="O5:O30" si="3">IF(COUNTA($F5,$K5,$P5)&gt;0,O4+SUM(L5:N5),"")</f>
        <v>15300</v>
      </c>
      <c r="P5" s="8" t="s">
        <v>145</v>
      </c>
      <c r="Q5" s="9">
        <v>12000</v>
      </c>
      <c r="R5" s="9"/>
      <c r="S5" s="55">
        <v>0</v>
      </c>
      <c r="T5" s="21">
        <f t="shared" ref="T5:T30" si="4">IF(COUNTA($F5,$K5,$P5)&gt;0,T4+SUM(Q5:S5),"")</f>
        <v>54700</v>
      </c>
      <c r="U5" s="60">
        <f>IF($J5="","",ROUND(($J5-$J$3)/1000,1)+(_xlfn.RANK.AVG($J5,($J5,$O5,$T5),1)-2)*20)</f>
        <v>0</v>
      </c>
      <c r="V5" s="61">
        <f>IF($O5="","",ROUND(($O5-$O$3)/1000,1)+(_xlfn.RANK.AVG($O5,($J5,$O5,$T5),1)-2)*20)</f>
        <v>-39.700000000000003</v>
      </c>
      <c r="W5" s="62">
        <f>IF($T5="","",ROUND(($T5-$T$3)/1000,1)+(_xlfn.RANK.AVG($T5,($J5,$O5,$T5),1)-2)*20)</f>
        <v>39.700000000000003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6</v>
      </c>
      <c r="BT5" s="36" t="s">
        <v>151</v>
      </c>
      <c r="BU5" s="47" t="s">
        <v>147</v>
      </c>
      <c r="BV5" s="48" t="s">
        <v>82</v>
      </c>
      <c r="BW5" s="48" t="s">
        <v>152</v>
      </c>
      <c r="BX5" s="48" t="s">
        <v>80</v>
      </c>
      <c r="BY5" s="48" t="s">
        <v>80</v>
      </c>
      <c r="BZ5" s="48" t="s">
        <v>80</v>
      </c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/>
      <c r="G6" s="9"/>
      <c r="H6" s="9"/>
      <c r="I6" s="55"/>
      <c r="J6" s="21">
        <f t="shared" si="2"/>
        <v>35000</v>
      </c>
      <c r="K6" s="8" t="s">
        <v>146</v>
      </c>
      <c r="L6" s="9">
        <v>-12000</v>
      </c>
      <c r="M6" s="9"/>
      <c r="N6" s="55">
        <v>0</v>
      </c>
      <c r="O6" s="21">
        <f t="shared" si="3"/>
        <v>3300</v>
      </c>
      <c r="P6" s="8" t="s">
        <v>145</v>
      </c>
      <c r="Q6" s="9">
        <v>12000</v>
      </c>
      <c r="R6" s="9"/>
      <c r="S6" s="55">
        <v>0</v>
      </c>
      <c r="T6" s="21">
        <f t="shared" si="4"/>
        <v>66700</v>
      </c>
      <c r="U6" s="60">
        <f>IF($J6="","",ROUND(($J6-$J$3)/1000,1)+(_xlfn.RANK.AVG($J6,($J6,$O6,$T6),1)-2)*20)</f>
        <v>0</v>
      </c>
      <c r="V6" s="61">
        <f>IF($O6="","",ROUND(($O6-$O$3)/1000,1)+(_xlfn.RANK.AVG($O6,($J6,$O6,$T6),1)-2)*20)</f>
        <v>-51.7</v>
      </c>
      <c r="W6" s="62">
        <f>IF($T6="","",ROUND(($T6-$T$3)/1000,1)+(_xlfn.RANK.AVG($T6,($J6,$O6,$T6),1)-2)*20)</f>
        <v>51.7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5</v>
      </c>
      <c r="BT6" s="36" t="s">
        <v>151</v>
      </c>
      <c r="BU6" s="47" t="s">
        <v>147</v>
      </c>
      <c r="BV6" s="48" t="s">
        <v>87</v>
      </c>
      <c r="BW6" s="48" t="s">
        <v>82</v>
      </c>
      <c r="BX6" s="48" t="s">
        <v>81</v>
      </c>
      <c r="BY6" s="48" t="s">
        <v>80</v>
      </c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143</v>
      </c>
      <c r="F7" s="8"/>
      <c r="G7" s="9"/>
      <c r="H7" s="9"/>
      <c r="I7" s="55"/>
      <c r="J7" s="21">
        <f t="shared" si="2"/>
        <v>35000</v>
      </c>
      <c r="K7" s="8" t="s">
        <v>146</v>
      </c>
      <c r="L7" s="9">
        <v>-12000</v>
      </c>
      <c r="M7" s="9"/>
      <c r="N7" s="55">
        <v>-1000</v>
      </c>
      <c r="O7" s="21">
        <f t="shared" si="3"/>
        <v>-9700</v>
      </c>
      <c r="P7" s="8" t="s">
        <v>145</v>
      </c>
      <c r="Q7" s="9">
        <v>12000</v>
      </c>
      <c r="R7" s="9"/>
      <c r="S7" s="55">
        <v>1000</v>
      </c>
      <c r="T7" s="21">
        <f t="shared" si="4"/>
        <v>79700</v>
      </c>
      <c r="U7" s="60">
        <f>IF($J7="","",ROUND(($J7-$J$3)/1000,1)+(_xlfn.RANK.AVG($J7,($J7,$O7,$T7),1)-2)*20)</f>
        <v>0</v>
      </c>
      <c r="V7" s="61">
        <f>IF($O7="","",ROUND(($O7-$O$3)/1000,1)+(_xlfn.RANK.AVG($O7,($J7,$O7,$T7),1)-2)*20)</f>
        <v>-64.7</v>
      </c>
      <c r="W7" s="62">
        <f>IF($T7="","",ROUND(($T7-$T$3)/1000,1)+(_xlfn.RANK.AVG($T7,($J7,$O7,$T7),1)-2)*20)</f>
        <v>64.7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151</v>
      </c>
      <c r="BU7" s="47" t="s">
        <v>147</v>
      </c>
      <c r="BV7" s="48" t="s">
        <v>148</v>
      </c>
      <c r="BW7" s="48" t="s">
        <v>82</v>
      </c>
      <c r="BX7" s="48" t="s">
        <v>87</v>
      </c>
      <c r="BY7" s="48" t="s">
        <v>81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55"/>
      <c r="J8" s="21" t="str">
        <f t="shared" si="2"/>
        <v/>
      </c>
      <c r="K8" s="8"/>
      <c r="L8" s="9"/>
      <c r="M8" s="9"/>
      <c r="N8" s="55"/>
      <c r="O8" s="21" t="str">
        <f t="shared" si="3"/>
        <v/>
      </c>
      <c r="P8" s="8"/>
      <c r="Q8" s="9"/>
      <c r="R8" s="9"/>
      <c r="S8" s="55"/>
      <c r="T8" s="21" t="str">
        <f t="shared" si="4"/>
        <v/>
      </c>
      <c r="U8" s="60" t="str">
        <f>IF($J8="","",ROUND(($J8-$J$3)/1000,1)+(_xlfn.RANK.AVG($J8,($J8,$O8,$T8),1)-2)*20)</f>
        <v/>
      </c>
      <c r="V8" s="61" t="str">
        <f>IF($O8="","",ROUND(($O8-$O$3)/1000,1)+(_xlfn.RANK.AVG($O8,($J8,$O8,$T8),1)-2)*20)</f>
        <v/>
      </c>
      <c r="W8" s="62" t="str">
        <f>IF($T8="","",ROUND(($T8-$T$3)/1000,1)+(_xlfn.RANK.AVG($T8,($J8,$O8,$T8),1)-2)*20)</f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BB2E6E2B-022B-4AB4-93A6-3AAFB338DC0B}">
      <formula1>"ロン,ツモ,放銃,ツモ支払,流局,チョンボ"</formula1>
    </dataValidation>
    <dataValidation type="list" allowBlank="1" showInputMessage="1" showErrorMessage="1" sqref="E4:E30" xr:uid="{F5DF49C7-6117-43DA-9880-D0964D52705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DCE86-23E5-4245-9495-08496C28E581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りょうすけ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てんちゃん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りょうすけ</v>
      </c>
      <c r="W2" s="16" t="str">
        <f>$P$1</f>
        <v>てんちゃん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150</v>
      </c>
      <c r="G4" s="9">
        <v>-7500</v>
      </c>
      <c r="H4" s="9"/>
      <c r="I4" s="55">
        <v>0</v>
      </c>
      <c r="J4" s="21">
        <f>IF(COUNTA($F4,$K4,$P4)&gt;0,J3+SUM(G4:I4),"")</f>
        <v>27500</v>
      </c>
      <c r="K4" s="8" t="s">
        <v>150</v>
      </c>
      <c r="L4" s="9">
        <v>-4500</v>
      </c>
      <c r="M4" s="9"/>
      <c r="N4" s="55">
        <v>0</v>
      </c>
      <c r="O4" s="21">
        <f>IF(COUNTA($F4,$K4,$P4)&gt;0,O3+SUM(L4:N4),"")</f>
        <v>30500</v>
      </c>
      <c r="P4" s="8" t="s">
        <v>149</v>
      </c>
      <c r="Q4" s="9">
        <v>12000</v>
      </c>
      <c r="R4" s="9"/>
      <c r="S4" s="55">
        <v>0</v>
      </c>
      <c r="T4" s="21">
        <f>IF(COUNTA($F4,$K4,$P4)&gt;0,T3+SUM(Q4:S4),"")</f>
        <v>47000</v>
      </c>
      <c r="U4" s="60">
        <f>IF($J4="","",ROUND(($J4-$J$3)/1000,1)+(_xlfn.RANK.AVG($J4,($J4,$O4,$T4),1)-2)*20)</f>
        <v>-27.5</v>
      </c>
      <c r="V4" s="61">
        <f>IF($O4="","",ROUND(($O4-$O$3)/1000,1)+(_xlfn.RANK.AVG($O4,($J4,$O4,$T4),1)-2)*20)</f>
        <v>-4.5</v>
      </c>
      <c r="W4" s="62">
        <f>IF($T4="","",ROUND(($T4-$T$3)/1000,1)+(_xlfn.RANK.AVG($T4,($J4,$O4,$T4),1)-2)*20)</f>
        <v>32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6</v>
      </c>
      <c r="BT4" s="36" t="s">
        <v>151</v>
      </c>
      <c r="BU4" s="47" t="s">
        <v>147</v>
      </c>
      <c r="BV4" s="48" t="s">
        <v>83</v>
      </c>
      <c r="BW4" s="48" t="s">
        <v>80</v>
      </c>
      <c r="BX4" s="48" t="s">
        <v>80</v>
      </c>
      <c r="BY4" s="48" t="s">
        <v>80</v>
      </c>
      <c r="BZ4" s="48" t="s">
        <v>152</v>
      </c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145</v>
      </c>
      <c r="G5" s="9">
        <v>12000</v>
      </c>
      <c r="H5" s="9"/>
      <c r="I5" s="55">
        <v>0</v>
      </c>
      <c r="J5" s="21">
        <f t="shared" ref="J5:J30" si="2">IF(COUNTA($F5,$K5,$P5)&gt;0,J4+SUM(G5:I5),"")</f>
        <v>39500</v>
      </c>
      <c r="K5" s="8" t="s">
        <v>146</v>
      </c>
      <c r="L5" s="9">
        <v>-12000</v>
      </c>
      <c r="M5" s="9"/>
      <c r="N5" s="55">
        <v>0</v>
      </c>
      <c r="O5" s="21">
        <f t="shared" ref="O5:O30" si="3">IF(COUNTA($F5,$K5,$P5)&gt;0,O4+SUM(L5:N5),"")</f>
        <v>18500</v>
      </c>
      <c r="P5" s="8"/>
      <c r="Q5" s="9"/>
      <c r="R5" s="9"/>
      <c r="S5" s="55"/>
      <c r="T5" s="21">
        <f t="shared" ref="T5:T30" si="4">IF(COUNTA($F5,$K5,$P5)&gt;0,T4+SUM(Q5:S5),"")</f>
        <v>47000</v>
      </c>
      <c r="U5" s="60">
        <f>IF($J5="","",ROUND(($J5-$J$3)/1000,1)+(_xlfn.RANK.AVG($J5,($J5,$O5,$T5),1)-2)*20)</f>
        <v>4.5</v>
      </c>
      <c r="V5" s="61">
        <f>IF($O5="","",ROUND(($O5-$O$3)/1000,1)+(_xlfn.RANK.AVG($O5,($J5,$O5,$T5),1)-2)*20)</f>
        <v>-36.5</v>
      </c>
      <c r="W5" s="62">
        <f>IF($T5="","",ROUND(($T5-$T$3)/1000,1)+(_xlfn.RANK.AVG($T5,($J5,$O5,$T5),1)-2)*20)</f>
        <v>32</v>
      </c>
      <c r="Y5" s="8"/>
      <c r="Z5" s="41"/>
      <c r="AA5" s="32">
        <v>1</v>
      </c>
      <c r="AB5" s="32"/>
      <c r="AC5" s="32">
        <v>7</v>
      </c>
      <c r="AD5" s="36" t="s">
        <v>151</v>
      </c>
      <c r="AE5" s="47" t="s">
        <v>147</v>
      </c>
      <c r="AF5" s="48" t="s">
        <v>105</v>
      </c>
      <c r="AG5" s="48" t="s">
        <v>82</v>
      </c>
      <c r="AH5" s="48" t="s">
        <v>81</v>
      </c>
      <c r="AI5" s="48" t="s">
        <v>80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/>
      <c r="G6" s="9"/>
      <c r="H6" s="9"/>
      <c r="I6" s="55"/>
      <c r="J6" s="21">
        <f t="shared" si="2"/>
        <v>39500</v>
      </c>
      <c r="K6" s="8" t="s">
        <v>145</v>
      </c>
      <c r="L6" s="9">
        <v>8000</v>
      </c>
      <c r="M6" s="9">
        <v>1000</v>
      </c>
      <c r="N6" s="55">
        <v>0</v>
      </c>
      <c r="O6" s="21">
        <f t="shared" si="3"/>
        <v>27500</v>
      </c>
      <c r="P6" s="8" t="s">
        <v>146</v>
      </c>
      <c r="Q6" s="9">
        <v>-8000</v>
      </c>
      <c r="R6" s="9">
        <v>-1000</v>
      </c>
      <c r="S6" s="55">
        <v>0</v>
      </c>
      <c r="T6" s="21">
        <f t="shared" si="4"/>
        <v>38000</v>
      </c>
      <c r="U6" s="60">
        <f>IF($J6="","",ROUND(($J6-$J$3)/1000,1)+(_xlfn.RANK.AVG($J6,($J6,$O6,$T6),1)-2)*20)</f>
        <v>24.5</v>
      </c>
      <c r="V6" s="61">
        <f>IF($O6="","",ROUND(($O6-$O$3)/1000,1)+(_xlfn.RANK.AVG($O6,($J6,$O6,$T6),1)-2)*20)</f>
        <v>-27.5</v>
      </c>
      <c r="W6" s="62">
        <f>IF($T6="","",ROUND(($T6-$T$3)/1000,1)+(_xlfn.RANK.AVG($T6,($J6,$O6,$T6),1)-2)*20)</f>
        <v>3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5</v>
      </c>
      <c r="AY6" s="36" t="s">
        <v>151</v>
      </c>
      <c r="AZ6" s="47" t="s">
        <v>147</v>
      </c>
      <c r="BA6" s="48" t="s">
        <v>148</v>
      </c>
      <c r="BB6" s="48" t="s">
        <v>82</v>
      </c>
      <c r="BC6" s="48" t="s">
        <v>82</v>
      </c>
      <c r="BD6" s="48" t="s">
        <v>81</v>
      </c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139</v>
      </c>
      <c r="F7" s="8" t="s">
        <v>155</v>
      </c>
      <c r="G7" s="9">
        <v>-1500</v>
      </c>
      <c r="H7" s="9"/>
      <c r="I7" s="55"/>
      <c r="J7" s="21">
        <f t="shared" si="2"/>
        <v>38000</v>
      </c>
      <c r="K7" s="8" t="s">
        <v>155</v>
      </c>
      <c r="L7" s="9">
        <v>-1500</v>
      </c>
      <c r="M7" s="9"/>
      <c r="N7" s="55"/>
      <c r="O7" s="21">
        <f t="shared" si="3"/>
        <v>26000</v>
      </c>
      <c r="P7" s="8" t="s">
        <v>155</v>
      </c>
      <c r="Q7" s="9">
        <v>3000</v>
      </c>
      <c r="R7" s="9">
        <v>-1000</v>
      </c>
      <c r="S7" s="55"/>
      <c r="T7" s="21">
        <f t="shared" si="4"/>
        <v>40000</v>
      </c>
      <c r="U7" s="60">
        <f>IF($J7="","",ROUND(($J7-$J$3)/1000,1)+(_xlfn.RANK.AVG($J7,($J7,$O7,$T7),1)-2)*20)</f>
        <v>3</v>
      </c>
      <c r="V7" s="61">
        <f>IF($O7="","",ROUND(($O7-$O$3)/1000,1)+(_xlfn.RANK.AVG($O7,($J7,$O7,$T7),1)-2)*20)</f>
        <v>-29</v>
      </c>
      <c r="W7" s="62">
        <f>IF($T7="","",ROUND(($T7-$T$3)/1000,1)+(_xlfn.RANK.AVG($T7,($J7,$O7,$T7),1)-2)*20)</f>
        <v>25</v>
      </c>
      <c r="Y7" s="8" t="s">
        <v>153</v>
      </c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153</v>
      </c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154</v>
      </c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1</v>
      </c>
      <c r="D8" s="18">
        <f t="shared" si="1"/>
        <v>1</v>
      </c>
      <c r="E8" s="4" t="s">
        <v>141</v>
      </c>
      <c r="F8" s="8" t="s">
        <v>145</v>
      </c>
      <c r="G8" s="9">
        <v>16000</v>
      </c>
      <c r="H8" s="9">
        <v>1000</v>
      </c>
      <c r="I8" s="55">
        <v>1000</v>
      </c>
      <c r="J8" s="21">
        <f t="shared" si="2"/>
        <v>56000</v>
      </c>
      <c r="K8" s="8"/>
      <c r="L8" s="9"/>
      <c r="M8" s="9"/>
      <c r="N8" s="55"/>
      <c r="O8" s="21">
        <f t="shared" si="3"/>
        <v>26000</v>
      </c>
      <c r="P8" s="8" t="s">
        <v>146</v>
      </c>
      <c r="Q8" s="9">
        <v>-16000</v>
      </c>
      <c r="R8" s="9"/>
      <c r="S8" s="55">
        <v>-1000</v>
      </c>
      <c r="T8" s="21">
        <f t="shared" si="4"/>
        <v>23000</v>
      </c>
      <c r="U8" s="60">
        <f>IF($J8="","",ROUND(($J8-$J$3)/1000,1)+(_xlfn.RANK.AVG($J8,($J8,$O8,$T8),1)-2)*20)</f>
        <v>41</v>
      </c>
      <c r="V8" s="61">
        <f>IF($O8="","",ROUND(($O8-$O$3)/1000,1)+(_xlfn.RANK.AVG($O8,($J8,$O8,$T8),1)-2)*20)</f>
        <v>-9</v>
      </c>
      <c r="W8" s="62">
        <f>IF($T8="","",ROUND(($T8-$T$3)/1000,1)+(_xlfn.RANK.AVG($T8,($J8,$O8,$T8),1)-2)*20)</f>
        <v>-32</v>
      </c>
      <c r="Y8" s="8"/>
      <c r="Z8" s="41"/>
      <c r="AA8" s="32"/>
      <c r="AB8" s="32">
        <v>1</v>
      </c>
      <c r="AC8" s="32">
        <v>9</v>
      </c>
      <c r="AD8" s="36" t="s">
        <v>151</v>
      </c>
      <c r="AE8" s="47" t="s">
        <v>105</v>
      </c>
      <c r="AF8" s="48" t="s">
        <v>99</v>
      </c>
      <c r="AG8" s="48" t="s">
        <v>87</v>
      </c>
      <c r="AH8" s="48" t="s">
        <v>87</v>
      </c>
      <c r="AI8" s="48" t="s">
        <v>82</v>
      </c>
      <c r="AJ8" s="48" t="s">
        <v>82</v>
      </c>
      <c r="AK8" s="48" t="s">
        <v>152</v>
      </c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143</v>
      </c>
      <c r="F9" s="8" t="s">
        <v>149</v>
      </c>
      <c r="G9" s="9">
        <v>2100</v>
      </c>
      <c r="H9" s="9"/>
      <c r="I9" s="55">
        <v>0</v>
      </c>
      <c r="J9" s="21">
        <f t="shared" si="2"/>
        <v>58100</v>
      </c>
      <c r="K9" s="8" t="s">
        <v>150</v>
      </c>
      <c r="L9" s="9">
        <v>-800</v>
      </c>
      <c r="M9" s="9"/>
      <c r="N9" s="55">
        <v>0</v>
      </c>
      <c r="O9" s="21">
        <f t="shared" si="3"/>
        <v>25200</v>
      </c>
      <c r="P9" s="8" t="s">
        <v>150</v>
      </c>
      <c r="Q9" s="9">
        <v>-1300</v>
      </c>
      <c r="R9" s="9"/>
      <c r="S9" s="55">
        <v>0</v>
      </c>
      <c r="T9" s="21">
        <f t="shared" si="4"/>
        <v>21700</v>
      </c>
      <c r="U9" s="60">
        <f>IF($J9="","",ROUND(($J9-$J$3)/1000,1)+(_xlfn.RANK.AVG($J9,($J9,$O9,$T9),1)-2)*20)</f>
        <v>43.1</v>
      </c>
      <c r="V9" s="61">
        <f>IF($O9="","",ROUND(($O9-$O$3)/1000,1)+(_xlfn.RANK.AVG($O9,($J9,$O9,$T9),1)-2)*20)</f>
        <v>-9.8000000000000007</v>
      </c>
      <c r="W9" s="62">
        <f>IF($T9="","",ROUND(($T9-$T$3)/1000,1)+(_xlfn.RANK.AVG($T9,($J9,$O9,$T9),1)-2)*20)</f>
        <v>-33.299999999999997</v>
      </c>
      <c r="Y9" s="8"/>
      <c r="Z9" s="41"/>
      <c r="AA9" s="32">
        <v>1</v>
      </c>
      <c r="AB9" s="32"/>
      <c r="AC9" s="32">
        <v>2</v>
      </c>
      <c r="AD9" s="36">
        <v>30</v>
      </c>
      <c r="AE9" s="47" t="s">
        <v>147</v>
      </c>
      <c r="AF9" s="48" t="s">
        <v>83</v>
      </c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32DA360A-AB1C-47FD-B67A-B7726F8E2D50}">
      <formula1>$U$2:$W$2</formula1>
    </dataValidation>
    <dataValidation type="list" showInputMessage="1" showErrorMessage="1" sqref="K4:K30 P4:P30 F4:F30" xr:uid="{5CD176FA-A398-4CA2-BA6D-94FD81A8C1B9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AEB1-B852-40EC-9669-CB0897CE0FCE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りょうすけ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てんちゃん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りょうすけ</v>
      </c>
      <c r="W2" s="16" t="str">
        <f>$P$1</f>
        <v>てんちゃん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 t="s">
        <v>150</v>
      </c>
      <c r="G4" s="9">
        <v>-2000</v>
      </c>
      <c r="H4" s="9"/>
      <c r="I4" s="55">
        <v>0</v>
      </c>
      <c r="J4" s="21">
        <f>IF(COUNTA($F4,$K4,$P4)&gt;0,J3+SUM(G4:I4),"")</f>
        <v>33000</v>
      </c>
      <c r="K4" s="8" t="s">
        <v>149</v>
      </c>
      <c r="L4" s="9">
        <v>5300</v>
      </c>
      <c r="M4" s="9"/>
      <c r="N4" s="55">
        <v>0</v>
      </c>
      <c r="O4" s="21">
        <f>IF(COUNTA($F4,$K4,$P4)&gt;0,O3+SUM(L4:N4),"")</f>
        <v>40300</v>
      </c>
      <c r="P4" s="8" t="s">
        <v>150</v>
      </c>
      <c r="Q4" s="9">
        <v>-3300</v>
      </c>
      <c r="R4" s="9"/>
      <c r="S4" s="55">
        <v>0</v>
      </c>
      <c r="T4" s="21">
        <f>IF(COUNTA($F4,$K4,$P4)&gt;0,T3+SUM(Q4:S4),"")</f>
        <v>31700</v>
      </c>
      <c r="U4" s="60">
        <f>IF($J4="","",ROUND(($J4-$J$3)/1000,1)+(_xlfn.RANK.AVG($J4,($J4,$O4,$T4),1)-2)*20)</f>
        <v>-2</v>
      </c>
      <c r="V4" s="61">
        <f>IF($O4="","",ROUND(($O4-$O$3)/1000,1)+(_xlfn.RANK.AVG($O4,($J4,$O4,$T4),1)-2)*20)</f>
        <v>25.3</v>
      </c>
      <c r="W4" s="62">
        <f>IF($T4="","",ROUND(($T4-$T$3)/1000,1)+(_xlfn.RANK.AVG($T4,($J4,$O4,$T4),1)-2)*20)</f>
        <v>-23.3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3</v>
      </c>
      <c r="AY4" s="36">
        <v>40</v>
      </c>
      <c r="AZ4" s="47" t="s">
        <v>152</v>
      </c>
      <c r="BA4" s="48" t="s">
        <v>99</v>
      </c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145</v>
      </c>
      <c r="G5" s="9">
        <v>11600</v>
      </c>
      <c r="H5" s="9"/>
      <c r="I5" s="55">
        <v>0</v>
      </c>
      <c r="J5" s="21">
        <f t="shared" ref="J5:J30" si="2">IF(COUNTA($F5,$K5,$P5)&gt;0,J4+SUM(G5:I5),"")</f>
        <v>44600</v>
      </c>
      <c r="K5" s="8" t="s">
        <v>146</v>
      </c>
      <c r="L5" s="9">
        <v>-11600</v>
      </c>
      <c r="M5" s="9"/>
      <c r="N5" s="55">
        <v>0</v>
      </c>
      <c r="O5" s="21">
        <f t="shared" ref="O5:O30" si="3">IF(COUNTA($F5,$K5,$P5)&gt;0,O4+SUM(L5:N5),"")</f>
        <v>28700</v>
      </c>
      <c r="P5" s="8"/>
      <c r="Q5" s="9"/>
      <c r="R5" s="9"/>
      <c r="S5" s="55"/>
      <c r="T5" s="21">
        <f t="shared" ref="T5:T30" si="4">IF(COUNTA($F5,$K5,$P5)&gt;0,T4+SUM(Q5:S5),"")</f>
        <v>31700</v>
      </c>
      <c r="U5" s="60">
        <f>IF($J5="","",ROUND(($J5-$J$3)/1000,1)+(_xlfn.RANK.AVG($J5,($J5,$O5,$T5),1)-2)*20)</f>
        <v>29.6</v>
      </c>
      <c r="V5" s="61">
        <f>IF($O5="","",ROUND(($O5-$O$3)/1000,1)+(_xlfn.RANK.AVG($O5,($J5,$O5,$T5),1)-2)*20)</f>
        <v>-26.3</v>
      </c>
      <c r="W5" s="62">
        <f>IF($T5="","",ROUND(($T5-$T$3)/1000,1)+(_xlfn.RANK.AVG($T5,($J5,$O5,$T5),1)-2)*20)</f>
        <v>-3.3</v>
      </c>
      <c r="Y5" s="8"/>
      <c r="Z5" s="41"/>
      <c r="AA5" s="32">
        <v>1</v>
      </c>
      <c r="AB5" s="32"/>
      <c r="AC5" s="32">
        <v>4</v>
      </c>
      <c r="AD5" s="36">
        <v>30</v>
      </c>
      <c r="AE5" s="47" t="s">
        <v>147</v>
      </c>
      <c r="AF5" s="48" t="s">
        <v>84</v>
      </c>
      <c r="AG5" s="48" t="s">
        <v>81</v>
      </c>
      <c r="AH5" s="48" t="s">
        <v>152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139</v>
      </c>
      <c r="F6" s="8" t="s">
        <v>149</v>
      </c>
      <c r="G6" s="9">
        <v>6000</v>
      </c>
      <c r="H6" s="9"/>
      <c r="I6" s="55">
        <v>1000</v>
      </c>
      <c r="J6" s="21">
        <f t="shared" si="2"/>
        <v>51600</v>
      </c>
      <c r="K6" s="8" t="s">
        <v>150</v>
      </c>
      <c r="L6" s="9">
        <v>-3000</v>
      </c>
      <c r="M6" s="9"/>
      <c r="N6" s="55">
        <v>-500</v>
      </c>
      <c r="O6" s="21">
        <f t="shared" si="3"/>
        <v>25200</v>
      </c>
      <c r="P6" s="8" t="s">
        <v>150</v>
      </c>
      <c r="Q6" s="9">
        <v>-3000</v>
      </c>
      <c r="R6" s="9"/>
      <c r="S6" s="55">
        <v>-500</v>
      </c>
      <c r="T6" s="21">
        <f t="shared" si="4"/>
        <v>28200</v>
      </c>
      <c r="U6" s="60">
        <f>IF($J6="","",ROUND(($J6-$J$3)/1000,1)+(_xlfn.RANK.AVG($J6,($J6,$O6,$T6),1)-2)*20)</f>
        <v>36.6</v>
      </c>
      <c r="V6" s="61">
        <f>IF($O6="","",ROUND(($O6-$O$3)/1000,1)+(_xlfn.RANK.AVG($O6,($J6,$O6,$T6),1)-2)*20)</f>
        <v>-29.8</v>
      </c>
      <c r="W6" s="62">
        <f>IF($T6="","",ROUND(($T6-$T$3)/1000,1)+(_xlfn.RANK.AVG($T6,($J6,$O6,$T6),1)-2)*20)</f>
        <v>-6.8</v>
      </c>
      <c r="Y6" s="8"/>
      <c r="Z6" s="41"/>
      <c r="AA6" s="32">
        <v>1</v>
      </c>
      <c r="AB6" s="32"/>
      <c r="AC6" s="32">
        <v>3</v>
      </c>
      <c r="AD6" s="36">
        <v>30</v>
      </c>
      <c r="AE6" s="47" t="s">
        <v>147</v>
      </c>
      <c r="AF6" s="48" t="s">
        <v>83</v>
      </c>
      <c r="AG6" s="48" t="s">
        <v>81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139</v>
      </c>
      <c r="F7" s="8" t="s">
        <v>155</v>
      </c>
      <c r="G7" s="9">
        <v>1500</v>
      </c>
      <c r="H7" s="9">
        <v>-1000</v>
      </c>
      <c r="I7" s="55"/>
      <c r="J7" s="21">
        <f t="shared" si="2"/>
        <v>52100</v>
      </c>
      <c r="K7" s="8" t="s">
        <v>155</v>
      </c>
      <c r="L7" s="9">
        <v>1500</v>
      </c>
      <c r="M7" s="9"/>
      <c r="N7" s="55"/>
      <c r="O7" s="21">
        <f t="shared" si="3"/>
        <v>26700</v>
      </c>
      <c r="P7" s="8" t="s">
        <v>155</v>
      </c>
      <c r="Q7" s="9">
        <v>-3000</v>
      </c>
      <c r="R7" s="9"/>
      <c r="S7" s="55"/>
      <c r="T7" s="21">
        <f t="shared" si="4"/>
        <v>25200</v>
      </c>
      <c r="U7" s="60">
        <f>IF($J7="","",ROUND(($J7-$J$3)/1000,1)+(_xlfn.RANK.AVG($J7,($J7,$O7,$T7),1)-2)*20)</f>
        <v>37.1</v>
      </c>
      <c r="V7" s="61">
        <f>IF($O7="","",ROUND(($O7-$O$3)/1000,1)+(_xlfn.RANK.AVG($O7,($J7,$O7,$T7),1)-2)*20)</f>
        <v>-8.3000000000000007</v>
      </c>
      <c r="W7" s="62">
        <f>IF($T7="","",ROUND(($T7-$T$3)/1000,1)+(_xlfn.RANK.AVG($T7,($J7,$O7,$T7),1)-2)*20)</f>
        <v>-29.8</v>
      </c>
      <c r="Y7" s="8" t="s">
        <v>154</v>
      </c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154</v>
      </c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153</v>
      </c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1</v>
      </c>
      <c r="E8" s="4" t="s">
        <v>139</v>
      </c>
      <c r="F8" s="8" t="s">
        <v>149</v>
      </c>
      <c r="G8" s="9">
        <v>3000</v>
      </c>
      <c r="H8" s="9">
        <v>1000</v>
      </c>
      <c r="I8" s="55">
        <v>3000</v>
      </c>
      <c r="J8" s="21">
        <f t="shared" si="2"/>
        <v>59100</v>
      </c>
      <c r="K8" s="8" t="s">
        <v>150</v>
      </c>
      <c r="L8" s="9">
        <v>-1500</v>
      </c>
      <c r="M8" s="9"/>
      <c r="N8" s="55">
        <v>-1500</v>
      </c>
      <c r="O8" s="21">
        <f t="shared" si="3"/>
        <v>23700</v>
      </c>
      <c r="P8" s="8" t="s">
        <v>150</v>
      </c>
      <c r="Q8" s="9">
        <v>-1500</v>
      </c>
      <c r="R8" s="9"/>
      <c r="S8" s="55">
        <v>-1500</v>
      </c>
      <c r="T8" s="21">
        <f t="shared" si="4"/>
        <v>22200</v>
      </c>
      <c r="U8" s="60">
        <f>IF($J8="","",ROUND(($J8-$J$3)/1000,1)+(_xlfn.RANK.AVG($J8,($J8,$O8,$T8),1)-2)*20)</f>
        <v>44.1</v>
      </c>
      <c r="V8" s="61">
        <f>IF($O8="","",ROUND(($O8-$O$3)/1000,1)+(_xlfn.RANK.AVG($O8,($J8,$O8,$T8),1)-2)*20)</f>
        <v>-11.3</v>
      </c>
      <c r="W8" s="62">
        <f>IF($T8="","",ROUND(($T8-$T$3)/1000,1)+(_xlfn.RANK.AVG($T8,($J8,$O8,$T8),1)-2)*20)</f>
        <v>-32.799999999999997</v>
      </c>
      <c r="Y8" s="8"/>
      <c r="Z8" s="41"/>
      <c r="AA8" s="32"/>
      <c r="AB8" s="32">
        <v>1</v>
      </c>
      <c r="AC8" s="32">
        <v>2</v>
      </c>
      <c r="AD8" s="36">
        <v>30</v>
      </c>
      <c r="AE8" s="47" t="s">
        <v>87</v>
      </c>
      <c r="AF8" s="48" t="s">
        <v>87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4</v>
      </c>
      <c r="D9" s="18">
        <f t="shared" si="1"/>
        <v>0</v>
      </c>
      <c r="E9" s="4" t="s">
        <v>139</v>
      </c>
      <c r="F9" s="8" t="s">
        <v>155</v>
      </c>
      <c r="G9" s="9">
        <v>-1500</v>
      </c>
      <c r="H9" s="9"/>
      <c r="I9" s="55"/>
      <c r="J9" s="21">
        <f t="shared" si="2"/>
        <v>57600</v>
      </c>
      <c r="K9" s="8" t="s">
        <v>155</v>
      </c>
      <c r="L9" s="9">
        <v>3000</v>
      </c>
      <c r="M9" s="9">
        <v>-1000</v>
      </c>
      <c r="N9" s="55"/>
      <c r="O9" s="21">
        <f t="shared" si="3"/>
        <v>25700</v>
      </c>
      <c r="P9" s="8" t="s">
        <v>155</v>
      </c>
      <c r="Q9" s="9">
        <v>-1500</v>
      </c>
      <c r="R9" s="9"/>
      <c r="S9" s="55"/>
      <c r="T9" s="21">
        <f t="shared" si="4"/>
        <v>20700</v>
      </c>
      <c r="U9" s="60">
        <f>IF($J9="","",ROUND(($J9-$J$3)/1000,1)+(_xlfn.RANK.AVG($J9,($J9,$O9,$T9),1)-2)*20)</f>
        <v>42.6</v>
      </c>
      <c r="V9" s="61">
        <f>IF($O9="","",ROUND(($O9-$O$3)/1000,1)+(_xlfn.RANK.AVG($O9,($J9,$O9,$T9),1)-2)*20)</f>
        <v>-9.3000000000000007</v>
      </c>
      <c r="W9" s="62">
        <f>IF($T9="","",ROUND(($T9-$T$3)/1000,1)+(_xlfn.RANK.AVG($T9,($J9,$O9,$T9),1)-2)*20)</f>
        <v>-34.299999999999997</v>
      </c>
      <c r="Y9" s="8" t="s">
        <v>153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154</v>
      </c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153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5</v>
      </c>
      <c r="D10" s="18">
        <f t="shared" si="1"/>
        <v>1</v>
      </c>
      <c r="E10" s="4" t="s">
        <v>141</v>
      </c>
      <c r="F10" s="8" t="s">
        <v>155</v>
      </c>
      <c r="G10" s="9">
        <v>0</v>
      </c>
      <c r="H10" s="9">
        <v>1000</v>
      </c>
      <c r="I10" s="55"/>
      <c r="J10" s="21">
        <f t="shared" si="2"/>
        <v>58600</v>
      </c>
      <c r="K10" s="8" t="s">
        <v>155</v>
      </c>
      <c r="L10" s="9">
        <v>0</v>
      </c>
      <c r="M10" s="9"/>
      <c r="N10" s="55"/>
      <c r="O10" s="21">
        <f t="shared" si="3"/>
        <v>25700</v>
      </c>
      <c r="P10" s="8" t="s">
        <v>155</v>
      </c>
      <c r="Q10" s="9">
        <v>0</v>
      </c>
      <c r="R10" s="9"/>
      <c r="S10" s="55"/>
      <c r="T10" s="21">
        <f t="shared" si="4"/>
        <v>20700</v>
      </c>
      <c r="U10" s="60">
        <f>IF($J10="","",ROUND(($J10-$J$3)/1000,1)+(_xlfn.RANK.AVG($J10,($J10,$O10,$T10),1)-2)*20)</f>
        <v>43.6</v>
      </c>
      <c r="V10" s="61">
        <f>IF($O10="","",ROUND(($O10-$O$3)/1000,1)+(_xlfn.RANK.AVG($O10,($J10,$O10,$T10),1)-2)*20)</f>
        <v>-9.3000000000000007</v>
      </c>
      <c r="W10" s="62">
        <f>IF($T10="","",ROUND(($T10-$T$3)/1000,1)+(_xlfn.RANK.AVG($T10,($J10,$O10,$T10),1)-2)*20)</f>
        <v>-34.299999999999997</v>
      </c>
      <c r="Y10" s="8" t="s">
        <v>154</v>
      </c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154</v>
      </c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154</v>
      </c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BD1C0EBE-F6FE-489B-970D-900EED0F9D3A}">
      <formula1>"ロン,ツモ,放銃,ツモ支払,流局,チョンボ"</formula1>
    </dataValidation>
    <dataValidation type="list" allowBlank="1" showInputMessage="1" showErrorMessage="1" sqref="E4:E30" xr:uid="{E129CAA0-5A79-4B44-9392-0499A6D10EF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2019-04-29T14:47:17Z</dcterms:modified>
</cp:coreProperties>
</file>