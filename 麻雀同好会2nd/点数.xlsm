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3239A15-BDF4-4DD6-8433-4B35678456B1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7" i="1" l="1"/>
  <c r="E8" i="1"/>
  <c r="D8" i="1"/>
  <c r="C8" i="1"/>
  <c r="C6" i="1"/>
  <c r="D7" i="1"/>
  <c r="B2" i="1"/>
  <c r="E6" i="1"/>
  <c r="D6" i="1"/>
  <c r="E7" i="1"/>
  <c r="B3" i="1"/>
  <c r="E9" i="1" l="1"/>
  <c r="D9" i="1"/>
  <c r="C9" i="1"/>
  <c r="E5" i="1"/>
  <c r="C5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<sst xmlns="http://schemas.openxmlformats.org/spreadsheetml/2006/main" count="7" uniqueCount="7">
  <si>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</si>
  <si>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</si>
  <si>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</si>
  <si>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</si>
  <si>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</si>
  <si>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</si>
  <si>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対局.xlsm</t>
    <rPh sb="0" eb="2">
      <t>タイキョク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</si>
</sst>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ぱぱ</v>
      </c>
      <c r="D6" s="4" t="str">
        <f ca="1">NAME(Book!$B$1,1)</f>
        <v>りくと</v>
      </c>
      <c r="E6" s="5" t="str">
        <f ca="1">NAME(Book!$B$1,2)</f>
        <v>まっつん</v>
      </c>
    </row>
    <row r="7" spans="1:5" ht="154.5" x14ac:dyDescent="0.4">
      <c r="A7" s="15"/>
      <c r="B7" s="9" t="s">
        <v>2</v>
      </c>
      <c r="C7" s="7">
        <f ca="1">POINT(Book!$B$1,0)</f>
        <v>126000</v>
      </c>
      <c r="D7" s="4">
        <f ca="1">POINT(Book!$B$1,1)</f>
        <v>73700</v>
      </c>
      <c r="E7" s="5">
        <f ca="1">POINT(Book!$B$1,2)</f>
        <v>100300</v>
      </c>
    </row>
    <row r="8" spans="1:5" ht="97.5" thickBot="1" x14ac:dyDescent="0.45">
      <c r="A8" s="15"/>
      <c r="B8" s="10" t="s">
        <v>3</v>
      </c>
      <c r="C8" s="16">
        <f ca="1">POINT2(Book!$B$1,21)</f>
        <v>-8.5</v>
      </c>
      <c r="D8" s="17">
        <f ca="1">POINT2(Book!$B$1,22)</f>
        <v>-3.4</v>
      </c>
      <c r="E8" s="18">
        <f ca="1">POINT2(Book!$B$1,23)</f>
        <v>11.9</v>
      </c>
    </row>
    <row r="9" spans="1:5" ht="19.5" thickTop="1" x14ac:dyDescent="0.4">
      <c r="A9" s="15"/>
      <c r="C9" s="1">
        <f ca="1">ROUND((C$7-35000)/1000,1)+(_xlfn.RANK.AVG(C$7,$C$7:$E$7,1)-2)*Book!$B$2</f>
        <v>91</v>
      </c>
      <c r="D9" s="1">
        <f ca="1">ROUND((D$7-35000)/1000,1)+(_xlfn.RANK.AVG(D$7,$C$7:$E$7,1)-2)*Book!$B$2</f>
        <v>38.700000000000003</v>
      </c>
      <c r="E9" s="1">
        <f ca="1">ROUND((E$7-35000)/1000,1)+(_xlfn.RANK.AVG(E$7,$C$7:$E$7,1)-2)*Book!$B$2</f>
        <v>65.3</v>
      </c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2019-04-05T17:36:08Z</dcterms:modified>
</cp:coreProperties>
</file>