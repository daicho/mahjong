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BDA542FF-C30A-414B-B709-234DB10883F8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B3" i="1"/>
  <c r="D6" i="1"/>
  <c r="C6" i="1"/>
  <c r="E7" i="1" l="1"/>
  <c r="D7" i="1"/>
  <c r="B2" i="1" l="1"/>
  <c r="C7" i="1" l="1"/>
  <c r="C5" i="1" l="1"/>
  <c r="D5" i="1"/>
  <c r="E5" i="1"/>
  <c r="D8" i="1"/>
  <c r="E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<sst xmlns="http://schemas.openxmlformats.org/spreadsheetml/2006/main" count="6" uniqueCount="6">
  <si>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</si>
  <si>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</si>
  <si>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</si>
  <si>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</si>
  <si>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</si>
  <si>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2019-07-02@2.xlsm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</si>
</sst>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topLeftCell="A2" zoomScale="80" zoomScaleNormal="100" workbookViewId="0">
      <selection activeCell="E7" sqref="E7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南2局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2本場 供託2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3</v>
      </c>
      <c r="E5" s="10">
        <f ca="1">_xlfn.RANK.EQ(E$7,$C$7:$E$7)</f>
        <v>2</v>
      </c>
    </row>
    <row r="6" spans="2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ほたに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76000</v>
      </c>
      <c r="D7" s="12">
        <f ca="1">POINT(Book!$B$1,1)</f>
        <v>-3100</v>
      </c>
      <c r="E7" s="13">
        <f ca="1">POINT(Book!$B$1,2)</f>
        <v>30100</v>
      </c>
    </row>
    <row r="8" spans="2:5" ht="97.5" customHeight="1" thickBot="1" x14ac:dyDescent="0.45">
      <c r="B8" s="6" t="s">
        <v>4</v>
      </c>
      <c r="C8" s="14">
        <f ca="1">score(Book!$B$1,0)</f>
        <v>61</v>
      </c>
      <c r="D8" s="15">
        <f ca="1">score(Book!$B$1,1)</f>
        <v>-58.1</v>
      </c>
      <c r="E8" s="16">
        <f ca="1">score(Book!$B$1,2)</f>
        <v>-4.9000000000000004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2019-07-02T17:56:35Z</dcterms:modified>
</cp:coreProperties>
</file>