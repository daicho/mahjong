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2nd\"/>
    </mc:Choice>
  </mc:AlternateContent>
  <xr:revisionPtr revIDLastSave="0" documentId="13_ncr:1_{3AA48019-FC91-43C6-B639-D079089C063C}" xr6:coauthVersionLast="36" xr6:coauthVersionMax="36" xr10:uidLastSave="{00000000-0000-0000-0000-000000000000}"/>
  <bookViews>
    <workbookView xWindow="0" yWindow="0" windowWidth="28800" windowHeight="12720" xr2:uid="{4CDB34E1-560F-4998-ABAB-D6F7F2862621}"/>
  </bookViews>
  <sheets>
    <sheet name="Sheet1" sheetId="19" r:id="rId1"/>
    <sheet name="役一覧" sheetId="15" state="hidden" r:id="rId2"/>
    <sheet name="点数表(親ロン)" sheetId="4" state="hidden" r:id="rId3"/>
    <sheet name="点数表(親ツモ)" sheetId="9" state="hidden" r:id="rId4"/>
    <sheet name="点数表(子→親)" sheetId="7" state="hidden" r:id="rId5"/>
    <sheet name="点数表(子ロン)" sheetId="3" state="hidden" r:id="rId6"/>
    <sheet name="点数表(子ツモ)" sheetId="10" state="hidden" r:id="rId7"/>
    <sheet name="点数表(子→子)" sheetId="5" state="hidden" r:id="rId8"/>
    <sheet name="点数表(親→子)" sheetId="6" state="hidden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T30" i="19" l="1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W12" i="19" s="1"/>
  <c r="O12" i="19"/>
  <c r="V12" i="19" s="1"/>
  <c r="J12" i="19"/>
  <c r="U12" i="19" s="1"/>
  <c r="D12" i="19"/>
  <c r="C12" i="19"/>
  <c r="B12" i="19"/>
  <c r="A12" i="19"/>
  <c r="T11" i="19"/>
  <c r="W11" i="19" s="1"/>
  <c r="O11" i="19"/>
  <c r="V11" i="19" s="1"/>
  <c r="J11" i="19"/>
  <c r="U11" i="19" s="1"/>
  <c r="D11" i="19"/>
  <c r="C11" i="19"/>
  <c r="B11" i="19"/>
  <c r="A11" i="19"/>
  <c r="T10" i="19"/>
  <c r="W10" i="19" s="1"/>
  <c r="O10" i="19"/>
  <c r="V10" i="19" s="1"/>
  <c r="J10" i="19"/>
  <c r="U10" i="19" s="1"/>
  <c r="D10" i="19"/>
  <c r="C10" i="19"/>
  <c r="B10" i="19"/>
  <c r="A10" i="19"/>
  <c r="T9" i="19"/>
  <c r="W9" i="19" s="1"/>
  <c r="O9" i="19"/>
  <c r="V9" i="19" s="1"/>
  <c r="J9" i="19"/>
  <c r="U9" i="19" s="1"/>
  <c r="D9" i="19"/>
  <c r="C9" i="19"/>
  <c r="B9" i="19"/>
  <c r="A9" i="19"/>
  <c r="T8" i="19"/>
  <c r="W8" i="19" s="1"/>
  <c r="O8" i="19"/>
  <c r="V8" i="19" s="1"/>
  <c r="J8" i="19"/>
  <c r="U8" i="19" s="1"/>
  <c r="D8" i="19"/>
  <c r="C8" i="19"/>
  <c r="B8" i="19"/>
  <c r="A8" i="19"/>
  <c r="T7" i="19"/>
  <c r="W7" i="19" s="1"/>
  <c r="O7" i="19"/>
  <c r="V7" i="19" s="1"/>
  <c r="J7" i="19"/>
  <c r="U7" i="19" s="1"/>
  <c r="D7" i="19"/>
  <c r="C7" i="19"/>
  <c r="B7" i="19"/>
  <c r="A7" i="19"/>
  <c r="T6" i="19"/>
  <c r="W6" i="19" s="1"/>
  <c r="O6" i="19"/>
  <c r="V6" i="19" s="1"/>
  <c r="J6" i="19"/>
  <c r="U6" i="19" s="1"/>
  <c r="D6" i="19"/>
  <c r="C6" i="19"/>
  <c r="B6" i="19"/>
  <c r="A6" i="19"/>
  <c r="D5" i="19"/>
  <c r="C5" i="19"/>
  <c r="B5" i="19"/>
  <c r="A5" i="19" s="1"/>
  <c r="T4" i="19"/>
  <c r="T5" i="19" s="1"/>
  <c r="O4" i="19"/>
  <c r="J4" i="19"/>
  <c r="W3" i="19"/>
  <c r="V3" i="19"/>
  <c r="U3" i="19"/>
  <c r="W2" i="19"/>
  <c r="V2" i="19"/>
  <c r="U2" i="19"/>
  <c r="BO1" i="19"/>
  <c r="AT1" i="19"/>
  <c r="Y1" i="19"/>
  <c r="U4" i="19" l="1"/>
  <c r="V4" i="19"/>
  <c r="W4" i="19"/>
  <c r="J5" i="19"/>
  <c r="O5" i="19"/>
  <c r="V5" i="19" s="1"/>
  <c r="W5" i="19" l="1"/>
  <c r="U5" i="19"/>
</calcChain>
</file>

<file path=xl/sharedStrings.xml><?xml version="1.0" encoding="utf-8"?>
<sst xmlns="http://schemas.openxmlformats.org/spreadsheetml/2006/main" count="528" uniqueCount="192">
  <si>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</si>
  <si>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</si>
  <si>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</si>
  <si>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</si>
  <si>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</si>
  <si>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</si>
  <si>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</si>
  <si>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</si>
  <si>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</si>
  <si>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</si>
  <si>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</si>
  <si>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</si>
  <si>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</si>
  <si>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</si>
  <si>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</si>
  <si>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</si>
  <si>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</si>
  <si>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</si>
  <si>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</si>
  <si>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</si>
  <si>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</si>
  <si>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</si>
  <si>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</si>
  <si>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</si>
  <si>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</si>
  <si>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</si>
  <si>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</si>
  <si>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</si>
  <si>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</si>
  <si>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</si>
  <si>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</si>
  <si>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</si>
  <si>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</si>
  <si>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</si>
  <si>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</si>
  <si>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</si>
  <si>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</si>
  <si>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</si>
  <si>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</si>
  <si>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</si>
  <si>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</si>
  <si>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</si>
  <si>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</si>
  <si>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</si>
  <si>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</si>
  <si>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</si>
  <si>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</si>
  <si>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</si>
  <si>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</si>
  <si>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</si>
  <si>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</si>
  <si>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</si>
  <si>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</si>
  <si>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</si>
  <si>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</si>
  <si>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</si>
  <si>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</si>
  <si>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</si>
  <si>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</si>
  <si>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</si>
  <si>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</si>
  <si>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</si>
  <si>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</si>
  <si>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</si>
  <si>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</si>
  <si>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</si>
  <si>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</si>
  <si>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</si>
  <si>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</si>
  <si>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</si>
  <si>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</si>
  <si>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</si>
  <si>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</si>
  <si>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</si>
  <si>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</si>
  <si>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</si>
  <si>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</si>
  <si>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</si>
  <si>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</si>
  <si>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</si>
  <si>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</si>
  <si>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</si>
  <si>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</si>
  <si>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</si>
  <si>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</si>
  <si>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</si>
  <si>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</si>
  <si>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</si>
  <si>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</si>
  <si>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</si>
  <si>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</si>
  <si>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</si>
  <si>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</si>
  <si>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</si>
  <si>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</si>
  <si>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</si>
  <si>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</si>
  <si>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</si>
  <si>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</si>
  <si>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</si>
  <si>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</si>
  <si>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</si>
  <si>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</si>
  <si>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</si>
  <si>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</si>
  <si>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</si>
  <si>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</si>
  <si>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</si>
  <si>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</si>
  <si>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</si>
  <si>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</si>
  <si>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</si>
  <si>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</si>
  <si>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</si>
  <si>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</si>
  <si>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</si>
  <si>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</si>
  <si>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</si>
  <si>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</si>
  <si>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</si>
  <si>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</si>
  <si>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</si>
  <si>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</si>
  <si>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</si>
  <si>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</si>
  <si>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</si>
  <si>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</si>
  <si>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</si>
  <si>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</si>
  <si>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</si>
  <si>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</si>
  <si>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</si>
  <si>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</si>
  <si>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</si>
  <si>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Player3</t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</si>
  <si>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</si>
  <si>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</si>
  <si>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</si>
  <si>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</si>
  <si>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</si>
  <si>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</si>
  <si>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</si>
  <si>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</si>
  <si>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</si>
  <si>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</si>
  <si>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</si>
  <si>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</si>
  <si>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</si>
  <si>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</si>
  <si>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</si>
  <si>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</si>
  <si>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</si>
  <si>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</si>
  <si>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</si>
  <si>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</si>
  <si>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</si>
  <si>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</si>
  <si>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</si>
  <si>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</si>
  <si>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</si>
  <si>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</si>
  <si>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</si>
  <si>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</si>
  <si>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</si>
  <si>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</si>
  <si>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</si>
  <si>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</si>
  <si>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</si>
  <si>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</si>
  <si>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</si>
  <si>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</si>
  <si>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</si>
  <si>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</si>
  <si>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</si>
  <si>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</si>
  <si>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</si>
  <si>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</si>
  <si>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</si>
  <si>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</si>
  <si>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</si>
  <si>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</si>
  <si>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</si>
  <si>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</si>
  <si>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</si>
  <si>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</si>
  <si>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</si>
  <si>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</si>
  <si>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</si>
  <si>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</si>
  <si>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</si>
  <si>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Player2</t>
    <phoneticPr fontId="1"/>
  </si>
  <si>
    <t>Player1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</si>
</sst>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7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">
      <c r="A1" s="69" t="s">
        <v>0</v>
      </c>
      <c r="B1" s="71" t="s">
        <v>2</v>
      </c>
      <c r="C1" s="71" t="s">
        <v>1</v>
      </c>
      <c r="D1" s="71" t="s">
        <v>21</v>
      </c>
      <c r="E1" s="73" t="s">
        <v>3</v>
      </c>
      <c r="F1" s="65" t="s">
        <v>191</v>
      </c>
      <c r="G1" s="66"/>
      <c r="H1" s="66"/>
      <c r="I1" s="67"/>
      <c r="J1" s="68"/>
      <c r="K1" s="65" t="s">
        <v>190</v>
      </c>
      <c r="L1" s="66"/>
      <c r="M1" s="66"/>
      <c r="N1" s="67"/>
      <c r="O1" s="68"/>
      <c r="P1" s="65" t="s">
        <v>134</v>
      </c>
      <c r="Q1" s="66"/>
      <c r="R1" s="66"/>
      <c r="S1" s="67"/>
      <c r="T1" s="68"/>
      <c r="U1" s="65" t="s">
        <v>6</v>
      </c>
      <c r="V1" s="66"/>
      <c r="W1" s="68"/>
      <c r="Y1" s="65" t="str">
        <f>F1</f>
        <v>Player1</v>
      </c>
      <c r="Z1" s="7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8"/>
      <c r="AT1" s="65" t="str">
        <f>K1</f>
        <v>Player2</v>
      </c>
      <c r="AU1" s="7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8"/>
      <c r="BO1" s="65" t="str">
        <f>P1</f>
        <v>Player3</v>
      </c>
      <c r="BP1" s="76"/>
      <c r="BQ1" s="66"/>
      <c r="BR1" s="66"/>
      <c r="BS1" s="66"/>
      <c r="BT1" s="66"/>
      <c r="BU1" s="66"/>
      <c r="BV1" s="66"/>
      <c r="BW1" s="66"/>
      <c r="BX1" s="66"/>
      <c r="BY1" s="66"/>
      <c r="BZ1" s="66"/>
      <c r="CA1" s="66"/>
      <c r="CB1" s="66"/>
      <c r="CC1" s="66"/>
      <c r="CD1" s="66"/>
      <c r="CE1" s="66"/>
      <c r="CF1" s="66"/>
      <c r="CG1" s="66"/>
      <c r="CH1" s="66"/>
      <c r="CI1" s="68"/>
    </row>
    <row r="2" spans="1:87" x14ac:dyDescent="0.4">
      <c r="A2" s="70"/>
      <c r="B2" s="72"/>
      <c r="C2" s="72"/>
      <c r="D2" s="72"/>
      <c r="E2" s="74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Player1</v>
      </c>
      <c r="V2" s="64" t="str">
        <f>$K$1</f>
        <v>Player2</v>
      </c>
      <c r="W2" s="16" t="str">
        <f>$P$1</f>
        <v>Player3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75" t="s">
        <v>20</v>
      </c>
      <c r="AF2" s="75"/>
      <c r="AG2" s="75"/>
      <c r="AH2" s="75"/>
      <c r="AI2" s="75"/>
      <c r="AJ2" s="75"/>
      <c r="AK2" s="75"/>
      <c r="AL2" s="75"/>
      <c r="AM2" s="75"/>
      <c r="AN2" s="75"/>
      <c r="AO2" s="75"/>
      <c r="AP2" s="75"/>
      <c r="AQ2" s="75"/>
      <c r="AR2" s="75"/>
      <c r="AS2" s="75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75" t="s">
        <v>20</v>
      </c>
      <c r="BA2" s="75"/>
      <c r="BB2" s="75"/>
      <c r="BC2" s="75"/>
      <c r="BD2" s="75"/>
      <c r="BE2" s="75"/>
      <c r="BF2" s="75"/>
      <c r="BG2" s="75"/>
      <c r="BH2" s="75"/>
      <c r="BI2" s="75"/>
      <c r="BJ2" s="75"/>
      <c r="BK2" s="75"/>
      <c r="BL2" s="75"/>
      <c r="BM2" s="75"/>
      <c r="BN2" s="75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75" t="s">
        <v>20</v>
      </c>
      <c r="BV2" s="75"/>
      <c r="BW2" s="75"/>
      <c r="BX2" s="75"/>
      <c r="BY2" s="75"/>
      <c r="BZ2" s="75"/>
      <c r="CA2" s="75"/>
      <c r="CB2" s="75"/>
      <c r="CC2" s="75"/>
      <c r="CD2" s="75"/>
      <c r="CE2" s="75"/>
      <c r="CF2" s="75"/>
      <c r="CG2" s="75"/>
      <c r="CH2" s="75"/>
      <c r="CI2" s="75"/>
    </row>
    <row r="3" spans="1:87" x14ac:dyDescent="0.4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IF($J3="","",ROUND(($J3-$J$3)/1000,1)+(_xlfn.RANK.AVG($J3,($J3,$O3,$T3),1)-2)*20)</f>
        <v>0</v>
      </c>
      <c r="V3" s="51">
        <f>IF($O3="","",ROUND(($O3-$O$3)/1000,1)+(_xlfn.RANK.AVG($O3,($J3,$O3,$T3),1)-2)*20)</f>
        <v>0</v>
      </c>
      <c r="W3" s="52">
        <f>IF($T3="","",ROUND(($T3-$T$3)/1000,1)+(_xlfn.RANK.AVG($T3,($J3,$O3,$T3),1)-2)*20)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IF($J4="","",ROUND(($J4-$J$3)/1000,1)+(_xlfn.RANK.AVG($J4,($J4,$O4,$T4),1)-2)*20)</f>
        <v/>
      </c>
      <c r="V4" s="54" t="str">
        <f>IF($O4="","",ROUND(($O4-$O$3)/1000,1)+(_xlfn.RANK.AVG($O4,($J4,$O4,$T4),1)-2)*20)</f>
        <v/>
      </c>
      <c r="W4" s="55" t="str">
        <f>IF($T4="","",ROUND(($T4-$T$3)/1000,1)+(_xlfn.RANK.AVG($T4,($J4,$O4,$T4),1)-2)*20)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IF($J5="","",ROUND(($J5-$J$3)/1000,1)+(_xlfn.RANK.AVG($J5,($J5,$O5,$T5),1)-2)*20)</f>
        <v/>
      </c>
      <c r="V5" s="54" t="str">
        <f>IF($O5="","",ROUND(($O5-$O$3)/1000,1)+(_xlfn.RANK.AVG($O5,($J5,$O5,$T5),1)-2)*20)</f>
        <v/>
      </c>
      <c r="W5" s="55" t="str">
        <f>IF($T5="","",ROUND(($T5-$T$3)/1000,1)+(_xlfn.RANK.AVG($T5,($J5,$O5,$T5),1)-2)*20)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IF($J6="","",ROUND(($J6-$J$3)/1000,1)+(_xlfn.RANK.AVG($J6,($J6,$O6,$T6),1)-2)*20)</f>
        <v/>
      </c>
      <c r="V6" s="54" t="str">
        <f>IF($O6="","",ROUND(($O6-$O$3)/1000,1)+(_xlfn.RANK.AVG($O6,($J6,$O6,$T6),1)-2)*20)</f>
        <v/>
      </c>
      <c r="W6" s="55" t="str">
        <f>IF($T6="","",ROUND(($T6-$T$3)/1000,1)+(_xlfn.RANK.AVG($T6,($J6,$O6,$T6),1)-2)*20)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IF($J7="","",ROUND(($J7-$J$3)/1000,1)+(_xlfn.RANK.AVG($J7,($J7,$O7,$T7),1)-2)*20)</f>
        <v/>
      </c>
      <c r="V7" s="54" t="str">
        <f>IF($O7="","",ROUND(($O7-$O$3)/1000,1)+(_xlfn.RANK.AVG($O7,($J7,$O7,$T7),1)-2)*20)</f>
        <v/>
      </c>
      <c r="W7" s="55" t="str">
        <f>IF($T7="","",ROUND(($T7-$T$3)/1000,1)+(_xlfn.RANK.AVG($T7,($J7,$O7,$T7),1)-2)*20)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IF($J8="","",ROUND(($J8-$J$3)/1000,1)+(_xlfn.RANK.AVG($J8,($J8,$O8,$T8),1)-2)*20)</f>
        <v/>
      </c>
      <c r="V8" s="54" t="str">
        <f>IF($O8="","",ROUND(($O8-$O$3)/1000,1)+(_xlfn.RANK.AVG($O8,($J8,$O8,$T8),1)-2)*20)</f>
        <v/>
      </c>
      <c r="W8" s="55" t="str">
        <f>IF($T8="","",ROUND(($T8-$T$3)/1000,1)+(_xlfn.RANK.AVG($T8,($J8,$O8,$T8),1)-2)*20)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IF($J9="","",ROUND(($J9-$J$3)/1000,1)+(_xlfn.RANK.AVG($J9,($J9,$O9,$T9),1)-2)*20)</f>
        <v/>
      </c>
      <c r="V9" s="54" t="str">
        <f>IF($O9="","",ROUND(($O9-$O$3)/1000,1)+(_xlfn.RANK.AVG($O9,($J9,$O9,$T9),1)-2)*20)</f>
        <v/>
      </c>
      <c r="W9" s="55" t="str">
        <f>IF($T9="","",ROUND(($T9-$T$3)/1000,1)+(_xlfn.RANK.AVG($T9,($J9,$O9,$T9),1)-2)*20)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IF($J10="","",ROUND(($J10-$J$3)/1000,1)+(_xlfn.RANK.AVG($J10,($J10,$O10,$T10),1)-2)*20)</f>
        <v/>
      </c>
      <c r="V10" s="54" t="str">
        <f>IF($O10="","",ROUND(($O10-$O$3)/1000,1)+(_xlfn.RANK.AVG($O10,($J10,$O10,$T10),1)-2)*20)</f>
        <v/>
      </c>
      <c r="W10" s="55" t="str">
        <f>IF($T10="","",ROUND(($T10-$T$3)/1000,1)+(_xlfn.RANK.AVG($T10,($J10,$O10,$T10),1)-2)*20)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IF($J11="","",ROUND(($J11-$J$3)/1000,1)+(_xlfn.RANK.AVG($J11,($J11,$O11,$T11),1)-2)*20)</f>
        <v/>
      </c>
      <c r="V11" s="54" t="str">
        <f>IF($O11="","",ROUND(($O11-$O$3)/1000,1)+(_xlfn.RANK.AVG($O11,($J11,$O11,$T11),1)-2)*20)</f>
        <v/>
      </c>
      <c r="W11" s="55" t="str">
        <f>IF($T11="","",ROUND(($T11-$T$3)/1000,1)+(_xlfn.RANK.AVG($T11,($J11,$O11,$T11),1)-2)*20)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IF($J12="","",ROUND(($J12-$J$3)/1000,1)+(_xlfn.RANK.AVG($J12,($J12,$O12,$T12),1)-2)*20)</f>
        <v/>
      </c>
      <c r="V12" s="54" t="str">
        <f>IF($O12="","",ROUND(($O12-$O$3)/1000,1)+(_xlfn.RANK.AVG($O12,($J12,$O12,$T12),1)-2)*20)</f>
        <v/>
      </c>
      <c r="W12" s="55" t="str">
        <f>IF($T12="","",ROUND(($T12-$T$3)/1000,1)+(_xlfn.RANK.AVG($T12,($J12,$O12,$T12),1)-2)*20)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IF($J13="","",ROUND(($J13-$J$3)/1000,1)+(_xlfn.RANK.AVG($J13,($J13,$O13,$T13),1)-2)*20)</f>
        <v/>
      </c>
      <c r="V13" s="54" t="str">
        <f>IF($O13="","",ROUND(($O13-$O$3)/1000,1)+(_xlfn.RANK.AVG($O13,($J13,$O13,$T13),1)-2)*20)</f>
        <v/>
      </c>
      <c r="W13" s="55" t="str">
        <f>IF($T13="","",ROUND(($T13-$T$3)/1000,1)+(_xlfn.RANK.AVG($T13,($J13,$O13,$T13),1)-2)*20)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IF($J14="","",ROUND(($J14-$J$3)/1000,1)+(_xlfn.RANK.AVG($J14,($J14,$O14,$T14),1)-2)*20)</f>
        <v/>
      </c>
      <c r="V14" s="54" t="str">
        <f>IF($O14="","",ROUND(($O14-$O$3)/1000,1)+(_xlfn.RANK.AVG($O14,($J14,$O14,$T14),1)-2)*20)</f>
        <v/>
      </c>
      <c r="W14" s="55" t="str">
        <f>IF($T14="","",ROUND(($T14-$T$3)/1000,1)+(_xlfn.RANK.AVG($T14,($J14,$O14,$T14),1)-2)*20)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IF($J15="","",ROUND(($J15-$J$3)/1000,1)+(_xlfn.RANK.AVG($J15,($J15,$O15,$T15),1)-2)*20)</f>
        <v/>
      </c>
      <c r="V15" s="54" t="str">
        <f>IF($O15="","",ROUND(($O15-$O$3)/1000,1)+(_xlfn.RANK.AVG($O15,($J15,$O15,$T15),1)-2)*20)</f>
        <v/>
      </c>
      <c r="W15" s="55" t="str">
        <f>IF($T15="","",ROUND(($T15-$T$3)/1000,1)+(_xlfn.RANK.AVG($T15,($J15,$O15,$T15),1)-2)*20)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IF($J16="","",ROUND(($J16-$J$3)/1000,1)+(_xlfn.RANK.AVG($J16,($J16,$O16,$T16),1)-2)*20)</f>
        <v/>
      </c>
      <c r="V16" s="54" t="str">
        <f>IF($O16="","",ROUND(($O16-$O$3)/1000,1)+(_xlfn.RANK.AVG($O16,($J16,$O16,$T16),1)-2)*20)</f>
        <v/>
      </c>
      <c r="W16" s="55" t="str">
        <f>IF($T16="","",ROUND(($T16-$T$3)/1000,1)+(_xlfn.RANK.AVG($T16,($J16,$O16,$T16),1)-2)*20)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IF($J17="","",ROUND(($J17-$J$3)/1000,1)+(_xlfn.RANK.AVG($J17,($J17,$O17,$T17),1)-2)*20)</f>
        <v/>
      </c>
      <c r="V17" s="54" t="str">
        <f>IF($O17="","",ROUND(($O17-$O$3)/1000,1)+(_xlfn.RANK.AVG($O17,($J17,$O17,$T17),1)-2)*20)</f>
        <v/>
      </c>
      <c r="W17" s="55" t="str">
        <f>IF($T17="","",ROUND(($T17-$T$3)/1000,1)+(_xlfn.RANK.AVG($T17,($J17,$O17,$T17),1)-2)*20)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IF($J18="","",ROUND(($J18-$J$3)/1000,1)+(_xlfn.RANK.AVG($J18,($J18,$O18,$T18),1)-2)*20)</f>
        <v/>
      </c>
      <c r="V18" s="54" t="str">
        <f>IF($O18="","",ROUND(($O18-$O$3)/1000,1)+(_xlfn.RANK.AVG($O18,($J18,$O18,$T18),1)-2)*20)</f>
        <v/>
      </c>
      <c r="W18" s="55" t="str">
        <f>IF($T18="","",ROUND(($T18-$T$3)/1000,1)+(_xlfn.RANK.AVG($T18,($J18,$O18,$T18),1)-2)*20)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IF($J19="","",ROUND(($J19-$J$3)/1000,1)+(_xlfn.RANK.AVG($J19,($J19,$O19,$T19),1)-2)*20)</f>
        <v/>
      </c>
      <c r="V19" s="54" t="str">
        <f>IF($O19="","",ROUND(($O19-$O$3)/1000,1)+(_xlfn.RANK.AVG($O19,($J19,$O19,$T19),1)-2)*20)</f>
        <v/>
      </c>
      <c r="W19" s="55" t="str">
        <f>IF($T19="","",ROUND(($T19-$T$3)/1000,1)+(_xlfn.RANK.AVG($T19,($J19,$O19,$T19),1)-2)*20)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IF($J20="","",ROUND(($J20-$J$3)/1000,1)+(_xlfn.RANK.AVG($J20,($J20,$O20,$T20),1)-2)*20)</f>
        <v/>
      </c>
      <c r="V20" s="54" t="str">
        <f>IF($O20="","",ROUND(($O20-$O$3)/1000,1)+(_xlfn.RANK.AVG($O20,($J20,$O20,$T20),1)-2)*20)</f>
        <v/>
      </c>
      <c r="W20" s="55" t="str">
        <f>IF($T20="","",ROUND(($T20-$T$3)/1000,1)+(_xlfn.RANK.AVG($T20,($J20,$O20,$T20),1)-2)*20)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IF($J21="","",ROUND(($J21-$J$3)/1000,1)+(_xlfn.RANK.AVG($J21,($J21,$O21,$T21),1)-2)*20)</f>
        <v/>
      </c>
      <c r="V21" s="54" t="str">
        <f>IF($O21="","",ROUND(($O21-$O$3)/1000,1)+(_xlfn.RANK.AVG($O21,($J21,$O21,$T21),1)-2)*20)</f>
        <v/>
      </c>
      <c r="W21" s="55" t="str">
        <f>IF($T21="","",ROUND(($T21-$T$3)/1000,1)+(_xlfn.RANK.AVG($T21,($J21,$O21,$T21),1)-2)*20)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IF($J22="","",ROUND(($J22-$J$3)/1000,1)+(_xlfn.RANK.AVG($J22,($J22,$O22,$T22),1)-2)*20)</f>
        <v/>
      </c>
      <c r="V22" s="54" t="str">
        <f>IF($O22="","",ROUND(($O22-$O$3)/1000,1)+(_xlfn.RANK.AVG($O22,($J22,$O22,$T22),1)-2)*20)</f>
        <v/>
      </c>
      <c r="W22" s="55" t="str">
        <f>IF($T22="","",ROUND(($T22-$T$3)/1000,1)+(_xlfn.RANK.AVG($T22,($J22,$O22,$T22),1)-2)*20)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IF($J23="","",ROUND(($J23-$J$3)/1000,1)+(_xlfn.RANK.AVG($J23,($J23,$O23,$T23),1)-2)*20)</f>
        <v/>
      </c>
      <c r="V23" s="54" t="str">
        <f>IF($O23="","",ROUND(($O23-$O$3)/1000,1)+(_xlfn.RANK.AVG($O23,($J23,$O23,$T23),1)-2)*20)</f>
        <v/>
      </c>
      <c r="W23" s="55" t="str">
        <f>IF($T23="","",ROUND(($T23-$T$3)/1000,1)+(_xlfn.RANK.AVG($T23,($J23,$O23,$T23),1)-2)*20)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IF($J24="","",ROUND(($J24-$J$3)/1000,1)+(_xlfn.RANK.AVG($J24,($J24,$O24,$T24),1)-2)*20)</f>
        <v/>
      </c>
      <c r="V24" s="54" t="str">
        <f>IF($O24="","",ROUND(($O24-$O$3)/1000,1)+(_xlfn.RANK.AVG($O24,($J24,$O24,$T24),1)-2)*20)</f>
        <v/>
      </c>
      <c r="W24" s="55" t="str">
        <f>IF($T24="","",ROUND(($T24-$T$3)/1000,1)+(_xlfn.RANK.AVG($T24,($J24,$O24,$T24),1)-2)*20)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IF($J25="","",ROUND(($J25-$J$3)/1000,1)+(_xlfn.RANK.AVG($J25,($J25,$O25,$T25),1)-2)*20)</f>
        <v/>
      </c>
      <c r="V25" s="54" t="str">
        <f>IF($O25="","",ROUND(($O25-$O$3)/1000,1)+(_xlfn.RANK.AVG($O25,($J25,$O25,$T25),1)-2)*20)</f>
        <v/>
      </c>
      <c r="W25" s="55" t="str">
        <f>IF($T25="","",ROUND(($T25-$T$3)/1000,1)+(_xlfn.RANK.AVG($T25,($J25,$O25,$T25),1)-2)*20)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IF($J26="","",ROUND(($J26-$J$3)/1000,1)+(_xlfn.RANK.AVG($J26,($J26,$O26,$T26),1)-2)*20)</f>
        <v/>
      </c>
      <c r="V26" s="54" t="str">
        <f>IF($O26="","",ROUND(($O26-$O$3)/1000,1)+(_xlfn.RANK.AVG($O26,($J26,$O26,$T26),1)-2)*20)</f>
        <v/>
      </c>
      <c r="W26" s="55" t="str">
        <f>IF($T26="","",ROUND(($T26-$T$3)/1000,1)+(_xlfn.RANK.AVG($T26,($J26,$O26,$T26),1)-2)*20)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IF($J27="","",ROUND(($J27-$J$3)/1000,1)+(_xlfn.RANK.AVG($J27,($J27,$O27,$T27),1)-2)*20)</f>
        <v/>
      </c>
      <c r="V27" s="54" t="str">
        <f>IF($O27="","",ROUND(($O27-$O$3)/1000,1)+(_xlfn.RANK.AVG($O27,($J27,$O27,$T27),1)-2)*20)</f>
        <v/>
      </c>
      <c r="W27" s="55" t="str">
        <f>IF($T27="","",ROUND(($T27-$T$3)/1000,1)+(_xlfn.RANK.AVG($T27,($J27,$O27,$T27),1)-2)*20)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IF($J28="","",ROUND(($J28-$J$3)/1000,1)+(_xlfn.RANK.AVG($J28,($J28,$O28,$T28),1)-2)*20)</f>
        <v/>
      </c>
      <c r="V28" s="54" t="str">
        <f>IF($O28="","",ROUND(($O28-$O$3)/1000,1)+(_xlfn.RANK.AVG($O28,($J28,$O28,$T28),1)-2)*20)</f>
        <v/>
      </c>
      <c r="W28" s="55" t="str">
        <f>IF($T28="","",ROUND(($T28-$T$3)/1000,1)+(_xlfn.RANK.AVG($T28,($J28,$O28,$T28),1)-2)*20)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IF($J29="","",ROUND(($J29-$J$3)/1000,1)+(_xlfn.RANK.AVG($J29,($J29,$O29,$T29),1)-2)*20)</f>
        <v/>
      </c>
      <c r="V29" s="54" t="str">
        <f>IF($O29="","",ROUND(($O29-$O$3)/1000,1)+(_xlfn.RANK.AVG($O29,($J29,$O29,$T29),1)-2)*20)</f>
        <v/>
      </c>
      <c r="W29" s="55" t="str">
        <f>IF($T29="","",ROUND(($T29-$T$3)/1000,1)+(_xlfn.RANK.AVG($T29,($J29,$O29,$T29),1)-2)*20)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IF($J30="","",ROUND(($J30-$J$3)/1000,1)+(_xlfn.RANK.AVG($J30,($J30,$O30,$T30),1)-2)*20)</f>
        <v/>
      </c>
      <c r="V30" s="57" t="str">
        <f>IF($O30="","",ROUND(($O30-$O$3)/1000,1)+(_xlfn.RANK.AVG($O30,($J30,$O30,$T30),1)-2)*20)</f>
        <v/>
      </c>
      <c r="W30" s="58" t="str">
        <f>IF($T30="","",ROUND(($T30-$T$3)/1000,1)+(_xlfn.RANK.AVG($T30,($J30,$O30,$T30),1)-2)*20)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2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3"/>
  <sheetViews>
    <sheetView workbookViewId="0"/>
  </sheetViews>
  <sheetFormatPr defaultRowHeight="18.75" x14ac:dyDescent="0.4"/>
  <cols>
    <col min="1" max="1" width="9" style="36" customWidth="1"/>
    <col min="2" max="2" width="6.5" style="36" customWidth="1"/>
    <col min="3" max="3" width="19.25" style="15" bestFit="1" customWidth="1"/>
    <col min="4" max="5" width="6.5" style="15" customWidth="1"/>
  </cols>
  <sheetData>
    <row r="1" spans="1:5" x14ac:dyDescent="0.4">
      <c r="A1" s="36" t="s">
        <v>27</v>
      </c>
      <c r="B1" s="36" t="s">
        <v>139</v>
      </c>
      <c r="C1" s="15" t="s">
        <v>28</v>
      </c>
      <c r="D1" s="15" t="s">
        <v>29</v>
      </c>
      <c r="E1" s="15" t="s">
        <v>30</v>
      </c>
    </row>
    <row r="2" spans="1:5" x14ac:dyDescent="0.4">
      <c r="A2" s="36" t="s">
        <v>77</v>
      </c>
      <c r="B2" s="36" t="s">
        <v>140</v>
      </c>
      <c r="C2" s="15" t="s">
        <v>132</v>
      </c>
      <c r="D2" s="15">
        <v>1</v>
      </c>
    </row>
    <row r="3" spans="1:5" x14ac:dyDescent="0.4">
      <c r="A3" s="36" t="s">
        <v>78</v>
      </c>
      <c r="B3" s="36" t="s">
        <v>149</v>
      </c>
      <c r="C3" s="15" t="s">
        <v>31</v>
      </c>
      <c r="D3" s="15">
        <v>1</v>
      </c>
    </row>
    <row r="4" spans="1:5" x14ac:dyDescent="0.4">
      <c r="A4" s="36" t="s">
        <v>79</v>
      </c>
      <c r="B4" s="36" t="s">
        <v>142</v>
      </c>
      <c r="C4" s="15" t="s">
        <v>32</v>
      </c>
      <c r="D4" s="15">
        <v>1</v>
      </c>
      <c r="E4" s="15">
        <v>1</v>
      </c>
    </row>
    <row r="5" spans="1:5" x14ac:dyDescent="0.4">
      <c r="A5" s="36" t="s">
        <v>80</v>
      </c>
      <c r="B5" s="36" t="s">
        <v>143</v>
      </c>
      <c r="C5" s="15" t="s">
        <v>33</v>
      </c>
      <c r="D5" s="15">
        <v>1</v>
      </c>
    </row>
    <row r="6" spans="1:5" x14ac:dyDescent="0.4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">
      <c r="A7" s="36" t="s">
        <v>82</v>
      </c>
      <c r="B7" s="36" t="s">
        <v>141</v>
      </c>
      <c r="C7" s="15" t="s">
        <v>35</v>
      </c>
      <c r="D7" s="15">
        <v>1</v>
      </c>
    </row>
    <row r="8" spans="1:5" x14ac:dyDescent="0.4">
      <c r="A8" s="36" t="s">
        <v>83</v>
      </c>
      <c r="B8" s="36" t="s">
        <v>145</v>
      </c>
      <c r="C8" s="15" t="s">
        <v>36</v>
      </c>
      <c r="D8" s="15">
        <v>1</v>
      </c>
    </row>
    <row r="9" spans="1:5" x14ac:dyDescent="0.4">
      <c r="A9" s="36" t="s">
        <v>84</v>
      </c>
      <c r="B9" s="36" t="s">
        <v>147</v>
      </c>
      <c r="C9" s="15" t="s">
        <v>37</v>
      </c>
      <c r="D9" s="15">
        <v>1</v>
      </c>
    </row>
    <row r="10" spans="1:5" x14ac:dyDescent="0.4">
      <c r="A10" s="36" t="s">
        <v>85</v>
      </c>
      <c r="B10" s="36" t="s">
        <v>146</v>
      </c>
      <c r="C10" s="15" t="s">
        <v>129</v>
      </c>
      <c r="D10" s="15">
        <v>1</v>
      </c>
      <c r="E10" s="15">
        <v>1</v>
      </c>
    </row>
    <row r="11" spans="1:5" x14ac:dyDescent="0.4">
      <c r="A11" s="36" t="s">
        <v>86</v>
      </c>
      <c r="B11" s="36" t="s">
        <v>148</v>
      </c>
      <c r="C11" s="15" t="s">
        <v>38</v>
      </c>
      <c r="D11" s="15">
        <v>1</v>
      </c>
      <c r="E11" s="15">
        <v>1</v>
      </c>
    </row>
    <row r="12" spans="1:5" x14ac:dyDescent="0.4">
      <c r="A12" s="36" t="s">
        <v>87</v>
      </c>
      <c r="B12" s="36" t="s">
        <v>160</v>
      </c>
      <c r="C12" s="15" t="s">
        <v>39</v>
      </c>
      <c r="D12" s="15">
        <v>1</v>
      </c>
      <c r="E12" s="15">
        <v>1</v>
      </c>
    </row>
    <row r="13" spans="1:5" x14ac:dyDescent="0.4">
      <c r="A13" s="36" t="s">
        <v>88</v>
      </c>
      <c r="B13" s="36" t="s">
        <v>161</v>
      </c>
      <c r="C13" s="15" t="s">
        <v>40</v>
      </c>
      <c r="D13" s="15">
        <v>1</v>
      </c>
      <c r="E13" s="15">
        <v>1</v>
      </c>
    </row>
    <row r="14" spans="1:5" x14ac:dyDescent="0.4">
      <c r="A14" s="36" t="s">
        <v>89</v>
      </c>
      <c r="B14" s="36" t="s">
        <v>162</v>
      </c>
      <c r="C14" s="15" t="s">
        <v>41</v>
      </c>
      <c r="D14" s="15">
        <v>1</v>
      </c>
      <c r="E14" s="15">
        <v>1</v>
      </c>
    </row>
    <row r="15" spans="1:5" x14ac:dyDescent="0.4">
      <c r="A15" s="36" t="s">
        <v>90</v>
      </c>
      <c r="B15" s="36" t="s">
        <v>163</v>
      </c>
      <c r="C15" s="15" t="s">
        <v>42</v>
      </c>
      <c r="D15" s="15">
        <v>1</v>
      </c>
      <c r="E15" s="15">
        <v>1</v>
      </c>
    </row>
    <row r="16" spans="1:5" x14ac:dyDescent="0.4">
      <c r="A16" s="36" t="s">
        <v>91</v>
      </c>
      <c r="B16" s="36" t="s">
        <v>156</v>
      </c>
      <c r="C16" s="15" t="s">
        <v>43</v>
      </c>
      <c r="D16" s="15">
        <v>2</v>
      </c>
    </row>
    <row r="17" spans="1:5" x14ac:dyDescent="0.4">
      <c r="A17" s="36" t="s">
        <v>92</v>
      </c>
      <c r="B17" s="36" t="s">
        <v>150</v>
      </c>
      <c r="C17" s="15" t="s">
        <v>44</v>
      </c>
      <c r="D17" s="15">
        <v>2</v>
      </c>
      <c r="E17" s="15">
        <v>1</v>
      </c>
    </row>
    <row r="18" spans="1:5" x14ac:dyDescent="0.4">
      <c r="A18" s="36" t="s">
        <v>93</v>
      </c>
      <c r="B18" s="36" t="s">
        <v>158</v>
      </c>
      <c r="C18" s="15" t="s">
        <v>131</v>
      </c>
      <c r="D18" s="15">
        <v>2</v>
      </c>
      <c r="E18" s="15">
        <v>1</v>
      </c>
    </row>
    <row r="19" spans="1:5" x14ac:dyDescent="0.4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">
      <c r="A20" s="36" t="s">
        <v>95</v>
      </c>
      <c r="B20" s="36" t="s">
        <v>166</v>
      </c>
      <c r="C20" s="15" t="s">
        <v>46</v>
      </c>
      <c r="D20" s="15">
        <v>2</v>
      </c>
      <c r="E20" s="15">
        <v>2</v>
      </c>
    </row>
    <row r="21" spans="1:5" x14ac:dyDescent="0.4">
      <c r="A21" s="36" t="s">
        <v>96</v>
      </c>
      <c r="B21" s="36" t="s">
        <v>152</v>
      </c>
      <c r="C21" s="15" t="s">
        <v>47</v>
      </c>
      <c r="D21" s="15">
        <v>2</v>
      </c>
      <c r="E21" s="15">
        <v>2</v>
      </c>
    </row>
    <row r="22" spans="1:5" x14ac:dyDescent="0.4">
      <c r="A22" s="36" t="s">
        <v>97</v>
      </c>
      <c r="B22" s="36" t="s">
        <v>167</v>
      </c>
      <c r="C22" s="15" t="s">
        <v>48</v>
      </c>
      <c r="D22" s="15">
        <v>2</v>
      </c>
      <c r="E22" s="15">
        <v>2</v>
      </c>
    </row>
    <row r="23" spans="1:5" x14ac:dyDescent="0.4">
      <c r="A23" s="36" t="s">
        <v>98</v>
      </c>
      <c r="B23" s="36" t="s">
        <v>151</v>
      </c>
      <c r="C23" s="15" t="s">
        <v>49</v>
      </c>
      <c r="D23" s="15">
        <v>2</v>
      </c>
      <c r="E23" s="15">
        <v>2</v>
      </c>
    </row>
    <row r="24" spans="1:5" x14ac:dyDescent="0.4">
      <c r="A24" s="36" t="s">
        <v>99</v>
      </c>
      <c r="B24" s="36" t="s">
        <v>168</v>
      </c>
      <c r="C24" s="15" t="s">
        <v>50</v>
      </c>
      <c r="D24" s="15">
        <v>2</v>
      </c>
      <c r="E24" s="15">
        <v>2</v>
      </c>
    </row>
    <row r="25" spans="1:5" x14ac:dyDescent="0.4">
      <c r="A25" s="36" t="s">
        <v>100</v>
      </c>
      <c r="B25" s="36" t="s">
        <v>169</v>
      </c>
      <c r="C25" s="15" t="s">
        <v>51</v>
      </c>
      <c r="D25" s="15">
        <v>2</v>
      </c>
      <c r="E25" s="15">
        <v>2</v>
      </c>
    </row>
    <row r="26" spans="1:5" x14ac:dyDescent="0.4">
      <c r="A26" s="36" t="s">
        <v>101</v>
      </c>
      <c r="B26" s="36" t="s">
        <v>157</v>
      </c>
      <c r="C26" s="15" t="s">
        <v>52</v>
      </c>
      <c r="D26" s="15">
        <v>2</v>
      </c>
    </row>
    <row r="27" spans="1:5" x14ac:dyDescent="0.4">
      <c r="A27" s="36" t="s">
        <v>102</v>
      </c>
      <c r="B27" s="36" t="s">
        <v>165</v>
      </c>
      <c r="C27" s="15" t="s">
        <v>53</v>
      </c>
      <c r="D27" s="15">
        <v>3</v>
      </c>
    </row>
    <row r="28" spans="1:5" x14ac:dyDescent="0.4">
      <c r="A28" s="36" t="s">
        <v>103</v>
      </c>
      <c r="B28" s="36" t="s">
        <v>159</v>
      </c>
      <c r="C28" s="15" t="s">
        <v>130</v>
      </c>
      <c r="D28" s="15">
        <v>3</v>
      </c>
      <c r="E28" s="15">
        <v>2</v>
      </c>
    </row>
    <row r="29" spans="1:5" x14ac:dyDescent="0.4">
      <c r="A29" s="36" t="s">
        <v>104</v>
      </c>
      <c r="B29" s="36" t="s">
        <v>153</v>
      </c>
      <c r="C29" s="15" t="s">
        <v>54</v>
      </c>
      <c r="D29" s="15">
        <v>3</v>
      </c>
      <c r="E29" s="15">
        <v>2</v>
      </c>
    </row>
    <row r="30" spans="1:5" x14ac:dyDescent="0.4">
      <c r="A30" s="36" t="s">
        <v>105</v>
      </c>
      <c r="B30" s="36" t="s">
        <v>164</v>
      </c>
      <c r="C30" s="15" t="s">
        <v>55</v>
      </c>
      <c r="D30" s="15">
        <v>5</v>
      </c>
    </row>
    <row r="31" spans="1:5" x14ac:dyDescent="0.4">
      <c r="A31" s="36" t="s">
        <v>106</v>
      </c>
      <c r="B31" s="36" t="s">
        <v>154</v>
      </c>
      <c r="C31" s="15" t="s">
        <v>56</v>
      </c>
      <c r="D31" s="15">
        <v>6</v>
      </c>
      <c r="E31" s="15">
        <v>5</v>
      </c>
    </row>
    <row r="32" spans="1:5" x14ac:dyDescent="0.4">
      <c r="A32" s="36" t="s">
        <v>107</v>
      </c>
      <c r="B32" s="36" t="s">
        <v>170</v>
      </c>
      <c r="C32" s="15" t="s">
        <v>57</v>
      </c>
      <c r="D32" s="15">
        <v>13</v>
      </c>
    </row>
    <row r="33" spans="1:5" x14ac:dyDescent="0.4">
      <c r="A33" s="36" t="s">
        <v>108</v>
      </c>
      <c r="B33" s="36" t="s">
        <v>171</v>
      </c>
      <c r="C33" s="15" t="s">
        <v>58</v>
      </c>
      <c r="D33" s="15">
        <v>13</v>
      </c>
    </row>
    <row r="34" spans="1:5" x14ac:dyDescent="0.4">
      <c r="A34" s="36" t="s">
        <v>109</v>
      </c>
      <c r="B34" s="36" t="s">
        <v>172</v>
      </c>
      <c r="C34" s="15" t="s">
        <v>59</v>
      </c>
      <c r="D34" s="15">
        <v>13</v>
      </c>
      <c r="E34" s="15">
        <v>13</v>
      </c>
    </row>
    <row r="35" spans="1:5" x14ac:dyDescent="0.4">
      <c r="A35" s="36" t="s">
        <v>110</v>
      </c>
      <c r="B35" s="36" t="s">
        <v>173</v>
      </c>
      <c r="C35" s="15" t="s">
        <v>60</v>
      </c>
      <c r="D35" s="15">
        <v>13</v>
      </c>
      <c r="E35" s="15">
        <v>13</v>
      </c>
    </row>
    <row r="36" spans="1:5" x14ac:dyDescent="0.4">
      <c r="A36" s="36" t="s">
        <v>111</v>
      </c>
      <c r="B36" s="36" t="s">
        <v>174</v>
      </c>
      <c r="C36" s="15" t="s">
        <v>61</v>
      </c>
      <c r="D36" s="15">
        <v>26</v>
      </c>
      <c r="E36" s="15">
        <v>26</v>
      </c>
    </row>
    <row r="37" spans="1:5" x14ac:dyDescent="0.4">
      <c r="A37" s="36" t="s">
        <v>112</v>
      </c>
      <c r="B37" s="36" t="s">
        <v>175</v>
      </c>
      <c r="C37" s="15" t="s">
        <v>62</v>
      </c>
      <c r="D37" s="15">
        <v>13</v>
      </c>
      <c r="E37" s="15">
        <v>13</v>
      </c>
    </row>
    <row r="38" spans="1:5" x14ac:dyDescent="0.4">
      <c r="A38" s="36" t="s">
        <v>113</v>
      </c>
      <c r="B38" s="36" t="s">
        <v>176</v>
      </c>
      <c r="C38" s="15" t="s">
        <v>63</v>
      </c>
      <c r="D38" s="15">
        <v>13</v>
      </c>
      <c r="E38" s="15">
        <v>13</v>
      </c>
    </row>
    <row r="39" spans="1:5" x14ac:dyDescent="0.4">
      <c r="A39" s="36" t="s">
        <v>114</v>
      </c>
      <c r="B39" s="36" t="s">
        <v>177</v>
      </c>
      <c r="C39" s="15" t="s">
        <v>64</v>
      </c>
      <c r="D39" s="15">
        <v>13</v>
      </c>
      <c r="E39" s="15">
        <v>13</v>
      </c>
    </row>
    <row r="40" spans="1:5" x14ac:dyDescent="0.4">
      <c r="A40" s="36" t="s">
        <v>115</v>
      </c>
      <c r="B40" s="36" t="s">
        <v>178</v>
      </c>
      <c r="C40" s="15" t="s">
        <v>65</v>
      </c>
      <c r="D40" s="15">
        <v>13</v>
      </c>
      <c r="E40" s="15">
        <v>13</v>
      </c>
    </row>
    <row r="41" spans="1:5" x14ac:dyDescent="0.4">
      <c r="A41" s="36" t="s">
        <v>116</v>
      </c>
      <c r="B41" s="36" t="s">
        <v>179</v>
      </c>
      <c r="C41" s="15" t="s">
        <v>66</v>
      </c>
      <c r="D41" s="15">
        <v>13</v>
      </c>
    </row>
    <row r="42" spans="1:5" x14ac:dyDescent="0.4">
      <c r="A42" s="36" t="s">
        <v>117</v>
      </c>
      <c r="B42" s="36" t="s">
        <v>180</v>
      </c>
      <c r="C42" s="15" t="s">
        <v>67</v>
      </c>
      <c r="D42" s="15">
        <v>13</v>
      </c>
    </row>
    <row r="43" spans="1:5" x14ac:dyDescent="0.4">
      <c r="A43" s="36" t="s">
        <v>118</v>
      </c>
      <c r="B43" s="36" t="s">
        <v>181</v>
      </c>
      <c r="C43" s="15" t="s">
        <v>68</v>
      </c>
      <c r="D43" s="15">
        <v>13</v>
      </c>
    </row>
    <row r="44" spans="1:5" x14ac:dyDescent="0.4">
      <c r="A44" s="36" t="s">
        <v>119</v>
      </c>
      <c r="B44" s="36" t="s">
        <v>182</v>
      </c>
      <c r="C44" s="15" t="s">
        <v>69</v>
      </c>
      <c r="D44" s="15">
        <v>13</v>
      </c>
    </row>
    <row r="45" spans="1:5" x14ac:dyDescent="0.4">
      <c r="A45" s="36" t="s">
        <v>120</v>
      </c>
      <c r="B45" s="36" t="s">
        <v>183</v>
      </c>
      <c r="C45" s="15" t="s">
        <v>70</v>
      </c>
      <c r="D45" s="15">
        <v>26</v>
      </c>
    </row>
    <row r="46" spans="1:5" x14ac:dyDescent="0.4">
      <c r="A46" s="36" t="s">
        <v>121</v>
      </c>
      <c r="B46" s="36" t="s">
        <v>184</v>
      </c>
      <c r="C46" s="15" t="s">
        <v>71</v>
      </c>
      <c r="D46" s="15">
        <v>26</v>
      </c>
    </row>
    <row r="47" spans="1:5" x14ac:dyDescent="0.4">
      <c r="A47" s="36" t="s">
        <v>122</v>
      </c>
      <c r="B47" s="36" t="s">
        <v>185</v>
      </c>
      <c r="C47" s="15" t="s">
        <v>72</v>
      </c>
      <c r="D47" s="15">
        <v>26</v>
      </c>
    </row>
    <row r="48" spans="1:5" x14ac:dyDescent="0.4">
      <c r="A48" s="36" t="s">
        <v>123</v>
      </c>
      <c r="B48" s="36" t="s">
        <v>186</v>
      </c>
      <c r="C48" s="15" t="s">
        <v>73</v>
      </c>
      <c r="D48" s="15">
        <v>13</v>
      </c>
    </row>
    <row r="49" spans="1:5" x14ac:dyDescent="0.4">
      <c r="A49" s="36" t="s">
        <v>124</v>
      </c>
      <c r="B49" s="36" t="s">
        <v>187</v>
      </c>
      <c r="C49" s="15" t="s">
        <v>74</v>
      </c>
      <c r="D49" s="15">
        <v>13</v>
      </c>
    </row>
    <row r="50" spans="1:5" x14ac:dyDescent="0.4">
      <c r="A50" s="36" t="s">
        <v>125</v>
      </c>
      <c r="B50" s="36" t="s">
        <v>188</v>
      </c>
      <c r="C50" s="15" t="s">
        <v>75</v>
      </c>
      <c r="D50" s="15">
        <v>13</v>
      </c>
    </row>
    <row r="51" spans="1:5" x14ac:dyDescent="0.4">
      <c r="A51" s="36" t="s">
        <v>126</v>
      </c>
      <c r="B51" s="36" t="s">
        <v>189</v>
      </c>
      <c r="C51" s="15" t="s">
        <v>76</v>
      </c>
      <c r="D51" s="15">
        <v>13</v>
      </c>
    </row>
    <row r="52" spans="1:5" x14ac:dyDescent="0.4">
      <c r="A52" s="36" t="s">
        <v>135</v>
      </c>
      <c r="B52" s="36" t="s">
        <v>155</v>
      </c>
      <c r="C52" s="15" t="s">
        <v>136</v>
      </c>
      <c r="D52" s="15">
        <v>2</v>
      </c>
    </row>
    <row r="53" spans="1:5" x14ac:dyDescent="0.4">
      <c r="A53" s="36" t="s">
        <v>137</v>
      </c>
      <c r="B53" s="36" t="s">
        <v>144</v>
      </c>
      <c r="C53" s="15" t="s">
        <v>138</v>
      </c>
      <c r="D53" s="15">
        <v>1</v>
      </c>
      <c r="E53" s="15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.75" x14ac:dyDescent="0.4"/>
  <cols>
    <col min="1" max="12" width="9" style="32"/>
    <col min="13" max="13" width="9" style="32" customWidth="1"/>
    <col min="14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E3" s="32">
        <v>3900</v>
      </c>
      <c r="F3" s="32">
        <v>7700</v>
      </c>
    </row>
    <row r="4" spans="1:13" x14ac:dyDescent="0.4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.75" x14ac:dyDescent="0.4"/>
  <cols>
    <col min="1" max="16384" width="9" style="32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Sheet1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2019-06-04T05:33:09Z</dcterms:modified>
</cp:coreProperties>
</file>