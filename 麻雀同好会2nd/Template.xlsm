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2FEFA87D-BD95-44E3-8D3C-6F463121DF2D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W30" i="1" l="1"/>
  <c r="V30" i="1"/>
  <c r="U30" i="1"/>
  <c r="W29" i="1"/>
  <c r="V29" i="1"/>
  <c r="U29" i="1"/>
  <c r="W28" i="1"/>
  <c r="V28" i="1"/>
  <c r="U28" i="1"/>
  <c r="W27" i="1"/>
  <c r="V27" i="1"/>
  <c r="U27" i="1"/>
  <c r="W26" i="1"/>
  <c r="V26" i="1"/>
  <c r="U26" i="1"/>
  <c r="W25" i="1"/>
  <c r="V25" i="1"/>
  <c r="U25" i="1"/>
  <c r="W24" i="1"/>
  <c r="V24" i="1"/>
  <c r="U24" i="1"/>
  <c r="W23" i="1"/>
  <c r="V23" i="1"/>
  <c r="U23" i="1"/>
  <c r="W22" i="1"/>
  <c r="V22" i="1"/>
  <c r="U22" i="1"/>
  <c r="W21" i="1"/>
  <c r="V21" i="1"/>
  <c r="U21" i="1"/>
  <c r="W20" i="1"/>
  <c r="V20" i="1"/>
  <c r="U20" i="1"/>
  <c r="W19" i="1"/>
  <c r="V19" i="1"/>
  <c r="U19" i="1"/>
  <c r="W18" i="1"/>
  <c r="V18" i="1"/>
  <c r="U18" i="1"/>
  <c r="W17" i="1"/>
  <c r="V17" i="1"/>
  <c r="U17" i="1"/>
  <c r="W16" i="1"/>
  <c r="V16" i="1"/>
  <c r="U16" i="1"/>
  <c r="W15" i="1"/>
  <c r="V15" i="1"/>
  <c r="U15" i="1"/>
  <c r="W14" i="1"/>
  <c r="V14" i="1"/>
  <c r="U14" i="1"/>
  <c r="W13" i="1"/>
  <c r="V13" i="1"/>
  <c r="U13" i="1"/>
  <c r="W12" i="1"/>
  <c r="V12" i="1"/>
  <c r="U12" i="1"/>
  <c r="W11" i="1"/>
  <c r="V11" i="1"/>
  <c r="U11" i="1"/>
  <c r="W10" i="1"/>
  <c r="V10" i="1"/>
  <c r="U10" i="1"/>
  <c r="W9" i="1"/>
  <c r="V9" i="1"/>
  <c r="U9" i="1"/>
  <c r="W8" i="1"/>
  <c r="V8" i="1"/>
  <c r="U8" i="1"/>
  <c r="W7" i="1"/>
  <c r="V7" i="1"/>
  <c r="U7" i="1"/>
  <c r="W6" i="1"/>
  <c r="V6" i="1"/>
  <c r="U6" i="1"/>
  <c r="W5" i="1"/>
  <c r="V5" i="1"/>
  <c r="U5" i="1"/>
  <c r="W4" i="1"/>
  <c r="V4" i="1"/>
  <c r="U4" i="1"/>
  <c r="W3" i="1"/>
  <c r="V3" i="1"/>
  <c r="U3" i="1"/>
  <c r="C30" i="1" l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B5" i="1" l="1"/>
  <c r="A5" i="1" s="1"/>
  <c r="D6" i="1"/>
  <c r="B6" i="1"/>
  <c r="A6" i="1" s="1"/>
  <c r="D5" i="1"/>
  <c r="Y1" i="1" l="1"/>
  <c r="BO1" i="1" l="1"/>
  <c r="AT1" i="1"/>
  <c r="A30" i="1" l="1"/>
  <c r="A29" i="1"/>
  <c r="A28" i="1"/>
  <c r="A27" i="1"/>
  <c r="A26" i="1"/>
  <c r="A25" i="1"/>
  <c r="A24" i="1"/>
  <c r="A23" i="1"/>
  <c r="A22" i="1"/>
  <c r="A21" i="1"/>
  <c r="A20" i="1"/>
  <c r="A19" i="1"/>
  <c r="A18" i="1"/>
  <c r="D30" i="1" l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W2" i="1" l="1"/>
  <c r="V2" i="1"/>
  <c r="U2" i="1"/>
  <c r="J4" i="1" l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B8" i="1" l="1"/>
  <c r="A8" i="1" s="1"/>
  <c r="A7" i="1"/>
  <c r="J5" i="1"/>
  <c r="B9" i="1"/>
  <c r="A9" i="1" s="1"/>
  <c r="O4" i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17" i="1"/>
  <c r="T16" i="1"/>
  <c r="T4" i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5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6" i="1" l="1"/>
  <c r="T5" i="1"/>
  <c r="O6" i="1"/>
  <c r="B10" i="1"/>
  <c r="O7" i="1" l="1"/>
  <c r="J7" i="1"/>
  <c r="J8" i="1"/>
  <c r="B11" i="1"/>
  <c r="A11" i="1" s="1"/>
  <c r="A10" i="1"/>
  <c r="O8" i="1"/>
  <c r="T6" i="1"/>
  <c r="B12" i="1"/>
  <c r="A12" i="1" s="1"/>
  <c r="T7" i="1" l="1"/>
  <c r="J9" i="1"/>
  <c r="T8" i="1"/>
  <c r="O9" i="1"/>
  <c r="B13" i="1"/>
  <c r="A13" i="1" s="1"/>
  <c r="J10" i="1" l="1"/>
  <c r="J11" i="1"/>
  <c r="O10" i="1"/>
  <c r="T9" i="1"/>
  <c r="B14" i="1"/>
  <c r="A14" i="1" s="1"/>
  <c r="O11" i="1" l="1"/>
  <c r="J12" i="1"/>
  <c r="T10" i="1"/>
  <c r="J13" i="1" l="1"/>
  <c r="O12" i="1"/>
  <c r="T11" i="1"/>
  <c r="J14" i="1" l="1"/>
  <c r="O13" i="1"/>
  <c r="T12" i="1"/>
  <c r="O14" i="1" l="1"/>
  <c r="J15" i="1"/>
  <c r="T13" i="1"/>
  <c r="T14" i="1" l="1"/>
  <c r="O15" i="1"/>
  <c r="T15" i="1" l="1"/>
</calcChain>
</file>

<file path=xl/sharedStrings.xml><?xml version="1.0" encoding="utf-8"?>
<sst xmlns="http://schemas.openxmlformats.org/spreadsheetml/2006/main" count="477" uniqueCount="142">
  <si>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</si>
  <si>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</si>
  <si>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</si>
  <si>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</si>
  <si>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</si>
  <si>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</si>
  <si>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</si>
  <si>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</si>
  <si>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</si>
  <si>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</si>
  <si>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</si>
  <si>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</si>
  <si>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</si>
  <si>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</si>
  <si>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</si>
  <si>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</si>
  <si>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</si>
  <si>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</si>
  <si>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</si>
  <si>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</si>
  <si>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</si>
  <si>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</si>
  <si>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</si>
  <si>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</si>
  <si>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</si>
  <si>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</si>
  <si>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</si>
  <si>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</si>
  <si>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</si>
  <si>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</si>
  <si>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</si>
  <si>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</si>
  <si>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</si>
  <si>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</si>
  <si>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</si>
  <si>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</si>
  <si>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</si>
  <si>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</si>
  <si>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</si>
  <si>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</si>
  <si>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</si>
  <si>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</si>
  <si>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</si>
  <si>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</si>
  <si>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</si>
  <si>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</si>
  <si>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</si>
  <si>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</si>
  <si>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</si>
  <si>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</si>
  <si>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</si>
  <si>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</si>
  <si>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</si>
  <si>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</si>
  <si>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</si>
  <si>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</si>
  <si>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</si>
  <si>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</si>
  <si>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</si>
  <si>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</si>
  <si>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</si>
  <si>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</si>
  <si>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</si>
  <si>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</si>
  <si>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</si>
  <si>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</si>
  <si>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</si>
  <si>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</si>
  <si>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</si>
  <si>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</si>
  <si>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</si>
  <si>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</si>
  <si>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</si>
  <si>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</si>
  <si>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</si>
  <si>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</si>
  <si>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</si>
  <si>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</si>
  <si>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</si>
  <si>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</si>
  <si>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</si>
  <si>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</si>
  <si>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</si>
  <si>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</si>
  <si>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</si>
  <si>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</si>
  <si>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</si>
  <si>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</si>
  <si>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</si>
  <si>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</si>
  <si>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</si>
  <si>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</si>
  <si>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</si>
  <si>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</si>
  <si>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</si>
  <si>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</si>
  <si>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</si>
  <si>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</si>
  <si>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</si>
  <si>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</si>
  <si>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</si>
  <si>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</si>
  <si>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</si>
  <si>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</si>
  <si>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</si>
  <si>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</si>
  <si>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</si>
  <si>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</si>
  <si>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</si>
  <si>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</si>
  <si>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</si>
  <si>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</si>
  <si>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</si>
  <si>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</si>
  <si>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</si>
  <si>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</si>
  <si>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</si>
  <si>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</si>
  <si>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</si>
  <si>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</si>
  <si>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</si>
  <si>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</si>
  <si>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</si>
  <si>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</si>
  <si>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</si>
  <si>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</si>
  <si>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</si>
  <si>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</si>
  <si>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</si>
  <si>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</si>
  <si>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</si>
  <si>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</si>
  <si>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</si>
  <si>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</si>
  <si>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</si>
  <si>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Player1</t>
  </si>
  <si>
    <t>Player2</t>
  </si>
  <si>
    <t>Player3</t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</si>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</sst>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8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1" t="s">
        <v>0</v>
      </c>
      <c r="B1" s="73" t="s">
        <v>2</v>
      </c>
      <c r="C1" s="73" t="s">
        <v>1</v>
      </c>
      <c r="D1" s="73" t="s">
        <v>22</v>
      </c>
      <c r="E1" s="75" t="s">
        <v>3</v>
      </c>
      <c r="F1" s="66" t="s">
        <v>135</v>
      </c>
      <c r="G1" s="68"/>
      <c r="H1" s="68"/>
      <c r="I1" s="77"/>
      <c r="J1" s="69"/>
      <c r="K1" s="66" t="s">
        <v>136</v>
      </c>
      <c r="L1" s="68"/>
      <c r="M1" s="68"/>
      <c r="N1" s="77"/>
      <c r="O1" s="69"/>
      <c r="P1" s="66" t="s">
        <v>137</v>
      </c>
      <c r="Q1" s="68"/>
      <c r="R1" s="68"/>
      <c r="S1" s="77"/>
      <c r="T1" s="69"/>
      <c r="U1" s="66" t="s">
        <v>6</v>
      </c>
      <c r="V1" s="68"/>
      <c r="W1" s="69"/>
      <c r="Y1" s="66" t="str">
        <f>F1</f>
        <v>Player1</v>
      </c>
      <c r="Z1" s="67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9"/>
      <c r="AT1" s="66" t="str">
        <f>K1</f>
        <v>Player2</v>
      </c>
      <c r="AU1" s="67"/>
      <c r="AV1" s="68"/>
      <c r="AW1" s="68"/>
      <c r="AX1" s="68"/>
      <c r="AY1" s="68"/>
      <c r="AZ1" s="68"/>
      <c r="BA1" s="68"/>
      <c r="BB1" s="68"/>
      <c r="BC1" s="68"/>
      <c r="BD1" s="68"/>
      <c r="BE1" s="68"/>
      <c r="BF1" s="68"/>
      <c r="BG1" s="68"/>
      <c r="BH1" s="68"/>
      <c r="BI1" s="68"/>
      <c r="BJ1" s="68"/>
      <c r="BK1" s="68"/>
      <c r="BL1" s="68"/>
      <c r="BM1" s="68"/>
      <c r="BN1" s="69"/>
      <c r="BO1" s="66" t="str">
        <f>P1</f>
        <v>Player3</v>
      </c>
      <c r="BP1" s="67"/>
      <c r="BQ1" s="68"/>
      <c r="BR1" s="68"/>
      <c r="BS1" s="68"/>
      <c r="BT1" s="68"/>
      <c r="BU1" s="68"/>
      <c r="BV1" s="68"/>
      <c r="BW1" s="68"/>
      <c r="BX1" s="68"/>
      <c r="BY1" s="68"/>
      <c r="BZ1" s="68"/>
      <c r="CA1" s="68"/>
      <c r="CB1" s="68"/>
      <c r="CC1" s="68"/>
      <c r="CD1" s="68"/>
      <c r="CE1" s="68"/>
      <c r="CF1" s="68"/>
      <c r="CG1" s="68"/>
      <c r="CH1" s="68"/>
      <c r="CI1" s="69"/>
    </row>
    <row r="2" spans="1:87" x14ac:dyDescent="0.4">
      <c r="A2" s="72"/>
      <c r="B2" s="74"/>
      <c r="C2" s="74"/>
      <c r="D2" s="74"/>
      <c r="E2" s="76"/>
      <c r="F2" s="1" t="s">
        <v>5</v>
      </c>
      <c r="G2" s="2" t="s">
        <v>9</v>
      </c>
      <c r="H2" s="2" t="s">
        <v>23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26" t="str">
        <f>$F$1</f>
        <v>Player1</v>
      </c>
      <c r="V2" s="27" t="str">
        <f>$K$1</f>
        <v>Player2</v>
      </c>
      <c r="W2" s="16" t="str">
        <f>$P$1</f>
        <v>Player3</v>
      </c>
      <c r="Y2" s="29" t="s">
        <v>24</v>
      </c>
      <c r="Z2" s="39" t="s">
        <v>27</v>
      </c>
      <c r="AA2" s="30" t="s">
        <v>25</v>
      </c>
      <c r="AB2" s="30" t="s">
        <v>128</v>
      </c>
      <c r="AC2" s="30" t="s">
        <v>19</v>
      </c>
      <c r="AD2" s="31" t="s">
        <v>20</v>
      </c>
      <c r="AE2" s="70" t="s">
        <v>21</v>
      </c>
      <c r="AF2" s="70"/>
      <c r="AG2" s="70"/>
      <c r="AH2" s="70"/>
      <c r="AI2" s="70"/>
      <c r="AJ2" s="70"/>
      <c r="AK2" s="70"/>
      <c r="AL2" s="70"/>
      <c r="AM2" s="70"/>
      <c r="AN2" s="70"/>
      <c r="AO2" s="70"/>
      <c r="AP2" s="70"/>
      <c r="AQ2" s="70"/>
      <c r="AR2" s="70"/>
      <c r="AS2" s="70"/>
      <c r="AT2" s="29" t="s">
        <v>24</v>
      </c>
      <c r="AU2" s="39" t="s">
        <v>27</v>
      </c>
      <c r="AV2" s="30" t="s">
        <v>25</v>
      </c>
      <c r="AW2" s="30" t="s">
        <v>129</v>
      </c>
      <c r="AX2" s="30" t="s">
        <v>19</v>
      </c>
      <c r="AY2" s="31" t="s">
        <v>20</v>
      </c>
      <c r="AZ2" s="70" t="s">
        <v>21</v>
      </c>
      <c r="BA2" s="70"/>
      <c r="BB2" s="70"/>
      <c r="BC2" s="70"/>
      <c r="BD2" s="70"/>
      <c r="BE2" s="70"/>
      <c r="BF2" s="70"/>
      <c r="BG2" s="70"/>
      <c r="BH2" s="70"/>
      <c r="BI2" s="70"/>
      <c r="BJ2" s="70"/>
      <c r="BK2" s="70"/>
      <c r="BL2" s="70"/>
      <c r="BM2" s="70"/>
      <c r="BN2" s="70"/>
      <c r="BO2" s="29" t="s">
        <v>24</v>
      </c>
      <c r="BP2" s="39" t="s">
        <v>27</v>
      </c>
      <c r="BQ2" s="30" t="s">
        <v>25</v>
      </c>
      <c r="BR2" s="30" t="s">
        <v>129</v>
      </c>
      <c r="BS2" s="30" t="s">
        <v>19</v>
      </c>
      <c r="BT2" s="31" t="s">
        <v>20</v>
      </c>
      <c r="BU2" s="70" t="s">
        <v>21</v>
      </c>
      <c r="BV2" s="70"/>
      <c r="BW2" s="70"/>
      <c r="BX2" s="70"/>
      <c r="BY2" s="70"/>
      <c r="BZ2" s="70"/>
      <c r="CA2" s="70"/>
      <c r="CB2" s="70"/>
      <c r="CC2" s="70"/>
      <c r="CD2" s="70"/>
      <c r="CE2" s="70"/>
      <c r="CF2" s="70"/>
      <c r="CG2" s="70"/>
      <c r="CH2" s="70"/>
      <c r="CI2" s="70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/>
      <c r="F4" s="8"/>
      <c r="G4" s="9"/>
      <c r="H4" s="9"/>
      <c r="I4" s="55"/>
      <c r="J4" s="21" t="str">
        <f>IF(COUNTA($F4,$K4,$P4)&gt;0,J3+SUM(G4:I4),"")</f>
        <v/>
      </c>
      <c r="K4" s="8"/>
      <c r="L4" s="9"/>
      <c r="M4" s="9"/>
      <c r="N4" s="55"/>
      <c r="O4" s="21" t="str">
        <f>IF(COUNTA($F4,$K4,$P4)&gt;0,O3+SUM(L4:N4),"")</f>
        <v/>
      </c>
      <c r="P4" s="8"/>
      <c r="Q4" s="9"/>
      <c r="R4" s="9"/>
      <c r="S4" s="55"/>
      <c r="T4" s="21" t="str">
        <f>IF(COUNTA($F4,$K4,$P4)&gt;0,T3+SUM(Q4:S4),"")</f>
        <v/>
      </c>
      <c r="U4" s="60" t="str">
        <f>IF($J4="","",ROUND(($J4-$J$3)/1000,1)+(_xlfn.RANK.AVG($J4,($J4,$O4,$T4),1)-2)*20)</f>
        <v/>
      </c>
      <c r="V4" s="61" t="str">
        <f>IF($O4="","",ROUND(($O4-$O$3)/1000,1)+(_xlfn.RANK.AVG($O4,($J4,$O4,$T4),1)-2)*20)</f>
        <v/>
      </c>
      <c r="W4" s="62" t="str">
        <f>IF($T4="","",ROUND(($T4-$T$3)/1000,1)+(_xlfn.RANK.AVG($T4,($J4,$O4,$T4),1)-2)*20)</f>
        <v/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6" si="0">IF($E5="","",IF(AND(B4=3,B5=1),_xlfn.SWITCH(A4,"東","南","南","西","西","北","北","東"),A4))</f>
        <v/>
      </c>
      <c r="B5" s="18" t="str">
        <f>IF($E5="","",IF($E4=$E5,B4,IF(B4=3,1,B4+1)))</f>
        <v/>
      </c>
      <c r="C5" s="18" t="str">
        <f>IF($E5="","",IF($F4="チョンボ",C4,IF(OR($E4=$E5,$F4="流局"),C4+1,0)))</f>
        <v/>
      </c>
      <c r="D5" s="18" t="str">
        <f t="shared" ref="D5:D30" si="1">IF($E5="","",IF(OR($F4="流局",$F4="チョンボ"),D4+($H4+$M4+$R4)/-1000,0))</f>
        <v/>
      </c>
      <c r="E5" s="4"/>
      <c r="F5" s="8"/>
      <c r="G5" s="9"/>
      <c r="H5" s="9"/>
      <c r="I5" s="55"/>
      <c r="J5" s="21" t="str">
        <f t="shared" ref="J5:J30" si="2">IF(COUNTA($F5,$K5,$P5)&gt;0,J4+SUM(G5:I5),"")</f>
        <v/>
      </c>
      <c r="K5" s="8"/>
      <c r="L5" s="9"/>
      <c r="M5" s="9"/>
      <c r="N5" s="55"/>
      <c r="O5" s="21" t="str">
        <f t="shared" ref="O5:O30" si="3">IF(COUNTA($F5,$K5,$P5)&gt;0,O4+SUM(L5:N5),"")</f>
        <v/>
      </c>
      <c r="P5" s="8"/>
      <c r="Q5" s="9"/>
      <c r="R5" s="9"/>
      <c r="S5" s="55"/>
      <c r="T5" s="21" t="str">
        <f t="shared" ref="T5:T30" si="4">IF(COUNTA($F5,$K5,$P5)&gt;0,T4+SUM(Q5:S5),"")</f>
        <v/>
      </c>
      <c r="U5" s="60" t="str">
        <f>IF($J5="","",ROUND(($J5-$J$3)/1000,1)+(_xlfn.RANK.AVG($J5,($J5,$O5,$T5),1)-2)*20)</f>
        <v/>
      </c>
      <c r="V5" s="61" t="str">
        <f>IF($O5="","",ROUND(($O5-$O$3)/1000,1)+(_xlfn.RANK.AVG($O5,($J5,$O5,$T5),1)-2)*20)</f>
        <v/>
      </c>
      <c r="W5" s="62" t="str">
        <f>IF($T5="","",ROUND(($T5-$T$3)/1000,1)+(_xlfn.RANK.AVG($T5,($J5,$O5,$T5),1)-2)*20)</f>
        <v/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/>
      </c>
      <c r="B6" s="18" t="str">
        <f t="shared" ref="B6:B30" si="5">IF($E6="","",IF($E5=$E6,B5,IF(B5=3,1,B5+1)))</f>
        <v/>
      </c>
      <c r="C6" s="18" t="str">
        <f t="shared" ref="C6:C30" si="6">IF($E6="","",IF($F5="チョンボ",C5,IF(OR($E5=$E6,$F5="流局"),C5+1,0)))</f>
        <v/>
      </c>
      <c r="D6" s="18" t="str">
        <f t="shared" si="1"/>
        <v/>
      </c>
      <c r="E6" s="4"/>
      <c r="F6" s="8"/>
      <c r="G6" s="9"/>
      <c r="H6" s="9"/>
      <c r="I6" s="55"/>
      <c r="J6" s="21" t="str">
        <f t="shared" si="2"/>
        <v/>
      </c>
      <c r="K6" s="8"/>
      <c r="L6" s="9"/>
      <c r="M6" s="9"/>
      <c r="N6" s="55"/>
      <c r="O6" s="21" t="str">
        <f t="shared" si="3"/>
        <v/>
      </c>
      <c r="P6" s="8"/>
      <c r="Q6" s="9"/>
      <c r="R6" s="9"/>
      <c r="S6" s="55"/>
      <c r="T6" s="21" t="str">
        <f t="shared" si="4"/>
        <v/>
      </c>
      <c r="U6" s="60" t="str">
        <f>IF($J6="","",ROUND(($J6-$J$3)/1000,1)+(_xlfn.RANK.AVG($J6,($J6,$O6,$T6),1)-2)*20)</f>
        <v/>
      </c>
      <c r="V6" s="61" t="str">
        <f>IF($O6="","",ROUND(($O6-$O$3)/1000,1)+(_xlfn.RANK.AVG($O6,($J6,$O6,$T6),1)-2)*20)</f>
        <v/>
      </c>
      <c r="W6" s="62" t="str">
        <f>IF($T6="","",ROUND(($T6-$T$3)/1000,1)+(_xlfn.RANK.AVG($T6,($J6,$O6,$T6),1)-2)*20)</f>
        <v/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7">IF($E7="","",IF(AND(B6=3,B7=1),_xlfn.SWITCH(A6,"東","南","南","西","西","北","北","東"),A6))</f>
        <v/>
      </c>
      <c r="B7" s="18" t="str">
        <f t="shared" si="5"/>
        <v/>
      </c>
      <c r="C7" s="18" t="str">
        <f t="shared" si="6"/>
        <v/>
      </c>
      <c r="D7" s="18" t="str">
        <f t="shared" si="1"/>
        <v/>
      </c>
      <c r="E7" s="4"/>
      <c r="F7" s="8"/>
      <c r="G7" s="9"/>
      <c r="H7" s="9"/>
      <c r="I7" s="55"/>
      <c r="J7" s="21" t="str">
        <f t="shared" si="2"/>
        <v/>
      </c>
      <c r="K7" s="8"/>
      <c r="L7" s="9"/>
      <c r="M7" s="9"/>
      <c r="N7" s="55"/>
      <c r="O7" s="21" t="str">
        <f t="shared" si="3"/>
        <v/>
      </c>
      <c r="P7" s="8"/>
      <c r="Q7" s="9"/>
      <c r="R7" s="9"/>
      <c r="S7" s="55"/>
      <c r="T7" s="21" t="str">
        <f t="shared" si="4"/>
        <v/>
      </c>
      <c r="U7" s="60" t="str">
        <f>IF($J7="","",ROUND(($J7-$J$3)/1000,1)+(_xlfn.RANK.AVG($J7,($J7,$O7,$T7),1)-2)*20)</f>
        <v/>
      </c>
      <c r="V7" s="61" t="str">
        <f>IF($O7="","",ROUND(($O7-$O$3)/1000,1)+(_xlfn.RANK.AVG($O7,($J7,$O7,$T7),1)-2)*20)</f>
        <v/>
      </c>
      <c r="W7" s="62" t="str">
        <f>IF($T7="","",ROUND(($T7-$T$3)/1000,1)+(_xlfn.RANK.AVG($T7,($J7,$O7,$T7),1)-2)*20)</f>
        <v/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7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55"/>
      <c r="J8" s="21" t="str">
        <f t="shared" si="2"/>
        <v/>
      </c>
      <c r="K8" s="8"/>
      <c r="L8" s="9"/>
      <c r="M8" s="9"/>
      <c r="N8" s="55"/>
      <c r="O8" s="21" t="str">
        <f t="shared" si="3"/>
        <v/>
      </c>
      <c r="P8" s="8"/>
      <c r="Q8" s="9"/>
      <c r="R8" s="9"/>
      <c r="S8" s="55"/>
      <c r="T8" s="21" t="str">
        <f t="shared" si="4"/>
        <v/>
      </c>
      <c r="U8" s="60" t="str">
        <f>IF($J8="","",ROUND(($J8-$J$3)/1000,1)+(_xlfn.RANK.AVG($J8,($J8,$O8,$T8),1)-2)*20)</f>
        <v/>
      </c>
      <c r="V8" s="61" t="str">
        <f>IF($O8="","",ROUND(($O8-$O$3)/1000,1)+(_xlfn.RANK.AVG($O8,($J8,$O8,$T8),1)-2)*20)</f>
        <v/>
      </c>
      <c r="W8" s="62" t="str">
        <f>IF($T8="","",ROUND(($T8-$T$3)/1000,1)+(_xlfn.RANK.AVG($T8,($J8,$O8,$T8),1)-2)*20)</f>
        <v/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7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55"/>
      <c r="J9" s="21" t="str">
        <f t="shared" si="2"/>
        <v/>
      </c>
      <c r="K9" s="8"/>
      <c r="L9" s="9"/>
      <c r="M9" s="9"/>
      <c r="N9" s="55"/>
      <c r="O9" s="21" t="str">
        <f t="shared" si="3"/>
        <v/>
      </c>
      <c r="P9" s="8"/>
      <c r="Q9" s="9"/>
      <c r="R9" s="9"/>
      <c r="S9" s="55"/>
      <c r="T9" s="21" t="str">
        <f t="shared" si="4"/>
        <v/>
      </c>
      <c r="U9" s="60" t="str">
        <f>IF($J9="","",ROUND(($J9-$J$3)/1000,1)+(_xlfn.RANK.AVG($J9,($J9,$O9,$T9),1)-2)*20)</f>
        <v/>
      </c>
      <c r="V9" s="61" t="str">
        <f>IF($O9="","",ROUND(($O9-$O$3)/1000,1)+(_xlfn.RANK.AVG($O9,($J9,$O9,$T9),1)-2)*20)</f>
        <v/>
      </c>
      <c r="W9" s="62" t="str">
        <f>IF($T9="","",ROUND(($T9-$T$3)/1000,1)+(_xlfn.RANK.AVG($T9,($J9,$O9,$T9),1)-2)*20)</f>
        <v/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7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55"/>
      <c r="J10" s="21" t="str">
        <f t="shared" si="2"/>
        <v/>
      </c>
      <c r="K10" s="8"/>
      <c r="L10" s="9"/>
      <c r="M10" s="9"/>
      <c r="N10" s="55"/>
      <c r="O10" s="21" t="str">
        <f t="shared" si="3"/>
        <v/>
      </c>
      <c r="P10" s="8"/>
      <c r="Q10" s="9"/>
      <c r="R10" s="9"/>
      <c r="S10" s="55"/>
      <c r="T10" s="21" t="str">
        <f t="shared" si="4"/>
        <v/>
      </c>
      <c r="U10" s="60" t="str">
        <f>IF($J10="","",ROUND(($J10-$J$3)/1000,1)+(_xlfn.RANK.AVG($J10,($J10,$O10,$T10),1)-2)*20)</f>
        <v/>
      </c>
      <c r="V10" s="61" t="str">
        <f>IF($O10="","",ROUND(($O10-$O$3)/1000,1)+(_xlfn.RANK.AVG($O10,($J10,$O10,$T10),1)-2)*20)</f>
        <v/>
      </c>
      <c r="W10" s="62" t="str">
        <f>IF($T10="","",ROUND(($T10-$T$3)/1000,1)+(_xlfn.RANK.AVG($T10,($J10,$O10,$T10),1)-2)*20)</f>
        <v/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7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55"/>
      <c r="J11" s="21" t="str">
        <f t="shared" si="2"/>
        <v/>
      </c>
      <c r="K11" s="8"/>
      <c r="L11" s="9"/>
      <c r="M11" s="9"/>
      <c r="N11" s="55"/>
      <c r="O11" s="21" t="str">
        <f t="shared" si="3"/>
        <v/>
      </c>
      <c r="P11" s="8"/>
      <c r="Q11" s="9"/>
      <c r="R11" s="9"/>
      <c r="S11" s="55"/>
      <c r="T11" s="21" t="str">
        <f t="shared" si="4"/>
        <v/>
      </c>
      <c r="U11" s="60" t="str">
        <f>IF($J11="","",ROUND(($J11-$J$3)/1000,1)+(_xlfn.RANK.AVG($J11,($J11,$O11,$T11),1)-2)*20)</f>
        <v/>
      </c>
      <c r="V11" s="61" t="str">
        <f>IF($O11="","",ROUND(($O11-$O$3)/1000,1)+(_xlfn.RANK.AVG($O11,($J11,$O11,$T11),1)-2)*20)</f>
        <v/>
      </c>
      <c r="W11" s="62" t="str">
        <f>IF($T11="","",ROUND(($T11-$T$3)/1000,1)+(_xlfn.RANK.AVG($T11,($J11,$O11,$T11),1)-2)*20)</f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7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55"/>
      <c r="J12" s="21" t="str">
        <f t="shared" si="2"/>
        <v/>
      </c>
      <c r="K12" s="8"/>
      <c r="L12" s="9"/>
      <c r="M12" s="9"/>
      <c r="N12" s="55"/>
      <c r="O12" s="21" t="str">
        <f t="shared" si="3"/>
        <v/>
      </c>
      <c r="P12" s="8"/>
      <c r="Q12" s="9"/>
      <c r="R12" s="9"/>
      <c r="S12" s="55"/>
      <c r="T12" s="21" t="str">
        <f t="shared" si="4"/>
        <v/>
      </c>
      <c r="U12" s="60" t="str">
        <f>IF($J12="","",ROUND(($J12-$J$3)/1000,1)+(_xlfn.RANK.AVG($J12,($J12,$O12,$T12),1)-2)*20)</f>
        <v/>
      </c>
      <c r="V12" s="61" t="str">
        <f>IF($O12="","",ROUND(($O12-$O$3)/1000,1)+(_xlfn.RANK.AVG($O12,($J12,$O12,$T12),1)-2)*20)</f>
        <v/>
      </c>
      <c r="W12" s="62" t="str">
        <f>IF($T12="","",ROUND(($T12-$T$3)/1000,1)+(_xlfn.RANK.AVG($T12,($J12,$O12,$T12),1)-2)*20)</f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7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55"/>
      <c r="J13" s="21" t="str">
        <f t="shared" si="2"/>
        <v/>
      </c>
      <c r="K13" s="8"/>
      <c r="L13" s="9"/>
      <c r="M13" s="9"/>
      <c r="N13" s="55"/>
      <c r="O13" s="21" t="str">
        <f t="shared" si="3"/>
        <v/>
      </c>
      <c r="P13" s="8"/>
      <c r="Q13" s="9"/>
      <c r="R13" s="9"/>
      <c r="S13" s="55"/>
      <c r="T13" s="21" t="str">
        <f t="shared" si="4"/>
        <v/>
      </c>
      <c r="U13" s="60" t="str">
        <f>IF($J13="","",ROUND(($J13-$J$3)/1000,1)+(_xlfn.RANK.AVG($J13,($J13,$O13,$T13),1)-2)*20)</f>
        <v/>
      </c>
      <c r="V13" s="61" t="str">
        <f>IF($O13="","",ROUND(($O13-$O$3)/1000,1)+(_xlfn.RANK.AVG($O13,($J13,$O13,$T13),1)-2)*20)</f>
        <v/>
      </c>
      <c r="W13" s="62" t="str">
        <f>IF($T13="","",ROUND(($T13-$T$3)/1000,1)+(_xlfn.RANK.AVG($T13,($J13,$O13,$T13),1)-2)*20)</f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7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55"/>
      <c r="J14" s="21" t="str">
        <f t="shared" si="2"/>
        <v/>
      </c>
      <c r="K14" s="8"/>
      <c r="L14" s="9"/>
      <c r="M14" s="9"/>
      <c r="N14" s="55"/>
      <c r="O14" s="21" t="str">
        <f t="shared" si="3"/>
        <v/>
      </c>
      <c r="P14" s="8"/>
      <c r="Q14" s="9"/>
      <c r="R14" s="9"/>
      <c r="S14" s="55"/>
      <c r="T14" s="21" t="str">
        <f t="shared" si="4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7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7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7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7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7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7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7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7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7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7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7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7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7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7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7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7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3"/>
  <sheetViews>
    <sheetView workbookViewId="0"/>
  </sheetViews>
  <sheetFormatPr defaultRowHeight="18.75" x14ac:dyDescent="0.4"/>
  <cols>
    <col min="1" max="1" width="9" style="43" customWidth="1"/>
    <col min="2" max="2" width="19.25" style="15" bestFit="1" customWidth="1"/>
    <col min="3" max="4" width="6.5" style="15" customWidth="1"/>
  </cols>
  <sheetData>
    <row r="1" spans="1:4" x14ac:dyDescent="0.4">
      <c r="A1" s="43" t="s">
        <v>28</v>
      </c>
      <c r="B1" s="15" t="s">
        <v>29</v>
      </c>
      <c r="C1" s="15" t="s">
        <v>30</v>
      </c>
      <c r="D1" s="15" t="s">
        <v>31</v>
      </c>
    </row>
    <row r="2" spans="1:4" x14ac:dyDescent="0.4">
      <c r="A2" s="43" t="s">
        <v>78</v>
      </c>
      <c r="B2" s="15" t="s">
        <v>133</v>
      </c>
      <c r="C2" s="15">
        <v>1</v>
      </c>
    </row>
    <row r="3" spans="1:4" x14ac:dyDescent="0.4">
      <c r="A3" s="43" t="s">
        <v>79</v>
      </c>
      <c r="B3" s="15" t="s">
        <v>32</v>
      </c>
      <c r="C3" s="15">
        <v>1</v>
      </c>
    </row>
    <row r="4" spans="1:4" x14ac:dyDescent="0.4">
      <c r="A4" s="43" t="s">
        <v>80</v>
      </c>
      <c r="B4" s="15" t="s">
        <v>33</v>
      </c>
      <c r="C4" s="15">
        <v>1</v>
      </c>
      <c r="D4" s="15">
        <v>1</v>
      </c>
    </row>
    <row r="5" spans="1:4" x14ac:dyDescent="0.4">
      <c r="A5" s="43" t="s">
        <v>81</v>
      </c>
      <c r="B5" s="15" t="s">
        <v>34</v>
      </c>
      <c r="C5" s="15">
        <v>1</v>
      </c>
    </row>
    <row r="6" spans="1:4" x14ac:dyDescent="0.4">
      <c r="A6" s="43" t="s">
        <v>82</v>
      </c>
      <c r="B6" s="15" t="s">
        <v>35</v>
      </c>
      <c r="C6" s="15">
        <v>1</v>
      </c>
      <c r="D6" s="15">
        <v>1</v>
      </c>
    </row>
    <row r="7" spans="1:4" x14ac:dyDescent="0.4">
      <c r="A7" s="43" t="s">
        <v>83</v>
      </c>
      <c r="B7" s="15" t="s">
        <v>36</v>
      </c>
      <c r="C7" s="15">
        <v>1</v>
      </c>
    </row>
    <row r="8" spans="1:4" x14ac:dyDescent="0.4">
      <c r="A8" s="43" t="s">
        <v>84</v>
      </c>
      <c r="B8" s="15" t="s">
        <v>37</v>
      </c>
      <c r="C8" s="15">
        <v>1</v>
      </c>
    </row>
    <row r="9" spans="1:4" x14ac:dyDescent="0.4">
      <c r="A9" s="43" t="s">
        <v>85</v>
      </c>
      <c r="B9" s="15" t="s">
        <v>38</v>
      </c>
      <c r="C9" s="15">
        <v>1</v>
      </c>
    </row>
    <row r="10" spans="1:4" x14ac:dyDescent="0.4">
      <c r="A10" s="43" t="s">
        <v>86</v>
      </c>
      <c r="B10" s="15" t="s">
        <v>130</v>
      </c>
      <c r="C10" s="15">
        <v>1</v>
      </c>
      <c r="D10" s="15">
        <v>1</v>
      </c>
    </row>
    <row r="11" spans="1:4" x14ac:dyDescent="0.4">
      <c r="A11" s="43" t="s">
        <v>87</v>
      </c>
      <c r="B11" s="15" t="s">
        <v>39</v>
      </c>
      <c r="C11" s="15">
        <v>1</v>
      </c>
      <c r="D11" s="15">
        <v>1</v>
      </c>
    </row>
    <row r="12" spans="1:4" x14ac:dyDescent="0.4">
      <c r="A12" s="43" t="s">
        <v>88</v>
      </c>
      <c r="B12" s="15" t="s">
        <v>40</v>
      </c>
      <c r="C12" s="15">
        <v>1</v>
      </c>
      <c r="D12" s="15">
        <v>1</v>
      </c>
    </row>
    <row r="13" spans="1:4" x14ac:dyDescent="0.4">
      <c r="A13" s="43" t="s">
        <v>89</v>
      </c>
      <c r="B13" s="15" t="s">
        <v>41</v>
      </c>
      <c r="C13" s="15">
        <v>1</v>
      </c>
      <c r="D13" s="15">
        <v>1</v>
      </c>
    </row>
    <row r="14" spans="1:4" x14ac:dyDescent="0.4">
      <c r="A14" s="43" t="s">
        <v>90</v>
      </c>
      <c r="B14" s="15" t="s">
        <v>42</v>
      </c>
      <c r="C14" s="15">
        <v>1</v>
      </c>
      <c r="D14" s="15">
        <v>1</v>
      </c>
    </row>
    <row r="15" spans="1:4" x14ac:dyDescent="0.4">
      <c r="A15" s="43" t="s">
        <v>91</v>
      </c>
      <c r="B15" s="15" t="s">
        <v>43</v>
      </c>
      <c r="C15" s="15">
        <v>1</v>
      </c>
      <c r="D15" s="15">
        <v>1</v>
      </c>
    </row>
    <row r="16" spans="1:4" x14ac:dyDescent="0.4">
      <c r="A16" s="43" t="s">
        <v>92</v>
      </c>
      <c r="B16" s="15" t="s">
        <v>44</v>
      </c>
      <c r="C16" s="15">
        <v>2</v>
      </c>
    </row>
    <row r="17" spans="1:4" x14ac:dyDescent="0.4">
      <c r="A17" s="43" t="s">
        <v>93</v>
      </c>
      <c r="B17" s="15" t="s">
        <v>45</v>
      </c>
      <c r="C17" s="15">
        <v>2</v>
      </c>
      <c r="D17" s="15">
        <v>1</v>
      </c>
    </row>
    <row r="18" spans="1:4" x14ac:dyDescent="0.4">
      <c r="A18" s="43" t="s">
        <v>94</v>
      </c>
      <c r="B18" s="15" t="s">
        <v>132</v>
      </c>
      <c r="C18" s="15">
        <v>2</v>
      </c>
      <c r="D18" s="15">
        <v>1</v>
      </c>
    </row>
    <row r="19" spans="1:4" x14ac:dyDescent="0.4">
      <c r="A19" s="43" t="s">
        <v>95</v>
      </c>
      <c r="B19" s="15" t="s">
        <v>46</v>
      </c>
      <c r="C19" s="15">
        <v>2</v>
      </c>
      <c r="D19" s="15">
        <v>1</v>
      </c>
    </row>
    <row r="20" spans="1:4" x14ac:dyDescent="0.4">
      <c r="A20" s="43" t="s">
        <v>96</v>
      </c>
      <c r="B20" s="15" t="s">
        <v>47</v>
      </c>
      <c r="C20" s="15">
        <v>2</v>
      </c>
      <c r="D20" s="15">
        <v>2</v>
      </c>
    </row>
    <row r="21" spans="1:4" x14ac:dyDescent="0.4">
      <c r="A21" s="43" t="s">
        <v>97</v>
      </c>
      <c r="B21" s="15" t="s">
        <v>48</v>
      </c>
      <c r="C21" s="15">
        <v>2</v>
      </c>
      <c r="D21" s="15">
        <v>2</v>
      </c>
    </row>
    <row r="22" spans="1:4" x14ac:dyDescent="0.4">
      <c r="A22" s="43" t="s">
        <v>98</v>
      </c>
      <c r="B22" s="15" t="s">
        <v>49</v>
      </c>
      <c r="C22" s="15">
        <v>2</v>
      </c>
      <c r="D22" s="15">
        <v>2</v>
      </c>
    </row>
    <row r="23" spans="1:4" x14ac:dyDescent="0.4">
      <c r="A23" s="43" t="s">
        <v>99</v>
      </c>
      <c r="B23" s="15" t="s">
        <v>50</v>
      </c>
      <c r="C23" s="15">
        <v>2</v>
      </c>
      <c r="D23" s="15">
        <v>2</v>
      </c>
    </row>
    <row r="24" spans="1:4" x14ac:dyDescent="0.4">
      <c r="A24" s="43" t="s">
        <v>100</v>
      </c>
      <c r="B24" s="15" t="s">
        <v>51</v>
      </c>
      <c r="C24" s="15">
        <v>2</v>
      </c>
      <c r="D24" s="15">
        <v>2</v>
      </c>
    </row>
    <row r="25" spans="1:4" x14ac:dyDescent="0.4">
      <c r="A25" s="43" t="s">
        <v>101</v>
      </c>
      <c r="B25" s="15" t="s">
        <v>52</v>
      </c>
      <c r="C25" s="15">
        <v>2</v>
      </c>
      <c r="D25" s="15">
        <v>2</v>
      </c>
    </row>
    <row r="26" spans="1:4" x14ac:dyDescent="0.4">
      <c r="A26" s="43" t="s">
        <v>102</v>
      </c>
      <c r="B26" s="15" t="s">
        <v>53</v>
      </c>
      <c r="C26" s="15">
        <v>2</v>
      </c>
    </row>
    <row r="27" spans="1:4" x14ac:dyDescent="0.4">
      <c r="A27" s="43" t="s">
        <v>103</v>
      </c>
      <c r="B27" s="15" t="s">
        <v>54</v>
      </c>
      <c r="C27" s="15">
        <v>3</v>
      </c>
    </row>
    <row r="28" spans="1:4" x14ac:dyDescent="0.4">
      <c r="A28" s="43" t="s">
        <v>104</v>
      </c>
      <c r="B28" s="15" t="s">
        <v>131</v>
      </c>
      <c r="C28" s="15">
        <v>3</v>
      </c>
      <c r="D28" s="15">
        <v>2</v>
      </c>
    </row>
    <row r="29" spans="1:4" x14ac:dyDescent="0.4">
      <c r="A29" s="43" t="s">
        <v>105</v>
      </c>
      <c r="B29" s="15" t="s">
        <v>55</v>
      </c>
      <c r="C29" s="15">
        <v>3</v>
      </c>
      <c r="D29" s="15">
        <v>2</v>
      </c>
    </row>
    <row r="30" spans="1:4" x14ac:dyDescent="0.4">
      <c r="A30" s="43" t="s">
        <v>106</v>
      </c>
      <c r="B30" s="15" t="s">
        <v>56</v>
      </c>
      <c r="C30" s="15">
        <v>5</v>
      </c>
    </row>
    <row r="31" spans="1:4" x14ac:dyDescent="0.4">
      <c r="A31" s="43" t="s">
        <v>107</v>
      </c>
      <c r="B31" s="15" t="s">
        <v>57</v>
      </c>
      <c r="C31" s="15">
        <v>6</v>
      </c>
      <c r="D31" s="15">
        <v>5</v>
      </c>
    </row>
    <row r="32" spans="1:4" x14ac:dyDescent="0.4">
      <c r="A32" s="43" t="s">
        <v>108</v>
      </c>
      <c r="B32" s="15" t="s">
        <v>58</v>
      </c>
      <c r="C32" s="15">
        <v>13</v>
      </c>
    </row>
    <row r="33" spans="1:4" x14ac:dyDescent="0.4">
      <c r="A33" s="43" t="s">
        <v>109</v>
      </c>
      <c r="B33" s="15" t="s">
        <v>59</v>
      </c>
      <c r="C33" s="15">
        <v>13</v>
      </c>
    </row>
    <row r="34" spans="1:4" x14ac:dyDescent="0.4">
      <c r="A34" s="43" t="s">
        <v>110</v>
      </c>
      <c r="B34" s="15" t="s">
        <v>60</v>
      </c>
      <c r="C34" s="15">
        <v>13</v>
      </c>
      <c r="D34" s="15">
        <v>13</v>
      </c>
    </row>
    <row r="35" spans="1:4" x14ac:dyDescent="0.4">
      <c r="A35" s="43" t="s">
        <v>111</v>
      </c>
      <c r="B35" s="15" t="s">
        <v>61</v>
      </c>
      <c r="C35" s="15">
        <v>13</v>
      </c>
      <c r="D35" s="15">
        <v>13</v>
      </c>
    </row>
    <row r="36" spans="1:4" x14ac:dyDescent="0.4">
      <c r="A36" s="43" t="s">
        <v>112</v>
      </c>
      <c r="B36" s="15" t="s">
        <v>62</v>
      </c>
      <c r="C36" s="15">
        <v>26</v>
      </c>
      <c r="D36" s="15">
        <v>26</v>
      </c>
    </row>
    <row r="37" spans="1:4" x14ac:dyDescent="0.4">
      <c r="A37" s="43" t="s">
        <v>113</v>
      </c>
      <c r="B37" s="15" t="s">
        <v>63</v>
      </c>
      <c r="C37" s="15">
        <v>13</v>
      </c>
      <c r="D37" s="15">
        <v>13</v>
      </c>
    </row>
    <row r="38" spans="1:4" x14ac:dyDescent="0.4">
      <c r="A38" s="43" t="s">
        <v>114</v>
      </c>
      <c r="B38" s="15" t="s">
        <v>64</v>
      </c>
      <c r="C38" s="15">
        <v>13</v>
      </c>
      <c r="D38" s="15">
        <v>13</v>
      </c>
    </row>
    <row r="39" spans="1:4" x14ac:dyDescent="0.4">
      <c r="A39" s="43" t="s">
        <v>115</v>
      </c>
      <c r="B39" s="15" t="s">
        <v>65</v>
      </c>
      <c r="C39" s="15">
        <v>13</v>
      </c>
      <c r="D39" s="15">
        <v>13</v>
      </c>
    </row>
    <row r="40" spans="1:4" x14ac:dyDescent="0.4">
      <c r="A40" s="43" t="s">
        <v>116</v>
      </c>
      <c r="B40" s="15" t="s">
        <v>66</v>
      </c>
      <c r="C40" s="15">
        <v>13</v>
      </c>
      <c r="D40" s="15">
        <v>13</v>
      </c>
    </row>
    <row r="41" spans="1:4" x14ac:dyDescent="0.4">
      <c r="A41" s="43" t="s">
        <v>117</v>
      </c>
      <c r="B41" s="15" t="s">
        <v>67</v>
      </c>
      <c r="C41" s="15">
        <v>13</v>
      </c>
    </row>
    <row r="42" spans="1:4" x14ac:dyDescent="0.4">
      <c r="A42" s="43" t="s">
        <v>118</v>
      </c>
      <c r="B42" s="15" t="s">
        <v>68</v>
      </c>
      <c r="C42" s="15">
        <v>13</v>
      </c>
    </row>
    <row r="43" spans="1:4" x14ac:dyDescent="0.4">
      <c r="A43" s="43" t="s">
        <v>119</v>
      </c>
      <c r="B43" s="15" t="s">
        <v>69</v>
      </c>
      <c r="C43" s="15">
        <v>13</v>
      </c>
    </row>
    <row r="44" spans="1:4" x14ac:dyDescent="0.4">
      <c r="A44" s="43" t="s">
        <v>120</v>
      </c>
      <c r="B44" s="15" t="s">
        <v>70</v>
      </c>
      <c r="C44" s="15">
        <v>13</v>
      </c>
    </row>
    <row r="45" spans="1:4" x14ac:dyDescent="0.4">
      <c r="A45" s="43" t="s">
        <v>121</v>
      </c>
      <c r="B45" s="15" t="s">
        <v>71</v>
      </c>
      <c r="C45" s="15">
        <v>26</v>
      </c>
    </row>
    <row r="46" spans="1:4" x14ac:dyDescent="0.4">
      <c r="A46" s="43" t="s">
        <v>122</v>
      </c>
      <c r="B46" s="15" t="s">
        <v>72</v>
      </c>
      <c r="C46" s="15">
        <v>26</v>
      </c>
    </row>
    <row r="47" spans="1:4" x14ac:dyDescent="0.4">
      <c r="A47" s="43" t="s">
        <v>123</v>
      </c>
      <c r="B47" s="15" t="s">
        <v>73</v>
      </c>
      <c r="C47" s="15">
        <v>26</v>
      </c>
    </row>
    <row r="48" spans="1:4" x14ac:dyDescent="0.4">
      <c r="A48" s="43" t="s">
        <v>124</v>
      </c>
      <c r="B48" s="15" t="s">
        <v>74</v>
      </c>
      <c r="C48" s="15">
        <v>13</v>
      </c>
    </row>
    <row r="49" spans="1:4" x14ac:dyDescent="0.4">
      <c r="A49" s="43" t="s">
        <v>125</v>
      </c>
      <c r="B49" s="15" t="s">
        <v>75</v>
      </c>
      <c r="C49" s="15">
        <v>13</v>
      </c>
    </row>
    <row r="50" spans="1:4" x14ac:dyDescent="0.4">
      <c r="A50" s="43" t="s">
        <v>126</v>
      </c>
      <c r="B50" s="15" t="s">
        <v>76</v>
      </c>
      <c r="C50" s="15">
        <v>13</v>
      </c>
    </row>
    <row r="51" spans="1:4" x14ac:dyDescent="0.4">
      <c r="A51" s="43" t="s">
        <v>127</v>
      </c>
      <c r="B51" s="15" t="s">
        <v>77</v>
      </c>
      <c r="C51" s="15">
        <v>13</v>
      </c>
    </row>
    <row r="52" spans="1:4" x14ac:dyDescent="0.4">
      <c r="A52" s="43" t="s">
        <v>138</v>
      </c>
      <c r="B52" s="15" t="s">
        <v>139</v>
      </c>
      <c r="C52" s="15">
        <v>2</v>
      </c>
    </row>
    <row r="53" spans="1:4" x14ac:dyDescent="0.4">
      <c r="A53" s="43" t="s">
        <v>140</v>
      </c>
      <c r="B53" s="15" t="s">
        <v>141</v>
      </c>
      <c r="C53" s="15">
        <v>1</v>
      </c>
      <c r="D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8"/>
    <col min="13" max="13" width="9" style="38" customWidth="1"/>
    <col min="14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E3" s="38">
        <v>3900</v>
      </c>
      <c r="F3" s="38">
        <v>7700</v>
      </c>
    </row>
    <row r="4" spans="1:13" x14ac:dyDescent="0.4">
      <c r="A4" s="15">
        <v>25</v>
      </c>
      <c r="D4" s="38">
        <v>2400</v>
      </c>
      <c r="E4" s="38">
        <v>4800</v>
      </c>
      <c r="F4" s="38">
        <v>9600</v>
      </c>
    </row>
    <row r="5" spans="1:13" x14ac:dyDescent="0.4">
      <c r="A5" s="15">
        <v>30</v>
      </c>
      <c r="C5" s="38">
        <v>1500</v>
      </c>
      <c r="D5" s="38">
        <v>2900</v>
      </c>
      <c r="E5" s="38">
        <v>5800</v>
      </c>
      <c r="F5" s="38">
        <v>11600</v>
      </c>
    </row>
    <row r="6" spans="1:13" x14ac:dyDescent="0.4">
      <c r="A6" s="15">
        <v>40</v>
      </c>
      <c r="C6" s="38">
        <v>2000</v>
      </c>
      <c r="D6" s="38">
        <v>3900</v>
      </c>
      <c r="E6" s="38">
        <v>7700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2900</v>
      </c>
      <c r="D8" s="38">
        <v>5800</v>
      </c>
      <c r="E8" s="38">
        <v>11600</v>
      </c>
      <c r="F8" s="38">
        <v>12000</v>
      </c>
    </row>
    <row r="9" spans="1:13" x14ac:dyDescent="0.4">
      <c r="A9" s="15">
        <v>70</v>
      </c>
      <c r="C9" s="38">
        <v>3400</v>
      </c>
      <c r="D9" s="38">
        <v>6800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3900</v>
      </c>
      <c r="D10" s="38">
        <v>7700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4400</v>
      </c>
      <c r="D11" s="38">
        <v>8700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D13" s="38">
        <v>10600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C3" s="38" t="s">
        <v>11</v>
      </c>
      <c r="D3" s="38">
        <v>2200</v>
      </c>
      <c r="E3" s="38">
        <v>4000</v>
      </c>
      <c r="F3" s="38">
        <v>7800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4800</v>
      </c>
      <c r="F4" s="38">
        <v>9600</v>
      </c>
    </row>
    <row r="5" spans="1:13" x14ac:dyDescent="0.4">
      <c r="A5" s="15">
        <v>30</v>
      </c>
      <c r="C5" s="38">
        <v>1600</v>
      </c>
      <c r="D5" s="38">
        <v>3000</v>
      </c>
      <c r="E5" s="38">
        <v>6000</v>
      </c>
      <c r="F5" s="38">
        <v>11600</v>
      </c>
    </row>
    <row r="6" spans="1:13" x14ac:dyDescent="0.4">
      <c r="A6" s="15">
        <v>40</v>
      </c>
      <c r="C6" s="38">
        <v>2200</v>
      </c>
      <c r="D6" s="38">
        <v>4000</v>
      </c>
      <c r="E6" s="38">
        <v>7800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3000</v>
      </c>
      <c r="D8" s="38">
        <v>6000</v>
      </c>
      <c r="E8" s="38">
        <v>11600</v>
      </c>
      <c r="F8" s="38">
        <v>12000</v>
      </c>
    </row>
    <row r="9" spans="1:13" x14ac:dyDescent="0.4">
      <c r="A9" s="15">
        <v>70</v>
      </c>
      <c r="C9" s="38">
        <v>3600</v>
      </c>
      <c r="D9" s="38">
        <v>7000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4000</v>
      </c>
      <c r="D10" s="38">
        <v>7800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4600</v>
      </c>
      <c r="D11" s="38">
        <v>8800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C13" s="38" t="s">
        <v>11</v>
      </c>
      <c r="D13" s="38">
        <v>10800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-6000</v>
      </c>
      <c r="H2" s="38">
        <v>-9000</v>
      </c>
      <c r="I2" s="38">
        <v>-12000</v>
      </c>
      <c r="J2" s="38">
        <v>-18000</v>
      </c>
      <c r="K2" s="38">
        <v>-24000</v>
      </c>
      <c r="L2" s="38">
        <v>-48000</v>
      </c>
      <c r="M2" s="38">
        <v>-72000</v>
      </c>
    </row>
    <row r="3" spans="1:13" x14ac:dyDescent="0.4">
      <c r="A3" s="15">
        <v>20</v>
      </c>
      <c r="C3" s="38" t="s">
        <v>11</v>
      </c>
      <c r="D3" s="38">
        <v>-1100</v>
      </c>
      <c r="E3" s="38">
        <v>-2000</v>
      </c>
      <c r="F3" s="38">
        <v>-3900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-2400</v>
      </c>
      <c r="F4" s="38">
        <v>-4800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-800</v>
      </c>
      <c r="D5" s="38">
        <v>-1500</v>
      </c>
      <c r="E5" s="38">
        <v>-3000</v>
      </c>
      <c r="F5" s="38">
        <v>-5800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-1100</v>
      </c>
      <c r="D6" s="38">
        <v>-2000</v>
      </c>
      <c r="E6" s="38">
        <v>-3900</v>
      </c>
      <c r="F6" s="38">
        <v>-6000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-1200</v>
      </c>
      <c r="D7" s="38">
        <v>-2400</v>
      </c>
      <c r="E7" s="38">
        <v>-4800</v>
      </c>
      <c r="F7" s="38">
        <v>-6000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-1500</v>
      </c>
      <c r="D8" s="38">
        <v>-3000</v>
      </c>
      <c r="E8" s="38">
        <v>-5800</v>
      </c>
      <c r="F8" s="38">
        <v>-6000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-1800</v>
      </c>
      <c r="D9" s="38">
        <v>-3500</v>
      </c>
      <c r="E9" s="38">
        <v>-6000</v>
      </c>
      <c r="F9" s="38">
        <v>-6000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-2000</v>
      </c>
      <c r="D10" s="38">
        <v>-3900</v>
      </c>
      <c r="E10" s="38">
        <v>-6000</v>
      </c>
      <c r="F10" s="38">
        <v>-6000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-2300</v>
      </c>
      <c r="D11" s="38">
        <v>-4400</v>
      </c>
      <c r="E11" s="38">
        <v>-6000</v>
      </c>
      <c r="F11" s="38">
        <v>-6000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-2400</v>
      </c>
      <c r="D12" s="38">
        <v>-4800</v>
      </c>
      <c r="E12" s="38">
        <v>-6000</v>
      </c>
      <c r="F12" s="38">
        <v>-6000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-5400</v>
      </c>
      <c r="E13" s="38">
        <v>-6000</v>
      </c>
      <c r="F13" s="38">
        <v>-6000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 t="s">
        <v>11</v>
      </c>
      <c r="E3" s="38">
        <v>2600</v>
      </c>
      <c r="F3" s="38">
        <v>5200</v>
      </c>
    </row>
    <row r="4" spans="1:13" x14ac:dyDescent="0.4">
      <c r="A4" s="15">
        <v>25</v>
      </c>
      <c r="C4" s="38" t="s">
        <v>11</v>
      </c>
      <c r="D4" s="38">
        <v>1600</v>
      </c>
      <c r="E4" s="38">
        <v>3200</v>
      </c>
      <c r="F4" s="38">
        <v>6400</v>
      </c>
    </row>
    <row r="5" spans="1:13" x14ac:dyDescent="0.4">
      <c r="A5" s="15">
        <v>30</v>
      </c>
      <c r="C5" s="38">
        <v>1000</v>
      </c>
      <c r="D5" s="38">
        <v>2000</v>
      </c>
      <c r="E5" s="38">
        <v>3900</v>
      </c>
      <c r="F5" s="38">
        <v>7700</v>
      </c>
    </row>
    <row r="6" spans="1:13" x14ac:dyDescent="0.4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2000</v>
      </c>
      <c r="D8" s="38">
        <v>3900</v>
      </c>
      <c r="E8" s="38">
        <v>7700</v>
      </c>
      <c r="F8" s="38">
        <v>8000</v>
      </c>
    </row>
    <row r="9" spans="1:13" x14ac:dyDescent="0.4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>
        <v>1500</v>
      </c>
      <c r="E3" s="38">
        <v>2800</v>
      </c>
      <c r="F3" s="38">
        <v>5300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3200</v>
      </c>
      <c r="F4" s="38">
        <v>6400</v>
      </c>
    </row>
    <row r="5" spans="1:13" x14ac:dyDescent="0.4">
      <c r="A5" s="15">
        <v>30</v>
      </c>
      <c r="C5" s="38">
        <v>1200</v>
      </c>
      <c r="D5" s="38">
        <v>2100</v>
      </c>
      <c r="E5" s="38">
        <v>4000</v>
      </c>
      <c r="F5" s="38">
        <v>7700</v>
      </c>
    </row>
    <row r="6" spans="1:13" x14ac:dyDescent="0.4">
      <c r="A6" s="15">
        <v>40</v>
      </c>
      <c r="C6" s="38">
        <v>1500</v>
      </c>
      <c r="D6" s="38">
        <v>2800</v>
      </c>
      <c r="E6" s="38">
        <v>5300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2100</v>
      </c>
      <c r="D8" s="38">
        <v>4000</v>
      </c>
      <c r="E8" s="38">
        <v>7700</v>
      </c>
      <c r="F8" s="38">
        <v>8000</v>
      </c>
    </row>
    <row r="9" spans="1:13" x14ac:dyDescent="0.4">
      <c r="A9" s="15">
        <v>70</v>
      </c>
      <c r="C9" s="38">
        <v>2400</v>
      </c>
      <c r="D9" s="38">
        <v>4700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2800</v>
      </c>
      <c r="D10" s="38">
        <v>5300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3100</v>
      </c>
      <c r="D11" s="38">
        <v>6000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7200</v>
      </c>
      <c r="E13" s="38">
        <v>8000</v>
      </c>
      <c r="F13" s="38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-3000</v>
      </c>
      <c r="H2" s="38">
        <v>-4500</v>
      </c>
      <c r="I2" s="38">
        <v>-6000</v>
      </c>
      <c r="J2" s="38">
        <v>-9000</v>
      </c>
      <c r="K2" s="38">
        <v>-12000</v>
      </c>
      <c r="L2" s="38">
        <v>-24000</v>
      </c>
      <c r="M2" s="38">
        <v>-36000</v>
      </c>
    </row>
    <row r="3" spans="1:13" x14ac:dyDescent="0.4">
      <c r="A3" s="15">
        <v>20</v>
      </c>
      <c r="C3" s="38" t="s">
        <v>11</v>
      </c>
      <c r="D3" s="38">
        <v>-600</v>
      </c>
      <c r="E3" s="38">
        <v>-1100</v>
      </c>
      <c r="F3" s="38">
        <v>-2000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-1200</v>
      </c>
      <c r="F4" s="38">
        <v>-2400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-500</v>
      </c>
      <c r="D5" s="38">
        <v>-800</v>
      </c>
      <c r="E5" s="38">
        <v>-1500</v>
      </c>
      <c r="F5" s="38">
        <v>-2900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-600</v>
      </c>
      <c r="D6" s="38">
        <v>-1100</v>
      </c>
      <c r="E6" s="38">
        <v>-2000</v>
      </c>
      <c r="F6" s="38">
        <v>-3000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-600</v>
      </c>
      <c r="D7" s="38">
        <v>-1200</v>
      </c>
      <c r="E7" s="38">
        <v>-2400</v>
      </c>
      <c r="F7" s="38">
        <v>-3000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-800</v>
      </c>
      <c r="D8" s="38">
        <v>-1500</v>
      </c>
      <c r="E8" s="38">
        <v>-2900</v>
      </c>
      <c r="F8" s="38">
        <v>-3000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-900</v>
      </c>
      <c r="D9" s="38">
        <v>-1800</v>
      </c>
      <c r="E9" s="38">
        <v>-3000</v>
      </c>
      <c r="F9" s="38">
        <v>-3000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-1100</v>
      </c>
      <c r="D10" s="38">
        <v>-2000</v>
      </c>
      <c r="E10" s="38">
        <v>-3000</v>
      </c>
      <c r="F10" s="38">
        <v>-3000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-1200</v>
      </c>
      <c r="D11" s="38">
        <v>-2300</v>
      </c>
      <c r="E11" s="38">
        <v>-3000</v>
      </c>
      <c r="F11" s="38">
        <v>-3000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-1200</v>
      </c>
      <c r="D12" s="38">
        <v>-2400</v>
      </c>
      <c r="E12" s="38">
        <v>-3000</v>
      </c>
      <c r="F12" s="38">
        <v>-3000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-2700</v>
      </c>
      <c r="E13" s="38">
        <v>-3000</v>
      </c>
      <c r="F13" s="38">
        <v>-3000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-5000</v>
      </c>
      <c r="H2" s="38">
        <v>-7500</v>
      </c>
      <c r="I2" s="38">
        <v>-10000</v>
      </c>
      <c r="J2" s="38">
        <v>-15000</v>
      </c>
      <c r="K2" s="38">
        <v>-20000</v>
      </c>
      <c r="L2" s="38">
        <v>-40000</v>
      </c>
      <c r="M2" s="38">
        <v>-60000</v>
      </c>
    </row>
    <row r="3" spans="1:13" x14ac:dyDescent="0.4">
      <c r="A3" s="15">
        <v>20</v>
      </c>
      <c r="C3" s="38" t="s">
        <v>11</v>
      </c>
      <c r="D3" s="38">
        <v>-900</v>
      </c>
      <c r="E3" s="38">
        <v>-1700</v>
      </c>
      <c r="F3" s="38">
        <v>-3300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-2000</v>
      </c>
      <c r="F4" s="38">
        <v>-4000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-700</v>
      </c>
      <c r="D5" s="38">
        <v>-1300</v>
      </c>
      <c r="E5" s="38">
        <v>-2500</v>
      </c>
      <c r="F5" s="38">
        <v>-4800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-900</v>
      </c>
      <c r="D6" s="38">
        <v>-1700</v>
      </c>
      <c r="E6" s="38">
        <v>-3300</v>
      </c>
      <c r="F6" s="38">
        <v>-5000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-1000</v>
      </c>
      <c r="D7" s="38">
        <v>-2000</v>
      </c>
      <c r="E7" s="38">
        <v>-4000</v>
      </c>
      <c r="F7" s="38">
        <v>-5000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-1300</v>
      </c>
      <c r="D8" s="38">
        <v>-2500</v>
      </c>
      <c r="E8" s="38">
        <v>-4800</v>
      </c>
      <c r="F8" s="38">
        <v>-5000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-1500</v>
      </c>
      <c r="D9" s="38">
        <v>-2900</v>
      </c>
      <c r="E9" s="38">
        <v>-5000</v>
      </c>
      <c r="F9" s="38">
        <v>-5000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-1700</v>
      </c>
      <c r="D10" s="38">
        <v>-3300</v>
      </c>
      <c r="E10" s="38">
        <v>-5000</v>
      </c>
      <c r="F10" s="38">
        <v>-5000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-1900</v>
      </c>
      <c r="D11" s="38">
        <v>-3700</v>
      </c>
      <c r="E11" s="38">
        <v>-5000</v>
      </c>
      <c r="F11" s="38">
        <v>-5000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-2000</v>
      </c>
      <c r="D12" s="38">
        <v>-4000</v>
      </c>
      <c r="E12" s="38">
        <v>-5000</v>
      </c>
      <c r="F12" s="38">
        <v>-5000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-4500</v>
      </c>
      <c r="E13" s="38">
        <v>-5000</v>
      </c>
      <c r="F13" s="38">
        <v>-5000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2019-04-10T16:01:09Z</dcterms:modified>
</cp:coreProperties>
</file>