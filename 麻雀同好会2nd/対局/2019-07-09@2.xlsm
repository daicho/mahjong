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0833FBD-1E46-40BC-A3E2-9542766D62C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T11" i="24"/>
  <c r="O11" i="24"/>
  <c r="J11" i="24"/>
  <c r="U11" i="24" s="1"/>
  <c r="D11" i="24"/>
  <c r="C11" i="24"/>
  <c r="B11" i="24"/>
  <c r="A11" i="24"/>
  <c r="D10" i="24"/>
  <c r="C10" i="24"/>
  <c r="D9" i="24"/>
  <c r="C9" i="24"/>
  <c r="D7" i="24"/>
  <c r="D8" i="24" s="1"/>
  <c r="C7" i="24"/>
  <c r="C8" i="24" s="1"/>
  <c r="D6" i="24"/>
  <c r="C6" i="24"/>
  <c r="B6" i="24"/>
  <c r="B7" i="24" s="1"/>
  <c r="J5" i="24"/>
  <c r="D5" i="24"/>
  <c r="C5" i="24"/>
  <c r="B5" i="24"/>
  <c r="A5" i="24" s="1"/>
  <c r="T4" i="24"/>
  <c r="T5" i="24" s="1"/>
  <c r="O4" i="24"/>
  <c r="O5" i="24" s="1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C13" i="23"/>
  <c r="D12" i="23"/>
  <c r="C12" i="23"/>
  <c r="D11" i="23"/>
  <c r="D10" i="23"/>
  <c r="C10" i="23"/>
  <c r="C11" i="23" s="1"/>
  <c r="D9" i="23"/>
  <c r="C9" i="23"/>
  <c r="D8" i="23"/>
  <c r="D7" i="23"/>
  <c r="D6" i="23"/>
  <c r="C6" i="23"/>
  <c r="C7" i="23" s="1"/>
  <c r="C8" i="23" s="1"/>
  <c r="J5" i="23"/>
  <c r="D5" i="23"/>
  <c r="C5" i="23"/>
  <c r="B5" i="23"/>
  <c r="B6" i="23" s="1"/>
  <c r="T4" i="23"/>
  <c r="T5" i="23" s="1"/>
  <c r="O4" i="23"/>
  <c r="J4" i="23"/>
  <c r="U4" i="23" s="1"/>
  <c r="W3" i="23"/>
  <c r="V3" i="23"/>
  <c r="U3" i="23"/>
  <c r="W2" i="23"/>
  <c r="V2" i="23"/>
  <c r="U2" i="23"/>
  <c r="BO1" i="23"/>
  <c r="AT1" i="23"/>
  <c r="Y1" i="23"/>
  <c r="V11" i="24" l="1"/>
  <c r="W11" i="24"/>
  <c r="A6" i="24"/>
  <c r="U5" i="24"/>
  <c r="U4" i="24"/>
  <c r="V5" i="24"/>
  <c r="O6" i="24"/>
  <c r="W5" i="24"/>
  <c r="T6" i="24"/>
  <c r="A7" i="24"/>
  <c r="B8" i="24"/>
  <c r="A8" i="24" s="1"/>
  <c r="J6" i="24"/>
  <c r="V4" i="24"/>
  <c r="W4" i="24"/>
  <c r="A5" i="23"/>
  <c r="V4" i="23"/>
  <c r="T6" i="23"/>
  <c r="A6" i="23"/>
  <c r="B7" i="23"/>
  <c r="O5" i="23"/>
  <c r="J6" i="23"/>
  <c r="W4" i="23"/>
  <c r="U6" i="24" l="1"/>
  <c r="J7" i="24"/>
  <c r="V6" i="24"/>
  <c r="O7" i="24"/>
  <c r="B9" i="24"/>
  <c r="A9" i="24" s="1"/>
  <c r="W6" i="24"/>
  <c r="T7" i="24"/>
  <c r="B8" i="23"/>
  <c r="J7" i="23"/>
  <c r="T7" i="23"/>
  <c r="V5" i="23"/>
  <c r="O6" i="23"/>
  <c r="A7" i="23"/>
  <c r="A8" i="23" s="1"/>
  <c r="W5" i="23"/>
  <c r="U5" i="23"/>
  <c r="O8" i="24" l="1"/>
  <c r="V7" i="24"/>
  <c r="U7" i="24"/>
  <c r="J8" i="24"/>
  <c r="T8" i="24"/>
  <c r="W7" i="24"/>
  <c r="B10" i="24"/>
  <c r="A10" i="24" s="1"/>
  <c r="J8" i="23"/>
  <c r="V6" i="23"/>
  <c r="O7" i="23"/>
  <c r="T8" i="23"/>
  <c r="W7" i="23"/>
  <c r="W6" i="23"/>
  <c r="U6" i="23"/>
  <c r="B9" i="23"/>
  <c r="A9" i="23" s="1"/>
  <c r="J9" i="24" l="1"/>
  <c r="U8" i="24"/>
  <c r="W8" i="24"/>
  <c r="T9" i="24"/>
  <c r="V8" i="24"/>
  <c r="O9" i="24"/>
  <c r="T9" i="23"/>
  <c r="O8" i="23"/>
  <c r="W8" i="23" s="1"/>
  <c r="V7" i="23"/>
  <c r="U8" i="23"/>
  <c r="J9" i="23"/>
  <c r="B10" i="23"/>
  <c r="A10" i="23" s="1"/>
  <c r="U7" i="23"/>
  <c r="V9" i="24" l="1"/>
  <c r="O10" i="24"/>
  <c r="V10" i="24" s="1"/>
  <c r="W9" i="24"/>
  <c r="T10" i="24"/>
  <c r="W10" i="24" s="1"/>
  <c r="U9" i="24"/>
  <c r="J10" i="24"/>
  <c r="V8" i="23"/>
  <c r="O9" i="23"/>
  <c r="U9" i="23"/>
  <c r="J10" i="23"/>
  <c r="B11" i="23"/>
  <c r="A11" i="23" s="1"/>
  <c r="W9" i="23"/>
  <c r="T10" i="23"/>
  <c r="U10" i="24" l="1"/>
  <c r="T11" i="23"/>
  <c r="B12" i="23"/>
  <c r="J11" i="23"/>
  <c r="V9" i="23"/>
  <c r="O10" i="23"/>
  <c r="W10" i="23" s="1"/>
  <c r="J12" i="23" l="1"/>
  <c r="B13" i="23"/>
  <c r="A13" i="23"/>
  <c r="V10" i="23"/>
  <c r="O11" i="23"/>
  <c r="U10" i="23"/>
  <c r="A12" i="23"/>
  <c r="T12" i="23"/>
  <c r="T13" i="23" l="1"/>
  <c r="J13" i="23"/>
  <c r="O12" i="23"/>
  <c r="V11" i="23"/>
  <c r="W11" i="23"/>
  <c r="U11" i="23"/>
  <c r="V12" i="23" l="1"/>
  <c r="O13" i="23"/>
  <c r="V13" i="23" s="1"/>
  <c r="U12" i="23"/>
  <c r="W13" i="23"/>
  <c r="U13" i="23"/>
  <c r="W12" i="23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W13" i="22" s="1"/>
  <c r="O13" i="22"/>
  <c r="J13" i="22"/>
  <c r="D13" i="22"/>
  <c r="C13" i="22"/>
  <c r="B13" i="22"/>
  <c r="A13" i="22" s="1"/>
  <c r="T12" i="22"/>
  <c r="O12" i="22"/>
  <c r="J12" i="22"/>
  <c r="D12" i="22"/>
  <c r="C12" i="22"/>
  <c r="B12" i="22"/>
  <c r="A12" i="22" s="1"/>
  <c r="T11" i="22"/>
  <c r="O11" i="22"/>
  <c r="J11" i="22"/>
  <c r="U11" i="22" s="1"/>
  <c r="D11" i="22"/>
  <c r="C11" i="22"/>
  <c r="B11" i="22"/>
  <c r="A11" i="22"/>
  <c r="T10" i="22"/>
  <c r="O10" i="22"/>
  <c r="J10" i="22"/>
  <c r="D10" i="22"/>
  <c r="C10" i="22"/>
  <c r="B10" i="22"/>
  <c r="A10" i="22" s="1"/>
  <c r="D9" i="22"/>
  <c r="C9" i="22"/>
  <c r="D8" i="22"/>
  <c r="C8" i="22"/>
  <c r="D7" i="22"/>
  <c r="C7" i="22"/>
  <c r="J6" i="22"/>
  <c r="D6" i="22"/>
  <c r="C6" i="22"/>
  <c r="J5" i="22"/>
  <c r="D5" i="22"/>
  <c r="C5" i="22"/>
  <c r="B5" i="22"/>
  <c r="B6" i="22" s="1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 s="1"/>
  <c r="D9" i="21"/>
  <c r="C9" i="21"/>
  <c r="D8" i="21"/>
  <c r="C8" i="21"/>
  <c r="D7" i="21"/>
  <c r="C7" i="21"/>
  <c r="D6" i="21"/>
  <c r="B6" i="21"/>
  <c r="B7" i="21" s="1"/>
  <c r="D5" i="21"/>
  <c r="C5" i="21"/>
  <c r="C6" i="21" s="1"/>
  <c r="B5" i="21"/>
  <c r="A5" i="21" s="1"/>
  <c r="A6" i="21" s="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U13" i="22" l="1"/>
  <c r="V13" i="22"/>
  <c r="U12" i="22"/>
  <c r="W12" i="22"/>
  <c r="V12" i="22"/>
  <c r="V11" i="22"/>
  <c r="W11" i="22"/>
  <c r="U10" i="22"/>
  <c r="V10" i="22"/>
  <c r="W10" i="22"/>
  <c r="U4" i="22"/>
  <c r="W4" i="22"/>
  <c r="V4" i="22"/>
  <c r="O6" i="22"/>
  <c r="B7" i="22"/>
  <c r="A7" i="22" s="1"/>
  <c r="T5" i="22"/>
  <c r="A5" i="22"/>
  <c r="A6" i="22" s="1"/>
  <c r="J7" i="22"/>
  <c r="W4" i="21"/>
  <c r="J6" i="21"/>
  <c r="A7" i="21"/>
  <c r="B8" i="21"/>
  <c r="A8" i="21" s="1"/>
  <c r="U4" i="21"/>
  <c r="O5" i="21"/>
  <c r="T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D10" i="20"/>
  <c r="D9" i="20"/>
  <c r="D8" i="20"/>
  <c r="C8" i="20"/>
  <c r="C9" i="20" s="1"/>
  <c r="C10" i="20" s="1"/>
  <c r="C11" i="20" s="1"/>
  <c r="D7" i="20"/>
  <c r="C7" i="20"/>
  <c r="O6" i="20"/>
  <c r="V6" i="20" s="1"/>
  <c r="J6" i="20"/>
  <c r="D6" i="20"/>
  <c r="C6" i="20"/>
  <c r="T5" i="20"/>
  <c r="T6" i="20" s="1"/>
  <c r="O5" i="20"/>
  <c r="V5" i="20" s="1"/>
  <c r="J5" i="20"/>
  <c r="U5" i="20" s="1"/>
  <c r="D5" i="20"/>
  <c r="C5" i="20"/>
  <c r="B5" i="20"/>
  <c r="B6" i="20" s="1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W5" i="22" l="1"/>
  <c r="T6" i="22"/>
  <c r="B8" i="22"/>
  <c r="U5" i="22"/>
  <c r="V5" i="22"/>
  <c r="J8" i="22"/>
  <c r="O7" i="22"/>
  <c r="J7" i="21"/>
  <c r="O6" i="21"/>
  <c r="V5" i="21"/>
  <c r="W5" i="21"/>
  <c r="T6" i="21"/>
  <c r="U6" i="21" s="1"/>
  <c r="B9" i="21"/>
  <c r="A9" i="21" s="1"/>
  <c r="U5" i="21"/>
  <c r="U6" i="20"/>
  <c r="A5" i="20"/>
  <c r="W4" i="20"/>
  <c r="B7" i="20"/>
  <c r="W6" i="20"/>
  <c r="T7" i="20"/>
  <c r="J7" i="20"/>
  <c r="W5" i="20"/>
  <c r="O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W6" i="19" s="1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6" i="22" l="1"/>
  <c r="T7" i="22"/>
  <c r="U6" i="22"/>
  <c r="V6" i="22"/>
  <c r="J9" i="22"/>
  <c r="O8" i="22"/>
  <c r="V7" i="22"/>
  <c r="B9" i="22"/>
  <c r="A8" i="22"/>
  <c r="W6" i="21"/>
  <c r="T7" i="21"/>
  <c r="J8" i="21"/>
  <c r="V6" i="21"/>
  <c r="O7" i="21"/>
  <c r="U7" i="21" s="1"/>
  <c r="B8" i="20"/>
  <c r="O8" i="20"/>
  <c r="V7" i="20"/>
  <c r="U7" i="20"/>
  <c r="J8" i="20"/>
  <c r="W7" i="20"/>
  <c r="T8" i="20"/>
  <c r="A7" i="20"/>
  <c r="W12" i="19"/>
  <c r="U12" i="19"/>
  <c r="V12" i="19"/>
  <c r="U11" i="19"/>
  <c r="V11" i="19"/>
  <c r="W11" i="19"/>
  <c r="V10" i="19"/>
  <c r="W10" i="19"/>
  <c r="U9" i="19"/>
  <c r="V9" i="19"/>
  <c r="W9" i="19"/>
  <c r="V8" i="19"/>
  <c r="U8" i="19"/>
  <c r="W8" i="19"/>
  <c r="U7" i="19"/>
  <c r="V7" i="19"/>
  <c r="W7" i="19"/>
  <c r="U6" i="19"/>
  <c r="V6" i="19"/>
  <c r="U4" i="19"/>
  <c r="V4" i="19"/>
  <c r="W4" i="19"/>
  <c r="J5" i="19"/>
  <c r="O5" i="19"/>
  <c r="A9" i="22" l="1"/>
  <c r="O9" i="22"/>
  <c r="W7" i="22"/>
  <c r="T8" i="22"/>
  <c r="V8" i="22" s="1"/>
  <c r="U7" i="22"/>
  <c r="W7" i="21"/>
  <c r="T8" i="21"/>
  <c r="O8" i="21"/>
  <c r="U8" i="21" s="1"/>
  <c r="V7" i="21"/>
  <c r="J9" i="21"/>
  <c r="A8" i="20"/>
  <c r="O9" i="20"/>
  <c r="V8" i="20"/>
  <c r="U8" i="20"/>
  <c r="J9" i="20"/>
  <c r="W8" i="20"/>
  <c r="T9" i="20"/>
  <c r="B9" i="20"/>
  <c r="V5" i="19"/>
  <c r="W5" i="19"/>
  <c r="U5" i="19"/>
  <c r="U8" i="22" l="1"/>
  <c r="W8" i="22"/>
  <c r="T9" i="22"/>
  <c r="W9" i="22" s="1"/>
  <c r="W8" i="21"/>
  <c r="T9" i="21"/>
  <c r="V8" i="21"/>
  <c r="O9" i="21"/>
  <c r="V9" i="21" s="1"/>
  <c r="B10" i="20"/>
  <c r="A9" i="20"/>
  <c r="T10" i="20"/>
  <c r="W9" i="20"/>
  <c r="U9" i="20"/>
  <c r="J10" i="20"/>
  <c r="V9" i="20"/>
  <c r="O10" i="20"/>
  <c r="U9" i="22" l="1"/>
  <c r="V9" i="22"/>
  <c r="W9" i="21"/>
  <c r="U9" i="21"/>
  <c r="A10" i="20"/>
  <c r="W10" i="20"/>
  <c r="T11" i="20"/>
  <c r="U10" i="20"/>
  <c r="J11" i="20"/>
  <c r="V10" i="20"/>
  <c r="O11" i="20"/>
  <c r="B11" i="20"/>
  <c r="B12" i="20" l="1"/>
  <c r="U11" i="20"/>
  <c r="J12" i="20"/>
  <c r="U12" i="20" s="1"/>
  <c r="O12" i="20"/>
  <c r="V12" i="20" s="1"/>
  <c r="V11" i="20"/>
  <c r="A11" i="20"/>
  <c r="W11" i="20"/>
  <c r="T12" i="20"/>
  <c r="W12" i="20" s="1"/>
  <c r="A12" i="20" l="1"/>
</calcChain>
</file>

<file path=xl/sharedStrings.xml><?xml version="1.0" encoding="utf-8"?>
<sst xmlns="http://schemas.openxmlformats.org/spreadsheetml/2006/main" count="1112" uniqueCount="209">
  <si>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</si>
  <si>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</si>
  <si>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</si>
  <si>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</si>
  <si>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</si>
  <si>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</si>
  <si>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</si>
  <si>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</si>
  <si>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</si>
  <si>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</si>
  <si>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</si>
  <si>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</si>
  <si>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</si>
  <si>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</si>
  <si>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</si>
  <si>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</si>
  <si>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</si>
  <si>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</si>
  <si>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</si>
  <si>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</si>
  <si>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</si>
  <si>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</si>
  <si>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</si>
  <si>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</si>
  <si>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</si>
  <si>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</si>
  <si>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</si>
  <si>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</si>
  <si>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</si>
  <si>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</si>
  <si>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</si>
  <si>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</si>
  <si>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</si>
  <si>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</si>
  <si>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</si>
  <si>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</si>
  <si>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</si>
  <si>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</si>
  <si>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</si>
  <si>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</si>
  <si>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</si>
  <si>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</si>
  <si>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</si>
  <si>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</si>
  <si>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</si>
  <si>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</si>
  <si>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</si>
  <si>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</si>
  <si>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</si>
  <si>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</si>
  <si>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</si>
  <si>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</si>
  <si>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</si>
  <si>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</si>
  <si>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</si>
  <si>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</si>
  <si>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</si>
  <si>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</si>
  <si>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</si>
  <si>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</si>
  <si>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</si>
  <si>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</si>
  <si>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</si>
  <si>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</si>
  <si>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</si>
  <si>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</si>
  <si>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</si>
  <si>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</si>
  <si>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</si>
  <si>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</si>
  <si>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</si>
  <si>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</si>
  <si>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</si>
  <si>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</si>
  <si>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</si>
  <si>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</si>
  <si>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</si>
  <si>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</si>
  <si>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</si>
  <si>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</si>
  <si>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</si>
  <si>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</si>
  <si>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</si>
  <si>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</si>
  <si>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</si>
  <si>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</si>
  <si>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</si>
  <si>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</si>
  <si>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</si>
  <si>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</si>
  <si>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</si>
  <si>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</si>
  <si>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</si>
  <si>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</si>
  <si>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</si>
  <si>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</si>
  <si>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</si>
  <si>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</si>
  <si>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</si>
  <si>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</si>
  <si>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</si>
  <si>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</si>
  <si>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</si>
  <si>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</si>
  <si>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</si>
  <si>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</si>
  <si>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</si>
  <si>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</si>
  <si>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</si>
  <si>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</si>
  <si>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</si>
  <si>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</si>
  <si>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</si>
  <si>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</si>
  <si>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</si>
  <si>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</si>
  <si>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</si>
  <si>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</si>
  <si>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</si>
  <si>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</si>
  <si>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</si>
  <si>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</si>
  <si>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</si>
  <si>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</si>
  <si>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</si>
  <si>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</si>
  <si>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</si>
  <si>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</si>
  <si>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</si>
  <si>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</si>
  <si>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</si>
  <si>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</si>
  <si>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</si>
  <si>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</si>
  <si>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</si>
  <si>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</si>
  <si>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</si>
  <si>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</si>
  <si>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</si>
  <si>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</si>
  <si>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</si>
  <si>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</si>
  <si>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</si>
  <si>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</si>
  <si>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</si>
  <si>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</si>
  <si>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</si>
  <si>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</si>
  <si>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</si>
  <si>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</si>
  <si>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</si>
  <si>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</si>
  <si>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</si>
  <si>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</si>
  <si>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</si>
  <si>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</si>
  <si>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</si>
  <si>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</si>
  <si>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</si>
  <si>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</si>
  <si>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</si>
  <si>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</si>
  <si>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</si>
  <si>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</si>
  <si>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</si>
  <si>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</si>
  <si>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</si>
  <si>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</si>
  <si>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</si>
  <si>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</si>
  <si>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</si>
  <si>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</si>
  <si>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</si>
  <si>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</si>
  <si>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</si>
  <si>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</si>
  <si>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</si>
  <si>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</si>
  <si>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</si>
  <si>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</si>
  <si>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</si>
  <si>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</si>
  <si>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</si>
  <si>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</si>
  <si>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</si>
  <si>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</si>
  <si>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</si>
  <si>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</si>
  <si>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</si>
  <si>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</si>
  <si>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</si>
  <si>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</si>
  <si>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いっしー</t>
  </si>
  <si>
    <t>ただ</t>
  </si>
  <si>
    <t>ツモ支払</t>
  </si>
  <si>
    <t>ツモ</t>
  </si>
  <si>
    <t>*</t>
  </si>
  <si>
    <t>01</t>
  </si>
  <si>
    <t>ロン</t>
  </si>
  <si>
    <t>放銃</t>
  </si>
  <si>
    <t>02</t>
  </si>
  <si>
    <t>T</t>
  </si>
  <si>
    <t>N</t>
  </si>
  <si>
    <t>流局</t>
    <phoneticPr fontId="1"/>
  </si>
  <si>
    <t>52</t>
  </si>
  <si>
    <t>たかの</t>
  </si>
  <si>
    <t>りくと</t>
  </si>
  <si>
    <t>まっつん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</si>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</sst>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いっしー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いっしー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-16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196</v>
      </c>
      <c r="AZ4" s="40" t="s">
        <v>197</v>
      </c>
      <c r="BA4" s="41" t="s">
        <v>82</v>
      </c>
      <c r="BB4" s="41" t="s">
        <v>79</v>
      </c>
      <c r="BC4" s="41" t="s">
        <v>79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198</v>
      </c>
      <c r="G5" s="9">
        <v>12000</v>
      </c>
      <c r="H5" s="9"/>
      <c r="I5" s="48">
        <v>1000</v>
      </c>
      <c r="J5" s="21">
        <f t="shared" ref="J5:J30" si="2">IF(COUNTA($F5,$K5,$P5)&gt;0,J4+SUM(G5:I5),"")</f>
        <v>42000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199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16000</v>
      </c>
      <c r="U5" s="53">
        <f>IF($J5="","",ROUND(($J5-$J$3)/1000,1)+(_xlfn.RANK.AVG($J5,($J5,$O5,$T5),1)-2)*20)</f>
        <v>7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-39</v>
      </c>
      <c r="Y5" s="8"/>
      <c r="Z5" s="34"/>
      <c r="AA5" s="26">
        <v>1</v>
      </c>
      <c r="AB5" s="26"/>
      <c r="AC5" s="26">
        <v>6</v>
      </c>
      <c r="AD5" s="30" t="s">
        <v>196</v>
      </c>
      <c r="AE5" s="40" t="s">
        <v>197</v>
      </c>
      <c r="AF5" s="41" t="s">
        <v>200</v>
      </c>
      <c r="AG5" s="41" t="s">
        <v>104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42000</v>
      </c>
      <c r="K6" s="8" t="s">
        <v>198</v>
      </c>
      <c r="L6" s="9">
        <v>5200</v>
      </c>
      <c r="M6" s="9"/>
      <c r="N6" s="48">
        <v>0</v>
      </c>
      <c r="O6" s="21">
        <f t="shared" si="3"/>
        <v>52200</v>
      </c>
      <c r="P6" s="8" t="s">
        <v>199</v>
      </c>
      <c r="Q6" s="9">
        <v>-5200</v>
      </c>
      <c r="R6" s="9"/>
      <c r="S6" s="48">
        <v>0</v>
      </c>
      <c r="T6" s="21">
        <f t="shared" si="4"/>
        <v>10800</v>
      </c>
      <c r="U6" s="53">
        <f>IF($J6="","",ROUND(($J6-$J$3)/1000,1)+(_xlfn.RANK.AVG($J6,($J6,$O6,$T6),1)-2)*20)</f>
        <v>7</v>
      </c>
      <c r="V6" s="54">
        <f>IF($O6="","",ROUND(($O6-$O$3)/1000,1)+(_xlfn.RANK.AVG($O6,($J6,$O6,$T6),1)-2)*20)</f>
        <v>37.200000000000003</v>
      </c>
      <c r="W6" s="55">
        <f>IF($T6="","",ROUND(($T6-$T$3)/1000,1)+(_xlfn.RANK.AVG($T6,($J6,$O6,$T6),1)-2)*20)</f>
        <v>-44.2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197</v>
      </c>
      <c r="BA6" s="41" t="s">
        <v>200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-2500</v>
      </c>
      <c r="H7" s="9"/>
      <c r="I7" s="48">
        <v>0</v>
      </c>
      <c r="J7" s="21">
        <f t="shared" si="2"/>
        <v>39500</v>
      </c>
      <c r="K7" s="8" t="s">
        <v>195</v>
      </c>
      <c r="L7" s="9">
        <v>4000</v>
      </c>
      <c r="M7" s="9"/>
      <c r="N7" s="48">
        <v>0</v>
      </c>
      <c r="O7" s="21">
        <f t="shared" si="3"/>
        <v>56200</v>
      </c>
      <c r="P7" s="8" t="s">
        <v>194</v>
      </c>
      <c r="Q7" s="9">
        <v>-1500</v>
      </c>
      <c r="R7" s="9"/>
      <c r="S7" s="48">
        <v>0</v>
      </c>
      <c r="T7" s="21">
        <f t="shared" si="4"/>
        <v>9300</v>
      </c>
      <c r="U7" s="53">
        <f>IF($J7="","",ROUND(($J7-$J$3)/1000,1)+(_xlfn.RANK.AVG($J7,($J7,$O7,$T7),1)-2)*20)</f>
        <v>4.5</v>
      </c>
      <c r="V7" s="54">
        <f>IF($O7="","",ROUND(($O7-$O$3)/1000,1)+(_xlfn.RANK.AVG($O7,($J7,$O7,$T7),1)-2)*20)</f>
        <v>41.2</v>
      </c>
      <c r="W7" s="55">
        <f>IF($T7="","",ROUND(($T7-$T$3)/1000,1)+(_xlfn.RANK.AVG($T7,($J7,$O7,$T7),1)-2)*20)</f>
        <v>-45.7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86</v>
      </c>
      <c r="BB7" s="41" t="s">
        <v>93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199</v>
      </c>
      <c r="G8" s="9">
        <v>-3900</v>
      </c>
      <c r="H8" s="9"/>
      <c r="I8" s="48">
        <v>0</v>
      </c>
      <c r="J8" s="21">
        <f t="shared" si="2"/>
        <v>35600</v>
      </c>
      <c r="K8" s="8" t="s">
        <v>198</v>
      </c>
      <c r="L8" s="9">
        <v>3900</v>
      </c>
      <c r="M8" s="9"/>
      <c r="N8" s="48">
        <v>0</v>
      </c>
      <c r="O8" s="21">
        <f t="shared" si="3"/>
        <v>60100</v>
      </c>
      <c r="P8" s="8"/>
      <c r="Q8" s="9"/>
      <c r="R8" s="9"/>
      <c r="S8" s="48"/>
      <c r="T8" s="21">
        <f t="shared" si="4"/>
        <v>9300</v>
      </c>
      <c r="U8" s="53">
        <f>IF($J8="","",ROUND(($J8-$J$3)/1000,1)+(_xlfn.RANK.AVG($J8,($J8,$O8,$T8),1)-2)*20)</f>
        <v>0.6</v>
      </c>
      <c r="V8" s="54">
        <f>IF($O8="","",ROUND(($O8-$O$3)/1000,1)+(_xlfn.RANK.AVG($O8,($J8,$O8,$T8),1)-2)*20)</f>
        <v>45.1</v>
      </c>
      <c r="W8" s="55">
        <f>IF($T8="","",ROUND(($T8-$T$3)/1000,1)+(_xlfn.RANK.AVG($T8,($J8,$O8,$T8),1)-2)*20)</f>
        <v>-45.7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197</v>
      </c>
      <c r="BA8" s="41" t="s">
        <v>200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203</v>
      </c>
      <c r="G9" s="9">
        <v>3000</v>
      </c>
      <c r="H9" s="9"/>
      <c r="I9" s="48"/>
      <c r="J9" s="21">
        <f t="shared" si="2"/>
        <v>38600</v>
      </c>
      <c r="K9" s="8" t="s">
        <v>203</v>
      </c>
      <c r="L9" s="9">
        <v>-1500</v>
      </c>
      <c r="M9" s="9"/>
      <c r="N9" s="48"/>
      <c r="O9" s="21">
        <f t="shared" si="3"/>
        <v>58600</v>
      </c>
      <c r="P9" s="8" t="s">
        <v>203</v>
      </c>
      <c r="Q9" s="9">
        <v>-1500</v>
      </c>
      <c r="R9" s="9"/>
      <c r="S9" s="48"/>
      <c r="T9" s="21">
        <f t="shared" si="4"/>
        <v>7800</v>
      </c>
      <c r="U9" s="53">
        <f>IF($J9="","",ROUND(($J9-$J$3)/1000,1)+(_xlfn.RANK.AVG($J9,($J9,$O9,$T9),1)-2)*20)</f>
        <v>3.6</v>
      </c>
      <c r="V9" s="54">
        <f>IF($O9="","",ROUND(($O9-$O$3)/1000,1)+(_xlfn.RANK.AVG($O9,($J9,$O9,$T9),1)-2)*20)</f>
        <v>43.6</v>
      </c>
      <c r="W9" s="55">
        <f>IF($T9="","",ROUND(($T9-$T$3)/1000,1)+(_xlfn.RANK.AVG($T9,($J9,$O9,$T9),1)-2)*20)</f>
        <v>-47.2</v>
      </c>
      <c r="Y9" s="8" t="s">
        <v>201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38600</v>
      </c>
      <c r="K10" s="8" t="s">
        <v>199</v>
      </c>
      <c r="L10" s="9">
        <v>-7700</v>
      </c>
      <c r="M10" s="9"/>
      <c r="N10" s="48">
        <v>-2000</v>
      </c>
      <c r="O10" s="21">
        <f t="shared" si="3"/>
        <v>48900</v>
      </c>
      <c r="P10" s="8" t="s">
        <v>198</v>
      </c>
      <c r="Q10" s="9">
        <v>7700</v>
      </c>
      <c r="R10" s="9"/>
      <c r="S10" s="48">
        <v>2000</v>
      </c>
      <c r="T10" s="21">
        <f t="shared" si="4"/>
        <v>17500</v>
      </c>
      <c r="U10" s="53">
        <f>IF($J10="","",ROUND(($J10-$J$3)/1000,1)+(_xlfn.RANK.AVG($J10,($J10,$O10,$T10),1)-2)*20)</f>
        <v>3.6</v>
      </c>
      <c r="V10" s="54">
        <f>IF($O10="","",ROUND(($O10-$O$3)/1000,1)+(_xlfn.RANK.AVG($O10,($J10,$O10,$T10),1)-2)*20)</f>
        <v>33.9</v>
      </c>
      <c r="W10" s="55">
        <f>IF($T10="","",ROUND(($T10-$T$3)/1000,1)+(_xlfn.RANK.AVG($T10,($J10,$O10,$T10),1)-2)*20)</f>
        <v>-37.5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40</v>
      </c>
      <c r="BU10" s="40" t="s">
        <v>85</v>
      </c>
      <c r="BV10" s="41" t="s">
        <v>79</v>
      </c>
      <c r="BW10" s="41" t="s">
        <v>204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193</v>
      </c>
      <c r="F11" s="8" t="s">
        <v>198</v>
      </c>
      <c r="G11" s="9">
        <v>12000</v>
      </c>
      <c r="H11" s="9"/>
      <c r="I11" s="48">
        <v>3000</v>
      </c>
      <c r="J11" s="21">
        <f t="shared" si="2"/>
        <v>53600</v>
      </c>
      <c r="K11" s="8"/>
      <c r="L11" s="9"/>
      <c r="M11" s="9"/>
      <c r="N11" s="48"/>
      <c r="O11" s="21">
        <f t="shared" si="3"/>
        <v>48900</v>
      </c>
      <c r="P11" s="8" t="s">
        <v>199</v>
      </c>
      <c r="Q11" s="9">
        <v>-12000</v>
      </c>
      <c r="R11" s="9"/>
      <c r="S11" s="48">
        <v>-3000</v>
      </c>
      <c r="T11" s="21">
        <f t="shared" si="4"/>
        <v>2500</v>
      </c>
      <c r="U11" s="53">
        <f>IF($J11="","",ROUND(($J11-$J$3)/1000,1)+(_xlfn.RANK.AVG($J11,($J11,$O11,$T11),1)-2)*20)</f>
        <v>38.6</v>
      </c>
      <c r="V11" s="54">
        <f>IF($O11="","",ROUND(($O11-$O$3)/1000,1)+(_xlfn.RANK.AVG($O11,($J11,$O11,$T11),1)-2)*20)</f>
        <v>13.9</v>
      </c>
      <c r="W11" s="55">
        <f>IF($T11="","",ROUND(($T11-$T$3)/1000,1)+(_xlfn.RANK.AVG($T11,($J11,$O11,$T11),1)-2)*20)</f>
        <v>-52.5</v>
      </c>
      <c r="Y11" s="8"/>
      <c r="Z11" s="34"/>
      <c r="AA11" s="26">
        <v>1</v>
      </c>
      <c r="AB11" s="26"/>
      <c r="AC11" s="26">
        <v>7</v>
      </c>
      <c r="AD11" s="30" t="s">
        <v>196</v>
      </c>
      <c r="AE11" s="40" t="s">
        <v>197</v>
      </c>
      <c r="AF11" s="41" t="s">
        <v>200</v>
      </c>
      <c r="AG11" s="41" t="s">
        <v>83</v>
      </c>
      <c r="AH11" s="41" t="s">
        <v>79</v>
      </c>
      <c r="AI11" s="41" t="s">
        <v>79</v>
      </c>
      <c r="AJ11" s="41" t="s">
        <v>204</v>
      </c>
      <c r="AK11" s="41" t="s">
        <v>80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203</v>
      </c>
      <c r="G12" s="9">
        <v>1500</v>
      </c>
      <c r="H12" s="9">
        <v>1000</v>
      </c>
      <c r="I12" s="48"/>
      <c r="J12" s="21">
        <f t="shared" si="2"/>
        <v>56100</v>
      </c>
      <c r="K12" s="8" t="s">
        <v>203</v>
      </c>
      <c r="L12" s="9">
        <v>-3000</v>
      </c>
      <c r="M12" s="9"/>
      <c r="N12" s="48"/>
      <c r="O12" s="21">
        <f t="shared" si="3"/>
        <v>45900</v>
      </c>
      <c r="P12" s="8" t="s">
        <v>203</v>
      </c>
      <c r="Q12" s="9">
        <v>1500</v>
      </c>
      <c r="R12" s="9">
        <v>-1000</v>
      </c>
      <c r="S12" s="48"/>
      <c r="T12" s="21">
        <f t="shared" si="4"/>
        <v>3000</v>
      </c>
      <c r="U12" s="53">
        <f>IF($J12="","",ROUND(($J12-$J$3)/1000,1)+(_xlfn.RANK.AVG($J12,($J12,$O12,$T12),1)-2)*20)</f>
        <v>41.1</v>
      </c>
      <c r="V12" s="54">
        <f>IF($O12="","",ROUND(($O12-$O$3)/1000,1)+(_xlfn.RANK.AVG($O12,($J12,$O12,$T12),1)-2)*20)</f>
        <v>10.9</v>
      </c>
      <c r="W12" s="55">
        <f>IF($T12="","",ROUND(($T12-$T$3)/1000,1)+(_xlfn.RANK.AVG($T12,($J12,$O12,$T12),1)-2)*20)</f>
        <v>-52</v>
      </c>
      <c r="Y12" s="8" t="s">
        <v>201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201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25423D1-4375-4323-B4B0-EECDB336A8F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7C2F9-A30A-4477-8326-8574791BCB4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たかの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203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203</v>
      </c>
      <c r="L4" s="9">
        <v>-1500</v>
      </c>
      <c r="M4" s="9"/>
      <c r="N4" s="48"/>
      <c r="O4" s="21">
        <f>IF(COUNTA($F4,$K4,$P4)&gt;0,O3+SUM(L4:N4),"")</f>
        <v>33500</v>
      </c>
      <c r="P4" s="8" t="s">
        <v>203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-11.5</v>
      </c>
      <c r="Y4" s="8" t="s">
        <v>201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195</v>
      </c>
      <c r="G5" s="9">
        <v>7800</v>
      </c>
      <c r="H5" s="9">
        <v>1000</v>
      </c>
      <c r="I5" s="48">
        <v>1000</v>
      </c>
      <c r="J5" s="21">
        <f t="shared" ref="J5:J30" si="2">IF(COUNTA($F5,$K5,$P5)&gt;0,J4+SUM(G5:I5),"")</f>
        <v>46800</v>
      </c>
      <c r="K5" s="8" t="s">
        <v>194</v>
      </c>
      <c r="L5" s="9">
        <v>-3900</v>
      </c>
      <c r="M5" s="9"/>
      <c r="N5" s="48">
        <v>-500</v>
      </c>
      <c r="O5" s="21">
        <f t="shared" ref="O5:O30" si="3">IF(COUNTA($F5,$K5,$P5)&gt;0,O4+SUM(L5:N5),"")</f>
        <v>29100</v>
      </c>
      <c r="P5" s="8" t="s">
        <v>194</v>
      </c>
      <c r="Q5" s="9">
        <v>-3900</v>
      </c>
      <c r="R5" s="9"/>
      <c r="S5" s="48">
        <v>-500</v>
      </c>
      <c r="T5" s="21">
        <f t="shared" ref="T5:T30" si="4">IF(COUNTA($F5,$K5,$P5)&gt;0,T4+SUM(Q5:S5),"")</f>
        <v>29100</v>
      </c>
      <c r="U5" s="53">
        <f>IF($J5="","",ROUND(($J5-$J$3)/1000,1)+(_xlfn.RANK.AVG($J5,($J5,$O5,$T5),1)-2)*20)</f>
        <v>31.8</v>
      </c>
      <c r="V5" s="54">
        <f>IF($O5="","",ROUND(($O5-$O$3)/1000,1)+(_xlfn.RANK.AVG($O5,($J5,$O5,$T5),1)-2)*20)</f>
        <v>-15.9</v>
      </c>
      <c r="W5" s="55">
        <f>IF($T5="","",ROUND(($T5-$T$3)/1000,1)+(_xlfn.RANK.AVG($T5,($J5,$O5,$T5),1)-2)*20)</f>
        <v>-15.9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197</v>
      </c>
      <c r="AF5" s="41" t="s">
        <v>82</v>
      </c>
      <c r="AG5" s="41" t="s">
        <v>83</v>
      </c>
      <c r="AH5" s="41" t="s">
        <v>204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46800</v>
      </c>
      <c r="K6" s="8" t="s">
        <v>198</v>
      </c>
      <c r="L6" s="9">
        <v>8000</v>
      </c>
      <c r="M6" s="9"/>
      <c r="N6" s="48">
        <v>2000</v>
      </c>
      <c r="O6" s="21">
        <f t="shared" si="3"/>
        <v>39100</v>
      </c>
      <c r="P6" s="8" t="s">
        <v>199</v>
      </c>
      <c r="Q6" s="9">
        <v>-8000</v>
      </c>
      <c r="R6" s="9"/>
      <c r="S6" s="48">
        <v>-2000</v>
      </c>
      <c r="T6" s="21">
        <f t="shared" si="4"/>
        <v>19100</v>
      </c>
      <c r="U6" s="53">
        <f>IF($J6="","",ROUND(($J6-$J$3)/1000,1)+(_xlfn.RANK.AVG($J6,($J6,$O6,$T6),1)-2)*20)</f>
        <v>31.8</v>
      </c>
      <c r="V6" s="54">
        <f>IF($O6="","",ROUND(($O6-$O$3)/1000,1)+(_xlfn.RANK.AVG($O6,($J6,$O6,$T6),1)-2)*20)</f>
        <v>4.0999999999999996</v>
      </c>
      <c r="W6" s="55">
        <f>IF($T6="","",ROUND(($T6-$T$3)/1000,1)+(_xlfn.RANK.AVG($T6,($J6,$O6,$T6),1)-2)*20)</f>
        <v>-35.9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196</v>
      </c>
      <c r="AZ6" s="40" t="s">
        <v>197</v>
      </c>
      <c r="BA6" s="41" t="s">
        <v>204</v>
      </c>
      <c r="BB6" s="41" t="s">
        <v>80</v>
      </c>
      <c r="BC6" s="41" t="s">
        <v>80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198</v>
      </c>
      <c r="G7" s="9">
        <v>1600</v>
      </c>
      <c r="H7" s="9"/>
      <c r="I7" s="48">
        <v>0</v>
      </c>
      <c r="J7" s="21">
        <f t="shared" si="2"/>
        <v>48400</v>
      </c>
      <c r="K7" s="8" t="s">
        <v>199</v>
      </c>
      <c r="L7" s="9">
        <v>-1600</v>
      </c>
      <c r="M7" s="9"/>
      <c r="N7" s="48">
        <v>0</v>
      </c>
      <c r="O7" s="21">
        <f t="shared" si="3"/>
        <v>37500</v>
      </c>
      <c r="P7" s="8"/>
      <c r="Q7" s="9"/>
      <c r="R7" s="9"/>
      <c r="S7" s="48"/>
      <c r="T7" s="21">
        <f t="shared" si="4"/>
        <v>19100</v>
      </c>
      <c r="U7" s="53">
        <f>IF($J7="","",ROUND(($J7-$J$3)/1000,1)+(_xlfn.RANK.AVG($J7,($J7,$O7,$T7),1)-2)*20)</f>
        <v>33.4</v>
      </c>
      <c r="V7" s="54">
        <f>IF($O7="","",ROUND(($O7-$O$3)/1000,1)+(_xlfn.RANK.AVG($O7,($J7,$O7,$T7),1)-2)*20)</f>
        <v>2.5</v>
      </c>
      <c r="W7" s="55">
        <f>IF($T7="","",ROUND(($T7-$T$3)/1000,1)+(_xlfn.RANK.AVG($T7,($J7,$O7,$T7),1)-2)*20)</f>
        <v>-35.9</v>
      </c>
      <c r="Y7" s="8"/>
      <c r="Z7" s="34"/>
      <c r="AA7" s="26"/>
      <c r="AB7" s="26"/>
      <c r="AC7" s="26">
        <v>1</v>
      </c>
      <c r="AD7" s="30">
        <v>50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195</v>
      </c>
      <c r="G8" s="9">
        <v>3200</v>
      </c>
      <c r="H8" s="9"/>
      <c r="I8" s="48">
        <v>0</v>
      </c>
      <c r="J8" s="21">
        <f t="shared" si="2"/>
        <v>51600</v>
      </c>
      <c r="K8" s="8" t="s">
        <v>194</v>
      </c>
      <c r="L8" s="9">
        <v>-1200</v>
      </c>
      <c r="M8" s="9"/>
      <c r="N8" s="48">
        <v>0</v>
      </c>
      <c r="O8" s="21">
        <f t="shared" si="3"/>
        <v>36300</v>
      </c>
      <c r="P8" s="8" t="s">
        <v>194</v>
      </c>
      <c r="Q8" s="9">
        <v>-2000</v>
      </c>
      <c r="R8" s="9"/>
      <c r="S8" s="48">
        <v>0</v>
      </c>
      <c r="T8" s="21">
        <f t="shared" si="4"/>
        <v>17100</v>
      </c>
      <c r="U8" s="53">
        <f>IF($J8="","",ROUND(($J8-$J$3)/1000,1)+(_xlfn.RANK.AVG($J8,($J8,$O8,$T8),1)-2)*20)</f>
        <v>36.6</v>
      </c>
      <c r="V8" s="54">
        <f>IF($O8="","",ROUND(($O8-$O$3)/1000,1)+(_xlfn.RANK.AVG($O8,($J8,$O8,$T8),1)-2)*20)</f>
        <v>1.3</v>
      </c>
      <c r="W8" s="55">
        <f>IF($T8="","",ROUND(($T8-$T$3)/1000,1)+(_xlfn.RANK.AVG($T8,($J8,$O8,$T8),1)-2)*20)</f>
        <v>-37.9</v>
      </c>
      <c r="Y8" s="8"/>
      <c r="Z8" s="34"/>
      <c r="AA8" s="26"/>
      <c r="AB8" s="26">
        <v>1</v>
      </c>
      <c r="AC8" s="26">
        <v>2</v>
      </c>
      <c r="AD8" s="30">
        <v>50</v>
      </c>
      <c r="AE8" s="40" t="s">
        <v>86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18000</v>
      </c>
      <c r="H9" s="9"/>
      <c r="I9" s="48">
        <v>0</v>
      </c>
      <c r="J9" s="21">
        <f t="shared" si="2"/>
        <v>69600</v>
      </c>
      <c r="K9" s="8"/>
      <c r="L9" s="9"/>
      <c r="M9" s="9"/>
      <c r="N9" s="48"/>
      <c r="O9" s="21">
        <f t="shared" si="3"/>
        <v>36300</v>
      </c>
      <c r="P9" s="8" t="s">
        <v>199</v>
      </c>
      <c r="Q9" s="9">
        <v>-18000</v>
      </c>
      <c r="R9" s="9"/>
      <c r="S9" s="48">
        <v>0</v>
      </c>
      <c r="T9" s="21">
        <f t="shared" si="4"/>
        <v>-900</v>
      </c>
      <c r="U9" s="53">
        <f>IF($J9="","",ROUND(($J9-$J$3)/1000,1)+(_xlfn.RANK.AVG($J9,($J9,$O9,$T9),1)-2)*20)</f>
        <v>54.6</v>
      </c>
      <c r="V9" s="54">
        <f>IF($O9="","",ROUND(($O9-$O$3)/1000,1)+(_xlfn.RANK.AVG($O9,($J9,$O9,$T9),1)-2)*20)</f>
        <v>1.3</v>
      </c>
      <c r="W9" s="55">
        <f>IF($T9="","",ROUND(($T9-$T$3)/1000,1)+(_xlfn.RANK.AVG($T9,($J9,$O9,$T9),1)-2)*20)</f>
        <v>-55.9</v>
      </c>
      <c r="Y9" s="8"/>
      <c r="Z9" s="34"/>
      <c r="AA9" s="26"/>
      <c r="AB9" s="26">
        <v>1</v>
      </c>
      <c r="AC9" s="26">
        <v>7</v>
      </c>
      <c r="AD9" s="30" t="s">
        <v>196</v>
      </c>
      <c r="AE9" s="40" t="s">
        <v>86</v>
      </c>
      <c r="AF9" s="41" t="s">
        <v>79</v>
      </c>
      <c r="AG9" s="41" t="s">
        <v>79</v>
      </c>
      <c r="AH9" s="41" t="s">
        <v>79</v>
      </c>
      <c r="AI9" s="41" t="s">
        <v>104</v>
      </c>
      <c r="AJ9" s="41" t="s">
        <v>204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3A23FEFB-9314-4A0C-AAC3-AFCBF292A05D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E7CC5C23-B8CE-48FE-8FE4-98F6C3919CA8}">
      <formula1>"ロン,ツモ,放銃,ツモ支払,流局,チョンボ"</formula1>
    </dataValidation>
    <dataValidation type="list" allowBlank="1" showInputMessage="1" showErrorMessage="1" sqref="E4:E30" xr:uid="{08FB3887-3D48-4CAE-A896-F99B12D9249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2142-5307-4CFC-AD50-D1215A2F5C3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たかの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195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194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24</v>
      </c>
      <c r="W4" s="55">
        <f>IF($T4="","",ROUND(($T4-$T$3)/1000,1)+(_xlfn.RANK.AVG($T4,($J4,$O4,$T4),1)-2)*20)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104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199</v>
      </c>
      <c r="G5" s="9">
        <v>-7700</v>
      </c>
      <c r="H5" s="9">
        <v>-1000</v>
      </c>
      <c r="I5" s="48">
        <v>0</v>
      </c>
      <c r="J5" s="21">
        <f t="shared" ref="J5:J30" si="2">IF(COUNTA($F5,$K5,$P5)&gt;0,J4+SUM(G5:I5),"")</f>
        <v>23800</v>
      </c>
      <c r="K5" s="8"/>
      <c r="L5" s="9"/>
      <c r="M5" s="9"/>
      <c r="N5" s="48"/>
      <c r="O5" s="21">
        <f t="shared" ref="O5:O30" si="3">IF(COUNTA($F5,$K5,$P5)&gt;0,O4+SUM(L5:N5),"")</f>
        <v>39000</v>
      </c>
      <c r="P5" s="8" t="s">
        <v>198</v>
      </c>
      <c r="Q5" s="9">
        <v>7700</v>
      </c>
      <c r="R5" s="9">
        <v>1000</v>
      </c>
      <c r="S5" s="48">
        <v>0</v>
      </c>
      <c r="T5" s="21">
        <f t="shared" ref="T5:T30" si="4">IF(COUNTA($F5,$K5,$P5)&gt;0,T4+SUM(Q5:S5),"")</f>
        <v>42200</v>
      </c>
      <c r="U5" s="53">
        <f>IF($J5="","",ROUND(($J5-$J$3)/1000,1)+(_xlfn.RANK.AVG($J5,($J5,$O5,$T5),1)-2)*20)</f>
        <v>-31.2</v>
      </c>
      <c r="V5" s="54">
        <f>IF($O5="","",ROUND(($O5-$O$3)/1000,1)+(_xlfn.RANK.AVG($O5,($J5,$O5,$T5),1)-2)*20)</f>
        <v>4</v>
      </c>
      <c r="W5" s="55">
        <f>IF($T5="","",ROUND(($T5-$T$3)/1000,1)+(_xlfn.RANK.AVG($T5,($J5,$O5,$T5),1)-2)*20)</f>
        <v>27.2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104</v>
      </c>
      <c r="BV5" s="41" t="s">
        <v>86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195</v>
      </c>
      <c r="G6" s="9">
        <v>8000</v>
      </c>
      <c r="H6" s="9"/>
      <c r="I6" s="48">
        <v>0</v>
      </c>
      <c r="J6" s="21">
        <f t="shared" si="2"/>
        <v>31800</v>
      </c>
      <c r="K6" s="8" t="s">
        <v>194</v>
      </c>
      <c r="L6" s="9">
        <v>-3000</v>
      </c>
      <c r="M6" s="9"/>
      <c r="N6" s="48">
        <v>0</v>
      </c>
      <c r="O6" s="21">
        <f t="shared" si="3"/>
        <v>36000</v>
      </c>
      <c r="P6" s="8" t="s">
        <v>194</v>
      </c>
      <c r="Q6" s="9">
        <v>-5000</v>
      </c>
      <c r="R6" s="9"/>
      <c r="S6" s="48">
        <v>0</v>
      </c>
      <c r="T6" s="21">
        <f t="shared" si="4"/>
        <v>37200</v>
      </c>
      <c r="U6" s="53">
        <f>IF($J6="","",ROUND(($J6-$J$3)/1000,1)+(_xlfn.RANK.AVG($J6,($J6,$O6,$T6),1)-2)*20)</f>
        <v>-23.2</v>
      </c>
      <c r="V6" s="54">
        <f>IF($O6="","",ROUND(($O6-$O$3)/1000,1)+(_xlfn.RANK.AVG($O6,($J6,$O6,$T6),1)-2)*20)</f>
        <v>1</v>
      </c>
      <c r="W6" s="55">
        <f>IF($T6="","",ROUND(($T6-$T$3)/1000,1)+(_xlfn.RANK.AVG($T6,($J6,$O6,$T6),1)-2)*20)</f>
        <v>22.2</v>
      </c>
      <c r="Y6" s="8"/>
      <c r="Z6" s="34"/>
      <c r="AA6" s="26">
        <v>1</v>
      </c>
      <c r="AB6" s="26"/>
      <c r="AC6" s="26">
        <v>5</v>
      </c>
      <c r="AD6" s="30" t="s">
        <v>196</v>
      </c>
      <c r="AE6" s="40" t="s">
        <v>197</v>
      </c>
      <c r="AF6" s="41" t="s">
        <v>82</v>
      </c>
      <c r="AG6" s="41" t="s">
        <v>84</v>
      </c>
      <c r="AH6" s="41" t="s">
        <v>80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194</v>
      </c>
      <c r="G7" s="9">
        <v>-2500</v>
      </c>
      <c r="H7" s="9"/>
      <c r="I7" s="48">
        <v>0</v>
      </c>
      <c r="J7" s="21">
        <f t="shared" si="2"/>
        <v>29300</v>
      </c>
      <c r="K7" s="8" t="s">
        <v>195</v>
      </c>
      <c r="L7" s="9">
        <v>4000</v>
      </c>
      <c r="M7" s="9">
        <v>1000</v>
      </c>
      <c r="N7" s="48">
        <v>0</v>
      </c>
      <c r="O7" s="21">
        <f t="shared" si="3"/>
        <v>41000</v>
      </c>
      <c r="P7" s="8" t="s">
        <v>194</v>
      </c>
      <c r="Q7" s="9">
        <v>-1500</v>
      </c>
      <c r="R7" s="9">
        <v>-1000</v>
      </c>
      <c r="S7" s="48">
        <v>0</v>
      </c>
      <c r="T7" s="21">
        <f t="shared" si="4"/>
        <v>34700</v>
      </c>
      <c r="U7" s="53">
        <f>IF($J7="","",ROUND(($J7-$J$3)/1000,1)+(_xlfn.RANK.AVG($J7,($J7,$O7,$T7),1)-2)*20)</f>
        <v>-25.7</v>
      </c>
      <c r="V7" s="54">
        <f>IF($O7="","",ROUND(($O7-$O$3)/1000,1)+(_xlfn.RANK.AVG($O7,($J7,$O7,$T7),1)-2)*20)</f>
        <v>26</v>
      </c>
      <c r="W7" s="55">
        <f>IF($T7="","",ROUND(($T7-$T$3)/1000,1)+(_xlfn.RANK.AVG($T7,($J7,$O7,$T7),1)-2)*20)</f>
        <v>-0.3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197</v>
      </c>
      <c r="BA7" s="41" t="s">
        <v>204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205</v>
      </c>
      <c r="F8" s="8" t="s">
        <v>195</v>
      </c>
      <c r="G8" s="9">
        <v>8000</v>
      </c>
      <c r="H8" s="9"/>
      <c r="I8" s="48">
        <v>0</v>
      </c>
      <c r="J8" s="21">
        <f t="shared" si="2"/>
        <v>37300</v>
      </c>
      <c r="K8" s="8" t="s">
        <v>194</v>
      </c>
      <c r="L8" s="9">
        <v>-5000</v>
      </c>
      <c r="M8" s="9"/>
      <c r="N8" s="48">
        <v>0</v>
      </c>
      <c r="O8" s="21">
        <f t="shared" si="3"/>
        <v>36000</v>
      </c>
      <c r="P8" s="8" t="s">
        <v>194</v>
      </c>
      <c r="Q8" s="9">
        <v>-3000</v>
      </c>
      <c r="R8" s="9"/>
      <c r="S8" s="48">
        <v>0</v>
      </c>
      <c r="T8" s="21">
        <f t="shared" si="4"/>
        <v>31700</v>
      </c>
      <c r="U8" s="53">
        <f>IF($J8="","",ROUND(($J8-$J$3)/1000,1)+(_xlfn.RANK.AVG($J8,($J8,$O8,$T8),1)-2)*20)</f>
        <v>22.3</v>
      </c>
      <c r="V8" s="54">
        <f>IF($O8="","",ROUND(($O8-$O$3)/1000,1)+(_xlfn.RANK.AVG($O8,($J8,$O8,$T8),1)-2)*20)</f>
        <v>1</v>
      </c>
      <c r="W8" s="55">
        <f>IF($T8="","",ROUND(($T8-$T$3)/1000,1)+(_xlfn.RANK.AVG($T8,($J8,$O8,$T8),1)-2)*20)</f>
        <v>-23.3</v>
      </c>
      <c r="Y8" s="8"/>
      <c r="Z8" s="34"/>
      <c r="AA8" s="26"/>
      <c r="AB8" s="26">
        <v>1</v>
      </c>
      <c r="AC8" s="26">
        <v>4</v>
      </c>
      <c r="AD8" s="30">
        <v>40</v>
      </c>
      <c r="AE8" s="40" t="s">
        <v>98</v>
      </c>
      <c r="AF8" s="41" t="s">
        <v>86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207</v>
      </c>
      <c r="F9" s="8" t="s">
        <v>198</v>
      </c>
      <c r="G9" s="9">
        <v>5200</v>
      </c>
      <c r="H9" s="9"/>
      <c r="I9" s="48">
        <v>0</v>
      </c>
      <c r="J9" s="21">
        <f t="shared" si="2"/>
        <v>42500</v>
      </c>
      <c r="K9" s="8"/>
      <c r="L9" s="9"/>
      <c r="M9" s="9"/>
      <c r="N9" s="48"/>
      <c r="O9" s="21">
        <f t="shared" si="3"/>
        <v>36000</v>
      </c>
      <c r="P9" s="8" t="s">
        <v>199</v>
      </c>
      <c r="Q9" s="9">
        <v>-5200</v>
      </c>
      <c r="R9" s="9"/>
      <c r="S9" s="48">
        <v>0</v>
      </c>
      <c r="T9" s="21">
        <f t="shared" si="4"/>
        <v>26500</v>
      </c>
      <c r="U9" s="53">
        <f>IF($J9="","",ROUND(($J9-$J$3)/1000,1)+(_xlfn.RANK.AVG($J9,($J9,$O9,$T9),1)-2)*20)</f>
        <v>27.5</v>
      </c>
      <c r="V9" s="54">
        <f>IF($O9="","",ROUND(($O9-$O$3)/1000,1)+(_xlfn.RANK.AVG($O9,($J9,$O9,$T9),1)-2)*20)</f>
        <v>1</v>
      </c>
      <c r="W9" s="55">
        <f>IF($T9="","",ROUND(($T9-$T$3)/1000,1)+(_xlfn.RANK.AVG($T9,($J9,$O9,$T9),1)-2)*20)</f>
        <v>-28.5</v>
      </c>
      <c r="Y9" s="8"/>
      <c r="Z9" s="34"/>
      <c r="AA9" s="26"/>
      <c r="AB9" s="26"/>
      <c r="AC9" s="26">
        <v>3</v>
      </c>
      <c r="AD9" s="30">
        <v>40</v>
      </c>
      <c r="AE9" s="40" t="s">
        <v>84</v>
      </c>
      <c r="AF9" s="41" t="s">
        <v>79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3D4A6C23-0303-40AA-9316-C86B063609EE}">
      <formula1>$U$2:$W$2</formula1>
    </dataValidation>
    <dataValidation type="list" showInputMessage="1" showErrorMessage="1" sqref="K4:K30 P4:P30 F4:F30" xr:uid="{618CA76B-E8A6-42BA-9609-28681D367819}">
      <formula1>"ロン,ツモ,放銃,ツモ支払,流局,チョンボ"</formula1>
    </dataValidation>
    <dataValidation type="list" allowBlank="1" showInputMessage="1" sqref="F1:T1" xr:uid="{98E83E8D-F52D-4197-9B13-1747A483DCF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77F0-296F-4F3B-87B8-474D3CF3E7B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195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194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194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24</v>
      </c>
      <c r="V4" s="54">
        <f>IF($O4="","",ROUND(($O4-$O$3)/1000,1)+(_xlfn.RANK.AVG($O4,($J4,$O4,$T4),1)-2)*20)</f>
        <v>-22.5</v>
      </c>
      <c r="W4" s="55">
        <f>IF($T4="","",ROUND(($T4-$T$3)/1000,1)+(_xlfn.RANK.AVG($T4,($J4,$O4,$T4),1)-2)*20)</f>
        <v>-1.5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197</v>
      </c>
      <c r="AF4" s="41" t="s">
        <v>82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-6000</v>
      </c>
      <c r="H5" s="9"/>
      <c r="I5" s="48">
        <v>0</v>
      </c>
      <c r="J5" s="21">
        <f t="shared" ref="J5:J30" si="2">IF(COUNTA($F5,$K5,$P5)&gt;0,J4+SUM(G5:I5),"")</f>
        <v>33000</v>
      </c>
      <c r="K5" s="8" t="s">
        <v>194</v>
      </c>
      <c r="L5" s="9">
        <v>-6000</v>
      </c>
      <c r="M5" s="9"/>
      <c r="N5" s="48">
        <v>0</v>
      </c>
      <c r="O5" s="21">
        <f t="shared" ref="O5:O30" si="3">IF(COUNTA($F5,$K5,$P5)&gt;0,O4+SUM(L5:N5),"")</f>
        <v>26500</v>
      </c>
      <c r="P5" s="8" t="s">
        <v>195</v>
      </c>
      <c r="Q5" s="9">
        <v>12000</v>
      </c>
      <c r="R5" s="9"/>
      <c r="S5" s="48">
        <v>0</v>
      </c>
      <c r="T5" s="21">
        <f t="shared" ref="T5:T30" si="4">IF(COUNTA($F5,$K5,$P5)&gt;0,T4+SUM(Q5:S5),"")</f>
        <v>45500</v>
      </c>
      <c r="U5" s="53">
        <f>IF($J5="","",ROUND(($J5-$J$3)/1000,1)+(_xlfn.RANK.AVG($J5,($J5,$O5,$T5),1)-2)*20)</f>
        <v>-2</v>
      </c>
      <c r="V5" s="54">
        <f>IF($O5="","",ROUND(($O5-$O$3)/1000,1)+(_xlfn.RANK.AVG($O5,($J5,$O5,$T5),1)-2)*20)</f>
        <v>-28.5</v>
      </c>
      <c r="W5" s="55">
        <f>IF($T5="","",ROUND(($T5-$T$3)/1000,1)+(_xlfn.RANK.AVG($T5,($J5,$O5,$T5),1)-2)*20)</f>
        <v>30.5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196</v>
      </c>
      <c r="BU5" s="40" t="s">
        <v>208</v>
      </c>
      <c r="BV5" s="41" t="s">
        <v>82</v>
      </c>
      <c r="BW5" s="41" t="s">
        <v>204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199</v>
      </c>
      <c r="G6" s="9">
        <v>-2000</v>
      </c>
      <c r="H6" s="9"/>
      <c r="I6" s="48">
        <v>-1000</v>
      </c>
      <c r="J6" s="21">
        <f t="shared" si="2"/>
        <v>30000</v>
      </c>
      <c r="K6" s="8"/>
      <c r="L6" s="9"/>
      <c r="M6" s="9"/>
      <c r="N6" s="48"/>
      <c r="O6" s="21">
        <f t="shared" si="3"/>
        <v>26500</v>
      </c>
      <c r="P6" s="8" t="s">
        <v>198</v>
      </c>
      <c r="Q6" s="9">
        <v>2000</v>
      </c>
      <c r="R6" s="9"/>
      <c r="S6" s="48">
        <v>1000</v>
      </c>
      <c r="T6" s="21">
        <f t="shared" si="4"/>
        <v>48500</v>
      </c>
      <c r="U6" s="53">
        <f>IF($J6="","",ROUND(($J6-$J$3)/1000,1)+(_xlfn.RANK.AVG($J6,($J6,$O6,$T6),1)-2)*20)</f>
        <v>-5</v>
      </c>
      <c r="V6" s="54">
        <f>IF($O6="","",ROUND(($O6-$O$3)/1000,1)+(_xlfn.RANK.AVG($O6,($J6,$O6,$T6),1)-2)*20)</f>
        <v>-28.5</v>
      </c>
      <c r="W6" s="55">
        <f>IF($T6="","",ROUND(($T6-$T$3)/1000,1)+(_xlfn.RANK.AVG($T6,($J6,$O6,$T6),1)-2)*20)</f>
        <v>33.5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197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194</v>
      </c>
      <c r="G7" s="9">
        <v>-5800</v>
      </c>
      <c r="H7" s="9"/>
      <c r="I7" s="48">
        <v>-1000</v>
      </c>
      <c r="J7" s="21">
        <f t="shared" si="2"/>
        <v>23200</v>
      </c>
      <c r="K7" s="8" t="s">
        <v>194</v>
      </c>
      <c r="L7" s="9">
        <v>-5800</v>
      </c>
      <c r="M7" s="9"/>
      <c r="N7" s="48">
        <v>-1000</v>
      </c>
      <c r="O7" s="21">
        <f t="shared" si="3"/>
        <v>19700</v>
      </c>
      <c r="P7" s="8" t="s">
        <v>195</v>
      </c>
      <c r="Q7" s="9">
        <v>11600</v>
      </c>
      <c r="R7" s="9"/>
      <c r="S7" s="48">
        <v>2000</v>
      </c>
      <c r="T7" s="21">
        <f t="shared" si="4"/>
        <v>62100</v>
      </c>
      <c r="U7" s="53">
        <f>IF($J7="","",ROUND(($J7-$J$3)/1000,1)+(_xlfn.RANK.AVG($J7,($J7,$O7,$T7),1)-2)*20)</f>
        <v>-11.8</v>
      </c>
      <c r="V7" s="54">
        <f>IF($O7="","",ROUND(($O7-$O$3)/1000,1)+(_xlfn.RANK.AVG($O7,($J7,$O7,$T7),1)-2)*20)</f>
        <v>-35.299999999999997</v>
      </c>
      <c r="W7" s="55">
        <f>IF($T7="","",ROUND(($T7-$T$3)/1000,1)+(_xlfn.RANK.AVG($T7,($J7,$O7,$T7),1)-2)*20)</f>
        <v>47.1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208</v>
      </c>
      <c r="BV7" s="41" t="s">
        <v>197</v>
      </c>
      <c r="BW7" s="41" t="s">
        <v>204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191</v>
      </c>
      <c r="F8" s="8" t="s">
        <v>195</v>
      </c>
      <c r="G8" s="9">
        <v>12000</v>
      </c>
      <c r="H8" s="9"/>
      <c r="I8" s="48">
        <v>3000</v>
      </c>
      <c r="J8" s="21">
        <f t="shared" si="2"/>
        <v>38200</v>
      </c>
      <c r="K8" s="8" t="s">
        <v>194</v>
      </c>
      <c r="L8" s="9">
        <v>-4500</v>
      </c>
      <c r="M8" s="9"/>
      <c r="N8" s="48">
        <v>-1500</v>
      </c>
      <c r="O8" s="21">
        <f t="shared" si="3"/>
        <v>13700</v>
      </c>
      <c r="P8" s="8" t="s">
        <v>194</v>
      </c>
      <c r="Q8" s="9">
        <v>-7500</v>
      </c>
      <c r="R8" s="9"/>
      <c r="S8" s="48">
        <v>-1500</v>
      </c>
      <c r="T8" s="21">
        <f t="shared" si="4"/>
        <v>53100</v>
      </c>
      <c r="U8" s="53">
        <f>IF($J8="","",ROUND(($J8-$J$3)/1000,1)+(_xlfn.RANK.AVG($J8,($J8,$O8,$T8),1)-2)*20)</f>
        <v>3.2</v>
      </c>
      <c r="V8" s="54">
        <f>IF($O8="","",ROUND(($O8-$O$3)/1000,1)+(_xlfn.RANK.AVG($O8,($J8,$O8,$T8),1)-2)*20)</f>
        <v>-41.3</v>
      </c>
      <c r="W8" s="55">
        <f>IF($T8="","",ROUND(($T8-$T$3)/1000,1)+(_xlfn.RANK.AVG($T8,($J8,$O8,$T8),1)-2)*20)</f>
        <v>38.1</v>
      </c>
      <c r="Y8" s="8"/>
      <c r="Z8" s="34"/>
      <c r="AA8" s="26"/>
      <c r="AB8" s="26">
        <v>1</v>
      </c>
      <c r="AC8" s="26">
        <v>7</v>
      </c>
      <c r="AD8" s="30" t="s">
        <v>196</v>
      </c>
      <c r="AE8" s="40" t="s">
        <v>98</v>
      </c>
      <c r="AF8" s="41" t="s">
        <v>96</v>
      </c>
      <c r="AG8" s="41" t="s">
        <v>89</v>
      </c>
      <c r="AH8" s="41" t="s">
        <v>86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195</v>
      </c>
      <c r="G9" s="9">
        <v>18000</v>
      </c>
      <c r="H9" s="9"/>
      <c r="I9" s="48">
        <v>0</v>
      </c>
      <c r="J9" s="21">
        <f t="shared" si="2"/>
        <v>56200</v>
      </c>
      <c r="K9" s="8" t="s">
        <v>194</v>
      </c>
      <c r="L9" s="9">
        <v>-9000</v>
      </c>
      <c r="M9" s="9"/>
      <c r="N9" s="48">
        <v>0</v>
      </c>
      <c r="O9" s="21">
        <f t="shared" si="3"/>
        <v>4700</v>
      </c>
      <c r="P9" s="8" t="s">
        <v>194</v>
      </c>
      <c r="Q9" s="9">
        <v>-9000</v>
      </c>
      <c r="R9" s="9"/>
      <c r="S9" s="48">
        <v>0</v>
      </c>
      <c r="T9" s="21">
        <f t="shared" si="4"/>
        <v>44100</v>
      </c>
      <c r="U9" s="53">
        <f>IF($J9="","",ROUND(($J9-$J$3)/1000,1)+(_xlfn.RANK.AVG($J9,($J9,$O9,$T9),1)-2)*20)</f>
        <v>41.2</v>
      </c>
      <c r="V9" s="54">
        <f>IF($O9="","",ROUND(($O9-$O$3)/1000,1)+(_xlfn.RANK.AVG($O9,($J9,$O9,$T9),1)-2)*20)</f>
        <v>-50.3</v>
      </c>
      <c r="W9" s="55">
        <f>IF($T9="","",ROUND(($T9-$T$3)/1000,1)+(_xlfn.RANK.AVG($T9,($J9,$O9,$T9),1)-2)*20)</f>
        <v>9.1</v>
      </c>
      <c r="Y9" s="8"/>
      <c r="Z9" s="34"/>
      <c r="AA9" s="26">
        <v>1</v>
      </c>
      <c r="AB9" s="26"/>
      <c r="AC9" s="26">
        <v>6</v>
      </c>
      <c r="AD9" s="30" t="s">
        <v>196</v>
      </c>
      <c r="AE9" s="40" t="s">
        <v>197</v>
      </c>
      <c r="AF9" s="41" t="s">
        <v>82</v>
      </c>
      <c r="AG9" s="41" t="s">
        <v>87</v>
      </c>
      <c r="AH9" s="41" t="s">
        <v>204</v>
      </c>
      <c r="AI9" s="41" t="s">
        <v>79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206</v>
      </c>
      <c r="F10" s="8" t="s">
        <v>203</v>
      </c>
      <c r="G10" s="9">
        <v>-3000</v>
      </c>
      <c r="H10" s="9"/>
      <c r="I10" s="48"/>
      <c r="J10" s="21">
        <f t="shared" si="2"/>
        <v>53200</v>
      </c>
      <c r="K10" s="8" t="s">
        <v>203</v>
      </c>
      <c r="L10" s="9">
        <v>1500</v>
      </c>
      <c r="M10" s="9"/>
      <c r="N10" s="48"/>
      <c r="O10" s="21">
        <f t="shared" si="3"/>
        <v>6200</v>
      </c>
      <c r="P10" s="8" t="s">
        <v>203</v>
      </c>
      <c r="Q10" s="9">
        <v>1500</v>
      </c>
      <c r="R10" s="9"/>
      <c r="S10" s="48"/>
      <c r="T10" s="21">
        <f t="shared" si="4"/>
        <v>45600</v>
      </c>
      <c r="U10" s="53">
        <f>IF($J10="","",ROUND(($J10-$J$3)/1000,1)+(_xlfn.RANK.AVG($J10,($J10,$O10,$T10),1)-2)*20)</f>
        <v>38.200000000000003</v>
      </c>
      <c r="V10" s="54">
        <f>IF($O10="","",ROUND(($O10-$O$3)/1000,1)+(_xlfn.RANK.AVG($O10,($J10,$O10,$T10),1)-2)*20)</f>
        <v>-48.8</v>
      </c>
      <c r="W10" s="55">
        <f>IF($T10="","",ROUND(($T10-$T$3)/1000,1)+(_xlfn.RANK.AVG($T10,($J10,$O10,$T10),1)-2)*20)</f>
        <v>10.6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201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201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207</v>
      </c>
      <c r="F11" s="8" t="s">
        <v>198</v>
      </c>
      <c r="G11" s="9">
        <v>8000</v>
      </c>
      <c r="H11" s="9"/>
      <c r="I11" s="48">
        <v>2000</v>
      </c>
      <c r="J11" s="21">
        <f t="shared" si="2"/>
        <v>63200</v>
      </c>
      <c r="K11" s="8"/>
      <c r="L11" s="9"/>
      <c r="M11" s="9"/>
      <c r="N11" s="48"/>
      <c r="O11" s="21">
        <f t="shared" si="3"/>
        <v>6200</v>
      </c>
      <c r="P11" s="8" t="s">
        <v>199</v>
      </c>
      <c r="Q11" s="9">
        <v>-8000</v>
      </c>
      <c r="R11" s="9"/>
      <c r="S11" s="48">
        <v>-2000</v>
      </c>
      <c r="T11" s="21">
        <f t="shared" si="4"/>
        <v>35600</v>
      </c>
      <c r="U11" s="53">
        <f>IF($J11="","",ROUND(($J11-$J$3)/1000,1)+(_xlfn.RANK.AVG($J11,($J11,$O11,$T11),1)-2)*20)</f>
        <v>48.2</v>
      </c>
      <c r="V11" s="54">
        <f>IF($O11="","",ROUND(($O11-$O$3)/1000,1)+(_xlfn.RANK.AVG($O11,($J11,$O11,$T11),1)-2)*20)</f>
        <v>-48.8</v>
      </c>
      <c r="W11" s="55">
        <f>IF($T11="","",ROUND(($T11-$T$3)/1000,1)+(_xlfn.RANK.AVG($T11,($J11,$O11,$T11),1)-2)*20)</f>
        <v>0.6</v>
      </c>
      <c r="Y11" s="8"/>
      <c r="Z11" s="34"/>
      <c r="AA11" s="26"/>
      <c r="AB11" s="26">
        <v>1</v>
      </c>
      <c r="AC11" s="26">
        <v>5</v>
      </c>
      <c r="AD11" s="30" t="s">
        <v>196</v>
      </c>
      <c r="AE11" s="40" t="s">
        <v>98</v>
      </c>
      <c r="AF11" s="41" t="s">
        <v>104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195</v>
      </c>
      <c r="G12" s="9">
        <v>1200</v>
      </c>
      <c r="H12" s="9"/>
      <c r="I12" s="48">
        <v>0</v>
      </c>
      <c r="J12" s="21">
        <f t="shared" si="2"/>
        <v>64400</v>
      </c>
      <c r="K12" s="8" t="s">
        <v>194</v>
      </c>
      <c r="L12" s="9">
        <v>-500</v>
      </c>
      <c r="M12" s="9"/>
      <c r="N12" s="48">
        <v>0</v>
      </c>
      <c r="O12" s="21">
        <f t="shared" si="3"/>
        <v>5700</v>
      </c>
      <c r="P12" s="8" t="s">
        <v>194</v>
      </c>
      <c r="Q12" s="9">
        <v>-700</v>
      </c>
      <c r="R12" s="9"/>
      <c r="S12" s="48">
        <v>0</v>
      </c>
      <c r="T12" s="21">
        <f t="shared" si="4"/>
        <v>34900</v>
      </c>
      <c r="U12" s="53">
        <f>IF($J12="","",ROUND(($J12-$J$3)/1000,1)+(_xlfn.RANK.AVG($J12,($J12,$O12,$T12),1)-2)*20)</f>
        <v>49.4</v>
      </c>
      <c r="V12" s="54">
        <f>IF($O12="","",ROUND(($O12-$O$3)/1000,1)+(_xlfn.RANK.AVG($O12,($J12,$O12,$T12),1)-2)*20)</f>
        <v>-49.3</v>
      </c>
      <c r="W12" s="55">
        <f>IF($T12="","",ROUND(($T12-$T$3)/1000,1)+(_xlfn.RANK.AVG($T12,($J12,$O12,$T12),1)-2)*20)</f>
        <v>-0.1</v>
      </c>
      <c r="Y12" s="8"/>
      <c r="Z12" s="34"/>
      <c r="AA12" s="26"/>
      <c r="AB12" s="26"/>
      <c r="AC12" s="26">
        <v>1</v>
      </c>
      <c r="AD12" s="30">
        <v>30</v>
      </c>
      <c r="AE12" s="40" t="s">
        <v>82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206</v>
      </c>
      <c r="F13" s="8" t="s">
        <v>199</v>
      </c>
      <c r="G13" s="9">
        <v>-16000</v>
      </c>
      <c r="H13" s="9"/>
      <c r="I13" s="48">
        <v>0</v>
      </c>
      <c r="J13" s="21">
        <f t="shared" si="2"/>
        <v>48400</v>
      </c>
      <c r="K13" s="8" t="s">
        <v>198</v>
      </c>
      <c r="L13" s="9">
        <v>16000</v>
      </c>
      <c r="M13" s="9"/>
      <c r="N13" s="48">
        <v>0</v>
      </c>
      <c r="O13" s="21">
        <f t="shared" si="3"/>
        <v>21700</v>
      </c>
      <c r="P13" s="8"/>
      <c r="Q13" s="9"/>
      <c r="R13" s="9"/>
      <c r="S13" s="48"/>
      <c r="T13" s="21">
        <f t="shared" si="4"/>
        <v>34900</v>
      </c>
      <c r="U13" s="53">
        <f>IF($J13="","",ROUND(($J13-$J$3)/1000,1)+(_xlfn.RANK.AVG($J13,($J13,$O13,$T13),1)-2)*20)</f>
        <v>33.4</v>
      </c>
      <c r="V13" s="54">
        <f>IF($O13="","",ROUND(($O13-$O$3)/1000,1)+(_xlfn.RANK.AVG($O13,($J13,$O13,$T13),1)-2)*20)</f>
        <v>-33.299999999999997</v>
      </c>
      <c r="W13" s="55">
        <f>IF($T13="","",ROUND(($T13-$T$3)/1000,1)+(_xlfn.RANK.AVG($T13,($J13,$O13,$T13),1)-2)*20)</f>
        <v>-0.1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9</v>
      </c>
      <c r="AY13" s="30" t="s">
        <v>196</v>
      </c>
      <c r="AZ13" s="40" t="s">
        <v>197</v>
      </c>
      <c r="BA13" s="41" t="s">
        <v>84</v>
      </c>
      <c r="BB13" s="41" t="s">
        <v>204</v>
      </c>
      <c r="BC13" s="41" t="s">
        <v>204</v>
      </c>
      <c r="BD13" s="41" t="s">
        <v>79</v>
      </c>
      <c r="BE13" s="41" t="s">
        <v>79</v>
      </c>
      <c r="BF13" s="41" t="s">
        <v>80</v>
      </c>
      <c r="BG13" s="41" t="s">
        <v>80</v>
      </c>
      <c r="BH13" s="41" t="s">
        <v>80</v>
      </c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E1EB70F5-F2ED-4A86-804D-5127497F0BF0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BDC8F45F-3134-439F-8BD6-204734354071}">
      <formula1>"ロン,ツモ,放銃,ツモ支払,流局,チョンボ"</formula1>
    </dataValidation>
    <dataValidation type="list" allowBlank="1" showInputMessage="1" showErrorMessage="1" sqref="E4:E30" xr:uid="{5688BDEA-627A-457F-95CF-129F8523003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3032-F182-4E2D-A55A-052A0CAA43E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194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194</v>
      </c>
      <c r="L4" s="9">
        <v>-7500</v>
      </c>
      <c r="M4" s="9"/>
      <c r="N4" s="48">
        <v>0</v>
      </c>
      <c r="O4" s="21">
        <f>IF(COUNTA($F4,$K4,$P4)&gt;0,O3+SUM(L4:N4),"")</f>
        <v>27500</v>
      </c>
      <c r="P4" s="8" t="s">
        <v>195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-27.5</v>
      </c>
      <c r="W4" s="55">
        <f>IF($T4="","",ROUND(($T4-$T$3)/1000,1)+(_xlfn.RANK.AVG($T4,($J4,$O4,$T4),1)-2)*20)</f>
        <v>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82</v>
      </c>
      <c r="BW4" s="41" t="s">
        <v>83</v>
      </c>
      <c r="BX4" s="41" t="s">
        <v>200</v>
      </c>
      <c r="BY4" s="41" t="s">
        <v>79</v>
      </c>
      <c r="BZ4" s="41" t="s">
        <v>79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8000</v>
      </c>
      <c r="H5" s="9">
        <v>1000</v>
      </c>
      <c r="I5" s="48">
        <v>0</v>
      </c>
      <c r="J5" s="21">
        <f t="shared" ref="J5:J30" si="2">IF(COUNTA($F5,$K5,$P5)&gt;0,J4+SUM(G5:I5),"")</f>
        <v>39500</v>
      </c>
      <c r="K5" s="8"/>
      <c r="L5" s="9"/>
      <c r="M5" s="9">
        <v>-1000</v>
      </c>
      <c r="N5" s="48"/>
      <c r="O5" s="21">
        <f t="shared" ref="O5:O30" si="3">IF(COUNTA($F5,$K5,$P5)&gt;0,O4+SUM(L5:N5),"")</f>
        <v>26500</v>
      </c>
      <c r="P5" s="8" t="s">
        <v>199</v>
      </c>
      <c r="Q5" s="9">
        <v>-8000</v>
      </c>
      <c r="R5" s="9"/>
      <c r="S5" s="48">
        <v>0</v>
      </c>
      <c r="T5" s="21">
        <f t="shared" ref="T5:T30" si="4">IF(COUNTA($F5,$K5,$P5)&gt;0,T4+SUM(Q5:S5),"")</f>
        <v>39000</v>
      </c>
      <c r="U5" s="53">
        <f>IF($J5="","",ROUND(($J5-$J$3)/1000,1)+(_xlfn.RANK.AVG($J5,($J5,$O5,$T5),1)-2)*20)</f>
        <v>24.5</v>
      </c>
      <c r="V5" s="54">
        <f>IF($O5="","",ROUND(($O5-$O$3)/1000,1)+(_xlfn.RANK.AVG($O5,($J5,$O5,$T5),1)-2)*20)</f>
        <v>-28.5</v>
      </c>
      <c r="W5" s="55">
        <f>IF($T5="","",ROUND(($T5-$T$3)/1000,1)+(_xlfn.RANK.AVG($T5,($J5,$O5,$T5),1)-2)*20)</f>
        <v>4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96</v>
      </c>
      <c r="AF5" s="41" t="s">
        <v>98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194</v>
      </c>
      <c r="G6" s="9">
        <v>-1700</v>
      </c>
      <c r="H6" s="9"/>
      <c r="I6" s="48">
        <v>0</v>
      </c>
      <c r="J6" s="21">
        <f t="shared" si="2"/>
        <v>37800</v>
      </c>
      <c r="K6" s="8" t="s">
        <v>195</v>
      </c>
      <c r="L6" s="9">
        <v>2800</v>
      </c>
      <c r="M6" s="9"/>
      <c r="N6" s="48">
        <v>0</v>
      </c>
      <c r="O6" s="21">
        <f t="shared" si="3"/>
        <v>29300</v>
      </c>
      <c r="P6" s="8" t="s">
        <v>194</v>
      </c>
      <c r="Q6" s="9">
        <v>-1100</v>
      </c>
      <c r="R6" s="9"/>
      <c r="S6" s="48">
        <v>0</v>
      </c>
      <c r="T6" s="21">
        <f t="shared" si="4"/>
        <v>37900</v>
      </c>
      <c r="U6" s="53">
        <f>IF($J6="","",ROUND(($J6-$J$3)/1000,1)+(_xlfn.RANK.AVG($J6,($J6,$O6,$T6),1)-2)*20)</f>
        <v>2.8</v>
      </c>
      <c r="V6" s="54">
        <f>IF($O6="","",ROUND(($O6-$O$3)/1000,1)+(_xlfn.RANK.AVG($O6,($J6,$O6,$T6),1)-2)*20)</f>
        <v>-25.7</v>
      </c>
      <c r="W6" s="55">
        <f>IF($T6="","",ROUND(($T6-$T$3)/1000,1)+(_xlfn.RANK.AVG($T6,($J6,$O6,$T6),1)-2)*20)</f>
        <v>22.9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20</v>
      </c>
      <c r="AZ6" s="40" t="s">
        <v>197</v>
      </c>
      <c r="BA6" s="41" t="s">
        <v>82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203</v>
      </c>
      <c r="G7" s="9">
        <v>1500</v>
      </c>
      <c r="H7" s="9"/>
      <c r="I7" s="48"/>
      <c r="J7" s="21">
        <f t="shared" si="2"/>
        <v>39300</v>
      </c>
      <c r="K7" s="8" t="s">
        <v>203</v>
      </c>
      <c r="L7" s="9">
        <v>1500</v>
      </c>
      <c r="M7" s="9"/>
      <c r="N7" s="48"/>
      <c r="O7" s="21">
        <f t="shared" si="3"/>
        <v>30800</v>
      </c>
      <c r="P7" s="8" t="s">
        <v>203</v>
      </c>
      <c r="Q7" s="9">
        <v>-3000</v>
      </c>
      <c r="R7" s="9"/>
      <c r="S7" s="48"/>
      <c r="T7" s="21">
        <f t="shared" si="4"/>
        <v>34900</v>
      </c>
      <c r="U7" s="53">
        <f>IF($J7="","",ROUND(($J7-$J$3)/1000,1)+(_xlfn.RANK.AVG($J7,($J7,$O7,$T7),1)-2)*20)</f>
        <v>24.3</v>
      </c>
      <c r="V7" s="54">
        <f>IF($O7="","",ROUND(($O7-$O$3)/1000,1)+(_xlfn.RANK.AVG($O7,($J7,$O7,$T7),1)-2)*20)</f>
        <v>-24.2</v>
      </c>
      <c r="W7" s="55">
        <f>IF($T7="","",ROUND(($T7-$T$3)/1000,1)+(_xlfn.RANK.AVG($T7,($J7,$O7,$T7),1)-2)*20)</f>
        <v>-0.1</v>
      </c>
      <c r="Y7" s="8" t="s">
        <v>201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207</v>
      </c>
      <c r="F8" s="8"/>
      <c r="G8" s="9"/>
      <c r="H8" s="9"/>
      <c r="I8" s="48"/>
      <c r="J8" s="21">
        <f t="shared" si="2"/>
        <v>39300</v>
      </c>
      <c r="K8" s="8" t="s">
        <v>199</v>
      </c>
      <c r="L8" s="9">
        <v>-12000</v>
      </c>
      <c r="M8" s="9"/>
      <c r="N8" s="48">
        <v>-1000</v>
      </c>
      <c r="O8" s="21">
        <f t="shared" si="3"/>
        <v>17800</v>
      </c>
      <c r="P8" s="8" t="s">
        <v>198</v>
      </c>
      <c r="Q8" s="9">
        <v>12000</v>
      </c>
      <c r="R8" s="9"/>
      <c r="S8" s="48">
        <v>1000</v>
      </c>
      <c r="T8" s="21">
        <f t="shared" si="4"/>
        <v>47900</v>
      </c>
      <c r="U8" s="53">
        <f>IF($J8="","",ROUND(($J8-$J$3)/1000,1)+(_xlfn.RANK.AVG($J8,($J8,$O8,$T8),1)-2)*20)</f>
        <v>4.3</v>
      </c>
      <c r="V8" s="54">
        <f>IF($O8="","",ROUND(($O8-$O$3)/1000,1)+(_xlfn.RANK.AVG($O8,($J8,$O8,$T8),1)-2)*20)</f>
        <v>-37.200000000000003</v>
      </c>
      <c r="W8" s="55">
        <f>IF($T8="","",ROUND(($T8-$T$3)/1000,1)+(_xlfn.RANK.AVG($T8,($J8,$O8,$T8),1)-2)*20)</f>
        <v>32.9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196</v>
      </c>
      <c r="BU8" s="40" t="s">
        <v>197</v>
      </c>
      <c r="BV8" s="41" t="s">
        <v>86</v>
      </c>
      <c r="BW8" s="41" t="s">
        <v>79</v>
      </c>
      <c r="BX8" s="41" t="s">
        <v>79</v>
      </c>
      <c r="BY8" s="41" t="s">
        <v>84</v>
      </c>
      <c r="BZ8" s="41" t="s">
        <v>80</v>
      </c>
      <c r="CA8" s="41" t="s">
        <v>80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2000</v>
      </c>
      <c r="H9" s="9"/>
      <c r="I9" s="48">
        <v>0</v>
      </c>
      <c r="J9" s="21">
        <f t="shared" si="2"/>
        <v>41300</v>
      </c>
      <c r="K9" s="8" t="s">
        <v>199</v>
      </c>
      <c r="L9" s="9">
        <v>-2000</v>
      </c>
      <c r="M9" s="9"/>
      <c r="N9" s="48">
        <v>0</v>
      </c>
      <c r="O9" s="21">
        <f t="shared" si="3"/>
        <v>15800</v>
      </c>
      <c r="P9" s="8"/>
      <c r="Q9" s="9"/>
      <c r="R9" s="9"/>
      <c r="S9" s="48"/>
      <c r="T9" s="21">
        <f t="shared" si="4"/>
        <v>47900</v>
      </c>
      <c r="U9" s="53">
        <f>IF($J9="","",ROUND(($J9-$J$3)/1000,1)+(_xlfn.RANK.AVG($J9,($J9,$O9,$T9),1)-2)*20)</f>
        <v>6.3</v>
      </c>
      <c r="V9" s="54">
        <f>IF($O9="","",ROUND(($O9-$O$3)/1000,1)+(_xlfn.RANK.AVG($O9,($J9,$O9,$T9),1)-2)*20)</f>
        <v>-39.200000000000003</v>
      </c>
      <c r="W9" s="55">
        <f>IF($T9="","",ROUND(($T9-$T$3)/1000,1)+(_xlfn.RANK.AVG($T9,($J9,$O9,$T9),1)-2)*20)</f>
        <v>32.9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12000</v>
      </c>
      <c r="H10" s="9"/>
      <c r="I10" s="48">
        <v>0</v>
      </c>
      <c r="J10" s="21">
        <f t="shared" si="2"/>
        <v>53300</v>
      </c>
      <c r="K10" s="8" t="s">
        <v>199</v>
      </c>
      <c r="L10" s="9">
        <v>-12000</v>
      </c>
      <c r="M10" s="9"/>
      <c r="N10" s="48">
        <v>0</v>
      </c>
      <c r="O10" s="21">
        <f t="shared" si="3"/>
        <v>3800</v>
      </c>
      <c r="P10" s="8"/>
      <c r="Q10" s="9"/>
      <c r="R10" s="9"/>
      <c r="S10" s="48"/>
      <c r="T10" s="21">
        <f t="shared" si="4"/>
        <v>47900</v>
      </c>
      <c r="U10" s="53">
        <f>IF($J10="","",ROUND(($J10-$J$3)/1000,1)+(_xlfn.RANK.AVG($J10,($J10,$O10,$T10),1)-2)*20)</f>
        <v>38.299999999999997</v>
      </c>
      <c r="V10" s="54">
        <f>IF($O10="","",ROUND(($O10-$O$3)/1000,1)+(_xlfn.RANK.AVG($O10,($J10,$O10,$T10),1)-2)*20)</f>
        <v>-51.2</v>
      </c>
      <c r="W10" s="55">
        <f>IF($T10="","",ROUND(($T10-$T$3)/1000,1)+(_xlfn.RANK.AVG($T10,($J10,$O10,$T10),1)-2)*20)</f>
        <v>12.9</v>
      </c>
      <c r="Y10" s="8"/>
      <c r="Z10" s="34"/>
      <c r="AA10" s="26">
        <v>1</v>
      </c>
      <c r="AB10" s="26"/>
      <c r="AC10" s="26">
        <v>5</v>
      </c>
      <c r="AD10" s="30" t="s">
        <v>196</v>
      </c>
      <c r="AE10" s="40" t="s">
        <v>197</v>
      </c>
      <c r="AF10" s="41" t="s">
        <v>204</v>
      </c>
      <c r="AG10" s="41" t="s">
        <v>80</v>
      </c>
      <c r="AH10" s="41" t="s">
        <v>80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AE26DF1C-49F2-44A8-BD68-6376E540A929}">
      <formula1>$U$2:$W$2</formula1>
    </dataValidation>
    <dataValidation type="list" showInputMessage="1" showErrorMessage="1" sqref="K4:K30 P4:P30 F4:F30" xr:uid="{DCA5C375-0BF8-44FE-A107-CAFA52A44141}">
      <formula1>"ロン,ツモ,放銃,ツモ支払,流局,チョンボ"</formula1>
    </dataValidation>
    <dataValidation type="list" allowBlank="1" showInputMessage="1" sqref="F1:T1" xr:uid="{40EA39E0-E9F9-46D2-BDDE-A33B2FAAFAE2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EE191-0FDF-4F95-91FB-24E5ADE727F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5800</v>
      </c>
      <c r="M4" s="9"/>
      <c r="N4" s="48">
        <v>0</v>
      </c>
      <c r="O4" s="21">
        <f>IF(COUNTA($F4,$K4,$P4)&gt;0,O3+SUM(L4:N4),"")</f>
        <v>40800</v>
      </c>
      <c r="P4" s="8" t="s">
        <v>199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25.8</v>
      </c>
      <c r="W4" s="55">
        <f>IF($T4="","",ROUND(($T4-$T$3)/1000,1)+(_xlfn.RANK.AVG($T4,($J4,$O4,$T4),1)-2)*20)</f>
        <v>-25.8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194</v>
      </c>
      <c r="G5" s="9">
        <v>-1500</v>
      </c>
      <c r="H5" s="9"/>
      <c r="I5" s="48">
        <v>-500</v>
      </c>
      <c r="J5" s="21">
        <f t="shared" ref="J5:J30" si="2">IF(COUNTA($F5,$K5,$P5)&gt;0,J4+SUM(G5:I5),"")</f>
        <v>33000</v>
      </c>
      <c r="K5" s="8" t="s">
        <v>194</v>
      </c>
      <c r="L5" s="9">
        <v>-2500</v>
      </c>
      <c r="M5" s="9"/>
      <c r="N5" s="48">
        <v>-500</v>
      </c>
      <c r="O5" s="21">
        <f t="shared" ref="O5:O30" si="3">IF(COUNTA($F5,$K5,$P5)&gt;0,O4+SUM(L5:N5),"")</f>
        <v>37800</v>
      </c>
      <c r="P5" s="8" t="s">
        <v>195</v>
      </c>
      <c r="Q5" s="9">
        <v>4000</v>
      </c>
      <c r="R5" s="9"/>
      <c r="S5" s="48">
        <v>1000</v>
      </c>
      <c r="T5" s="21">
        <f t="shared" ref="T5:T30" si="4">IF(COUNTA($F5,$K5,$P5)&gt;0,T4+SUM(Q5:S5),"")</f>
        <v>34200</v>
      </c>
      <c r="U5" s="53">
        <f>IF($J5="","",ROUND(($J5-$J$3)/1000,1)+(_xlfn.RANK.AVG($J5,($J5,$O5,$T5),1)-2)*20)</f>
        <v>-22</v>
      </c>
      <c r="V5" s="54">
        <f>IF($O5="","",ROUND(($O5-$O$3)/1000,1)+(_xlfn.RANK.AVG($O5,($J5,$O5,$T5),1)-2)*20)</f>
        <v>22.8</v>
      </c>
      <c r="W5" s="55">
        <f>IF($T5="","",ROUND(($T5-$T$3)/1000,1)+(_xlfn.RANK.AVG($T5,($J5,$O5,$T5),1)-2)*20)</f>
        <v>-0.8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197</v>
      </c>
      <c r="BV5" s="41" t="s">
        <v>82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194</v>
      </c>
      <c r="G6" s="9">
        <v>-9000</v>
      </c>
      <c r="H6" s="9">
        <v>-1000</v>
      </c>
      <c r="I6" s="48">
        <v>0</v>
      </c>
      <c r="J6" s="21">
        <f t="shared" si="2"/>
        <v>23000</v>
      </c>
      <c r="K6" s="8" t="s">
        <v>194</v>
      </c>
      <c r="L6" s="9">
        <v>-9000</v>
      </c>
      <c r="M6" s="9"/>
      <c r="N6" s="48">
        <v>0</v>
      </c>
      <c r="O6" s="21">
        <f t="shared" si="3"/>
        <v>28800</v>
      </c>
      <c r="P6" s="8" t="s">
        <v>195</v>
      </c>
      <c r="Q6" s="9">
        <v>18000</v>
      </c>
      <c r="R6" s="9">
        <v>1000</v>
      </c>
      <c r="S6" s="48">
        <v>0</v>
      </c>
      <c r="T6" s="21">
        <f t="shared" si="4"/>
        <v>53200</v>
      </c>
      <c r="U6" s="53">
        <f>IF($J6="","",ROUND(($J6-$J$3)/1000,1)+(_xlfn.RANK.AVG($J6,($J6,$O6,$T6),1)-2)*20)</f>
        <v>-32</v>
      </c>
      <c r="V6" s="54">
        <f>IF($O6="","",ROUND(($O6-$O$3)/1000,1)+(_xlfn.RANK.AVG($O6,($J6,$O6,$T6),1)-2)*20)</f>
        <v>-6.2</v>
      </c>
      <c r="W6" s="55">
        <f>IF($T6="","",ROUND(($T6-$T$3)/1000,1)+(_xlfn.RANK.AVG($T6,($J6,$O6,$T6),1)-2)*20)</f>
        <v>38.200000000000003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196</v>
      </c>
      <c r="BU6" s="40" t="s">
        <v>197</v>
      </c>
      <c r="BV6" s="41" t="s">
        <v>82</v>
      </c>
      <c r="BW6" s="41" t="s">
        <v>86</v>
      </c>
      <c r="BX6" s="41" t="s">
        <v>80</v>
      </c>
      <c r="BY6" s="41" t="s">
        <v>93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194</v>
      </c>
      <c r="G7" s="9">
        <v>-1100</v>
      </c>
      <c r="H7" s="9"/>
      <c r="I7" s="48">
        <v>-500</v>
      </c>
      <c r="J7" s="21">
        <f t="shared" si="2"/>
        <v>21400</v>
      </c>
      <c r="K7" s="8" t="s">
        <v>194</v>
      </c>
      <c r="L7" s="9">
        <v>-1100</v>
      </c>
      <c r="M7" s="9"/>
      <c r="N7" s="48">
        <v>-500</v>
      </c>
      <c r="O7" s="21">
        <f t="shared" si="3"/>
        <v>27200</v>
      </c>
      <c r="P7" s="8" t="s">
        <v>195</v>
      </c>
      <c r="Q7" s="9">
        <v>2200</v>
      </c>
      <c r="R7" s="9"/>
      <c r="S7" s="48">
        <v>1000</v>
      </c>
      <c r="T7" s="21">
        <f t="shared" si="4"/>
        <v>56400</v>
      </c>
      <c r="U7" s="53">
        <f>IF($J7="","",ROUND(($J7-$J$3)/1000,1)+(_xlfn.RANK.AVG($J7,($J7,$O7,$T7),1)-2)*20)</f>
        <v>-33.6</v>
      </c>
      <c r="V7" s="54">
        <f>IF($O7="","",ROUND(($O7-$O$3)/1000,1)+(_xlfn.RANK.AVG($O7,($J7,$O7,$T7),1)-2)*20)</f>
        <v>-7.8</v>
      </c>
      <c r="W7" s="55">
        <f>IF($T7="","",ROUND(($T7-$T$3)/1000,1)+(_xlfn.RANK.AVG($T7,($J7,$O7,$T7),1)-2)*20)</f>
        <v>41.4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40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203</v>
      </c>
      <c r="G8" s="9">
        <v>-1500</v>
      </c>
      <c r="H8" s="9"/>
      <c r="I8" s="48"/>
      <c r="J8" s="21">
        <f t="shared" si="2"/>
        <v>19900</v>
      </c>
      <c r="K8" s="8" t="s">
        <v>203</v>
      </c>
      <c r="L8" s="9">
        <v>3000</v>
      </c>
      <c r="M8" s="9"/>
      <c r="N8" s="48"/>
      <c r="O8" s="21">
        <f t="shared" si="3"/>
        <v>30200</v>
      </c>
      <c r="P8" s="8" t="s">
        <v>203</v>
      </c>
      <c r="Q8" s="9">
        <v>-1500</v>
      </c>
      <c r="R8" s="9"/>
      <c r="S8" s="48"/>
      <c r="T8" s="21">
        <f t="shared" si="4"/>
        <v>54900</v>
      </c>
      <c r="U8" s="53">
        <f>IF($J8="","",ROUND(($J8-$J$3)/1000,1)+(_xlfn.RANK.AVG($J8,($J8,$O8,$T8),1)-2)*20)</f>
        <v>-35.1</v>
      </c>
      <c r="V8" s="54">
        <f>IF($O8="","",ROUND(($O8-$O$3)/1000,1)+(_xlfn.RANK.AVG($O8,($J8,$O8,$T8),1)-2)*20)</f>
        <v>-4.8</v>
      </c>
      <c r="W8" s="55">
        <f>IF($T8="","",ROUND(($T8-$T$3)/1000,1)+(_xlfn.RANK.AVG($T8,($J8,$O8,$T8),1)-2)*20)</f>
        <v>39.9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201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195</v>
      </c>
      <c r="G9" s="9">
        <v>12000</v>
      </c>
      <c r="H9" s="9"/>
      <c r="I9" s="48">
        <v>3000</v>
      </c>
      <c r="J9" s="21">
        <f t="shared" si="2"/>
        <v>34900</v>
      </c>
      <c r="K9" s="8" t="s">
        <v>194</v>
      </c>
      <c r="L9" s="9">
        <v>-6000</v>
      </c>
      <c r="M9" s="9"/>
      <c r="N9" s="48">
        <v>-1500</v>
      </c>
      <c r="O9" s="21">
        <f t="shared" si="3"/>
        <v>22700</v>
      </c>
      <c r="P9" s="8" t="s">
        <v>194</v>
      </c>
      <c r="Q9" s="9">
        <v>-6000</v>
      </c>
      <c r="R9" s="9"/>
      <c r="S9" s="48">
        <v>-1500</v>
      </c>
      <c r="T9" s="21">
        <f t="shared" si="4"/>
        <v>47400</v>
      </c>
      <c r="U9" s="53">
        <f>IF($J9="","",ROUND(($J9-$J$3)/1000,1)+(_xlfn.RANK.AVG($J9,($J9,$O9,$T9),1)-2)*20)</f>
        <v>-0.1</v>
      </c>
      <c r="V9" s="54">
        <f>IF($O9="","",ROUND(($O9-$O$3)/1000,1)+(_xlfn.RANK.AVG($O9,($J9,$O9,$T9),1)-2)*20)</f>
        <v>-32.299999999999997</v>
      </c>
      <c r="W9" s="55">
        <f>IF($T9="","",ROUND(($T9-$T$3)/1000,1)+(_xlfn.RANK.AVG($T9,($J9,$O9,$T9),1)-2)*20)</f>
        <v>32.4</v>
      </c>
      <c r="Y9" s="8"/>
      <c r="Z9" s="34"/>
      <c r="AA9" s="26">
        <v>1</v>
      </c>
      <c r="AB9" s="26"/>
      <c r="AC9" s="26">
        <v>5</v>
      </c>
      <c r="AD9" s="30" t="s">
        <v>196</v>
      </c>
      <c r="AE9" s="40" t="s">
        <v>197</v>
      </c>
      <c r="AF9" s="41" t="s">
        <v>82</v>
      </c>
      <c r="AG9" s="41" t="s">
        <v>79</v>
      </c>
      <c r="AH9" s="41" t="s">
        <v>79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193</v>
      </c>
      <c r="F10" s="8" t="s">
        <v>198</v>
      </c>
      <c r="G10" s="9">
        <v>12000</v>
      </c>
      <c r="H10" s="9"/>
      <c r="I10" s="48">
        <v>4000</v>
      </c>
      <c r="J10" s="21">
        <f t="shared" si="2"/>
        <v>50900</v>
      </c>
      <c r="K10" s="8" t="s">
        <v>199</v>
      </c>
      <c r="L10" s="9">
        <v>-12000</v>
      </c>
      <c r="M10" s="9"/>
      <c r="N10" s="48">
        <v>-4000</v>
      </c>
      <c r="O10" s="21">
        <f t="shared" si="3"/>
        <v>6700</v>
      </c>
      <c r="P10" s="8"/>
      <c r="Q10" s="9"/>
      <c r="R10" s="9"/>
      <c r="S10" s="48"/>
      <c r="T10" s="21">
        <f t="shared" si="4"/>
        <v>47400</v>
      </c>
      <c r="U10" s="53">
        <f>IF($J10="","",ROUND(($J10-$J$3)/1000,1)+(_xlfn.RANK.AVG($J10,($J10,$O10,$T10),1)-2)*20)</f>
        <v>35.9</v>
      </c>
      <c r="V10" s="54">
        <f>IF($O10="","",ROUND(($O10-$O$3)/1000,1)+(_xlfn.RANK.AVG($O10,($J10,$O10,$T10),1)-2)*20)</f>
        <v>-48.3</v>
      </c>
      <c r="W10" s="55">
        <f>IF($T10="","",ROUND(($T10-$T$3)/1000,1)+(_xlfn.RANK.AVG($T10,($J10,$O10,$T10),1)-2)*20)</f>
        <v>12.4</v>
      </c>
      <c r="Y10" s="8"/>
      <c r="Z10" s="34"/>
      <c r="AA10" s="26">
        <v>1</v>
      </c>
      <c r="AB10" s="26"/>
      <c r="AC10" s="26">
        <v>5</v>
      </c>
      <c r="AD10" s="30" t="s">
        <v>196</v>
      </c>
      <c r="AE10" s="40" t="s">
        <v>197</v>
      </c>
      <c r="AF10" s="41" t="s">
        <v>79</v>
      </c>
      <c r="AG10" s="41" t="s">
        <v>79</v>
      </c>
      <c r="AH10" s="41" t="s">
        <v>80</v>
      </c>
      <c r="AI10" s="41" t="s">
        <v>84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5</v>
      </c>
      <c r="D11" s="18">
        <f t="shared" si="1"/>
        <v>0</v>
      </c>
      <c r="E11" s="4" t="s">
        <v>193</v>
      </c>
      <c r="F11" s="8" t="s">
        <v>198</v>
      </c>
      <c r="G11" s="9">
        <v>12000</v>
      </c>
      <c r="H11" s="9"/>
      <c r="I11" s="48"/>
      <c r="J11" s="21">
        <f t="shared" si="2"/>
        <v>62900</v>
      </c>
      <c r="K11" s="8" t="s">
        <v>199</v>
      </c>
      <c r="L11" s="9">
        <v>-17200</v>
      </c>
      <c r="M11" s="9"/>
      <c r="N11" s="48">
        <v>-5000</v>
      </c>
      <c r="O11" s="21">
        <f t="shared" si="3"/>
        <v>-15500</v>
      </c>
      <c r="P11" s="8" t="s">
        <v>198</v>
      </c>
      <c r="Q11" s="9">
        <v>5200</v>
      </c>
      <c r="R11" s="9"/>
      <c r="S11" s="48">
        <v>5000</v>
      </c>
      <c r="T11" s="21">
        <f t="shared" si="4"/>
        <v>57600</v>
      </c>
      <c r="U11" s="53">
        <f>IF($J11="","",ROUND(($J11-$J$3)/1000,1)+(_xlfn.RANK.AVG($J11,($J11,$O11,$T11),1)-2)*20)</f>
        <v>47.9</v>
      </c>
      <c r="V11" s="54">
        <f>IF($O11="","",ROUND(($O11-$O$3)/1000,1)+(_xlfn.RANK.AVG($O11,($J11,$O11,$T11),1)-2)*20)</f>
        <v>-70.5</v>
      </c>
      <c r="W11" s="55">
        <f>IF($T11="","",ROUND(($T11-$T$3)/1000,1)+(_xlfn.RANK.AVG($T11,($J11,$O11,$T11),1)-2)*20)</f>
        <v>22.6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86</v>
      </c>
      <c r="AF11" s="41" t="s">
        <v>79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40</v>
      </c>
      <c r="BU11" s="40" t="s">
        <v>86</v>
      </c>
      <c r="BV11" s="41" t="s">
        <v>79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C2560E8C-1898-416E-915A-5CAB6DF36C91}">
      <formula1>"ロン,ツモ,放銃,ツモ支払,流局,チョンボ"</formula1>
    </dataValidation>
    <dataValidation type="list" allowBlank="1" showInputMessage="1" showErrorMessage="1" sqref="E4:E30" xr:uid="{7394A97B-3B8F-4074-AE51-02C1C6D964A0}">
      <formula1>$U$2:$W$2</formula1>
    </dataValidation>
    <dataValidation type="list" allowBlank="1" showInputMessage="1" sqref="F1:T1" xr:uid="{E4C03D6A-8FF7-4339-AA64-9CDA4CE92382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2019-07-15T00:45:23Z</dcterms:modified>
</cp:coreProperties>
</file>