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対局\"/>
    </mc:Choice>
  </mc:AlternateContent>
  <xr:revisionPtr revIDLastSave="0" documentId="13_ncr:1_{C5A83A3C-F065-4B6E-A811-EE780A3D9FE1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W9" i="19" s="1"/>
  <c r="O9" i="19"/>
  <c r="J9" i="19"/>
  <c r="D9" i="19"/>
  <c r="C9" i="19"/>
  <c r="B9" i="19"/>
  <c r="A9" i="19"/>
  <c r="T8" i="19"/>
  <c r="O8" i="19"/>
  <c r="J8" i="19"/>
  <c r="D8" i="19"/>
  <c r="C8" i="19"/>
  <c r="B8" i="19"/>
  <c r="A8" i="19" s="1"/>
  <c r="T7" i="19"/>
  <c r="O7" i="19"/>
  <c r="J7" i="19"/>
  <c r="U7" i="19" s="1"/>
  <c r="D7" i="19"/>
  <c r="C7" i="19"/>
  <c r="B7" i="19"/>
  <c r="A7" i="19" s="1"/>
  <c r="T6" i="19"/>
  <c r="W6" i="19" s="1"/>
  <c r="O6" i="19"/>
  <c r="J6" i="19"/>
  <c r="D6" i="19"/>
  <c r="C6" i="19"/>
  <c r="B6" i="19"/>
  <c r="A6" i="19" s="1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V10" i="19" l="1"/>
  <c r="W10" i="19"/>
  <c r="U9" i="19"/>
  <c r="V9" i="19"/>
  <c r="U8" i="19"/>
  <c r="V8" i="19"/>
  <c r="W8" i="19"/>
  <c r="V7" i="19"/>
  <c r="W7" i="19"/>
  <c r="U6" i="19"/>
  <c r="V6" i="19"/>
  <c r="U4" i="19"/>
  <c r="V4" i="19"/>
  <c r="W4" i="19"/>
  <c r="J5" i="19"/>
  <c r="O5" i="19"/>
  <c r="V5" i="19" l="1"/>
  <c r="W5" i="19"/>
  <c r="U5" i="19"/>
</calcChain>
</file>

<file path=xl/sharedStrings.xml><?xml version="1.0" encoding="utf-8"?>
<sst xmlns="http://schemas.openxmlformats.org/spreadsheetml/2006/main" count="590" uniqueCount="203">
  <si>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</si>
  <si>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</si>
  <si>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</si>
  <si>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</si>
  <si>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</si>
  <si>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</si>
  <si>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</si>
  <si>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</si>
  <si>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</si>
  <si>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</si>
  <si>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</si>
  <si>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</si>
  <si>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</si>
  <si>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</si>
  <si>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</si>
  <si>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</si>
  <si>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</si>
  <si>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</si>
  <si>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</si>
  <si>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</si>
  <si>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</si>
  <si>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</si>
  <si>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</si>
  <si>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</si>
  <si>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</si>
  <si>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</si>
  <si>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</si>
  <si>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</si>
  <si>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</si>
  <si>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</si>
  <si>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</si>
  <si>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</si>
  <si>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</si>
  <si>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</si>
  <si>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</si>
  <si>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</si>
  <si>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</si>
  <si>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</si>
  <si>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</si>
  <si>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</si>
  <si>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</si>
  <si>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</si>
  <si>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</si>
  <si>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</si>
  <si>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</si>
  <si>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</si>
  <si>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</si>
  <si>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</si>
  <si>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</si>
  <si>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</si>
  <si>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</si>
  <si>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</si>
  <si>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</si>
  <si>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</si>
  <si>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</si>
  <si>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</si>
  <si>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</si>
  <si>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</si>
  <si>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</si>
  <si>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</si>
  <si>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</si>
  <si>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</si>
  <si>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</si>
  <si>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</si>
  <si>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</si>
  <si>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</si>
  <si>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</si>
  <si>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</si>
  <si>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</si>
  <si>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</si>
  <si>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</si>
  <si>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</si>
  <si>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</si>
  <si>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</si>
  <si>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</si>
  <si>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</si>
  <si>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</si>
  <si>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</si>
  <si>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</si>
  <si>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</si>
  <si>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</si>
  <si>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</si>
  <si>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</si>
  <si>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</si>
  <si>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</si>
  <si>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</si>
  <si>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</si>
  <si>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</si>
  <si>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</si>
  <si>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</si>
  <si>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</si>
  <si>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</si>
  <si>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</si>
  <si>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</si>
  <si>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</si>
  <si>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</si>
  <si>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</si>
  <si>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</si>
  <si>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</si>
  <si>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</si>
  <si>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</si>
  <si>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</si>
  <si>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</si>
  <si>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</si>
  <si>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</si>
  <si>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</si>
  <si>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</si>
  <si>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</si>
  <si>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</si>
  <si>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</si>
  <si>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</si>
  <si>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</si>
  <si>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</si>
  <si>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</si>
  <si>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</si>
  <si>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</si>
  <si>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</si>
  <si>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</si>
  <si>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</si>
  <si>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</si>
  <si>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</si>
  <si>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</si>
  <si>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</si>
  <si>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</si>
  <si>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</si>
  <si>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</si>
  <si>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</si>
  <si>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</si>
  <si>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</si>
  <si>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</si>
  <si>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</si>
  <si>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</si>
  <si>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</si>
  <si>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</si>
  <si>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</si>
  <si>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</si>
  <si>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</si>
  <si>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</si>
  <si>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</si>
  <si>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</si>
  <si>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</si>
  <si>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</si>
  <si>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</si>
  <si>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</si>
  <si>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</si>
  <si>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</si>
  <si>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</si>
  <si>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</si>
  <si>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</si>
  <si>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</si>
  <si>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</si>
  <si>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</si>
  <si>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</si>
  <si>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</si>
  <si>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</si>
  <si>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</si>
  <si>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</si>
  <si>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</si>
  <si>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</si>
  <si>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</si>
  <si>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</si>
  <si>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</si>
  <si>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</si>
  <si>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</si>
  <si>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</si>
  <si>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</si>
  <si>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</si>
  <si>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</si>
  <si>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</si>
  <si>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</si>
  <si>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</si>
  <si>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</si>
  <si>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</si>
  <si>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</si>
  <si>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</si>
  <si>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</si>
  <si>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</si>
  <si>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</si>
  <si>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</si>
  <si>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</si>
  <si>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</si>
  <si>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</si>
  <si>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</si>
  <si>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</si>
  <si>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</si>
  <si>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</si>
  <si>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</si>
  <si>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</si>
  <si>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</si>
  <si>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だいち</t>
  </si>
  <si>
    <t>だいち</t>
    <phoneticPr fontId="1"/>
  </si>
  <si>
    <t>れんたろう</t>
  </si>
  <si>
    <t>れんたろう</t>
    <phoneticPr fontId="1"/>
  </si>
  <si>
    <t>ただ</t>
  </si>
  <si>
    <t>ただ</t>
    <phoneticPr fontId="1"/>
  </si>
  <si>
    <t>放銃</t>
  </si>
  <si>
    <t>ロン</t>
  </si>
  <si>
    <t>01</t>
  </si>
  <si>
    <t>ツモ</t>
  </si>
  <si>
    <t>ツモ支払</t>
  </si>
  <si>
    <t>*</t>
  </si>
  <si>
    <t>52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</si>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</sst>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69" t="s">
        <v>0</v>
      </c>
      <c r="B1" s="71" t="s">
        <v>2</v>
      </c>
      <c r="C1" s="71" t="s">
        <v>1</v>
      </c>
      <c r="D1" s="71" t="s">
        <v>21</v>
      </c>
      <c r="E1" s="73" t="s">
        <v>3</v>
      </c>
      <c r="F1" s="65" t="s">
        <v>190</v>
      </c>
      <c r="G1" s="66"/>
      <c r="H1" s="66"/>
      <c r="I1" s="67"/>
      <c r="J1" s="68"/>
      <c r="K1" s="65" t="s">
        <v>192</v>
      </c>
      <c r="L1" s="66"/>
      <c r="M1" s="66"/>
      <c r="N1" s="67"/>
      <c r="O1" s="68"/>
      <c r="P1" s="65" t="s">
        <v>194</v>
      </c>
      <c r="Q1" s="66"/>
      <c r="R1" s="66"/>
      <c r="S1" s="67"/>
      <c r="T1" s="68"/>
      <c r="U1" s="65" t="s">
        <v>6</v>
      </c>
      <c r="V1" s="66"/>
      <c r="W1" s="68"/>
      <c r="Y1" s="65" t="str">
        <f>F1</f>
        <v>だいち</v>
      </c>
      <c r="Z1" s="7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8"/>
      <c r="AT1" s="65" t="str">
        <f>K1</f>
        <v>れんたろう</v>
      </c>
      <c r="AU1" s="7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8"/>
      <c r="BO1" s="65" t="str">
        <f>P1</f>
        <v>ただ</v>
      </c>
      <c r="BP1" s="7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8"/>
    </row>
    <row r="2" spans="1:87" x14ac:dyDescent="0.4">
      <c r="A2" s="70"/>
      <c r="B2" s="72"/>
      <c r="C2" s="72"/>
      <c r="D2" s="72"/>
      <c r="E2" s="7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れんたろう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5" t="s">
        <v>20</v>
      </c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5" t="s">
        <v>20</v>
      </c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5" t="s">
        <v>20</v>
      </c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189</v>
      </c>
      <c r="F4" s="8" t="s">
        <v>195</v>
      </c>
      <c r="G4" s="9">
        <v>-4600</v>
      </c>
      <c r="H4" s="9"/>
      <c r="I4" s="48">
        <v>0</v>
      </c>
      <c r="J4" s="21">
        <f>IF(COUNTA($F4,$K4,$P4)&gt;0,J3+SUM(G4:I4),"")</f>
        <v>30400</v>
      </c>
      <c r="K4" s="8" t="s">
        <v>196</v>
      </c>
      <c r="L4" s="9">
        <v>2600</v>
      </c>
      <c r="M4" s="9"/>
      <c r="N4" s="48">
        <v>0</v>
      </c>
      <c r="O4" s="21">
        <f>IF(COUNTA($F4,$K4,$P4)&gt;0,O3+SUM(L4:N4),"")</f>
        <v>37600</v>
      </c>
      <c r="P4" s="8" t="s">
        <v>196</v>
      </c>
      <c r="Q4" s="9">
        <v>2000</v>
      </c>
      <c r="R4" s="9"/>
      <c r="S4" s="48"/>
      <c r="T4" s="21">
        <f>IF(COUNTA($F4,$K4,$P4)&gt;0,T3+SUM(Q4:S4),"")</f>
        <v>37000</v>
      </c>
      <c r="U4" s="53">
        <f>IF($J4="","",ROUND(($J4-$J$3)/1000,1)+(_xlfn.RANK.AVG($J4,($J4,$O4,$T4),1)-2)*20)</f>
        <v>-24.6</v>
      </c>
      <c r="V4" s="54">
        <f>IF($O4="","",ROUND(($O4-$O$3)/1000,1)+(_xlfn.RANK.AVG($O4,($J4,$O4,$T4),1)-2)*20)</f>
        <v>22.6</v>
      </c>
      <c r="W4" s="55">
        <f>IF($T4="","",ROUND(($T4-$T$3)/1000,1)+(_xlfn.RANK.AVG($T4,($J4,$O4,$T4),1)-2)*20)</f>
        <v>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2</v>
      </c>
      <c r="AY4" s="30">
        <v>40</v>
      </c>
      <c r="AZ4" s="40" t="s">
        <v>197</v>
      </c>
      <c r="BA4" s="41" t="s">
        <v>79</v>
      </c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2</v>
      </c>
      <c r="BT4" s="30">
        <v>30</v>
      </c>
      <c r="BU4" s="40" t="s">
        <v>197</v>
      </c>
      <c r="BV4" s="41" t="s">
        <v>79</v>
      </c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198</v>
      </c>
      <c r="G5" s="9">
        <v>7700</v>
      </c>
      <c r="H5" s="9">
        <v>2000</v>
      </c>
      <c r="I5" s="48">
        <v>0</v>
      </c>
      <c r="J5" s="21">
        <f t="shared" ref="J5:J30" si="2">IF(COUNTA($F5,$K5,$P5)&gt;0,J4+SUM(G5:I5),"")</f>
        <v>40100</v>
      </c>
      <c r="K5" s="8" t="s">
        <v>199</v>
      </c>
      <c r="L5" s="9">
        <v>-4800</v>
      </c>
      <c r="M5" s="9">
        <v>-1000</v>
      </c>
      <c r="N5" s="48">
        <v>0</v>
      </c>
      <c r="O5" s="21">
        <f t="shared" ref="O5:O30" si="3">IF(COUNTA($F5,$K5,$P5)&gt;0,O4+SUM(L5:N5),"")</f>
        <v>31800</v>
      </c>
      <c r="P5" s="8" t="s">
        <v>199</v>
      </c>
      <c r="Q5" s="9">
        <v>-2900</v>
      </c>
      <c r="R5" s="9">
        <v>-1000</v>
      </c>
      <c r="S5" s="48">
        <v>0</v>
      </c>
      <c r="T5" s="21">
        <f t="shared" ref="T5:T30" si="4">IF(COUNTA($F5,$K5,$P5)&gt;0,T4+SUM(Q5:S5),"")</f>
        <v>33100</v>
      </c>
      <c r="U5" s="53">
        <f>IF($J5="","",ROUND(($J5-$J$3)/1000,1)+(_xlfn.RANK.AVG($J5,($J5,$O5,$T5),1)-2)*20)</f>
        <v>25.1</v>
      </c>
      <c r="V5" s="54">
        <f>IF($O5="","",ROUND(($O5-$O$3)/1000,1)+(_xlfn.RANK.AVG($O5,($J5,$O5,$T5),1)-2)*20)</f>
        <v>-23.2</v>
      </c>
      <c r="W5" s="55">
        <f>IF($T5="","",ROUND(($T5-$T$3)/1000,1)+(_xlfn.RANK.AVG($T5,($J5,$O5,$T5),1)-2)*20)</f>
        <v>-1.9</v>
      </c>
      <c r="Y5" s="8"/>
      <c r="Z5" s="34"/>
      <c r="AA5" s="26">
        <v>1</v>
      </c>
      <c r="AB5" s="26"/>
      <c r="AC5" s="26">
        <v>3</v>
      </c>
      <c r="AD5" s="30">
        <v>60</v>
      </c>
      <c r="AE5" s="40" t="s">
        <v>197</v>
      </c>
      <c r="AF5" s="41" t="s">
        <v>82</v>
      </c>
      <c r="AG5" s="41" t="s">
        <v>84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 t="s">
        <v>195</v>
      </c>
      <c r="G6" s="9">
        <v>-24000</v>
      </c>
      <c r="H6" s="9">
        <v>-1000</v>
      </c>
      <c r="I6" s="48">
        <v>0</v>
      </c>
      <c r="J6" s="21">
        <f t="shared" si="2"/>
        <v>15100</v>
      </c>
      <c r="K6" s="8"/>
      <c r="L6" s="9"/>
      <c r="M6" s="9"/>
      <c r="N6" s="48"/>
      <c r="O6" s="21">
        <f t="shared" si="3"/>
        <v>31800</v>
      </c>
      <c r="P6" s="8" t="s">
        <v>196</v>
      </c>
      <c r="Q6" s="9">
        <v>24000</v>
      </c>
      <c r="R6" s="9">
        <v>1000</v>
      </c>
      <c r="S6" s="48">
        <v>0</v>
      </c>
      <c r="T6" s="21">
        <f t="shared" si="4"/>
        <v>58100</v>
      </c>
      <c r="U6" s="53">
        <f>IF($J6="","",ROUND(($J6-$J$3)/1000,1)+(_xlfn.RANK.AVG($J6,($J6,$O6,$T6),1)-2)*20)</f>
        <v>-39.9</v>
      </c>
      <c r="V6" s="54">
        <f>IF($O6="","",ROUND(($O6-$O$3)/1000,1)+(_xlfn.RANK.AVG($O6,($J6,$O6,$T6),1)-2)*20)</f>
        <v>-3.2</v>
      </c>
      <c r="W6" s="55">
        <f>IF($T6="","",ROUND(($T6-$T$3)/1000,1)+(_xlfn.RANK.AVG($T6,($J6,$O6,$T6),1)-2)*20)</f>
        <v>43.1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10</v>
      </c>
      <c r="BT6" s="30" t="s">
        <v>200</v>
      </c>
      <c r="BU6" s="40" t="s">
        <v>197</v>
      </c>
      <c r="BV6" s="41" t="s">
        <v>104</v>
      </c>
      <c r="BW6" s="41" t="s">
        <v>79</v>
      </c>
      <c r="BX6" s="41" t="s">
        <v>79</v>
      </c>
      <c r="BY6" s="41" t="s">
        <v>80</v>
      </c>
      <c r="BZ6" s="41" t="s">
        <v>80</v>
      </c>
      <c r="CA6" s="41" t="s">
        <v>201</v>
      </c>
      <c r="CB6" s="41" t="s">
        <v>84</v>
      </c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193</v>
      </c>
      <c r="F7" s="8" t="s">
        <v>196</v>
      </c>
      <c r="G7" s="9">
        <v>12000</v>
      </c>
      <c r="H7" s="9"/>
      <c r="I7" s="48">
        <v>1000</v>
      </c>
      <c r="J7" s="21">
        <f t="shared" si="2"/>
        <v>28100</v>
      </c>
      <c r="K7" s="8"/>
      <c r="L7" s="9"/>
      <c r="M7" s="9"/>
      <c r="N7" s="48"/>
      <c r="O7" s="21">
        <f t="shared" si="3"/>
        <v>31800</v>
      </c>
      <c r="P7" s="8" t="s">
        <v>195</v>
      </c>
      <c r="Q7" s="9">
        <v>-12000</v>
      </c>
      <c r="R7" s="9"/>
      <c r="S7" s="48">
        <v>-1000</v>
      </c>
      <c r="T7" s="21">
        <f t="shared" si="4"/>
        <v>45100</v>
      </c>
      <c r="U7" s="53">
        <f>IF($J7="","",ROUND(($J7-$J$3)/1000,1)+(_xlfn.RANK.AVG($J7,($J7,$O7,$T7),1)-2)*20)</f>
        <v>-26.9</v>
      </c>
      <c r="V7" s="54">
        <f>IF($O7="","",ROUND(($O7-$O$3)/1000,1)+(_xlfn.RANK.AVG($O7,($J7,$O7,$T7),1)-2)*20)</f>
        <v>-3.2</v>
      </c>
      <c r="W7" s="55">
        <f>IF($T7="","",ROUND(($T7-$T$3)/1000,1)+(_xlfn.RANK.AVG($T7,($J7,$O7,$T7),1)-2)*20)</f>
        <v>30.1</v>
      </c>
      <c r="Y7" s="8"/>
      <c r="Z7" s="34"/>
      <c r="AA7" s="26"/>
      <c r="AB7" s="26"/>
      <c r="AC7" s="26">
        <v>7</v>
      </c>
      <c r="AD7" s="30" t="s">
        <v>200</v>
      </c>
      <c r="AE7" s="40" t="s">
        <v>104</v>
      </c>
      <c r="AF7" s="41" t="s">
        <v>86</v>
      </c>
      <c r="AG7" s="41" t="s">
        <v>79</v>
      </c>
      <c r="AH7" s="41" t="s">
        <v>79</v>
      </c>
      <c r="AI7" s="41" t="s">
        <v>79</v>
      </c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189</v>
      </c>
      <c r="F8" s="8"/>
      <c r="G8" s="9"/>
      <c r="H8" s="9">
        <v>-1000</v>
      </c>
      <c r="I8" s="48"/>
      <c r="J8" s="21">
        <f t="shared" si="2"/>
        <v>27100</v>
      </c>
      <c r="K8" s="8" t="s">
        <v>196</v>
      </c>
      <c r="L8" s="9">
        <v>8000</v>
      </c>
      <c r="M8" s="9">
        <v>1000</v>
      </c>
      <c r="N8" s="48">
        <v>0</v>
      </c>
      <c r="O8" s="21">
        <f t="shared" si="3"/>
        <v>40800</v>
      </c>
      <c r="P8" s="8" t="s">
        <v>195</v>
      </c>
      <c r="Q8" s="9">
        <v>-8000</v>
      </c>
      <c r="R8" s="9"/>
      <c r="S8" s="48">
        <v>0</v>
      </c>
      <c r="T8" s="21">
        <f t="shared" si="4"/>
        <v>37100</v>
      </c>
      <c r="U8" s="53">
        <f>IF($J8="","",ROUND(($J8-$J$3)/1000,1)+(_xlfn.RANK.AVG($J8,($J8,$O8,$T8),1)-2)*20)</f>
        <v>-27.9</v>
      </c>
      <c r="V8" s="54">
        <f>IF($O8="","",ROUND(($O8-$O$3)/1000,1)+(_xlfn.RANK.AVG($O8,($J8,$O8,$T8),1)-2)*20)</f>
        <v>25.8</v>
      </c>
      <c r="W8" s="55">
        <f>IF($T8="","",ROUND(($T8-$T$3)/1000,1)+(_xlfn.RANK.AVG($T8,($J8,$O8,$T8),1)-2)*20)</f>
        <v>2.1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5</v>
      </c>
      <c r="AY8" s="30" t="s">
        <v>200</v>
      </c>
      <c r="AZ8" s="40" t="s">
        <v>197</v>
      </c>
      <c r="BA8" s="41" t="s">
        <v>202</v>
      </c>
      <c r="BB8" s="41" t="s">
        <v>83</v>
      </c>
      <c r="BC8" s="41" t="s">
        <v>80</v>
      </c>
      <c r="BD8" s="41" t="s">
        <v>201</v>
      </c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191</v>
      </c>
      <c r="F9" s="8" t="s">
        <v>199</v>
      </c>
      <c r="G9" s="9">
        <v>-4500</v>
      </c>
      <c r="H9" s="9"/>
      <c r="I9" s="48">
        <v>0</v>
      </c>
      <c r="J9" s="21">
        <f t="shared" si="2"/>
        <v>22600</v>
      </c>
      <c r="K9" s="8" t="s">
        <v>199</v>
      </c>
      <c r="L9" s="9">
        <v>-7500</v>
      </c>
      <c r="M9" s="9"/>
      <c r="N9" s="48">
        <v>0</v>
      </c>
      <c r="O9" s="21">
        <f t="shared" si="3"/>
        <v>33300</v>
      </c>
      <c r="P9" s="8" t="s">
        <v>198</v>
      </c>
      <c r="Q9" s="9">
        <v>12000</v>
      </c>
      <c r="R9" s="9"/>
      <c r="S9" s="48">
        <v>0</v>
      </c>
      <c r="T9" s="21">
        <f t="shared" si="4"/>
        <v>49100</v>
      </c>
      <c r="U9" s="53">
        <f>IF($J9="","",ROUND(($J9-$J$3)/1000,1)+(_xlfn.RANK.AVG($J9,($J9,$O9,$T9),1)-2)*20)</f>
        <v>-32.4</v>
      </c>
      <c r="V9" s="54">
        <f>IF($O9="","",ROUND(($O9-$O$3)/1000,1)+(_xlfn.RANK.AVG($O9,($J9,$O9,$T9),1)-2)*20)</f>
        <v>-1.7</v>
      </c>
      <c r="W9" s="55">
        <f>IF($T9="","",ROUND(($T9-$T$3)/1000,1)+(_xlfn.RANK.AVG($T9,($J9,$O9,$T9),1)-2)*20)</f>
        <v>34.1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6</v>
      </c>
      <c r="BT9" s="30" t="s">
        <v>200</v>
      </c>
      <c r="BU9" s="40" t="s">
        <v>197</v>
      </c>
      <c r="BV9" s="41" t="s">
        <v>82</v>
      </c>
      <c r="BW9" s="41" t="s">
        <v>79</v>
      </c>
      <c r="BX9" s="41" t="s">
        <v>80</v>
      </c>
      <c r="BY9" s="41" t="s">
        <v>80</v>
      </c>
      <c r="BZ9" s="41" t="s">
        <v>80</v>
      </c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193</v>
      </c>
      <c r="F10" s="8" t="s">
        <v>199</v>
      </c>
      <c r="G10" s="9">
        <v>-1500</v>
      </c>
      <c r="H10" s="9">
        <v>-1000</v>
      </c>
      <c r="I10" s="48">
        <v>0</v>
      </c>
      <c r="J10" s="21">
        <f t="shared" si="2"/>
        <v>20100</v>
      </c>
      <c r="K10" s="8" t="s">
        <v>199</v>
      </c>
      <c r="L10" s="9">
        <v>-1500</v>
      </c>
      <c r="M10" s="9"/>
      <c r="N10" s="48">
        <v>0</v>
      </c>
      <c r="O10" s="21">
        <f t="shared" si="3"/>
        <v>31800</v>
      </c>
      <c r="P10" s="8" t="s">
        <v>198</v>
      </c>
      <c r="Q10" s="9">
        <v>3000</v>
      </c>
      <c r="R10" s="9">
        <v>1000</v>
      </c>
      <c r="S10" s="48">
        <v>0</v>
      </c>
      <c r="T10" s="21">
        <f t="shared" si="4"/>
        <v>53100</v>
      </c>
      <c r="U10" s="53">
        <f>IF($J10="","",ROUND(($J10-$J$3)/1000,1)+(_xlfn.RANK.AVG($J10,($J10,$O10,$T10),1)-2)*20)</f>
        <v>-34.9</v>
      </c>
      <c r="V10" s="54">
        <f>IF($O10="","",ROUND(($O10-$O$3)/1000,1)+(_xlfn.RANK.AVG($O10,($J10,$O10,$T10),1)-2)*20)</f>
        <v>-3.2</v>
      </c>
      <c r="W10" s="55">
        <f>IF($T10="","",ROUND(($T10-$T$3)/1000,1)+(_xlfn.RANK.AVG($T10,($J10,$O10,$T10),1)-2)*20)</f>
        <v>38.1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2</v>
      </c>
      <c r="BT10" s="30">
        <v>30</v>
      </c>
      <c r="BU10" s="40" t="s">
        <v>197</v>
      </c>
      <c r="BV10" s="41" t="s">
        <v>82</v>
      </c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3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155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157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156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158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B50" s="36" t="s">
        <v>187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188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154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2019-06-01T15:52:21Z</dcterms:modified>
</cp:coreProperties>
</file>