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B091258A-7416-47F8-AA47-644DAD2A1E36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C11" i="20"/>
  <c r="C12" i="20" s="1"/>
  <c r="D10" i="20"/>
  <c r="D9" i="20"/>
  <c r="C9" i="20"/>
  <c r="C10" i="20" s="1"/>
  <c r="D8" i="20"/>
  <c r="D7" i="20"/>
  <c r="C7" i="20"/>
  <c r="C8" i="20" s="1"/>
  <c r="D6" i="20"/>
  <c r="C6" i="20"/>
  <c r="T5" i="20"/>
  <c r="O5" i="20"/>
  <c r="D5" i="20"/>
  <c r="C5" i="20"/>
  <c r="B5" i="20"/>
  <c r="B6" i="20" s="1"/>
  <c r="T4" i="20"/>
  <c r="W4" i="20" s="1"/>
  <c r="O4" i="20"/>
  <c r="J4" i="20"/>
  <c r="U4" i="20" s="1"/>
  <c r="W3" i="20"/>
  <c r="V3" i="20"/>
  <c r="U3" i="20"/>
  <c r="W2" i="20"/>
  <c r="V2" i="20"/>
  <c r="U2" i="20"/>
  <c r="BO1" i="20"/>
  <c r="AT1" i="20"/>
  <c r="Y1" i="20"/>
  <c r="J5" i="20" l="1"/>
  <c r="V5" i="20" s="1"/>
  <c r="V4" i="20"/>
  <c r="J6" i="20"/>
  <c r="B7" i="20"/>
  <c r="W5" i="20"/>
  <c r="O6" i="20"/>
  <c r="A5" i="20"/>
  <c r="T6" i="20"/>
  <c r="A6" i="20"/>
  <c r="A7" i="20" l="1"/>
  <c r="U5" i="20"/>
  <c r="U6" i="20"/>
  <c r="J7" i="20"/>
  <c r="W6" i="20"/>
  <c r="T7" i="20"/>
  <c r="O7" i="20"/>
  <c r="V6" i="20"/>
  <c r="B8" i="20"/>
  <c r="A8" i="20" s="1"/>
  <c r="U7" i="20" l="1"/>
  <c r="J8" i="20"/>
  <c r="B9" i="20"/>
  <c r="O8" i="20"/>
  <c r="V7" i="20"/>
  <c r="W7" i="20"/>
  <c r="T8" i="20"/>
  <c r="B10" i="20" l="1"/>
  <c r="U8" i="20"/>
  <c r="J9" i="20"/>
  <c r="W8" i="20"/>
  <c r="T9" i="20"/>
  <c r="V8" i="20"/>
  <c r="O9" i="20"/>
  <c r="A9" i="20"/>
  <c r="A10" i="20" l="1"/>
  <c r="V9" i="20"/>
  <c r="O10" i="20"/>
  <c r="W9" i="20"/>
  <c r="T10" i="20"/>
  <c r="U9" i="20"/>
  <c r="J10" i="20"/>
  <c r="B11" i="20"/>
  <c r="A11" i="20" s="1"/>
  <c r="O11" i="20" l="1"/>
  <c r="V10" i="20"/>
  <c r="B12" i="20"/>
  <c r="A12" i="20" s="1"/>
  <c r="U10" i="20"/>
  <c r="J11" i="20"/>
  <c r="T11" i="20"/>
  <c r="W10" i="20"/>
  <c r="O12" i="20" l="1"/>
  <c r="V11" i="20"/>
  <c r="T12" i="20"/>
  <c r="W11" i="20"/>
  <c r="U11" i="20"/>
  <c r="J12" i="20"/>
  <c r="W12" i="20" l="1"/>
  <c r="V12" i="20"/>
  <c r="U12" i="20"/>
</calcChain>
</file>

<file path=xl/sharedStrings.xml><?xml version="1.0" encoding="utf-8"?>
<sst xmlns="http://schemas.openxmlformats.org/spreadsheetml/2006/main" count="529" uniqueCount="153">
  <si>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</si>
  <si>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</si>
  <si>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</si>
  <si>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</si>
  <si>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</si>
  <si>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</si>
  <si>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</si>
  <si>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</si>
  <si>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</si>
  <si>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</si>
  <si>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</si>
  <si>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</si>
  <si>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</si>
  <si>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</si>
  <si>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</si>
  <si>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</si>
  <si>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</si>
  <si>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</si>
  <si>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</si>
  <si>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</si>
  <si>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</si>
  <si>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</si>
  <si>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</si>
  <si>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</si>
  <si>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</si>
  <si>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</si>
  <si>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</si>
  <si>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</si>
  <si>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</si>
  <si>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</si>
  <si>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</si>
  <si>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</si>
  <si>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</si>
  <si>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</si>
  <si>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</si>
  <si>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</si>
  <si>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</si>
  <si>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</si>
  <si>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</si>
  <si>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</si>
  <si>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</si>
  <si>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</si>
  <si>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</si>
  <si>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</si>
  <si>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</si>
  <si>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</si>
  <si>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</si>
  <si>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</si>
  <si>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</si>
  <si>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</si>
  <si>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</si>
  <si>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</si>
  <si>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</si>
  <si>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</si>
  <si>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</si>
  <si>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</si>
  <si>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</si>
  <si>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</si>
  <si>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</si>
  <si>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</si>
  <si>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</si>
  <si>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</si>
  <si>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</si>
  <si>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</si>
  <si>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</si>
  <si>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</si>
  <si>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</si>
  <si>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</si>
  <si>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</si>
  <si>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</si>
  <si>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</si>
  <si>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</si>
  <si>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</si>
  <si>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</si>
  <si>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</si>
  <si>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</si>
  <si>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</si>
  <si>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</si>
  <si>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</si>
  <si>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</si>
  <si>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</si>
  <si>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</si>
  <si>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</si>
  <si>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</si>
  <si>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</si>
  <si>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</si>
  <si>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</si>
  <si>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</si>
  <si>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</si>
  <si>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</si>
  <si>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</si>
  <si>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</si>
  <si>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</si>
  <si>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</si>
  <si>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</si>
  <si>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</si>
  <si>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</si>
  <si>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</si>
  <si>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</si>
  <si>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</si>
  <si>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</si>
  <si>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</si>
  <si>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</si>
  <si>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</si>
  <si>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</si>
  <si>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</si>
  <si>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</si>
  <si>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</si>
  <si>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</si>
  <si>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</si>
  <si>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</si>
  <si>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</si>
  <si>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</si>
  <si>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</si>
  <si>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</si>
  <si>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</si>
  <si>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</si>
  <si>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</si>
  <si>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</si>
  <si>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</si>
  <si>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</si>
  <si>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</si>
  <si>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</si>
  <si>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</si>
  <si>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</si>
  <si>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</si>
  <si>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</si>
  <si>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</si>
  <si>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</si>
  <si>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</si>
  <si>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</si>
  <si>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</si>
  <si>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</si>
  <si>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</si>
  <si>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</si>
  <si>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</si>
  <si>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</si>
  <si>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</si>
  <si>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</si>
  <si>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</si>
  <si>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</si>
  <si>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</si>
  <si>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ぱぱ</t>
  </si>
  <si>
    <t>ぱぱ</t>
    <phoneticPr fontId="1"/>
  </si>
  <si>
    <t>ロン</t>
  </si>
  <si>
    <t>放銃</t>
  </si>
  <si>
    <t>ツモ支払</t>
  </si>
  <si>
    <t>ツモ</t>
  </si>
  <si>
    <t>01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</si>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</sst>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B4BED-DD66-4146-9226-7F514821391B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139</v>
      </c>
      <c r="G1" s="67"/>
      <c r="H1" s="67"/>
      <c r="I1" s="68"/>
      <c r="J1" s="69"/>
      <c r="K1" s="66" t="s">
        <v>141</v>
      </c>
      <c r="L1" s="67"/>
      <c r="M1" s="67"/>
      <c r="N1" s="68"/>
      <c r="O1" s="69"/>
      <c r="P1" s="66" t="s">
        <v>143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ぱぱ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2" t="str">
        <f>$F$1</f>
        <v>だいち</v>
      </c>
      <c r="V2" s="63" t="str">
        <f>$K$1</f>
        <v>れんたろう</v>
      </c>
      <c r="W2" s="16" t="str">
        <f>$P$1</f>
        <v>ぱぱ</v>
      </c>
      <c r="Y2" s="59" t="s">
        <v>23</v>
      </c>
      <c r="Z2" s="64" t="s">
        <v>26</v>
      </c>
      <c r="AA2" s="60" t="s">
        <v>24</v>
      </c>
      <c r="AB2" s="60" t="s">
        <v>127</v>
      </c>
      <c r="AC2" s="60" t="s">
        <v>18</v>
      </c>
      <c r="AD2" s="61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4" t="s">
        <v>26</v>
      </c>
      <c r="AV2" s="60" t="s">
        <v>24</v>
      </c>
      <c r="AW2" s="60" t="s">
        <v>128</v>
      </c>
      <c r="AX2" s="60" t="s">
        <v>18</v>
      </c>
      <c r="AY2" s="61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4" t="s">
        <v>26</v>
      </c>
      <c r="BQ2" s="60" t="s">
        <v>24</v>
      </c>
      <c r="BR2" s="60" t="s">
        <v>128</v>
      </c>
      <c r="BS2" s="60" t="s">
        <v>18</v>
      </c>
      <c r="BT2" s="61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/>
      <c r="I4" s="48"/>
      <c r="J4" s="21">
        <f>IF(COUNTA($F4,$K4,$P4)&gt;0,J3+SUM(G4:I4),"")</f>
        <v>35000</v>
      </c>
      <c r="K4" s="8" t="s">
        <v>145</v>
      </c>
      <c r="L4" s="9">
        <v>-1000</v>
      </c>
      <c r="M4" s="9"/>
      <c r="N4" s="48">
        <v>0</v>
      </c>
      <c r="O4" s="21">
        <f>IF(COUNTA($F4,$K4,$P4)&gt;0,O3+SUM(L4:N4),"")</f>
        <v>34000</v>
      </c>
      <c r="P4" s="8" t="s">
        <v>144</v>
      </c>
      <c r="Q4" s="9">
        <v>1000</v>
      </c>
      <c r="R4" s="9"/>
      <c r="S4" s="48">
        <v>0</v>
      </c>
      <c r="T4" s="21">
        <f>IF(COUNTA($F4,$K4,$P4)&gt;0,T3+SUM(Q4:S4),"")</f>
        <v>36000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-21</v>
      </c>
      <c r="W4" s="55">
        <f>IF($T4="","",ROUND(($T4-$T$3)/1000,1)+(_xlfn.RANK.AVG($T4,($J4,$O4,$T4),1)-2)*20)</f>
        <v>21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30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142</v>
      </c>
      <c r="F5" s="8" t="s">
        <v>144</v>
      </c>
      <c r="G5" s="9">
        <v>2600</v>
      </c>
      <c r="H5" s="9"/>
      <c r="I5" s="48">
        <v>0</v>
      </c>
      <c r="J5" s="21">
        <f t="shared" ref="J5:J30" si="2">IF(COUNTA($F5,$K5,$P5)&gt;0,J4+SUM(G5:I5),"")</f>
        <v>37600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145</v>
      </c>
      <c r="Q5" s="9">
        <v>-2600</v>
      </c>
      <c r="R5" s="9"/>
      <c r="S5" s="48">
        <v>0</v>
      </c>
      <c r="T5" s="21">
        <f t="shared" ref="T5:T30" si="4">IF(COUNTA($F5,$K5,$P5)&gt;0,T4+SUM(Q5:S5),"")</f>
        <v>33400</v>
      </c>
      <c r="U5" s="53">
        <f>IF($J5="","",ROUND(($J5-$J$3)/1000,1)+(_xlfn.RANK.AVG($J5,($J5,$O5,$T5),1)-2)*20)</f>
        <v>22.6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-21.6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148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138</v>
      </c>
      <c r="F6" s="8" t="s">
        <v>146</v>
      </c>
      <c r="G6" s="9">
        <v>-4800</v>
      </c>
      <c r="H6" s="9"/>
      <c r="I6" s="48">
        <v>0</v>
      </c>
      <c r="J6" s="21">
        <f t="shared" si="2"/>
        <v>32800</v>
      </c>
      <c r="K6" s="8" t="s">
        <v>146</v>
      </c>
      <c r="L6" s="9">
        <v>-2900</v>
      </c>
      <c r="M6" s="9"/>
      <c r="N6" s="48">
        <v>0</v>
      </c>
      <c r="O6" s="21">
        <f t="shared" si="3"/>
        <v>31100</v>
      </c>
      <c r="P6" s="8" t="s">
        <v>147</v>
      </c>
      <c r="Q6" s="9">
        <v>7700</v>
      </c>
      <c r="R6" s="9"/>
      <c r="S6" s="48">
        <v>0</v>
      </c>
      <c r="T6" s="21">
        <f t="shared" si="4"/>
        <v>41100</v>
      </c>
      <c r="U6" s="53">
        <f>IF($J6="","",ROUND(($J6-$J$3)/1000,1)+(_xlfn.RANK.AVG($J6,($J6,$O6,$T6),1)-2)*20)</f>
        <v>-2.2000000000000002</v>
      </c>
      <c r="V6" s="54">
        <f>IF($O6="","",ROUND(($O6-$O$3)/1000,1)+(_xlfn.RANK.AVG($O6,($J6,$O6,$T6),1)-2)*20)</f>
        <v>-23.9</v>
      </c>
      <c r="W6" s="55">
        <f>IF($T6="","",ROUND(($T6-$T$3)/1000,1)+(_xlfn.RANK.AVG($T6,($J6,$O6,$T6),1)-2)*20)</f>
        <v>26.1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148</v>
      </c>
      <c r="BV6" s="41" t="s">
        <v>82</v>
      </c>
      <c r="BW6" s="41" t="s">
        <v>149</v>
      </c>
      <c r="BX6" s="41" t="s">
        <v>84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140</v>
      </c>
      <c r="F7" s="8" t="s">
        <v>152</v>
      </c>
      <c r="G7" s="9">
        <v>1500</v>
      </c>
      <c r="H7" s="9">
        <v>-1000</v>
      </c>
      <c r="I7" s="48"/>
      <c r="J7" s="21">
        <f t="shared" si="2"/>
        <v>33300</v>
      </c>
      <c r="K7" s="8" t="s">
        <v>152</v>
      </c>
      <c r="L7" s="9">
        <v>1500</v>
      </c>
      <c r="M7" s="9">
        <v>-1000</v>
      </c>
      <c r="N7" s="48"/>
      <c r="O7" s="21">
        <f t="shared" si="3"/>
        <v>31600</v>
      </c>
      <c r="P7" s="8" t="s">
        <v>152</v>
      </c>
      <c r="Q7" s="9">
        <v>-3000</v>
      </c>
      <c r="R7" s="9"/>
      <c r="S7" s="48"/>
      <c r="T7" s="21">
        <f t="shared" si="4"/>
        <v>38100</v>
      </c>
      <c r="U7" s="53">
        <f>IF($J7="","",ROUND(($J7-$J$3)/1000,1)+(_xlfn.RANK.AVG($J7,($J7,$O7,$T7),1)-2)*20)</f>
        <v>-1.7</v>
      </c>
      <c r="V7" s="54">
        <f>IF($O7="","",ROUND(($O7-$O$3)/1000,1)+(_xlfn.RANK.AVG($O7,($J7,$O7,$T7),1)-2)*20)</f>
        <v>-23.4</v>
      </c>
      <c r="W7" s="55">
        <f>IF($T7="","",ROUND(($T7-$T$3)/1000,1)+(_xlfn.RANK.AVG($T7,($J7,$O7,$T7),1)-2)*20)</f>
        <v>23.1</v>
      </c>
      <c r="Y7" s="8" t="s">
        <v>150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150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151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2</v>
      </c>
      <c r="E8" s="4" t="s">
        <v>140</v>
      </c>
      <c r="F8" s="8" t="s">
        <v>146</v>
      </c>
      <c r="G8" s="9">
        <v>-1500</v>
      </c>
      <c r="H8" s="9"/>
      <c r="I8" s="48">
        <v>-500</v>
      </c>
      <c r="J8" s="21">
        <f t="shared" si="2"/>
        <v>31300</v>
      </c>
      <c r="K8" s="8" t="s">
        <v>146</v>
      </c>
      <c r="L8" s="9">
        <v>-2500</v>
      </c>
      <c r="M8" s="9"/>
      <c r="N8" s="48">
        <v>-500</v>
      </c>
      <c r="O8" s="21">
        <f t="shared" si="3"/>
        <v>28600</v>
      </c>
      <c r="P8" s="8" t="s">
        <v>147</v>
      </c>
      <c r="Q8" s="9">
        <v>4000</v>
      </c>
      <c r="R8" s="9">
        <v>2000</v>
      </c>
      <c r="S8" s="48">
        <v>1000</v>
      </c>
      <c r="T8" s="21">
        <f t="shared" si="4"/>
        <v>45100</v>
      </c>
      <c r="U8" s="53">
        <f>IF($J8="","",ROUND(($J8-$J$3)/1000,1)+(_xlfn.RANK.AVG($J8,($J8,$O8,$T8),1)-2)*20)</f>
        <v>-3.7</v>
      </c>
      <c r="V8" s="54">
        <f>IF($O8="","",ROUND(($O8-$O$3)/1000,1)+(_xlfn.RANK.AVG($O8,($J8,$O8,$T8),1)-2)*20)</f>
        <v>-26.4</v>
      </c>
      <c r="W8" s="55">
        <f>IF($T8="","",ROUND(($T8-$T$3)/1000,1)+(_xlfn.RANK.AVG($T8,($J8,$O8,$T8),1)-2)*20)</f>
        <v>30.1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148</v>
      </c>
      <c r="BV8" s="41" t="s">
        <v>82</v>
      </c>
      <c r="BW8" s="41" t="s">
        <v>149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142</v>
      </c>
      <c r="F9" s="8" t="s">
        <v>152</v>
      </c>
      <c r="G9" s="9">
        <v>-1500</v>
      </c>
      <c r="H9" s="9"/>
      <c r="I9" s="48"/>
      <c r="J9" s="21">
        <f t="shared" si="2"/>
        <v>29800</v>
      </c>
      <c r="K9" s="8" t="s">
        <v>152</v>
      </c>
      <c r="L9" s="9">
        <v>-1500</v>
      </c>
      <c r="M9" s="9"/>
      <c r="N9" s="48"/>
      <c r="O9" s="21">
        <f t="shared" si="3"/>
        <v>27100</v>
      </c>
      <c r="P9" s="8" t="s">
        <v>152</v>
      </c>
      <c r="Q9" s="9">
        <v>3000</v>
      </c>
      <c r="R9" s="9">
        <v>-1000</v>
      </c>
      <c r="S9" s="48"/>
      <c r="T9" s="21">
        <f t="shared" si="4"/>
        <v>47100</v>
      </c>
      <c r="U9" s="53">
        <f>IF($J9="","",ROUND(($J9-$J$3)/1000,1)+(_xlfn.RANK.AVG($J9,($J9,$O9,$T9),1)-2)*20)</f>
        <v>-5.2</v>
      </c>
      <c r="V9" s="54">
        <f>IF($O9="","",ROUND(($O9-$O$3)/1000,1)+(_xlfn.RANK.AVG($O9,($J9,$O9,$T9),1)-2)*20)</f>
        <v>-27.9</v>
      </c>
      <c r="W9" s="55">
        <f>IF($T9="","",ROUND(($T9-$T$3)/1000,1)+(_xlfn.RANK.AVG($T9,($J9,$O9,$T9),1)-2)*20)</f>
        <v>32.1</v>
      </c>
      <c r="Y9" s="8" t="s">
        <v>151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151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150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142</v>
      </c>
      <c r="F10" s="8" t="s">
        <v>144</v>
      </c>
      <c r="G10" s="9">
        <v>5200</v>
      </c>
      <c r="H10" s="9">
        <v>2000</v>
      </c>
      <c r="I10" s="48">
        <v>1000</v>
      </c>
      <c r="J10" s="21">
        <f t="shared" si="2"/>
        <v>38000</v>
      </c>
      <c r="K10" s="8"/>
      <c r="L10" s="9"/>
      <c r="M10" s="9"/>
      <c r="N10" s="48"/>
      <c r="O10" s="21">
        <f t="shared" si="3"/>
        <v>27100</v>
      </c>
      <c r="P10" s="8" t="s">
        <v>145</v>
      </c>
      <c r="Q10" s="9">
        <v>-5200</v>
      </c>
      <c r="R10" s="9">
        <v>-1000</v>
      </c>
      <c r="S10" s="48">
        <v>-1000</v>
      </c>
      <c r="T10" s="21">
        <f t="shared" si="4"/>
        <v>39900</v>
      </c>
      <c r="U10" s="53">
        <f>IF($J10="","",ROUND(($J10-$J$3)/1000,1)+(_xlfn.RANK.AVG($J10,($J10,$O10,$T10),1)-2)*20)</f>
        <v>3</v>
      </c>
      <c r="V10" s="54">
        <f>IF($O10="","",ROUND(($O10-$O$3)/1000,1)+(_xlfn.RANK.AVG($O10,($J10,$O10,$T10),1)-2)*20)</f>
        <v>-27.9</v>
      </c>
      <c r="W10" s="55">
        <f>IF($T10="","",ROUND(($T10-$T$3)/1000,1)+(_xlfn.RANK.AVG($T10,($J10,$O10,$T10),1)-2)*20)</f>
        <v>24.9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148</v>
      </c>
      <c r="AF10" s="41" t="s">
        <v>86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138</v>
      </c>
      <c r="F11" s="8" t="s">
        <v>146</v>
      </c>
      <c r="G11" s="9">
        <v>-3300</v>
      </c>
      <c r="H11" s="9"/>
      <c r="I11" s="48">
        <v>0</v>
      </c>
      <c r="J11" s="21">
        <f t="shared" si="2"/>
        <v>34700</v>
      </c>
      <c r="K11" s="8" t="s">
        <v>147</v>
      </c>
      <c r="L11" s="9">
        <v>5300</v>
      </c>
      <c r="M11" s="9"/>
      <c r="N11" s="48">
        <v>0</v>
      </c>
      <c r="O11" s="21">
        <f t="shared" si="3"/>
        <v>32400</v>
      </c>
      <c r="P11" s="8" t="s">
        <v>146</v>
      </c>
      <c r="Q11" s="9">
        <v>-2000</v>
      </c>
      <c r="R11" s="9"/>
      <c r="S11" s="48">
        <v>0</v>
      </c>
      <c r="T11" s="21">
        <f t="shared" si="4"/>
        <v>37900</v>
      </c>
      <c r="U11" s="53">
        <f>IF($J11="","",ROUND(($J11-$J$3)/1000,1)+(_xlfn.RANK.AVG($J11,($J11,$O11,$T11),1)-2)*20)</f>
        <v>-0.3</v>
      </c>
      <c r="V11" s="54">
        <f>IF($O11="","",ROUND(($O11-$O$3)/1000,1)+(_xlfn.RANK.AVG($O11,($J11,$O11,$T11),1)-2)*20)</f>
        <v>-22.6</v>
      </c>
      <c r="W11" s="55">
        <f>IF($T11="","",ROUND(($T11-$T$3)/1000,1)+(_xlfn.RANK.AVG($T11,($J11,$O11,$T11),1)-2)*20)</f>
        <v>22.9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20</v>
      </c>
      <c r="AZ11" s="40" t="s">
        <v>148</v>
      </c>
      <c r="BA11" s="41" t="s">
        <v>82</v>
      </c>
      <c r="BB11" s="41" t="s">
        <v>83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006E493C-628B-4C21-9BD6-C2E4EBF6EE1E}">
      <formula1>"ロン,ツモ,放銃,ツモ支払,流局,チョンボ"</formula1>
    </dataValidation>
    <dataValidation type="list" allowBlank="1" showInputMessage="1" showErrorMessage="1" sqref="E4:E30" xr:uid="{69D7564F-07A4-420C-8F60-D39E5D882B9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2019-05-16T15:26:40Z</dcterms:modified>
</cp:coreProperties>
</file>