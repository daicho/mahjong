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47F4C929-BA12-4FE7-903C-B929D2C53683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D12" i="22"/>
  <c r="D11" i="22"/>
  <c r="D10" i="22"/>
  <c r="C10" i="22"/>
  <c r="C11" i="22" s="1"/>
  <c r="C12" i="22" s="1"/>
  <c r="C13" i="22" s="1"/>
  <c r="D9" i="22"/>
  <c r="C9" i="22"/>
  <c r="D8" i="22"/>
  <c r="C8" i="22"/>
  <c r="D7" i="22"/>
  <c r="C7" i="22"/>
  <c r="D6" i="22"/>
  <c r="C6" i="22"/>
  <c r="O5" i="22"/>
  <c r="J5" i="22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D12" i="20"/>
  <c r="C12" i="20"/>
  <c r="D11" i="20"/>
  <c r="D10" i="20"/>
  <c r="D9" i="20"/>
  <c r="C9" i="20"/>
  <c r="C10" i="20" s="1"/>
  <c r="C11" i="20" s="1"/>
  <c r="D8" i="20"/>
  <c r="C8" i="20"/>
  <c r="C7" i="20"/>
  <c r="D6" i="20"/>
  <c r="D7" i="20" s="1"/>
  <c r="C6" i="20"/>
  <c r="T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A5" i="22" l="1"/>
  <c r="V4" i="22"/>
  <c r="A6" i="22"/>
  <c r="B7" i="22"/>
  <c r="A7" i="22" s="1"/>
  <c r="U4" i="22"/>
  <c r="J6" i="22"/>
  <c r="W4" i="22"/>
  <c r="O6" i="22"/>
  <c r="T5" i="22"/>
  <c r="W13" i="20"/>
  <c r="U13" i="20"/>
  <c r="V13" i="20"/>
  <c r="A5" i="20"/>
  <c r="W4" i="20"/>
  <c r="U4" i="20"/>
  <c r="V4" i="20"/>
  <c r="V5" i="20"/>
  <c r="O6" i="20"/>
  <c r="B7" i="20"/>
  <c r="A6" i="20"/>
  <c r="J5" i="20"/>
  <c r="W5" i="20" s="1"/>
  <c r="T6" i="20"/>
  <c r="O7" i="22" l="1"/>
  <c r="J7" i="22"/>
  <c r="W5" i="22"/>
  <c r="T6" i="22"/>
  <c r="U6" i="22" s="1"/>
  <c r="V5" i="22"/>
  <c r="U5" i="22"/>
  <c r="B8" i="22"/>
  <c r="A8" i="22"/>
  <c r="A7" i="20"/>
  <c r="T7" i="20"/>
  <c r="O7" i="20"/>
  <c r="J6" i="20"/>
  <c r="V6" i="20" s="1"/>
  <c r="U5" i="20"/>
  <c r="B8" i="20"/>
  <c r="A8" i="20" s="1"/>
  <c r="V6" i="22" l="1"/>
  <c r="O8" i="22"/>
  <c r="V7" i="22"/>
  <c r="B9" i="22"/>
  <c r="A9" i="22" s="1"/>
  <c r="W6" i="22"/>
  <c r="T7" i="22"/>
  <c r="U7" i="22"/>
  <c r="J8" i="22"/>
  <c r="W6" i="20"/>
  <c r="T8" i="20"/>
  <c r="B9" i="20"/>
  <c r="U6" i="20"/>
  <c r="J7" i="20"/>
  <c r="V7" i="20" s="1"/>
  <c r="O8" i="20"/>
  <c r="O9" i="22" l="1"/>
  <c r="J9" i="22"/>
  <c r="T8" i="22"/>
  <c r="V8" i="22" s="1"/>
  <c r="W7" i="22"/>
  <c r="B10" i="22"/>
  <c r="A10" i="22" s="1"/>
  <c r="B10" i="20"/>
  <c r="T9" i="20"/>
  <c r="W7" i="20"/>
  <c r="O9" i="20"/>
  <c r="U7" i="20"/>
  <c r="J8" i="20"/>
  <c r="W8" i="20" s="1"/>
  <c r="A9" i="20"/>
  <c r="A10" i="20" s="1"/>
  <c r="B11" i="22" l="1"/>
  <c r="O10" i="22"/>
  <c r="W8" i="22"/>
  <c r="T9" i="22"/>
  <c r="V9" i="22" s="1"/>
  <c r="U8" i="22"/>
  <c r="U9" i="22"/>
  <c r="J10" i="22"/>
  <c r="B11" i="20"/>
  <c r="A11" i="20"/>
  <c r="W9" i="20"/>
  <c r="T10" i="20"/>
  <c r="V9" i="20"/>
  <c r="O10" i="20"/>
  <c r="V8" i="20"/>
  <c r="U8" i="20"/>
  <c r="J9" i="20"/>
  <c r="B12" i="22" l="1"/>
  <c r="A12" i="22"/>
  <c r="A11" i="22"/>
  <c r="J11" i="22"/>
  <c r="W9" i="22"/>
  <c r="T10" i="22"/>
  <c r="U10" i="22" s="1"/>
  <c r="V10" i="22"/>
  <c r="O11" i="22"/>
  <c r="O11" i="20"/>
  <c r="T11" i="20"/>
  <c r="U9" i="20"/>
  <c r="J10" i="20"/>
  <c r="B12" i="20"/>
  <c r="A12" i="20" s="1"/>
  <c r="O12" i="22" l="1"/>
  <c r="V11" i="22"/>
  <c r="W10" i="22"/>
  <c r="T11" i="22"/>
  <c r="B13" i="22"/>
  <c r="A13" i="22" s="1"/>
  <c r="U11" i="22"/>
  <c r="J12" i="22"/>
  <c r="T12" i="20"/>
  <c r="U10" i="20"/>
  <c r="J11" i="20"/>
  <c r="W10" i="20"/>
  <c r="V10" i="20"/>
  <c r="O12" i="20"/>
  <c r="V11" i="20"/>
  <c r="O13" i="22" l="1"/>
  <c r="J13" i="22"/>
  <c r="T12" i="22"/>
  <c r="U12" i="22" s="1"/>
  <c r="W11" i="22"/>
  <c r="U11" i="20"/>
  <c r="J12" i="20"/>
  <c r="U12" i="20" s="1"/>
  <c r="W11" i="20"/>
  <c r="W12" i="22" l="1"/>
  <c r="T13" i="22"/>
  <c r="W13" i="22" s="1"/>
  <c r="V12" i="22"/>
  <c r="W12" i="20"/>
  <c r="V12" i="20"/>
  <c r="V13" i="22" l="1"/>
  <c r="U13" i="22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V10" i="19" s="1"/>
  <c r="J10" i="19"/>
  <c r="U10" i="19" s="1"/>
  <c r="D10" i="19"/>
  <c r="C10" i="19"/>
  <c r="B10" i="19"/>
  <c r="A10" i="19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V7" i="19" s="1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W12" i="19" l="1"/>
  <c r="U12" i="19"/>
  <c r="W11" i="19"/>
  <c r="V11" i="19"/>
  <c r="W10" i="19"/>
  <c r="W9" i="19"/>
  <c r="W7" i="19"/>
  <c r="V6" i="19"/>
  <c r="W6" i="19"/>
  <c r="T5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<sst xmlns="http://schemas.openxmlformats.org/spreadsheetml/2006/main" count="752" uniqueCount="159">
  <si>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</si>
  <si>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</si>
  <si>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</si>
  <si>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</si>
  <si>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</si>
  <si>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</si>
  <si>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</si>
  <si>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</si>
  <si>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</si>
  <si>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</si>
  <si>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</si>
  <si>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</si>
  <si>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</si>
  <si>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</si>
  <si>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</si>
  <si>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</si>
  <si>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</si>
  <si>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</si>
  <si>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</si>
  <si>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</si>
  <si>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</si>
  <si>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</si>
  <si>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</si>
  <si>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</si>
  <si>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</si>
  <si>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</si>
  <si>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</si>
  <si>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</si>
  <si>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</si>
  <si>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</si>
  <si>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</si>
  <si>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</si>
  <si>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</si>
  <si>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</si>
  <si>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</si>
  <si>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</si>
  <si>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</si>
  <si>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</si>
  <si>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</si>
  <si>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</si>
  <si>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</si>
  <si>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</si>
  <si>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</si>
  <si>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</si>
  <si>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</si>
  <si>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</si>
  <si>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</si>
  <si>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</si>
  <si>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</si>
  <si>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</si>
  <si>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</si>
  <si>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</si>
  <si>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</si>
  <si>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</si>
  <si>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</si>
  <si>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</si>
  <si>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</si>
  <si>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</si>
  <si>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</si>
  <si>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</si>
  <si>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</si>
  <si>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</si>
  <si>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</si>
  <si>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</si>
  <si>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</si>
  <si>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</si>
  <si>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</si>
  <si>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</si>
  <si>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</si>
  <si>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</si>
  <si>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</si>
  <si>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</si>
  <si>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</si>
  <si>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</si>
  <si>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</si>
  <si>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</si>
  <si>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</si>
  <si>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</si>
  <si>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</si>
  <si>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</si>
  <si>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</si>
  <si>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</si>
  <si>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</si>
  <si>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</si>
  <si>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</si>
  <si>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</si>
  <si>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</si>
  <si>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</si>
  <si>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</si>
  <si>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</si>
  <si>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</si>
  <si>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</si>
  <si>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</si>
  <si>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</si>
  <si>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</si>
  <si>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</si>
  <si>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</si>
  <si>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</si>
  <si>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</si>
  <si>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</si>
  <si>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</si>
  <si>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</si>
  <si>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</si>
  <si>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</si>
  <si>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</si>
  <si>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</si>
  <si>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</si>
  <si>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</si>
  <si>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</si>
  <si>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</si>
  <si>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</si>
  <si>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</si>
  <si>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</si>
  <si>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</si>
  <si>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</si>
  <si>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</si>
  <si>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</si>
  <si>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</si>
  <si>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</si>
  <si>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</si>
  <si>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</si>
  <si>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</si>
  <si>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</si>
  <si>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</si>
  <si>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</si>
  <si>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</si>
  <si>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</si>
  <si>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</si>
  <si>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</si>
  <si>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</si>
  <si>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</si>
  <si>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</si>
  <si>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</si>
  <si>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</si>
  <si>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</si>
  <si>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</si>
  <si>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</si>
  <si>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</si>
  <si>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</si>
  <si>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</si>
  <si>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たかの</t>
  </si>
  <si>
    <t>たかの</t>
    <phoneticPr fontId="1"/>
  </si>
  <si>
    <t>まっつん</t>
  </si>
  <si>
    <t>まっつん</t>
    <phoneticPr fontId="1"/>
  </si>
  <si>
    <t>ツモ支払</t>
  </si>
  <si>
    <t>ツモ</t>
  </si>
  <si>
    <t>*</t>
  </si>
  <si>
    <t>01</t>
  </si>
  <si>
    <t>52</t>
  </si>
  <si>
    <t>T</t>
  </si>
  <si>
    <t>流局</t>
    <phoneticPr fontId="1"/>
  </si>
  <si>
    <t>ロン</t>
  </si>
  <si>
    <t>放銃</t>
  </si>
  <si>
    <t>N</t>
  </si>
  <si>
    <t>だいち</t>
  </si>
  <si>
    <t>だいち</t>
    <phoneticPr fontId="1"/>
  </si>
  <si>
    <t>ぱぱ</t>
  </si>
  <si>
    <t>ぱぱ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</si>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</sst>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たかの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144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145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146</v>
      </c>
      <c r="BU4" s="40" t="s">
        <v>147</v>
      </c>
      <c r="BV4" s="41" t="s">
        <v>82</v>
      </c>
      <c r="BW4" s="41" t="s">
        <v>79</v>
      </c>
      <c r="BX4" s="41" t="s">
        <v>80</v>
      </c>
      <c r="BY4" s="41" t="s">
        <v>148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145</v>
      </c>
      <c r="G5" s="9">
        <v>4000</v>
      </c>
      <c r="H5" s="9"/>
      <c r="I5" s="48">
        <v>0</v>
      </c>
      <c r="J5" s="21">
        <f t="shared" ref="J5:J30" si="2">IF(COUNTA($F5,$K5,$P5)&gt;0,J4+SUM(G5:I5),"")</f>
        <v>34000</v>
      </c>
      <c r="K5" s="8" t="s">
        <v>144</v>
      </c>
      <c r="L5" s="9">
        <v>-2500</v>
      </c>
      <c r="M5" s="9"/>
      <c r="N5" s="48">
        <v>0</v>
      </c>
      <c r="O5" s="21">
        <f t="shared" ref="O5:O30" si="3">IF(COUNTA($F5,$K5,$P5)&gt;0,O4+SUM(L5:N5),"")</f>
        <v>29500</v>
      </c>
      <c r="P5" s="8" t="s">
        <v>144</v>
      </c>
      <c r="Q5" s="9">
        <v>-1500</v>
      </c>
      <c r="R5" s="9"/>
      <c r="S5" s="48">
        <v>0</v>
      </c>
      <c r="T5" s="21">
        <f t="shared" ref="T5:T30" si="4">IF(COUNTA($F5,$K5,$P5)&gt;0,T4+SUM(Q5:S5),"")</f>
        <v>41500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-25.5</v>
      </c>
      <c r="W5" s="55">
        <f>IF($T5="","",ROUND(($T5-$T$3)/1000,1)+(_xlfn.RANK.AVG($T5,($J5,$O5,$T5),1)-2)*20)</f>
        <v>26.5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79</v>
      </c>
      <c r="AG5" s="41" t="s">
        <v>148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150</v>
      </c>
      <c r="G6" s="9">
        <v>0</v>
      </c>
      <c r="H6" s="9"/>
      <c r="I6" s="48"/>
      <c r="J6" s="21">
        <f t="shared" si="2"/>
        <v>34000</v>
      </c>
      <c r="K6" s="8" t="s">
        <v>150</v>
      </c>
      <c r="L6" s="9">
        <v>0</v>
      </c>
      <c r="M6" s="9"/>
      <c r="N6" s="48"/>
      <c r="O6" s="21">
        <f t="shared" si="3"/>
        <v>29500</v>
      </c>
      <c r="P6" s="8" t="s">
        <v>150</v>
      </c>
      <c r="Q6" s="9">
        <v>0</v>
      </c>
      <c r="R6" s="9"/>
      <c r="S6" s="48"/>
      <c r="T6" s="21">
        <f t="shared" si="4"/>
        <v>41500</v>
      </c>
      <c r="U6" s="53">
        <f>IF($J6="","",ROUND(($J6-$J$3)/1000,1)+(_xlfn.RANK.AVG($J6,($J6,$O6,$T6),1)-2)*20)</f>
        <v>-1</v>
      </c>
      <c r="V6" s="54">
        <f>IF($O6="","",ROUND(($O6-$O$3)/1000,1)+(_xlfn.RANK.AVG($O6,($J6,$O6,$T6),1)-2)*20)</f>
        <v>-25.5</v>
      </c>
      <c r="W6" s="55">
        <f>IF($T6="","",ROUND(($T6-$T$3)/1000,1)+(_xlfn.RANK.AVG($T6,($J6,$O6,$T6),1)-2)*20)</f>
        <v>26.5</v>
      </c>
      <c r="Y6" s="8" t="s">
        <v>149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149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149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151</v>
      </c>
      <c r="G7" s="9">
        <v>3900</v>
      </c>
      <c r="H7" s="9">
        <v>1000</v>
      </c>
      <c r="I7" s="48">
        <v>1000</v>
      </c>
      <c r="J7" s="21">
        <f t="shared" si="2"/>
        <v>39900</v>
      </c>
      <c r="K7" s="8" t="s">
        <v>152</v>
      </c>
      <c r="L7" s="9">
        <v>-3900</v>
      </c>
      <c r="M7" s="9">
        <v>-1000</v>
      </c>
      <c r="N7" s="48">
        <v>-1000</v>
      </c>
      <c r="O7" s="21">
        <f t="shared" si="3"/>
        <v>23600</v>
      </c>
      <c r="P7" s="8"/>
      <c r="Q7" s="9"/>
      <c r="R7" s="9"/>
      <c r="S7" s="48"/>
      <c r="T7" s="21">
        <f t="shared" si="4"/>
        <v>41500</v>
      </c>
      <c r="U7" s="53">
        <f>IF($J7="","",ROUND(($J7-$J$3)/1000,1)+(_xlfn.RANK.AVG($J7,($J7,$O7,$T7),1)-2)*20)</f>
        <v>4.9000000000000004</v>
      </c>
      <c r="V7" s="54">
        <f>IF($O7="","",ROUND(($O7-$O$3)/1000,1)+(_xlfn.RANK.AVG($O7,($J7,$O7,$T7),1)-2)*20)</f>
        <v>-31.4</v>
      </c>
      <c r="W7" s="55">
        <f>IF($T7="","",ROUND(($T7-$T$3)/1000,1)+(_xlfn.RANK.AVG($T7,($J7,$O7,$T7),1)-2)*20)</f>
        <v>26.5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147</v>
      </c>
      <c r="AF7" s="41" t="s">
        <v>83</v>
      </c>
      <c r="AG7" s="41" t="s">
        <v>80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152</v>
      </c>
      <c r="G8" s="9">
        <v>-8000</v>
      </c>
      <c r="H8" s="9"/>
      <c r="I8" s="48">
        <v>0</v>
      </c>
      <c r="J8" s="21">
        <f t="shared" si="2"/>
        <v>31900</v>
      </c>
      <c r="K8" s="8"/>
      <c r="L8" s="9"/>
      <c r="M8" s="9"/>
      <c r="N8" s="48"/>
      <c r="O8" s="21">
        <f t="shared" si="3"/>
        <v>23600</v>
      </c>
      <c r="P8" s="8" t="s">
        <v>151</v>
      </c>
      <c r="Q8" s="9">
        <v>8000</v>
      </c>
      <c r="R8" s="9"/>
      <c r="S8" s="48">
        <v>0</v>
      </c>
      <c r="T8" s="21">
        <f t="shared" si="4"/>
        <v>49500</v>
      </c>
      <c r="U8" s="53">
        <f>IF($J8="","",ROUND(($J8-$J$3)/1000,1)+(_xlfn.RANK.AVG($J8,($J8,$O8,$T8),1)-2)*20)</f>
        <v>-3.1</v>
      </c>
      <c r="V8" s="54">
        <f>IF($O8="","",ROUND(($O8-$O$3)/1000,1)+(_xlfn.RANK.AVG($O8,($J8,$O8,$T8),1)-2)*20)</f>
        <v>-31.4</v>
      </c>
      <c r="W8" s="55">
        <f>IF($T8="","",ROUND(($T8-$T$3)/1000,1)+(_xlfn.RANK.AVG($T8,($J8,$O8,$T8),1)-2)*20)</f>
        <v>34.5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146</v>
      </c>
      <c r="BU8" s="40" t="s">
        <v>147</v>
      </c>
      <c r="BV8" s="41" t="s">
        <v>104</v>
      </c>
      <c r="BW8" s="41" t="s">
        <v>84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31900</v>
      </c>
      <c r="K9" s="8" t="s">
        <v>151</v>
      </c>
      <c r="L9" s="9">
        <v>18000</v>
      </c>
      <c r="M9" s="9"/>
      <c r="N9" s="48">
        <v>0</v>
      </c>
      <c r="O9" s="21">
        <f t="shared" si="3"/>
        <v>41600</v>
      </c>
      <c r="P9" s="8" t="s">
        <v>152</v>
      </c>
      <c r="Q9" s="9">
        <v>-18000</v>
      </c>
      <c r="R9" s="9"/>
      <c r="S9" s="48">
        <v>0</v>
      </c>
      <c r="T9" s="21">
        <f t="shared" si="4"/>
        <v>31500</v>
      </c>
      <c r="U9" s="53">
        <f>IF($J9="","",ROUND(($J9-$J$3)/1000,1)+(_xlfn.RANK.AVG($J9,($J9,$O9,$T9),1)-2)*20)</f>
        <v>-3.1</v>
      </c>
      <c r="V9" s="54">
        <f>IF($O9="","",ROUND(($O9-$O$3)/1000,1)+(_xlfn.RANK.AVG($O9,($J9,$O9,$T9),1)-2)*20)</f>
        <v>26.6</v>
      </c>
      <c r="W9" s="55">
        <f>IF($T9="","",ROUND(($T9-$T$3)/1000,1)+(_xlfn.RANK.AVG($T9,($J9,$O9,$T9),1)-2)*20)</f>
        <v>-23.5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146</v>
      </c>
      <c r="AZ9" s="40" t="s">
        <v>104</v>
      </c>
      <c r="BA9" s="41" t="s">
        <v>86</v>
      </c>
      <c r="BB9" s="41" t="s">
        <v>86</v>
      </c>
      <c r="BC9" s="41" t="s">
        <v>79</v>
      </c>
      <c r="BD9" s="41" t="s">
        <v>79</v>
      </c>
      <c r="BE9" s="41" t="s">
        <v>148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152</v>
      </c>
      <c r="G10" s="9">
        <v>-2900</v>
      </c>
      <c r="H10" s="9"/>
      <c r="I10" s="48">
        <v>-1000</v>
      </c>
      <c r="J10" s="21">
        <f t="shared" si="2"/>
        <v>28000</v>
      </c>
      <c r="K10" s="8" t="s">
        <v>151</v>
      </c>
      <c r="L10" s="9">
        <v>2900</v>
      </c>
      <c r="M10" s="9"/>
      <c r="N10" s="48">
        <v>1000</v>
      </c>
      <c r="O10" s="21">
        <f t="shared" si="3"/>
        <v>45500</v>
      </c>
      <c r="P10" s="8"/>
      <c r="Q10" s="9"/>
      <c r="R10" s="9"/>
      <c r="S10" s="48"/>
      <c r="T10" s="21">
        <f t="shared" si="4"/>
        <v>31500</v>
      </c>
      <c r="U10" s="53">
        <f>IF($J10="","",ROUND(($J10-$J$3)/1000,1)+(_xlfn.RANK.AVG($J10,($J10,$O10,$T10),1)-2)*20)</f>
        <v>-27</v>
      </c>
      <c r="V10" s="54">
        <f>IF($O10="","",ROUND(($O10-$O$3)/1000,1)+(_xlfn.RANK.AVG($O10,($J10,$O10,$T10),1)-2)*20)</f>
        <v>30.5</v>
      </c>
      <c r="W10" s="55">
        <f>IF($T10="","",ROUND(($T10-$T$3)/1000,1)+(_xlfn.RANK.AVG($T10,($J10,$O10,$T10),1)-2)*20)</f>
        <v>-3.5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148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140</v>
      </c>
      <c r="F11" s="8" t="s">
        <v>152</v>
      </c>
      <c r="G11" s="9">
        <v>-1300</v>
      </c>
      <c r="H11" s="9"/>
      <c r="I11" s="48">
        <v>-2000</v>
      </c>
      <c r="J11" s="21">
        <f t="shared" si="2"/>
        <v>24700</v>
      </c>
      <c r="K11" s="8"/>
      <c r="L11" s="9"/>
      <c r="M11" s="9"/>
      <c r="N11" s="48"/>
      <c r="O11" s="21">
        <f t="shared" si="3"/>
        <v>45500</v>
      </c>
      <c r="P11" s="8" t="s">
        <v>151</v>
      </c>
      <c r="Q11" s="9">
        <v>1300</v>
      </c>
      <c r="R11" s="9"/>
      <c r="S11" s="48">
        <v>2000</v>
      </c>
      <c r="T11" s="21">
        <f t="shared" si="4"/>
        <v>34800</v>
      </c>
      <c r="U11" s="53">
        <f>IF($J11="","",ROUND(($J11-$J$3)/1000,1)+(_xlfn.RANK.AVG($J11,($J11,$O11,$T11),1)-2)*20)</f>
        <v>-30.3</v>
      </c>
      <c r="V11" s="54">
        <f>IF($O11="","",ROUND(($O11-$O$3)/1000,1)+(_xlfn.RANK.AVG($O11,($J11,$O11,$T11),1)-2)*20)</f>
        <v>30.5</v>
      </c>
      <c r="W11" s="55">
        <f>IF($T11="","",ROUND(($T11-$T$3)/1000,1)+(_xlfn.RANK.AVG($T11,($J11,$O11,$T11),1)-2)*20)</f>
        <v>-0.2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1</v>
      </c>
      <c r="BT11" s="30">
        <v>40</v>
      </c>
      <c r="BU11" s="40" t="s">
        <v>147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142</v>
      </c>
      <c r="F12" s="8" t="s">
        <v>150</v>
      </c>
      <c r="G12" s="9">
        <v>1500</v>
      </c>
      <c r="H12" s="9">
        <v>-1000</v>
      </c>
      <c r="I12" s="48"/>
      <c r="J12" s="21">
        <f t="shared" si="2"/>
        <v>25200</v>
      </c>
      <c r="K12" s="8" t="s">
        <v>150</v>
      </c>
      <c r="L12" s="9">
        <v>1500</v>
      </c>
      <c r="M12" s="9">
        <v>1000</v>
      </c>
      <c r="N12" s="48"/>
      <c r="O12" s="21">
        <f t="shared" si="3"/>
        <v>48000</v>
      </c>
      <c r="P12" s="8" t="s">
        <v>150</v>
      </c>
      <c r="Q12" s="9">
        <v>-3000</v>
      </c>
      <c r="R12" s="9"/>
      <c r="S12" s="48"/>
      <c r="T12" s="21">
        <f t="shared" si="4"/>
        <v>31800</v>
      </c>
      <c r="U12" s="53">
        <f>IF($J12="","",ROUND(($J12-$J$3)/1000,1)+(_xlfn.RANK.AVG($J12,($J12,$O12,$T12),1)-2)*20)</f>
        <v>-29.8</v>
      </c>
      <c r="V12" s="54">
        <f>IF($O12="","",ROUND(($O12-$O$3)/1000,1)+(_xlfn.RANK.AVG($O12,($J12,$O12,$T12),1)-2)*20)</f>
        <v>33</v>
      </c>
      <c r="W12" s="55">
        <f>IF($T12="","",ROUND(($T12-$T$3)/1000,1)+(_xlfn.RANK.AVG($T12,($J12,$O12,$T12),1)-2)*20)</f>
        <v>-3.2</v>
      </c>
      <c r="Y12" s="8" t="s">
        <v>149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149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153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CDDD7-E099-4695-98D7-F6AD2A8F07B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155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143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 t="s">
        <v>151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/>
      <c r="L4" s="9"/>
      <c r="M4" s="9"/>
      <c r="N4" s="48"/>
      <c r="O4" s="21">
        <f>IF(COUNTA($F4,$K4,$P4)&gt;0,O3+SUM(L4:N4),"")</f>
        <v>35000</v>
      </c>
      <c r="P4" s="8" t="s">
        <v>152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-23.9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147</v>
      </c>
      <c r="AF4" s="41" t="s">
        <v>84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152</v>
      </c>
      <c r="G5" s="9">
        <v>-5200</v>
      </c>
      <c r="H5" s="9">
        <v>-1000</v>
      </c>
      <c r="I5" s="48">
        <v>-1000</v>
      </c>
      <c r="J5" s="21">
        <f t="shared" ref="J5:J30" si="2">IF(COUNTA($F5,$K5,$P5)&gt;0,J4+SUM(G5:I5),"")</f>
        <v>31700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151</v>
      </c>
      <c r="Q5" s="9">
        <v>5200</v>
      </c>
      <c r="R5" s="9">
        <v>1000</v>
      </c>
      <c r="S5" s="48">
        <v>1000</v>
      </c>
      <c r="T5" s="21">
        <f t="shared" ref="T5:T30" si="4">IF(COUNTA($F5,$K5,$P5)&gt;0,T4+SUM(Q5:S5),"")</f>
        <v>38300</v>
      </c>
      <c r="U5" s="53">
        <f>IF($J5="","",ROUND(($J5-$J$3)/1000,1)+(_xlfn.RANK.AVG($J5,($J5,$O5,$T5),1)-2)*20)</f>
        <v>-23.3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23.3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40</v>
      </c>
      <c r="BU5" s="40" t="s">
        <v>86</v>
      </c>
      <c r="BV5" s="41" t="s">
        <v>79</v>
      </c>
      <c r="BW5" s="41" t="s">
        <v>148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151</v>
      </c>
      <c r="G6" s="9">
        <v>8000</v>
      </c>
      <c r="H6" s="9"/>
      <c r="I6" s="48">
        <v>0</v>
      </c>
      <c r="J6" s="21">
        <f t="shared" si="2"/>
        <v>39700</v>
      </c>
      <c r="K6" s="8"/>
      <c r="L6" s="9"/>
      <c r="M6" s="9"/>
      <c r="N6" s="48"/>
      <c r="O6" s="21">
        <f t="shared" si="3"/>
        <v>35000</v>
      </c>
      <c r="P6" s="8" t="s">
        <v>152</v>
      </c>
      <c r="Q6" s="9">
        <v>-8000</v>
      </c>
      <c r="R6" s="9"/>
      <c r="S6" s="48">
        <v>0</v>
      </c>
      <c r="T6" s="21">
        <f t="shared" si="4"/>
        <v>30300</v>
      </c>
      <c r="U6" s="53">
        <f>IF($J6="","",ROUND(($J6-$J$3)/1000,1)+(_xlfn.RANK.AVG($J6,($J6,$O6,$T6),1)-2)*20)</f>
        <v>24.7</v>
      </c>
      <c r="V6" s="54">
        <f>IF($O6="","",ROUND(($O6-$O$3)/1000,1)+(_xlfn.RANK.AVG($O6,($J6,$O6,$T6),1)-2)*20)</f>
        <v>0</v>
      </c>
      <c r="W6" s="55">
        <f>IF($T6="","",ROUND(($T6-$T$3)/1000,1)+(_xlfn.RANK.AVG($T6,($J6,$O6,$T6),1)-2)*20)</f>
        <v>-24.7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147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/>
      <c r="I7" s="48"/>
      <c r="J7" s="21">
        <f t="shared" si="2"/>
        <v>39700</v>
      </c>
      <c r="K7" s="8" t="s">
        <v>151</v>
      </c>
      <c r="L7" s="9">
        <v>12000</v>
      </c>
      <c r="M7" s="9">
        <v>1000</v>
      </c>
      <c r="N7" s="48">
        <v>0</v>
      </c>
      <c r="O7" s="21">
        <f t="shared" si="3"/>
        <v>48000</v>
      </c>
      <c r="P7" s="8" t="s">
        <v>152</v>
      </c>
      <c r="Q7" s="9">
        <v>-12000</v>
      </c>
      <c r="R7" s="9">
        <v>-1000</v>
      </c>
      <c r="S7" s="48">
        <v>0</v>
      </c>
      <c r="T7" s="21">
        <f t="shared" si="4"/>
        <v>17300</v>
      </c>
      <c r="U7" s="53">
        <f>IF($J7="","",ROUND(($J7-$J$3)/1000,1)+(_xlfn.RANK.AVG($J7,($J7,$O7,$T7),1)-2)*20)</f>
        <v>4.7</v>
      </c>
      <c r="V7" s="54">
        <f>IF($O7="","",ROUND(($O7-$O$3)/1000,1)+(_xlfn.RANK.AVG($O7,($J7,$O7,$T7),1)-2)*20)</f>
        <v>33</v>
      </c>
      <c r="W7" s="55">
        <f>IF($T7="","",ROUND(($T7-$T$3)/1000,1)+(_xlfn.RANK.AVG($T7,($J7,$O7,$T7),1)-2)*20)</f>
        <v>-37.700000000000003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6</v>
      </c>
      <c r="AY7" s="30" t="s">
        <v>146</v>
      </c>
      <c r="AZ7" s="40" t="s">
        <v>86</v>
      </c>
      <c r="BA7" s="41" t="s">
        <v>86</v>
      </c>
      <c r="BB7" s="41" t="s">
        <v>79</v>
      </c>
      <c r="BC7" s="41" t="s">
        <v>79</v>
      </c>
      <c r="BD7" s="41" t="s">
        <v>79</v>
      </c>
      <c r="BE7" s="41" t="s">
        <v>148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154</v>
      </c>
      <c r="F8" s="8" t="s">
        <v>144</v>
      </c>
      <c r="G8" s="9">
        <v>-5000</v>
      </c>
      <c r="H8" s="9"/>
      <c r="I8" s="48">
        <v>0</v>
      </c>
      <c r="J8" s="21">
        <f t="shared" si="2"/>
        <v>34700</v>
      </c>
      <c r="K8" s="8" t="s">
        <v>144</v>
      </c>
      <c r="L8" s="9">
        <v>-3000</v>
      </c>
      <c r="M8" s="9"/>
      <c r="N8" s="48">
        <v>0</v>
      </c>
      <c r="O8" s="21">
        <f t="shared" si="3"/>
        <v>45000</v>
      </c>
      <c r="P8" s="8" t="s">
        <v>145</v>
      </c>
      <c r="Q8" s="9">
        <v>8000</v>
      </c>
      <c r="R8" s="9"/>
      <c r="S8" s="48">
        <v>0</v>
      </c>
      <c r="T8" s="21">
        <f t="shared" si="4"/>
        <v>25300</v>
      </c>
      <c r="U8" s="53">
        <f>IF($J8="","",ROUND(($J8-$J$3)/1000,1)+(_xlfn.RANK.AVG($J8,($J8,$O8,$T8),1)-2)*20)</f>
        <v>-0.3</v>
      </c>
      <c r="V8" s="54">
        <f>IF($O8="","",ROUND(($O8-$O$3)/1000,1)+(_xlfn.RANK.AVG($O8,($J8,$O8,$T8),1)-2)*20)</f>
        <v>30</v>
      </c>
      <c r="W8" s="55">
        <f>IF($T8="","",ROUND(($T8-$T$3)/1000,1)+(_xlfn.RANK.AVG($T8,($J8,$O8,$T8),1)-2)*20)</f>
        <v>-29.7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146</v>
      </c>
      <c r="BU8" s="40" t="s">
        <v>147</v>
      </c>
      <c r="BV8" s="41" t="s">
        <v>82</v>
      </c>
      <c r="BW8" s="41" t="s">
        <v>85</v>
      </c>
      <c r="BX8" s="41" t="s">
        <v>79</v>
      </c>
      <c r="BY8" s="41" t="s">
        <v>80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>
        <v>-1000</v>
      </c>
      <c r="I9" s="48"/>
      <c r="J9" s="21">
        <f t="shared" si="2"/>
        <v>33700</v>
      </c>
      <c r="K9" s="8" t="s">
        <v>151</v>
      </c>
      <c r="L9" s="9">
        <v>3900</v>
      </c>
      <c r="M9" s="9">
        <v>2000</v>
      </c>
      <c r="N9" s="48">
        <v>0</v>
      </c>
      <c r="O9" s="21">
        <f t="shared" si="3"/>
        <v>50900</v>
      </c>
      <c r="P9" s="8" t="s">
        <v>152</v>
      </c>
      <c r="Q9" s="9">
        <v>-3900</v>
      </c>
      <c r="R9" s="9">
        <v>-1000</v>
      </c>
      <c r="S9" s="48">
        <v>0</v>
      </c>
      <c r="T9" s="21">
        <f t="shared" si="4"/>
        <v>20400</v>
      </c>
      <c r="U9" s="53">
        <f>IF($J9="","",ROUND(($J9-$J$3)/1000,1)+(_xlfn.RANK.AVG($J9,($J9,$O9,$T9),1)-2)*20)</f>
        <v>-1.3</v>
      </c>
      <c r="V9" s="54">
        <f>IF($O9="","",ROUND(($O9-$O$3)/1000,1)+(_xlfn.RANK.AVG($O9,($J9,$O9,$T9),1)-2)*20)</f>
        <v>35.9</v>
      </c>
      <c r="W9" s="55">
        <f>IF($T9="","",ROUND(($T9-$T$3)/1000,1)+(_xlfn.RANK.AVG($T9,($J9,$O9,$T9),1)-2)*20)</f>
        <v>-34.6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147</v>
      </c>
      <c r="BA9" s="41" t="s">
        <v>148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144</v>
      </c>
      <c r="G10" s="9">
        <v>-3000</v>
      </c>
      <c r="H10" s="9"/>
      <c r="I10" s="48">
        <v>-500</v>
      </c>
      <c r="J10" s="21">
        <f t="shared" si="2"/>
        <v>30200</v>
      </c>
      <c r="K10" s="8" t="s">
        <v>145</v>
      </c>
      <c r="L10" s="9">
        <v>6000</v>
      </c>
      <c r="M10" s="9"/>
      <c r="N10" s="48">
        <v>1000</v>
      </c>
      <c r="O10" s="21">
        <f t="shared" si="3"/>
        <v>57900</v>
      </c>
      <c r="P10" s="8" t="s">
        <v>144</v>
      </c>
      <c r="Q10" s="9">
        <v>-3000</v>
      </c>
      <c r="R10" s="9"/>
      <c r="S10" s="48">
        <v>-500</v>
      </c>
      <c r="T10" s="21">
        <f t="shared" si="4"/>
        <v>16900</v>
      </c>
      <c r="U10" s="53">
        <f>IF($J10="","",ROUND(($J10-$J$3)/1000,1)+(_xlfn.RANK.AVG($J10,($J10,$O10,$T10),1)-2)*20)</f>
        <v>-4.8</v>
      </c>
      <c r="V10" s="54">
        <f>IF($O10="","",ROUND(($O10-$O$3)/1000,1)+(_xlfn.RANK.AVG($O10,($J10,$O10,$T10),1)-2)*20)</f>
        <v>42.9</v>
      </c>
      <c r="W10" s="55">
        <f>IF($T10="","",ROUND(($T10-$T$3)/1000,1)+(_xlfn.RANK.AVG($T10,($J10,$O10,$T10),1)-2)*20)</f>
        <v>-38.1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30</v>
      </c>
      <c r="AZ10" s="40" t="s">
        <v>82</v>
      </c>
      <c r="BA10" s="41" t="s">
        <v>85</v>
      </c>
      <c r="BB10" s="41" t="s">
        <v>84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140</v>
      </c>
      <c r="F11" s="8" t="s">
        <v>144</v>
      </c>
      <c r="G11" s="9">
        <v>-1500</v>
      </c>
      <c r="H11" s="9"/>
      <c r="I11" s="48">
        <v>-1000</v>
      </c>
      <c r="J11" s="21">
        <f t="shared" si="2"/>
        <v>27700</v>
      </c>
      <c r="K11" s="8" t="s">
        <v>145</v>
      </c>
      <c r="L11" s="9">
        <v>3000</v>
      </c>
      <c r="M11" s="9"/>
      <c r="N11" s="48">
        <v>2000</v>
      </c>
      <c r="O11" s="21">
        <f t="shared" si="3"/>
        <v>62900</v>
      </c>
      <c r="P11" s="8" t="s">
        <v>144</v>
      </c>
      <c r="Q11" s="9">
        <v>-1500</v>
      </c>
      <c r="R11" s="9"/>
      <c r="S11" s="48">
        <v>-1000</v>
      </c>
      <c r="T11" s="21">
        <f t="shared" si="4"/>
        <v>14400</v>
      </c>
      <c r="U11" s="53">
        <f>IF($J11="","",ROUND(($J11-$J$3)/1000,1)+(_xlfn.RANK.AVG($J11,($J11,$O11,$T11),1)-2)*20)</f>
        <v>-7.3</v>
      </c>
      <c r="V11" s="54">
        <f>IF($O11="","",ROUND(($O11-$O$3)/1000,1)+(_xlfn.RANK.AVG($O11,($J11,$O11,$T11),1)-2)*20)</f>
        <v>47.9</v>
      </c>
      <c r="W11" s="55">
        <f>IF($T11="","",ROUND(($T11-$T$3)/1000,1)+(_xlfn.RANK.AVG($T11,($J11,$O11,$T11),1)-2)*20)</f>
        <v>-40.6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30</v>
      </c>
      <c r="AZ11" s="40" t="s">
        <v>82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140</v>
      </c>
      <c r="F12" s="8"/>
      <c r="G12" s="9"/>
      <c r="H12" s="9"/>
      <c r="I12" s="48"/>
      <c r="J12" s="21">
        <f t="shared" si="2"/>
        <v>27700</v>
      </c>
      <c r="K12" s="8" t="s">
        <v>151</v>
      </c>
      <c r="L12" s="9">
        <v>7700</v>
      </c>
      <c r="M12" s="9"/>
      <c r="N12" s="48">
        <v>3000</v>
      </c>
      <c r="O12" s="21">
        <f t="shared" si="3"/>
        <v>73600</v>
      </c>
      <c r="P12" s="8" t="s">
        <v>152</v>
      </c>
      <c r="Q12" s="9">
        <v>-7700</v>
      </c>
      <c r="R12" s="9"/>
      <c r="S12" s="48">
        <v>-3000</v>
      </c>
      <c r="T12" s="21">
        <f t="shared" si="4"/>
        <v>3700</v>
      </c>
      <c r="U12" s="53">
        <f>IF($J12="","",ROUND(($J12-$J$3)/1000,1)+(_xlfn.RANK.AVG($J12,($J12,$O12,$T12),1)-2)*20)</f>
        <v>-7.3</v>
      </c>
      <c r="V12" s="54">
        <f>IF($O12="","",ROUND(($O12-$O$3)/1000,1)+(_xlfn.RANK.AVG($O12,($J12,$O12,$T12),1)-2)*20)</f>
        <v>58.6</v>
      </c>
      <c r="W12" s="55">
        <f>IF($T12="","",ROUND(($T12-$T$3)/1000,1)+(_xlfn.RANK.AVG($T12,($J12,$O12,$T12),1)-2)*20)</f>
        <v>-51.3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147</v>
      </c>
      <c r="BA12" s="41" t="s">
        <v>86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">
        <v>140</v>
      </c>
      <c r="F13" s="8"/>
      <c r="G13" s="9"/>
      <c r="H13" s="9"/>
      <c r="I13" s="48"/>
      <c r="J13" s="21">
        <f t="shared" si="2"/>
        <v>27700</v>
      </c>
      <c r="K13" s="8" t="s">
        <v>151</v>
      </c>
      <c r="L13" s="9">
        <v>2900</v>
      </c>
      <c r="M13" s="9"/>
      <c r="N13" s="48">
        <v>4000</v>
      </c>
      <c r="O13" s="21">
        <f t="shared" si="3"/>
        <v>80500</v>
      </c>
      <c r="P13" s="8" t="s">
        <v>152</v>
      </c>
      <c r="Q13" s="9">
        <v>-2900</v>
      </c>
      <c r="R13" s="9"/>
      <c r="S13" s="48">
        <v>-4000</v>
      </c>
      <c r="T13" s="21">
        <f t="shared" si="4"/>
        <v>-3200</v>
      </c>
      <c r="U13" s="53">
        <f>IF($J13="","",ROUND(($J13-$J$3)/1000,1)+(_xlfn.RANK.AVG($J13,($J13,$O13,$T13),1)-2)*20)</f>
        <v>-7.3</v>
      </c>
      <c r="V13" s="54">
        <f>IF($O13="","",ROUND(($O13-$O$3)/1000,1)+(_xlfn.RANK.AVG($O13,($J13,$O13,$T13),1)-2)*20)</f>
        <v>65.5</v>
      </c>
      <c r="W13" s="55">
        <f>IF($T13="","",ROUND(($T13-$T$3)/1000,1)+(_xlfn.RANK.AVG($T13,($J13,$O13,$T13),1)-2)*20)</f>
        <v>-58.2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148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00248BEF-FBF0-40E5-A97D-CBFD0F55A946}">
      <formula1>"ロン,ツモ,放銃,ツモ支払,流局,チョンボ"</formula1>
    </dataValidation>
    <dataValidation type="list" allowBlank="1" showInputMessage="1" showErrorMessage="1" sqref="E4:E30" xr:uid="{C0A1F49F-ABF4-4B81-B121-75DBD0791C6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13D8-0973-4B78-9310-9FC43187006A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155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ぱぱ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ぱぱ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156</v>
      </c>
      <c r="F4" s="8" t="s">
        <v>144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144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145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146</v>
      </c>
      <c r="BU4" s="40" t="s">
        <v>147</v>
      </c>
      <c r="BV4" s="41" t="s">
        <v>82</v>
      </c>
      <c r="BW4" s="41" t="s">
        <v>84</v>
      </c>
      <c r="BX4" s="41" t="s">
        <v>79</v>
      </c>
      <c r="BY4" s="41" t="s">
        <v>83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156</v>
      </c>
      <c r="F5" s="8" t="s">
        <v>144</v>
      </c>
      <c r="G5" s="9">
        <v>-500</v>
      </c>
      <c r="H5" s="9"/>
      <c r="I5" s="48">
        <v>-500</v>
      </c>
      <c r="J5" s="21">
        <f t="shared" ref="J5:J30" si="2">IF(COUNTA($F5,$K5,$P5)&gt;0,J4+SUM(G5:I5),"")</f>
        <v>28000</v>
      </c>
      <c r="K5" s="8" t="s">
        <v>145</v>
      </c>
      <c r="L5" s="9">
        <v>1200</v>
      </c>
      <c r="M5" s="9"/>
      <c r="N5" s="48">
        <v>1000</v>
      </c>
      <c r="O5" s="21">
        <f t="shared" ref="O5:O30" si="3">IF(COUNTA($F5,$K5,$P5)&gt;0,O4+SUM(L5:N5),"")</f>
        <v>31200</v>
      </c>
      <c r="P5" s="8" t="s">
        <v>144</v>
      </c>
      <c r="Q5" s="9">
        <v>-700</v>
      </c>
      <c r="R5" s="9"/>
      <c r="S5" s="48">
        <v>-500</v>
      </c>
      <c r="T5" s="21">
        <f t="shared" ref="T5:T30" si="4">IF(COUNTA($F5,$K5,$P5)&gt;0,T4+SUM(Q5:S5),"")</f>
        <v>45800</v>
      </c>
      <c r="U5" s="53">
        <f>IF($J5="","",ROUND(($J5-$J$3)/1000,1)+(_xlfn.RANK.AVG($J5,($J5,$O5,$T5),1)-2)*20)</f>
        <v>-27</v>
      </c>
      <c r="V5" s="54">
        <f>IF($O5="","",ROUND(($O5-$O$3)/1000,1)+(_xlfn.RANK.AVG($O5,($J5,$O5,$T5),1)-2)*20)</f>
        <v>-3.8</v>
      </c>
      <c r="W5" s="55">
        <f>IF($T5="","",ROUND(($T5-$T$3)/1000,1)+(_xlfn.RANK.AVG($T5,($J5,$O5,$T5),1)-2)*20)</f>
        <v>30.8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154</v>
      </c>
      <c r="F6" s="8" t="s">
        <v>144</v>
      </c>
      <c r="G6" s="9">
        <v>-5000</v>
      </c>
      <c r="H6" s="9"/>
      <c r="I6" s="48">
        <v>0</v>
      </c>
      <c r="J6" s="21">
        <f t="shared" si="2"/>
        <v>23000</v>
      </c>
      <c r="K6" s="8" t="s">
        <v>145</v>
      </c>
      <c r="L6" s="9">
        <v>8000</v>
      </c>
      <c r="M6" s="9"/>
      <c r="N6" s="48">
        <v>0</v>
      </c>
      <c r="O6" s="21">
        <f t="shared" si="3"/>
        <v>39200</v>
      </c>
      <c r="P6" s="8" t="s">
        <v>144</v>
      </c>
      <c r="Q6" s="9">
        <v>-3000</v>
      </c>
      <c r="R6" s="9"/>
      <c r="S6" s="48">
        <v>0</v>
      </c>
      <c r="T6" s="21">
        <f t="shared" si="4"/>
        <v>42800</v>
      </c>
      <c r="U6" s="53">
        <f>IF($J6="","",ROUND(($J6-$J$3)/1000,1)+(_xlfn.RANK.AVG($J6,($J6,$O6,$T6),1)-2)*20)</f>
        <v>-32</v>
      </c>
      <c r="V6" s="54">
        <f>IF($O6="","",ROUND(($O6-$O$3)/1000,1)+(_xlfn.RANK.AVG($O6,($J6,$O6,$T6),1)-2)*20)</f>
        <v>4.2</v>
      </c>
      <c r="W6" s="55">
        <f>IF($T6="","",ROUND(($T6-$T$3)/1000,1)+(_xlfn.RANK.AVG($T6,($J6,$O6,$T6),1)-2)*20)</f>
        <v>27.8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146</v>
      </c>
      <c r="AZ6" s="40" t="s">
        <v>82</v>
      </c>
      <c r="BA6" s="41" t="s">
        <v>83</v>
      </c>
      <c r="BB6" s="41" t="s">
        <v>85</v>
      </c>
      <c r="BC6" s="41" t="s">
        <v>148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140</v>
      </c>
      <c r="F7" s="8" t="s">
        <v>151</v>
      </c>
      <c r="G7" s="9">
        <v>7700</v>
      </c>
      <c r="H7" s="9">
        <v>1000</v>
      </c>
      <c r="I7" s="48">
        <v>0</v>
      </c>
      <c r="J7" s="21">
        <f t="shared" si="2"/>
        <v>31700</v>
      </c>
      <c r="K7" s="8" t="s">
        <v>152</v>
      </c>
      <c r="L7" s="9">
        <v>-7700</v>
      </c>
      <c r="M7" s="9"/>
      <c r="N7" s="48">
        <v>0</v>
      </c>
      <c r="O7" s="21">
        <f t="shared" si="3"/>
        <v>31500</v>
      </c>
      <c r="P7" s="8"/>
      <c r="Q7" s="9"/>
      <c r="R7" s="9">
        <v>-1000</v>
      </c>
      <c r="S7" s="48"/>
      <c r="T7" s="21">
        <f t="shared" si="4"/>
        <v>41800</v>
      </c>
      <c r="U7" s="53">
        <f>IF($J7="","",ROUND(($J7-$J$3)/1000,1)+(_xlfn.RANK.AVG($J7,($J7,$O7,$T7),1)-2)*20)</f>
        <v>-3.3</v>
      </c>
      <c r="V7" s="54">
        <f>IF($O7="","",ROUND(($O7-$O$3)/1000,1)+(_xlfn.RANK.AVG($O7,($J7,$O7,$T7),1)-2)*20)</f>
        <v>-23.5</v>
      </c>
      <c r="W7" s="55">
        <f>IF($T7="","",ROUND(($T7-$T$3)/1000,1)+(_xlfn.RANK.AVG($T7,($J7,$O7,$T7),1)-2)*20)</f>
        <v>26.8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147</v>
      </c>
      <c r="AF7" s="41" t="s">
        <v>83</v>
      </c>
      <c r="AG7" s="41" t="s">
        <v>84</v>
      </c>
      <c r="AH7" s="41" t="s">
        <v>158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156</v>
      </c>
      <c r="F8" s="8"/>
      <c r="G8" s="9"/>
      <c r="H8" s="9"/>
      <c r="I8" s="48"/>
      <c r="J8" s="21">
        <f t="shared" si="2"/>
        <v>31700</v>
      </c>
      <c r="K8" s="8" t="s">
        <v>151</v>
      </c>
      <c r="L8" s="9">
        <v>3900</v>
      </c>
      <c r="M8" s="9"/>
      <c r="N8" s="48">
        <v>0</v>
      </c>
      <c r="O8" s="21">
        <f t="shared" si="3"/>
        <v>35400</v>
      </c>
      <c r="P8" s="8" t="s">
        <v>152</v>
      </c>
      <c r="Q8" s="9">
        <v>-3900</v>
      </c>
      <c r="R8" s="9"/>
      <c r="S8" s="48">
        <v>0</v>
      </c>
      <c r="T8" s="21">
        <f t="shared" si="4"/>
        <v>37900</v>
      </c>
      <c r="U8" s="53">
        <f>IF($J8="","",ROUND(($J8-$J$3)/1000,1)+(_xlfn.RANK.AVG($J8,($J8,$O8,$T8),1)-2)*20)</f>
        <v>-23.3</v>
      </c>
      <c r="V8" s="54">
        <f>IF($O8="","",ROUND(($O8-$O$3)/1000,1)+(_xlfn.RANK.AVG($O8,($J8,$O8,$T8),1)-2)*20)</f>
        <v>0.4</v>
      </c>
      <c r="W8" s="55">
        <f>IF($T8="","",ROUND(($T8-$T$3)/1000,1)+(_xlfn.RANK.AVG($T8,($J8,$O8,$T8),1)-2)*20)</f>
        <v>22.9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79</v>
      </c>
      <c r="BB8" s="41" t="s">
        <v>148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154</v>
      </c>
      <c r="F9" s="8" t="s">
        <v>144</v>
      </c>
      <c r="G9" s="9">
        <v>-700</v>
      </c>
      <c r="H9" s="9"/>
      <c r="I9" s="48">
        <v>0</v>
      </c>
      <c r="J9" s="21">
        <f t="shared" si="2"/>
        <v>31000</v>
      </c>
      <c r="K9" s="8" t="s">
        <v>145</v>
      </c>
      <c r="L9" s="9">
        <v>1200</v>
      </c>
      <c r="M9" s="9"/>
      <c r="N9" s="48">
        <v>0</v>
      </c>
      <c r="O9" s="21">
        <f t="shared" si="3"/>
        <v>36600</v>
      </c>
      <c r="P9" s="8" t="s">
        <v>144</v>
      </c>
      <c r="Q9" s="9">
        <v>-500</v>
      </c>
      <c r="R9" s="9"/>
      <c r="S9" s="48">
        <v>0</v>
      </c>
      <c r="T9" s="21">
        <f t="shared" si="4"/>
        <v>37400</v>
      </c>
      <c r="U9" s="53">
        <f>IF($J9="","",ROUND(($J9-$J$3)/1000,1)+(_xlfn.RANK.AVG($J9,($J9,$O9,$T9),1)-2)*20)</f>
        <v>-24</v>
      </c>
      <c r="V9" s="54">
        <f>IF($O9="","",ROUND(($O9-$O$3)/1000,1)+(_xlfn.RANK.AVG($O9,($J9,$O9,$T9),1)-2)*20)</f>
        <v>1.6</v>
      </c>
      <c r="W9" s="55">
        <f>IF($T9="","",ROUND(($T9-$T$3)/1000,1)+(_xlfn.RANK.AVG($T9,($J9,$O9,$T9),1)-2)*20)</f>
        <v>22.4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1</v>
      </c>
      <c r="AY9" s="30">
        <v>30</v>
      </c>
      <c r="AZ9" s="40" t="s">
        <v>82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152</v>
      </c>
      <c r="G10" s="9">
        <v>-12000</v>
      </c>
      <c r="H10" s="9"/>
      <c r="I10" s="48">
        <v>0</v>
      </c>
      <c r="J10" s="21">
        <f t="shared" si="2"/>
        <v>19000</v>
      </c>
      <c r="K10" s="8"/>
      <c r="L10" s="9"/>
      <c r="M10" s="9"/>
      <c r="N10" s="48"/>
      <c r="O10" s="21">
        <f t="shared" si="3"/>
        <v>36600</v>
      </c>
      <c r="P10" s="8" t="s">
        <v>151</v>
      </c>
      <c r="Q10" s="9">
        <v>12000</v>
      </c>
      <c r="R10" s="9"/>
      <c r="S10" s="48">
        <v>0</v>
      </c>
      <c r="T10" s="21">
        <f t="shared" si="4"/>
        <v>49400</v>
      </c>
      <c r="U10" s="53">
        <f>IF($J10="","",ROUND(($J10-$J$3)/1000,1)+(_xlfn.RANK.AVG($J10,($J10,$O10,$T10),1)-2)*20)</f>
        <v>-36</v>
      </c>
      <c r="V10" s="54">
        <f>IF($O10="","",ROUND(($O10-$O$3)/1000,1)+(_xlfn.RANK.AVG($O10,($J10,$O10,$T10),1)-2)*20)</f>
        <v>1.6</v>
      </c>
      <c r="W10" s="55">
        <f>IF($T10="","",ROUND(($T10-$T$3)/1000,1)+(_xlfn.RANK.AVG($T10,($J10,$O10,$T10),1)-2)*20)</f>
        <v>34.4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146</v>
      </c>
      <c r="BU10" s="40" t="s">
        <v>147</v>
      </c>
      <c r="BV10" s="41" t="s">
        <v>158</v>
      </c>
      <c r="BW10" s="41" t="s">
        <v>148</v>
      </c>
      <c r="BX10" s="41" t="s">
        <v>80</v>
      </c>
      <c r="BY10" s="41" t="s">
        <v>80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45D61332-1080-4891-AF7A-708E8CBC4C90}">
      <formula1>$U$2:$W$2</formula1>
    </dataValidation>
    <dataValidation type="list" showInputMessage="1" showErrorMessage="1" sqref="K4:K30 P4:P30 F4:F30" xr:uid="{CF35FE5A-A0AA-472B-A415-7065C5F66FF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2019-05-13T15:50:33Z</dcterms:modified>
</cp:coreProperties>
</file>