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C2FA3650-AC39-4915-BD86-30608BEB19C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C10" i="20"/>
  <c r="D9" i="20"/>
  <c r="C9" i="20"/>
  <c r="D8" i="20"/>
  <c r="C8" i="20"/>
  <c r="D7" i="20"/>
  <c r="D6" i="20"/>
  <c r="C6" i="20"/>
  <c r="C7" i="20" s="1"/>
  <c r="O5" i="20"/>
  <c r="J5" i="20"/>
  <c r="D5" i="20"/>
  <c r="C5" i="20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D11" i="19"/>
  <c r="D10" i="19"/>
  <c r="D9" i="19"/>
  <c r="C9" i="19"/>
  <c r="C10" i="19" s="1"/>
  <c r="C11" i="19" s="1"/>
  <c r="D8" i="19"/>
  <c r="C8" i="19"/>
  <c r="D7" i="19"/>
  <c r="D6" i="19"/>
  <c r="C6" i="19"/>
  <c r="C7" i="19" s="1"/>
  <c r="B6" i="19"/>
  <c r="A6" i="19"/>
  <c r="D5" i="19"/>
  <c r="C5" i="19"/>
  <c r="B5" i="19"/>
  <c r="A5" i="19"/>
  <c r="T4" i="19"/>
  <c r="T5" i="19" s="1"/>
  <c r="O4" i="19"/>
  <c r="J4" i="19"/>
  <c r="J5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O11" i="18"/>
  <c r="J11" i="18"/>
  <c r="U11" i="18" s="1"/>
  <c r="D11" i="18"/>
  <c r="C11" i="18"/>
  <c r="B11" i="18"/>
  <c r="A11" i="18"/>
  <c r="T10" i="18"/>
  <c r="O10" i="18"/>
  <c r="J10" i="18"/>
  <c r="U10" i="18" s="1"/>
  <c r="D10" i="18"/>
  <c r="C10" i="18"/>
  <c r="B10" i="18"/>
  <c r="A10" i="18" s="1"/>
  <c r="T9" i="18"/>
  <c r="O9" i="18"/>
  <c r="J9" i="18"/>
  <c r="U9" i="18" s="1"/>
  <c r="D9" i="18"/>
  <c r="C9" i="18"/>
  <c r="B9" i="18"/>
  <c r="A9" i="18" s="1"/>
  <c r="D8" i="18"/>
  <c r="C8" i="18"/>
  <c r="D7" i="18"/>
  <c r="C7" i="18"/>
  <c r="D6" i="18"/>
  <c r="C6" i="18"/>
  <c r="B6" i="18"/>
  <c r="B7" i="18" s="1"/>
  <c r="J5" i="18"/>
  <c r="D5" i="18"/>
  <c r="C5" i="18"/>
  <c r="B5" i="18"/>
  <c r="T4" i="18"/>
  <c r="T5" i="18" s="1"/>
  <c r="O4" i="18"/>
  <c r="J4" i="18"/>
  <c r="W3" i="18"/>
  <c r="V3" i="18"/>
  <c r="U3" i="18"/>
  <c r="W2" i="18"/>
  <c r="V2" i="18"/>
  <c r="U2" i="18"/>
  <c r="BO1" i="18"/>
  <c r="AT1" i="18"/>
  <c r="Y1" i="18"/>
  <c r="A5" i="20" l="1"/>
  <c r="V4" i="20"/>
  <c r="B7" i="20"/>
  <c r="U4" i="20"/>
  <c r="J6" i="20"/>
  <c r="W4" i="20"/>
  <c r="O6" i="20"/>
  <c r="T5" i="20"/>
  <c r="V5" i="20" s="1"/>
  <c r="A6" i="20"/>
  <c r="V4" i="19"/>
  <c r="W4" i="19"/>
  <c r="J6" i="19"/>
  <c r="T6" i="19"/>
  <c r="U4" i="19"/>
  <c r="O5" i="19"/>
  <c r="W5" i="19" s="1"/>
  <c r="B7" i="19"/>
  <c r="V11" i="18"/>
  <c r="W11" i="18"/>
  <c r="W10" i="18"/>
  <c r="V10" i="18"/>
  <c r="W9" i="18"/>
  <c r="V9" i="18"/>
  <c r="U4" i="18"/>
  <c r="V4" i="18"/>
  <c r="B8" i="18"/>
  <c r="T6" i="18"/>
  <c r="O5" i="18"/>
  <c r="U5" i="18" s="1"/>
  <c r="J6" i="18"/>
  <c r="W4" i="18"/>
  <c r="A5" i="18"/>
  <c r="A6" i="18" s="1"/>
  <c r="A7" i="18" s="1"/>
  <c r="O7" i="20" l="1"/>
  <c r="B8" i="20"/>
  <c r="A7" i="20"/>
  <c r="J7" i="20"/>
  <c r="W5" i="20"/>
  <c r="T6" i="20"/>
  <c r="U6" i="20" s="1"/>
  <c r="U5" i="20"/>
  <c r="B8" i="19"/>
  <c r="A8" i="19" s="1"/>
  <c r="O6" i="19"/>
  <c r="V5" i="19"/>
  <c r="A7" i="19"/>
  <c r="T7" i="19"/>
  <c r="W6" i="19"/>
  <c r="U6" i="19"/>
  <c r="J7" i="19"/>
  <c r="U5" i="19"/>
  <c r="W5" i="18"/>
  <c r="A8" i="18"/>
  <c r="T7" i="18"/>
  <c r="V5" i="18"/>
  <c r="O6" i="18"/>
  <c r="W6" i="18" s="1"/>
  <c r="U6" i="18"/>
  <c r="J7" i="18"/>
  <c r="J8" i="20" l="1"/>
  <c r="B9" i="20"/>
  <c r="A9" i="20" s="1"/>
  <c r="A8" i="20"/>
  <c r="O8" i="20"/>
  <c r="W6" i="20"/>
  <c r="T7" i="20"/>
  <c r="V7" i="20" s="1"/>
  <c r="V6" i="20"/>
  <c r="T8" i="19"/>
  <c r="V6" i="19"/>
  <c r="O7" i="19"/>
  <c r="U7" i="19"/>
  <c r="J8" i="19"/>
  <c r="B9" i="19"/>
  <c r="J8" i="18"/>
  <c r="V6" i="18"/>
  <c r="O7" i="18"/>
  <c r="T8" i="18"/>
  <c r="O9" i="20" l="1"/>
  <c r="B10" i="20"/>
  <c r="J9" i="20"/>
  <c r="U8" i="20"/>
  <c r="T8" i="20"/>
  <c r="V8" i="20" s="1"/>
  <c r="W7" i="20"/>
  <c r="U7" i="20"/>
  <c r="B10" i="19"/>
  <c r="A10" i="19" s="1"/>
  <c r="V7" i="19"/>
  <c r="O8" i="19"/>
  <c r="W7" i="19"/>
  <c r="A9" i="19"/>
  <c r="J9" i="19"/>
  <c r="U8" i="19"/>
  <c r="W8" i="19"/>
  <c r="T9" i="19"/>
  <c r="O8" i="18"/>
  <c r="V8" i="18" s="1"/>
  <c r="V7" i="18"/>
  <c r="U8" i="18"/>
  <c r="W7" i="18"/>
  <c r="U7" i="18"/>
  <c r="T9" i="20" l="1"/>
  <c r="W8" i="20"/>
  <c r="U9" i="20"/>
  <c r="J10" i="20"/>
  <c r="B11" i="20"/>
  <c r="A11" i="20" s="1"/>
  <c r="A10" i="20"/>
  <c r="V9" i="20"/>
  <c r="O10" i="20"/>
  <c r="J10" i="19"/>
  <c r="V8" i="19"/>
  <c r="O9" i="19"/>
  <c r="W9" i="19"/>
  <c r="T10" i="19"/>
  <c r="B11" i="19"/>
  <c r="A11" i="19" s="1"/>
  <c r="W8" i="18"/>
  <c r="J11" i="20" l="1"/>
  <c r="V10" i="20"/>
  <c r="O11" i="20"/>
  <c r="W9" i="20"/>
  <c r="T10" i="20"/>
  <c r="T11" i="19"/>
  <c r="V9" i="19"/>
  <c r="O10" i="19"/>
  <c r="U10" i="19"/>
  <c r="J11" i="19"/>
  <c r="U9" i="19"/>
  <c r="W10" i="20" l="1"/>
  <c r="T11" i="20"/>
  <c r="W11" i="20" s="1"/>
  <c r="V11" i="20"/>
  <c r="U11" i="20"/>
  <c r="U10" i="20"/>
  <c r="O11" i="19"/>
  <c r="V11" i="19" s="1"/>
  <c r="V10" i="19"/>
  <c r="W10" i="19"/>
  <c r="W11" i="19" l="1"/>
  <c r="U11" i="19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T11" i="17"/>
  <c r="W11" i="17" s="1"/>
  <c r="O11" i="17"/>
  <c r="V11" i="17" s="1"/>
  <c r="J11" i="17"/>
  <c r="U11" i="17" s="1"/>
  <c r="D11" i="17"/>
  <c r="C11" i="17"/>
  <c r="B11" i="17"/>
  <c r="A11" i="17"/>
  <c r="D10" i="17"/>
  <c r="C10" i="17"/>
  <c r="D9" i="17"/>
  <c r="C9" i="17"/>
  <c r="D8" i="17"/>
  <c r="C8" i="17"/>
  <c r="T7" i="17"/>
  <c r="T8" i="17" s="1"/>
  <c r="D7" i="17"/>
  <c r="C7" i="17"/>
  <c r="T6" i="17"/>
  <c r="O6" i="17"/>
  <c r="D6" i="17"/>
  <c r="C6" i="17"/>
  <c r="B6" i="17"/>
  <c r="B7" i="17" s="1"/>
  <c r="A6" i="17"/>
  <c r="T5" i="17"/>
  <c r="O5" i="17"/>
  <c r="J5" i="17"/>
  <c r="J6" i="17" s="1"/>
  <c r="D5" i="17"/>
  <c r="C5" i="17"/>
  <c r="B5" i="17"/>
  <c r="A5" i="17" s="1"/>
  <c r="T4" i="17"/>
  <c r="O4" i="17"/>
  <c r="J4" i="17"/>
  <c r="W3" i="17"/>
  <c r="V3" i="17"/>
  <c r="U3" i="17"/>
  <c r="W2" i="17"/>
  <c r="V2" i="17"/>
  <c r="U2" i="17"/>
  <c r="BO1" i="17"/>
  <c r="AT1" i="17"/>
  <c r="Y1" i="17"/>
  <c r="V5" i="17" l="1"/>
  <c r="W5" i="17"/>
  <c r="U5" i="17"/>
  <c r="W4" i="17"/>
  <c r="U4" i="17"/>
  <c r="V4" i="17"/>
  <c r="T9" i="17"/>
  <c r="B8" i="17"/>
  <c r="V6" i="17"/>
  <c r="U6" i="17"/>
  <c r="J7" i="17"/>
  <c r="W6" i="17"/>
  <c r="A7" i="17"/>
  <c r="O7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D10" i="16"/>
  <c r="D9" i="16"/>
  <c r="C9" i="16"/>
  <c r="C10" i="16" s="1"/>
  <c r="D7" i="16"/>
  <c r="D8" i="16" s="1"/>
  <c r="D6" i="16"/>
  <c r="B6" i="16"/>
  <c r="B7" i="16" s="1"/>
  <c r="T5" i="16"/>
  <c r="D5" i="16"/>
  <c r="C5" i="16"/>
  <c r="C6" i="16" s="1"/>
  <c r="C7" i="16" s="1"/>
  <c r="C8" i="16" s="1"/>
  <c r="B5" i="16"/>
  <c r="A5" i="16"/>
  <c r="T4" i="16"/>
  <c r="O4" i="16"/>
  <c r="V4" i="16" s="1"/>
  <c r="J4" i="16"/>
  <c r="W3" i="16"/>
  <c r="V3" i="16"/>
  <c r="U3" i="16"/>
  <c r="W2" i="16"/>
  <c r="V2" i="16"/>
  <c r="U2" i="16"/>
  <c r="BO1" i="16"/>
  <c r="AT1" i="16"/>
  <c r="Y1" i="16"/>
  <c r="A8" i="17" l="1"/>
  <c r="J8" i="17"/>
  <c r="U7" i="17"/>
  <c r="O8" i="17"/>
  <c r="V7" i="17"/>
  <c r="B9" i="17"/>
  <c r="A9" i="17" s="1"/>
  <c r="W7" i="17"/>
  <c r="T10" i="17"/>
  <c r="A6" i="16"/>
  <c r="W4" i="16"/>
  <c r="B8" i="16"/>
  <c r="J5" i="16"/>
  <c r="A7" i="16"/>
  <c r="U4" i="16"/>
  <c r="O5" i="16"/>
  <c r="T6" i="16"/>
  <c r="W3" i="1"/>
  <c r="V3" i="1"/>
  <c r="U3" i="1"/>
  <c r="B10" i="17" l="1"/>
  <c r="A10" i="17" s="1"/>
  <c r="V8" i="17"/>
  <c r="O9" i="17"/>
  <c r="U8" i="17"/>
  <c r="J9" i="17"/>
  <c r="W8" i="17"/>
  <c r="W5" i="16"/>
  <c r="B9" i="16"/>
  <c r="T7" i="16"/>
  <c r="V5" i="16"/>
  <c r="O6" i="16"/>
  <c r="A8" i="16"/>
  <c r="U5" i="16"/>
  <c r="J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U9" i="17" l="1"/>
  <c r="J10" i="17"/>
  <c r="W9" i="17"/>
  <c r="V9" i="17"/>
  <c r="O10" i="17"/>
  <c r="V10" i="17" s="1"/>
  <c r="B10" i="16"/>
  <c r="T8" i="16"/>
  <c r="A9" i="16"/>
  <c r="U6" i="16"/>
  <c r="J7" i="16"/>
  <c r="W7" i="16" s="1"/>
  <c r="O7" i="16"/>
  <c r="V6" i="16"/>
  <c r="W6" i="16"/>
  <c r="B5" i="1"/>
  <c r="A5" i="1" s="1"/>
  <c r="D6" i="1"/>
  <c r="B6" i="1"/>
  <c r="A6" i="1" s="1"/>
  <c r="D5" i="1"/>
  <c r="U10" i="17" l="1"/>
  <c r="W10" i="17"/>
  <c r="O8" i="16"/>
  <c r="V7" i="16"/>
  <c r="J8" i="16"/>
  <c r="W8" i="16" s="1"/>
  <c r="U7" i="16"/>
  <c r="B11" i="16"/>
  <c r="A10" i="16"/>
  <c r="T9" i="16"/>
  <c r="Y1" i="1"/>
  <c r="A11" i="16" l="1"/>
  <c r="T10" i="16"/>
  <c r="V8" i="16"/>
  <c r="O9" i="16"/>
  <c r="W9" i="16" s="1"/>
  <c r="U8" i="16"/>
  <c r="J9" i="16"/>
  <c r="BO1" i="1"/>
  <c r="AT1" i="1"/>
  <c r="U9" i="16" l="1"/>
  <c r="J10" i="16"/>
  <c r="V9" i="16"/>
  <c r="O10" i="16"/>
  <c r="V10" i="16" s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U10" i="16" l="1"/>
  <c r="W10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U4" i="1"/>
  <c r="J6" i="1"/>
  <c r="T5" i="1"/>
  <c r="W5" i="1" s="1"/>
  <c r="O6" i="1"/>
  <c r="B10" i="1"/>
  <c r="U5" i="1" l="1"/>
  <c r="V5" i="1"/>
  <c r="O7" i="1"/>
  <c r="J7" i="1"/>
  <c r="J8" i="1"/>
  <c r="B11" i="1"/>
  <c r="A11" i="1" s="1"/>
  <c r="A10" i="1"/>
  <c r="O8" i="1"/>
  <c r="T6" i="1"/>
  <c r="W6" i="1" s="1"/>
  <c r="B12" i="1"/>
  <c r="A12" i="1" s="1"/>
  <c r="U6" i="1" l="1"/>
  <c r="V6" i="1"/>
  <c r="T7" i="1"/>
  <c r="W7" i="1" s="1"/>
  <c r="J9" i="1"/>
  <c r="T8" i="1"/>
  <c r="W8" i="1" s="1"/>
  <c r="O9" i="1"/>
  <c r="B13" i="1"/>
  <c r="A13" i="1" s="1"/>
  <c r="V8" i="1" l="1"/>
  <c r="U8" i="1"/>
  <c r="V7" i="1"/>
  <c r="U7" i="1"/>
  <c r="J10" i="1"/>
  <c r="J11" i="1"/>
  <c r="U11" i="1" s="1"/>
  <c r="O10" i="1"/>
  <c r="T9" i="1"/>
  <c r="W9" i="1" s="1"/>
  <c r="B14" i="1"/>
  <c r="A14" i="1" s="1"/>
  <c r="U9" i="1" l="1"/>
  <c r="V9" i="1"/>
  <c r="O11" i="1"/>
  <c r="V11" i="1" s="1"/>
  <c r="J12" i="1"/>
  <c r="U12" i="1" s="1"/>
  <c r="T10" i="1"/>
  <c r="W10" i="1" s="1"/>
  <c r="U10" i="1" l="1"/>
  <c r="V10" i="1"/>
  <c r="J13" i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<sst xmlns="http://schemas.openxmlformats.org/spreadsheetml/2006/main" count="1024" uniqueCount="162">
  <si>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</si>
  <si>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</si>
  <si>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</si>
  <si>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</si>
  <si>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</si>
  <si>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</si>
  <si>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</si>
  <si>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</si>
  <si>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</si>
  <si>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</si>
  <si>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</si>
  <si>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</si>
  <si>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</si>
  <si>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</si>
  <si>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</si>
  <si>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</si>
  <si>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</si>
  <si>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</si>
  <si>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</si>
  <si>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</si>
  <si>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</si>
  <si>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</si>
  <si>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</si>
  <si>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</si>
  <si>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</si>
  <si>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</si>
  <si>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</si>
  <si>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</si>
  <si>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</si>
  <si>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</si>
  <si>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</si>
  <si>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</si>
  <si>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</si>
  <si>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</si>
  <si>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</si>
  <si>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</si>
  <si>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</si>
  <si>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</si>
  <si>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</si>
  <si>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</si>
  <si>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</si>
  <si>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</si>
  <si>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</si>
  <si>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</si>
  <si>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</si>
  <si>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</si>
  <si>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</si>
  <si>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</si>
  <si>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</si>
  <si>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</si>
  <si>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</si>
  <si>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</si>
  <si>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</si>
  <si>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</si>
  <si>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</si>
  <si>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</si>
  <si>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</si>
  <si>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</si>
  <si>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</si>
  <si>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</si>
  <si>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</si>
  <si>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</si>
  <si>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</si>
  <si>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</si>
  <si>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</si>
  <si>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</si>
  <si>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</si>
  <si>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</si>
  <si>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</si>
  <si>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</si>
  <si>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</si>
  <si>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</si>
  <si>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</si>
  <si>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</si>
  <si>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</si>
  <si>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</si>
  <si>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</si>
  <si>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</si>
  <si>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</si>
  <si>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</si>
  <si>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</si>
  <si>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</si>
  <si>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</si>
  <si>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</si>
  <si>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</si>
  <si>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</si>
  <si>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</si>
  <si>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</si>
  <si>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</si>
  <si>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</si>
  <si>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</si>
  <si>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</si>
  <si>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</si>
  <si>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</si>
  <si>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</si>
  <si>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</si>
  <si>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</si>
  <si>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</si>
  <si>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</si>
  <si>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</si>
  <si>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</si>
  <si>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</si>
  <si>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</si>
  <si>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</si>
  <si>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</si>
  <si>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</si>
  <si>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</si>
  <si>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</si>
  <si>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</si>
  <si>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</si>
  <si>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</si>
  <si>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</si>
  <si>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</si>
  <si>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</si>
  <si>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</si>
  <si>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</si>
  <si>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</si>
  <si>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</si>
  <si>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</si>
  <si>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</si>
  <si>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</si>
  <si>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</si>
  <si>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</si>
  <si>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</si>
  <si>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</si>
  <si>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</si>
  <si>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</si>
  <si>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</si>
  <si>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</si>
  <si>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</si>
  <si>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</si>
  <si>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</si>
  <si>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</si>
  <si>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</si>
  <si>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</si>
  <si>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</si>
  <si>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</si>
  <si>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</si>
  <si>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</si>
  <si>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</si>
  <si>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</si>
  <si>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</si>
  <si>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</si>
  <si>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たかの</t>
  </si>
  <si>
    <t>たかの</t>
    <phoneticPr fontId="1"/>
  </si>
  <si>
    <t>放銃</t>
  </si>
  <si>
    <t>ロン</t>
  </si>
  <si>
    <t>52</t>
  </si>
  <si>
    <t>N</t>
  </si>
  <si>
    <t>T</t>
  </si>
  <si>
    <t>流局</t>
    <phoneticPr fontId="1"/>
  </si>
  <si>
    <t>ツモ支払</t>
  </si>
  <si>
    <t>ツモ</t>
  </si>
  <si>
    <t>*</t>
  </si>
  <si>
    <t>51</t>
  </si>
  <si>
    <t>ぱぱ</t>
  </si>
  <si>
    <t>ぱぱ</t>
    <phoneticPr fontId="1"/>
  </si>
  <si>
    <t>01</t>
  </si>
  <si>
    <t>02</t>
  </si>
  <si>
    <t>ただ</t>
  </si>
  <si>
    <t>ただ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</si>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</sst>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144</v>
      </c>
      <c r="L1" s="80"/>
      <c r="M1" s="80"/>
      <c r="N1" s="89"/>
      <c r="O1" s="81"/>
      <c r="P1" s="78" t="s">
        <v>142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だいち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たかの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145</v>
      </c>
      <c r="G4" s="9">
        <v>-3900</v>
      </c>
      <c r="H4" s="9"/>
      <c r="I4" s="55">
        <v>0</v>
      </c>
      <c r="J4" s="21">
        <f>IF(COUNTA($F4,$K4,$P4)&gt;0,J3+SUM(G4:I4),"")</f>
        <v>31100</v>
      </c>
      <c r="K4" s="8"/>
      <c r="L4" s="9"/>
      <c r="M4" s="9"/>
      <c r="N4" s="55"/>
      <c r="O4" s="21">
        <f>IF(COUNTA($F4,$K4,$P4)&gt;0,O3+SUM(L4:N4),"")</f>
        <v>35000</v>
      </c>
      <c r="P4" s="8" t="s">
        <v>146</v>
      </c>
      <c r="Q4" s="9">
        <v>3900</v>
      </c>
      <c r="R4" s="9"/>
      <c r="S4" s="55">
        <v>0</v>
      </c>
      <c r="T4" s="21">
        <f>IF(COUNTA($F4,$K4,$P4)&gt;0,T3+SUM(Q4:S4),"")</f>
        <v>38900</v>
      </c>
      <c r="U4" s="60">
        <f>IF($J4="","",ROUND(($J4-$J$3)/1000,1)+(_xlfn.RANK.AVG($J4,($J4,$O4,$T4),1)-2)*20)</f>
        <v>-23.9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23.9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30</v>
      </c>
      <c r="BU4" s="47" t="s">
        <v>84</v>
      </c>
      <c r="BV4" s="48" t="s">
        <v>147</v>
      </c>
      <c r="BW4" s="48" t="s">
        <v>85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/>
      <c r="G5" s="9"/>
      <c r="H5" s="9"/>
      <c r="I5" s="55"/>
      <c r="J5" s="21">
        <f t="shared" ref="J5:J30" si="2">IF(COUNTA($F5,$K5,$P5)&gt;0,J4+SUM(G5:I5),"")</f>
        <v>31100</v>
      </c>
      <c r="K5" s="8" t="s">
        <v>145</v>
      </c>
      <c r="L5" s="9">
        <v>-9600</v>
      </c>
      <c r="M5" s="9"/>
      <c r="N5" s="55">
        <v>0</v>
      </c>
      <c r="O5" s="21">
        <f t="shared" ref="O5:O30" si="3">IF(COUNTA($F5,$K5,$P5)&gt;0,O4+SUM(L5:N5),"")</f>
        <v>25400</v>
      </c>
      <c r="P5" s="8" t="s">
        <v>146</v>
      </c>
      <c r="Q5" s="9">
        <v>9600</v>
      </c>
      <c r="R5" s="9"/>
      <c r="S5" s="55">
        <v>0</v>
      </c>
      <c r="T5" s="21">
        <f t="shared" ref="T5:T30" si="4">IF(COUNTA($F5,$K5,$P5)&gt;0,T4+SUM(Q5:S5),"")</f>
        <v>48500</v>
      </c>
      <c r="U5" s="60">
        <f>IF($J5="","",ROUND(($J5-$J$3)/1000,1)+(_xlfn.RANK.AVG($J5,($J5,$O5,$T5),1)-2)*20)</f>
        <v>-3.9</v>
      </c>
      <c r="V5" s="61">
        <f>IF($O5="","",ROUND(($O5-$O$3)/1000,1)+(_xlfn.RANK.AVG($O5,($J5,$O5,$T5),1)-2)*20)</f>
        <v>-29.6</v>
      </c>
      <c r="W5" s="62">
        <f>IF($T5="","",ROUND(($T5-$T$3)/1000,1)+(_xlfn.RANK.AVG($T5,($J5,$O5,$T5),1)-2)*20)</f>
        <v>33.5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4</v>
      </c>
      <c r="BT5" s="36">
        <v>25</v>
      </c>
      <c r="BU5" s="47" t="s">
        <v>102</v>
      </c>
      <c r="BV5" s="48" t="s">
        <v>80</v>
      </c>
      <c r="BW5" s="48" t="s">
        <v>80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150</v>
      </c>
      <c r="G6" s="9">
        <v>-1500</v>
      </c>
      <c r="H6" s="9"/>
      <c r="I6" s="55"/>
      <c r="J6" s="21">
        <f t="shared" si="2"/>
        <v>29600</v>
      </c>
      <c r="K6" s="8" t="s">
        <v>150</v>
      </c>
      <c r="L6" s="9">
        <v>3000</v>
      </c>
      <c r="M6" s="9">
        <v>-1000</v>
      </c>
      <c r="N6" s="55"/>
      <c r="O6" s="21">
        <f t="shared" si="3"/>
        <v>27400</v>
      </c>
      <c r="P6" s="8" t="s">
        <v>150</v>
      </c>
      <c r="Q6" s="9">
        <v>-1500</v>
      </c>
      <c r="R6" s="9"/>
      <c r="S6" s="55"/>
      <c r="T6" s="21">
        <f t="shared" si="4"/>
        <v>47000</v>
      </c>
      <c r="U6" s="60">
        <f>IF($J6="","",ROUND(($J6-$J$3)/1000,1)+(_xlfn.RANK.AVG($J6,($J6,$O6,$T6),1)-2)*20)</f>
        <v>-5.4</v>
      </c>
      <c r="V6" s="61">
        <f>IF($O6="","",ROUND(($O6-$O$3)/1000,1)+(_xlfn.RANK.AVG($O6,($J6,$O6,$T6),1)-2)*20)</f>
        <v>-27.6</v>
      </c>
      <c r="W6" s="62">
        <f>IF($T6="","",ROUND(($T6-$T$3)/1000,1)+(_xlfn.RANK.AVG($T6,($J6,$O6,$T6),1)-2)*20)</f>
        <v>32</v>
      </c>
      <c r="Y6" s="8" t="s">
        <v>148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149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148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">
        <v>139</v>
      </c>
      <c r="F7" s="8" t="s">
        <v>150</v>
      </c>
      <c r="G7" s="9">
        <v>-1500</v>
      </c>
      <c r="H7" s="9"/>
      <c r="I7" s="55"/>
      <c r="J7" s="21">
        <f t="shared" si="2"/>
        <v>28100</v>
      </c>
      <c r="K7" s="8" t="s">
        <v>150</v>
      </c>
      <c r="L7" s="9">
        <v>3000</v>
      </c>
      <c r="M7" s="9">
        <v>-1000</v>
      </c>
      <c r="N7" s="55"/>
      <c r="O7" s="21">
        <f t="shared" si="3"/>
        <v>29400</v>
      </c>
      <c r="P7" s="8" t="s">
        <v>150</v>
      </c>
      <c r="Q7" s="9">
        <v>-1500</v>
      </c>
      <c r="R7" s="9"/>
      <c r="S7" s="55"/>
      <c r="T7" s="21">
        <f t="shared" si="4"/>
        <v>45500</v>
      </c>
      <c r="U7" s="60">
        <f>IF($J7="","",ROUND(($J7-$J$3)/1000,1)+(_xlfn.RANK.AVG($J7,($J7,$O7,$T7),1)-2)*20)</f>
        <v>-26.9</v>
      </c>
      <c r="V7" s="61">
        <f>IF($O7="","",ROUND(($O7-$O$3)/1000,1)+(_xlfn.RANK.AVG($O7,($J7,$O7,$T7),1)-2)*20)</f>
        <v>-5.6</v>
      </c>
      <c r="W7" s="62">
        <f>IF($T7="","",ROUND(($T7-$T$3)/1000,1)+(_xlfn.RANK.AVG($T7,($J7,$O7,$T7),1)-2)*20)</f>
        <v>30.5</v>
      </c>
      <c r="Y7" s="8" t="s">
        <v>148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149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148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3</v>
      </c>
      <c r="D8" s="18">
        <f t="shared" si="1"/>
        <v>2</v>
      </c>
      <c r="E8" s="4" t="s">
        <v>143</v>
      </c>
      <c r="F8" s="8" t="s">
        <v>151</v>
      </c>
      <c r="G8" s="9">
        <v>-4500</v>
      </c>
      <c r="H8" s="9"/>
      <c r="I8" s="55">
        <v>-1500</v>
      </c>
      <c r="J8" s="21">
        <f t="shared" si="2"/>
        <v>22100</v>
      </c>
      <c r="K8" s="8" t="s">
        <v>151</v>
      </c>
      <c r="L8" s="9">
        <v>-7500</v>
      </c>
      <c r="M8" s="9"/>
      <c r="N8" s="55">
        <v>-1500</v>
      </c>
      <c r="O8" s="21">
        <f t="shared" si="3"/>
        <v>20400</v>
      </c>
      <c r="P8" s="8" t="s">
        <v>152</v>
      </c>
      <c r="Q8" s="9">
        <v>12000</v>
      </c>
      <c r="R8" s="9">
        <v>2000</v>
      </c>
      <c r="S8" s="55">
        <v>3000</v>
      </c>
      <c r="T8" s="21">
        <f t="shared" si="4"/>
        <v>62500</v>
      </c>
      <c r="U8" s="60">
        <f>IF($J8="","",ROUND(($J8-$J$3)/1000,1)+(_xlfn.RANK.AVG($J8,($J8,$O8,$T8),1)-2)*20)</f>
        <v>-12.9</v>
      </c>
      <c r="V8" s="61">
        <f>IF($O8="","",ROUND(($O8-$O$3)/1000,1)+(_xlfn.RANK.AVG($O8,($J8,$O8,$T8),1)-2)*20)</f>
        <v>-34.6</v>
      </c>
      <c r="W8" s="62">
        <f>IF($T8="","",ROUND(($T8-$T$3)/1000,1)+(_xlfn.RANK.AVG($T8,($J8,$O8,$T8),1)-2)*20)</f>
        <v>47.5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6</v>
      </c>
      <c r="BT8" s="36" t="s">
        <v>153</v>
      </c>
      <c r="BU8" s="47" t="s">
        <v>83</v>
      </c>
      <c r="BV8" s="48" t="s">
        <v>154</v>
      </c>
      <c r="BW8" s="48" t="s">
        <v>80</v>
      </c>
      <c r="BX8" s="48" t="s">
        <v>80</v>
      </c>
      <c r="BY8" s="48" t="s">
        <v>80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141</v>
      </c>
      <c r="F9" s="8"/>
      <c r="G9" s="9"/>
      <c r="H9" s="9"/>
      <c r="I9" s="55"/>
      <c r="J9" s="21">
        <f t="shared" si="2"/>
        <v>22100</v>
      </c>
      <c r="K9" s="8" t="s">
        <v>145</v>
      </c>
      <c r="L9" s="9">
        <v>-18000</v>
      </c>
      <c r="M9" s="9">
        <v>-1000</v>
      </c>
      <c r="N9" s="55">
        <v>0</v>
      </c>
      <c r="O9" s="21">
        <f t="shared" si="3"/>
        <v>1400</v>
      </c>
      <c r="P9" s="8" t="s">
        <v>146</v>
      </c>
      <c r="Q9" s="9">
        <v>18000</v>
      </c>
      <c r="R9" s="9">
        <v>1000</v>
      </c>
      <c r="S9" s="55">
        <v>0</v>
      </c>
      <c r="T9" s="21">
        <f t="shared" si="4"/>
        <v>81500</v>
      </c>
      <c r="U9" s="60">
        <f>IF($J9="","",ROUND(($J9-$J$3)/1000,1)+(_xlfn.RANK.AVG($J9,($J9,$O9,$T9),1)-2)*20)</f>
        <v>-12.9</v>
      </c>
      <c r="V9" s="61">
        <f>IF($O9="","",ROUND(($O9-$O$3)/1000,1)+(_xlfn.RANK.AVG($O9,($J9,$O9,$T9),1)-2)*20)</f>
        <v>-53.6</v>
      </c>
      <c r="W9" s="62">
        <f>IF($T9="","",ROUND(($T9-$T$3)/1000,1)+(_xlfn.RANK.AVG($T9,($J9,$O9,$T9),1)-2)*20)</f>
        <v>66.5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6</v>
      </c>
      <c r="BT9" s="36" t="s">
        <v>153</v>
      </c>
      <c r="BU9" s="47" t="s">
        <v>107</v>
      </c>
      <c r="BV9" s="48" t="s">
        <v>80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141</v>
      </c>
      <c r="F10" s="8" t="s">
        <v>152</v>
      </c>
      <c r="G10" s="9">
        <v>16000</v>
      </c>
      <c r="H10" s="9"/>
      <c r="I10" s="55">
        <v>1000</v>
      </c>
      <c r="J10" s="21">
        <f t="shared" si="2"/>
        <v>39100</v>
      </c>
      <c r="K10" s="8" t="s">
        <v>151</v>
      </c>
      <c r="L10" s="9">
        <v>-6000</v>
      </c>
      <c r="M10" s="9"/>
      <c r="N10" s="55">
        <v>-500</v>
      </c>
      <c r="O10" s="21">
        <f t="shared" si="3"/>
        <v>-5100</v>
      </c>
      <c r="P10" s="8" t="s">
        <v>151</v>
      </c>
      <c r="Q10" s="9">
        <v>-10000</v>
      </c>
      <c r="R10" s="9"/>
      <c r="S10" s="55">
        <v>-500</v>
      </c>
      <c r="T10" s="21">
        <f t="shared" si="4"/>
        <v>71000</v>
      </c>
      <c r="U10" s="60">
        <f>IF($J10="","",ROUND(($J10-$J$3)/1000,1)+(_xlfn.RANK.AVG($J10,($J10,$O10,$T10),1)-2)*20)</f>
        <v>4.0999999999999996</v>
      </c>
      <c r="V10" s="61">
        <f>IF($O10="","",ROUND(($O10-$O$3)/1000,1)+(_xlfn.RANK.AVG($O10,($J10,$O10,$T10),1)-2)*20)</f>
        <v>-60.1</v>
      </c>
      <c r="W10" s="62">
        <f>IF($T10="","",ROUND(($T10-$T$3)/1000,1)+(_xlfn.RANK.AVG($T10,($J10,$O10,$T10),1)-2)*20)</f>
        <v>56</v>
      </c>
      <c r="Y10" s="8"/>
      <c r="Z10" s="41"/>
      <c r="AA10" s="32"/>
      <c r="AB10" s="32">
        <v>1</v>
      </c>
      <c r="AC10" s="32">
        <v>9</v>
      </c>
      <c r="AD10" s="36" t="s">
        <v>153</v>
      </c>
      <c r="AE10" s="47" t="s">
        <v>105</v>
      </c>
      <c r="AF10" s="48" t="s">
        <v>99</v>
      </c>
      <c r="AG10" s="48" t="s">
        <v>97</v>
      </c>
      <c r="AH10" s="48" t="s">
        <v>87</v>
      </c>
      <c r="AI10" s="48" t="s">
        <v>87</v>
      </c>
      <c r="AJ10" s="48" t="s">
        <v>90</v>
      </c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36B7B-79F0-4518-A6BA-DF75C577BE61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142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ぱぱ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だいち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りくと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-7700</v>
      </c>
      <c r="H4" s="9"/>
      <c r="I4" s="55">
        <v>0</v>
      </c>
      <c r="J4" s="21">
        <f>IF(COUNTA($F4,$K4,$P4)&gt;0,J3+SUM(G4:I4),"")</f>
        <v>27300</v>
      </c>
      <c r="K4" s="8" t="s">
        <v>146</v>
      </c>
      <c r="L4" s="9">
        <v>7700</v>
      </c>
      <c r="M4" s="9"/>
      <c r="N4" s="55">
        <v>0</v>
      </c>
      <c r="O4" s="21">
        <f>IF(COUNTA($F4,$K4,$P4)&gt;0,O3+SUM(L4:N4),"")</f>
        <v>42700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-27.7</v>
      </c>
      <c r="V4" s="61">
        <f>IF($O4="","",ROUND(($O4-$O$3)/1000,1)+(_xlfn.RANK.AVG($O4,($J4,$O4,$T4),1)-2)*20)</f>
        <v>27.7</v>
      </c>
      <c r="W4" s="62">
        <f>IF($T4="","",ROUND(($T4-$T$3)/1000,1)+(_xlfn.RANK.AVG($T4,($J4,$O4,$T4),1)-2)*20)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30</v>
      </c>
      <c r="AZ4" s="47" t="s">
        <v>84</v>
      </c>
      <c r="BA4" s="48" t="s">
        <v>157</v>
      </c>
      <c r="BB4" s="48" t="s">
        <v>147</v>
      </c>
      <c r="BC4" s="48" t="s">
        <v>147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155</v>
      </c>
      <c r="F5" s="8"/>
      <c r="G5" s="9"/>
      <c r="H5" s="9">
        <v>-1000</v>
      </c>
      <c r="I5" s="55"/>
      <c r="J5" s="21">
        <f t="shared" ref="J5:J30" si="2">IF(COUNTA($F5,$K5,$P5)&gt;0,J4+SUM(G5:I5),"")</f>
        <v>26300</v>
      </c>
      <c r="K5" s="8" t="s">
        <v>146</v>
      </c>
      <c r="L5" s="9">
        <v>8000</v>
      </c>
      <c r="M5" s="9">
        <v>1000</v>
      </c>
      <c r="N5" s="55">
        <v>0</v>
      </c>
      <c r="O5" s="21">
        <f t="shared" ref="O5:O30" si="3">IF(COUNTA($F5,$K5,$P5)&gt;0,O4+SUM(L5:N5),"")</f>
        <v>51700</v>
      </c>
      <c r="P5" s="8" t="s">
        <v>145</v>
      </c>
      <c r="Q5" s="9">
        <v>-8000</v>
      </c>
      <c r="R5" s="9"/>
      <c r="S5" s="55">
        <v>0</v>
      </c>
      <c r="T5" s="21">
        <f t="shared" ref="T5:T30" si="4">IF(COUNTA($F5,$K5,$P5)&gt;0,T4+SUM(Q5:S5),"")</f>
        <v>27000</v>
      </c>
      <c r="U5" s="60">
        <f>IF($J5="","",ROUND(($J5-$J$3)/1000,1)+(_xlfn.RANK.AVG($J5,($J5,$O5,$T5),1)-2)*20)</f>
        <v>-28.7</v>
      </c>
      <c r="V5" s="61">
        <f>IF($O5="","",ROUND(($O5-$O$3)/1000,1)+(_xlfn.RANK.AVG($O5,($J5,$O5,$T5),1)-2)*20)</f>
        <v>36.700000000000003</v>
      </c>
      <c r="W5" s="62">
        <f>IF($T5="","",ROUND(($T5-$T$3)/1000,1)+(_xlfn.RANK.AVG($T5,($J5,$O5,$T5),1)-2)*20)</f>
        <v>-8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5</v>
      </c>
      <c r="AY5" s="36" t="s">
        <v>153</v>
      </c>
      <c r="AZ5" s="47" t="s">
        <v>105</v>
      </c>
      <c r="BA5" s="48" t="s">
        <v>87</v>
      </c>
      <c r="BB5" s="48" t="s">
        <v>87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151</v>
      </c>
      <c r="G6" s="9">
        <v>-6000</v>
      </c>
      <c r="H6" s="9"/>
      <c r="I6" s="55">
        <v>0</v>
      </c>
      <c r="J6" s="21">
        <f t="shared" si="2"/>
        <v>20300</v>
      </c>
      <c r="K6" s="8" t="s">
        <v>152</v>
      </c>
      <c r="L6" s="9">
        <v>12000</v>
      </c>
      <c r="M6" s="9"/>
      <c r="N6" s="55">
        <v>0</v>
      </c>
      <c r="O6" s="21">
        <f t="shared" si="3"/>
        <v>63700</v>
      </c>
      <c r="P6" s="8" t="s">
        <v>151</v>
      </c>
      <c r="Q6" s="9">
        <v>-6000</v>
      </c>
      <c r="R6" s="9"/>
      <c r="S6" s="55">
        <v>0</v>
      </c>
      <c r="T6" s="21">
        <f t="shared" si="4"/>
        <v>21000</v>
      </c>
      <c r="U6" s="60">
        <f>IF($J6="","",ROUND(($J6-$J$3)/1000,1)+(_xlfn.RANK.AVG($J6,($J6,$O6,$T6),1)-2)*20)</f>
        <v>-34.700000000000003</v>
      </c>
      <c r="V6" s="61">
        <f>IF($O6="","",ROUND(($O6-$O$3)/1000,1)+(_xlfn.RANK.AVG($O6,($J6,$O6,$T6),1)-2)*20)</f>
        <v>48.7</v>
      </c>
      <c r="W6" s="62">
        <f>IF($T6="","",ROUND(($T6-$T$3)/1000,1)+(_xlfn.RANK.AVG($T6,($J6,$O6,$T6),1)-2)*20)</f>
        <v>-14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153</v>
      </c>
      <c r="AZ6" s="47" t="s">
        <v>83</v>
      </c>
      <c r="BA6" s="48" t="s">
        <v>157</v>
      </c>
      <c r="BB6" s="48" t="s">
        <v>84</v>
      </c>
      <c r="BC6" s="48" t="s">
        <v>80</v>
      </c>
      <c r="BD6" s="48" t="s">
        <v>81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152</v>
      </c>
      <c r="G7" s="9">
        <v>7700</v>
      </c>
      <c r="H7" s="9"/>
      <c r="I7" s="55">
        <v>1000</v>
      </c>
      <c r="J7" s="21">
        <f t="shared" si="2"/>
        <v>29000</v>
      </c>
      <c r="K7" s="8" t="s">
        <v>151</v>
      </c>
      <c r="L7" s="9">
        <v>-4800</v>
      </c>
      <c r="M7" s="9"/>
      <c r="N7" s="55">
        <v>-500</v>
      </c>
      <c r="O7" s="21">
        <f t="shared" si="3"/>
        <v>58400</v>
      </c>
      <c r="P7" s="8" t="s">
        <v>151</v>
      </c>
      <c r="Q7" s="9">
        <v>-2900</v>
      </c>
      <c r="R7" s="9"/>
      <c r="S7" s="55">
        <v>-500</v>
      </c>
      <c r="T7" s="21">
        <f t="shared" si="4"/>
        <v>17600</v>
      </c>
      <c r="U7" s="60">
        <f>IF($J7="","",ROUND(($J7-$J$3)/1000,1)+(_xlfn.RANK.AVG($J7,($J7,$O7,$T7),1)-2)*20)</f>
        <v>-6</v>
      </c>
      <c r="V7" s="61">
        <f>IF($O7="","",ROUND(($O7-$O$3)/1000,1)+(_xlfn.RANK.AVG($O7,($J7,$O7,$T7),1)-2)*20)</f>
        <v>43.4</v>
      </c>
      <c r="W7" s="62">
        <f>IF($T7="","",ROUND(($T7-$T$3)/1000,1)+(_xlfn.RANK.AVG($T7,($J7,$O7,$T7),1)-2)*20)</f>
        <v>-37.4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157</v>
      </c>
      <c r="AF7" s="48" t="s">
        <v>83</v>
      </c>
      <c r="AG7" s="48" t="s">
        <v>88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151</v>
      </c>
      <c r="G8" s="9">
        <v>-3000</v>
      </c>
      <c r="H8" s="9"/>
      <c r="I8" s="55">
        <v>0</v>
      </c>
      <c r="J8" s="21">
        <f t="shared" si="2"/>
        <v>26000</v>
      </c>
      <c r="K8" s="8" t="s">
        <v>152</v>
      </c>
      <c r="L8" s="9">
        <v>8000</v>
      </c>
      <c r="M8" s="9">
        <v>1000</v>
      </c>
      <c r="N8" s="55">
        <v>0</v>
      </c>
      <c r="O8" s="21">
        <f t="shared" si="3"/>
        <v>67400</v>
      </c>
      <c r="P8" s="8" t="s">
        <v>151</v>
      </c>
      <c r="Q8" s="9">
        <v>-5000</v>
      </c>
      <c r="R8" s="9">
        <v>-1000</v>
      </c>
      <c r="S8" s="55">
        <v>0</v>
      </c>
      <c r="T8" s="21">
        <f t="shared" si="4"/>
        <v>11600</v>
      </c>
      <c r="U8" s="60">
        <f>IF($J8="","",ROUND(($J8-$J$3)/1000,1)+(_xlfn.RANK.AVG($J8,($J8,$O8,$T8),1)-2)*20)</f>
        <v>-9</v>
      </c>
      <c r="V8" s="61">
        <f>IF($O8="","",ROUND(($O8-$O$3)/1000,1)+(_xlfn.RANK.AVG($O8,($J8,$O8,$T8),1)-2)*20)</f>
        <v>52.4</v>
      </c>
      <c r="W8" s="62">
        <f>IF($T8="","",ROUND(($T8-$T$3)/1000,1)+(_xlfn.RANK.AVG($T8,($J8,$O8,$T8),1)-2)*20)</f>
        <v>-43.4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40</v>
      </c>
      <c r="AZ8" s="47" t="s">
        <v>105</v>
      </c>
      <c r="BA8" s="48" t="s">
        <v>87</v>
      </c>
      <c r="BB8" s="48" t="s">
        <v>87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155</v>
      </c>
      <c r="F9" s="8"/>
      <c r="G9" s="9"/>
      <c r="H9" s="9"/>
      <c r="I9" s="55"/>
      <c r="J9" s="21">
        <f t="shared" si="2"/>
        <v>26000</v>
      </c>
      <c r="K9" s="8" t="s">
        <v>146</v>
      </c>
      <c r="L9" s="9">
        <v>2600</v>
      </c>
      <c r="M9" s="9"/>
      <c r="N9" s="55">
        <v>0</v>
      </c>
      <c r="O9" s="21">
        <f t="shared" si="3"/>
        <v>70000</v>
      </c>
      <c r="P9" s="8" t="s">
        <v>145</v>
      </c>
      <c r="Q9" s="9">
        <v>-2600</v>
      </c>
      <c r="R9" s="9"/>
      <c r="S9" s="55">
        <v>0</v>
      </c>
      <c r="T9" s="21">
        <f t="shared" si="4"/>
        <v>9000</v>
      </c>
      <c r="U9" s="60">
        <f>IF($J9="","",ROUND(($J9-$J$3)/1000,1)+(_xlfn.RANK.AVG($J9,($J9,$O9,$T9),1)-2)*20)</f>
        <v>-9</v>
      </c>
      <c r="V9" s="61">
        <f>IF($O9="","",ROUND(($O9-$O$3)/1000,1)+(_xlfn.RANK.AVG($O9,($J9,$O9,$T9),1)-2)*20)</f>
        <v>55</v>
      </c>
      <c r="W9" s="62">
        <f>IF($T9="","",ROUND(($T9-$T$3)/1000,1)+(_xlfn.RANK.AVG($T9,($J9,$O9,$T9),1)-2)*20)</f>
        <v>-46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2</v>
      </c>
      <c r="AY9" s="36">
        <v>40</v>
      </c>
      <c r="AZ9" s="47" t="s">
        <v>157</v>
      </c>
      <c r="BA9" s="48" t="s">
        <v>158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139</v>
      </c>
      <c r="F10" s="8" t="s">
        <v>151</v>
      </c>
      <c r="G10" s="9">
        <v>-12000</v>
      </c>
      <c r="H10" s="9"/>
      <c r="I10" s="55">
        <v>0</v>
      </c>
      <c r="J10" s="21">
        <f t="shared" si="2"/>
        <v>14000</v>
      </c>
      <c r="K10" s="8" t="s">
        <v>152</v>
      </c>
      <c r="L10" s="9">
        <v>24000</v>
      </c>
      <c r="M10" s="9"/>
      <c r="N10" s="55">
        <v>0</v>
      </c>
      <c r="O10" s="21">
        <f t="shared" si="3"/>
        <v>94000</v>
      </c>
      <c r="P10" s="8" t="s">
        <v>151</v>
      </c>
      <c r="Q10" s="9">
        <v>-12000</v>
      </c>
      <c r="R10" s="9"/>
      <c r="S10" s="55">
        <v>0</v>
      </c>
      <c r="T10" s="21">
        <f t="shared" si="4"/>
        <v>-3000</v>
      </c>
      <c r="U10" s="60">
        <f>IF($J10="","",ROUND(($J10-$J$3)/1000,1)+(_xlfn.RANK.AVG($J10,($J10,$O10,$T10),1)-2)*20)</f>
        <v>-21</v>
      </c>
      <c r="V10" s="61">
        <f>IF($O10="","",ROUND(($O10-$O$3)/1000,1)+(_xlfn.RANK.AVG($O10,($J10,$O10,$T10),1)-2)*20)</f>
        <v>79</v>
      </c>
      <c r="W10" s="62">
        <f>IF($T10="","",ROUND(($T10-$T$3)/1000,1)+(_xlfn.RANK.AVG($T10,($J10,$O10,$T10),1)-2)*20)</f>
        <v>-58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8</v>
      </c>
      <c r="AY10" s="36" t="s">
        <v>153</v>
      </c>
      <c r="AZ10" s="47" t="s">
        <v>157</v>
      </c>
      <c r="BA10" s="48" t="s">
        <v>83</v>
      </c>
      <c r="BB10" s="48" t="s">
        <v>158</v>
      </c>
      <c r="BC10" s="48" t="s">
        <v>84</v>
      </c>
      <c r="BD10" s="48" t="s">
        <v>86</v>
      </c>
      <c r="BE10" s="48" t="s">
        <v>80</v>
      </c>
      <c r="BF10" s="48" t="s">
        <v>81</v>
      </c>
      <c r="BG10" s="48" t="s">
        <v>81</v>
      </c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6680B1B5-DB88-4536-89F6-32676097515E}">
      <formula1>$U$2:$W$2</formula1>
    </dataValidation>
    <dataValidation type="list" showInputMessage="1" showErrorMessage="1" sqref="K4:K30 P4:P30 F4:F30" xr:uid="{F1CF6422-0AC6-4561-8EB6-2F1D0558656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7BD94-5624-4095-8F9F-13D4633980D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160</v>
      </c>
      <c r="L1" s="80"/>
      <c r="M1" s="80"/>
      <c r="N1" s="89"/>
      <c r="O1" s="81"/>
      <c r="P1" s="78" t="s">
        <v>142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だいち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ただ</v>
      </c>
      <c r="W2" s="16" t="str">
        <f>$P$1</f>
        <v>だいち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/>
      <c r="G4" s="9"/>
      <c r="H4" s="9"/>
      <c r="I4" s="55"/>
      <c r="J4" s="21">
        <f>IF(COUNTA($F4,$K4,$P4)&gt;0,J3+SUM(G4:I4),"")</f>
        <v>35000</v>
      </c>
      <c r="K4" s="8" t="s">
        <v>145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 t="s">
        <v>146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-32</v>
      </c>
      <c r="W4" s="62">
        <f>IF($T4="","",ROUND(($T4-$T$3)/1000,1)+(_xlfn.RANK.AVG($T4,($J4,$O4,$T4),1)-2)*20)</f>
        <v>32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153</v>
      </c>
      <c r="BU4" s="47" t="s">
        <v>154</v>
      </c>
      <c r="BV4" s="48" t="s">
        <v>158</v>
      </c>
      <c r="BW4" s="48" t="s">
        <v>84</v>
      </c>
      <c r="BX4" s="48" t="s">
        <v>81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152</v>
      </c>
      <c r="G5" s="9">
        <v>12000</v>
      </c>
      <c r="H5" s="9"/>
      <c r="I5" s="55">
        <v>1000</v>
      </c>
      <c r="J5" s="21">
        <f t="shared" ref="J5:J30" si="2">IF(COUNTA($F5,$K5,$P5)&gt;0,J4+SUM(G5:I5),"")</f>
        <v>48000</v>
      </c>
      <c r="K5" s="8" t="s">
        <v>151</v>
      </c>
      <c r="L5" s="9">
        <v>-4500</v>
      </c>
      <c r="M5" s="9"/>
      <c r="N5" s="55">
        <v>-500</v>
      </c>
      <c r="O5" s="21">
        <f t="shared" ref="O5:O30" si="3">IF(COUNTA($F5,$K5,$P5)&gt;0,O4+SUM(L5:N5),"")</f>
        <v>18000</v>
      </c>
      <c r="P5" s="8" t="s">
        <v>151</v>
      </c>
      <c r="Q5" s="9">
        <v>-7500</v>
      </c>
      <c r="R5" s="9"/>
      <c r="S5" s="55">
        <v>-500</v>
      </c>
      <c r="T5" s="21">
        <f t="shared" ref="T5:T30" si="4">IF(COUNTA($F5,$K5,$P5)&gt;0,T4+SUM(Q5:S5),"")</f>
        <v>39000</v>
      </c>
      <c r="U5" s="60">
        <f>IF($J5="","",ROUND(($J5-$J$3)/1000,1)+(_xlfn.RANK.AVG($J5,($J5,$O5,$T5),1)-2)*20)</f>
        <v>33</v>
      </c>
      <c r="V5" s="61">
        <f>IF($O5="","",ROUND(($O5-$O$3)/1000,1)+(_xlfn.RANK.AVG($O5,($J5,$O5,$T5),1)-2)*20)</f>
        <v>-37</v>
      </c>
      <c r="W5" s="62">
        <f>IF($T5="","",ROUND(($T5-$T$3)/1000,1)+(_xlfn.RANK.AVG($T5,($J5,$O5,$T5),1)-2)*20)</f>
        <v>4</v>
      </c>
      <c r="Y5" s="8"/>
      <c r="Z5" s="41"/>
      <c r="AA5" s="32"/>
      <c r="AB5" s="32"/>
      <c r="AC5" s="32">
        <v>6</v>
      </c>
      <c r="AD5" s="36" t="s">
        <v>153</v>
      </c>
      <c r="AE5" s="47" t="s">
        <v>83</v>
      </c>
      <c r="AF5" s="48" t="s">
        <v>80</v>
      </c>
      <c r="AG5" s="48" t="s">
        <v>80</v>
      </c>
      <c r="AH5" s="48" t="s">
        <v>105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151</v>
      </c>
      <c r="G6" s="9">
        <v>-10000</v>
      </c>
      <c r="H6" s="9"/>
      <c r="I6" s="55">
        <v>0</v>
      </c>
      <c r="J6" s="21">
        <f t="shared" si="2"/>
        <v>38000</v>
      </c>
      <c r="K6" s="8" t="s">
        <v>151</v>
      </c>
      <c r="L6" s="9">
        <v>-6000</v>
      </c>
      <c r="M6" s="9"/>
      <c r="N6" s="55">
        <v>0</v>
      </c>
      <c r="O6" s="21">
        <f t="shared" si="3"/>
        <v>12000</v>
      </c>
      <c r="P6" s="8" t="s">
        <v>152</v>
      </c>
      <c r="Q6" s="9">
        <v>16000</v>
      </c>
      <c r="R6" s="9"/>
      <c r="S6" s="55">
        <v>0</v>
      </c>
      <c r="T6" s="21">
        <f t="shared" si="4"/>
        <v>55000</v>
      </c>
      <c r="U6" s="60">
        <f>IF($J6="","",ROUND(($J6-$J$3)/1000,1)+(_xlfn.RANK.AVG($J6,($J6,$O6,$T6),1)-2)*20)</f>
        <v>3</v>
      </c>
      <c r="V6" s="61">
        <f>IF($O6="","",ROUND(($O6-$O$3)/1000,1)+(_xlfn.RANK.AVG($O6,($J6,$O6,$T6),1)-2)*20)</f>
        <v>-43</v>
      </c>
      <c r="W6" s="62">
        <f>IF($T6="","",ROUND(($T6-$T$3)/1000,1)+(_xlfn.RANK.AVG($T6,($J6,$O6,$T6),1)-2)*20)</f>
        <v>40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8</v>
      </c>
      <c r="BT6" s="36" t="s">
        <v>153</v>
      </c>
      <c r="BU6" s="47" t="s">
        <v>157</v>
      </c>
      <c r="BV6" s="48" t="s">
        <v>83</v>
      </c>
      <c r="BW6" s="48" t="s">
        <v>158</v>
      </c>
      <c r="BX6" s="48" t="s">
        <v>105</v>
      </c>
      <c r="BY6" s="48" t="s">
        <v>87</v>
      </c>
      <c r="BZ6" s="48" t="s">
        <v>85</v>
      </c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159</v>
      </c>
      <c r="F7" s="8" t="s">
        <v>145</v>
      </c>
      <c r="G7" s="9">
        <v>-12000</v>
      </c>
      <c r="H7" s="9"/>
      <c r="I7" s="55">
        <v>0</v>
      </c>
      <c r="J7" s="21">
        <f t="shared" si="2"/>
        <v>26000</v>
      </c>
      <c r="K7" s="8"/>
      <c r="L7" s="9"/>
      <c r="M7" s="9"/>
      <c r="N7" s="55"/>
      <c r="O7" s="21">
        <f t="shared" si="3"/>
        <v>12000</v>
      </c>
      <c r="P7" s="8" t="s">
        <v>146</v>
      </c>
      <c r="Q7" s="9">
        <v>12000</v>
      </c>
      <c r="R7" s="9"/>
      <c r="S7" s="55">
        <v>0</v>
      </c>
      <c r="T7" s="21">
        <f t="shared" si="4"/>
        <v>67000</v>
      </c>
      <c r="U7" s="60">
        <f>IF($J7="","",ROUND(($J7-$J$3)/1000,1)+(_xlfn.RANK.AVG($J7,($J7,$O7,$T7),1)-2)*20)</f>
        <v>-9</v>
      </c>
      <c r="V7" s="61">
        <f>IF($O7="","",ROUND(($O7-$O$3)/1000,1)+(_xlfn.RANK.AVG($O7,($J7,$O7,$T7),1)-2)*20)</f>
        <v>-43</v>
      </c>
      <c r="W7" s="62">
        <f>IF($T7="","",ROUND(($T7-$T$3)/1000,1)+(_xlfn.RANK.AVG($T7,($J7,$O7,$T7),1)-2)*20)</f>
        <v>52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7</v>
      </c>
      <c r="BT7" s="36" t="s">
        <v>153</v>
      </c>
      <c r="BU7" s="47" t="s">
        <v>105</v>
      </c>
      <c r="BV7" s="48" t="s">
        <v>147</v>
      </c>
      <c r="BW7" s="48" t="s">
        <v>87</v>
      </c>
      <c r="BX7" s="48" t="s">
        <v>97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151</v>
      </c>
      <c r="G8" s="9">
        <v>-24000</v>
      </c>
      <c r="H8" s="9">
        <v>-1000</v>
      </c>
      <c r="I8" s="55">
        <v>0</v>
      </c>
      <c r="J8" s="21">
        <f t="shared" si="2"/>
        <v>1000</v>
      </c>
      <c r="K8" s="8" t="s">
        <v>151</v>
      </c>
      <c r="L8" s="9">
        <v>-24000</v>
      </c>
      <c r="M8" s="9"/>
      <c r="N8" s="55">
        <v>0</v>
      </c>
      <c r="O8" s="21">
        <f t="shared" si="3"/>
        <v>-12000</v>
      </c>
      <c r="P8" s="8" t="s">
        <v>152</v>
      </c>
      <c r="Q8" s="9">
        <v>48000</v>
      </c>
      <c r="R8" s="9">
        <v>1000</v>
      </c>
      <c r="S8" s="55">
        <v>0</v>
      </c>
      <c r="T8" s="21">
        <f t="shared" si="4"/>
        <v>116000</v>
      </c>
      <c r="U8" s="60">
        <f>IF($J8="","",ROUND(($J8-$J$3)/1000,1)+(_xlfn.RANK.AVG($J8,($J8,$O8,$T8),1)-2)*20)</f>
        <v>-34</v>
      </c>
      <c r="V8" s="61">
        <f>IF($O8="","",ROUND(($O8-$O$3)/1000,1)+(_xlfn.RANK.AVG($O8,($J8,$O8,$T8),1)-2)*20)</f>
        <v>-67</v>
      </c>
      <c r="W8" s="62">
        <f>IF($T8="","",ROUND(($T8-$T$3)/1000,1)+(_xlfn.RANK.AVG($T8,($J8,$O8,$T8),1)-2)*20)</f>
        <v>101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13</v>
      </c>
      <c r="BT8" s="36" t="s">
        <v>153</v>
      </c>
      <c r="BU8" s="47" t="s">
        <v>109</v>
      </c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BF7D2391-8AA5-44AD-BDAC-CB45DBEBF4D3}">
      <formula1>"ロン,ツモ,放銃,ツモ支払,流局,チョンボ"</formula1>
    </dataValidation>
    <dataValidation type="list" allowBlank="1" showInputMessage="1" showErrorMessage="1" sqref="E4:E30" xr:uid="{EF7A6C8D-5960-4DFD-BB8E-CF6DBB4A989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5BC4F-9383-46D7-892D-2B3080E2ED2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160</v>
      </c>
      <c r="L1" s="80"/>
      <c r="M1" s="80"/>
      <c r="N1" s="89"/>
      <c r="O1" s="81"/>
      <c r="P1" s="78" t="s">
        <v>142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だいち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ただ</v>
      </c>
      <c r="W2" s="16" t="str">
        <f>$P$1</f>
        <v>だいち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146</v>
      </c>
      <c r="G4" s="9">
        <v>8000</v>
      </c>
      <c r="H4" s="9">
        <v>1000</v>
      </c>
      <c r="I4" s="55">
        <v>0</v>
      </c>
      <c r="J4" s="21">
        <f>IF(COUNTA($F4,$K4,$P4)&gt;0,J3+SUM(G4:I4),"")</f>
        <v>44000</v>
      </c>
      <c r="K4" s="8"/>
      <c r="L4" s="9"/>
      <c r="M4" s="9"/>
      <c r="N4" s="55"/>
      <c r="O4" s="21">
        <f>IF(COUNTA($F4,$K4,$P4)&gt;0,O3+SUM(L4:N4),"")</f>
        <v>35000</v>
      </c>
      <c r="P4" s="8" t="s">
        <v>145</v>
      </c>
      <c r="Q4" s="9">
        <v>-8000</v>
      </c>
      <c r="R4" s="9">
        <v>-1000</v>
      </c>
      <c r="S4" s="55">
        <v>0</v>
      </c>
      <c r="T4" s="21">
        <f>IF(COUNTA($F4,$K4,$P4)&gt;0,T3+SUM(Q4:S4),"")</f>
        <v>26000</v>
      </c>
      <c r="U4" s="60">
        <f>IF($J4="","",ROUND(($J4-$J$3)/1000,1)+(_xlfn.RANK.AVG($J4,($J4,$O4,$T4),1)-2)*20)</f>
        <v>29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-29</v>
      </c>
      <c r="Y4" s="8"/>
      <c r="Z4" s="41"/>
      <c r="AA4" s="32"/>
      <c r="AB4" s="32">
        <v>1</v>
      </c>
      <c r="AC4" s="32">
        <v>4</v>
      </c>
      <c r="AD4" s="36">
        <v>40</v>
      </c>
      <c r="AE4" s="47" t="s">
        <v>87</v>
      </c>
      <c r="AF4" s="48" t="s">
        <v>80</v>
      </c>
      <c r="AG4" s="48" t="s">
        <v>80</v>
      </c>
      <c r="AH4" s="48" t="s">
        <v>147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151</v>
      </c>
      <c r="G5" s="9">
        <v>-1700</v>
      </c>
      <c r="H5" s="9">
        <v>-1000</v>
      </c>
      <c r="I5" s="55">
        <v>0</v>
      </c>
      <c r="J5" s="21">
        <f t="shared" ref="J5:J30" si="2">IF(COUNTA($F5,$K5,$P5)&gt;0,J4+SUM(G5:I5),"")</f>
        <v>41300</v>
      </c>
      <c r="K5" s="8" t="s">
        <v>151</v>
      </c>
      <c r="L5" s="9">
        <v>-1100</v>
      </c>
      <c r="M5" s="9"/>
      <c r="N5" s="55">
        <v>0</v>
      </c>
      <c r="O5" s="21">
        <f t="shared" ref="O5:O30" si="3">IF(COUNTA($F5,$K5,$P5)&gt;0,O4+SUM(L5:N5),"")</f>
        <v>33900</v>
      </c>
      <c r="P5" s="8" t="s">
        <v>152</v>
      </c>
      <c r="Q5" s="9">
        <v>2800</v>
      </c>
      <c r="R5" s="9">
        <v>1000</v>
      </c>
      <c r="S5" s="55">
        <v>0</v>
      </c>
      <c r="T5" s="21">
        <f t="shared" ref="T5:T30" si="4">IF(COUNTA($F5,$K5,$P5)&gt;0,T4+SUM(Q5:S5),"")</f>
        <v>29800</v>
      </c>
      <c r="U5" s="60">
        <f>IF($J5="","",ROUND(($J5-$J$3)/1000,1)+(_xlfn.RANK.AVG($J5,($J5,$O5,$T5),1)-2)*20)</f>
        <v>26.3</v>
      </c>
      <c r="V5" s="61">
        <f>IF($O5="","",ROUND(($O5-$O$3)/1000,1)+(_xlfn.RANK.AVG($O5,($J5,$O5,$T5),1)-2)*20)</f>
        <v>-1.1000000000000001</v>
      </c>
      <c r="W5" s="62">
        <f>IF($T5="","",ROUND(($T5-$T$3)/1000,1)+(_xlfn.RANK.AVG($T5,($J5,$O5,$T5),1)-2)*20)</f>
        <v>-25.2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2</v>
      </c>
      <c r="BT5" s="36">
        <v>40</v>
      </c>
      <c r="BU5" s="47" t="s">
        <v>83</v>
      </c>
      <c r="BV5" s="48" t="s">
        <v>87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159</v>
      </c>
      <c r="F6" s="8" t="s">
        <v>145</v>
      </c>
      <c r="G6" s="9">
        <v>-18000</v>
      </c>
      <c r="H6" s="9"/>
      <c r="I6" s="55">
        <v>0</v>
      </c>
      <c r="J6" s="21">
        <f t="shared" si="2"/>
        <v>23300</v>
      </c>
      <c r="K6" s="8" t="s">
        <v>146</v>
      </c>
      <c r="L6" s="9">
        <v>18000</v>
      </c>
      <c r="M6" s="9"/>
      <c r="N6" s="55">
        <v>0</v>
      </c>
      <c r="O6" s="21">
        <f t="shared" si="3"/>
        <v>51900</v>
      </c>
      <c r="P6" s="8"/>
      <c r="Q6" s="9"/>
      <c r="R6" s="9"/>
      <c r="S6" s="55"/>
      <c r="T6" s="21">
        <f t="shared" si="4"/>
        <v>29800</v>
      </c>
      <c r="U6" s="60">
        <f>IF($J6="","",ROUND(($J6-$J$3)/1000,1)+(_xlfn.RANK.AVG($J6,($J6,$O6,$T6),1)-2)*20)</f>
        <v>-31.7</v>
      </c>
      <c r="V6" s="61">
        <f>IF($O6="","",ROUND(($O6-$O$3)/1000,1)+(_xlfn.RANK.AVG($O6,($J6,$O6,$T6),1)-2)*20)</f>
        <v>36.9</v>
      </c>
      <c r="W6" s="62">
        <f>IF($T6="","",ROUND(($T6-$T$3)/1000,1)+(_xlfn.RANK.AVG($T6,($J6,$O6,$T6),1)-2)*20)</f>
        <v>-5.2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7</v>
      </c>
      <c r="AY6" s="36" t="s">
        <v>153</v>
      </c>
      <c r="AZ6" s="47" t="s">
        <v>157</v>
      </c>
      <c r="BA6" s="48" t="s">
        <v>87</v>
      </c>
      <c r="BB6" s="48" t="s">
        <v>87</v>
      </c>
      <c r="BC6" s="48" t="s">
        <v>147</v>
      </c>
      <c r="BD6" s="48" t="s">
        <v>81</v>
      </c>
      <c r="BE6" s="48" t="s">
        <v>81</v>
      </c>
      <c r="BF6" s="48" t="s">
        <v>81</v>
      </c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159</v>
      </c>
      <c r="F7" s="8" t="s">
        <v>152</v>
      </c>
      <c r="G7" s="9">
        <v>8000</v>
      </c>
      <c r="H7" s="9"/>
      <c r="I7" s="55">
        <v>1000</v>
      </c>
      <c r="J7" s="21">
        <f t="shared" si="2"/>
        <v>32300</v>
      </c>
      <c r="K7" s="8" t="s">
        <v>151</v>
      </c>
      <c r="L7" s="9">
        <v>-5000</v>
      </c>
      <c r="M7" s="9"/>
      <c r="N7" s="55">
        <v>-500</v>
      </c>
      <c r="O7" s="21">
        <f t="shared" si="3"/>
        <v>46400</v>
      </c>
      <c r="P7" s="8" t="s">
        <v>151</v>
      </c>
      <c r="Q7" s="9">
        <v>-3000</v>
      </c>
      <c r="R7" s="9"/>
      <c r="S7" s="55">
        <v>-500</v>
      </c>
      <c r="T7" s="21">
        <f t="shared" si="4"/>
        <v>26300</v>
      </c>
      <c r="U7" s="60">
        <f>IF($J7="","",ROUND(($J7-$J$3)/1000,1)+(_xlfn.RANK.AVG($J7,($J7,$O7,$T7),1)-2)*20)</f>
        <v>-2.7</v>
      </c>
      <c r="V7" s="61">
        <f>IF($O7="","",ROUND(($O7-$O$3)/1000,1)+(_xlfn.RANK.AVG($O7,($J7,$O7,$T7),1)-2)*20)</f>
        <v>31.4</v>
      </c>
      <c r="W7" s="62">
        <f>IF($T7="","",ROUND(($T7-$T$3)/1000,1)+(_xlfn.RANK.AVG($T7,($J7,$O7,$T7),1)-2)*20)</f>
        <v>-28.7</v>
      </c>
      <c r="Y7" s="8"/>
      <c r="Z7" s="41"/>
      <c r="AA7" s="32">
        <v>1</v>
      </c>
      <c r="AB7" s="32"/>
      <c r="AC7" s="32">
        <v>5</v>
      </c>
      <c r="AD7" s="36" t="s">
        <v>153</v>
      </c>
      <c r="AE7" s="47" t="s">
        <v>157</v>
      </c>
      <c r="AF7" s="48" t="s">
        <v>83</v>
      </c>
      <c r="AG7" s="48" t="s">
        <v>84</v>
      </c>
      <c r="AH7" s="48" t="s">
        <v>81</v>
      </c>
      <c r="AI7" s="48" t="s">
        <v>81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151</v>
      </c>
      <c r="G8" s="9">
        <v>-6000</v>
      </c>
      <c r="H8" s="9"/>
      <c r="I8" s="55">
        <v>0</v>
      </c>
      <c r="J8" s="21">
        <f t="shared" si="2"/>
        <v>26300</v>
      </c>
      <c r="K8" s="8" t="s">
        <v>151</v>
      </c>
      <c r="L8" s="9">
        <v>-6000</v>
      </c>
      <c r="M8" s="9"/>
      <c r="N8" s="55">
        <v>0</v>
      </c>
      <c r="O8" s="21">
        <f t="shared" si="3"/>
        <v>40400</v>
      </c>
      <c r="P8" s="8" t="s">
        <v>152</v>
      </c>
      <c r="Q8" s="9">
        <v>12000</v>
      </c>
      <c r="R8" s="9"/>
      <c r="S8" s="55">
        <v>0</v>
      </c>
      <c r="T8" s="21">
        <f t="shared" si="4"/>
        <v>38300</v>
      </c>
      <c r="U8" s="60">
        <f>IF($J8="","",ROUND(($J8-$J$3)/1000,1)+(_xlfn.RANK.AVG($J8,($J8,$O8,$T8),1)-2)*20)</f>
        <v>-28.7</v>
      </c>
      <c r="V8" s="61">
        <f>IF($O8="","",ROUND(($O8-$O$3)/1000,1)+(_xlfn.RANK.AVG($O8,($J8,$O8,$T8),1)-2)*20)</f>
        <v>25.4</v>
      </c>
      <c r="W8" s="62">
        <f>IF($T8="","",ROUND(($T8-$T$3)/1000,1)+(_xlfn.RANK.AVG($T8,($J8,$O8,$T8),1)-2)*20)</f>
        <v>3.3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153</v>
      </c>
      <c r="BU8" s="47" t="s">
        <v>157</v>
      </c>
      <c r="BV8" s="48" t="s">
        <v>83</v>
      </c>
      <c r="BW8" s="48" t="s">
        <v>147</v>
      </c>
      <c r="BX8" s="48" t="s">
        <v>87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141</v>
      </c>
      <c r="F9" s="8" t="s">
        <v>151</v>
      </c>
      <c r="G9" s="9">
        <v>-5800</v>
      </c>
      <c r="H9" s="9"/>
      <c r="I9" s="55">
        <v>-500</v>
      </c>
      <c r="J9" s="21">
        <f t="shared" si="2"/>
        <v>20000</v>
      </c>
      <c r="K9" s="8" t="s">
        <v>151</v>
      </c>
      <c r="L9" s="9">
        <v>-5800</v>
      </c>
      <c r="M9" s="9"/>
      <c r="N9" s="55">
        <v>-500</v>
      </c>
      <c r="O9" s="21">
        <f t="shared" si="3"/>
        <v>34100</v>
      </c>
      <c r="P9" s="8" t="s">
        <v>152</v>
      </c>
      <c r="Q9" s="9">
        <v>11600</v>
      </c>
      <c r="R9" s="9"/>
      <c r="S9" s="55">
        <v>1000</v>
      </c>
      <c r="T9" s="21">
        <f t="shared" si="4"/>
        <v>50900</v>
      </c>
      <c r="U9" s="60">
        <f>IF($J9="","",ROUND(($J9-$J$3)/1000,1)+(_xlfn.RANK.AVG($J9,($J9,$O9,$T9),1)-2)*20)</f>
        <v>-35</v>
      </c>
      <c r="V9" s="61">
        <f>IF($O9="","",ROUND(($O9-$O$3)/1000,1)+(_xlfn.RANK.AVG($O9,($J9,$O9,$T9),1)-2)*20)</f>
        <v>-0.9</v>
      </c>
      <c r="W9" s="62">
        <f>IF($T9="","",ROUND(($T9-$T$3)/1000,1)+(_xlfn.RANK.AVG($T9,($J9,$O9,$T9),1)-2)*20)</f>
        <v>35.9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30</v>
      </c>
      <c r="BU9" s="47" t="s">
        <v>157</v>
      </c>
      <c r="BV9" s="48" t="s">
        <v>83</v>
      </c>
      <c r="BW9" s="48" t="s">
        <v>80</v>
      </c>
      <c r="BX9" s="48" t="s">
        <v>81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141</v>
      </c>
      <c r="F10" s="8" t="s">
        <v>161</v>
      </c>
      <c r="G10" s="9">
        <v>3000</v>
      </c>
      <c r="H10" s="9">
        <v>-1000</v>
      </c>
      <c r="I10" s="55"/>
      <c r="J10" s="21">
        <f t="shared" si="2"/>
        <v>22000</v>
      </c>
      <c r="K10" s="8" t="s">
        <v>161</v>
      </c>
      <c r="L10" s="9">
        <v>-8000</v>
      </c>
      <c r="M10" s="9"/>
      <c r="N10" s="55"/>
      <c r="O10" s="21">
        <f t="shared" si="3"/>
        <v>26100</v>
      </c>
      <c r="P10" s="8" t="s">
        <v>161</v>
      </c>
      <c r="Q10" s="9">
        <v>5000</v>
      </c>
      <c r="R10" s="9"/>
      <c r="S10" s="55"/>
      <c r="T10" s="21">
        <f t="shared" si="4"/>
        <v>55900</v>
      </c>
      <c r="U10" s="60">
        <f>IF($J10="","",ROUND(($J10-$J$3)/1000,1)+(_xlfn.RANK.AVG($J10,($J10,$O10,$T10),1)-2)*20)</f>
        <v>-33</v>
      </c>
      <c r="V10" s="61">
        <f>IF($O10="","",ROUND(($O10-$O$3)/1000,1)+(_xlfn.RANK.AVG($O10,($J10,$O10,$T10),1)-2)*20)</f>
        <v>-8.9</v>
      </c>
      <c r="W10" s="62">
        <f>IF($T10="","",ROUND(($T10-$T$3)/1000,1)+(_xlfn.RANK.AVG($T10,($J10,$O10,$T10),1)-2)*20)</f>
        <v>40.9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>
        <v>1</v>
      </c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1</v>
      </c>
      <c r="E11" s="4" t="s">
        <v>141</v>
      </c>
      <c r="F11" s="8"/>
      <c r="G11" s="9"/>
      <c r="H11" s="9"/>
      <c r="I11" s="55"/>
      <c r="J11" s="21">
        <f t="shared" si="2"/>
        <v>22000</v>
      </c>
      <c r="K11" s="8" t="s">
        <v>145</v>
      </c>
      <c r="L11" s="9">
        <v>-48000</v>
      </c>
      <c r="M11" s="9">
        <v>-1000</v>
      </c>
      <c r="N11" s="55">
        <v>-2000</v>
      </c>
      <c r="O11" s="21">
        <f t="shared" si="3"/>
        <v>-24900</v>
      </c>
      <c r="P11" s="8" t="s">
        <v>146</v>
      </c>
      <c r="Q11" s="9">
        <v>48000</v>
      </c>
      <c r="R11" s="9">
        <v>2000</v>
      </c>
      <c r="S11" s="55">
        <v>2000</v>
      </c>
      <c r="T11" s="21">
        <f t="shared" si="4"/>
        <v>107900</v>
      </c>
      <c r="U11" s="60">
        <f>IF($J11="","",ROUND(($J11-$J$3)/1000,1)+(_xlfn.RANK.AVG($J11,($J11,$O11,$T11),1)-2)*20)</f>
        <v>-13</v>
      </c>
      <c r="V11" s="61">
        <f>IF($O11="","",ROUND(($O11-$O$3)/1000,1)+(_xlfn.RANK.AVG($O11,($J11,$O11,$T11),1)-2)*20)</f>
        <v>-79.900000000000006</v>
      </c>
      <c r="W11" s="62">
        <f>IF($T11="","",ROUND(($T11-$T$3)/1000,1)+(_xlfn.RANK.AVG($T11,($J11,$O11,$T11),1)-2)*20)</f>
        <v>92.9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13</v>
      </c>
      <c r="BT11" s="36" t="s">
        <v>153</v>
      </c>
      <c r="BU11" s="47" t="s">
        <v>108</v>
      </c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3693EE74-BB8F-4161-A00A-860E7C43C20B}">
      <formula1>$U$2:$W$2</formula1>
    </dataValidation>
    <dataValidation type="list" showInputMessage="1" showErrorMessage="1" sqref="K4:K30 P4:P30 F4:F30" xr:uid="{C21E5D4B-7FD4-4DCD-A43E-5EFDF7A931A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6852A-CE30-4D93-BC35-493DC93E4C5B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160</v>
      </c>
      <c r="L1" s="80"/>
      <c r="M1" s="80"/>
      <c r="N1" s="89"/>
      <c r="O1" s="81"/>
      <c r="P1" s="78" t="s">
        <v>142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だいち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ただ</v>
      </c>
      <c r="W2" s="16" t="str">
        <f>$P$1</f>
        <v>だいち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159</v>
      </c>
      <c r="F4" s="8" t="s">
        <v>150</v>
      </c>
      <c r="G4" s="9">
        <v>1500</v>
      </c>
      <c r="H4" s="9"/>
      <c r="I4" s="55"/>
      <c r="J4" s="21">
        <f>IF(COUNTA($F4,$K4,$P4)&gt;0,J3+SUM(G4:I4),"")</f>
        <v>36500</v>
      </c>
      <c r="K4" s="8" t="s">
        <v>150</v>
      </c>
      <c r="L4" s="9">
        <v>1500</v>
      </c>
      <c r="M4" s="9">
        <v>-1000</v>
      </c>
      <c r="N4" s="55"/>
      <c r="O4" s="21">
        <f>IF(COUNTA($F4,$K4,$P4)&gt;0,O3+SUM(L4:N4),"")</f>
        <v>35500</v>
      </c>
      <c r="P4" s="8" t="s">
        <v>150</v>
      </c>
      <c r="Q4" s="9">
        <v>-3000</v>
      </c>
      <c r="R4" s="9"/>
      <c r="S4" s="55"/>
      <c r="T4" s="21">
        <f>IF(COUNTA($F4,$K4,$P4)&gt;0,T3+SUM(Q4:S4),"")</f>
        <v>32000</v>
      </c>
      <c r="U4" s="60">
        <f>IF($J4="","",ROUND(($J4-$J$3)/1000,1)+(_xlfn.RANK.AVG($J4,($J4,$O4,$T4),1)-2)*20)</f>
        <v>21.5</v>
      </c>
      <c r="V4" s="61">
        <f>IF($O4="","",ROUND(($O4-$O$3)/1000,1)+(_xlfn.RANK.AVG($O4,($J4,$O4,$T4),1)-2)*20)</f>
        <v>0.5</v>
      </c>
      <c r="W4" s="62">
        <f>IF($T4="","",ROUND(($T4-$T$3)/1000,1)+(_xlfn.RANK.AVG($T4,($J4,$O4,$T4),1)-2)*20)</f>
        <v>-23</v>
      </c>
      <c r="Y4" s="8" t="s">
        <v>149</v>
      </c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149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148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159</v>
      </c>
      <c r="F5" s="8" t="s">
        <v>151</v>
      </c>
      <c r="G5" s="9">
        <v>-800</v>
      </c>
      <c r="H5" s="9"/>
      <c r="I5" s="55">
        <v>-500</v>
      </c>
      <c r="J5" s="21">
        <f t="shared" ref="J5:J30" si="2">IF(COUNTA($F5,$K5,$P5)&gt;0,J4+SUM(G5:I5),"")</f>
        <v>35200</v>
      </c>
      <c r="K5" s="8" t="s">
        <v>151</v>
      </c>
      <c r="L5" s="9">
        <v>-1300</v>
      </c>
      <c r="M5" s="9"/>
      <c r="N5" s="55">
        <v>-500</v>
      </c>
      <c r="O5" s="21">
        <f t="shared" ref="O5:O30" si="3">IF(COUNTA($F5,$K5,$P5)&gt;0,O4+SUM(L5:N5),"")</f>
        <v>33700</v>
      </c>
      <c r="P5" s="8" t="s">
        <v>152</v>
      </c>
      <c r="Q5" s="9">
        <v>2100</v>
      </c>
      <c r="R5" s="9">
        <v>1000</v>
      </c>
      <c r="S5" s="55">
        <v>1000</v>
      </c>
      <c r="T5" s="21">
        <f t="shared" ref="T5:T30" si="4">IF(COUNTA($F5,$K5,$P5)&gt;0,T4+SUM(Q5:S5),"")</f>
        <v>36100</v>
      </c>
      <c r="U5" s="60">
        <f>IF($J5="","",ROUND(($J5-$J$3)/1000,1)+(_xlfn.RANK.AVG($J5,($J5,$O5,$T5),1)-2)*20)</f>
        <v>0.2</v>
      </c>
      <c r="V5" s="61">
        <f>IF($O5="","",ROUND(($O5-$O$3)/1000,1)+(_xlfn.RANK.AVG($O5,($J5,$O5,$T5),1)-2)*20)</f>
        <v>-21.3</v>
      </c>
      <c r="W5" s="62">
        <f>IF($T5="","",ROUND(($T5-$T$3)/1000,1)+(_xlfn.RANK.AVG($T5,($J5,$O5,$T5),1)-2)*20)</f>
        <v>21.1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80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/>
      <c r="G6" s="9"/>
      <c r="H6" s="9"/>
      <c r="I6" s="55"/>
      <c r="J6" s="21">
        <f t="shared" si="2"/>
        <v>35200</v>
      </c>
      <c r="K6" s="8" t="s">
        <v>145</v>
      </c>
      <c r="L6" s="9">
        <v>-9600</v>
      </c>
      <c r="M6" s="9"/>
      <c r="N6" s="55">
        <v>0</v>
      </c>
      <c r="O6" s="21">
        <f t="shared" si="3"/>
        <v>24100</v>
      </c>
      <c r="P6" s="8" t="s">
        <v>146</v>
      </c>
      <c r="Q6" s="9">
        <v>9600</v>
      </c>
      <c r="R6" s="9"/>
      <c r="S6" s="55">
        <v>0</v>
      </c>
      <c r="T6" s="21">
        <f t="shared" si="4"/>
        <v>45700</v>
      </c>
      <c r="U6" s="60">
        <f>IF($J6="","",ROUND(($J6-$J$3)/1000,1)+(_xlfn.RANK.AVG($J6,($J6,$O6,$T6),1)-2)*20)</f>
        <v>0.2</v>
      </c>
      <c r="V6" s="61">
        <f>IF($O6="","",ROUND(($O6-$O$3)/1000,1)+(_xlfn.RANK.AVG($O6,($J6,$O6,$T6),1)-2)*20)</f>
        <v>-30.9</v>
      </c>
      <c r="W6" s="62">
        <f>IF($T6="","",ROUND(($T6-$T$3)/1000,1)+(_xlfn.RANK.AVG($T6,($J6,$O6,$T6),1)-2)*20)</f>
        <v>30.7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25</v>
      </c>
      <c r="BU6" s="47" t="s">
        <v>157</v>
      </c>
      <c r="BV6" s="48" t="s">
        <v>102</v>
      </c>
      <c r="BW6" s="48" t="s">
        <v>147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141</v>
      </c>
      <c r="F7" s="8" t="s">
        <v>151</v>
      </c>
      <c r="G7" s="9">
        <v>-1500</v>
      </c>
      <c r="H7" s="9"/>
      <c r="I7" s="55">
        <v>-500</v>
      </c>
      <c r="J7" s="21">
        <f t="shared" si="2"/>
        <v>33200</v>
      </c>
      <c r="K7" s="8" t="s">
        <v>152</v>
      </c>
      <c r="L7" s="9">
        <v>4000</v>
      </c>
      <c r="M7" s="9">
        <v>1000</v>
      </c>
      <c r="N7" s="55">
        <v>1000</v>
      </c>
      <c r="O7" s="21">
        <f t="shared" si="3"/>
        <v>30100</v>
      </c>
      <c r="P7" s="8" t="s">
        <v>151</v>
      </c>
      <c r="Q7" s="9">
        <v>-2500</v>
      </c>
      <c r="R7" s="9">
        <v>-1000</v>
      </c>
      <c r="S7" s="55">
        <v>-500</v>
      </c>
      <c r="T7" s="21">
        <f t="shared" si="4"/>
        <v>41700</v>
      </c>
      <c r="U7" s="60">
        <f>IF($J7="","",ROUND(($J7-$J$3)/1000,1)+(_xlfn.RANK.AVG($J7,($J7,$O7,$T7),1)-2)*20)</f>
        <v>-1.8</v>
      </c>
      <c r="V7" s="61">
        <f>IF($O7="","",ROUND(($O7-$O$3)/1000,1)+(_xlfn.RANK.AVG($O7,($J7,$O7,$T7),1)-2)*20)</f>
        <v>-24.9</v>
      </c>
      <c r="W7" s="62">
        <f>IF($T7="","",ROUND(($T7-$T$3)/1000,1)+(_xlfn.RANK.AVG($T7,($J7,$O7,$T7),1)-2)*20)</f>
        <v>26.7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3</v>
      </c>
      <c r="AY7" s="36">
        <v>30</v>
      </c>
      <c r="AZ7" s="47" t="s">
        <v>157</v>
      </c>
      <c r="BA7" s="48" t="s">
        <v>83</v>
      </c>
      <c r="BB7" s="48" t="s">
        <v>147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151</v>
      </c>
      <c r="G8" s="9">
        <v>-10000</v>
      </c>
      <c r="H8" s="9"/>
      <c r="I8" s="55">
        <v>0</v>
      </c>
      <c r="J8" s="21">
        <f t="shared" si="2"/>
        <v>23200</v>
      </c>
      <c r="K8" s="8" t="s">
        <v>152</v>
      </c>
      <c r="L8" s="9">
        <v>16000</v>
      </c>
      <c r="M8" s="9"/>
      <c r="N8" s="55">
        <v>0</v>
      </c>
      <c r="O8" s="21">
        <f t="shared" si="3"/>
        <v>46100</v>
      </c>
      <c r="P8" s="8" t="s">
        <v>151</v>
      </c>
      <c r="Q8" s="9">
        <v>-6000</v>
      </c>
      <c r="R8" s="9"/>
      <c r="S8" s="55">
        <v>0</v>
      </c>
      <c r="T8" s="21">
        <f t="shared" si="4"/>
        <v>35700</v>
      </c>
      <c r="U8" s="60">
        <f>IF($J8="","",ROUND(($J8-$J$3)/1000,1)+(_xlfn.RANK.AVG($J8,($J8,$O8,$T8),1)-2)*20)</f>
        <v>-31.8</v>
      </c>
      <c r="V8" s="61">
        <f>IF($O8="","",ROUND(($O8-$O$3)/1000,1)+(_xlfn.RANK.AVG($O8,($J8,$O8,$T8),1)-2)*20)</f>
        <v>31.1</v>
      </c>
      <c r="W8" s="62">
        <f>IF($T8="","",ROUND(($T8-$T$3)/1000,1)+(_xlfn.RANK.AVG($T8,($J8,$O8,$T8),1)-2)*20)</f>
        <v>0.7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8</v>
      </c>
      <c r="AY8" s="36" t="s">
        <v>153</v>
      </c>
      <c r="AZ8" s="47" t="s">
        <v>157</v>
      </c>
      <c r="BA8" s="48" t="s">
        <v>83</v>
      </c>
      <c r="BB8" s="48" t="s">
        <v>104</v>
      </c>
      <c r="BC8" s="48" t="s">
        <v>81</v>
      </c>
      <c r="BD8" s="48" t="s">
        <v>81</v>
      </c>
      <c r="BE8" s="48" t="s">
        <v>80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159</v>
      </c>
      <c r="F9" s="8" t="s">
        <v>146</v>
      </c>
      <c r="G9" s="9">
        <v>12000</v>
      </c>
      <c r="H9" s="9"/>
      <c r="I9" s="55">
        <v>0</v>
      </c>
      <c r="J9" s="21">
        <f t="shared" si="2"/>
        <v>35200</v>
      </c>
      <c r="K9" s="8" t="s">
        <v>145</v>
      </c>
      <c r="L9" s="9">
        <v>-12000</v>
      </c>
      <c r="M9" s="9"/>
      <c r="N9" s="55">
        <v>0</v>
      </c>
      <c r="O9" s="21">
        <f t="shared" si="3"/>
        <v>34100</v>
      </c>
      <c r="P9" s="8"/>
      <c r="Q9" s="9"/>
      <c r="R9" s="9"/>
      <c r="S9" s="55"/>
      <c r="T9" s="21">
        <f t="shared" si="4"/>
        <v>35700</v>
      </c>
      <c r="U9" s="60">
        <f>IF($J9="","",ROUND(($J9-$J$3)/1000,1)+(_xlfn.RANK.AVG($J9,($J9,$O9,$T9),1)-2)*20)</f>
        <v>0.2</v>
      </c>
      <c r="V9" s="61">
        <f>IF($O9="","",ROUND(($O9-$O$3)/1000,1)+(_xlfn.RANK.AVG($O9,($J9,$O9,$T9),1)-2)*20)</f>
        <v>-20.9</v>
      </c>
      <c r="W9" s="62">
        <f>IF($T9="","",ROUND(($T9-$T$3)/1000,1)+(_xlfn.RANK.AVG($T9,($J9,$O9,$T9),1)-2)*20)</f>
        <v>20.7</v>
      </c>
      <c r="Y9" s="8"/>
      <c r="Z9" s="41"/>
      <c r="AA9" s="32">
        <v>1</v>
      </c>
      <c r="AB9" s="32"/>
      <c r="AC9" s="32">
        <v>6</v>
      </c>
      <c r="AD9" s="36" t="s">
        <v>153</v>
      </c>
      <c r="AE9" s="47" t="s">
        <v>157</v>
      </c>
      <c r="AF9" s="48" t="s">
        <v>158</v>
      </c>
      <c r="AG9" s="48" t="s">
        <v>80</v>
      </c>
      <c r="AH9" s="48" t="s">
        <v>80</v>
      </c>
      <c r="AI9" s="48" t="s">
        <v>81</v>
      </c>
      <c r="AJ9" s="48" t="s">
        <v>147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/>
      <c r="G10" s="9"/>
      <c r="H10" s="9"/>
      <c r="I10" s="55"/>
      <c r="J10" s="21">
        <f t="shared" si="2"/>
        <v>35200</v>
      </c>
      <c r="K10" s="8" t="s">
        <v>146</v>
      </c>
      <c r="L10" s="9">
        <v>8000</v>
      </c>
      <c r="M10" s="9">
        <v>1000</v>
      </c>
      <c r="N10" s="55">
        <v>0</v>
      </c>
      <c r="O10" s="21">
        <f t="shared" si="3"/>
        <v>43100</v>
      </c>
      <c r="P10" s="8" t="s">
        <v>145</v>
      </c>
      <c r="Q10" s="9">
        <v>-8000</v>
      </c>
      <c r="R10" s="9">
        <v>-1000</v>
      </c>
      <c r="S10" s="55">
        <v>0</v>
      </c>
      <c r="T10" s="21">
        <f t="shared" si="4"/>
        <v>26700</v>
      </c>
      <c r="U10" s="60">
        <f>IF($J10="","",ROUND(($J10-$J$3)/1000,1)+(_xlfn.RANK.AVG($J10,($J10,$O10,$T10),1)-2)*20)</f>
        <v>0.2</v>
      </c>
      <c r="V10" s="61">
        <f>IF($O10="","",ROUND(($O10-$O$3)/1000,1)+(_xlfn.RANK.AVG($O10,($J10,$O10,$T10),1)-2)*20)</f>
        <v>28.1</v>
      </c>
      <c r="W10" s="62">
        <f>IF($T10="","",ROUND(($T10-$T$3)/1000,1)+(_xlfn.RANK.AVG($T10,($J10,$O10,$T10),1)-2)*20)</f>
        <v>-28.3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70</v>
      </c>
      <c r="AZ10" s="47" t="s">
        <v>157</v>
      </c>
      <c r="BA10" s="48" t="s">
        <v>80</v>
      </c>
      <c r="BB10" s="48" t="s">
        <v>80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139</v>
      </c>
      <c r="F11" s="8" t="s">
        <v>151</v>
      </c>
      <c r="G11" s="9">
        <v>-3300</v>
      </c>
      <c r="H11" s="9"/>
      <c r="I11" s="55">
        <v>0</v>
      </c>
      <c r="J11" s="21">
        <f t="shared" si="2"/>
        <v>31900</v>
      </c>
      <c r="K11" s="8" t="s">
        <v>152</v>
      </c>
      <c r="L11" s="9">
        <v>5300</v>
      </c>
      <c r="M11" s="9"/>
      <c r="N11" s="55">
        <v>0</v>
      </c>
      <c r="O11" s="21">
        <f t="shared" si="3"/>
        <v>48400</v>
      </c>
      <c r="P11" s="8" t="s">
        <v>151</v>
      </c>
      <c r="Q11" s="9">
        <v>-2000</v>
      </c>
      <c r="R11" s="9"/>
      <c r="S11" s="55">
        <v>0</v>
      </c>
      <c r="T11" s="21">
        <f t="shared" si="4"/>
        <v>24700</v>
      </c>
      <c r="U11" s="60">
        <f>IF($J11="","",ROUND(($J11-$J$3)/1000,1)+(_xlfn.RANK.AVG($J11,($J11,$O11,$T11),1)-2)*20)</f>
        <v>-3.1</v>
      </c>
      <c r="V11" s="61">
        <f>IF($O11="","",ROUND(($O11-$O$3)/1000,1)+(_xlfn.RANK.AVG($O11,($J11,$O11,$T11),1)-2)*20)</f>
        <v>33.4</v>
      </c>
      <c r="W11" s="62">
        <f>IF($T11="","",ROUND(($T11-$T$3)/1000,1)+(_xlfn.RANK.AVG($T11,($J11,$O11,$T11),1)-2)*20)</f>
        <v>-30.3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4</v>
      </c>
      <c r="AY11" s="36">
        <v>20</v>
      </c>
      <c r="AZ11" s="47" t="s">
        <v>83</v>
      </c>
      <c r="BA11" s="48" t="s">
        <v>84</v>
      </c>
      <c r="BB11" s="48" t="s">
        <v>80</v>
      </c>
      <c r="BC11" s="48" t="s">
        <v>80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F86983BF-E95C-4B72-9991-DB16E960D4AB}">
      <formula1>"ロン,ツモ,放銃,ツモ支払,流局,チョンボ"</formula1>
    </dataValidation>
    <dataValidation type="list" allowBlank="1" showInputMessage="1" showErrorMessage="1" sqref="E4:E30" xr:uid="{3B345B3F-390A-42C8-899A-20E53D6EB07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9F698-0022-4880-BE50-4FECD1681EED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160</v>
      </c>
      <c r="L1" s="80"/>
      <c r="M1" s="80"/>
      <c r="N1" s="89"/>
      <c r="O1" s="81"/>
      <c r="P1" s="78" t="s">
        <v>142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だいち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ただ</v>
      </c>
      <c r="W2" s="16" t="str">
        <f>$P$1</f>
        <v>だいち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159</v>
      </c>
      <c r="F4" s="8" t="s">
        <v>146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145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28</v>
      </c>
      <c r="V4" s="61">
        <f>IF($O4="","",ROUND(($O4-$O$3)/1000,1)+(_xlfn.RANK.AVG($O4,($J4,$O4,$T4),1)-2)*20)</f>
        <v>-28</v>
      </c>
      <c r="W4" s="62">
        <f>IF($T4="","",ROUND(($T4-$T$3)/1000,1)+(_xlfn.RANK.AVG($T4,($J4,$O4,$T4),1)-2)*20)</f>
        <v>0</v>
      </c>
      <c r="Y4" s="8"/>
      <c r="Z4" s="41"/>
      <c r="AA4" s="32">
        <v>1</v>
      </c>
      <c r="AB4" s="32"/>
      <c r="AC4" s="32">
        <v>4</v>
      </c>
      <c r="AD4" s="36">
        <v>40</v>
      </c>
      <c r="AE4" s="47" t="s">
        <v>157</v>
      </c>
      <c r="AF4" s="48" t="s">
        <v>158</v>
      </c>
      <c r="AG4" s="48" t="s">
        <v>147</v>
      </c>
      <c r="AH4" s="48" t="s">
        <v>87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151</v>
      </c>
      <c r="G5" s="9">
        <v>-3000</v>
      </c>
      <c r="H5" s="9">
        <v>-1000</v>
      </c>
      <c r="I5" s="55">
        <v>0</v>
      </c>
      <c r="J5" s="21">
        <f t="shared" ref="J5:J30" si="2">IF(COUNTA($F5,$K5,$P5)&gt;0,J4+SUM(G5:I5),"")</f>
        <v>39000</v>
      </c>
      <c r="K5" s="8" t="s">
        <v>152</v>
      </c>
      <c r="L5" s="9">
        <v>8000</v>
      </c>
      <c r="M5" s="9">
        <v>1000</v>
      </c>
      <c r="N5" s="55">
        <v>0</v>
      </c>
      <c r="O5" s="21">
        <f t="shared" ref="O5:O30" si="3">IF(COUNTA($F5,$K5,$P5)&gt;0,O4+SUM(L5:N5),"")</f>
        <v>36000</v>
      </c>
      <c r="P5" s="8" t="s">
        <v>151</v>
      </c>
      <c r="Q5" s="9">
        <v>-5000</v>
      </c>
      <c r="R5" s="9"/>
      <c r="S5" s="55">
        <v>0</v>
      </c>
      <c r="T5" s="21">
        <f t="shared" ref="T5:T30" si="4">IF(COUNTA($F5,$K5,$P5)&gt;0,T4+SUM(Q5:S5),"")</f>
        <v>30000</v>
      </c>
      <c r="U5" s="60">
        <f>IF($J5="","",ROUND(($J5-$J$3)/1000,1)+(_xlfn.RANK.AVG($J5,($J5,$O5,$T5),1)-2)*20)</f>
        <v>24</v>
      </c>
      <c r="V5" s="61">
        <f>IF($O5="","",ROUND(($O5-$O$3)/1000,1)+(_xlfn.RANK.AVG($O5,($J5,$O5,$T5),1)-2)*20)</f>
        <v>1</v>
      </c>
      <c r="W5" s="62">
        <f>IF($T5="","",ROUND(($T5-$T$3)/1000,1)+(_xlfn.RANK.AVG($T5,($J5,$O5,$T5),1)-2)*20)</f>
        <v>-25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153</v>
      </c>
      <c r="AZ5" s="47" t="s">
        <v>157</v>
      </c>
      <c r="BA5" s="48" t="s">
        <v>83</v>
      </c>
      <c r="BB5" s="48" t="s">
        <v>85</v>
      </c>
      <c r="BC5" s="48" t="s">
        <v>87</v>
      </c>
      <c r="BD5" s="48" t="s">
        <v>80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151</v>
      </c>
      <c r="G6" s="9">
        <v>-4800</v>
      </c>
      <c r="H6" s="9">
        <v>-1000</v>
      </c>
      <c r="I6" s="55">
        <v>0</v>
      </c>
      <c r="J6" s="21">
        <f t="shared" si="2"/>
        <v>33200</v>
      </c>
      <c r="K6" s="8" t="s">
        <v>151</v>
      </c>
      <c r="L6" s="9">
        <v>-2900</v>
      </c>
      <c r="M6" s="9"/>
      <c r="N6" s="55">
        <v>0</v>
      </c>
      <c r="O6" s="21">
        <f t="shared" si="3"/>
        <v>33100</v>
      </c>
      <c r="P6" s="8" t="s">
        <v>152</v>
      </c>
      <c r="Q6" s="9">
        <v>7700</v>
      </c>
      <c r="R6" s="9">
        <v>1000</v>
      </c>
      <c r="S6" s="55">
        <v>0</v>
      </c>
      <c r="T6" s="21">
        <f t="shared" si="4"/>
        <v>38700</v>
      </c>
      <c r="U6" s="60">
        <f>IF($J6="","",ROUND(($J6-$J$3)/1000,1)+(_xlfn.RANK.AVG($J6,($J6,$O6,$T6),1)-2)*20)</f>
        <v>-1.8</v>
      </c>
      <c r="V6" s="61">
        <f>IF($O6="","",ROUND(($O6-$O$3)/1000,1)+(_xlfn.RANK.AVG($O6,($J6,$O6,$T6),1)-2)*20)</f>
        <v>-21.9</v>
      </c>
      <c r="W6" s="62">
        <f>IF($T6="","",ROUND(($T6-$T$3)/1000,1)+(_xlfn.RANK.AVG($T6,($J6,$O6,$T6),1)-2)*20)</f>
        <v>23.7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30</v>
      </c>
      <c r="BU6" s="47" t="s">
        <v>157</v>
      </c>
      <c r="BV6" s="48" t="s">
        <v>83</v>
      </c>
      <c r="BW6" s="48" t="s">
        <v>80</v>
      </c>
      <c r="BX6" s="48" t="s">
        <v>81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159</v>
      </c>
      <c r="F7" s="8" t="s">
        <v>146</v>
      </c>
      <c r="G7" s="9">
        <v>2000</v>
      </c>
      <c r="H7" s="9"/>
      <c r="I7" s="55">
        <v>0</v>
      </c>
      <c r="J7" s="21">
        <f t="shared" si="2"/>
        <v>35200</v>
      </c>
      <c r="K7" s="8"/>
      <c r="L7" s="9"/>
      <c r="M7" s="9"/>
      <c r="N7" s="55"/>
      <c r="O7" s="21">
        <f t="shared" si="3"/>
        <v>33100</v>
      </c>
      <c r="P7" s="8" t="s">
        <v>145</v>
      </c>
      <c r="Q7" s="9">
        <v>-2000</v>
      </c>
      <c r="R7" s="9"/>
      <c r="S7" s="55">
        <v>0</v>
      </c>
      <c r="T7" s="21">
        <f t="shared" si="4"/>
        <v>36700</v>
      </c>
      <c r="U7" s="60">
        <f>IF($J7="","",ROUND(($J7-$J$3)/1000,1)+(_xlfn.RANK.AVG($J7,($J7,$O7,$T7),1)-2)*20)</f>
        <v>0.2</v>
      </c>
      <c r="V7" s="61">
        <f>IF($O7="","",ROUND(($O7-$O$3)/1000,1)+(_xlfn.RANK.AVG($O7,($J7,$O7,$T7),1)-2)*20)</f>
        <v>-21.9</v>
      </c>
      <c r="W7" s="62">
        <f>IF($T7="","",ROUND(($T7-$T$3)/1000,1)+(_xlfn.RANK.AVG($T7,($J7,$O7,$T7),1)-2)*20)</f>
        <v>21.7</v>
      </c>
      <c r="Y7" s="8"/>
      <c r="Z7" s="41"/>
      <c r="AA7" s="32">
        <v>1</v>
      </c>
      <c r="AB7" s="32"/>
      <c r="AC7" s="32">
        <v>2</v>
      </c>
      <c r="AD7" s="36">
        <v>30</v>
      </c>
      <c r="AE7" s="47" t="s">
        <v>157</v>
      </c>
      <c r="AF7" s="48" t="s">
        <v>84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146</v>
      </c>
      <c r="G8" s="9">
        <v>5200</v>
      </c>
      <c r="H8" s="9"/>
      <c r="I8" s="55">
        <v>0</v>
      </c>
      <c r="J8" s="21">
        <f t="shared" si="2"/>
        <v>40400</v>
      </c>
      <c r="K8" s="8" t="s">
        <v>145</v>
      </c>
      <c r="L8" s="9">
        <v>-5200</v>
      </c>
      <c r="M8" s="9"/>
      <c r="N8" s="55">
        <v>0</v>
      </c>
      <c r="O8" s="21">
        <f t="shared" si="3"/>
        <v>27900</v>
      </c>
      <c r="P8" s="8"/>
      <c r="Q8" s="9"/>
      <c r="R8" s="9"/>
      <c r="S8" s="55"/>
      <c r="T8" s="21">
        <f t="shared" si="4"/>
        <v>36700</v>
      </c>
      <c r="U8" s="60">
        <f>IF($J8="","",ROUND(($J8-$J$3)/1000,1)+(_xlfn.RANK.AVG($J8,($J8,$O8,$T8),1)-2)*20)</f>
        <v>25.4</v>
      </c>
      <c r="V8" s="61">
        <f>IF($O8="","",ROUND(($O8-$O$3)/1000,1)+(_xlfn.RANK.AVG($O8,($J8,$O8,$T8),1)-2)*20)</f>
        <v>-27.1</v>
      </c>
      <c r="W8" s="62">
        <f>IF($T8="","",ROUND(($T8-$T$3)/1000,1)+(_xlfn.RANK.AVG($T8,($J8,$O8,$T8),1)-2)*20)</f>
        <v>1.7</v>
      </c>
      <c r="Y8" s="8"/>
      <c r="Z8" s="41"/>
      <c r="AA8" s="32">
        <v>1</v>
      </c>
      <c r="AB8" s="32"/>
      <c r="AC8" s="32">
        <v>3</v>
      </c>
      <c r="AD8" s="36">
        <v>40</v>
      </c>
      <c r="AE8" s="47" t="s">
        <v>157</v>
      </c>
      <c r="AF8" s="48" t="s">
        <v>87</v>
      </c>
      <c r="AG8" s="48" t="s">
        <v>85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139</v>
      </c>
      <c r="F9" s="8"/>
      <c r="G9" s="9"/>
      <c r="H9" s="9"/>
      <c r="I9" s="55"/>
      <c r="J9" s="21">
        <f t="shared" si="2"/>
        <v>40400</v>
      </c>
      <c r="K9" s="8" t="s">
        <v>145</v>
      </c>
      <c r="L9" s="9">
        <v>-7700</v>
      </c>
      <c r="M9" s="9"/>
      <c r="N9" s="55">
        <v>0</v>
      </c>
      <c r="O9" s="21">
        <f t="shared" si="3"/>
        <v>20200</v>
      </c>
      <c r="P9" s="8" t="s">
        <v>146</v>
      </c>
      <c r="Q9" s="9">
        <v>7700</v>
      </c>
      <c r="R9" s="9"/>
      <c r="S9" s="55">
        <v>0</v>
      </c>
      <c r="T9" s="21">
        <f t="shared" si="4"/>
        <v>44400</v>
      </c>
      <c r="U9" s="60">
        <f>IF($J9="","",ROUND(($J9-$J$3)/1000,1)+(_xlfn.RANK.AVG($J9,($J9,$O9,$T9),1)-2)*20)</f>
        <v>5.4</v>
      </c>
      <c r="V9" s="61">
        <f>IF($O9="","",ROUND(($O9-$O$3)/1000,1)+(_xlfn.RANK.AVG($O9,($J9,$O9,$T9),1)-2)*20)</f>
        <v>-34.799999999999997</v>
      </c>
      <c r="W9" s="62">
        <f>IF($T9="","",ROUND(($T9-$T$3)/1000,1)+(_xlfn.RANK.AVG($T9,($J9,$O9,$T9),1)-2)*20)</f>
        <v>29.4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4</v>
      </c>
      <c r="BT9" s="36">
        <v>30</v>
      </c>
      <c r="BU9" s="47" t="s">
        <v>105</v>
      </c>
      <c r="BV9" s="48" t="s">
        <v>87</v>
      </c>
      <c r="BW9" s="48" t="s">
        <v>147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5FDD22B0-EF09-4907-A15F-C6BCAC298AA9}">
      <formula1>$U$2:$W$2</formula1>
    </dataValidation>
    <dataValidation type="list" showInputMessage="1" showErrorMessage="1" sqref="K4:K30 P4:P30 F4:F30" xr:uid="{EF4BB6D5-BAB0-4A7B-9EAF-DA41A4B78E9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2019-04-20T16:14:22Z</dcterms:modified>
</cp:coreProperties>
</file>