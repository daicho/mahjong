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559589B5-9436-4B55-A91C-9B840B1987D2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D13" i="19"/>
  <c r="C13" i="19"/>
  <c r="D12" i="19"/>
  <c r="C12" i="19"/>
  <c r="D11" i="19"/>
  <c r="D10" i="19"/>
  <c r="C10" i="19"/>
  <c r="C11" i="19" s="1"/>
  <c r="D9" i="19"/>
  <c r="C9" i="19"/>
  <c r="D8" i="19"/>
  <c r="D6" i="19"/>
  <c r="D7" i="19" s="1"/>
  <c r="C6" i="19"/>
  <c r="C7" i="19" s="1"/>
  <c r="C8" i="19" s="1"/>
  <c r="O5" i="19"/>
  <c r="J5" i="19"/>
  <c r="D5" i="19"/>
  <c r="C5" i="19"/>
  <c r="B5" i="19"/>
  <c r="B6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 s="1"/>
  <c r="T13" i="18"/>
  <c r="O13" i="18"/>
  <c r="J13" i="18"/>
  <c r="D13" i="18"/>
  <c r="C13" i="18"/>
  <c r="B13" i="18"/>
  <c r="A13" i="18" s="1"/>
  <c r="D12" i="18"/>
  <c r="C12" i="18"/>
  <c r="D11" i="18"/>
  <c r="C11" i="18"/>
  <c r="D10" i="18"/>
  <c r="C10" i="18"/>
  <c r="D9" i="18"/>
  <c r="D8" i="18"/>
  <c r="C8" i="18"/>
  <c r="C9" i="18" s="1"/>
  <c r="D7" i="18"/>
  <c r="D6" i="18"/>
  <c r="C6" i="18"/>
  <c r="C7" i="18" s="1"/>
  <c r="J5" i="18"/>
  <c r="D5" i="18"/>
  <c r="C5" i="18"/>
  <c r="B5" i="18"/>
  <c r="B6" i="18" s="1"/>
  <c r="T4" i="18"/>
  <c r="W4" i="18" s="1"/>
  <c r="O4" i="18"/>
  <c r="J4" i="18"/>
  <c r="W3" i="18"/>
  <c r="V3" i="18"/>
  <c r="U3" i="18"/>
  <c r="W2" i="18"/>
  <c r="V2" i="18"/>
  <c r="U2" i="18"/>
  <c r="BO1" i="18"/>
  <c r="AT1" i="18"/>
  <c r="Y1" i="18"/>
  <c r="U5" i="19" l="1"/>
  <c r="V5" i="19"/>
  <c r="A5" i="19"/>
  <c r="V4" i="19"/>
  <c r="W5" i="19"/>
  <c r="T6" i="19"/>
  <c r="A6" i="19"/>
  <c r="B7" i="19"/>
  <c r="J6" i="19"/>
  <c r="W4" i="19"/>
  <c r="O6" i="19"/>
  <c r="U4" i="19"/>
  <c r="W13" i="18"/>
  <c r="U13" i="18"/>
  <c r="V13" i="18"/>
  <c r="A5" i="18"/>
  <c r="U4" i="18"/>
  <c r="V4" i="18"/>
  <c r="B7" i="18"/>
  <c r="O5" i="18"/>
  <c r="U5" i="18" s="1"/>
  <c r="T5" i="18"/>
  <c r="J6" i="18"/>
  <c r="A6" i="18"/>
  <c r="V6" i="19" l="1"/>
  <c r="O7" i="19"/>
  <c r="U6" i="19"/>
  <c r="J7" i="19"/>
  <c r="B8" i="19"/>
  <c r="A7" i="19"/>
  <c r="W6" i="19"/>
  <c r="T7" i="19"/>
  <c r="B8" i="18"/>
  <c r="J7" i="18"/>
  <c r="W5" i="18"/>
  <c r="T6" i="18"/>
  <c r="A7" i="18"/>
  <c r="V5" i="18"/>
  <c r="O6" i="18"/>
  <c r="W7" i="19" l="1"/>
  <c r="T8" i="19"/>
  <c r="B9" i="19"/>
  <c r="U7" i="19"/>
  <c r="J8" i="19"/>
  <c r="A8" i="19"/>
  <c r="O8" i="19"/>
  <c r="V7" i="19"/>
  <c r="B9" i="18"/>
  <c r="A9" i="18" s="1"/>
  <c r="J8" i="18"/>
  <c r="A8" i="18"/>
  <c r="V6" i="18"/>
  <c r="O7" i="18"/>
  <c r="U7" i="18" s="1"/>
  <c r="W6" i="18"/>
  <c r="T7" i="18"/>
  <c r="U6" i="18"/>
  <c r="A9" i="19" l="1"/>
  <c r="V8" i="19"/>
  <c r="O9" i="19"/>
  <c r="U8" i="19"/>
  <c r="J9" i="19"/>
  <c r="B10" i="19"/>
  <c r="A10" i="19" s="1"/>
  <c r="W8" i="19"/>
  <c r="T9" i="19"/>
  <c r="J9" i="18"/>
  <c r="W7" i="18"/>
  <c r="T8" i="18"/>
  <c r="B10" i="18"/>
  <c r="A10" i="18" s="1"/>
  <c r="O8" i="18"/>
  <c r="U8" i="18" s="1"/>
  <c r="V7" i="18"/>
  <c r="W9" i="19" l="1"/>
  <c r="T10" i="19"/>
  <c r="J10" i="19"/>
  <c r="U9" i="19"/>
  <c r="B11" i="19"/>
  <c r="A11" i="19" s="1"/>
  <c r="V9" i="19"/>
  <c r="O10" i="19"/>
  <c r="J10" i="18"/>
  <c r="V8" i="18"/>
  <c r="O9" i="18"/>
  <c r="B11" i="18"/>
  <c r="A11" i="18" s="1"/>
  <c r="W8" i="18"/>
  <c r="T9" i="18"/>
  <c r="U9" i="18" s="1"/>
  <c r="V10" i="19" l="1"/>
  <c r="O11" i="19"/>
  <c r="B12" i="19"/>
  <c r="U10" i="19"/>
  <c r="J11" i="19"/>
  <c r="W10" i="19"/>
  <c r="T11" i="19"/>
  <c r="J11" i="18"/>
  <c r="W9" i="18"/>
  <c r="T10" i="18"/>
  <c r="B12" i="18"/>
  <c r="A12" i="18" s="1"/>
  <c r="O10" i="18"/>
  <c r="V9" i="18"/>
  <c r="W11" i="19" l="1"/>
  <c r="T12" i="19"/>
  <c r="U11" i="19"/>
  <c r="J12" i="19"/>
  <c r="B13" i="19"/>
  <c r="A13" i="19" s="1"/>
  <c r="A12" i="19"/>
  <c r="O12" i="19"/>
  <c r="V11" i="19"/>
  <c r="V10" i="18"/>
  <c r="O11" i="18"/>
  <c r="J12" i="18"/>
  <c r="U10" i="18"/>
  <c r="W10" i="18"/>
  <c r="T11" i="18"/>
  <c r="V12" i="19" l="1"/>
  <c r="O13" i="19"/>
  <c r="U12" i="19"/>
  <c r="J13" i="19"/>
  <c r="U13" i="19" s="1"/>
  <c r="W12" i="19"/>
  <c r="T13" i="19"/>
  <c r="W13" i="19" s="1"/>
  <c r="W11" i="18"/>
  <c r="T12" i="18"/>
  <c r="W12" i="18" s="1"/>
  <c r="U11" i="18"/>
  <c r="O12" i="18"/>
  <c r="V11" i="18"/>
  <c r="U12" i="18"/>
  <c r="V13" i="19" l="1"/>
  <c r="V12" i="18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O12" i="17"/>
  <c r="J12" i="17"/>
  <c r="D12" i="17"/>
  <c r="C12" i="17"/>
  <c r="B12" i="17"/>
  <c r="A12" i="17"/>
  <c r="T11" i="17"/>
  <c r="O11" i="17"/>
  <c r="V11" i="17" s="1"/>
  <c r="J11" i="17"/>
  <c r="U11" i="17" s="1"/>
  <c r="D11" i="17"/>
  <c r="C11" i="17"/>
  <c r="B11" i="17"/>
  <c r="A11" i="17" s="1"/>
  <c r="T10" i="17"/>
  <c r="O10" i="17"/>
  <c r="J10" i="17"/>
  <c r="U10" i="17" s="1"/>
  <c r="D10" i="17"/>
  <c r="C10" i="17"/>
  <c r="B10" i="17"/>
  <c r="A10" i="17"/>
  <c r="D9" i="17"/>
  <c r="D8" i="17"/>
  <c r="D7" i="17"/>
  <c r="C7" i="17"/>
  <c r="C8" i="17" s="1"/>
  <c r="C9" i="17" s="1"/>
  <c r="D6" i="17"/>
  <c r="C6" i="17"/>
  <c r="T5" i="17"/>
  <c r="T6" i="17" s="1"/>
  <c r="D5" i="17"/>
  <c r="C5" i="17"/>
  <c r="B5" i="17"/>
  <c r="B6" i="17" s="1"/>
  <c r="T4" i="17"/>
  <c r="O4" i="17"/>
  <c r="O5" i="17" s="1"/>
  <c r="J4" i="17"/>
  <c r="U4" i="17" s="1"/>
  <c r="W3" i="17"/>
  <c r="V3" i="17"/>
  <c r="U3" i="17"/>
  <c r="W2" i="17"/>
  <c r="V2" i="17"/>
  <c r="U2" i="17"/>
  <c r="BO1" i="17"/>
  <c r="AT1" i="17"/>
  <c r="Y1" i="17"/>
  <c r="U12" i="17" l="1"/>
  <c r="V12" i="17"/>
  <c r="W12" i="17"/>
  <c r="W11" i="17"/>
  <c r="V10" i="17"/>
  <c r="W10" i="17"/>
  <c r="W4" i="17"/>
  <c r="V4" i="17"/>
  <c r="B7" i="17"/>
  <c r="T7" i="17"/>
  <c r="O6" i="17"/>
  <c r="J5" i="17"/>
  <c r="V5" i="17" s="1"/>
  <c r="A5" i="17"/>
  <c r="A6" i="17"/>
  <c r="A7" i="17" s="1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 s="1"/>
  <c r="T9" i="16"/>
  <c r="O9" i="16"/>
  <c r="J9" i="16"/>
  <c r="U9" i="16" s="1"/>
  <c r="D9" i="16"/>
  <c r="C9" i="16"/>
  <c r="B9" i="16"/>
  <c r="A9" i="16" s="1"/>
  <c r="T8" i="16"/>
  <c r="W8" i="16" s="1"/>
  <c r="O8" i="16"/>
  <c r="V8" i="16" s="1"/>
  <c r="J8" i="16"/>
  <c r="U8" i="16" s="1"/>
  <c r="D8" i="16"/>
  <c r="C8" i="16"/>
  <c r="B8" i="16"/>
  <c r="A8" i="16" s="1"/>
  <c r="D7" i="16"/>
  <c r="C7" i="16"/>
  <c r="B7" i="16"/>
  <c r="D6" i="16"/>
  <c r="B6" i="16"/>
  <c r="T5" i="16"/>
  <c r="O5" i="16"/>
  <c r="D5" i="16"/>
  <c r="C5" i="16"/>
  <c r="C6" i="16" s="1"/>
  <c r="B5" i="16"/>
  <c r="A5" i="16" s="1"/>
  <c r="T4" i="16"/>
  <c r="O4" i="16"/>
  <c r="V4" i="16" s="1"/>
  <c r="J4" i="16"/>
  <c r="J5" i="16" s="1"/>
  <c r="W3" i="16"/>
  <c r="V3" i="16"/>
  <c r="U3" i="16"/>
  <c r="W2" i="16"/>
  <c r="V2" i="16"/>
  <c r="U2" i="16"/>
  <c r="BO1" i="16"/>
  <c r="AT1" i="16"/>
  <c r="Y1" i="16"/>
  <c r="W5" i="17" l="1"/>
  <c r="B8" i="17"/>
  <c r="U5" i="17"/>
  <c r="J6" i="17"/>
  <c r="V6" i="17"/>
  <c r="O7" i="17"/>
  <c r="T8" i="17"/>
  <c r="V9" i="16"/>
  <c r="W9" i="16"/>
  <c r="A7" i="16"/>
  <c r="A6" i="16"/>
  <c r="V5" i="16"/>
  <c r="W4" i="16"/>
  <c r="U4" i="16"/>
  <c r="U5" i="16"/>
  <c r="J6" i="16"/>
  <c r="W5" i="16"/>
  <c r="O6" i="16"/>
  <c r="T6" i="16"/>
  <c r="O8" i="17" l="1"/>
  <c r="T9" i="17"/>
  <c r="J7" i="17"/>
  <c r="V7" i="17" s="1"/>
  <c r="U6" i="17"/>
  <c r="W6" i="17"/>
  <c r="B9" i="17"/>
  <c r="A9" i="17" s="1"/>
  <c r="A8" i="17"/>
  <c r="V6" i="16"/>
  <c r="O7" i="16"/>
  <c r="U6" i="16"/>
  <c r="J7" i="16"/>
  <c r="W6" i="16"/>
  <c r="T7" i="16"/>
  <c r="W7" i="16" s="1"/>
  <c r="U7" i="17" l="1"/>
  <c r="J8" i="17"/>
  <c r="W7" i="17"/>
  <c r="O9" i="17"/>
  <c r="U7" i="16"/>
  <c r="V7" i="16"/>
  <c r="U8" i="17" l="1"/>
  <c r="J9" i="17"/>
  <c r="W8" i="17"/>
  <c r="V8" i="17"/>
  <c r="W3" i="1"/>
  <c r="V3" i="1"/>
  <c r="U3" i="1"/>
  <c r="U9" i="17" l="1"/>
  <c r="W9" i="17"/>
  <c r="V9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B6" i="1"/>
  <c r="A6" i="1" s="1"/>
  <c r="D5" i="1"/>
  <c r="D6" i="1" s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W4" i="1"/>
  <c r="J6" i="1"/>
  <c r="T5" i="1"/>
  <c r="V5" i="1" s="1"/>
  <c r="O6" i="1"/>
  <c r="B10" i="1"/>
  <c r="U5" i="1" l="1"/>
  <c r="W5" i="1"/>
  <c r="O7" i="1"/>
  <c r="J7" i="1"/>
  <c r="B11" i="1"/>
  <c r="A11" i="1" s="1"/>
  <c r="A10" i="1"/>
  <c r="T6" i="1"/>
  <c r="V6" i="1" s="1"/>
  <c r="B12" i="1"/>
  <c r="A12" i="1" s="1"/>
  <c r="U6" i="1" l="1"/>
  <c r="J8" i="1"/>
  <c r="O8" i="1"/>
  <c r="W6" i="1"/>
  <c r="T7" i="1"/>
  <c r="U7" i="1" s="1"/>
  <c r="J9" i="1"/>
  <c r="U9" i="1" s="1"/>
  <c r="O9" i="1"/>
  <c r="V9" i="1" s="1"/>
  <c r="B13" i="1"/>
  <c r="A13" i="1" s="1"/>
  <c r="V8" i="1" l="1"/>
  <c r="U8" i="1"/>
  <c r="V7" i="1"/>
  <c r="W7" i="1"/>
  <c r="T8" i="1"/>
  <c r="J10" i="1"/>
  <c r="U10" i="1" s="1"/>
  <c r="J11" i="1"/>
  <c r="U11" i="1" s="1"/>
  <c r="O10" i="1"/>
  <c r="V10" i="1" s="1"/>
  <c r="T9" i="1"/>
  <c r="W9" i="1" s="1"/>
  <c r="B14" i="1"/>
  <c r="A14" i="1" s="1"/>
  <c r="W8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<sst xmlns="http://schemas.openxmlformats.org/spreadsheetml/2006/main" count="933" uniqueCount="164">
  <si>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</si>
  <si>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</si>
  <si>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</si>
  <si>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</si>
  <si>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</si>
  <si>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</si>
  <si>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</si>
  <si>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</si>
  <si>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</si>
  <si>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</si>
  <si>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</si>
  <si>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</si>
  <si>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</si>
  <si>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</si>
  <si>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</si>
  <si>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</si>
  <si>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</si>
  <si>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</si>
  <si>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</si>
  <si>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</si>
  <si>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</si>
  <si>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</si>
  <si>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</si>
  <si>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</si>
  <si>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</si>
  <si>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</si>
  <si>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</si>
  <si>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</si>
  <si>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</si>
  <si>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</si>
  <si>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</si>
  <si>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</si>
  <si>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</si>
  <si>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</si>
  <si>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</si>
  <si>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</si>
  <si>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</si>
  <si>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</si>
  <si>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</si>
  <si>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</si>
  <si>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</si>
  <si>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</si>
  <si>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</si>
  <si>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</si>
  <si>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</si>
  <si>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</si>
  <si>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</si>
  <si>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</si>
  <si>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</si>
  <si>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</si>
  <si>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</si>
  <si>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</si>
  <si>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</si>
  <si>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</si>
  <si>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</si>
  <si>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</si>
  <si>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</si>
  <si>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</si>
  <si>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</si>
  <si>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</si>
  <si>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</si>
  <si>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</si>
  <si>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</si>
  <si>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</si>
  <si>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</si>
  <si>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</si>
  <si>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</si>
  <si>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</si>
  <si>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</si>
  <si>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</si>
  <si>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</si>
  <si>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</si>
  <si>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</si>
  <si>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</si>
  <si>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</si>
  <si>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</si>
  <si>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</si>
  <si>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</si>
  <si>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</si>
  <si>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</si>
  <si>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</si>
  <si>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</si>
  <si>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</si>
  <si>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</si>
  <si>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</si>
  <si>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</si>
  <si>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</si>
  <si>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</si>
  <si>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</si>
  <si>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</si>
  <si>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</si>
  <si>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</si>
  <si>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</si>
  <si>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</si>
  <si>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</si>
  <si>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</si>
  <si>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</si>
  <si>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</si>
  <si>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</si>
  <si>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</si>
  <si>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</si>
  <si>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</si>
  <si>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</si>
  <si>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</si>
  <si>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</si>
  <si>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</si>
  <si>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</si>
  <si>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</si>
  <si>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</si>
  <si>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</si>
  <si>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</si>
  <si>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</si>
  <si>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</si>
  <si>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</si>
  <si>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</si>
  <si>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</si>
  <si>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</si>
  <si>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</si>
  <si>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</si>
  <si>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</si>
  <si>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</si>
  <si>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</si>
  <si>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</si>
  <si>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</si>
  <si>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</si>
  <si>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</si>
  <si>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</si>
  <si>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</si>
  <si>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</si>
  <si>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</si>
  <si>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</si>
  <si>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</si>
  <si>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</si>
  <si>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</si>
  <si>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</si>
  <si>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</si>
  <si>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</si>
  <si>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</si>
  <si>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</si>
  <si>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</si>
  <si>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</si>
  <si>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</si>
  <si>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</si>
  <si>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</si>
  <si>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</si>
  <si>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</si>
  <si>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</si>
  <si>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*</t>
  </si>
  <si>
    <t>52</t>
  </si>
  <si>
    <t>N</t>
  </si>
  <si>
    <t>T</t>
  </si>
  <si>
    <t>流局</t>
    <phoneticPr fontId="1"/>
  </si>
  <si>
    <t>N</t>
    <phoneticPr fontId="1"/>
  </si>
  <si>
    <t>01</t>
  </si>
  <si>
    <t>流局</t>
    <phoneticPr fontId="1"/>
  </si>
  <si>
    <t>ツモ支払</t>
  </si>
  <si>
    <t>ツモ</t>
  </si>
  <si>
    <t>まっつん</t>
  </si>
  <si>
    <t>まっつん</t>
    <phoneticPr fontId="1"/>
  </si>
  <si>
    <t>たかの</t>
  </si>
  <si>
    <t>たかの</t>
    <phoneticPr fontId="1"/>
  </si>
  <si>
    <t>02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</si>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</sst>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140</v>
      </c>
      <c r="G1" s="86"/>
      <c r="H1" s="86"/>
      <c r="I1" s="95"/>
      <c r="J1" s="87"/>
      <c r="K1" s="84" t="s">
        <v>144</v>
      </c>
      <c r="L1" s="86"/>
      <c r="M1" s="86"/>
      <c r="N1" s="95"/>
      <c r="O1" s="87"/>
      <c r="P1" s="84" t="s">
        <v>142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りくと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だいち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ただ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-38</v>
      </c>
      <c r="Y4" s="8"/>
      <c r="Z4" s="41"/>
      <c r="AA4" s="32">
        <v>1</v>
      </c>
      <c r="AB4" s="32"/>
      <c r="AC4" s="32">
        <v>6</v>
      </c>
      <c r="AD4" s="36" t="s">
        <v>147</v>
      </c>
      <c r="AE4" s="47" t="s">
        <v>92</v>
      </c>
      <c r="AF4" s="48" t="s">
        <v>85</v>
      </c>
      <c r="AG4" s="48" t="s">
        <v>148</v>
      </c>
      <c r="AH4" s="48" t="s">
        <v>81</v>
      </c>
      <c r="AI4" s="48" t="s">
        <v>81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151</v>
      </c>
      <c r="G5" s="9">
        <v>-1500</v>
      </c>
      <c r="H5" s="9"/>
      <c r="I5" s="55"/>
      <c r="J5" s="21">
        <f t="shared" ref="J5:J30" si="2">IF(COUNTA($F5,$K5,$P5)&gt;0,J4+SUM(G5:I5),"")</f>
        <v>51500</v>
      </c>
      <c r="K5" s="8" t="s">
        <v>151</v>
      </c>
      <c r="L5" s="9">
        <v>-1500</v>
      </c>
      <c r="M5" s="9"/>
      <c r="N5" s="55"/>
      <c r="O5" s="21">
        <f t="shared" ref="O5:O30" si="3">IF(COUNTA($F5,$K5,$P5)&gt;0,O4+SUM(L5:N5),"")</f>
        <v>33500</v>
      </c>
      <c r="P5" s="8" t="s">
        <v>151</v>
      </c>
      <c r="Q5" s="9">
        <v>3000</v>
      </c>
      <c r="R5" s="9"/>
      <c r="S5" s="55"/>
      <c r="T5" s="21">
        <f t="shared" ref="T5:T30" si="4">IF(COUNTA($F5,$K5,$P5)&gt;0,T4+SUM(Q5:S5),"")</f>
        <v>20000</v>
      </c>
      <c r="U5" s="60">
        <f>IF($J5="","",ROUND(($J5-$J$3)/1000,1)+(_xlfn.RANK.AVG($J5,($J5,$O5,$T5),1)-2)*20)</f>
        <v>36.5</v>
      </c>
      <c r="V5" s="61">
        <f>IF($O5="","",ROUND(($O5-$O$3)/1000,1)+(_xlfn.RANK.AVG($O5,($J5,$O5,$T5),1)-2)*20)</f>
        <v>-1.5</v>
      </c>
      <c r="W5" s="62">
        <f>IF($T5="","",ROUND(($T5-$T$3)/1000,1)+(_xlfn.RANK.AVG($T5,($J5,$O5,$T5),1)-2)*20)</f>
        <v>-35</v>
      </c>
      <c r="Y5" s="8" t="s">
        <v>149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152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150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143</v>
      </c>
      <c r="F6" s="8" t="s">
        <v>145</v>
      </c>
      <c r="G6" s="9">
        <v>16000</v>
      </c>
      <c r="H6" s="9"/>
      <c r="I6" s="55">
        <v>2000</v>
      </c>
      <c r="J6" s="21">
        <f t="shared" si="2"/>
        <v>69500</v>
      </c>
      <c r="K6" s="8" t="s">
        <v>146</v>
      </c>
      <c r="L6" s="9">
        <v>-16000</v>
      </c>
      <c r="M6" s="9"/>
      <c r="N6" s="55">
        <v>-2000</v>
      </c>
      <c r="O6" s="21">
        <f t="shared" si="3"/>
        <v>15500</v>
      </c>
      <c r="P6" s="7"/>
      <c r="Q6" s="23"/>
      <c r="R6" s="23"/>
      <c r="S6" s="54"/>
      <c r="T6" s="21">
        <f t="shared" si="4"/>
        <v>20000</v>
      </c>
      <c r="U6" s="60">
        <f>IF($J6="","",ROUND(($J6-$J$3)/1000,1)+(_xlfn.RANK.AVG($J6,($J6,$O6,$T6),1)-2)*20)</f>
        <v>54.5</v>
      </c>
      <c r="V6" s="61">
        <f>IF($O6="","",ROUND(($O6-$O$3)/1000,1)+(_xlfn.RANK.AVG($O6,($J6,$O6,$T6),1)-2)*20)</f>
        <v>-39.5</v>
      </c>
      <c r="W6" s="62">
        <f>IF($T6="","",ROUND(($T6-$T$3)/1000,1)+(_xlfn.RANK.AVG($T6,($J6,$O6,$T6),1)-2)*20)</f>
        <v>-15</v>
      </c>
      <c r="Y6" s="8"/>
      <c r="Z6" s="41"/>
      <c r="AA6" s="32"/>
      <c r="AB6" s="32"/>
      <c r="AC6" s="32">
        <v>9</v>
      </c>
      <c r="AD6" s="36" t="s">
        <v>147</v>
      </c>
      <c r="AE6" s="47" t="s">
        <v>107</v>
      </c>
      <c r="AF6" s="48" t="s">
        <v>97</v>
      </c>
      <c r="AG6" s="48" t="s">
        <v>148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/>
      <c r="G7" s="9"/>
      <c r="H7" s="9"/>
      <c r="I7" s="55"/>
      <c r="J7" s="21">
        <f t="shared" si="2"/>
        <v>69500</v>
      </c>
      <c r="K7" s="8" t="s">
        <v>146</v>
      </c>
      <c r="L7" s="9">
        <v>-24000</v>
      </c>
      <c r="M7" s="9"/>
      <c r="N7" s="55">
        <v>0</v>
      </c>
      <c r="O7" s="21">
        <f t="shared" si="3"/>
        <v>-8500</v>
      </c>
      <c r="P7" s="8" t="s">
        <v>145</v>
      </c>
      <c r="Q7" s="9">
        <v>24000</v>
      </c>
      <c r="R7" s="9"/>
      <c r="S7" s="55">
        <v>0</v>
      </c>
      <c r="T7" s="21">
        <f t="shared" si="4"/>
        <v>44000</v>
      </c>
      <c r="U7" s="60">
        <f>IF($J7="","",ROUND(($J7-$J$3)/1000,1)+(_xlfn.RANK.AVG($J7,($J7,$O7,$T7),1)-2)*20)</f>
        <v>54.5</v>
      </c>
      <c r="V7" s="61">
        <f>IF($O7="","",ROUND(($O7-$O$3)/1000,1)+(_xlfn.RANK.AVG($O7,($J7,$O7,$T7),1)-2)*20)</f>
        <v>-63.5</v>
      </c>
      <c r="W7" s="62">
        <f>IF($T7="","",ROUND(($T7-$T$3)/1000,1)+(_xlfn.RANK.AVG($T7,($J7,$O7,$T7),1)-2)*20)</f>
        <v>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147</v>
      </c>
      <c r="BU7" s="47" t="s">
        <v>153</v>
      </c>
      <c r="BV7" s="48" t="s">
        <v>87</v>
      </c>
      <c r="BW7" s="48" t="s">
        <v>105</v>
      </c>
      <c r="BX7" s="48" t="s">
        <v>94</v>
      </c>
      <c r="BY7" s="48" t="s">
        <v>81</v>
      </c>
      <c r="BZ7" s="48" t="s">
        <v>81</v>
      </c>
      <c r="CA7" s="48" t="s">
        <v>85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6:L30 Q9:Q30">
    <cfRule type="expression" dxfId="39" priority="8">
      <formula>IF(G4&lt;&gt;"",SUM($G4:$I4,$L4:$N4,$Q4:$S4)-$D4*1000+$D5*1000)</formula>
    </cfRule>
  </conditionalFormatting>
  <conditionalFormatting sqref="F1:G1 I1:L1 S1:T1 N1:Q1">
    <cfRule type="duplicateValues" dxfId="38" priority="7"/>
  </conditionalFormatting>
  <conditionalFormatting sqref="H1">
    <cfRule type="duplicateValues" dxfId="37" priority="6"/>
  </conditionalFormatting>
  <conditionalFormatting sqref="R1">
    <cfRule type="duplicateValues" dxfId="36" priority="5"/>
  </conditionalFormatting>
  <conditionalFormatting sqref="M1">
    <cfRule type="duplicateValues" dxfId="35" priority="4"/>
  </conditionalFormatting>
  <conditionalFormatting sqref="Q7:Q8">
    <cfRule type="expression" dxfId="34" priority="3">
      <formula>IF(Q7&lt;&gt;"",SUM($G7:$I7,$L7:$N7,$Q7:$S7)-$D7*1000+$D8*1000)</formula>
    </cfRule>
  </conditionalFormatting>
  <conditionalFormatting sqref="L4:L5">
    <cfRule type="expression" dxfId="33" priority="2">
      <formula>IF(L4&lt;&gt;"",SUM($G4:$I4,$L4:$N4,$Q4:$S4)-$D4*1000+$D5*1000)</formula>
    </cfRule>
  </conditionalFormatting>
  <conditionalFormatting sqref="Q4:Q5">
    <cfRule type="expression" dxfId="32" priority="1">
      <formula>IF(Q4&lt;&gt;"",SUM($G4:$I4,$L4:$N4,$Q4:$S4)-$D4*1000+$D5*1000)</formula>
    </cfRule>
  </conditionalFormatting>
  <dataValidations count="2">
    <dataValidation type="list" showInputMessage="1" showErrorMessage="1" sqref="P7:P30 F4:F30 K4:K30 P4:P5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1BC-28D5-48C8-BDE3-F89E0D81CBEB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140</v>
      </c>
      <c r="G1" s="86"/>
      <c r="H1" s="86"/>
      <c r="I1" s="95"/>
      <c r="J1" s="87"/>
      <c r="K1" s="84" t="s">
        <v>144</v>
      </c>
      <c r="L1" s="86"/>
      <c r="M1" s="86"/>
      <c r="N1" s="95"/>
      <c r="O1" s="87"/>
      <c r="P1" s="84" t="s">
        <v>142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りくと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だいち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154</v>
      </c>
      <c r="G4" s="9">
        <v>1500</v>
      </c>
      <c r="H4" s="9"/>
      <c r="I4" s="55"/>
      <c r="J4" s="21">
        <f>IF(COUNTA($F4,$K4,$P4)&gt;0,J3+SUM(G4:I4),"")</f>
        <v>36500</v>
      </c>
      <c r="K4" s="8" t="s">
        <v>154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154</v>
      </c>
      <c r="Q4" s="9">
        <v>-3000</v>
      </c>
      <c r="R4" s="9"/>
      <c r="S4" s="55"/>
      <c r="T4" s="21">
        <f>IF(COUNTA($F4,$K4,$P4)&gt;0,T3+SUM(Q4:S4),"")</f>
        <v>32000</v>
      </c>
      <c r="U4" s="60">
        <f>IF($J4="","",ROUND(($J4-$J$3)/1000,1)+(_xlfn.RANK.AVG($J4,($J4,$O4,$T4),1)-2)*20)</f>
        <v>21.5</v>
      </c>
      <c r="V4" s="61">
        <f>IF($O4="","",ROUND(($O4-$O$3)/1000,1)+(_xlfn.RANK.AVG($O4,($J4,$O4,$T4),1)-2)*20)</f>
        <v>0.5</v>
      </c>
      <c r="W4" s="62">
        <f>IF($T4="","",ROUND(($T4-$T$3)/1000,1)+(_xlfn.RANK.AVG($T4,($J4,$O4,$T4),1)-2)*20)</f>
        <v>-23</v>
      </c>
      <c r="Y4" s="8" t="s">
        <v>150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155</v>
      </c>
      <c r="G5" s="9">
        <v>-5000</v>
      </c>
      <c r="H5" s="9"/>
      <c r="I5" s="55">
        <v>-500</v>
      </c>
      <c r="J5" s="21">
        <f t="shared" ref="J5:J30" si="2">IF(COUNTA($F5,$K5,$P5)&gt;0,J4+SUM(G5:I5),"")</f>
        <v>31000</v>
      </c>
      <c r="K5" s="8" t="s">
        <v>156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45500</v>
      </c>
      <c r="P5" s="8" t="s">
        <v>155</v>
      </c>
      <c r="Q5" s="9">
        <v>-3000</v>
      </c>
      <c r="R5" s="9"/>
      <c r="S5" s="55">
        <v>-500</v>
      </c>
      <c r="T5" s="21">
        <f t="shared" ref="T5:T30" si="4">IF(COUNTA($F5,$K5,$P5)&gt;0,T4+SUM(Q5:S5),"")</f>
        <v>28500</v>
      </c>
      <c r="U5" s="60">
        <f>IF($J5="","",ROUND(($J5-$J$3)/1000,1)+(_xlfn.RANK.AVG($J5,($J5,$O5,$T5),1)-2)*20)</f>
        <v>-4</v>
      </c>
      <c r="V5" s="61">
        <f>IF($O5="","",ROUND(($O5-$O$3)/1000,1)+(_xlfn.RANK.AVG($O5,($J5,$O5,$T5),1)-2)*20)</f>
        <v>30.5</v>
      </c>
      <c r="W5" s="62">
        <f>IF($T5="","",ROUND(($T5-$T$3)/1000,1)+(_xlfn.RANK.AVG($T5,($J5,$O5,$T5),1)-2)*20)</f>
        <v>-26.5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153</v>
      </c>
      <c r="BA5" s="48" t="s">
        <v>105</v>
      </c>
      <c r="BB5" s="48" t="s">
        <v>87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155</v>
      </c>
      <c r="G6" s="9">
        <v>-2400</v>
      </c>
      <c r="H6" s="9"/>
      <c r="I6" s="55">
        <v>0</v>
      </c>
      <c r="J6" s="21">
        <f t="shared" si="2"/>
        <v>28600</v>
      </c>
      <c r="K6" s="8" t="s">
        <v>155</v>
      </c>
      <c r="L6" s="9">
        <v>-4000</v>
      </c>
      <c r="M6" s="9"/>
      <c r="N6" s="55">
        <v>0</v>
      </c>
      <c r="O6" s="21">
        <f t="shared" si="3"/>
        <v>41500</v>
      </c>
      <c r="P6" s="7" t="s">
        <v>156</v>
      </c>
      <c r="Q6" s="23">
        <v>6400</v>
      </c>
      <c r="R6" s="23"/>
      <c r="S6" s="54">
        <v>0</v>
      </c>
      <c r="T6" s="21">
        <f t="shared" si="4"/>
        <v>34900</v>
      </c>
      <c r="U6" s="60">
        <f>IF($J6="","",ROUND(($J6-$J$3)/1000,1)+(_xlfn.RANK.AVG($J6,($J6,$O6,$T6),1)-2)*20)</f>
        <v>-26.4</v>
      </c>
      <c r="V6" s="61">
        <f>IF($O6="","",ROUND(($O6-$O$3)/1000,1)+(_xlfn.RANK.AVG($O6,($J6,$O6,$T6),1)-2)*20)</f>
        <v>26.5</v>
      </c>
      <c r="W6" s="62">
        <f>IF($T6="","",ROUND(($T6-$T$3)/1000,1)+(_xlfn.RANK.AVG($T6,($J6,$O6,$T6),1)-2)*20)</f>
        <v>-0.1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50</v>
      </c>
      <c r="BU6" s="47" t="s">
        <v>99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155</v>
      </c>
      <c r="G7" s="9">
        <v>-2000</v>
      </c>
      <c r="H7" s="9"/>
      <c r="I7" s="55">
        <v>0</v>
      </c>
      <c r="J7" s="21">
        <f t="shared" si="2"/>
        <v>26600</v>
      </c>
      <c r="K7" s="8" t="s">
        <v>155</v>
      </c>
      <c r="L7" s="9">
        <v>-2000</v>
      </c>
      <c r="M7" s="9">
        <v>-1000</v>
      </c>
      <c r="N7" s="55">
        <v>0</v>
      </c>
      <c r="O7" s="21">
        <f t="shared" si="3"/>
        <v>38500</v>
      </c>
      <c r="P7" s="8" t="s">
        <v>156</v>
      </c>
      <c r="Q7" s="9">
        <v>4000</v>
      </c>
      <c r="R7" s="9">
        <v>1000</v>
      </c>
      <c r="S7" s="55">
        <v>0</v>
      </c>
      <c r="T7" s="21">
        <f t="shared" si="4"/>
        <v>39900</v>
      </c>
      <c r="U7" s="60">
        <f>IF($J7="","",ROUND(($J7-$J$3)/1000,1)+(_xlfn.RANK.AVG($J7,($J7,$O7,$T7),1)-2)*20)</f>
        <v>-28.4</v>
      </c>
      <c r="V7" s="61">
        <f>IF($O7="","",ROUND(($O7-$O$3)/1000,1)+(_xlfn.RANK.AVG($O7,($J7,$O7,$T7),1)-2)*20)</f>
        <v>3.5</v>
      </c>
      <c r="W7" s="62">
        <f>IF($T7="","",ROUND(($T7-$T$3)/1000,1)+(_xlfn.RANK.AVG($T7,($J7,$O7,$T7),1)-2)*20)</f>
        <v>24.9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40</v>
      </c>
      <c r="BU7" s="47" t="s">
        <v>105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146</v>
      </c>
      <c r="G8" s="9">
        <v>-12000</v>
      </c>
      <c r="H8" s="9"/>
      <c r="I8" s="55">
        <v>-1000</v>
      </c>
      <c r="J8" s="21">
        <f t="shared" si="2"/>
        <v>13600</v>
      </c>
      <c r="K8" s="8"/>
      <c r="L8" s="9"/>
      <c r="M8" s="9"/>
      <c r="N8" s="55"/>
      <c r="O8" s="21">
        <f t="shared" si="3"/>
        <v>38500</v>
      </c>
      <c r="P8" s="8" t="s">
        <v>145</v>
      </c>
      <c r="Q8" s="9">
        <v>12000</v>
      </c>
      <c r="R8" s="9"/>
      <c r="S8" s="55">
        <v>1000</v>
      </c>
      <c r="T8" s="21">
        <f t="shared" si="4"/>
        <v>52900</v>
      </c>
      <c r="U8" s="60">
        <f>IF($J8="","",ROUND(($J8-$J$3)/1000,1)+(_xlfn.RANK.AVG($J8,($J8,$O8,$T8),1)-2)*20)</f>
        <v>-41.4</v>
      </c>
      <c r="V8" s="61">
        <f>IF($O8="","",ROUND(($O8-$O$3)/1000,1)+(_xlfn.RANK.AVG($O8,($J8,$O8,$T8),1)-2)*20)</f>
        <v>3.5</v>
      </c>
      <c r="W8" s="62">
        <f>IF($T8="","",ROUND(($T8-$T$3)/1000,1)+(_xlfn.RANK.AVG($T8,($J8,$O8,$T8),1)-2)*20)</f>
        <v>37.9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153</v>
      </c>
      <c r="BV8" s="48" t="s">
        <v>148</v>
      </c>
      <c r="BW8" s="48" t="s">
        <v>81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141</v>
      </c>
      <c r="F9" s="8" t="s">
        <v>146</v>
      </c>
      <c r="G9" s="9">
        <v>-12000</v>
      </c>
      <c r="H9" s="9"/>
      <c r="I9" s="55">
        <v>-2000</v>
      </c>
      <c r="J9" s="21">
        <f t="shared" si="2"/>
        <v>-400</v>
      </c>
      <c r="K9" s="8"/>
      <c r="L9" s="9"/>
      <c r="M9" s="9"/>
      <c r="N9" s="55"/>
      <c r="O9" s="21">
        <f t="shared" si="3"/>
        <v>38500</v>
      </c>
      <c r="P9" s="8" t="s">
        <v>145</v>
      </c>
      <c r="Q9" s="9">
        <v>12000</v>
      </c>
      <c r="R9" s="9"/>
      <c r="S9" s="55">
        <v>2000</v>
      </c>
      <c r="T9" s="21">
        <f t="shared" si="4"/>
        <v>66900</v>
      </c>
      <c r="U9" s="60">
        <f>IF($J9="","",ROUND(($J9-$J$3)/1000,1)+(_xlfn.RANK.AVG($J9,($J9,$O9,$T9),1)-2)*20)</f>
        <v>-55.4</v>
      </c>
      <c r="V9" s="61">
        <f>IF($O9="","",ROUND(($O9-$O$3)/1000,1)+(_xlfn.RANK.AVG($O9,($J9,$O9,$T9),1)-2)*20)</f>
        <v>3.5</v>
      </c>
      <c r="W9" s="62">
        <f>IF($T9="","",ROUND(($T9-$T$3)/1000,1)+(_xlfn.RANK.AVG($T9,($J9,$O9,$T9),1)-2)*20)</f>
        <v>51.9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87</v>
      </c>
      <c r="BV9" s="48" t="s">
        <v>87</v>
      </c>
      <c r="BW9" s="48" t="s">
        <v>87</v>
      </c>
      <c r="BX9" s="48" t="s">
        <v>105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6:L30 Q9:Q30">
    <cfRule type="expression" dxfId="31" priority="8">
      <formula>IF(G4&lt;&gt;"",SUM($G4:$I4,$L4:$N4,$Q4:$S4)-$D4*1000+$D5*1000)</formula>
    </cfRule>
  </conditionalFormatting>
  <conditionalFormatting sqref="F1:G1 I1:L1 S1:T1 N1:Q1">
    <cfRule type="duplicateValues" dxfId="30" priority="7"/>
  </conditionalFormatting>
  <conditionalFormatting sqref="H1">
    <cfRule type="duplicateValues" dxfId="29" priority="6"/>
  </conditionalFormatting>
  <conditionalFormatting sqref="R1">
    <cfRule type="duplicateValues" dxfId="28" priority="5"/>
  </conditionalFormatting>
  <conditionalFormatting sqref="M1">
    <cfRule type="duplicateValues" dxfId="27" priority="4"/>
  </conditionalFormatting>
  <conditionalFormatting sqref="Q7:Q8">
    <cfRule type="expression" dxfId="26" priority="3">
      <formula>IF(Q7&lt;&gt;"",SUM($G7:$I7,$L7:$N7,$Q7:$S7)-$D7*1000+$D8*1000)</formula>
    </cfRule>
  </conditionalFormatting>
  <conditionalFormatting sqref="L4:L5">
    <cfRule type="expression" dxfId="25" priority="2">
      <formula>IF(L4&lt;&gt;"",SUM($G4:$I4,$L4:$N4,$Q4:$S4)-$D4*1000+$D5*1000)</formula>
    </cfRule>
  </conditionalFormatting>
  <conditionalFormatting sqref="Q4:Q5">
    <cfRule type="expression" dxfId="24" priority="1">
      <formula>IF(Q4&lt;&gt;"",SUM($G4:$I4,$L4:$N4,$Q4:$S4)-$D4*1000+$D5*1000)</formula>
    </cfRule>
  </conditionalFormatting>
  <dataValidations count="2">
    <dataValidation type="list" allowBlank="1" showInputMessage="1" showErrorMessage="1" sqref="E4:E30" xr:uid="{EC829937-0109-4F08-B00A-C6D265E73C47}">
      <formula1>$U$2:$W$2</formula1>
    </dataValidation>
    <dataValidation type="list" showInputMessage="1" showErrorMessage="1" sqref="P7:P30 F4:F30 K4:K30 P4:P5" xr:uid="{1F3BBDF7-D7B6-4B46-90DE-F84CF98C29B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DFC5-EF5E-485F-AE17-F54F08CF7BF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140</v>
      </c>
      <c r="G1" s="86"/>
      <c r="H1" s="86"/>
      <c r="I1" s="95"/>
      <c r="J1" s="87"/>
      <c r="K1" s="84" t="s">
        <v>158</v>
      </c>
      <c r="L1" s="86"/>
      <c r="M1" s="86"/>
      <c r="N1" s="95"/>
      <c r="O1" s="87"/>
      <c r="P1" s="84" t="s">
        <v>160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りくと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まっつん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たかの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まっつん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151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151</v>
      </c>
      <c r="L4" s="9">
        <v>-3000</v>
      </c>
      <c r="M4" s="9"/>
      <c r="N4" s="55"/>
      <c r="O4" s="21">
        <f>IF(COUNTA($F4,$K4,$P4)&gt;0,O3+SUM(L4:N4),"")</f>
        <v>32000</v>
      </c>
      <c r="P4" s="8" t="s">
        <v>151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>IF($J4="","",ROUND(($J4-$J$3)/1000,1)+(_xlfn.RANK.AVG($J4,($J4,$O4,$T4),1)-2)*20)</f>
        <v>10.5</v>
      </c>
      <c r="V4" s="61">
        <f>IF($O4="","",ROUND(($O4-$O$3)/1000,1)+(_xlfn.RANK.AVG($O4,($J4,$O4,$T4),1)-2)*20)</f>
        <v>-23</v>
      </c>
      <c r="W4" s="62">
        <f>IF($T4="","",ROUND(($T4-$T$3)/1000,1)+(_xlfn.RANK.AVG($T4,($J4,$O4,$T4),1)-2)*20)</f>
        <v>10.5</v>
      </c>
      <c r="Y4" s="8" t="s">
        <v>150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149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150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159</v>
      </c>
      <c r="F5" s="8"/>
      <c r="G5" s="9"/>
      <c r="H5" s="9"/>
      <c r="I5" s="55"/>
      <c r="J5" s="21">
        <f t="shared" ref="J5:J30" si="2">IF(COUNTA($F5,$K5,$P5)&gt;0,J4+SUM(G5:I5),"")</f>
        <v>35500</v>
      </c>
      <c r="K5" s="8" t="s">
        <v>145</v>
      </c>
      <c r="L5" s="9">
        <v>3900</v>
      </c>
      <c r="M5" s="9">
        <v>3000</v>
      </c>
      <c r="N5" s="55">
        <v>1000</v>
      </c>
      <c r="O5" s="21">
        <f t="shared" ref="O5:O30" si="3">IF(COUNTA($F5,$K5,$P5)&gt;0,O4+SUM(L5:N5),"")</f>
        <v>39900</v>
      </c>
      <c r="P5" s="8" t="s">
        <v>146</v>
      </c>
      <c r="Q5" s="9">
        <v>-3900</v>
      </c>
      <c r="R5" s="9">
        <v>-1000</v>
      </c>
      <c r="S5" s="55">
        <v>-1000</v>
      </c>
      <c r="T5" s="21">
        <f t="shared" ref="T5:T30" si="4">IF(COUNTA($F5,$K5,$P5)&gt;0,T4+SUM(Q5:S5),"")</f>
        <v>29600</v>
      </c>
      <c r="U5" s="60">
        <f>IF($J5="","",ROUND(($J5-$J$3)/1000,1)+(_xlfn.RANK.AVG($J5,($J5,$O5,$T5),1)-2)*20)</f>
        <v>0.5</v>
      </c>
      <c r="V5" s="61">
        <f>IF($O5="","",ROUND(($O5-$O$3)/1000,1)+(_xlfn.RANK.AVG($O5,($J5,$O5,$T5),1)-2)*20)</f>
        <v>24.9</v>
      </c>
      <c r="W5" s="62">
        <f>IF($T5="","",ROUND(($T5-$T$3)/1000,1)+(_xlfn.RANK.AVG($T5,($J5,$O5,$T5),1)-2)*20)</f>
        <v>-25.4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30</v>
      </c>
      <c r="AZ5" s="47" t="s">
        <v>84</v>
      </c>
      <c r="BA5" s="48" t="s">
        <v>153</v>
      </c>
      <c r="BB5" s="48" t="s">
        <v>148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145</v>
      </c>
      <c r="G6" s="9">
        <v>18000</v>
      </c>
      <c r="H6" s="9"/>
      <c r="I6" s="55">
        <v>0</v>
      </c>
      <c r="J6" s="21">
        <f t="shared" si="2"/>
        <v>53500</v>
      </c>
      <c r="K6" s="8"/>
      <c r="L6" s="9"/>
      <c r="M6" s="9"/>
      <c r="N6" s="55"/>
      <c r="O6" s="21">
        <f t="shared" si="3"/>
        <v>39900</v>
      </c>
      <c r="P6" s="7" t="s">
        <v>146</v>
      </c>
      <c r="Q6" s="23">
        <v>-18000</v>
      </c>
      <c r="R6" s="23"/>
      <c r="S6" s="54">
        <v>0</v>
      </c>
      <c r="T6" s="21">
        <f t="shared" si="4"/>
        <v>11600</v>
      </c>
      <c r="U6" s="60">
        <f>IF($J6="","",ROUND(($J6-$J$3)/1000,1)+(_xlfn.RANK.AVG($J6,($J6,$O6,$T6),1)-2)*20)</f>
        <v>38.5</v>
      </c>
      <c r="V6" s="61">
        <f>IF($O6="","",ROUND(($O6-$O$3)/1000,1)+(_xlfn.RANK.AVG($O6,($J6,$O6,$T6),1)-2)*20)</f>
        <v>4.9000000000000004</v>
      </c>
      <c r="W6" s="62">
        <f>IF($T6="","",ROUND(($T6-$T$3)/1000,1)+(_xlfn.RANK.AVG($T6,($J6,$O6,$T6),1)-2)*20)</f>
        <v>-43.4</v>
      </c>
      <c r="Y6" s="8"/>
      <c r="Z6" s="41"/>
      <c r="AA6" s="32">
        <v>1</v>
      </c>
      <c r="AB6" s="32"/>
      <c r="AC6" s="32">
        <v>6</v>
      </c>
      <c r="AD6" s="36" t="s">
        <v>147</v>
      </c>
      <c r="AE6" s="47" t="s">
        <v>153</v>
      </c>
      <c r="AF6" s="48" t="s">
        <v>102</v>
      </c>
      <c r="AG6" s="48" t="s">
        <v>80</v>
      </c>
      <c r="AH6" s="48" t="s">
        <v>80</v>
      </c>
      <c r="AI6" s="48" t="s">
        <v>148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155</v>
      </c>
      <c r="G7" s="9">
        <v>-1300</v>
      </c>
      <c r="H7" s="9">
        <v>-1000</v>
      </c>
      <c r="I7" s="55">
        <v>-500</v>
      </c>
      <c r="J7" s="21">
        <f t="shared" si="2"/>
        <v>50700</v>
      </c>
      <c r="K7" s="8" t="s">
        <v>155</v>
      </c>
      <c r="L7" s="9">
        <v>-800</v>
      </c>
      <c r="M7" s="9"/>
      <c r="N7" s="55">
        <v>-500</v>
      </c>
      <c r="O7" s="21">
        <f t="shared" si="3"/>
        <v>38600</v>
      </c>
      <c r="P7" s="8" t="s">
        <v>156</v>
      </c>
      <c r="Q7" s="9">
        <v>2100</v>
      </c>
      <c r="R7" s="9">
        <v>1000</v>
      </c>
      <c r="S7" s="55">
        <v>1000</v>
      </c>
      <c r="T7" s="21">
        <f t="shared" si="4"/>
        <v>15700</v>
      </c>
      <c r="U7" s="60">
        <f>IF($J7="","",ROUND(($J7-$J$3)/1000,1)+(_xlfn.RANK.AVG($J7,($J7,$O7,$T7),1)-2)*20)</f>
        <v>35.700000000000003</v>
      </c>
      <c r="V7" s="61">
        <f>IF($O7="","",ROUND(($O7-$O$3)/1000,1)+(_xlfn.RANK.AVG($O7,($J7,$O7,$T7),1)-2)*20)</f>
        <v>3.6</v>
      </c>
      <c r="W7" s="62">
        <f>IF($T7="","",ROUND(($T7-$T$3)/1000,1)+(_xlfn.RANK.AVG($T7,($J7,$O7,$T7),1)-2)*20)</f>
        <v>-39.299999999999997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148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157</v>
      </c>
      <c r="F8" s="8" t="s">
        <v>146</v>
      </c>
      <c r="G8" s="9">
        <v>-7700</v>
      </c>
      <c r="H8" s="9"/>
      <c r="I8" s="55">
        <v>0</v>
      </c>
      <c r="J8" s="21">
        <f t="shared" si="2"/>
        <v>43000</v>
      </c>
      <c r="K8" s="8" t="s">
        <v>145</v>
      </c>
      <c r="L8" s="9">
        <v>7700</v>
      </c>
      <c r="M8" s="9"/>
      <c r="N8" s="55">
        <v>0</v>
      </c>
      <c r="O8" s="21">
        <f t="shared" si="3"/>
        <v>46300</v>
      </c>
      <c r="P8" s="8"/>
      <c r="Q8" s="9"/>
      <c r="R8" s="9"/>
      <c r="S8" s="55"/>
      <c r="T8" s="21">
        <f t="shared" si="4"/>
        <v>15700</v>
      </c>
      <c r="U8" s="60">
        <f>IF($J8="","",ROUND(($J8-$J$3)/1000,1)+(_xlfn.RANK.AVG($J8,($J8,$O8,$T8),1)-2)*20)</f>
        <v>8</v>
      </c>
      <c r="V8" s="61">
        <f>IF($O8="","",ROUND(($O8-$O$3)/1000,1)+(_xlfn.RANK.AVG($O8,($J8,$O8,$T8),1)-2)*20)</f>
        <v>31.3</v>
      </c>
      <c r="W8" s="62">
        <f>IF($T8="","",ROUND(($T8-$T$3)/1000,1)+(_xlfn.RANK.AVG($T8,($J8,$O8,$T8),1)-2)*20)</f>
        <v>-39.299999999999997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153</v>
      </c>
      <c r="BA8" s="48" t="s">
        <v>161</v>
      </c>
      <c r="BB8" s="48" t="s">
        <v>81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157</v>
      </c>
      <c r="F9" s="8" t="s">
        <v>155</v>
      </c>
      <c r="G9" s="9">
        <v>-3000</v>
      </c>
      <c r="H9" s="9">
        <v>-1000</v>
      </c>
      <c r="I9" s="55">
        <v>-500</v>
      </c>
      <c r="J9" s="21">
        <f t="shared" si="2"/>
        <v>38500</v>
      </c>
      <c r="K9" s="8" t="s">
        <v>155</v>
      </c>
      <c r="L9" s="9">
        <v>-5000</v>
      </c>
      <c r="M9" s="9"/>
      <c r="N9" s="55">
        <v>-500</v>
      </c>
      <c r="O9" s="21">
        <f t="shared" si="3"/>
        <v>40800</v>
      </c>
      <c r="P9" s="8" t="s">
        <v>156</v>
      </c>
      <c r="Q9" s="9">
        <v>8000</v>
      </c>
      <c r="R9" s="9">
        <v>1000</v>
      </c>
      <c r="S9" s="55">
        <v>1000</v>
      </c>
      <c r="T9" s="21">
        <f t="shared" si="4"/>
        <v>25700</v>
      </c>
      <c r="U9" s="60">
        <f>IF($J9="","",ROUND(($J9-$J$3)/1000,1)+(_xlfn.RANK.AVG($J9,($J9,$O9,$T9),1)-2)*20)</f>
        <v>3.5</v>
      </c>
      <c r="V9" s="61">
        <f>IF($O9="","",ROUND(($O9-$O$3)/1000,1)+(_xlfn.RANK.AVG($O9,($J9,$O9,$T9),1)-2)*20)</f>
        <v>25.8</v>
      </c>
      <c r="W9" s="62">
        <f>IF($T9="","",ROUND(($T9-$T$3)/1000,1)+(_xlfn.RANK.AVG($T9,($J9,$O9,$T9),1)-2)*20)</f>
        <v>-29.3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147</v>
      </c>
      <c r="BU9" s="47" t="s">
        <v>153</v>
      </c>
      <c r="BV9" s="48" t="s">
        <v>83</v>
      </c>
      <c r="BW9" s="48" t="s">
        <v>161</v>
      </c>
      <c r="BX9" s="48" t="s">
        <v>85</v>
      </c>
      <c r="BY9" s="48" t="s">
        <v>87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159</v>
      </c>
      <c r="F10" s="8" t="s">
        <v>146</v>
      </c>
      <c r="G10" s="9">
        <v>-2600</v>
      </c>
      <c r="H10" s="9"/>
      <c r="I10" s="55">
        <v>0</v>
      </c>
      <c r="J10" s="21">
        <f t="shared" si="2"/>
        <v>35900</v>
      </c>
      <c r="K10" s="8" t="s">
        <v>145</v>
      </c>
      <c r="L10" s="9">
        <v>2600</v>
      </c>
      <c r="M10" s="9"/>
      <c r="N10" s="55">
        <v>0</v>
      </c>
      <c r="O10" s="21">
        <f t="shared" si="3"/>
        <v>43400</v>
      </c>
      <c r="P10" s="8"/>
      <c r="Q10" s="9"/>
      <c r="R10" s="9"/>
      <c r="S10" s="55"/>
      <c r="T10" s="21">
        <f t="shared" si="4"/>
        <v>25700</v>
      </c>
      <c r="U10" s="60">
        <f>IF($J10="","",ROUND(($J10-$J$3)/1000,1)+(_xlfn.RANK.AVG($J10,($J10,$O10,$T10),1)-2)*20)</f>
        <v>0.9</v>
      </c>
      <c r="V10" s="61">
        <f>IF($O10="","",ROUND(($O10-$O$3)/1000,1)+(_xlfn.RANK.AVG($O10,($J10,$O10,$T10),1)-2)*20)</f>
        <v>28.4</v>
      </c>
      <c r="W10" s="62">
        <f>IF($T10="","",ROUND(($T10-$T$3)/1000,1)+(_xlfn.RANK.AVG($T10,($J10,$O10,$T10),1)-2)*20)</f>
        <v>-29.3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2</v>
      </c>
      <c r="AY10" s="36">
        <v>40</v>
      </c>
      <c r="AZ10" s="47" t="s">
        <v>86</v>
      </c>
      <c r="BA10" s="48" t="s">
        <v>148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155</v>
      </c>
      <c r="G11" s="9">
        <v>-4800</v>
      </c>
      <c r="H11" s="9"/>
      <c r="I11" s="55">
        <v>0</v>
      </c>
      <c r="J11" s="21">
        <f t="shared" si="2"/>
        <v>31100</v>
      </c>
      <c r="K11" s="8" t="s">
        <v>156</v>
      </c>
      <c r="L11" s="9">
        <v>7700</v>
      </c>
      <c r="M11" s="9"/>
      <c r="N11" s="55">
        <v>0</v>
      </c>
      <c r="O11" s="21">
        <f t="shared" si="3"/>
        <v>51100</v>
      </c>
      <c r="P11" s="8" t="s">
        <v>155</v>
      </c>
      <c r="Q11" s="9">
        <v>-2900</v>
      </c>
      <c r="R11" s="9"/>
      <c r="S11" s="55">
        <v>0</v>
      </c>
      <c r="T11" s="21">
        <f t="shared" si="4"/>
        <v>22800</v>
      </c>
      <c r="U11" s="60">
        <f>IF($J11="","",ROUND(($J11-$J$3)/1000,1)+(_xlfn.RANK.AVG($J11,($J11,$O11,$T11),1)-2)*20)</f>
        <v>-3.9</v>
      </c>
      <c r="V11" s="61">
        <f>IF($O11="","",ROUND(($O11-$O$3)/1000,1)+(_xlfn.RANK.AVG($O11,($J11,$O11,$T11),1)-2)*20)</f>
        <v>36.1</v>
      </c>
      <c r="W11" s="62">
        <f>IF($T11="","",ROUND(($T11-$T$3)/1000,1)+(_xlfn.RANK.AVG($T11,($J11,$O11,$T11),1)-2)*20)</f>
        <v>-32.200000000000003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4</v>
      </c>
      <c r="AY11" s="36">
        <v>30</v>
      </c>
      <c r="AZ11" s="47" t="s">
        <v>87</v>
      </c>
      <c r="BA11" s="48" t="s">
        <v>87</v>
      </c>
      <c r="BB11" s="48" t="s">
        <v>105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157</v>
      </c>
      <c r="F12" s="8" t="s">
        <v>156</v>
      </c>
      <c r="G12" s="9">
        <v>8000</v>
      </c>
      <c r="H12" s="9"/>
      <c r="I12" s="55">
        <v>0</v>
      </c>
      <c r="J12" s="21">
        <f t="shared" si="2"/>
        <v>39100</v>
      </c>
      <c r="K12" s="8" t="s">
        <v>155</v>
      </c>
      <c r="L12" s="9">
        <v>-5000</v>
      </c>
      <c r="M12" s="9"/>
      <c r="N12" s="55">
        <v>0</v>
      </c>
      <c r="O12" s="21">
        <f t="shared" si="3"/>
        <v>46100</v>
      </c>
      <c r="P12" s="8" t="s">
        <v>155</v>
      </c>
      <c r="Q12" s="9">
        <v>-3000</v>
      </c>
      <c r="R12" s="9"/>
      <c r="S12" s="55">
        <v>0</v>
      </c>
      <c r="T12" s="21">
        <f t="shared" si="4"/>
        <v>19800</v>
      </c>
      <c r="U12" s="60">
        <f>IF($J12="","",ROUND(($J12-$J$3)/1000,1)+(_xlfn.RANK.AVG($J12,($J12,$O12,$T12),1)-2)*20)</f>
        <v>4.0999999999999996</v>
      </c>
      <c r="V12" s="61">
        <f>IF($O12="","",ROUND(($O12-$O$3)/1000,1)+(_xlfn.RANK.AVG($O12,($J12,$O12,$T12),1)-2)*20)</f>
        <v>31.1</v>
      </c>
      <c r="W12" s="62">
        <f>IF($T12="","",ROUND(($T12-$T$3)/1000,1)+(_xlfn.RANK.AVG($T12,($J12,$O12,$T12),1)-2)*20)</f>
        <v>-35.200000000000003</v>
      </c>
      <c r="Y12" s="8"/>
      <c r="Z12" s="41"/>
      <c r="AA12" s="32">
        <v>1</v>
      </c>
      <c r="AB12" s="32"/>
      <c r="AC12" s="32">
        <v>5</v>
      </c>
      <c r="AD12" s="36" t="s">
        <v>147</v>
      </c>
      <c r="AE12" s="47" t="s">
        <v>153</v>
      </c>
      <c r="AF12" s="48" t="s">
        <v>83</v>
      </c>
      <c r="AG12" s="48" t="s">
        <v>161</v>
      </c>
      <c r="AH12" s="48" t="s">
        <v>84</v>
      </c>
      <c r="AI12" s="48" t="s">
        <v>81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6:L30 Q9:Q30">
    <cfRule type="expression" dxfId="23" priority="8">
      <formula>IF(G4&lt;&gt;"",SUM($G4:$I4,$L4:$N4,$Q4:$S4)-$D4*1000+$D5*1000)</formula>
    </cfRule>
  </conditionalFormatting>
  <conditionalFormatting sqref="F1:G1 I1:L1 S1:T1 N1:Q1">
    <cfRule type="duplicateValues" dxfId="22" priority="7"/>
  </conditionalFormatting>
  <conditionalFormatting sqref="H1">
    <cfRule type="duplicateValues" dxfId="21" priority="6"/>
  </conditionalFormatting>
  <conditionalFormatting sqref="R1">
    <cfRule type="duplicateValues" dxfId="20" priority="5"/>
  </conditionalFormatting>
  <conditionalFormatting sqref="M1">
    <cfRule type="duplicateValues" dxfId="19" priority="4"/>
  </conditionalFormatting>
  <conditionalFormatting sqref="Q7:Q8">
    <cfRule type="expression" dxfId="18" priority="3">
      <formula>IF(Q7&lt;&gt;"",SUM($G7:$I7,$L7:$N7,$Q7:$S7)-$D7*1000+$D8*1000)</formula>
    </cfRule>
  </conditionalFormatting>
  <conditionalFormatting sqref="L4:L5">
    <cfRule type="expression" dxfId="17" priority="2">
      <formula>IF(L4&lt;&gt;"",SUM($G4:$I4,$L4:$N4,$Q4:$S4)-$D4*1000+$D5*1000)</formula>
    </cfRule>
  </conditionalFormatting>
  <conditionalFormatting sqref="Q4:Q5">
    <cfRule type="expression" dxfId="16" priority="1">
      <formula>IF(Q4&lt;&gt;"",SUM($G4:$I4,$L4:$N4,$Q4:$S4)-$D4*1000+$D5*1000)</formula>
    </cfRule>
  </conditionalFormatting>
  <dataValidations count="2">
    <dataValidation type="list" showInputMessage="1" showErrorMessage="1" sqref="P7:P30 F4:F30 K4:K30 P4:P5" xr:uid="{128B4355-8062-42A7-94BD-B887AAB66ACC}">
      <formula1>"ロン,ツモ,放銃,ツモ支払,流局,チョンボ"</formula1>
    </dataValidation>
    <dataValidation type="list" allowBlank="1" showInputMessage="1" showErrorMessage="1" sqref="E4:E30" xr:uid="{53B19C68-7227-4D20-B073-3FFAC6BBA4B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FA992-5063-4EA2-8DCB-7C2406CD876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142</v>
      </c>
      <c r="G1" s="86"/>
      <c r="H1" s="86"/>
      <c r="I1" s="95"/>
      <c r="J1" s="87"/>
      <c r="K1" s="84" t="s">
        <v>163</v>
      </c>
      <c r="L1" s="86"/>
      <c r="M1" s="86"/>
      <c r="N1" s="95"/>
      <c r="O1" s="87"/>
      <c r="P1" s="84" t="s">
        <v>158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れんたろう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まっつん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れんたろう</v>
      </c>
      <c r="W2" s="16" t="str">
        <f>$P$1</f>
        <v>まっつん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-5800</v>
      </c>
      <c r="M4" s="9"/>
      <c r="N4" s="55">
        <v>0</v>
      </c>
      <c r="O4" s="21">
        <f>IF(COUNTA($F4,$K4,$P4)&gt;0,O3+SUM(L4:N4),"")</f>
        <v>29200</v>
      </c>
      <c r="P4" s="8" t="s">
        <v>145</v>
      </c>
      <c r="Q4" s="9">
        <v>5800</v>
      </c>
      <c r="R4" s="9"/>
      <c r="S4" s="55">
        <v>0</v>
      </c>
      <c r="T4" s="21">
        <f>IF(COUNTA($F4,$K4,$P4)&gt;0,T3+SUM(Q4:S4),"")</f>
        <v>40800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-25.8</v>
      </c>
      <c r="W4" s="62">
        <f>IF($T4="","",ROUND(($T4-$T$3)/1000,1)+(_xlfn.RANK.AVG($T4,($J4,$O4,$T4),1)-2)*20)</f>
        <v>25.8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87</v>
      </c>
      <c r="BW4" s="48" t="s">
        <v>148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156</v>
      </c>
      <c r="G5" s="9">
        <v>7700</v>
      </c>
      <c r="H5" s="9">
        <v>1000</v>
      </c>
      <c r="I5" s="55">
        <v>1000</v>
      </c>
      <c r="J5" s="21">
        <f t="shared" ref="J5:J30" si="2">IF(COUNTA($F5,$K5,$P5)&gt;0,J4+SUM(G5:I5),"")</f>
        <v>44700</v>
      </c>
      <c r="K5" s="8" t="s">
        <v>155</v>
      </c>
      <c r="L5" s="9">
        <v>-2900</v>
      </c>
      <c r="M5" s="9">
        <v>-1000</v>
      </c>
      <c r="N5" s="55">
        <v>-500</v>
      </c>
      <c r="O5" s="21">
        <f t="shared" ref="O5:O30" si="3">IF(COUNTA($F5,$K5,$P5)&gt;0,O4+SUM(L5:N5),"")</f>
        <v>24800</v>
      </c>
      <c r="P5" s="8" t="s">
        <v>155</v>
      </c>
      <c r="Q5" s="9">
        <v>-4800</v>
      </c>
      <c r="R5" s="9"/>
      <c r="S5" s="55">
        <v>-500</v>
      </c>
      <c r="T5" s="21">
        <f t="shared" ref="T5:T30" si="4">IF(COUNTA($F5,$K5,$P5)&gt;0,T4+SUM(Q5:S5),"")</f>
        <v>35500</v>
      </c>
      <c r="U5" s="60">
        <f>IF($J5="","",ROUND(($J5-$J$3)/1000,1)+(_xlfn.RANK.AVG($J5,($J5,$O5,$T5),1)-2)*20)</f>
        <v>29.7</v>
      </c>
      <c r="V5" s="61">
        <f>IF($O5="","",ROUND(($O5-$O$3)/1000,1)+(_xlfn.RANK.AVG($O5,($J5,$O5,$T5),1)-2)*20)</f>
        <v>-30.2</v>
      </c>
      <c r="W5" s="62">
        <f>IF($T5="","",ROUND(($T5-$T$3)/1000,1)+(_xlfn.RANK.AVG($T5,($J5,$O5,$T5),1)-2)*20)</f>
        <v>0.5</v>
      </c>
      <c r="Y5" s="8"/>
      <c r="Z5" s="41"/>
      <c r="AA5" s="32"/>
      <c r="AB5" s="32">
        <v>1</v>
      </c>
      <c r="AC5" s="32">
        <v>4</v>
      </c>
      <c r="AD5" s="36">
        <v>30</v>
      </c>
      <c r="AE5" s="47" t="s">
        <v>87</v>
      </c>
      <c r="AF5" s="48" t="s">
        <v>80</v>
      </c>
      <c r="AG5" s="48" t="s">
        <v>80</v>
      </c>
      <c r="AH5" s="48" t="s">
        <v>148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151</v>
      </c>
      <c r="G6" s="9">
        <v>3000</v>
      </c>
      <c r="H6" s="9">
        <v>-1000</v>
      </c>
      <c r="I6" s="55"/>
      <c r="J6" s="21">
        <f t="shared" si="2"/>
        <v>46700</v>
      </c>
      <c r="K6" s="8" t="s">
        <v>151</v>
      </c>
      <c r="L6" s="9">
        <v>-1500</v>
      </c>
      <c r="M6" s="9"/>
      <c r="N6" s="55"/>
      <c r="O6" s="21">
        <f t="shared" si="3"/>
        <v>23300</v>
      </c>
      <c r="P6" s="7" t="s">
        <v>151</v>
      </c>
      <c r="Q6" s="23">
        <v>-1500</v>
      </c>
      <c r="R6" s="23"/>
      <c r="S6" s="54"/>
      <c r="T6" s="21">
        <f t="shared" si="4"/>
        <v>34000</v>
      </c>
      <c r="U6" s="60">
        <f>IF($J6="","",ROUND(($J6-$J$3)/1000,1)+(_xlfn.RANK.AVG($J6,($J6,$O6,$T6),1)-2)*20)</f>
        <v>31.7</v>
      </c>
      <c r="V6" s="61">
        <f>IF($O6="","",ROUND(($O6-$O$3)/1000,1)+(_xlfn.RANK.AVG($O6,($J6,$O6,$T6),1)-2)*20)</f>
        <v>-31.7</v>
      </c>
      <c r="W6" s="62">
        <f>IF($T6="","",ROUND(($T6-$T$3)/1000,1)+(_xlfn.RANK.AVG($T6,($J6,$O6,$T6),1)-2)*20)</f>
        <v>-1</v>
      </c>
      <c r="Y6" s="8" t="s">
        <v>150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">
        <v>141</v>
      </c>
      <c r="F7" s="8" t="s">
        <v>145</v>
      </c>
      <c r="G7" s="9">
        <v>3900</v>
      </c>
      <c r="H7" s="9">
        <v>2000</v>
      </c>
      <c r="I7" s="55">
        <v>1000</v>
      </c>
      <c r="J7" s="21">
        <f t="shared" si="2"/>
        <v>53600</v>
      </c>
      <c r="K7" s="8"/>
      <c r="L7" s="9"/>
      <c r="M7" s="9"/>
      <c r="N7" s="55"/>
      <c r="O7" s="21">
        <f t="shared" si="3"/>
        <v>23300</v>
      </c>
      <c r="P7" s="8" t="s">
        <v>146</v>
      </c>
      <c r="Q7" s="9">
        <v>-3900</v>
      </c>
      <c r="R7" s="9">
        <v>-1000</v>
      </c>
      <c r="S7" s="55">
        <v>-1000</v>
      </c>
      <c r="T7" s="21">
        <f t="shared" si="4"/>
        <v>28100</v>
      </c>
      <c r="U7" s="60">
        <f>IF($J7="","",ROUND(($J7-$J$3)/1000,1)+(_xlfn.RANK.AVG($J7,($J7,$O7,$T7),1)-2)*20)</f>
        <v>38.6</v>
      </c>
      <c r="V7" s="61">
        <f>IF($O7="","",ROUND(($O7-$O$3)/1000,1)+(_xlfn.RANK.AVG($O7,($J7,$O7,$T7),1)-2)*20)</f>
        <v>-31.7</v>
      </c>
      <c r="W7" s="62">
        <f>IF($T7="","",ROUND(($T7-$T$3)/1000,1)+(_xlfn.RANK.AVG($T7,($J7,$O7,$T7),1)-2)*20)</f>
        <v>-6.9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153</v>
      </c>
      <c r="AF7" s="48" t="s">
        <v>85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141</v>
      </c>
      <c r="F8" s="8" t="s">
        <v>146</v>
      </c>
      <c r="G8" s="9">
        <v>-8000</v>
      </c>
      <c r="H8" s="9"/>
      <c r="I8" s="55">
        <v>-2000</v>
      </c>
      <c r="J8" s="21">
        <f t="shared" si="2"/>
        <v>43600</v>
      </c>
      <c r="K8" s="8"/>
      <c r="L8" s="9"/>
      <c r="M8" s="9"/>
      <c r="N8" s="55"/>
      <c r="O8" s="21">
        <f t="shared" si="3"/>
        <v>23300</v>
      </c>
      <c r="P8" s="8" t="s">
        <v>145</v>
      </c>
      <c r="Q8" s="9">
        <v>8000</v>
      </c>
      <c r="R8" s="9"/>
      <c r="S8" s="55">
        <v>2000</v>
      </c>
      <c r="T8" s="21">
        <f t="shared" si="4"/>
        <v>38100</v>
      </c>
      <c r="U8" s="60">
        <f>IF($J8="","",ROUND(($J8-$J$3)/1000,1)+(_xlfn.RANK.AVG($J8,($J8,$O8,$T8),1)-2)*20)</f>
        <v>28.6</v>
      </c>
      <c r="V8" s="61">
        <f>IF($O8="","",ROUND(($O8-$O$3)/1000,1)+(_xlfn.RANK.AVG($O8,($J8,$O8,$T8),1)-2)*20)</f>
        <v>-31.7</v>
      </c>
      <c r="W8" s="62">
        <f>IF($T8="","",ROUND(($T8-$T$3)/1000,1)+(_xlfn.RANK.AVG($T8,($J8,$O8,$T8),1)-2)*20)</f>
        <v>3.1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5</v>
      </c>
      <c r="BT8" s="36" t="s">
        <v>147</v>
      </c>
      <c r="BU8" s="47" t="s">
        <v>87</v>
      </c>
      <c r="BV8" s="48" t="s">
        <v>87</v>
      </c>
      <c r="BW8" s="48" t="s">
        <v>87</v>
      </c>
      <c r="BX8" s="48" t="s">
        <v>148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162</v>
      </c>
      <c r="F9" s="8" t="s">
        <v>151</v>
      </c>
      <c r="G9" s="9">
        <v>0</v>
      </c>
      <c r="H9" s="9"/>
      <c r="I9" s="55"/>
      <c r="J9" s="21">
        <f t="shared" si="2"/>
        <v>43600</v>
      </c>
      <c r="K9" s="8" t="s">
        <v>151</v>
      </c>
      <c r="L9" s="9">
        <v>0</v>
      </c>
      <c r="M9" s="9"/>
      <c r="N9" s="55"/>
      <c r="O9" s="21">
        <f t="shared" si="3"/>
        <v>23300</v>
      </c>
      <c r="P9" s="8" t="s">
        <v>151</v>
      </c>
      <c r="Q9" s="9">
        <v>0</v>
      </c>
      <c r="R9" s="9"/>
      <c r="S9" s="55"/>
      <c r="T9" s="21">
        <f t="shared" si="4"/>
        <v>38100</v>
      </c>
      <c r="U9" s="60">
        <f>IF($J9="","",ROUND(($J9-$J$3)/1000,1)+(_xlfn.RANK.AVG($J9,($J9,$O9,$T9),1)-2)*20)</f>
        <v>28.6</v>
      </c>
      <c r="V9" s="61">
        <f>IF($O9="","",ROUND(($O9-$O$3)/1000,1)+(_xlfn.RANK.AVG($O9,($J9,$O9,$T9),1)-2)*20)</f>
        <v>-31.7</v>
      </c>
      <c r="W9" s="62">
        <f>IF($T9="","",ROUND(($T9-$T$3)/1000,1)+(_xlfn.RANK.AVG($T9,($J9,$O9,$T9),1)-2)*20)</f>
        <v>3.1</v>
      </c>
      <c r="Y9" s="8" t="s">
        <v>149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149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149</v>
      </c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157</v>
      </c>
      <c r="F10" s="8" t="s">
        <v>155</v>
      </c>
      <c r="G10" s="9">
        <v>-6000</v>
      </c>
      <c r="H10" s="9"/>
      <c r="I10" s="55">
        <v>-500</v>
      </c>
      <c r="J10" s="21">
        <f t="shared" si="2"/>
        <v>37100</v>
      </c>
      <c r="K10" s="8" t="s">
        <v>155</v>
      </c>
      <c r="L10" s="9">
        <v>-6000</v>
      </c>
      <c r="M10" s="9"/>
      <c r="N10" s="55">
        <v>-500</v>
      </c>
      <c r="O10" s="21">
        <f t="shared" si="3"/>
        <v>16800</v>
      </c>
      <c r="P10" s="8" t="s">
        <v>156</v>
      </c>
      <c r="Q10" s="9">
        <v>12000</v>
      </c>
      <c r="R10" s="9"/>
      <c r="S10" s="55">
        <v>1000</v>
      </c>
      <c r="T10" s="21">
        <f t="shared" si="4"/>
        <v>51100</v>
      </c>
      <c r="U10" s="60">
        <f>IF($J10="","",ROUND(($J10-$J$3)/1000,1)+(_xlfn.RANK.AVG($J10,($J10,$O10,$T10),1)-2)*20)</f>
        <v>2.1</v>
      </c>
      <c r="V10" s="61">
        <f>IF($O10="","",ROUND(($O10-$O$3)/1000,1)+(_xlfn.RANK.AVG($O10,($J10,$O10,$T10),1)-2)*20)</f>
        <v>-38.200000000000003</v>
      </c>
      <c r="W10" s="62">
        <f>IF($T10="","",ROUND(($T10-$T$3)/1000,1)+(_xlfn.RANK.AVG($T10,($J10,$O10,$T10),1)-2)*20)</f>
        <v>36.1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5</v>
      </c>
      <c r="BT10" s="36" t="s">
        <v>147</v>
      </c>
      <c r="BU10" s="47" t="s">
        <v>107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157</v>
      </c>
      <c r="F11" s="8" t="s">
        <v>146</v>
      </c>
      <c r="G11" s="9">
        <v>-12000</v>
      </c>
      <c r="H11" s="9"/>
      <c r="I11" s="55">
        <v>-2000</v>
      </c>
      <c r="J11" s="21">
        <f t="shared" si="2"/>
        <v>23100</v>
      </c>
      <c r="K11" s="8" t="s">
        <v>145</v>
      </c>
      <c r="L11" s="9">
        <v>12000</v>
      </c>
      <c r="M11" s="9"/>
      <c r="N11" s="55">
        <v>2000</v>
      </c>
      <c r="O11" s="21">
        <f t="shared" si="3"/>
        <v>30800</v>
      </c>
      <c r="P11" s="8"/>
      <c r="Q11" s="9"/>
      <c r="R11" s="9"/>
      <c r="S11" s="55"/>
      <c r="T11" s="21">
        <f t="shared" si="4"/>
        <v>51100</v>
      </c>
      <c r="U11" s="60">
        <f>IF($J11="","",ROUND(($J11-$J$3)/1000,1)+(_xlfn.RANK.AVG($J11,($J11,$O11,$T11),1)-2)*20)</f>
        <v>-31.9</v>
      </c>
      <c r="V11" s="61">
        <f>IF($O11="","",ROUND(($O11-$O$3)/1000,1)+(_xlfn.RANK.AVG($O11,($J11,$O11,$T11),1)-2)*20)</f>
        <v>-4.2</v>
      </c>
      <c r="W11" s="62">
        <f>IF($T11="","",ROUND(($T11-$T$3)/1000,1)+(_xlfn.RANK.AVG($T11,($J11,$O11,$T11),1)-2)*20)</f>
        <v>36.1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147</v>
      </c>
      <c r="AZ11" s="47" t="s">
        <v>153</v>
      </c>
      <c r="BA11" s="48" t="s">
        <v>161</v>
      </c>
      <c r="BB11" s="48" t="s">
        <v>102</v>
      </c>
      <c r="BC11" s="48" t="s">
        <v>80</v>
      </c>
      <c r="BD11" s="48" t="s">
        <v>80</v>
      </c>
      <c r="BE11" s="48" t="s">
        <v>148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155</v>
      </c>
      <c r="G12" s="9">
        <v>-1300</v>
      </c>
      <c r="H12" s="9"/>
      <c r="I12" s="55">
        <v>0</v>
      </c>
      <c r="J12" s="21">
        <f t="shared" si="2"/>
        <v>21800</v>
      </c>
      <c r="K12" s="8" t="s">
        <v>156</v>
      </c>
      <c r="L12" s="9">
        <v>2100</v>
      </c>
      <c r="M12" s="9"/>
      <c r="N12" s="55">
        <v>0</v>
      </c>
      <c r="O12" s="21">
        <f t="shared" si="3"/>
        <v>32900</v>
      </c>
      <c r="P12" s="8" t="s">
        <v>155</v>
      </c>
      <c r="Q12" s="9">
        <v>-800</v>
      </c>
      <c r="R12" s="9"/>
      <c r="S12" s="55">
        <v>0</v>
      </c>
      <c r="T12" s="21">
        <f t="shared" si="4"/>
        <v>50300</v>
      </c>
      <c r="U12" s="60">
        <f>IF($J12="","",ROUND(($J12-$J$3)/1000,1)+(_xlfn.RANK.AVG($J12,($J12,$O12,$T12),1)-2)*20)</f>
        <v>-33.200000000000003</v>
      </c>
      <c r="V12" s="61">
        <f>IF($O12="","",ROUND(($O12-$O$3)/1000,1)+(_xlfn.RANK.AVG($O12,($J12,$O12,$T12),1)-2)*20)</f>
        <v>-2.1</v>
      </c>
      <c r="W12" s="62">
        <f>IF($T12="","",ROUND(($T12-$T$3)/1000,1)+(_xlfn.RANK.AVG($T12,($J12,$O12,$T12),1)-2)*20)</f>
        <v>35.299999999999997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2</v>
      </c>
      <c r="AY12" s="36">
        <v>30</v>
      </c>
      <c r="AZ12" s="47" t="s">
        <v>83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162</v>
      </c>
      <c r="F13" s="8" t="s">
        <v>156</v>
      </c>
      <c r="G13" s="9">
        <v>8000</v>
      </c>
      <c r="H13" s="9"/>
      <c r="I13" s="55">
        <v>0</v>
      </c>
      <c r="J13" s="21">
        <f t="shared" si="2"/>
        <v>29800</v>
      </c>
      <c r="K13" s="8" t="s">
        <v>155</v>
      </c>
      <c r="L13" s="9">
        <v>-5000</v>
      </c>
      <c r="M13" s="9"/>
      <c r="N13" s="55">
        <v>0</v>
      </c>
      <c r="O13" s="21">
        <f t="shared" si="3"/>
        <v>27900</v>
      </c>
      <c r="P13" s="8" t="s">
        <v>155</v>
      </c>
      <c r="Q13" s="9">
        <v>-3000</v>
      </c>
      <c r="R13" s="9"/>
      <c r="S13" s="55">
        <v>0</v>
      </c>
      <c r="T13" s="21">
        <f t="shared" si="4"/>
        <v>47300</v>
      </c>
      <c r="U13" s="60">
        <f>IF($J13="","",ROUND(($J13-$J$3)/1000,1)+(_xlfn.RANK.AVG($J13,($J13,$O13,$T13),1)-2)*20)</f>
        <v>-5.2</v>
      </c>
      <c r="V13" s="61">
        <f>IF($O13="","",ROUND(($O13-$O$3)/1000,1)+(_xlfn.RANK.AVG($O13,($J13,$O13,$T13),1)-2)*20)</f>
        <v>-27.1</v>
      </c>
      <c r="W13" s="62">
        <f>IF($T13="","",ROUND(($T13-$T$3)/1000,1)+(_xlfn.RANK.AVG($T13,($J13,$O13,$T13),1)-2)*20)</f>
        <v>32.299999999999997</v>
      </c>
      <c r="Y13" s="8"/>
      <c r="Z13" s="41"/>
      <c r="AA13" s="32">
        <v>1</v>
      </c>
      <c r="AB13" s="32"/>
      <c r="AC13" s="32">
        <v>5</v>
      </c>
      <c r="AD13" s="36" t="s">
        <v>147</v>
      </c>
      <c r="AE13" s="47" t="s">
        <v>153</v>
      </c>
      <c r="AF13" s="48" t="s">
        <v>83</v>
      </c>
      <c r="AG13" s="48" t="s">
        <v>148</v>
      </c>
      <c r="AH13" s="48" t="s">
        <v>148</v>
      </c>
      <c r="AI13" s="48" t="s">
        <v>80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6:L30 Q9:Q30">
    <cfRule type="expression" dxfId="15" priority="8">
      <formula>IF(G4&lt;&gt;"",SUM($G4:$I4,$L4:$N4,$Q4:$S4)-$D4*1000+$D5*1000)</formula>
    </cfRule>
  </conditionalFormatting>
  <conditionalFormatting sqref="F1:G1 I1:L1 S1:T1 N1:Q1">
    <cfRule type="duplicateValues" dxfId="14" priority="7"/>
  </conditionalFormatting>
  <conditionalFormatting sqref="H1">
    <cfRule type="duplicateValues" dxfId="13" priority="6"/>
  </conditionalFormatting>
  <conditionalFormatting sqref="R1">
    <cfRule type="duplicateValues" dxfId="12" priority="5"/>
  </conditionalFormatting>
  <conditionalFormatting sqref="M1">
    <cfRule type="duplicateValues" dxfId="11" priority="4"/>
  </conditionalFormatting>
  <conditionalFormatting sqref="Q7:Q8">
    <cfRule type="expression" dxfId="10" priority="3">
      <formula>IF(Q7&lt;&gt;"",SUM($G7:$I7,$L7:$N7,$Q7:$S7)-$D7*1000+$D8*1000)</formula>
    </cfRule>
  </conditionalFormatting>
  <conditionalFormatting sqref="L4:L5">
    <cfRule type="expression" dxfId="9" priority="2">
      <formula>IF(L4&lt;&gt;"",SUM($G4:$I4,$L4:$N4,$Q4:$S4)-$D4*1000+$D5*1000)</formula>
    </cfRule>
  </conditionalFormatting>
  <conditionalFormatting sqref="Q4:Q5">
    <cfRule type="expression" dxfId="8" priority="1">
      <formula>IF(Q4&lt;&gt;"",SUM($G4:$I4,$L4:$N4,$Q4:$S4)-$D4*1000+$D5*1000)</formula>
    </cfRule>
  </conditionalFormatting>
  <dataValidations count="2">
    <dataValidation type="list" allowBlank="1" showInputMessage="1" showErrorMessage="1" sqref="E4:E30" xr:uid="{FD44F991-0EC5-4927-AC78-72D5A41EA133}">
      <formula1>$U$2:$W$2</formula1>
    </dataValidation>
    <dataValidation type="list" showInputMessage="1" showErrorMessage="1" sqref="P7:P30 F4:F30 K4:K30 P4:P5" xr:uid="{5E3FBB11-59A5-480C-A830-EC246302DD3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B9B95-3AE2-4BCA-9E13-FEF5C76DBFC4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142</v>
      </c>
      <c r="G1" s="86"/>
      <c r="H1" s="86"/>
      <c r="I1" s="95"/>
      <c r="J1" s="87"/>
      <c r="K1" s="84" t="s">
        <v>144</v>
      </c>
      <c r="L1" s="86"/>
      <c r="M1" s="86"/>
      <c r="N1" s="95"/>
      <c r="O1" s="87"/>
      <c r="P1" s="84" t="s">
        <v>163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れんたろう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ただ</v>
      </c>
      <c r="W2" s="16" t="str">
        <f>$P$1</f>
        <v>れんたろう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155</v>
      </c>
      <c r="G4" s="9">
        <v>-5000</v>
      </c>
      <c r="H4" s="9"/>
      <c r="I4" s="55">
        <v>0</v>
      </c>
      <c r="J4" s="21">
        <f>IF(COUNTA($F4,$K4,$P4)&gt;0,J3+SUM(G4:I4),"")</f>
        <v>30000</v>
      </c>
      <c r="K4" s="8" t="s">
        <v>156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155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>IF($J4="","",ROUND(($J4-$J$3)/1000,1)+(_xlfn.RANK.AVG($J4,($J4,$O4,$T4),1)-2)*20)</f>
        <v>-25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153</v>
      </c>
      <c r="BA4" s="48" t="s">
        <v>83</v>
      </c>
      <c r="BB4" s="48" t="s">
        <v>86</v>
      </c>
      <c r="BC4" s="48" t="s">
        <v>148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8000</v>
      </c>
      <c r="H5" s="9"/>
      <c r="I5" s="55"/>
      <c r="J5" s="21">
        <f t="shared" ref="J5:J30" si="2">IF(COUNTA($F5,$K5,$P5)&gt;0,J4+SUM(G5:I5),"")</f>
        <v>38000</v>
      </c>
      <c r="K5" s="8" t="s">
        <v>146</v>
      </c>
      <c r="L5" s="9">
        <v>-11900</v>
      </c>
      <c r="M5" s="9"/>
      <c r="N5" s="55">
        <v>0</v>
      </c>
      <c r="O5" s="21">
        <f t="shared" ref="O5:O30" si="3">IF(COUNTA($F5,$K5,$P5)&gt;0,O4+SUM(L5:N5),"")</f>
        <v>31100</v>
      </c>
      <c r="P5" s="8" t="s">
        <v>145</v>
      </c>
      <c r="Q5" s="9">
        <v>3900</v>
      </c>
      <c r="R5" s="9"/>
      <c r="S5" s="55">
        <v>0</v>
      </c>
      <c r="T5" s="21">
        <f t="shared" ref="T5:T30" si="4">IF(COUNTA($F5,$K5,$P5)&gt;0,T4+SUM(Q5:S5),"")</f>
        <v>35900</v>
      </c>
      <c r="U5" s="60">
        <f>IF($J5="","",ROUND(($J5-$J$3)/1000,1)+(_xlfn.RANK.AVG($J5,($J5,$O5,$T5),1)-2)*20)</f>
        <v>23</v>
      </c>
      <c r="V5" s="61">
        <f>IF($O5="","",ROUND(($O5-$O$3)/1000,1)+(_xlfn.RANK.AVG($O5,($J5,$O5,$T5),1)-2)*20)</f>
        <v>-23.9</v>
      </c>
      <c r="W5" s="62">
        <f>IF($T5="","",ROUND(($T5-$T$3)/1000,1)+(_xlfn.RANK.AVG($T5,($J5,$O5,$T5),1)-2)*20)</f>
        <v>0.9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153</v>
      </c>
      <c r="AF5" s="48" t="s">
        <v>84</v>
      </c>
      <c r="AG5" s="48" t="s">
        <v>81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30</v>
      </c>
      <c r="BU5" s="47" t="s">
        <v>153</v>
      </c>
      <c r="BV5" s="48" t="s">
        <v>84</v>
      </c>
      <c r="BW5" s="48" t="s">
        <v>81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162</v>
      </c>
      <c r="F6" s="8" t="s">
        <v>156</v>
      </c>
      <c r="G6" s="9">
        <v>7700</v>
      </c>
      <c r="H6" s="9"/>
      <c r="I6" s="55">
        <v>0</v>
      </c>
      <c r="J6" s="21">
        <f t="shared" si="2"/>
        <v>45700</v>
      </c>
      <c r="K6" s="8" t="s">
        <v>155</v>
      </c>
      <c r="L6" s="9">
        <v>-2900</v>
      </c>
      <c r="M6" s="9"/>
      <c r="N6" s="55">
        <v>0</v>
      </c>
      <c r="O6" s="21">
        <f t="shared" si="3"/>
        <v>28200</v>
      </c>
      <c r="P6" s="7" t="s">
        <v>155</v>
      </c>
      <c r="Q6" s="23">
        <v>-4800</v>
      </c>
      <c r="R6" s="23"/>
      <c r="S6" s="54">
        <v>0</v>
      </c>
      <c r="T6" s="21">
        <f t="shared" si="4"/>
        <v>31100</v>
      </c>
      <c r="U6" s="60">
        <f>IF($J6="","",ROUND(($J6-$J$3)/1000,1)+(_xlfn.RANK.AVG($J6,($J6,$O6,$T6),1)-2)*20)</f>
        <v>30.7</v>
      </c>
      <c r="V6" s="61">
        <f>IF($O6="","",ROUND(($O6-$O$3)/1000,1)+(_xlfn.RANK.AVG($O6,($J6,$O6,$T6),1)-2)*20)</f>
        <v>-26.8</v>
      </c>
      <c r="W6" s="62">
        <f>IF($T6="","",ROUND(($T6-$T$3)/1000,1)+(_xlfn.RANK.AVG($T6,($J6,$O6,$T6),1)-2)*20)</f>
        <v>-3.9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80</v>
      </c>
      <c r="AG6" s="48" t="s">
        <v>80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145</v>
      </c>
      <c r="G7" s="9">
        <v>7700</v>
      </c>
      <c r="H7" s="9"/>
      <c r="I7" s="55">
        <v>0</v>
      </c>
      <c r="J7" s="21">
        <f t="shared" si="2"/>
        <v>53400</v>
      </c>
      <c r="K7" s="8"/>
      <c r="L7" s="9"/>
      <c r="M7" s="9"/>
      <c r="N7" s="55"/>
      <c r="O7" s="21">
        <f t="shared" si="3"/>
        <v>28200</v>
      </c>
      <c r="P7" s="8" t="s">
        <v>146</v>
      </c>
      <c r="Q7" s="9">
        <v>-7700</v>
      </c>
      <c r="R7" s="9"/>
      <c r="S7" s="55">
        <v>0</v>
      </c>
      <c r="T7" s="21">
        <f t="shared" si="4"/>
        <v>23400</v>
      </c>
      <c r="U7" s="60">
        <f>IF($J7="","",ROUND(($J7-$J$3)/1000,1)+(_xlfn.RANK.AVG($J7,($J7,$O7,$T7),1)-2)*20)</f>
        <v>38.4</v>
      </c>
      <c r="V7" s="61">
        <f>IF($O7="","",ROUND(($O7-$O$3)/1000,1)+(_xlfn.RANK.AVG($O7,($J7,$O7,$T7),1)-2)*20)</f>
        <v>-6.8</v>
      </c>
      <c r="W7" s="62">
        <f>IF($T7="","",ROUND(($T7-$T$3)/1000,1)+(_xlfn.RANK.AVG($T7,($J7,$O7,$T7),1)-2)*20)</f>
        <v>-31.6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153</v>
      </c>
      <c r="AF7" s="48" t="s">
        <v>80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155</v>
      </c>
      <c r="G8" s="9">
        <v>-4800</v>
      </c>
      <c r="H8" s="9"/>
      <c r="I8" s="55">
        <v>-500</v>
      </c>
      <c r="J8" s="21">
        <f t="shared" si="2"/>
        <v>48100</v>
      </c>
      <c r="K8" s="8" t="s">
        <v>155</v>
      </c>
      <c r="L8" s="9">
        <v>-2900</v>
      </c>
      <c r="M8" s="9">
        <v>-1000</v>
      </c>
      <c r="N8" s="55">
        <v>-500</v>
      </c>
      <c r="O8" s="21">
        <f t="shared" si="3"/>
        <v>23800</v>
      </c>
      <c r="P8" s="8" t="s">
        <v>156</v>
      </c>
      <c r="Q8" s="9">
        <v>7700</v>
      </c>
      <c r="R8" s="9">
        <v>1000</v>
      </c>
      <c r="S8" s="55">
        <v>1000</v>
      </c>
      <c r="T8" s="21">
        <f t="shared" si="4"/>
        <v>33100</v>
      </c>
      <c r="U8" s="60">
        <f>IF($J8="","",ROUND(($J8-$J$3)/1000,1)+(_xlfn.RANK.AVG($J8,($J8,$O8,$T8),1)-2)*20)</f>
        <v>33.1</v>
      </c>
      <c r="V8" s="61">
        <f>IF($O8="","",ROUND(($O8-$O$3)/1000,1)+(_xlfn.RANK.AVG($O8,($J8,$O8,$T8),1)-2)*20)</f>
        <v>-31.2</v>
      </c>
      <c r="W8" s="62">
        <f>IF($T8="","",ROUND(($T8-$T$3)/1000,1)+(_xlfn.RANK.AVG($T8,($J8,$O8,$T8),1)-2)*20)</f>
        <v>-1.9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30</v>
      </c>
      <c r="BU8" s="47" t="s">
        <v>153</v>
      </c>
      <c r="BV8" s="48" t="s">
        <v>83</v>
      </c>
      <c r="BW8" s="48" t="s">
        <v>148</v>
      </c>
      <c r="BX8" s="48" t="s">
        <v>85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155</v>
      </c>
      <c r="G9" s="9">
        <v>-4500</v>
      </c>
      <c r="H9" s="9"/>
      <c r="I9" s="55">
        <v>0</v>
      </c>
      <c r="J9" s="21">
        <f t="shared" si="2"/>
        <v>43600</v>
      </c>
      <c r="K9" s="8" t="s">
        <v>155</v>
      </c>
      <c r="L9" s="9">
        <v>-7500</v>
      </c>
      <c r="M9" s="9"/>
      <c r="N9" s="55">
        <v>0</v>
      </c>
      <c r="O9" s="21">
        <f t="shared" si="3"/>
        <v>16300</v>
      </c>
      <c r="P9" s="8" t="s">
        <v>156</v>
      </c>
      <c r="Q9" s="9">
        <v>12000</v>
      </c>
      <c r="R9" s="9"/>
      <c r="S9" s="55">
        <v>0</v>
      </c>
      <c r="T9" s="21">
        <f t="shared" si="4"/>
        <v>45100</v>
      </c>
      <c r="U9" s="60">
        <f>IF($J9="","",ROUND(($J9-$J$3)/1000,1)+(_xlfn.RANK.AVG($J9,($J9,$O9,$T9),1)-2)*20)</f>
        <v>8.6</v>
      </c>
      <c r="V9" s="61">
        <f>IF($O9="","",ROUND(($O9-$O$3)/1000,1)+(_xlfn.RANK.AVG($O9,($J9,$O9,$T9),1)-2)*20)</f>
        <v>-38.700000000000003</v>
      </c>
      <c r="W9" s="62">
        <f>IF($T9="","",ROUND(($T9-$T$3)/1000,1)+(_xlfn.RANK.AVG($T9,($J9,$O9,$T9),1)-2)*20)</f>
        <v>30.1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153</v>
      </c>
      <c r="BV9" s="48" t="s">
        <v>83</v>
      </c>
      <c r="BW9" s="48" t="s">
        <v>161</v>
      </c>
      <c r="BX9" s="48" t="s">
        <v>87</v>
      </c>
      <c r="BY9" s="48" t="s">
        <v>80</v>
      </c>
      <c r="BZ9" s="48" t="s">
        <v>80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162</v>
      </c>
      <c r="F10" s="8" t="s">
        <v>145</v>
      </c>
      <c r="G10" s="9">
        <v>2000</v>
      </c>
      <c r="H10" s="9"/>
      <c r="I10" s="55">
        <v>0</v>
      </c>
      <c r="J10" s="21">
        <f t="shared" si="2"/>
        <v>45600</v>
      </c>
      <c r="K10" s="8" t="s">
        <v>146</v>
      </c>
      <c r="L10" s="9">
        <v>-2000</v>
      </c>
      <c r="M10" s="9"/>
      <c r="N10" s="55">
        <v>0</v>
      </c>
      <c r="O10" s="21">
        <f t="shared" si="3"/>
        <v>14300</v>
      </c>
      <c r="P10" s="8"/>
      <c r="Q10" s="9"/>
      <c r="R10" s="9"/>
      <c r="S10" s="55"/>
      <c r="T10" s="21">
        <f t="shared" si="4"/>
        <v>45100</v>
      </c>
      <c r="U10" s="60">
        <f>IF($J10="","",ROUND(($J10-$J$3)/1000,1)+(_xlfn.RANK.AVG($J10,($J10,$O10,$T10),1)-2)*20)</f>
        <v>30.6</v>
      </c>
      <c r="V10" s="61">
        <f>IF($O10="","",ROUND(($O10-$O$3)/1000,1)+(_xlfn.RANK.AVG($O10,($J10,$O10,$T10),1)-2)*20)</f>
        <v>-40.700000000000003</v>
      </c>
      <c r="W10" s="62">
        <f>IF($T10="","",ROUND(($T10-$T$3)/1000,1)+(_xlfn.RANK.AVG($T10,($J10,$O10,$T10),1)-2)*20)</f>
        <v>10.1</v>
      </c>
      <c r="Y10" s="8"/>
      <c r="Z10" s="41"/>
      <c r="AA10" s="32"/>
      <c r="AB10" s="32"/>
      <c r="AC10" s="32">
        <v>2</v>
      </c>
      <c r="AD10" s="36">
        <v>30</v>
      </c>
      <c r="AE10" s="47" t="s">
        <v>84</v>
      </c>
      <c r="AF10" s="48" t="s">
        <v>85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6:L30 Q9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Q7:Q8">
    <cfRule type="expression" dxfId="2" priority="3">
      <formula>IF(Q7&lt;&gt;"",SUM($G7:$I7,$L7:$N7,$Q7:$S7)-$D7*1000+$D8*1000)</formula>
    </cfRule>
  </conditionalFormatting>
  <conditionalFormatting sqref="L4:L5">
    <cfRule type="expression" dxfId="1" priority="2">
      <formula>IF(L4&lt;&gt;"",SUM($G4:$I4,$L4:$N4,$Q4:$S4)-$D4*1000+$D5*1000)</formula>
    </cfRule>
  </conditionalFormatting>
  <conditionalFormatting sqref="Q4:Q5">
    <cfRule type="expression" dxfId="0" priority="1">
      <formula>IF(Q4&lt;&gt;"",SUM($G4:$I4,$L4:$N4,$Q4:$S4)-$D4*1000+$D5*1000)</formula>
    </cfRule>
  </conditionalFormatting>
  <dataValidations count="2">
    <dataValidation type="list" showInputMessage="1" showErrorMessage="1" sqref="P7:P30 F4:F30 K4:K30 P4:P5" xr:uid="{4EEC1C11-4ECF-4235-ABE5-AD89B5C2DCFE}">
      <formula1>"ロン,ツモ,放銃,ツモ支払,流局,チョンボ"</formula1>
    </dataValidation>
    <dataValidation type="list" allowBlank="1" showInputMessage="1" showErrorMessage="1" sqref="E4:E30" xr:uid="{390F6CB6-75E5-4236-8AEC-6C280E108BB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2019-04-18T16:32:05Z</dcterms:modified>
</cp:coreProperties>
</file>