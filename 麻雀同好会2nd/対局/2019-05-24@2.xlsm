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850D1CDE-7376-4B91-8312-B7FC357AA4DE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9" r:id="rId1"/>
    <sheet name="Sheet2" sheetId="21" r:id="rId2"/>
    <sheet name="Sheet3" sheetId="22" r:id="rId3"/>
    <sheet name="Sheet4" sheetId="23" r:id="rId4"/>
    <sheet name="Sheet5" sheetId="24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4" l="1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D11" i="24"/>
  <c r="C11" i="24"/>
  <c r="C10" i="24"/>
  <c r="D9" i="24"/>
  <c r="D10" i="24" s="1"/>
  <c r="C9" i="24"/>
  <c r="D8" i="24"/>
  <c r="C8" i="24"/>
  <c r="D6" i="24"/>
  <c r="D7" i="24" s="1"/>
  <c r="C6" i="24"/>
  <c r="C7" i="24" s="1"/>
  <c r="B6" i="24"/>
  <c r="B7" i="24" s="1"/>
  <c r="J5" i="24"/>
  <c r="J6" i="24" s="1"/>
  <c r="D5" i="24"/>
  <c r="C5" i="24"/>
  <c r="B5" i="24"/>
  <c r="A5" i="24"/>
  <c r="T4" i="24"/>
  <c r="T5" i="24" s="1"/>
  <c r="O4" i="24"/>
  <c r="O5" i="24" s="1"/>
  <c r="J4" i="24"/>
  <c r="W3" i="24"/>
  <c r="V3" i="24"/>
  <c r="U3" i="24"/>
  <c r="W2" i="24"/>
  <c r="V2" i="24"/>
  <c r="U2" i="24"/>
  <c r="BO1" i="24"/>
  <c r="AT1" i="24"/>
  <c r="Y1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D16" i="23"/>
  <c r="C16" i="23"/>
  <c r="D15" i="23"/>
  <c r="C15" i="23"/>
  <c r="D14" i="23"/>
  <c r="D13" i="23"/>
  <c r="C13" i="23"/>
  <c r="C14" i="23" s="1"/>
  <c r="D12" i="23"/>
  <c r="D11" i="23"/>
  <c r="C11" i="23"/>
  <c r="C12" i="23" s="1"/>
  <c r="D10" i="23"/>
  <c r="D9" i="23"/>
  <c r="T5" i="23"/>
  <c r="D5" i="23"/>
  <c r="D6" i="23" s="1"/>
  <c r="D7" i="23" s="1"/>
  <c r="D8" i="23" s="1"/>
  <c r="C5" i="23"/>
  <c r="C6" i="23" s="1"/>
  <c r="C7" i="23" s="1"/>
  <c r="C8" i="23" s="1"/>
  <c r="C9" i="23" s="1"/>
  <c r="C10" i="23" s="1"/>
  <c r="B5" i="23"/>
  <c r="B6" i="23" s="1"/>
  <c r="T4" i="23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A6" i="24" l="1"/>
  <c r="V5" i="24"/>
  <c r="O6" i="24"/>
  <c r="A7" i="24"/>
  <c r="B8" i="24"/>
  <c r="A8" i="24" s="1"/>
  <c r="J7" i="24"/>
  <c r="W5" i="24"/>
  <c r="T6" i="24"/>
  <c r="U4" i="24"/>
  <c r="W4" i="24"/>
  <c r="U5" i="24"/>
  <c r="V4" i="24"/>
  <c r="A5" i="23"/>
  <c r="W4" i="23"/>
  <c r="V4" i="23"/>
  <c r="B7" i="23"/>
  <c r="A6" i="23"/>
  <c r="O6" i="23"/>
  <c r="J5" i="23"/>
  <c r="T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 s="1"/>
  <c r="T16" i="22"/>
  <c r="O16" i="22"/>
  <c r="J16" i="22"/>
  <c r="U16" i="22" s="1"/>
  <c r="D16" i="22"/>
  <c r="C16" i="22"/>
  <c r="B16" i="22"/>
  <c r="A16" i="22" s="1"/>
  <c r="T15" i="22"/>
  <c r="O15" i="22"/>
  <c r="V15" i="22" s="1"/>
  <c r="J15" i="22"/>
  <c r="U15" i="22" s="1"/>
  <c r="D15" i="22"/>
  <c r="C15" i="22"/>
  <c r="B15" i="22"/>
  <c r="A15" i="22"/>
  <c r="T14" i="22"/>
  <c r="W14" i="22" s="1"/>
  <c r="O14" i="22"/>
  <c r="J14" i="22"/>
  <c r="D14" i="22"/>
  <c r="C14" i="22"/>
  <c r="B14" i="22"/>
  <c r="A14" i="22" s="1"/>
  <c r="T13" i="22"/>
  <c r="W13" i="22" s="1"/>
  <c r="O13" i="22"/>
  <c r="J13" i="22"/>
  <c r="D13" i="22"/>
  <c r="C13" i="22"/>
  <c r="B13" i="22"/>
  <c r="A13" i="22" s="1"/>
  <c r="T12" i="22"/>
  <c r="O12" i="22"/>
  <c r="J12" i="22"/>
  <c r="D12" i="22"/>
  <c r="C12" i="22"/>
  <c r="B12" i="22"/>
  <c r="A12" i="22" s="1"/>
  <c r="T11" i="22"/>
  <c r="O11" i="22"/>
  <c r="V11" i="22" s="1"/>
  <c r="J11" i="22"/>
  <c r="U11" i="22" s="1"/>
  <c r="D11" i="22"/>
  <c r="C11" i="22"/>
  <c r="B11" i="22"/>
  <c r="A11" i="22" s="1"/>
  <c r="T10" i="22"/>
  <c r="O10" i="22"/>
  <c r="J10" i="22"/>
  <c r="U10" i="22" s="1"/>
  <c r="D10" i="22"/>
  <c r="C10" i="22"/>
  <c r="B10" i="22"/>
  <c r="A10" i="22" s="1"/>
  <c r="D9" i="22"/>
  <c r="C9" i="22"/>
  <c r="D8" i="22"/>
  <c r="C8" i="22"/>
  <c r="C7" i="22"/>
  <c r="T6" i="22"/>
  <c r="T7" i="22" s="1"/>
  <c r="D6" i="22"/>
  <c r="D7" i="22" s="1"/>
  <c r="C6" i="22"/>
  <c r="T5" i="22"/>
  <c r="O5" i="22"/>
  <c r="O6" i="22" s="1"/>
  <c r="D5" i="22"/>
  <c r="C5" i="22"/>
  <c r="B5" i="22"/>
  <c r="A5" i="22" s="1"/>
  <c r="T4" i="22"/>
  <c r="W4" i="22" s="1"/>
  <c r="O4" i="22"/>
  <c r="J4" i="22"/>
  <c r="W3" i="22"/>
  <c r="V3" i="22"/>
  <c r="U3" i="22"/>
  <c r="W2" i="22"/>
  <c r="V2" i="22"/>
  <c r="U2" i="22"/>
  <c r="BO1" i="22"/>
  <c r="AT1" i="22"/>
  <c r="Y1" i="22"/>
  <c r="W6" i="24" l="1"/>
  <c r="T7" i="24"/>
  <c r="J8" i="24"/>
  <c r="B9" i="24"/>
  <c r="U6" i="24"/>
  <c r="V6" i="24"/>
  <c r="O7" i="24"/>
  <c r="U7" i="24" s="1"/>
  <c r="A7" i="23"/>
  <c r="T7" i="23"/>
  <c r="U5" i="23"/>
  <c r="J6" i="23"/>
  <c r="W6" i="23" s="1"/>
  <c r="O7" i="23"/>
  <c r="V6" i="23"/>
  <c r="V5" i="23"/>
  <c r="W5" i="23"/>
  <c r="B8" i="23"/>
  <c r="V16" i="22"/>
  <c r="W16" i="22"/>
  <c r="W15" i="22"/>
  <c r="U14" i="22"/>
  <c r="V14" i="22"/>
  <c r="U13" i="22"/>
  <c r="V13" i="22"/>
  <c r="V12" i="22"/>
  <c r="W12" i="22"/>
  <c r="U12" i="22"/>
  <c r="W11" i="22"/>
  <c r="V10" i="22"/>
  <c r="W10" i="22"/>
  <c r="V4" i="22"/>
  <c r="T8" i="22"/>
  <c r="O7" i="22"/>
  <c r="B6" i="22"/>
  <c r="A6" i="22" s="1"/>
  <c r="J5" i="22"/>
  <c r="U4" i="22"/>
  <c r="B10" i="24" l="1"/>
  <c r="J9" i="24"/>
  <c r="A9" i="24"/>
  <c r="T8" i="24"/>
  <c r="W7" i="24"/>
  <c r="O8" i="24"/>
  <c r="V7" i="24"/>
  <c r="B9" i="23"/>
  <c r="A9" i="23" s="1"/>
  <c r="O8" i="23"/>
  <c r="U6" i="23"/>
  <c r="J7" i="23"/>
  <c r="V7" i="23" s="1"/>
  <c r="A8" i="23"/>
  <c r="W7" i="23"/>
  <c r="T8" i="23"/>
  <c r="O8" i="22"/>
  <c r="W5" i="22"/>
  <c r="V5" i="22"/>
  <c r="U5" i="22"/>
  <c r="J6" i="22"/>
  <c r="B7" i="22"/>
  <c r="A7" i="22" s="1"/>
  <c r="T9" i="22"/>
  <c r="B11" i="24" l="1"/>
  <c r="T9" i="24"/>
  <c r="W8" i="24"/>
  <c r="J10" i="24"/>
  <c r="U9" i="24"/>
  <c r="V8" i="24"/>
  <c r="O9" i="24"/>
  <c r="U8" i="24"/>
  <c r="A10" i="24"/>
  <c r="A11" i="24" s="1"/>
  <c r="U7" i="23"/>
  <c r="J8" i="23"/>
  <c r="V8" i="23"/>
  <c r="O9" i="23"/>
  <c r="W8" i="23"/>
  <c r="T9" i="23"/>
  <c r="B10" i="23"/>
  <c r="B8" i="22"/>
  <c r="A8" i="22"/>
  <c r="U6" i="22"/>
  <c r="J7" i="22"/>
  <c r="V6" i="22"/>
  <c r="W6" i="22"/>
  <c r="O9" i="22"/>
  <c r="J11" i="24" l="1"/>
  <c r="W9" i="24"/>
  <c r="T10" i="24"/>
  <c r="V9" i="24"/>
  <c r="O10" i="24"/>
  <c r="B11" i="23"/>
  <c r="O10" i="23"/>
  <c r="U8" i="23"/>
  <c r="J9" i="23"/>
  <c r="V9" i="23" s="1"/>
  <c r="A10" i="23"/>
  <c r="W9" i="23"/>
  <c r="T10" i="23"/>
  <c r="U7" i="22"/>
  <c r="J8" i="22"/>
  <c r="W7" i="22"/>
  <c r="V7" i="22"/>
  <c r="B9" i="22"/>
  <c r="A9" i="22" s="1"/>
  <c r="V10" i="24" l="1"/>
  <c r="O11" i="24"/>
  <c r="V11" i="24" s="1"/>
  <c r="W10" i="24"/>
  <c r="T11" i="24"/>
  <c r="W11" i="24" s="1"/>
  <c r="U11" i="24"/>
  <c r="U10" i="24"/>
  <c r="A11" i="23"/>
  <c r="U9" i="23"/>
  <c r="J10" i="23"/>
  <c r="V10" i="23"/>
  <c r="O11" i="23"/>
  <c r="W10" i="23"/>
  <c r="T11" i="23"/>
  <c r="B12" i="23"/>
  <c r="U8" i="22"/>
  <c r="J9" i="22"/>
  <c r="W8" i="22"/>
  <c r="V8" i="22"/>
  <c r="T12" i="23" l="1"/>
  <c r="O12" i="23"/>
  <c r="V11" i="23"/>
  <c r="B13" i="23"/>
  <c r="A12" i="23"/>
  <c r="U10" i="23"/>
  <c r="J11" i="23"/>
  <c r="U9" i="22"/>
  <c r="W9" i="22"/>
  <c r="V9" i="22"/>
  <c r="B14" i="23" l="1"/>
  <c r="V12" i="23"/>
  <c r="O13" i="23"/>
  <c r="W12" i="23"/>
  <c r="T13" i="23"/>
  <c r="A13" i="23"/>
  <c r="A14" i="23" s="1"/>
  <c r="U11" i="23"/>
  <c r="J12" i="23"/>
  <c r="W11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D8" i="21"/>
  <c r="C8" i="21"/>
  <c r="D7" i="21"/>
  <c r="C7" i="21"/>
  <c r="T6" i="21"/>
  <c r="T7" i="21" s="1"/>
  <c r="D6" i="21"/>
  <c r="C6" i="21"/>
  <c r="T5" i="21"/>
  <c r="O5" i="21"/>
  <c r="O6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14" i="23" l="1"/>
  <c r="O14" i="23"/>
  <c r="U12" i="23"/>
  <c r="J13" i="23"/>
  <c r="B15" i="23"/>
  <c r="A15" i="23" s="1"/>
  <c r="V4" i="21"/>
  <c r="W4" i="21"/>
  <c r="U4" i="21"/>
  <c r="V5" i="21"/>
  <c r="W5" i="21"/>
  <c r="U5" i="21"/>
  <c r="J6" i="21"/>
  <c r="W6" i="21" s="1"/>
  <c r="O7" i="21"/>
  <c r="T8" i="21"/>
  <c r="B6" i="21"/>
  <c r="A6" i="21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W8" i="19" s="1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3" i="23" l="1"/>
  <c r="J14" i="23"/>
  <c r="B16" i="23"/>
  <c r="A16" i="23" s="1"/>
  <c r="V14" i="23"/>
  <c r="O15" i="23"/>
  <c r="W14" i="23"/>
  <c r="T15" i="23"/>
  <c r="V13" i="23"/>
  <c r="W13" i="23"/>
  <c r="J7" i="21"/>
  <c r="U6" i="21"/>
  <c r="T9" i="21"/>
  <c r="B7" i="21"/>
  <c r="A7" i="21" s="1"/>
  <c r="O8" i="21"/>
  <c r="V7" i="21"/>
  <c r="V6" i="21"/>
  <c r="U11" i="19"/>
  <c r="V11" i="19"/>
  <c r="V10" i="19"/>
  <c r="W10" i="19"/>
  <c r="V9" i="19"/>
  <c r="W9" i="19"/>
  <c r="U8" i="19"/>
  <c r="V7" i="19"/>
  <c r="W7" i="19"/>
  <c r="U7" i="19"/>
  <c r="U6" i="19"/>
  <c r="W6" i="19"/>
  <c r="U4" i="19"/>
  <c r="V4" i="19"/>
  <c r="W4" i="19"/>
  <c r="J5" i="19"/>
  <c r="O5" i="19"/>
  <c r="V5" i="19" s="1"/>
  <c r="T16" i="23" l="1"/>
  <c r="O16" i="23"/>
  <c r="V15" i="23"/>
  <c r="U14" i="23"/>
  <c r="J15" i="23"/>
  <c r="O9" i="21"/>
  <c r="T10" i="21"/>
  <c r="B8" i="21"/>
  <c r="A8" i="21" s="1"/>
  <c r="J8" i="21"/>
  <c r="V8" i="21" s="1"/>
  <c r="U7" i="21"/>
  <c r="W7" i="21"/>
  <c r="W5" i="19"/>
  <c r="U5" i="19"/>
  <c r="U15" i="23" l="1"/>
  <c r="J16" i="23"/>
  <c r="U16" i="23" s="1"/>
  <c r="W15" i="23"/>
  <c r="O10" i="21"/>
  <c r="T11" i="21"/>
  <c r="U8" i="21"/>
  <c r="J9" i="21"/>
  <c r="V9" i="21" s="1"/>
  <c r="W8" i="21"/>
  <c r="B9" i="21"/>
  <c r="A9" i="21" s="1"/>
  <c r="V16" i="23" l="1"/>
  <c r="W16" i="23"/>
  <c r="B10" i="21"/>
  <c r="V10" i="21"/>
  <c r="O11" i="21"/>
  <c r="U9" i="21"/>
  <c r="J10" i="21"/>
  <c r="W9" i="21"/>
  <c r="B11" i="21" l="1"/>
  <c r="A11" i="21"/>
  <c r="A10" i="21"/>
  <c r="U10" i="21"/>
  <c r="J11" i="21"/>
  <c r="W10" i="21"/>
  <c r="V11" i="21"/>
  <c r="U11" i="21" l="1"/>
  <c r="W11" i="21"/>
</calcChain>
</file>

<file path=xl/sharedStrings.xml><?xml version="1.0" encoding="utf-8"?>
<sst xmlns="http://schemas.openxmlformats.org/spreadsheetml/2006/main" count="1008" uniqueCount="212">
  <si>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</si>
  <si>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</si>
  <si>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</si>
  <si>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</si>
  <si>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</si>
  <si>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</si>
  <si>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</si>
  <si>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</si>
  <si>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</si>
  <si>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</si>
  <si>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</si>
  <si>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</si>
  <si>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</si>
  <si>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</si>
  <si>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</si>
  <si>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</si>
  <si>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</si>
  <si>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</si>
  <si>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</si>
  <si>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</si>
  <si>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</si>
  <si>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</si>
  <si>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</si>
  <si>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</si>
  <si>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</si>
  <si>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</si>
  <si>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</si>
  <si>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</si>
  <si>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</si>
  <si>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</si>
  <si>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</si>
  <si>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</si>
  <si>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</si>
  <si>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</si>
  <si>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</si>
  <si>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</si>
  <si>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</si>
  <si>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</si>
  <si>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</si>
  <si>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</si>
  <si>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</si>
  <si>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</si>
  <si>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</si>
  <si>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</si>
  <si>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</si>
  <si>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</si>
  <si>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</si>
  <si>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</si>
  <si>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</si>
  <si>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</si>
  <si>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</si>
  <si>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</si>
  <si>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</si>
  <si>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</si>
  <si>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</si>
  <si>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</si>
  <si>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</si>
  <si>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</si>
  <si>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</si>
  <si>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</si>
  <si>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</si>
  <si>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</si>
  <si>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</si>
  <si>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</si>
  <si>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</si>
  <si>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</si>
  <si>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</si>
  <si>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</si>
  <si>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</si>
  <si>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</si>
  <si>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</si>
  <si>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</si>
  <si>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</si>
  <si>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</si>
  <si>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</si>
  <si>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</si>
  <si>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</si>
  <si>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</si>
  <si>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</si>
  <si>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</si>
  <si>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</si>
  <si>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</si>
  <si>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</si>
  <si>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</si>
  <si>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</si>
  <si>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</si>
  <si>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</si>
  <si>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</si>
  <si>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</si>
  <si>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</si>
  <si>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</si>
  <si>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</si>
  <si>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</si>
  <si>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</si>
  <si>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</si>
  <si>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</si>
  <si>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</si>
  <si>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</si>
  <si>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</si>
  <si>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</si>
  <si>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</si>
  <si>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</si>
  <si>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</si>
  <si>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</si>
  <si>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</si>
  <si>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</si>
  <si>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</si>
  <si>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</si>
  <si>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</si>
  <si>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</si>
  <si>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</si>
  <si>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</si>
  <si>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</si>
  <si>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</si>
  <si>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</si>
  <si>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</si>
  <si>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</si>
  <si>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</si>
  <si>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</si>
  <si>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</si>
  <si>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</si>
  <si>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</si>
  <si>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</si>
  <si>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</si>
  <si>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</si>
  <si>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</si>
  <si>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</si>
  <si>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</si>
  <si>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</si>
  <si>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</si>
  <si>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</si>
  <si>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</si>
  <si>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</si>
  <si>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</si>
  <si>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</si>
  <si>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</si>
  <si>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</si>
  <si>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</si>
  <si>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</si>
  <si>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</si>
  <si>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</si>
  <si>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</si>
  <si>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</si>
  <si>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</si>
  <si>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</si>
  <si>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</si>
  <si>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</si>
  <si>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</si>
  <si>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</si>
  <si>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</si>
  <si>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</si>
  <si>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</si>
  <si>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</si>
  <si>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</si>
  <si>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</si>
  <si>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</si>
  <si>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</si>
  <si>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</si>
  <si>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</si>
  <si>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</si>
  <si>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</si>
  <si>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</si>
  <si>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</si>
  <si>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</si>
  <si>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</si>
  <si>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</si>
  <si>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</si>
  <si>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</si>
  <si>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</si>
  <si>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</si>
  <si>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</si>
  <si>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</si>
  <si>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</si>
  <si>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</si>
  <si>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</si>
  <si>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</si>
  <si>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</si>
  <si>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</si>
  <si>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</si>
  <si>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</si>
  <si>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</si>
  <si>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</si>
  <si>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</si>
  <si>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</si>
  <si>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</si>
  <si>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</si>
  <si>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</si>
  <si>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</si>
  <si>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</si>
  <si>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ぱぱ</t>
  </si>
  <si>
    <t>ぱぱ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</si>
  <si>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</si>
  <si>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</si>
  <si>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</si>
  <si>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</si>
  <si>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</si>
  <si>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</si>
  <si>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*</t>
  </si>
  <si>
    <t>52</t>
  </si>
  <si>
    <t>ツモ支払</t>
  </si>
  <si>
    <t>ツモ</t>
  </si>
  <si>
    <t>51</t>
  </si>
  <si>
    <t>01</t>
  </si>
  <si>
    <t>02</t>
  </si>
  <si>
    <t>ただ</t>
  </si>
  <si>
    <t>ただ</t>
    <phoneticPr fontId="1"/>
  </si>
  <si>
    <t>T</t>
  </si>
  <si>
    <t>N</t>
  </si>
  <si>
    <t>流局</t>
    <phoneticPr fontId="1"/>
  </si>
  <si>
    <t>チョンボ</t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</si>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</sst>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190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ぱぱ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196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5</v>
      </c>
      <c r="AD4" s="30" t="s">
        <v>197</v>
      </c>
      <c r="AE4" s="40" t="s">
        <v>104</v>
      </c>
      <c r="AF4" s="41" t="s">
        <v>84</v>
      </c>
      <c r="AG4" s="41" t="s">
        <v>198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199</v>
      </c>
      <c r="G5" s="9">
        <v>-5000</v>
      </c>
      <c r="H5" s="9">
        <v>-1000</v>
      </c>
      <c r="I5" s="48">
        <v>0</v>
      </c>
      <c r="J5" s="21">
        <f t="shared" ref="J5:J30" si="2">IF(COUNTA($F5,$K5,$P5)&gt;0,J4+SUM(G5:I5),"")</f>
        <v>37000</v>
      </c>
      <c r="K5" s="8" t="s">
        <v>200</v>
      </c>
      <c r="L5" s="9">
        <v>8000</v>
      </c>
      <c r="M5" s="9">
        <v>1000</v>
      </c>
      <c r="N5" s="48">
        <v>0</v>
      </c>
      <c r="O5" s="21">
        <f t="shared" ref="O5:O30" si="3">IF(COUNTA($F5,$K5,$P5)&gt;0,O4+SUM(L5:N5),"")</f>
        <v>36000</v>
      </c>
      <c r="P5" s="8" t="s">
        <v>199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22</v>
      </c>
      <c r="V5" s="54">
        <f>IF($O5="","",ROUND(($O5-$O$3)/1000,1)+(_xlfn.RANK.AVG($O5,($J5,$O5,$T5),1)-2)*20)</f>
        <v>1</v>
      </c>
      <c r="W5" s="55">
        <f>IF($T5="","",ROUND(($T5-$T$3)/1000,1)+(_xlfn.RANK.AVG($T5,($J5,$O5,$T5),1)-2)*20)</f>
        <v>-23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197</v>
      </c>
      <c r="AZ5" s="40" t="s">
        <v>201</v>
      </c>
      <c r="BA5" s="41" t="s">
        <v>82</v>
      </c>
      <c r="BB5" s="41" t="s">
        <v>83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199</v>
      </c>
      <c r="G6" s="9">
        <v>-1500</v>
      </c>
      <c r="H6" s="9"/>
      <c r="I6" s="48">
        <v>0</v>
      </c>
      <c r="J6" s="21">
        <f t="shared" si="2"/>
        <v>35500</v>
      </c>
      <c r="K6" s="8" t="s">
        <v>199</v>
      </c>
      <c r="L6" s="9">
        <v>-2500</v>
      </c>
      <c r="M6" s="9"/>
      <c r="N6" s="48">
        <v>0</v>
      </c>
      <c r="O6" s="21">
        <f t="shared" si="3"/>
        <v>33500</v>
      </c>
      <c r="P6" s="8" t="s">
        <v>200</v>
      </c>
      <c r="Q6" s="9">
        <v>4000</v>
      </c>
      <c r="R6" s="9"/>
      <c r="S6" s="48">
        <v>0</v>
      </c>
      <c r="T6" s="21">
        <f t="shared" si="4"/>
        <v>36000</v>
      </c>
      <c r="U6" s="53">
        <f>IF($J6="","",ROUND(($J6-$J$3)/1000,1)+(_xlfn.RANK.AVG($J6,($J6,$O6,$T6),1)-2)*20)</f>
        <v>0.5</v>
      </c>
      <c r="V6" s="54">
        <f>IF($O6="","",ROUND(($O6-$O$3)/1000,1)+(_xlfn.RANK.AVG($O6,($J6,$O6,$T6),1)-2)*20)</f>
        <v>-21.5</v>
      </c>
      <c r="W6" s="55">
        <f>IF($T6="","",ROUND(($T6-$T$3)/1000,1)+(_xlfn.RANK.AVG($T6,($J6,$O6,$T6),1)-2)*20)</f>
        <v>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202</v>
      </c>
      <c r="BV6" s="41" t="s">
        <v>82</v>
      </c>
      <c r="BW6" s="41" t="s">
        <v>198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196</v>
      </c>
      <c r="G7" s="9">
        <v>-12000</v>
      </c>
      <c r="H7" s="9"/>
      <c r="I7" s="48">
        <v>0</v>
      </c>
      <c r="J7" s="21">
        <f t="shared" si="2"/>
        <v>23500</v>
      </c>
      <c r="K7" s="8"/>
      <c r="L7" s="9"/>
      <c r="M7" s="9">
        <v>-1000</v>
      </c>
      <c r="N7" s="48"/>
      <c r="O7" s="21">
        <f t="shared" si="3"/>
        <v>32500</v>
      </c>
      <c r="P7" s="8" t="s">
        <v>195</v>
      </c>
      <c r="Q7" s="9">
        <v>12000</v>
      </c>
      <c r="R7" s="9">
        <v>1000</v>
      </c>
      <c r="S7" s="48">
        <v>0</v>
      </c>
      <c r="T7" s="21">
        <f t="shared" si="4"/>
        <v>49000</v>
      </c>
      <c r="U7" s="53">
        <f>IF($J7="","",ROUND(($J7-$J$3)/1000,1)+(_xlfn.RANK.AVG($J7,($J7,$O7,$T7),1)-2)*20)</f>
        <v>-31.5</v>
      </c>
      <c r="V7" s="54">
        <f>IF($O7="","",ROUND(($O7-$O$3)/1000,1)+(_xlfn.RANK.AVG($O7,($J7,$O7,$T7),1)-2)*20)</f>
        <v>-2.5</v>
      </c>
      <c r="W7" s="55">
        <f>IF($T7="","",ROUND(($T7-$T$3)/1000,1)+(_xlfn.RANK.AVG($T7,($J7,$O7,$T7),1)-2)*20)</f>
        <v>34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202</v>
      </c>
      <c r="BV7" s="41" t="s">
        <v>203</v>
      </c>
      <c r="BW7" s="41" t="s">
        <v>198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200</v>
      </c>
      <c r="G8" s="9">
        <v>8000</v>
      </c>
      <c r="H8" s="9"/>
      <c r="I8" s="48">
        <v>1000</v>
      </c>
      <c r="J8" s="21">
        <f t="shared" si="2"/>
        <v>32500</v>
      </c>
      <c r="K8" s="8" t="s">
        <v>199</v>
      </c>
      <c r="L8" s="9">
        <v>-3000</v>
      </c>
      <c r="M8" s="9"/>
      <c r="N8" s="48">
        <v>-500</v>
      </c>
      <c r="O8" s="21">
        <f t="shared" si="3"/>
        <v>29000</v>
      </c>
      <c r="P8" s="8" t="s">
        <v>199</v>
      </c>
      <c r="Q8" s="9">
        <v>-5000</v>
      </c>
      <c r="R8" s="9"/>
      <c r="S8" s="48">
        <v>-500</v>
      </c>
      <c r="T8" s="21">
        <f t="shared" si="4"/>
        <v>43500</v>
      </c>
      <c r="U8" s="53">
        <f>IF($J8="","",ROUND(($J8-$J$3)/1000,1)+(_xlfn.RANK.AVG($J8,($J8,$O8,$T8),1)-2)*20)</f>
        <v>-2.5</v>
      </c>
      <c r="V8" s="54">
        <f>IF($O8="","",ROUND(($O8-$O$3)/1000,1)+(_xlfn.RANK.AVG($O8,($J8,$O8,$T8),1)-2)*20)</f>
        <v>-26</v>
      </c>
      <c r="W8" s="55">
        <f>IF($T8="","",ROUND(($T8-$T$3)/1000,1)+(_xlfn.RANK.AVG($T8,($J8,$O8,$T8),1)-2)*20)</f>
        <v>28.5</v>
      </c>
      <c r="Y8" s="8"/>
      <c r="Z8" s="34"/>
      <c r="AA8" s="26"/>
      <c r="AB8" s="26">
        <v>1</v>
      </c>
      <c r="AC8" s="26">
        <v>5</v>
      </c>
      <c r="AD8" s="30" t="s">
        <v>197</v>
      </c>
      <c r="AE8" s="40" t="s">
        <v>104</v>
      </c>
      <c r="AF8" s="41" t="s">
        <v>86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189</v>
      </c>
      <c r="F9" s="8"/>
      <c r="G9" s="9"/>
      <c r="H9" s="9"/>
      <c r="I9" s="48"/>
      <c r="J9" s="21">
        <f t="shared" si="2"/>
        <v>32500</v>
      </c>
      <c r="K9" s="8" t="s">
        <v>196</v>
      </c>
      <c r="L9" s="9">
        <v>-8000</v>
      </c>
      <c r="M9" s="9">
        <v>-1000</v>
      </c>
      <c r="N9" s="48">
        <v>0</v>
      </c>
      <c r="O9" s="21">
        <f t="shared" si="3"/>
        <v>20000</v>
      </c>
      <c r="P9" s="8" t="s">
        <v>195</v>
      </c>
      <c r="Q9" s="9">
        <v>8000</v>
      </c>
      <c r="R9" s="9">
        <v>1000</v>
      </c>
      <c r="S9" s="48">
        <v>0</v>
      </c>
      <c r="T9" s="21">
        <f t="shared" si="4"/>
        <v>52500</v>
      </c>
      <c r="U9" s="53">
        <f>IF($J9="","",ROUND(($J9-$J$3)/1000,1)+(_xlfn.RANK.AVG($J9,($J9,$O9,$T9),1)-2)*20)</f>
        <v>-2.5</v>
      </c>
      <c r="V9" s="54">
        <f>IF($O9="","",ROUND(($O9-$O$3)/1000,1)+(_xlfn.RANK.AVG($O9,($J9,$O9,$T9),1)-2)*20)</f>
        <v>-35</v>
      </c>
      <c r="W9" s="55">
        <f>IF($T9="","",ROUND(($T9-$T$3)/1000,1)+(_xlfn.RANK.AVG($T9,($J9,$O9,$T9),1)-2)*20)</f>
        <v>37.5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202</v>
      </c>
      <c r="BV9" s="41" t="s">
        <v>203</v>
      </c>
      <c r="BW9" s="41" t="s">
        <v>80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32500</v>
      </c>
      <c r="K10" s="8" t="s">
        <v>195</v>
      </c>
      <c r="L10" s="9">
        <v>12000</v>
      </c>
      <c r="M10" s="9"/>
      <c r="N10" s="48">
        <v>0</v>
      </c>
      <c r="O10" s="21">
        <f t="shared" si="3"/>
        <v>32000</v>
      </c>
      <c r="P10" s="8" t="s">
        <v>196</v>
      </c>
      <c r="Q10" s="9">
        <v>-12000</v>
      </c>
      <c r="R10" s="9"/>
      <c r="S10" s="48">
        <v>0</v>
      </c>
      <c r="T10" s="21">
        <f t="shared" si="4"/>
        <v>40500</v>
      </c>
      <c r="U10" s="53">
        <f>IF($J10="","",ROUND(($J10-$J$3)/1000,1)+(_xlfn.RANK.AVG($J10,($J10,$O10,$T10),1)-2)*20)</f>
        <v>-2.5</v>
      </c>
      <c r="V10" s="54">
        <f>IF($O10="","",ROUND(($O10-$O$3)/1000,1)+(_xlfn.RANK.AVG($O10,($J10,$O10,$T10),1)-2)*20)</f>
        <v>-23</v>
      </c>
      <c r="W10" s="55">
        <f>IF($T10="","",ROUND(($T10-$T$3)/1000,1)+(_xlfn.RANK.AVG($T10,($J10,$O10,$T10),1)-2)*20)</f>
        <v>25.5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197</v>
      </c>
      <c r="AZ10" s="40" t="s">
        <v>99</v>
      </c>
      <c r="BA10" s="41" t="s">
        <v>86</v>
      </c>
      <c r="BB10" s="41" t="s">
        <v>86</v>
      </c>
      <c r="BC10" s="41" t="s">
        <v>198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196</v>
      </c>
      <c r="G11" s="9">
        <v>-11600</v>
      </c>
      <c r="H11" s="9"/>
      <c r="I11" s="48">
        <v>-1000</v>
      </c>
      <c r="J11" s="21">
        <f t="shared" si="2"/>
        <v>19900</v>
      </c>
      <c r="K11" s="8" t="s">
        <v>195</v>
      </c>
      <c r="L11" s="9">
        <v>11600</v>
      </c>
      <c r="M11" s="9"/>
      <c r="N11" s="48">
        <v>1000</v>
      </c>
      <c r="O11" s="21">
        <f t="shared" si="3"/>
        <v>44600</v>
      </c>
      <c r="P11" s="8"/>
      <c r="Q11" s="9"/>
      <c r="R11" s="9"/>
      <c r="S11" s="48"/>
      <c r="T11" s="21">
        <f t="shared" si="4"/>
        <v>40500</v>
      </c>
      <c r="U11" s="53">
        <f>IF($J11="","",ROUND(($J11-$J$3)/1000,1)+(_xlfn.RANK.AVG($J11,($J11,$O11,$T11),1)-2)*20)</f>
        <v>-35.1</v>
      </c>
      <c r="V11" s="54">
        <f>IF($O11="","",ROUND(($O11-$O$3)/1000,1)+(_xlfn.RANK.AVG($O11,($J11,$O11,$T11),1)-2)*20)</f>
        <v>29.6</v>
      </c>
      <c r="W11" s="55">
        <f>IF($T11="","",ROUND(($T11-$T$3)/1000,1)+(_xlfn.RANK.AVG($T11,($J11,$O11,$T11),1)-2)*20)</f>
        <v>5.5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79</v>
      </c>
      <c r="BA11" s="41" t="s">
        <v>79</v>
      </c>
      <c r="BB11" s="41" t="s">
        <v>79</v>
      </c>
      <c r="BC11" s="41" t="s">
        <v>86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D0A9E-06DA-4C8C-9F60-ED8ED90CEC5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205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ただ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2000</v>
      </c>
      <c r="H4" s="9">
        <v>1000</v>
      </c>
      <c r="I4" s="48">
        <v>0</v>
      </c>
      <c r="J4" s="21">
        <f>IF(COUNTA($F4,$K4,$P4)&gt;0,J3+SUM(G4:I4),"")</f>
        <v>38000</v>
      </c>
      <c r="K4" s="8" t="s">
        <v>196</v>
      </c>
      <c r="L4" s="9">
        <v>-2000</v>
      </c>
      <c r="M4" s="9">
        <v>-1000</v>
      </c>
      <c r="N4" s="48">
        <v>0</v>
      </c>
      <c r="O4" s="21">
        <f>IF(COUNTA($F4,$K4,$P4)&gt;0,O3+SUM(L4:N4),"")</f>
        <v>32000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-23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/>
      <c r="G5" s="9"/>
      <c r="H5" s="9"/>
      <c r="I5" s="48"/>
      <c r="J5" s="21">
        <f t="shared" ref="J5:J30" si="2">IF(COUNTA($F5,$K5,$P5)&gt;0,J4+SUM(G5:I5),"")</f>
        <v>38000</v>
      </c>
      <c r="K5" s="8" t="s">
        <v>195</v>
      </c>
      <c r="L5" s="9">
        <v>1300</v>
      </c>
      <c r="M5" s="9"/>
      <c r="N5" s="48">
        <v>0</v>
      </c>
      <c r="O5" s="21">
        <f t="shared" ref="O5:O30" si="3">IF(COUNTA($F5,$K5,$P5)&gt;0,O4+SUM(L5:N5),"")</f>
        <v>33300</v>
      </c>
      <c r="P5" s="8" t="s">
        <v>196</v>
      </c>
      <c r="Q5" s="9">
        <v>-1300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IF($J5="","",ROUND(($J5-$J$3)/1000,1)+(_xlfn.RANK.AVG($J5,($J5,$O5,$T5),1)-2)*20)</f>
        <v>23</v>
      </c>
      <c r="V5" s="54">
        <f>IF($O5="","",ROUND(($O5-$O$3)/1000,1)+(_xlfn.RANK.AVG($O5,($J5,$O5,$T5),1)-2)*20)</f>
        <v>-21.7</v>
      </c>
      <c r="W5" s="55">
        <f>IF($T5="","",ROUND(($T5-$T$3)/1000,1)+(_xlfn.RANK.AVG($T5,($J5,$O5,$T5),1)-2)*20)</f>
        <v>-1.3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1500</v>
      </c>
      <c r="H6" s="9">
        <v>-1000</v>
      </c>
      <c r="I6" s="48"/>
      <c r="J6" s="21">
        <f t="shared" si="2"/>
        <v>38500</v>
      </c>
      <c r="K6" s="8" t="s">
        <v>208</v>
      </c>
      <c r="L6" s="9">
        <v>-3000</v>
      </c>
      <c r="M6" s="9"/>
      <c r="N6" s="48"/>
      <c r="O6" s="21">
        <f t="shared" si="3"/>
        <v>30300</v>
      </c>
      <c r="P6" s="8" t="s">
        <v>208</v>
      </c>
      <c r="Q6" s="9">
        <v>1500</v>
      </c>
      <c r="R6" s="9">
        <v>-1000</v>
      </c>
      <c r="S6" s="48"/>
      <c r="T6" s="21">
        <f t="shared" si="4"/>
        <v>34200</v>
      </c>
      <c r="U6" s="53">
        <f>IF($J6="","",ROUND(($J6-$J$3)/1000,1)+(_xlfn.RANK.AVG($J6,($J6,$O6,$T6),1)-2)*20)</f>
        <v>23.5</v>
      </c>
      <c r="V6" s="54">
        <f>IF($O6="","",ROUND(($O6-$O$3)/1000,1)+(_xlfn.RANK.AVG($O6,($J6,$O6,$T6),1)-2)*20)</f>
        <v>-24.7</v>
      </c>
      <c r="W6" s="55">
        <f>IF($T6="","",ROUND(($T6-$T$3)/1000,1)+(_xlfn.RANK.AVG($T6,($J6,$O6,$T6),1)-2)*20)</f>
        <v>-0.8</v>
      </c>
      <c r="Y6" s="8" t="s">
        <v>206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207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2</v>
      </c>
      <c r="E7" s="4" t="s">
        <v>193</v>
      </c>
      <c r="F7" s="8"/>
      <c r="G7" s="9"/>
      <c r="H7" s="9"/>
      <c r="I7" s="48"/>
      <c r="J7" s="21">
        <f t="shared" si="2"/>
        <v>38500</v>
      </c>
      <c r="K7" s="8" t="s">
        <v>195</v>
      </c>
      <c r="L7" s="9">
        <v>5200</v>
      </c>
      <c r="M7" s="9">
        <v>2000</v>
      </c>
      <c r="N7" s="48">
        <v>1000</v>
      </c>
      <c r="O7" s="21">
        <f t="shared" si="3"/>
        <v>38500</v>
      </c>
      <c r="P7" s="8" t="s">
        <v>196</v>
      </c>
      <c r="Q7" s="9">
        <v>-5200</v>
      </c>
      <c r="R7" s="9"/>
      <c r="S7" s="48">
        <v>-1000</v>
      </c>
      <c r="T7" s="21">
        <f t="shared" si="4"/>
        <v>28000</v>
      </c>
      <c r="U7" s="53">
        <f>IF($J7="","",ROUND(($J7-$J$3)/1000,1)+(_xlfn.RANK.AVG($J7,($J7,$O7,$T7),1)-2)*20)</f>
        <v>13.5</v>
      </c>
      <c r="V7" s="54">
        <f>IF($O7="","",ROUND(($O7-$O$3)/1000,1)+(_xlfn.RANK.AVG($O7,($J7,$O7,$T7),1)-2)*20)</f>
        <v>13.5</v>
      </c>
      <c r="W7" s="55">
        <f>IF($T7="","",ROUND(($T7-$T$3)/1000,1)+(_xlfn.RANK.AVG($T7,($J7,$O7,$T7),1)-2)*20)</f>
        <v>-27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202</v>
      </c>
      <c r="BA7" s="41" t="s">
        <v>79</v>
      </c>
      <c r="BB7" s="41" t="s">
        <v>80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204</v>
      </c>
      <c r="F8" s="8" t="s">
        <v>196</v>
      </c>
      <c r="G8" s="9">
        <v>-12000</v>
      </c>
      <c r="H8" s="9"/>
      <c r="I8" s="48">
        <v>0</v>
      </c>
      <c r="J8" s="21">
        <f t="shared" si="2"/>
        <v>26500</v>
      </c>
      <c r="K8" s="8" t="s">
        <v>195</v>
      </c>
      <c r="L8" s="9">
        <v>12000</v>
      </c>
      <c r="M8" s="9"/>
      <c r="N8" s="48">
        <v>0</v>
      </c>
      <c r="O8" s="21">
        <f t="shared" si="3"/>
        <v>50500</v>
      </c>
      <c r="P8" s="8"/>
      <c r="Q8" s="9"/>
      <c r="R8" s="9"/>
      <c r="S8" s="48"/>
      <c r="T8" s="21">
        <f t="shared" si="4"/>
        <v>28000</v>
      </c>
      <c r="U8" s="53">
        <f>IF($J8="","",ROUND(($J8-$J$3)/1000,1)+(_xlfn.RANK.AVG($J8,($J8,$O8,$T8),1)-2)*20)</f>
        <v>-28.5</v>
      </c>
      <c r="V8" s="54">
        <f>IF($O8="","",ROUND(($O8-$O$3)/1000,1)+(_xlfn.RANK.AVG($O8,($J8,$O8,$T8),1)-2)*20)</f>
        <v>35.5</v>
      </c>
      <c r="W8" s="55">
        <f>IF($T8="","",ROUND(($T8-$T$3)/1000,1)+(_xlfn.RANK.AVG($T8,($J8,$O8,$T8),1)-2)*20)</f>
        <v>-7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7</v>
      </c>
      <c r="AY8" s="30" t="s">
        <v>197</v>
      </c>
      <c r="AZ8" s="40" t="s">
        <v>106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208</v>
      </c>
      <c r="G9" s="9">
        <v>1500</v>
      </c>
      <c r="H9" s="9"/>
      <c r="I9" s="48"/>
      <c r="J9" s="21">
        <f t="shared" si="2"/>
        <v>28000</v>
      </c>
      <c r="K9" s="8" t="s">
        <v>208</v>
      </c>
      <c r="L9" s="9">
        <v>-3000</v>
      </c>
      <c r="M9" s="9">
        <v>1000</v>
      </c>
      <c r="N9" s="48"/>
      <c r="O9" s="21">
        <f t="shared" si="3"/>
        <v>48500</v>
      </c>
      <c r="P9" s="8" t="s">
        <v>208</v>
      </c>
      <c r="Q9" s="9">
        <v>1500</v>
      </c>
      <c r="R9" s="9">
        <v>-1000</v>
      </c>
      <c r="S9" s="48"/>
      <c r="T9" s="21">
        <f t="shared" si="4"/>
        <v>28500</v>
      </c>
      <c r="U9" s="53">
        <f>IF($J9="","",ROUND(($J9-$J$3)/1000,1)+(_xlfn.RANK.AVG($J9,($J9,$O9,$T9),1)-2)*20)</f>
        <v>-27</v>
      </c>
      <c r="V9" s="54">
        <f>IF($O9="","",ROUND(($O9-$O$3)/1000,1)+(_xlfn.RANK.AVG($O9,($J9,$O9,$T9),1)-2)*20)</f>
        <v>33.5</v>
      </c>
      <c r="W9" s="55">
        <f>IF($T9="","",ROUND(($T9-$T$3)/1000,1)+(_xlfn.RANK.AVG($T9,($J9,$O9,$T9),1)-2)*20)</f>
        <v>-6.5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D15CB512-4123-4103-8AFC-7B5F0CB75D1E}">
      <formula1>"ロン,ツモ,放銃,ツモ支払,流局,チョンボ"</formula1>
    </dataValidation>
    <dataValidation type="list" allowBlank="1" showInputMessage="1" showErrorMessage="1" sqref="E4:E30" xr:uid="{453268DD-8AF0-45CD-A47C-6DF103071EE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7E899-13FD-4BDC-BA5C-76E30A6387B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190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ぱぱ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 t="s">
        <v>196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22.6</v>
      </c>
      <c r="W4" s="55">
        <f>IF($T4="","",ROUND(($T4-$T$3)/1000,1)+(_xlfn.RANK.AVG($T4,($J4,$O4,$T4),1)-2)*20)</f>
        <v>-22.6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85</v>
      </c>
      <c r="BA4" s="41" t="s">
        <v>198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208</v>
      </c>
      <c r="G5" s="9">
        <v>1500</v>
      </c>
      <c r="H5" s="9"/>
      <c r="I5" s="48"/>
      <c r="J5" s="21">
        <f t="shared" ref="J5:J30" si="2">IF(COUNTA($F5,$K5,$P5)&gt;0,J4+SUM(G5:I5),"")</f>
        <v>36500</v>
      </c>
      <c r="K5" s="8" t="s">
        <v>208</v>
      </c>
      <c r="L5" s="9">
        <v>-3000</v>
      </c>
      <c r="M5" s="9"/>
      <c r="N5" s="48"/>
      <c r="O5" s="21">
        <f t="shared" ref="O5:O30" si="3">IF(COUNTA($F5,$K5,$P5)&gt;0,O4+SUM(L5:N5),"")</f>
        <v>34600</v>
      </c>
      <c r="P5" s="8" t="s">
        <v>208</v>
      </c>
      <c r="Q5" s="9">
        <v>1500</v>
      </c>
      <c r="R5" s="9"/>
      <c r="S5" s="48"/>
      <c r="T5" s="21">
        <f t="shared" ref="T5:T30" si="4">IF(COUNTA($F5,$K5,$P5)&gt;0,T4+SUM(Q5:S5),"")</f>
        <v>33900</v>
      </c>
      <c r="U5" s="53">
        <f>IF($J5="","",ROUND(($J5-$J$3)/1000,1)+(_xlfn.RANK.AVG($J5,($J5,$O5,$T5),1)-2)*20)</f>
        <v>21.5</v>
      </c>
      <c r="V5" s="54">
        <f>IF($O5="","",ROUND(($O5-$O$3)/1000,1)+(_xlfn.RANK.AVG($O5,($J5,$O5,$T5),1)-2)*20)</f>
        <v>-0.4</v>
      </c>
      <c r="W5" s="55">
        <f>IF($T5="","",ROUND(($T5-$T$3)/1000,1)+(_xlfn.RANK.AVG($T5,($J5,$O5,$T5),1)-2)*20)</f>
        <v>-21.1</v>
      </c>
      <c r="Y5" s="8" t="s">
        <v>206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209</v>
      </c>
      <c r="G6" s="9">
        <v>5000</v>
      </c>
      <c r="H6" s="9"/>
      <c r="I6" s="48"/>
      <c r="J6" s="21">
        <f t="shared" si="2"/>
        <v>41500</v>
      </c>
      <c r="K6" s="8" t="s">
        <v>209</v>
      </c>
      <c r="L6" s="9">
        <v>3000</v>
      </c>
      <c r="M6" s="9"/>
      <c r="N6" s="48"/>
      <c r="O6" s="21">
        <f t="shared" si="3"/>
        <v>37600</v>
      </c>
      <c r="P6" s="8" t="s">
        <v>209</v>
      </c>
      <c r="Q6" s="9">
        <v>-8000</v>
      </c>
      <c r="R6" s="9"/>
      <c r="S6" s="48"/>
      <c r="T6" s="21">
        <f t="shared" si="4"/>
        <v>25900</v>
      </c>
      <c r="U6" s="53">
        <f>IF($J6="","",ROUND(($J6-$J$3)/1000,1)+(_xlfn.RANK.AVG($J6,($J6,$O6,$T6),1)-2)*20)</f>
        <v>26.5</v>
      </c>
      <c r="V6" s="54">
        <f>IF($O6="","",ROUND(($O6-$O$3)/1000,1)+(_xlfn.RANK.AVG($O6,($J6,$O6,$T6),1)-2)*20)</f>
        <v>2.6</v>
      </c>
      <c r="W6" s="55">
        <f>IF($T6="","",ROUND(($T6-$T$3)/1000,1)+(_xlfn.RANK.AVG($T6,($J6,$O6,$T6),1)-2)*20)</f>
        <v>-29.1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>
        <v>1</v>
      </c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189</v>
      </c>
      <c r="F7" s="8" t="s">
        <v>208</v>
      </c>
      <c r="G7" s="9">
        <v>1500</v>
      </c>
      <c r="H7" s="9">
        <v>-1000</v>
      </c>
      <c r="I7" s="48"/>
      <c r="J7" s="21">
        <f t="shared" si="2"/>
        <v>42000</v>
      </c>
      <c r="K7" s="8" t="s">
        <v>208</v>
      </c>
      <c r="L7" s="9">
        <v>-3000</v>
      </c>
      <c r="M7" s="9"/>
      <c r="N7" s="48"/>
      <c r="O7" s="21">
        <f t="shared" si="3"/>
        <v>34600</v>
      </c>
      <c r="P7" s="8" t="s">
        <v>208</v>
      </c>
      <c r="Q7" s="9">
        <v>1500</v>
      </c>
      <c r="R7" s="9"/>
      <c r="S7" s="48"/>
      <c r="T7" s="21">
        <f t="shared" si="4"/>
        <v>27400</v>
      </c>
      <c r="U7" s="53">
        <f>IF($J7="","",ROUND(($J7-$J$3)/1000,1)+(_xlfn.RANK.AVG($J7,($J7,$O7,$T7),1)-2)*20)</f>
        <v>27</v>
      </c>
      <c r="V7" s="54">
        <f>IF($O7="","",ROUND(($O7-$O$3)/1000,1)+(_xlfn.RANK.AVG($O7,($J7,$O7,$T7),1)-2)*20)</f>
        <v>-0.4</v>
      </c>
      <c r="W7" s="55">
        <f>IF($T7="","",ROUND(($T7-$T$3)/1000,1)+(_xlfn.RANK.AVG($T7,($J7,$O7,$T7),1)-2)*20)</f>
        <v>-27.6</v>
      </c>
      <c r="Y7" s="8" t="s">
        <v>206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207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">
        <v>189</v>
      </c>
      <c r="F8" s="8" t="s">
        <v>195</v>
      </c>
      <c r="G8" s="9">
        <v>2900</v>
      </c>
      <c r="H8" s="9">
        <v>1000</v>
      </c>
      <c r="I8" s="48">
        <v>2000</v>
      </c>
      <c r="J8" s="21">
        <f t="shared" si="2"/>
        <v>47900</v>
      </c>
      <c r="K8" s="8" t="s">
        <v>196</v>
      </c>
      <c r="L8" s="9">
        <v>-2900</v>
      </c>
      <c r="M8" s="9"/>
      <c r="N8" s="48">
        <v>-2000</v>
      </c>
      <c r="O8" s="21">
        <f t="shared" si="3"/>
        <v>29700</v>
      </c>
      <c r="P8" s="8"/>
      <c r="Q8" s="9"/>
      <c r="R8" s="9"/>
      <c r="S8" s="48"/>
      <c r="T8" s="21">
        <f t="shared" si="4"/>
        <v>27400</v>
      </c>
      <c r="U8" s="53">
        <f>IF($J8="","",ROUND(($J8-$J$3)/1000,1)+(_xlfn.RANK.AVG($J8,($J8,$O8,$T8),1)-2)*20)</f>
        <v>32.9</v>
      </c>
      <c r="V8" s="54">
        <f>IF($O8="","",ROUND(($O8-$O$3)/1000,1)+(_xlfn.RANK.AVG($O8,($J8,$O8,$T8),1)-2)*20)</f>
        <v>-5.3</v>
      </c>
      <c r="W8" s="55">
        <f>IF($T8="","",ROUND(($T8-$T$3)/1000,1)+(_xlfn.RANK.AVG($T8,($J8,$O8,$T8),1)-2)*20)</f>
        <v>-27.6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198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189</v>
      </c>
      <c r="F9" s="8" t="s">
        <v>195</v>
      </c>
      <c r="G9" s="9">
        <v>1500</v>
      </c>
      <c r="H9" s="9"/>
      <c r="I9" s="48">
        <v>3000</v>
      </c>
      <c r="J9" s="21">
        <f t="shared" si="2"/>
        <v>52400</v>
      </c>
      <c r="K9" s="8" t="s">
        <v>196</v>
      </c>
      <c r="L9" s="9">
        <v>-1500</v>
      </c>
      <c r="M9" s="9"/>
      <c r="N9" s="48">
        <v>-3000</v>
      </c>
      <c r="O9" s="21">
        <f t="shared" si="3"/>
        <v>25200</v>
      </c>
      <c r="P9" s="8"/>
      <c r="Q9" s="9"/>
      <c r="R9" s="9"/>
      <c r="S9" s="48"/>
      <c r="T9" s="21">
        <f t="shared" si="4"/>
        <v>27400</v>
      </c>
      <c r="U9" s="53">
        <f>IF($J9="","",ROUND(($J9-$J$3)/1000,1)+(_xlfn.RANK.AVG($J9,($J9,$O9,$T9),1)-2)*20)</f>
        <v>37.4</v>
      </c>
      <c r="V9" s="54">
        <f>IF($O9="","",ROUND(($O9-$O$3)/1000,1)+(_xlfn.RANK.AVG($O9,($J9,$O9,$T9),1)-2)*20)</f>
        <v>-29.8</v>
      </c>
      <c r="W9" s="55">
        <f>IF($T9="","",ROUND(($T9-$T$3)/1000,1)+(_xlfn.RANK.AVG($T9,($J9,$O9,$T9),1)-2)*20)</f>
        <v>-7.6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0</v>
      </c>
      <c r="E10" s="4" t="s">
        <v>189</v>
      </c>
      <c r="F10" s="8" t="s">
        <v>199</v>
      </c>
      <c r="G10" s="9">
        <v>-5000</v>
      </c>
      <c r="H10" s="9"/>
      <c r="I10" s="48">
        <v>-2000</v>
      </c>
      <c r="J10" s="21">
        <f t="shared" si="2"/>
        <v>45400</v>
      </c>
      <c r="K10" s="8" t="s">
        <v>200</v>
      </c>
      <c r="L10" s="9">
        <v>8000</v>
      </c>
      <c r="M10" s="9">
        <v>1000</v>
      </c>
      <c r="N10" s="48">
        <v>4000</v>
      </c>
      <c r="O10" s="21">
        <f t="shared" si="3"/>
        <v>38200</v>
      </c>
      <c r="P10" s="8" t="s">
        <v>199</v>
      </c>
      <c r="Q10" s="9">
        <v>-3000</v>
      </c>
      <c r="R10" s="9">
        <v>-1000</v>
      </c>
      <c r="S10" s="48">
        <v>-2000</v>
      </c>
      <c r="T10" s="21">
        <f t="shared" si="4"/>
        <v>21400</v>
      </c>
      <c r="U10" s="53">
        <f>IF($J10="","",ROUND(($J10-$J$3)/1000,1)+(_xlfn.RANK.AVG($J10,($J10,$O10,$T10),1)-2)*20)</f>
        <v>30.4</v>
      </c>
      <c r="V10" s="54">
        <f>IF($O10="","",ROUND(($O10-$O$3)/1000,1)+(_xlfn.RANK.AVG($O10,($J10,$O10,$T10),1)-2)*20)</f>
        <v>3.2</v>
      </c>
      <c r="W10" s="55">
        <f>IF($T10="","",ROUND(($T10-$T$3)/1000,1)+(_xlfn.RANK.AVG($T10,($J10,$O10,$T10),1)-2)*20)</f>
        <v>-33.6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197</v>
      </c>
      <c r="AZ10" s="40" t="s">
        <v>202</v>
      </c>
      <c r="BA10" s="41" t="s">
        <v>82</v>
      </c>
      <c r="BB10" s="41" t="s">
        <v>203</v>
      </c>
      <c r="BC10" s="41" t="s">
        <v>84</v>
      </c>
      <c r="BD10" s="41" t="s">
        <v>85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>
        <f t="shared" si="2"/>
        <v>45400</v>
      </c>
      <c r="K11" s="8" t="s">
        <v>195</v>
      </c>
      <c r="L11" s="9">
        <v>11600</v>
      </c>
      <c r="M11" s="9"/>
      <c r="N11" s="48">
        <v>0</v>
      </c>
      <c r="O11" s="21">
        <f t="shared" si="3"/>
        <v>49800</v>
      </c>
      <c r="P11" s="8" t="s">
        <v>196</v>
      </c>
      <c r="Q11" s="9">
        <v>-11600</v>
      </c>
      <c r="R11" s="9"/>
      <c r="S11" s="48">
        <v>0</v>
      </c>
      <c r="T11" s="21">
        <f t="shared" si="4"/>
        <v>9800</v>
      </c>
      <c r="U11" s="53">
        <f>IF($J11="","",ROUND(($J11-$J$3)/1000,1)+(_xlfn.RANK.AVG($J11,($J11,$O11,$T11),1)-2)*20)</f>
        <v>10.4</v>
      </c>
      <c r="V11" s="54">
        <f>IF($O11="","",ROUND(($O11-$O$3)/1000,1)+(_xlfn.RANK.AVG($O11,($J11,$O11,$T11),1)-2)*20)</f>
        <v>34.799999999999997</v>
      </c>
      <c r="W11" s="55">
        <f>IF($T11="","",ROUND(($T11-$T$3)/1000,1)+(_xlfn.RANK.AVG($T11,($J11,$O11,$T11),1)-2)*20)</f>
        <v>-45.2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30</v>
      </c>
      <c r="AZ11" s="40" t="s">
        <v>202</v>
      </c>
      <c r="BA11" s="41" t="s">
        <v>83</v>
      </c>
      <c r="BB11" s="41" t="s">
        <v>198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195</v>
      </c>
      <c r="G12" s="9">
        <v>3900</v>
      </c>
      <c r="H12" s="9">
        <v>1000</v>
      </c>
      <c r="I12" s="48">
        <v>1000</v>
      </c>
      <c r="J12" s="21">
        <f t="shared" si="2"/>
        <v>51300</v>
      </c>
      <c r="K12" s="8" t="s">
        <v>196</v>
      </c>
      <c r="L12" s="9">
        <v>-3900</v>
      </c>
      <c r="M12" s="9">
        <v>-1000</v>
      </c>
      <c r="N12" s="48">
        <v>-1000</v>
      </c>
      <c r="O12" s="21">
        <f t="shared" si="3"/>
        <v>43900</v>
      </c>
      <c r="P12" s="8"/>
      <c r="Q12" s="9"/>
      <c r="R12" s="9"/>
      <c r="S12" s="48"/>
      <c r="T12" s="21">
        <f t="shared" si="4"/>
        <v>9800</v>
      </c>
      <c r="U12" s="53">
        <f>IF($J12="","",ROUND(($J12-$J$3)/1000,1)+(_xlfn.RANK.AVG($J12,($J12,$O12,$T12),1)-2)*20)</f>
        <v>36.299999999999997</v>
      </c>
      <c r="V12" s="54">
        <f>IF($O12="","",ROUND(($O12-$O$3)/1000,1)+(_xlfn.RANK.AVG($O12,($J12,$O12,$T12),1)-2)*20)</f>
        <v>8.9</v>
      </c>
      <c r="W12" s="55">
        <f>IF($T12="","",ROUND(($T12-$T$3)/1000,1)+(_xlfn.RANK.AVG($T12,($J12,$O12,$T12),1)-2)*20)</f>
        <v>-45.2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202</v>
      </c>
      <c r="AF12" s="41" t="s">
        <v>83</v>
      </c>
      <c r="AG12" s="41" t="s">
        <v>198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>
        <f t="shared" si="2"/>
        <v>51300</v>
      </c>
      <c r="K13" s="8" t="s">
        <v>196</v>
      </c>
      <c r="L13" s="9">
        <v>-12000</v>
      </c>
      <c r="M13" s="9"/>
      <c r="N13" s="48">
        <v>0</v>
      </c>
      <c r="O13" s="21">
        <f t="shared" si="3"/>
        <v>31900</v>
      </c>
      <c r="P13" s="8" t="s">
        <v>195</v>
      </c>
      <c r="Q13" s="9">
        <v>12000</v>
      </c>
      <c r="R13" s="9"/>
      <c r="S13" s="48">
        <v>0</v>
      </c>
      <c r="T13" s="21">
        <f t="shared" si="4"/>
        <v>21800</v>
      </c>
      <c r="U13" s="53">
        <f>IF($J13="","",ROUND(($J13-$J$3)/1000,1)+(_xlfn.RANK.AVG($J13,($J13,$O13,$T13),1)-2)*20)</f>
        <v>36.299999999999997</v>
      </c>
      <c r="V13" s="54">
        <f>IF($O13="","",ROUND(($O13-$O$3)/1000,1)+(_xlfn.RANK.AVG($O13,($J13,$O13,$T13),1)-2)*20)</f>
        <v>-3.1</v>
      </c>
      <c r="W13" s="55">
        <f>IF($T13="","",ROUND(($T13-$T$3)/1000,1)+(_xlfn.RANK.AVG($T13,($J13,$O13,$T13),1)-2)*20)</f>
        <v>-33.200000000000003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197</v>
      </c>
      <c r="BU13" s="40" t="s">
        <v>202</v>
      </c>
      <c r="BV13" s="41" t="s">
        <v>198</v>
      </c>
      <c r="BW13" s="41" t="s">
        <v>79</v>
      </c>
      <c r="BX13" s="41" t="s">
        <v>79</v>
      </c>
      <c r="BY13" s="41" t="s">
        <v>86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195</v>
      </c>
      <c r="G14" s="9">
        <v>2000</v>
      </c>
      <c r="H14" s="9">
        <v>1000</v>
      </c>
      <c r="I14" s="48">
        <v>1000</v>
      </c>
      <c r="J14" s="21">
        <f t="shared" si="2"/>
        <v>55300</v>
      </c>
      <c r="K14" s="8"/>
      <c r="L14" s="9"/>
      <c r="M14" s="9"/>
      <c r="N14" s="48"/>
      <c r="O14" s="21">
        <f t="shared" si="3"/>
        <v>31900</v>
      </c>
      <c r="P14" s="8" t="s">
        <v>196</v>
      </c>
      <c r="Q14" s="9">
        <v>-2000</v>
      </c>
      <c r="R14" s="9">
        <v>-1000</v>
      </c>
      <c r="S14" s="48">
        <v>-1000</v>
      </c>
      <c r="T14" s="21">
        <f t="shared" si="4"/>
        <v>17800</v>
      </c>
      <c r="U14" s="53">
        <f>IF($J14="","",ROUND(($J14-$J$3)/1000,1)+(_xlfn.RANK.AVG($J14,($J14,$O14,$T14),1)-2)*20)</f>
        <v>40.299999999999997</v>
      </c>
      <c r="V14" s="54">
        <f>IF($O14="","",ROUND(($O14-$O$3)/1000,1)+(_xlfn.RANK.AVG($O14,($J14,$O14,$T14),1)-2)*20)</f>
        <v>-3.1</v>
      </c>
      <c r="W14" s="55">
        <f>IF($T14="","",ROUND(($T14-$T$3)/1000,1)+(_xlfn.RANK.AVG($T14,($J14,$O14,$T14),1)-2)*20)</f>
        <v>-37.200000000000003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79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189</v>
      </c>
      <c r="F15" s="8"/>
      <c r="G15" s="9"/>
      <c r="H15" s="9"/>
      <c r="I15" s="48"/>
      <c r="J15" s="21">
        <f t="shared" si="2"/>
        <v>55300</v>
      </c>
      <c r="K15" s="8" t="s">
        <v>195</v>
      </c>
      <c r="L15" s="9">
        <v>16000</v>
      </c>
      <c r="M15" s="9">
        <v>1000</v>
      </c>
      <c r="N15" s="48">
        <v>0</v>
      </c>
      <c r="O15" s="21">
        <f t="shared" si="3"/>
        <v>48900</v>
      </c>
      <c r="P15" s="8" t="s">
        <v>196</v>
      </c>
      <c r="Q15" s="9">
        <v>-16000</v>
      </c>
      <c r="R15" s="9">
        <v>-1000</v>
      </c>
      <c r="S15" s="48">
        <v>0</v>
      </c>
      <c r="T15" s="21">
        <f t="shared" si="4"/>
        <v>800</v>
      </c>
      <c r="U15" s="53">
        <f>IF($J15="","",ROUND(($J15-$J$3)/1000,1)+(_xlfn.RANK.AVG($J15,($J15,$O15,$T15),1)-2)*20)</f>
        <v>40.299999999999997</v>
      </c>
      <c r="V15" s="54">
        <f>IF($O15="","",ROUND(($O15-$O$3)/1000,1)+(_xlfn.RANK.AVG($O15,($J15,$O15,$T15),1)-2)*20)</f>
        <v>13.9</v>
      </c>
      <c r="W15" s="55">
        <f>IF($T15="","",ROUND(($T15-$T$3)/1000,1)+(_xlfn.RANK.AVG($T15,($J15,$O15,$T15),1)-2)*20)</f>
        <v>-54.2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8</v>
      </c>
      <c r="AY15" s="30" t="s">
        <v>197</v>
      </c>
      <c r="AZ15" s="40" t="s">
        <v>86</v>
      </c>
      <c r="BA15" s="41" t="s">
        <v>86</v>
      </c>
      <c r="BB15" s="41" t="s">
        <v>93</v>
      </c>
      <c r="BC15" s="41" t="s">
        <v>79</v>
      </c>
      <c r="BD15" s="41" t="s">
        <v>79</v>
      </c>
      <c r="BE15" s="41" t="s">
        <v>79</v>
      </c>
      <c r="BF15" s="41" t="s">
        <v>79</v>
      </c>
      <c r="BG15" s="41" t="s">
        <v>79</v>
      </c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200</v>
      </c>
      <c r="G16" s="9">
        <v>7700</v>
      </c>
      <c r="H16" s="9">
        <v>1000</v>
      </c>
      <c r="I16" s="48">
        <v>0</v>
      </c>
      <c r="J16" s="21">
        <f t="shared" si="2"/>
        <v>64000</v>
      </c>
      <c r="K16" s="8" t="s">
        <v>199</v>
      </c>
      <c r="L16" s="9">
        <v>-4800</v>
      </c>
      <c r="M16" s="9">
        <v>-1000</v>
      </c>
      <c r="N16" s="48">
        <v>0</v>
      </c>
      <c r="O16" s="21">
        <f t="shared" si="3"/>
        <v>43100</v>
      </c>
      <c r="P16" s="8" t="s">
        <v>199</v>
      </c>
      <c r="Q16" s="9">
        <v>-2900</v>
      </c>
      <c r="R16" s="9"/>
      <c r="S16" s="48">
        <v>0</v>
      </c>
      <c r="T16" s="21">
        <f t="shared" si="4"/>
        <v>-2100</v>
      </c>
      <c r="U16" s="53">
        <f>IF($J16="","",ROUND(($J16-$J$3)/1000,1)+(_xlfn.RANK.AVG($J16,($J16,$O16,$T16),1)-2)*20)</f>
        <v>49</v>
      </c>
      <c r="V16" s="54">
        <f>IF($O16="","",ROUND(($O16-$O$3)/1000,1)+(_xlfn.RANK.AVG($O16,($J16,$O16,$T16),1)-2)*20)</f>
        <v>8.1</v>
      </c>
      <c r="W16" s="55">
        <f>IF($T16="","",ROUND(($T16-$T$3)/1000,1)+(_xlfn.RANK.AVG($T16,($J16,$O16,$T16),1)-2)*20)</f>
        <v>-57.1</v>
      </c>
      <c r="Y16" s="8"/>
      <c r="Z16" s="34"/>
      <c r="AA16" s="26">
        <v>1</v>
      </c>
      <c r="AB16" s="26"/>
      <c r="AC16" s="26">
        <v>4</v>
      </c>
      <c r="AD16" s="30">
        <v>30</v>
      </c>
      <c r="AE16" s="40" t="s">
        <v>202</v>
      </c>
      <c r="AF16" s="41" t="s">
        <v>82</v>
      </c>
      <c r="AG16" s="41" t="s">
        <v>203</v>
      </c>
      <c r="AH16" s="41" t="s">
        <v>79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254AC996-E676-4CEA-AA6D-564EEDC14F7A}">
      <formula1>$U$2:$W$2</formula1>
    </dataValidation>
    <dataValidation type="list" showInputMessage="1" showErrorMessage="1" sqref="K4:K30 P4:P30 F4:F30" xr:uid="{237083D3-2AC4-40D0-B5B9-959380F5984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A3C3B-321E-434B-A845-80CFB3028D7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いっしー</v>
      </c>
      <c r="V2" s="75" t="str">
        <f>$K$1</f>
        <v>だいち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200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199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26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-13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198</v>
      </c>
      <c r="AG4" s="41" t="s">
        <v>198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210</v>
      </c>
      <c r="F5" s="8"/>
      <c r="G5" s="9"/>
      <c r="H5" s="9"/>
      <c r="I5" s="48"/>
      <c r="J5" s="21">
        <f t="shared" ref="J5:J30" si="2">IF(COUNTA($F5,$K5,$P5)&gt;0,J4+SUM(G5:I5),"")</f>
        <v>41000</v>
      </c>
      <c r="K5" s="8" t="s">
        <v>196</v>
      </c>
      <c r="L5" s="9">
        <v>-1300</v>
      </c>
      <c r="M5" s="9"/>
      <c r="N5" s="48">
        <v>-1000</v>
      </c>
      <c r="O5" s="21">
        <f t="shared" ref="O5:O30" si="3">IF(COUNTA($F5,$K5,$P5)&gt;0,O4+SUM(L5:N5),"")</f>
        <v>29700</v>
      </c>
      <c r="P5" s="8" t="s">
        <v>195</v>
      </c>
      <c r="Q5" s="9">
        <v>1300</v>
      </c>
      <c r="R5" s="9"/>
      <c r="S5" s="48">
        <v>1000</v>
      </c>
      <c r="T5" s="21">
        <f t="shared" ref="T5:T30" si="4">IF(COUNTA($F5,$K5,$P5)&gt;0,T4+SUM(Q5:S5),"")</f>
        <v>34300</v>
      </c>
      <c r="U5" s="53">
        <f>IF($J5="","",ROUND(($J5-$J$3)/1000,1)+(_xlfn.RANK.AVG($J5,($J5,$O5,$T5),1)-2)*20)</f>
        <v>26</v>
      </c>
      <c r="V5" s="54">
        <f>IF($O5="","",ROUND(($O5-$O$3)/1000,1)+(_xlfn.RANK.AVG($O5,($J5,$O5,$T5),1)-2)*20)</f>
        <v>-25.3</v>
      </c>
      <c r="W5" s="55">
        <f>IF($T5="","",ROUND(($T5-$T$3)/1000,1)+(_xlfn.RANK.AVG($T5,($J5,$O5,$T5),1)-2)*20)</f>
        <v>-0.7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</v>
      </c>
      <c r="BT5" s="30">
        <v>40</v>
      </c>
      <c r="BU5" s="40" t="s">
        <v>202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208</v>
      </c>
      <c r="G6" s="9">
        <v>-3000</v>
      </c>
      <c r="H6" s="9"/>
      <c r="I6" s="48"/>
      <c r="J6" s="21">
        <f t="shared" si="2"/>
        <v>38000</v>
      </c>
      <c r="K6" s="8" t="s">
        <v>208</v>
      </c>
      <c r="L6" s="9">
        <v>1500</v>
      </c>
      <c r="M6" s="9"/>
      <c r="N6" s="48"/>
      <c r="O6" s="21">
        <f t="shared" si="3"/>
        <v>31200</v>
      </c>
      <c r="P6" s="8" t="s">
        <v>208</v>
      </c>
      <c r="Q6" s="9">
        <v>1500</v>
      </c>
      <c r="R6" s="9"/>
      <c r="S6" s="48"/>
      <c r="T6" s="21">
        <f t="shared" si="4"/>
        <v>35800</v>
      </c>
      <c r="U6" s="53">
        <f>IF($J6="","",ROUND(($J6-$J$3)/1000,1)+(_xlfn.RANK.AVG($J6,($J6,$O6,$T6),1)-2)*20)</f>
        <v>23</v>
      </c>
      <c r="V6" s="54">
        <f>IF($O6="","",ROUND(($O6-$O$3)/1000,1)+(_xlfn.RANK.AVG($O6,($J6,$O6,$T6),1)-2)*20)</f>
        <v>-23.8</v>
      </c>
      <c r="W6" s="55">
        <f>IF($T6="","",ROUND(($T6-$T$3)/1000,1)+(_xlfn.RANK.AVG($T6,($J6,$O6,$T6),1)-2)*20)</f>
        <v>0.8</v>
      </c>
      <c r="Y6" s="8" t="s">
        <v>207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206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200</v>
      </c>
      <c r="G7" s="9">
        <v>5300</v>
      </c>
      <c r="H7" s="9"/>
      <c r="I7" s="48">
        <v>1000</v>
      </c>
      <c r="J7" s="21">
        <f t="shared" si="2"/>
        <v>44300</v>
      </c>
      <c r="K7" s="8" t="s">
        <v>199</v>
      </c>
      <c r="L7" s="9">
        <v>-3300</v>
      </c>
      <c r="M7" s="9"/>
      <c r="N7" s="48">
        <v>-500</v>
      </c>
      <c r="O7" s="21">
        <f t="shared" si="3"/>
        <v>27400</v>
      </c>
      <c r="P7" s="8" t="s">
        <v>199</v>
      </c>
      <c r="Q7" s="9">
        <v>-2000</v>
      </c>
      <c r="R7" s="9"/>
      <c r="S7" s="48">
        <v>-500</v>
      </c>
      <c r="T7" s="21">
        <f t="shared" si="4"/>
        <v>33300</v>
      </c>
      <c r="U7" s="53">
        <f>IF($J7="","",ROUND(($J7-$J$3)/1000,1)+(_xlfn.RANK.AVG($J7,($J7,$O7,$T7),1)-2)*20)</f>
        <v>29.3</v>
      </c>
      <c r="V7" s="54">
        <f>IF($O7="","",ROUND(($O7-$O$3)/1000,1)+(_xlfn.RANK.AVG($O7,($J7,$O7,$T7),1)-2)*20)</f>
        <v>-27.6</v>
      </c>
      <c r="W7" s="55">
        <f>IF($T7="","",ROUND(($T7-$T$3)/1000,1)+(_xlfn.RANK.AVG($T7,($J7,$O7,$T7),1)-2)*20)</f>
        <v>-1.7</v>
      </c>
      <c r="Y7" s="8"/>
      <c r="Z7" s="34"/>
      <c r="AA7" s="26">
        <v>1</v>
      </c>
      <c r="AB7" s="26"/>
      <c r="AC7" s="26">
        <v>4</v>
      </c>
      <c r="AD7" s="30">
        <v>20</v>
      </c>
      <c r="AE7" s="40" t="s">
        <v>202</v>
      </c>
      <c r="AF7" s="41" t="s">
        <v>82</v>
      </c>
      <c r="AG7" s="41" t="s">
        <v>83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196</v>
      </c>
      <c r="G8" s="9">
        <v>-2000</v>
      </c>
      <c r="H8" s="9"/>
      <c r="I8" s="48">
        <v>0</v>
      </c>
      <c r="J8" s="21">
        <f t="shared" si="2"/>
        <v>42300</v>
      </c>
      <c r="K8" s="8" t="s">
        <v>195</v>
      </c>
      <c r="L8" s="9">
        <v>2000</v>
      </c>
      <c r="M8" s="9"/>
      <c r="N8" s="48">
        <v>0</v>
      </c>
      <c r="O8" s="21">
        <f t="shared" si="3"/>
        <v>29400</v>
      </c>
      <c r="P8" s="8"/>
      <c r="Q8" s="9"/>
      <c r="R8" s="9"/>
      <c r="S8" s="48"/>
      <c r="T8" s="21">
        <f t="shared" si="4"/>
        <v>33300</v>
      </c>
      <c r="U8" s="53">
        <f>IF($J8="","",ROUND(($J8-$J$3)/1000,1)+(_xlfn.RANK.AVG($J8,($J8,$O8,$T8),1)-2)*20)</f>
        <v>27.3</v>
      </c>
      <c r="V8" s="54">
        <f>IF($O8="","",ROUND(($O8-$O$3)/1000,1)+(_xlfn.RANK.AVG($O8,($J8,$O8,$T8),1)-2)*20)</f>
        <v>-25.6</v>
      </c>
      <c r="W8" s="55">
        <f>IF($T8="","",ROUND(($T8-$T$3)/1000,1)+(_xlfn.RANK.AVG($T8,($J8,$O8,$T8),1)-2)*20)</f>
        <v>-1.7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208</v>
      </c>
      <c r="G9" s="9">
        <v>1500</v>
      </c>
      <c r="H9" s="9"/>
      <c r="I9" s="48"/>
      <c r="J9" s="21">
        <f t="shared" si="2"/>
        <v>43800</v>
      </c>
      <c r="K9" s="8" t="s">
        <v>208</v>
      </c>
      <c r="L9" s="9">
        <v>-3000</v>
      </c>
      <c r="M9" s="9"/>
      <c r="N9" s="48"/>
      <c r="O9" s="21">
        <f t="shared" si="3"/>
        <v>26400</v>
      </c>
      <c r="P9" s="8" t="s">
        <v>208</v>
      </c>
      <c r="Q9" s="9">
        <v>1500</v>
      </c>
      <c r="R9" s="9">
        <v>-1000</v>
      </c>
      <c r="S9" s="48"/>
      <c r="T9" s="21">
        <f t="shared" si="4"/>
        <v>33800</v>
      </c>
      <c r="U9" s="53">
        <f>IF($J9="","",ROUND(($J9-$J$3)/1000,1)+(_xlfn.RANK.AVG($J9,($J9,$O9,$T9),1)-2)*20)</f>
        <v>28.8</v>
      </c>
      <c r="V9" s="54">
        <f>IF($O9="","",ROUND(($O9-$O$3)/1000,1)+(_xlfn.RANK.AVG($O9,($J9,$O9,$T9),1)-2)*20)</f>
        <v>-28.6</v>
      </c>
      <c r="W9" s="55">
        <f>IF($T9="","",ROUND(($T9-$T$3)/1000,1)+(_xlfn.RANK.AVG($T9,($J9,$O9,$T9),1)-2)*20)</f>
        <v>-1.2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210</v>
      </c>
      <c r="F10" s="8" t="s">
        <v>196</v>
      </c>
      <c r="G10" s="9">
        <v>-24000</v>
      </c>
      <c r="H10" s="9"/>
      <c r="I10" s="48">
        <v>-1000</v>
      </c>
      <c r="J10" s="21">
        <f t="shared" si="2"/>
        <v>18800</v>
      </c>
      <c r="K10" s="8" t="s">
        <v>195</v>
      </c>
      <c r="L10" s="9">
        <v>24000</v>
      </c>
      <c r="M10" s="9">
        <v>2000</v>
      </c>
      <c r="N10" s="48">
        <v>1000</v>
      </c>
      <c r="O10" s="21">
        <f t="shared" si="3"/>
        <v>53400</v>
      </c>
      <c r="P10" s="8"/>
      <c r="Q10" s="9"/>
      <c r="R10" s="9">
        <v>-1000</v>
      </c>
      <c r="S10" s="48"/>
      <c r="T10" s="21">
        <f t="shared" si="4"/>
        <v>32800</v>
      </c>
      <c r="U10" s="53">
        <f>IF($J10="","",ROUND(($J10-$J$3)/1000,1)+(_xlfn.RANK.AVG($J10,($J10,$O10,$T10),1)-2)*20)</f>
        <v>-36.200000000000003</v>
      </c>
      <c r="V10" s="54">
        <f>IF($O10="","",ROUND(($O10-$O$3)/1000,1)+(_xlfn.RANK.AVG($O10,($J10,$O10,$T10),1)-2)*20)</f>
        <v>38.4</v>
      </c>
      <c r="W10" s="55">
        <f>IF($T10="","",ROUND(($T10-$T$3)/1000,1)+(_xlfn.RANK.AVG($T10,($J10,$O10,$T10),1)-2)*20)</f>
        <v>-2.2000000000000002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11</v>
      </c>
      <c r="AY10" s="30" t="s">
        <v>197</v>
      </c>
      <c r="AZ10" s="40" t="s">
        <v>202</v>
      </c>
      <c r="BA10" s="41" t="s">
        <v>104</v>
      </c>
      <c r="BB10" s="41" t="s">
        <v>101</v>
      </c>
      <c r="BC10" s="41" t="s">
        <v>79</v>
      </c>
      <c r="BD10" s="41" t="s">
        <v>79</v>
      </c>
      <c r="BE10" s="41" t="s">
        <v>80</v>
      </c>
      <c r="BF10" s="41" t="s">
        <v>80</v>
      </c>
      <c r="BG10" s="41" t="s">
        <v>198</v>
      </c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195</v>
      </c>
      <c r="G11" s="9">
        <v>8000</v>
      </c>
      <c r="H11" s="9"/>
      <c r="I11" s="48">
        <v>0</v>
      </c>
      <c r="J11" s="21">
        <f t="shared" si="2"/>
        <v>26800</v>
      </c>
      <c r="K11" s="8" t="s">
        <v>196</v>
      </c>
      <c r="L11" s="9">
        <v>-8000</v>
      </c>
      <c r="M11" s="9"/>
      <c r="N11" s="48">
        <v>0</v>
      </c>
      <c r="O11" s="21">
        <f t="shared" si="3"/>
        <v>45400</v>
      </c>
      <c r="P11" s="8"/>
      <c r="Q11" s="9"/>
      <c r="R11" s="9"/>
      <c r="S11" s="48"/>
      <c r="T11" s="21">
        <f t="shared" si="4"/>
        <v>32800</v>
      </c>
      <c r="U11" s="53">
        <f>IF($J11="","",ROUND(($J11-$J$3)/1000,1)+(_xlfn.RANK.AVG($J11,($J11,$O11,$T11),1)-2)*20)</f>
        <v>-28.2</v>
      </c>
      <c r="V11" s="54">
        <f>IF($O11="","",ROUND(($O11-$O$3)/1000,1)+(_xlfn.RANK.AVG($O11,($J11,$O11,$T11),1)-2)*20)</f>
        <v>30.4</v>
      </c>
      <c r="W11" s="55">
        <f>IF($T11="","",ROUND(($T11-$T$3)/1000,1)+(_xlfn.RANK.AVG($T11,($J11,$O11,$T11),1)-2)*20)</f>
        <v>-2.2000000000000002</v>
      </c>
      <c r="Y11" s="8"/>
      <c r="Z11" s="34"/>
      <c r="AA11" s="26"/>
      <c r="AB11" s="26">
        <v>1</v>
      </c>
      <c r="AC11" s="26">
        <v>5</v>
      </c>
      <c r="AD11" s="30" t="s">
        <v>197</v>
      </c>
      <c r="AE11" s="40" t="s">
        <v>79</v>
      </c>
      <c r="AF11" s="41" t="s">
        <v>198</v>
      </c>
      <c r="AG11" s="41" t="s">
        <v>79</v>
      </c>
      <c r="AH11" s="41" t="s">
        <v>98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2DAEC6CB-2445-47CF-9F0B-2227463DEF94}">
      <formula1>"ロン,ツモ,放銃,ツモ支払,流局,チョンボ"</formula1>
    </dataValidation>
    <dataValidation type="list" allowBlank="1" showInputMessage="1" showErrorMessage="1" sqref="E4:E30" xr:uid="{19D66710-B0FE-4F5F-9F30-076ABF74701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2766-51C0-41F9-A665-A59350171572}">
  <sheetPr codeName="Sheet14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211</v>
      </c>
      <c r="G1" s="79"/>
      <c r="H1" s="79"/>
      <c r="I1" s="80"/>
      <c r="J1" s="81"/>
      <c r="K1" s="78" t="s">
        <v>205</v>
      </c>
      <c r="L1" s="79"/>
      <c r="M1" s="79"/>
      <c r="N1" s="80"/>
      <c r="O1" s="81"/>
      <c r="P1" s="78" t="s">
        <v>194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いっしー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いっしー</v>
      </c>
      <c r="V2" s="75" t="str">
        <f>$K$1</f>
        <v>ただ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204</v>
      </c>
      <c r="F4" s="8" t="s">
        <v>208</v>
      </c>
      <c r="G4" s="9">
        <v>-1500</v>
      </c>
      <c r="H4" s="9"/>
      <c r="I4" s="48"/>
      <c r="J4" s="21">
        <f>IF(COUNTA($F4,$K4,$P4)&gt;0,J3+SUM(G4:I4),"")</f>
        <v>33500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 t="s">
        <v>207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206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4000</v>
      </c>
      <c r="H5" s="9"/>
      <c r="I5" s="48">
        <v>1000</v>
      </c>
      <c r="J5" s="21">
        <f t="shared" ref="J5:J30" si="2">IF(COUNTA($F5,$K5,$P5)&gt;0,J4+SUM(G5:I5),"")</f>
        <v>38500</v>
      </c>
      <c r="K5" s="8" t="s">
        <v>199</v>
      </c>
      <c r="L5" s="9">
        <v>-1500</v>
      </c>
      <c r="M5" s="9"/>
      <c r="N5" s="48">
        <v>-500</v>
      </c>
      <c r="O5" s="21">
        <f t="shared" ref="O5:O30" si="3">IF(COUNTA($F5,$K5,$P5)&gt;0,O4+SUM(L5:N5),"")</f>
        <v>31500</v>
      </c>
      <c r="P5" s="8" t="s">
        <v>199</v>
      </c>
      <c r="Q5" s="9">
        <v>-2500</v>
      </c>
      <c r="R5" s="9"/>
      <c r="S5" s="48">
        <v>-500</v>
      </c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23.5</v>
      </c>
      <c r="V5" s="54">
        <f>IF($O5="","",ROUND(($O5-$O$3)/1000,1)+(_xlfn.RANK.AVG($O5,($J5,$O5,$T5),1)-2)*20)</f>
        <v>-23.5</v>
      </c>
      <c r="W5" s="55">
        <f>IF($T5="","",ROUND(($T5-$T$3)/1000,1)+(_xlfn.RANK.AVG($T5,($J5,$O5,$T5),1)-2)*20)</f>
        <v>0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202</v>
      </c>
      <c r="AF5" s="41" t="s">
        <v>82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210</v>
      </c>
      <c r="F6" s="8" t="s">
        <v>199</v>
      </c>
      <c r="G6" s="9">
        <v>-3300</v>
      </c>
      <c r="H6" s="9"/>
      <c r="I6" s="48">
        <v>0</v>
      </c>
      <c r="J6" s="21">
        <f t="shared" si="2"/>
        <v>35200</v>
      </c>
      <c r="K6" s="8" t="s">
        <v>199</v>
      </c>
      <c r="L6" s="9">
        <v>-2000</v>
      </c>
      <c r="M6" s="9"/>
      <c r="N6" s="48">
        <v>0</v>
      </c>
      <c r="O6" s="21">
        <f t="shared" si="3"/>
        <v>29500</v>
      </c>
      <c r="P6" s="8" t="s">
        <v>200</v>
      </c>
      <c r="Q6" s="9">
        <v>5300</v>
      </c>
      <c r="R6" s="9"/>
      <c r="S6" s="48">
        <v>0</v>
      </c>
      <c r="T6" s="21">
        <f t="shared" si="4"/>
        <v>40300</v>
      </c>
      <c r="U6" s="53">
        <f>IF($J6="","",ROUND(($J6-$J$3)/1000,1)+(_xlfn.RANK.AVG($J6,($J6,$O6,$T6),1)-2)*20)</f>
        <v>0.2</v>
      </c>
      <c r="V6" s="54">
        <f>IF($O6="","",ROUND(($O6-$O$3)/1000,1)+(_xlfn.RANK.AVG($O6,($J6,$O6,$T6),1)-2)*20)</f>
        <v>-25.5</v>
      </c>
      <c r="W6" s="55">
        <f>IF($T6="","",ROUND(($T6-$T$3)/1000,1)+(_xlfn.RANK.AVG($T6,($J6,$O6,$T6),1)-2)*20)</f>
        <v>25.3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202</v>
      </c>
      <c r="BV6" s="41" t="s">
        <v>82</v>
      </c>
      <c r="BW6" s="41" t="s">
        <v>203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195</v>
      </c>
      <c r="G7" s="9">
        <v>3900</v>
      </c>
      <c r="H7" s="9"/>
      <c r="I7" s="48">
        <v>0</v>
      </c>
      <c r="J7" s="21">
        <f t="shared" si="2"/>
        <v>39100</v>
      </c>
      <c r="K7" s="8" t="s">
        <v>196</v>
      </c>
      <c r="L7" s="9">
        <v>-3900</v>
      </c>
      <c r="M7" s="9"/>
      <c r="N7" s="48">
        <v>0</v>
      </c>
      <c r="O7" s="21">
        <f t="shared" si="3"/>
        <v>25600</v>
      </c>
      <c r="P7" s="8"/>
      <c r="Q7" s="9"/>
      <c r="R7" s="9"/>
      <c r="S7" s="48"/>
      <c r="T7" s="21">
        <f t="shared" si="4"/>
        <v>40300</v>
      </c>
      <c r="U7" s="53">
        <f>IF($J7="","",ROUND(($J7-$J$3)/1000,1)+(_xlfn.RANK.AVG($J7,($J7,$O7,$T7),1)-2)*20)</f>
        <v>4.0999999999999996</v>
      </c>
      <c r="V7" s="54">
        <f>IF($O7="","",ROUND(($O7-$O$3)/1000,1)+(_xlfn.RANK.AVG($O7,($J7,$O7,$T7),1)-2)*20)</f>
        <v>-29.4</v>
      </c>
      <c r="W7" s="55">
        <f>IF($T7="","",ROUND(($T7-$T$3)/1000,1)+(_xlfn.RANK.AVG($T7,($J7,$O7,$T7),1)-2)*20)</f>
        <v>25.3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202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200</v>
      </c>
      <c r="G8" s="9">
        <v>12000</v>
      </c>
      <c r="H8" s="9"/>
      <c r="I8" s="48">
        <v>0</v>
      </c>
      <c r="J8" s="21">
        <f t="shared" si="2"/>
        <v>51100</v>
      </c>
      <c r="K8" s="8" t="s">
        <v>199</v>
      </c>
      <c r="L8" s="9">
        <v>-4500</v>
      </c>
      <c r="M8" s="9"/>
      <c r="N8" s="48">
        <v>0</v>
      </c>
      <c r="O8" s="21">
        <f t="shared" si="3"/>
        <v>21100</v>
      </c>
      <c r="P8" s="8" t="s">
        <v>199</v>
      </c>
      <c r="Q8" s="9">
        <v>-7500</v>
      </c>
      <c r="R8" s="9"/>
      <c r="S8" s="48">
        <v>0</v>
      </c>
      <c r="T8" s="21">
        <f t="shared" si="4"/>
        <v>32800</v>
      </c>
      <c r="U8" s="53">
        <f>IF($J8="","",ROUND(($J8-$J$3)/1000,1)+(_xlfn.RANK.AVG($J8,($J8,$O8,$T8),1)-2)*20)</f>
        <v>36.1</v>
      </c>
      <c r="V8" s="54">
        <f>IF($O8="","",ROUND(($O8-$O$3)/1000,1)+(_xlfn.RANK.AVG($O8,($J8,$O8,$T8),1)-2)*20)</f>
        <v>-33.9</v>
      </c>
      <c r="W8" s="55">
        <f>IF($T8="","",ROUND(($T8-$T$3)/1000,1)+(_xlfn.RANK.AVG($T8,($J8,$O8,$T8),1)-2)*20)</f>
        <v>-2.2000000000000002</v>
      </c>
      <c r="Y8" s="8"/>
      <c r="Z8" s="34"/>
      <c r="AA8" s="26">
        <v>1</v>
      </c>
      <c r="AB8" s="26"/>
      <c r="AC8" s="26">
        <v>7</v>
      </c>
      <c r="AD8" s="30" t="s">
        <v>197</v>
      </c>
      <c r="AE8" s="40" t="s">
        <v>202</v>
      </c>
      <c r="AF8" s="41" t="s">
        <v>82</v>
      </c>
      <c r="AG8" s="41" t="s">
        <v>79</v>
      </c>
      <c r="AH8" s="41" t="s">
        <v>79</v>
      </c>
      <c r="AI8" s="41" t="s">
        <v>79</v>
      </c>
      <c r="AJ8" s="41" t="s">
        <v>86</v>
      </c>
      <c r="AK8" s="41" t="s">
        <v>198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210</v>
      </c>
      <c r="F9" s="8" t="s">
        <v>199</v>
      </c>
      <c r="G9" s="9">
        <v>-10000</v>
      </c>
      <c r="H9" s="9"/>
      <c r="I9" s="48">
        <v>0</v>
      </c>
      <c r="J9" s="21">
        <f t="shared" si="2"/>
        <v>41100</v>
      </c>
      <c r="K9" s="8" t="s">
        <v>199</v>
      </c>
      <c r="L9" s="9">
        <v>-6000</v>
      </c>
      <c r="M9" s="9"/>
      <c r="N9" s="48">
        <v>0</v>
      </c>
      <c r="O9" s="21">
        <f t="shared" si="3"/>
        <v>15100</v>
      </c>
      <c r="P9" s="8" t="s">
        <v>200</v>
      </c>
      <c r="Q9" s="9">
        <v>16000</v>
      </c>
      <c r="R9" s="9"/>
      <c r="S9" s="48">
        <v>0</v>
      </c>
      <c r="T9" s="21">
        <f t="shared" si="4"/>
        <v>48800</v>
      </c>
      <c r="U9" s="53">
        <f>IF($J9="","",ROUND(($J9-$J$3)/1000,1)+(_xlfn.RANK.AVG($J9,($J9,$O9,$T9),1)-2)*20)</f>
        <v>6.1</v>
      </c>
      <c r="V9" s="54">
        <f>IF($O9="","",ROUND(($O9-$O$3)/1000,1)+(_xlfn.RANK.AVG($O9,($J9,$O9,$T9),1)-2)*20)</f>
        <v>-39.9</v>
      </c>
      <c r="W9" s="55">
        <f>IF($T9="","",ROUND(($T9-$T$3)/1000,1)+(_xlfn.RANK.AVG($T9,($J9,$O9,$T9),1)-2)*20)</f>
        <v>33.799999999999997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197</v>
      </c>
      <c r="BU9" s="40" t="s">
        <v>202</v>
      </c>
      <c r="BV9" s="41" t="s">
        <v>82</v>
      </c>
      <c r="BW9" s="41" t="s">
        <v>203</v>
      </c>
      <c r="BX9" s="41" t="s">
        <v>198</v>
      </c>
      <c r="BY9" s="41" t="s">
        <v>79</v>
      </c>
      <c r="BZ9" s="41" t="s">
        <v>85</v>
      </c>
      <c r="CA9" s="41" t="s">
        <v>83</v>
      </c>
      <c r="CB9" s="41" t="s">
        <v>198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29FCB80-62B8-41D2-9685-62E965580331}">
      <formula1>$U$2:$W$2</formula1>
    </dataValidation>
    <dataValidation type="list" showInputMessage="1" showErrorMessage="1" sqref="K4:K30 P4:P30 F4:F30" xr:uid="{863B1AFB-10E0-47DC-9DBB-9BCA26B4443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2019-05-24T11:55:20Z</dcterms:modified>
</cp:coreProperties>
</file>