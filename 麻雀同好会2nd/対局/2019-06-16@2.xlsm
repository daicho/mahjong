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B710A6D-6670-47D1-B94A-C20A88CAC052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D9" i="20"/>
  <c r="C9" i="20"/>
  <c r="C10" i="20" s="1"/>
  <c r="C8" i="20"/>
  <c r="D7" i="20"/>
  <c r="D8" i="20" s="1"/>
  <c r="C7" i="20"/>
  <c r="D6" i="20"/>
  <c r="C6" i="20"/>
  <c r="B6" i="20"/>
  <c r="B7" i="20" s="1"/>
  <c r="D5" i="20"/>
  <c r="C5" i="20"/>
  <c r="B5" i="20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A6" i="20" l="1"/>
  <c r="V4" i="20"/>
  <c r="U4" i="20"/>
  <c r="W4" i="20"/>
  <c r="B8" i="20"/>
  <c r="A7" i="20"/>
  <c r="J5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8" i="20" l="1"/>
  <c r="W5" i="20"/>
  <c r="T6" i="20"/>
  <c r="V5" i="20"/>
  <c r="O6" i="20"/>
  <c r="U5" i="20"/>
  <c r="J6" i="20"/>
  <c r="B9" i="20"/>
  <c r="W10" i="19"/>
  <c r="U9" i="19"/>
  <c r="W9" i="19"/>
  <c r="V9" i="19"/>
  <c r="U8" i="19"/>
  <c r="V8" i="19"/>
  <c r="W8" i="19"/>
  <c r="W7" i="19"/>
  <c r="U7" i="19"/>
  <c r="U6" i="19"/>
  <c r="V6" i="19"/>
  <c r="W6" i="19"/>
  <c r="U4" i="19"/>
  <c r="V4" i="19"/>
  <c r="W4" i="19"/>
  <c r="J5" i="19"/>
  <c r="O5" i="19"/>
  <c r="V5" i="19" s="1"/>
  <c r="U6" i="20" l="1"/>
  <c r="J7" i="20"/>
  <c r="B10" i="20"/>
  <c r="V6" i="20"/>
  <c r="O7" i="20"/>
  <c r="A9" i="20"/>
  <c r="W6" i="20"/>
  <c r="T7" i="20"/>
  <c r="W5" i="19"/>
  <c r="U5" i="19"/>
  <c r="A10" i="20" l="1"/>
  <c r="U7" i="20"/>
  <c r="J8" i="20"/>
  <c r="O8" i="20"/>
  <c r="V7" i="20"/>
  <c r="W7" i="20"/>
  <c r="T8" i="20"/>
  <c r="W8" i="20" l="1"/>
  <c r="T9" i="20"/>
  <c r="J9" i="20"/>
  <c r="U8" i="20"/>
  <c r="V8" i="20"/>
  <c r="O9" i="20"/>
  <c r="V9" i="20" l="1"/>
  <c r="O10" i="20"/>
  <c r="U9" i="20"/>
  <c r="J10" i="20"/>
  <c r="W9" i="20"/>
  <c r="T10" i="20"/>
  <c r="U10" i="20" l="1"/>
  <c r="W10" i="20"/>
  <c r="V10" i="20"/>
</calcChain>
</file>

<file path=xl/sharedStrings.xml><?xml version="1.0" encoding="utf-8"?>
<sst xmlns="http://schemas.openxmlformats.org/spreadsheetml/2006/main" count="695" uniqueCount="207">
  <si>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</si>
  <si>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</si>
  <si>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</si>
  <si>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</si>
  <si>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</si>
  <si>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</si>
  <si>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</si>
  <si>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</si>
  <si>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</si>
  <si>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</si>
  <si>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</si>
  <si>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</si>
  <si>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</si>
  <si>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</si>
  <si>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</si>
  <si>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</si>
  <si>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</si>
  <si>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</si>
  <si>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</si>
  <si>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</si>
  <si>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</si>
  <si>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</si>
  <si>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</si>
  <si>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</si>
  <si>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</si>
  <si>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</si>
  <si>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</si>
  <si>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</si>
  <si>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</si>
  <si>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</si>
  <si>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</si>
  <si>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</si>
  <si>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</si>
  <si>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</si>
  <si>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</si>
  <si>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</si>
  <si>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</si>
  <si>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</si>
  <si>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</si>
  <si>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</si>
  <si>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</si>
  <si>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</si>
  <si>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</si>
  <si>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</si>
  <si>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</si>
  <si>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</si>
  <si>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</si>
  <si>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</si>
  <si>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</si>
  <si>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</si>
  <si>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</si>
  <si>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</si>
  <si>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</si>
  <si>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</si>
  <si>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</si>
  <si>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</si>
  <si>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</si>
  <si>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</si>
  <si>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</si>
  <si>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</si>
  <si>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</si>
  <si>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</si>
  <si>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</si>
  <si>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</si>
  <si>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</si>
  <si>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</si>
  <si>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</si>
  <si>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</si>
  <si>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</si>
  <si>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</si>
  <si>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</si>
  <si>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</si>
  <si>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</si>
  <si>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</si>
  <si>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</si>
  <si>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</si>
  <si>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</si>
  <si>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</si>
  <si>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</si>
  <si>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</si>
  <si>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</si>
  <si>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</si>
  <si>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</si>
  <si>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</si>
  <si>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</si>
  <si>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</si>
  <si>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</si>
  <si>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</si>
  <si>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</si>
  <si>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</si>
  <si>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</si>
  <si>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</si>
  <si>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</si>
  <si>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</si>
  <si>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</si>
  <si>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</si>
  <si>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</si>
  <si>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</si>
  <si>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</si>
  <si>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</si>
  <si>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</si>
  <si>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</si>
  <si>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</si>
  <si>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</si>
  <si>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</si>
  <si>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</si>
  <si>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</si>
  <si>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</si>
  <si>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</si>
  <si>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</si>
  <si>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</si>
  <si>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</si>
  <si>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</si>
  <si>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</si>
  <si>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</si>
  <si>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</si>
  <si>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</si>
  <si>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</si>
  <si>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</si>
  <si>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</si>
  <si>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</si>
  <si>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</si>
  <si>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</si>
  <si>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</si>
  <si>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</si>
  <si>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</si>
  <si>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</si>
  <si>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</si>
  <si>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</si>
  <si>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</si>
  <si>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</si>
  <si>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</si>
  <si>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</si>
  <si>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</si>
  <si>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</si>
  <si>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</si>
  <si>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</si>
  <si>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</si>
  <si>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</si>
  <si>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</si>
  <si>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</si>
  <si>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</si>
  <si>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</si>
  <si>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</si>
  <si>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</si>
  <si>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</si>
  <si>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</si>
  <si>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</si>
  <si>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</si>
  <si>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</si>
  <si>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</si>
  <si>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</si>
  <si>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</si>
  <si>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</si>
  <si>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</si>
  <si>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</si>
  <si>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</si>
  <si>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</si>
  <si>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</si>
  <si>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</si>
  <si>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</si>
  <si>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</si>
  <si>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</si>
  <si>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</si>
  <si>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</si>
  <si>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</si>
  <si>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</si>
  <si>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</si>
  <si>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</si>
  <si>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</si>
  <si>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</si>
  <si>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</si>
  <si>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</si>
  <si>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</si>
  <si>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</si>
  <si>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</si>
  <si>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</si>
  <si>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</si>
  <si>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</si>
  <si>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</si>
  <si>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</si>
  <si>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</si>
  <si>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</si>
  <si>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</si>
  <si>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</si>
  <si>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</si>
  <si>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</si>
  <si>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</si>
  <si>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</si>
  <si>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</si>
  <si>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</si>
  <si>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</si>
  <si>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いっしー</t>
  </si>
  <si>
    <t>ただ</t>
  </si>
  <si>
    <t>ロン</t>
  </si>
  <si>
    <t>放銃</t>
  </si>
  <si>
    <t>01</t>
  </si>
  <si>
    <t>ツモ</t>
  </si>
  <si>
    <t>ツモ支払</t>
  </si>
  <si>
    <t>52</t>
  </si>
  <si>
    <t>*</t>
  </si>
  <si>
    <t>N</t>
  </si>
  <si>
    <t>T</t>
  </si>
  <si>
    <t>流局</t>
    <phoneticPr fontId="1"/>
  </si>
  <si>
    <t>ぱぱ</t>
  </si>
  <si>
    <t>まっつん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</si>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</sst>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5200</v>
      </c>
      <c r="H4" s="9">
        <v>1000</v>
      </c>
      <c r="I4" s="48">
        <v>0</v>
      </c>
      <c r="J4" s="21">
        <f>IF(COUNTA($F4,$K4,$P4)&gt;0,J3+SUM(G4:I4),"")</f>
        <v>41200</v>
      </c>
      <c r="K4" s="8" t="s">
        <v>195</v>
      </c>
      <c r="L4" s="9">
        <v>-5200</v>
      </c>
      <c r="M4" s="9">
        <v>-1000</v>
      </c>
      <c r="N4" s="48">
        <v>0</v>
      </c>
      <c r="O4" s="21">
        <f>IF(COUNTA($F4,$K4,$P4)&gt;0,O3+SUM(L4:N4),"")</f>
        <v>28800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26.2</v>
      </c>
      <c r="V4" s="54">
        <f>IF($O4="","",ROUND(($O4-$O$3)/1000,1)+(_xlfn.RANK.AVG($O4,($J4,$O4,$T4),1)-2)*20)</f>
        <v>-26.2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196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5300</v>
      </c>
      <c r="H5" s="9"/>
      <c r="I5" s="48">
        <v>0</v>
      </c>
      <c r="J5" s="21">
        <f t="shared" ref="J5:J30" si="2">IF(COUNTA($F5,$K5,$P5)&gt;0,J4+SUM(G5:I5),"")</f>
        <v>46500</v>
      </c>
      <c r="K5" s="8" t="s">
        <v>198</v>
      </c>
      <c r="L5" s="9">
        <v>-2000</v>
      </c>
      <c r="M5" s="9"/>
      <c r="N5" s="48">
        <v>0</v>
      </c>
      <c r="O5" s="21">
        <f t="shared" ref="O5:O30" si="3">IF(COUNTA($F5,$K5,$P5)&gt;0,O4+SUM(L5:N5),"")</f>
        <v>26800</v>
      </c>
      <c r="P5" s="8" t="s">
        <v>198</v>
      </c>
      <c r="Q5" s="9">
        <v>-3300</v>
      </c>
      <c r="R5" s="9"/>
      <c r="S5" s="48">
        <v>0</v>
      </c>
      <c r="T5" s="21">
        <f t="shared" ref="T5:T30" si="4">IF(COUNTA($F5,$K5,$P5)&gt;0,T4+SUM(Q5:S5),"")</f>
        <v>31700</v>
      </c>
      <c r="U5" s="53">
        <f>IF($J5="","",ROUND(($J5-$J$3)/1000,1)+(_xlfn.RANK.AVG($J5,($J5,$O5,$T5),1)-2)*20)</f>
        <v>31.5</v>
      </c>
      <c r="V5" s="54">
        <f>IF($O5="","",ROUND(($O5-$O$3)/1000,1)+(_xlfn.RANK.AVG($O5,($J5,$O5,$T5),1)-2)*20)</f>
        <v>-28.2</v>
      </c>
      <c r="W5" s="55">
        <f>IF($T5="","",ROUND(($T5-$T$3)/1000,1)+(_xlfn.RANK.AVG($T5,($J5,$O5,$T5),1)-2)*20)</f>
        <v>-3.3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196</v>
      </c>
      <c r="AF5" s="41" t="s">
        <v>82</v>
      </c>
      <c r="AG5" s="41" t="s">
        <v>83</v>
      </c>
      <c r="AH5" s="41" t="s">
        <v>199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-10000</v>
      </c>
      <c r="H6" s="9"/>
      <c r="I6" s="48">
        <v>0</v>
      </c>
      <c r="J6" s="21">
        <f t="shared" si="2"/>
        <v>36500</v>
      </c>
      <c r="K6" s="8" t="s">
        <v>198</v>
      </c>
      <c r="L6" s="9">
        <v>-6000</v>
      </c>
      <c r="M6" s="9"/>
      <c r="N6" s="48">
        <v>0</v>
      </c>
      <c r="O6" s="21">
        <f t="shared" si="3"/>
        <v>20800</v>
      </c>
      <c r="P6" s="8" t="s">
        <v>197</v>
      </c>
      <c r="Q6" s="9">
        <v>16000</v>
      </c>
      <c r="R6" s="9"/>
      <c r="S6" s="48">
        <v>0</v>
      </c>
      <c r="T6" s="21">
        <f t="shared" si="4"/>
        <v>47700</v>
      </c>
      <c r="U6" s="53">
        <f>IF($J6="","",ROUND(($J6-$J$3)/1000,1)+(_xlfn.RANK.AVG($J6,($J6,$O6,$T6),1)-2)*20)</f>
        <v>1.5</v>
      </c>
      <c r="V6" s="54">
        <f>IF($O6="","",ROUND(($O6-$O$3)/1000,1)+(_xlfn.RANK.AVG($O6,($J6,$O6,$T6),1)-2)*20)</f>
        <v>-34.200000000000003</v>
      </c>
      <c r="W6" s="55">
        <f>IF($T6="","",ROUND(($T6-$T$3)/1000,1)+(_xlfn.RANK.AVG($T6,($J6,$O6,$T6),1)-2)*20)</f>
        <v>32.700000000000003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8</v>
      </c>
      <c r="BT6" s="30" t="s">
        <v>200</v>
      </c>
      <c r="BU6" s="40" t="s">
        <v>89</v>
      </c>
      <c r="BV6" s="41" t="s">
        <v>82</v>
      </c>
      <c r="BW6" s="41" t="s">
        <v>79</v>
      </c>
      <c r="BX6" s="41" t="s">
        <v>79</v>
      </c>
      <c r="BY6" s="41" t="s">
        <v>79</v>
      </c>
      <c r="BZ6" s="41" t="s">
        <v>79</v>
      </c>
      <c r="CA6" s="41" t="s">
        <v>86</v>
      </c>
      <c r="CB6" s="41" t="s">
        <v>199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203</v>
      </c>
      <c r="G7" s="9">
        <v>-3000</v>
      </c>
      <c r="H7" s="9"/>
      <c r="I7" s="48"/>
      <c r="J7" s="21">
        <f t="shared" si="2"/>
        <v>33500</v>
      </c>
      <c r="K7" s="8" t="s">
        <v>203</v>
      </c>
      <c r="L7" s="9">
        <v>1500</v>
      </c>
      <c r="M7" s="9"/>
      <c r="N7" s="48"/>
      <c r="O7" s="21">
        <f t="shared" si="3"/>
        <v>22300</v>
      </c>
      <c r="P7" s="8" t="s">
        <v>203</v>
      </c>
      <c r="Q7" s="9">
        <v>1500</v>
      </c>
      <c r="R7" s="9">
        <v>-1000</v>
      </c>
      <c r="S7" s="48"/>
      <c r="T7" s="21">
        <f t="shared" si="4"/>
        <v>48200</v>
      </c>
      <c r="U7" s="53">
        <f>IF($J7="","",ROUND(($J7-$J$3)/1000,1)+(_xlfn.RANK.AVG($J7,($J7,$O7,$T7),1)-2)*20)</f>
        <v>-1.5</v>
      </c>
      <c r="V7" s="54">
        <f>IF($O7="","",ROUND(($O7-$O$3)/1000,1)+(_xlfn.RANK.AVG($O7,($J7,$O7,$T7),1)-2)*20)</f>
        <v>-32.700000000000003</v>
      </c>
      <c r="W7" s="55">
        <f>IF($T7="","",ROUND(($T7-$T$3)/1000,1)+(_xlfn.RANK.AVG($T7,($J7,$O7,$T7),1)-2)*20)</f>
        <v>33.200000000000003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192</v>
      </c>
      <c r="F8" s="8" t="s">
        <v>195</v>
      </c>
      <c r="G8" s="9">
        <v>-3900</v>
      </c>
      <c r="H8" s="9"/>
      <c r="I8" s="48">
        <v>-1000</v>
      </c>
      <c r="J8" s="21">
        <f t="shared" si="2"/>
        <v>28600</v>
      </c>
      <c r="K8" s="8"/>
      <c r="L8" s="9"/>
      <c r="M8" s="9"/>
      <c r="N8" s="48"/>
      <c r="O8" s="21">
        <f t="shared" si="3"/>
        <v>22300</v>
      </c>
      <c r="P8" s="8" t="s">
        <v>194</v>
      </c>
      <c r="Q8" s="9">
        <v>3900</v>
      </c>
      <c r="R8" s="9">
        <v>1000</v>
      </c>
      <c r="S8" s="48">
        <v>1000</v>
      </c>
      <c r="T8" s="21">
        <f t="shared" si="4"/>
        <v>54100</v>
      </c>
      <c r="U8" s="53">
        <f>IF($J8="","",ROUND(($J8-$J$3)/1000,1)+(_xlfn.RANK.AVG($J8,($J8,$O8,$T8),1)-2)*20)</f>
        <v>-6.4</v>
      </c>
      <c r="V8" s="54">
        <f>IF($O8="","",ROUND(($O8-$O$3)/1000,1)+(_xlfn.RANK.AVG($O8,($J8,$O8,$T8),1)-2)*20)</f>
        <v>-32.700000000000003</v>
      </c>
      <c r="W8" s="55">
        <f>IF($T8="","",ROUND(($T8-$T$3)/1000,1)+(_xlfn.RANK.AVG($T8,($J8,$O8,$T8),1)-2)*20)</f>
        <v>39.1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30</v>
      </c>
      <c r="BU8" s="40" t="s">
        <v>79</v>
      </c>
      <c r="BV8" s="41" t="s">
        <v>79</v>
      </c>
      <c r="BW8" s="41" t="s">
        <v>83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28600</v>
      </c>
      <c r="K9" s="8" t="s">
        <v>195</v>
      </c>
      <c r="L9" s="9">
        <v>-18000</v>
      </c>
      <c r="M9" s="9"/>
      <c r="N9" s="48">
        <v>0</v>
      </c>
      <c r="O9" s="21">
        <f t="shared" si="3"/>
        <v>4300</v>
      </c>
      <c r="P9" s="8" t="s">
        <v>194</v>
      </c>
      <c r="Q9" s="9">
        <v>18000</v>
      </c>
      <c r="R9" s="9"/>
      <c r="S9" s="48">
        <v>0</v>
      </c>
      <c r="T9" s="21">
        <f t="shared" si="4"/>
        <v>72100</v>
      </c>
      <c r="U9" s="53">
        <f>IF($J9="","",ROUND(($J9-$J$3)/1000,1)+(_xlfn.RANK.AVG($J9,($J9,$O9,$T9),1)-2)*20)</f>
        <v>-6.4</v>
      </c>
      <c r="V9" s="54">
        <f>IF($O9="","",ROUND(($O9-$O$3)/1000,1)+(_xlfn.RANK.AVG($O9,($J9,$O9,$T9),1)-2)*20)</f>
        <v>-50.7</v>
      </c>
      <c r="W9" s="55">
        <f>IF($T9="","",ROUND(($T9-$T$3)/1000,1)+(_xlfn.RANK.AVG($T9,($J9,$O9,$T9),1)-2)*20)</f>
        <v>57.1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196</v>
      </c>
      <c r="BV9" s="41" t="s">
        <v>92</v>
      </c>
      <c r="BW9" s="41" t="s">
        <v>79</v>
      </c>
      <c r="BX9" s="41" t="s">
        <v>199</v>
      </c>
      <c r="BY9" s="41" t="s">
        <v>86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27600</v>
      </c>
      <c r="K10" s="8" t="s">
        <v>195</v>
      </c>
      <c r="L10" s="9">
        <v>-12000</v>
      </c>
      <c r="M10" s="9"/>
      <c r="N10" s="48">
        <v>-1000</v>
      </c>
      <c r="O10" s="21">
        <f t="shared" si="3"/>
        <v>-8700</v>
      </c>
      <c r="P10" s="8" t="s">
        <v>194</v>
      </c>
      <c r="Q10" s="9">
        <v>12000</v>
      </c>
      <c r="R10" s="9">
        <v>1000</v>
      </c>
      <c r="S10" s="48">
        <v>1000</v>
      </c>
      <c r="T10" s="21">
        <f t="shared" si="4"/>
        <v>86100</v>
      </c>
      <c r="U10" s="53">
        <f>IF($J10="","",ROUND(($J10-$J$3)/1000,1)+(_xlfn.RANK.AVG($J10,($J10,$O10,$T10),1)-2)*20)</f>
        <v>-7.4</v>
      </c>
      <c r="V10" s="54">
        <f>IF($O10="","",ROUND(($O10-$O$3)/1000,1)+(_xlfn.RANK.AVG($O10,($J10,$O10,$T10),1)-2)*20)</f>
        <v>-63.7</v>
      </c>
      <c r="W10" s="55">
        <f>IF($T10="","",ROUND(($T10-$T$3)/1000,1)+(_xlfn.RANK.AVG($T10,($J10,$O10,$T10),1)-2)*20)</f>
        <v>71.099999999999994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79</v>
      </c>
      <c r="BV10" s="41" t="s">
        <v>79</v>
      </c>
      <c r="BW10" s="41" t="s">
        <v>86</v>
      </c>
      <c r="BX10" s="41" t="s">
        <v>199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965BE81-9C4D-4753-94B3-6DC98C3944B1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4F31B-AC5C-484B-A03B-FAFE2740D72B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204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いっしー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いっしー</v>
      </c>
      <c r="V2" s="70" t="str">
        <f>$K$1</f>
        <v>ぱぱ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195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200</v>
      </c>
      <c r="BU4" s="40" t="s">
        <v>196</v>
      </c>
      <c r="BV4" s="41" t="s">
        <v>83</v>
      </c>
      <c r="BW4" s="41" t="s">
        <v>79</v>
      </c>
      <c r="BX4" s="41" t="s">
        <v>80</v>
      </c>
      <c r="BY4" s="41" t="s">
        <v>199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194</v>
      </c>
      <c r="G5" s="9">
        <v>2000</v>
      </c>
      <c r="H5" s="9"/>
      <c r="I5" s="48">
        <v>0</v>
      </c>
      <c r="J5" s="21">
        <f t="shared" ref="J5:J30" si="2">IF(COUNTA($F5,$K5,$P5)&gt;0,J4+SUM(G5:I5),"")</f>
        <v>29000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195</v>
      </c>
      <c r="Q5" s="9">
        <v>-2000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IF($J5="","",ROUND(($J5-$J$3)/1000,1)+(_xlfn.RANK.AVG($J5,($J5,$O5,$T5),1)-2)*20)</f>
        <v>-26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26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197</v>
      </c>
      <c r="G6" s="9">
        <v>6000</v>
      </c>
      <c r="H6" s="9"/>
      <c r="I6" s="48">
        <v>0</v>
      </c>
      <c r="J6" s="21">
        <f t="shared" si="2"/>
        <v>35000</v>
      </c>
      <c r="K6" s="8" t="s">
        <v>198</v>
      </c>
      <c r="L6" s="9">
        <v>-3000</v>
      </c>
      <c r="M6" s="9"/>
      <c r="N6" s="48">
        <v>0</v>
      </c>
      <c r="O6" s="21">
        <f t="shared" si="3"/>
        <v>32000</v>
      </c>
      <c r="P6" s="8" t="s">
        <v>198</v>
      </c>
      <c r="Q6" s="9">
        <v>-3000</v>
      </c>
      <c r="R6" s="9"/>
      <c r="S6" s="48">
        <v>0</v>
      </c>
      <c r="T6" s="21">
        <f t="shared" si="4"/>
        <v>38000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-23</v>
      </c>
      <c r="W6" s="55">
        <f>IF($T6="","",ROUND(($T6-$T$3)/1000,1)+(_xlfn.RANK.AVG($T6,($J6,$O6,$T6),1)-2)*20)</f>
        <v>23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84</v>
      </c>
      <c r="AF6" s="41" t="s">
        <v>80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192</v>
      </c>
      <c r="F7" s="8" t="s">
        <v>194</v>
      </c>
      <c r="G7" s="9">
        <v>12000</v>
      </c>
      <c r="H7" s="9"/>
      <c r="I7" s="48">
        <v>1000</v>
      </c>
      <c r="J7" s="21">
        <f t="shared" si="2"/>
        <v>48000</v>
      </c>
      <c r="K7" s="8"/>
      <c r="L7" s="9"/>
      <c r="M7" s="9"/>
      <c r="N7" s="48"/>
      <c r="O7" s="21">
        <f t="shared" si="3"/>
        <v>32000</v>
      </c>
      <c r="P7" s="8" t="s">
        <v>195</v>
      </c>
      <c r="Q7" s="9">
        <v>-12000</v>
      </c>
      <c r="R7" s="9"/>
      <c r="S7" s="48">
        <v>-1000</v>
      </c>
      <c r="T7" s="21">
        <f t="shared" si="4"/>
        <v>25000</v>
      </c>
      <c r="U7" s="53">
        <f>IF($J7="","",ROUND(($J7-$J$3)/1000,1)+(_xlfn.RANK.AVG($J7,($J7,$O7,$T7),1)-2)*20)</f>
        <v>33</v>
      </c>
      <c r="V7" s="54">
        <f>IF($O7="","",ROUND(($O7-$O$3)/1000,1)+(_xlfn.RANK.AVG($O7,($J7,$O7,$T7),1)-2)*20)</f>
        <v>-3</v>
      </c>
      <c r="W7" s="55">
        <f>IF($T7="","",ROUND(($T7-$T$3)/1000,1)+(_xlfn.RANK.AVG($T7,($J7,$O7,$T7),1)-2)*20)</f>
        <v>-30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196</v>
      </c>
      <c r="AF7" s="41" t="s">
        <v>85</v>
      </c>
      <c r="AG7" s="41" t="s">
        <v>199</v>
      </c>
      <c r="AH7" s="41" t="s">
        <v>199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192</v>
      </c>
      <c r="F8" s="8" t="s">
        <v>194</v>
      </c>
      <c r="G8" s="9">
        <v>24000</v>
      </c>
      <c r="H8" s="9"/>
      <c r="I8" s="48">
        <v>2000</v>
      </c>
      <c r="J8" s="21">
        <f t="shared" si="2"/>
        <v>74000</v>
      </c>
      <c r="K8" s="8" t="s">
        <v>195</v>
      </c>
      <c r="L8" s="9">
        <v>-24000</v>
      </c>
      <c r="M8" s="9"/>
      <c r="N8" s="48">
        <v>-2000</v>
      </c>
      <c r="O8" s="21">
        <f t="shared" si="3"/>
        <v>6000</v>
      </c>
      <c r="P8" s="8"/>
      <c r="Q8" s="9"/>
      <c r="R8" s="9"/>
      <c r="S8" s="48"/>
      <c r="T8" s="21">
        <f t="shared" si="4"/>
        <v>25000</v>
      </c>
      <c r="U8" s="53">
        <f>IF($J8="","",ROUND(($J8-$J$3)/1000,1)+(_xlfn.RANK.AVG($J8,($J8,$O8,$T8),1)-2)*20)</f>
        <v>59</v>
      </c>
      <c r="V8" s="54">
        <f>IF($O8="","",ROUND(($O8-$O$3)/1000,1)+(_xlfn.RANK.AVG($O8,($J8,$O8,$T8),1)-2)*20)</f>
        <v>-49</v>
      </c>
      <c r="W8" s="55">
        <f>IF($T8="","",ROUND(($T8-$T$3)/1000,1)+(_xlfn.RANK.AVG($T8,($J8,$O8,$T8),1)-2)*20)</f>
        <v>-10</v>
      </c>
      <c r="Y8" s="8"/>
      <c r="Z8" s="34"/>
      <c r="AA8" s="26"/>
      <c r="AB8" s="26">
        <v>1</v>
      </c>
      <c r="AC8" s="26">
        <v>9</v>
      </c>
      <c r="AD8" s="30" t="s">
        <v>200</v>
      </c>
      <c r="AE8" s="40" t="s">
        <v>79</v>
      </c>
      <c r="AF8" s="41" t="s">
        <v>79</v>
      </c>
      <c r="AG8" s="41" t="s">
        <v>79</v>
      </c>
      <c r="AH8" s="41" t="s">
        <v>79</v>
      </c>
      <c r="AI8" s="41" t="s">
        <v>79</v>
      </c>
      <c r="AJ8" s="41" t="s">
        <v>79</v>
      </c>
      <c r="AK8" s="41" t="s">
        <v>88</v>
      </c>
      <c r="AL8" s="41" t="s">
        <v>98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192</v>
      </c>
      <c r="F9" s="8" t="s">
        <v>194</v>
      </c>
      <c r="G9" s="9">
        <v>18000</v>
      </c>
      <c r="H9" s="9"/>
      <c r="I9" s="48"/>
      <c r="J9" s="21">
        <f t="shared" si="2"/>
        <v>92000</v>
      </c>
      <c r="K9" s="8" t="s">
        <v>195</v>
      </c>
      <c r="L9" s="9">
        <v>-30000</v>
      </c>
      <c r="M9" s="9"/>
      <c r="N9" s="48">
        <v>-3000</v>
      </c>
      <c r="O9" s="21">
        <f t="shared" si="3"/>
        <v>-27000</v>
      </c>
      <c r="P9" s="8" t="s">
        <v>194</v>
      </c>
      <c r="Q9" s="9">
        <v>12000</v>
      </c>
      <c r="R9" s="9"/>
      <c r="S9" s="48">
        <v>3000</v>
      </c>
      <c r="T9" s="21">
        <f t="shared" si="4"/>
        <v>40000</v>
      </c>
      <c r="U9" s="53">
        <f>IF($J9="","",ROUND(($J9-$J$3)/1000,1)+(_xlfn.RANK.AVG($J9,($J9,$O9,$T9),1)-2)*20)</f>
        <v>77</v>
      </c>
      <c r="V9" s="54">
        <f>IF($O9="","",ROUND(($O9-$O$3)/1000,1)+(_xlfn.RANK.AVG($O9,($J9,$O9,$T9),1)-2)*20)</f>
        <v>-82</v>
      </c>
      <c r="W9" s="55">
        <f>IF($T9="","",ROUND(($T9-$T$3)/1000,1)+(_xlfn.RANK.AVG($T9,($J9,$O9,$T9),1)-2)*20)</f>
        <v>5</v>
      </c>
      <c r="Y9" s="8"/>
      <c r="Z9" s="34"/>
      <c r="AA9" s="26">
        <v>1</v>
      </c>
      <c r="AB9" s="26"/>
      <c r="AC9" s="26">
        <v>7</v>
      </c>
      <c r="AD9" s="30" t="s">
        <v>200</v>
      </c>
      <c r="AE9" s="40" t="s">
        <v>196</v>
      </c>
      <c r="AF9" s="41" t="s">
        <v>86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84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200</v>
      </c>
      <c r="BU9" s="40" t="s">
        <v>196</v>
      </c>
      <c r="BV9" s="41" t="s">
        <v>86</v>
      </c>
      <c r="BW9" s="41" t="s">
        <v>79</v>
      </c>
      <c r="BX9" s="41" t="s">
        <v>79</v>
      </c>
      <c r="BY9" s="41" t="s">
        <v>80</v>
      </c>
      <c r="BZ9" s="41" t="s">
        <v>80</v>
      </c>
      <c r="CA9" s="41" t="s">
        <v>84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EB9A64D-375D-4881-BE35-F1C03CC4F3A4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06CF6F2D-4F13-4BCB-AAA7-1D271952B528}">
      <formula1>"ロン,ツモ,放銃,ツモ支払,流局,チョンボ"</formula1>
    </dataValidation>
    <dataValidation type="list" allowBlank="1" showInputMessage="1" showErrorMessage="1" sqref="E4:E30" xr:uid="{11159028-AC70-4E5C-B63A-FA1B9A4D586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2019-06-16T15:19:39Z</dcterms:modified>
</cp:coreProperties>
</file>