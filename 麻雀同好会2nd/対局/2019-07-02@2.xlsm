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45162E20-6849-474E-BC56-15D225FDD46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/>
  <c r="T12" i="21"/>
  <c r="O12" i="2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 s="1"/>
  <c r="D10" i="21"/>
  <c r="C10" i="21"/>
  <c r="D9" i="21"/>
  <c r="C9" i="21"/>
  <c r="D8" i="21"/>
  <c r="D7" i="21"/>
  <c r="C7" i="21"/>
  <c r="C8" i="21" s="1"/>
  <c r="D6" i="21"/>
  <c r="C6" i="21"/>
  <c r="J5" i="21"/>
  <c r="J6" i="21" s="1"/>
  <c r="D5" i="21"/>
  <c r="C5" i="21"/>
  <c r="B5" i="21"/>
  <c r="B6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10" i="20"/>
  <c r="C10" i="20"/>
  <c r="D9" i="20"/>
  <c r="D7" i="20"/>
  <c r="D8" i="20" s="1"/>
  <c r="C7" i="20"/>
  <c r="C8" i="20" s="1"/>
  <c r="C9" i="20" s="1"/>
  <c r="D6" i="20"/>
  <c r="C6" i="20"/>
  <c r="B6" i="20"/>
  <c r="B7" i="20" s="1"/>
  <c r="T5" i="20"/>
  <c r="D5" i="20"/>
  <c r="C5" i="20"/>
  <c r="B5" i="20"/>
  <c r="A5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U3" i="19"/>
  <c r="V3" i="19"/>
  <c r="W3" i="19"/>
  <c r="U16" i="21" l="1"/>
  <c r="V16" i="21"/>
  <c r="W16" i="21"/>
  <c r="W15" i="21"/>
  <c r="V15" i="21"/>
  <c r="U15" i="21"/>
  <c r="V14" i="21"/>
  <c r="U14" i="21"/>
  <c r="W14" i="21"/>
  <c r="V13" i="21"/>
  <c r="W13" i="21"/>
  <c r="U13" i="21"/>
  <c r="V12" i="21"/>
  <c r="W12" i="21"/>
  <c r="U11" i="21"/>
  <c r="V11" i="21"/>
  <c r="W11" i="21"/>
  <c r="A5" i="21"/>
  <c r="U4" i="21"/>
  <c r="V4" i="21"/>
  <c r="J7" i="21"/>
  <c r="O6" i="21"/>
  <c r="B7" i="21"/>
  <c r="A7" i="21" s="1"/>
  <c r="T5" i="21"/>
  <c r="W4" i="21"/>
  <c r="A6" i="21"/>
  <c r="A6" i="20"/>
  <c r="U4" i="20"/>
  <c r="W4" i="20"/>
  <c r="V4" i="20"/>
  <c r="O6" i="20"/>
  <c r="B8" i="20"/>
  <c r="A7" i="20"/>
  <c r="J5" i="20"/>
  <c r="V5" i="20" s="1"/>
  <c r="T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D12" i="19"/>
  <c r="C12" i="19"/>
  <c r="C13" i="19" s="1"/>
  <c r="D10" i="19"/>
  <c r="D11" i="19" s="1"/>
  <c r="C10" i="19"/>
  <c r="C11" i="19" s="1"/>
  <c r="D9" i="19"/>
  <c r="D6" i="19"/>
  <c r="D7" i="19" s="1"/>
  <c r="D8" i="19" s="1"/>
  <c r="C6" i="19"/>
  <c r="C7" i="19" s="1"/>
  <c r="C8" i="19" s="1"/>
  <c r="C9" i="19" s="1"/>
  <c r="D5" i="19"/>
  <c r="C5" i="19"/>
  <c r="B5" i="19"/>
  <c r="A5" i="19" s="1"/>
  <c r="T4" i="19"/>
  <c r="T5" i="19" s="1"/>
  <c r="T6" i="19" s="1"/>
  <c r="T7" i="19" s="1"/>
  <c r="T8" i="19" s="1"/>
  <c r="T9" i="19" s="1"/>
  <c r="T10" i="19" s="1"/>
  <c r="T11" i="19" s="1"/>
  <c r="T12" i="19" s="1"/>
  <c r="O4" i="19"/>
  <c r="J4" i="19"/>
  <c r="W2" i="19"/>
  <c r="V2" i="19"/>
  <c r="U2" i="19"/>
  <c r="BO1" i="19"/>
  <c r="AT1" i="19"/>
  <c r="Y1" i="19"/>
  <c r="W5" i="21" l="1"/>
  <c r="T6" i="21"/>
  <c r="B8" i="21"/>
  <c r="A8" i="21" s="1"/>
  <c r="V6" i="21"/>
  <c r="O7" i="21"/>
  <c r="V5" i="21"/>
  <c r="J8" i="21"/>
  <c r="U5" i="21"/>
  <c r="U6" i="21"/>
  <c r="J6" i="20"/>
  <c r="U5" i="20"/>
  <c r="B9" i="20"/>
  <c r="T7" i="20"/>
  <c r="A8" i="20"/>
  <c r="W5" i="20"/>
  <c r="V6" i="20"/>
  <c r="O7" i="20"/>
  <c r="B6" i="19"/>
  <c r="U4" i="19"/>
  <c r="V4" i="19"/>
  <c r="W4" i="19"/>
  <c r="J5" i="19"/>
  <c r="J6" i="19" s="1"/>
  <c r="W6" i="19" s="1"/>
  <c r="O5" i="19"/>
  <c r="O6" i="19" s="1"/>
  <c r="O7" i="19" s="1"/>
  <c r="O8" i="19" s="1"/>
  <c r="O9" i="19" s="1"/>
  <c r="O10" i="19" s="1"/>
  <c r="O11" i="19" s="1"/>
  <c r="O12" i="19" s="1"/>
  <c r="O8" i="21" l="1"/>
  <c r="B9" i="21"/>
  <c r="A9" i="21" s="1"/>
  <c r="W6" i="21"/>
  <c r="T7" i="21"/>
  <c r="J9" i="21"/>
  <c r="B10" i="20"/>
  <c r="A10" i="20" s="1"/>
  <c r="O8" i="20"/>
  <c r="T8" i="20"/>
  <c r="U6" i="20"/>
  <c r="J7" i="20"/>
  <c r="W7" i="20" s="1"/>
  <c r="W6" i="20"/>
  <c r="A9" i="20"/>
  <c r="V6" i="19"/>
  <c r="U6" i="19"/>
  <c r="J7" i="19"/>
  <c r="A6" i="19"/>
  <c r="B7" i="19"/>
  <c r="V5" i="19"/>
  <c r="W5" i="19"/>
  <c r="U5" i="19"/>
  <c r="J10" i="21" l="1"/>
  <c r="T8" i="21"/>
  <c r="W7" i="21"/>
  <c r="U7" i="21"/>
  <c r="B10" i="21"/>
  <c r="A10" i="21" s="1"/>
  <c r="V7" i="21"/>
  <c r="V8" i="21"/>
  <c r="O9" i="21"/>
  <c r="V7" i="20"/>
  <c r="T9" i="20"/>
  <c r="O9" i="20"/>
  <c r="U7" i="20"/>
  <c r="J8" i="20"/>
  <c r="B11" i="20"/>
  <c r="W7" i="19"/>
  <c r="V7" i="19"/>
  <c r="J8" i="19"/>
  <c r="U7" i="19"/>
  <c r="A7" i="19"/>
  <c r="B8" i="19"/>
  <c r="B9" i="19" s="1"/>
  <c r="T9" i="21" l="1"/>
  <c r="W8" i="21"/>
  <c r="U8" i="21"/>
  <c r="V9" i="21"/>
  <c r="O10" i="21"/>
  <c r="U9" i="21"/>
  <c r="B12" i="20"/>
  <c r="A12" i="20" s="1"/>
  <c r="A11" i="20"/>
  <c r="U8" i="20"/>
  <c r="J9" i="20"/>
  <c r="V9" i="20"/>
  <c r="O10" i="20"/>
  <c r="V8" i="20"/>
  <c r="W9" i="20"/>
  <c r="T10" i="20"/>
  <c r="W8" i="20"/>
  <c r="W8" i="19"/>
  <c r="V8" i="19"/>
  <c r="A8" i="19"/>
  <c r="A9" i="19"/>
  <c r="B10" i="19"/>
  <c r="J9" i="19"/>
  <c r="U8" i="19"/>
  <c r="W9" i="21" l="1"/>
  <c r="T10" i="21"/>
  <c r="T11" i="20"/>
  <c r="O11" i="20"/>
  <c r="U9" i="20"/>
  <c r="J10" i="20"/>
  <c r="W10" i="20" s="1"/>
  <c r="W9" i="19"/>
  <c r="V9" i="19"/>
  <c r="A10" i="19"/>
  <c r="B11" i="19"/>
  <c r="B12" i="19" s="1"/>
  <c r="J10" i="19"/>
  <c r="U9" i="19"/>
  <c r="W10" i="21" l="1"/>
  <c r="U10" i="21"/>
  <c r="V10" i="21"/>
  <c r="V10" i="20"/>
  <c r="T12" i="20"/>
  <c r="U10" i="20"/>
  <c r="J11" i="20"/>
  <c r="V11" i="20" s="1"/>
  <c r="O12" i="20"/>
  <c r="A11" i="19"/>
  <c r="W10" i="19"/>
  <c r="V10" i="19"/>
  <c r="J11" i="19"/>
  <c r="U10" i="19"/>
  <c r="A12" i="19"/>
  <c r="B13" i="19"/>
  <c r="A13" i="19" s="1"/>
  <c r="W11" i="20" l="1"/>
  <c r="W12" i="20"/>
  <c r="U11" i="20"/>
  <c r="J12" i="20"/>
  <c r="U12" i="20" s="1"/>
  <c r="V12" i="20"/>
  <c r="W11" i="19"/>
  <c r="V11" i="19"/>
  <c r="J12" i="19"/>
  <c r="U11" i="19"/>
  <c r="U12" i="19" l="1"/>
  <c r="W12" i="19"/>
  <c r="V12" i="19"/>
</calcChain>
</file>

<file path=xl/sharedStrings.xml><?xml version="1.0" encoding="utf-8"?>
<sst xmlns="http://schemas.openxmlformats.org/spreadsheetml/2006/main" count="826" uniqueCount="208">
  <si>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</si>
  <si>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</si>
  <si>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</si>
  <si>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</si>
  <si>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</si>
  <si>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</si>
  <si>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</si>
  <si>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</si>
  <si>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</si>
  <si>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</si>
  <si>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</si>
  <si>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</si>
  <si>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</si>
  <si>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</si>
  <si>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</si>
  <si>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</si>
  <si>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</si>
  <si>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</si>
  <si>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</si>
  <si>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</si>
  <si>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</si>
  <si>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</si>
  <si>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</si>
  <si>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</si>
  <si>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</si>
  <si>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</si>
  <si>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</si>
  <si>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</si>
  <si>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</si>
  <si>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</si>
  <si>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</si>
  <si>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</si>
  <si>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</si>
  <si>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</si>
  <si>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</si>
  <si>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</si>
  <si>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</si>
  <si>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</si>
  <si>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</si>
  <si>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</si>
  <si>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</si>
  <si>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</si>
  <si>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</si>
  <si>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</si>
  <si>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</si>
  <si>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</si>
  <si>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</si>
  <si>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</si>
  <si>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</si>
  <si>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</si>
  <si>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</si>
  <si>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</si>
  <si>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</si>
  <si>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</si>
  <si>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</si>
  <si>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</si>
  <si>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</si>
  <si>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</si>
  <si>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</si>
  <si>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</si>
  <si>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</si>
  <si>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</si>
  <si>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</si>
  <si>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</si>
  <si>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</si>
  <si>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</si>
  <si>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</si>
  <si>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</si>
  <si>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</si>
  <si>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</si>
  <si>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</si>
  <si>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</si>
  <si>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</si>
  <si>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</si>
  <si>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</si>
  <si>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</si>
  <si>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</si>
  <si>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</si>
  <si>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</si>
  <si>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</si>
  <si>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</si>
  <si>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</si>
  <si>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</si>
  <si>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</si>
  <si>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</si>
  <si>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</si>
  <si>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</si>
  <si>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</si>
  <si>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</si>
  <si>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</si>
  <si>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</si>
  <si>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</si>
  <si>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</si>
  <si>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</si>
  <si>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</si>
  <si>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</si>
  <si>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</si>
  <si>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</si>
  <si>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</si>
  <si>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</si>
  <si>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</si>
  <si>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</si>
  <si>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</si>
  <si>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</si>
  <si>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</si>
  <si>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</si>
  <si>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</si>
  <si>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</si>
  <si>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</si>
  <si>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</si>
  <si>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</si>
  <si>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</si>
  <si>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</si>
  <si>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</si>
  <si>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</si>
  <si>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</si>
  <si>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</si>
  <si>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</si>
  <si>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</si>
  <si>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</si>
  <si>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</si>
  <si>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</si>
  <si>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</si>
  <si>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</si>
  <si>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</si>
  <si>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</si>
  <si>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</si>
  <si>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</si>
  <si>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</si>
  <si>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</si>
  <si>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</si>
  <si>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</si>
  <si>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</si>
  <si>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</si>
  <si>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</si>
  <si>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</si>
  <si>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</si>
  <si>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</si>
  <si>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</si>
  <si>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</si>
  <si>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</si>
  <si>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</si>
  <si>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</si>
  <si>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</si>
  <si>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</si>
  <si>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</si>
  <si>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</si>
  <si>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</si>
  <si>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</si>
  <si>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</si>
  <si>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</si>
  <si>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</si>
  <si>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</si>
  <si>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</si>
  <si>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</si>
  <si>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</si>
  <si>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</si>
  <si>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</si>
  <si>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</si>
  <si>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</si>
  <si>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</si>
  <si>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</si>
  <si>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</si>
  <si>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</si>
  <si>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</si>
  <si>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</si>
  <si>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</si>
  <si>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</si>
  <si>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</si>
  <si>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</si>
  <si>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</si>
  <si>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</si>
  <si>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</si>
  <si>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</si>
  <si>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</si>
  <si>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</si>
  <si>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</si>
  <si>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</si>
  <si>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</si>
  <si>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</si>
  <si>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</si>
  <si>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</si>
  <si>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</si>
  <si>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</si>
  <si>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</si>
  <si>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</si>
  <si>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</si>
  <si>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</si>
  <si>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</si>
  <si>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</si>
  <si>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</si>
  <si>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ほたに</t>
  </si>
  <si>
    <t>まっつん</t>
  </si>
  <si>
    <t>ただ</t>
  </si>
  <si>
    <t>ツモ支払</t>
  </si>
  <si>
    <t>ツモ</t>
  </si>
  <si>
    <t>*</t>
  </si>
  <si>
    <t>52</t>
  </si>
  <si>
    <t>ロン</t>
  </si>
  <si>
    <t>放銃</t>
  </si>
  <si>
    <t>N</t>
  </si>
  <si>
    <t>T</t>
  </si>
  <si>
    <t>流局</t>
    <phoneticPr fontId="1"/>
  </si>
  <si>
    <t>01</t>
  </si>
  <si>
    <t>ぱぱ</t>
  </si>
  <si>
    <t>02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</si>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</sst>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ほたに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ほたに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-4500</v>
      </c>
      <c r="H4" s="9"/>
      <c r="I4" s="48">
        <v>0</v>
      </c>
      <c r="J4" s="21">
        <f t="shared" ref="J4:J13" si="0">IF(COUNTA($F4,$K4,$P4)&gt;0,J3+SUM(G4:I4),"")</f>
        <v>30500</v>
      </c>
      <c r="K4" s="8" t="s">
        <v>194</v>
      </c>
      <c r="L4" s="9">
        <v>-7500</v>
      </c>
      <c r="M4" s="9"/>
      <c r="N4" s="48">
        <v>0</v>
      </c>
      <c r="O4" s="21">
        <f t="shared" ref="O4:O13" si="1">IF(COUNTA($F4,$K4,$P4)&gt;0,O3+SUM(L4:N4),"")</f>
        <v>27500</v>
      </c>
      <c r="P4" s="8" t="s">
        <v>195</v>
      </c>
      <c r="Q4" s="9">
        <v>12000</v>
      </c>
      <c r="R4" s="9"/>
      <c r="S4" s="48">
        <v>0</v>
      </c>
      <c r="T4" s="21">
        <f t="shared" ref="T4:T13" si="2">IF(COUNTA($F4,$K4,$P4)&gt;0,T3+SUM(Q4:S4),"")</f>
        <v>47000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-27.5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6</v>
      </c>
      <c r="BT4" s="30" t="s">
        <v>196</v>
      </c>
      <c r="BU4" s="40" t="s">
        <v>82</v>
      </c>
      <c r="BV4" s="41" t="s">
        <v>79</v>
      </c>
      <c r="BW4" s="41" t="s">
        <v>79</v>
      </c>
      <c r="BX4" s="41" t="s">
        <v>79</v>
      </c>
      <c r="BY4" s="41" t="s">
        <v>197</v>
      </c>
      <c r="BZ4" s="41" t="s">
        <v>84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193</v>
      </c>
      <c r="F5" s="8" t="s">
        <v>198</v>
      </c>
      <c r="G5" s="9">
        <v>2600</v>
      </c>
      <c r="H5" s="9"/>
      <c r="I5" s="48">
        <v>0</v>
      </c>
      <c r="J5" s="21">
        <f t="shared" si="0"/>
        <v>33100</v>
      </c>
      <c r="K5" s="8" t="s">
        <v>199</v>
      </c>
      <c r="L5" s="9">
        <v>-2600</v>
      </c>
      <c r="M5" s="9"/>
      <c r="N5" s="48">
        <v>0</v>
      </c>
      <c r="O5" s="21">
        <f t="shared" si="1"/>
        <v>24900</v>
      </c>
      <c r="P5" s="8"/>
      <c r="Q5" s="9"/>
      <c r="R5" s="9"/>
      <c r="S5" s="48"/>
      <c r="T5" s="21">
        <f t="shared" si="2"/>
        <v>47000</v>
      </c>
      <c r="U5" s="53">
        <f>IF($J5="","",ROUND(($J5-$J$3)/1000,1)+(_xlfn.RANK.AVG($J5,($J5,$O5,$T5),1)-2)*20)</f>
        <v>-1.9</v>
      </c>
      <c r="V5" s="54">
        <f>IF($O5="","",ROUND(($O5-$O$3)/1000,1)+(_xlfn.RANK.AVG($O5,($J5,$O5,$T5),1)-2)*20)</f>
        <v>-30.1</v>
      </c>
      <c r="W5" s="55">
        <f>IF($T5="","",ROUND(($T5-$T$3)/1000,1)+(_xlfn.RANK.AVG($T5,($J5,$O5,$T5),1)-2)*20)</f>
        <v>32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191</v>
      </c>
      <c r="F6" s="8" t="s">
        <v>202</v>
      </c>
      <c r="G6" s="9">
        <v>-1500</v>
      </c>
      <c r="H6" s="9"/>
      <c r="I6" s="48"/>
      <c r="J6" s="21">
        <f t="shared" si="0"/>
        <v>31600</v>
      </c>
      <c r="K6" s="8" t="s">
        <v>202</v>
      </c>
      <c r="L6" s="9">
        <v>-1500</v>
      </c>
      <c r="M6" s="9"/>
      <c r="N6" s="48"/>
      <c r="O6" s="21">
        <f t="shared" si="1"/>
        <v>23400</v>
      </c>
      <c r="P6" s="8" t="s">
        <v>202</v>
      </c>
      <c r="Q6" s="9">
        <v>3000</v>
      </c>
      <c r="R6" s="9"/>
      <c r="S6" s="48"/>
      <c r="T6" s="21">
        <f t="shared" si="2"/>
        <v>50000</v>
      </c>
      <c r="U6" s="53">
        <f>IF($J6="","",ROUND(($J6-$J$3)/1000,1)+(_xlfn.RANK.AVG($J6,($J6,$O6,$T6),1)-2)*20)</f>
        <v>-3.4</v>
      </c>
      <c r="V6" s="54">
        <f>IF($O6="","",ROUND(($O6-$O$3)/1000,1)+(_xlfn.RANK.AVG($O6,($J6,$O6,$T6),1)-2)*20)</f>
        <v>-31.6</v>
      </c>
      <c r="W6" s="55">
        <f>IF($T6="","",ROUND(($T6-$T$3)/1000,1)+(_xlfn.RANK.AVG($T6,($J6,$O6,$T6),1)-2)*20)</f>
        <v>35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1</v>
      </c>
      <c r="D7" s="18">
        <f t="shared" si="6"/>
        <v>0</v>
      </c>
      <c r="E7" s="4" t="s">
        <v>192</v>
      </c>
      <c r="F7" s="8" t="s">
        <v>202</v>
      </c>
      <c r="G7" s="9">
        <v>1500</v>
      </c>
      <c r="H7" s="9">
        <v>-1000</v>
      </c>
      <c r="I7" s="48"/>
      <c r="J7" s="21">
        <f t="shared" si="0"/>
        <v>32100</v>
      </c>
      <c r="K7" s="8" t="s">
        <v>202</v>
      </c>
      <c r="L7" s="9">
        <v>1500</v>
      </c>
      <c r="M7" s="9">
        <v>-1000</v>
      </c>
      <c r="N7" s="48"/>
      <c r="O7" s="21">
        <f t="shared" si="1"/>
        <v>23900</v>
      </c>
      <c r="P7" s="8" t="s">
        <v>202</v>
      </c>
      <c r="Q7" s="9">
        <v>-3000</v>
      </c>
      <c r="R7" s="9"/>
      <c r="S7" s="48"/>
      <c r="T7" s="21">
        <f t="shared" si="2"/>
        <v>47000</v>
      </c>
      <c r="U7" s="53">
        <f>IF($J7="","",ROUND(($J7-$J$3)/1000,1)+(_xlfn.RANK.AVG($J7,($J7,$O7,$T7),1)-2)*20)</f>
        <v>-2.9</v>
      </c>
      <c r="V7" s="54">
        <f>IF($O7="","",ROUND(($O7-$O$3)/1000,1)+(_xlfn.RANK.AVG($O7,($J7,$O7,$T7),1)-2)*20)</f>
        <v>-31.1</v>
      </c>
      <c r="W7" s="55">
        <f>IF($T7="","",ROUND(($T7-$T$3)/1000,1)+(_xlfn.RANK.AVG($T7,($J7,$O7,$T7),1)-2)*20)</f>
        <v>32</v>
      </c>
      <c r="Y7" s="8" t="s">
        <v>201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2</v>
      </c>
      <c r="D8" s="18">
        <f t="shared" si="6"/>
        <v>2</v>
      </c>
      <c r="E8" s="4" t="s">
        <v>192</v>
      </c>
      <c r="F8" s="8" t="s">
        <v>194</v>
      </c>
      <c r="G8" s="9">
        <v>-3900</v>
      </c>
      <c r="H8" s="9"/>
      <c r="I8" s="48">
        <v>-1000</v>
      </c>
      <c r="J8" s="21">
        <f t="shared" si="0"/>
        <v>27200</v>
      </c>
      <c r="K8" s="8" t="s">
        <v>195</v>
      </c>
      <c r="L8" s="9">
        <v>7800</v>
      </c>
      <c r="M8" s="9">
        <v>3000</v>
      </c>
      <c r="N8" s="48">
        <v>2000</v>
      </c>
      <c r="O8" s="21">
        <f t="shared" si="1"/>
        <v>36700</v>
      </c>
      <c r="P8" s="8" t="s">
        <v>194</v>
      </c>
      <c r="Q8" s="9">
        <v>-3900</v>
      </c>
      <c r="R8" s="9">
        <v>-1000</v>
      </c>
      <c r="S8" s="48">
        <v>-1000</v>
      </c>
      <c r="T8" s="21">
        <f t="shared" si="2"/>
        <v>41100</v>
      </c>
      <c r="U8" s="53">
        <f>IF($J8="","",ROUND(($J8-$J$3)/1000,1)+(_xlfn.RANK.AVG($J8,($J8,$O8,$T8),1)-2)*20)</f>
        <v>-27.8</v>
      </c>
      <c r="V8" s="54">
        <f>IF($O8="","",ROUND(($O8-$O$3)/1000,1)+(_xlfn.RANK.AVG($O8,($J8,$O8,$T8),1)-2)*20)</f>
        <v>1.7</v>
      </c>
      <c r="W8" s="55">
        <f>IF($T8="","",ROUND(($T8-$T$3)/1000,1)+(_xlfn.RANK.AVG($T8,($J8,$O8,$T8),1)-2)*20)</f>
        <v>26.1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203</v>
      </c>
      <c r="BA8" s="41" t="s">
        <v>82</v>
      </c>
      <c r="BB8" s="41" t="s">
        <v>197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3</v>
      </c>
      <c r="D9" s="18">
        <f t="shared" si="6"/>
        <v>0</v>
      </c>
      <c r="E9" s="4" t="s">
        <v>192</v>
      </c>
      <c r="F9" s="8" t="s">
        <v>194</v>
      </c>
      <c r="G9" s="9">
        <v>-1500</v>
      </c>
      <c r="H9" s="9"/>
      <c r="I9" s="48">
        <v>-1500</v>
      </c>
      <c r="J9" s="21">
        <f t="shared" si="0"/>
        <v>24200</v>
      </c>
      <c r="K9" s="8" t="s">
        <v>194</v>
      </c>
      <c r="L9" s="9">
        <v>-2500</v>
      </c>
      <c r="M9" s="9">
        <v>-1000</v>
      </c>
      <c r="N9" s="48">
        <v>-1500</v>
      </c>
      <c r="O9" s="21">
        <f t="shared" si="1"/>
        <v>31700</v>
      </c>
      <c r="P9" s="8" t="s">
        <v>195</v>
      </c>
      <c r="Q9" s="9">
        <v>4000</v>
      </c>
      <c r="R9" s="9">
        <v>1000</v>
      </c>
      <c r="S9" s="48">
        <v>3000</v>
      </c>
      <c r="T9" s="21">
        <f t="shared" si="2"/>
        <v>49100</v>
      </c>
      <c r="U9" s="53">
        <f>IF($J9="","",ROUND(($J9-$J$3)/1000,1)+(_xlfn.RANK.AVG($J9,($J9,$O9,$T9),1)-2)*20)</f>
        <v>-30.8</v>
      </c>
      <c r="V9" s="54">
        <f>IF($O9="","",ROUND(($O9-$O$3)/1000,1)+(_xlfn.RANK.AVG($O9,($J9,$O9,$T9),1)-2)*20)</f>
        <v>-3.3</v>
      </c>
      <c r="W9" s="55">
        <f>IF($T9="","",ROUND(($T9-$T$3)/1000,1)+(_xlfn.RANK.AVG($T9,($J9,$O9,$T9),1)-2)*20)</f>
        <v>34.1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197</v>
      </c>
      <c r="BW9" s="41" t="s">
        <v>197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193</v>
      </c>
      <c r="F10" s="8" t="s">
        <v>202</v>
      </c>
      <c r="G10" s="9">
        <v>1500</v>
      </c>
      <c r="H10" s="9"/>
      <c r="I10" s="48"/>
      <c r="J10" s="21">
        <f t="shared" si="0"/>
        <v>25700</v>
      </c>
      <c r="K10" s="8" t="s">
        <v>202</v>
      </c>
      <c r="L10" s="9">
        <v>-3000</v>
      </c>
      <c r="M10" s="9"/>
      <c r="N10" s="48"/>
      <c r="O10" s="21">
        <f t="shared" si="1"/>
        <v>28700</v>
      </c>
      <c r="P10" s="8" t="s">
        <v>202</v>
      </c>
      <c r="Q10" s="9">
        <v>1500</v>
      </c>
      <c r="R10" s="9"/>
      <c r="S10" s="48"/>
      <c r="T10" s="21">
        <f t="shared" si="2"/>
        <v>50600</v>
      </c>
      <c r="U10" s="53">
        <f>IF($J10="","",ROUND(($J10-$J$3)/1000,1)+(_xlfn.RANK.AVG($J10,($J10,$O10,$T10),1)-2)*20)</f>
        <v>-29.3</v>
      </c>
      <c r="V10" s="54">
        <f>IF($O10="","",ROUND(($O10-$O$3)/1000,1)+(_xlfn.RANK.AVG($O10,($J10,$O10,$T10),1)-2)*20)</f>
        <v>-6.3</v>
      </c>
      <c r="W10" s="55">
        <f>IF($T10="","",ROUND(($T10-$T$3)/1000,1)+(_xlfn.RANK.AVG($T10,($J10,$O10,$T10),1)-2)*20)</f>
        <v>35.6</v>
      </c>
      <c r="Y10" s="8" t="s">
        <v>201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1</v>
      </c>
      <c r="D11" s="18">
        <f t="shared" si="6"/>
        <v>0</v>
      </c>
      <c r="E11" s="4" t="s">
        <v>193</v>
      </c>
      <c r="F11" s="8" t="s">
        <v>195</v>
      </c>
      <c r="G11" s="9">
        <v>8000</v>
      </c>
      <c r="H11" s="9"/>
      <c r="I11" s="48">
        <v>1000</v>
      </c>
      <c r="J11" s="21">
        <f t="shared" si="0"/>
        <v>34700</v>
      </c>
      <c r="K11" s="8" t="s">
        <v>194</v>
      </c>
      <c r="L11" s="9">
        <v>-3000</v>
      </c>
      <c r="M11" s="9"/>
      <c r="N11" s="48">
        <v>-500</v>
      </c>
      <c r="O11" s="21">
        <f t="shared" si="1"/>
        <v>25200</v>
      </c>
      <c r="P11" s="8" t="s">
        <v>194</v>
      </c>
      <c r="Q11" s="9">
        <v>-5000</v>
      </c>
      <c r="R11" s="9"/>
      <c r="S11" s="48">
        <v>-500</v>
      </c>
      <c r="T11" s="21">
        <f t="shared" si="2"/>
        <v>45100</v>
      </c>
      <c r="U11" s="53">
        <f>IF($J11="","",ROUND(($J11-$J$3)/1000,1)+(_xlfn.RANK.AVG($J11,($J11,$O11,$T11),1)-2)*20)</f>
        <v>-0.3</v>
      </c>
      <c r="V11" s="54">
        <f>IF($O11="","",ROUND(($O11-$O$3)/1000,1)+(_xlfn.RANK.AVG($O11,($J11,$O11,$T11),1)-2)*20)</f>
        <v>-29.8</v>
      </c>
      <c r="W11" s="55">
        <f>IF($T11="","",ROUND(($T11-$T$3)/1000,1)+(_xlfn.RANK.AVG($T11,($J11,$O11,$T11),1)-2)*20)</f>
        <v>30.1</v>
      </c>
      <c r="Y11" s="8"/>
      <c r="Z11" s="34"/>
      <c r="AA11" s="26"/>
      <c r="AB11" s="26">
        <v>1</v>
      </c>
      <c r="AC11" s="26">
        <v>4</v>
      </c>
      <c r="AD11" s="30">
        <v>40</v>
      </c>
      <c r="AE11" s="40" t="s">
        <v>86</v>
      </c>
      <c r="AF11" s="41" t="s">
        <v>86</v>
      </c>
      <c r="AG11" s="41" t="s">
        <v>79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3</v>
      </c>
      <c r="C12" s="18">
        <f t="shared" si="5"/>
        <v>0</v>
      </c>
      <c r="D12" s="18">
        <f t="shared" si="6"/>
        <v>0</v>
      </c>
      <c r="E12" s="4" t="s">
        <v>191</v>
      </c>
      <c r="F12" s="8" t="s">
        <v>198</v>
      </c>
      <c r="G12" s="9">
        <v>12000</v>
      </c>
      <c r="H12" s="9"/>
      <c r="I12" s="48">
        <v>0</v>
      </c>
      <c r="J12" s="21">
        <f t="shared" si="0"/>
        <v>46700</v>
      </c>
      <c r="K12" s="8" t="s">
        <v>199</v>
      </c>
      <c r="L12" s="9">
        <v>-12000</v>
      </c>
      <c r="M12" s="9"/>
      <c r="N12" s="48">
        <v>0</v>
      </c>
      <c r="O12" s="21">
        <f t="shared" si="1"/>
        <v>13200</v>
      </c>
      <c r="P12" s="8"/>
      <c r="Q12" s="9"/>
      <c r="R12" s="9"/>
      <c r="S12" s="48"/>
      <c r="T12" s="21">
        <f t="shared" si="2"/>
        <v>45100</v>
      </c>
      <c r="U12" s="53">
        <f>IF($J12="","",ROUND(($J12-$J$3)/1000,1)+(_xlfn.RANK.AVG($J12,($J12,$O12,$T12),1)-2)*20)</f>
        <v>31.7</v>
      </c>
      <c r="V12" s="54">
        <f>IF($O12="","",ROUND(($O12-$O$3)/1000,1)+(_xlfn.RANK.AVG($O12,($J12,$O12,$T12),1)-2)*20)</f>
        <v>-41.8</v>
      </c>
      <c r="W12" s="55">
        <f>IF($T12="","",ROUND(($T12-$T$3)/1000,1)+(_xlfn.RANK.AVG($T12,($J12,$O12,$T12),1)-2)*20)</f>
        <v>10.1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86</v>
      </c>
      <c r="AF12" s="41" t="s">
        <v>86</v>
      </c>
      <c r="AG12" s="41" t="s">
        <v>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/>
      </c>
      <c r="B14" s="18" t="str">
        <f t="shared" ref="B14:B30" si="8">IF($E14="","",IF($E13=$E14,B13,IF(B13=3,1,B13+1)))</f>
        <v/>
      </c>
      <c r="C14" s="18" t="str">
        <f t="shared" ref="C14:C30" si="9">IF($E14="","",IF($F13="チョンボ",C13,IF(OR($E13=$E14,$F13="流局"),C13+1,0)))</f>
        <v/>
      </c>
      <c r="D14" s="18" t="str">
        <f t="shared" ref="D14:D30" si="10">IF($E14="","",IF(OR($F13="流局",$F13="チョンボ"),D13+($H13+$M13+$R13)/-1000,0))</f>
        <v/>
      </c>
      <c r="E14" s="4"/>
      <c r="F14" s="8"/>
      <c r="G14" s="9"/>
      <c r="H14" s="9"/>
      <c r="I14" s="48"/>
      <c r="J14" s="21" t="str">
        <f t="shared" ref="J14:J30" si="11">IF(COUNTA($F14,$K14,$P14)&gt;0,J13+SUM(G14:I14),"")</f>
        <v/>
      </c>
      <c r="K14" s="8"/>
      <c r="L14" s="9"/>
      <c r="M14" s="9"/>
      <c r="N14" s="48"/>
      <c r="O14" s="21" t="str">
        <f t="shared" ref="O14:O30" si="12">IF(COUNTA($F14,$K14,$P14)&gt;0,O13+SUM(L14:N14),"")</f>
        <v/>
      </c>
      <c r="P14" s="8"/>
      <c r="Q14" s="9"/>
      <c r="R14" s="9"/>
      <c r="S14" s="48"/>
      <c r="T14" s="21" t="str">
        <f t="shared" ref="T14:T30" si="13">IF(COUNTA($F14,$K14,$P14)&gt;0,T13+SUM(Q14:S14),"")</f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/>
      </c>
      <c r="B15" s="18" t="str">
        <f t="shared" si="8"/>
        <v/>
      </c>
      <c r="C15" s="18" t="str">
        <f t="shared" si="9"/>
        <v/>
      </c>
      <c r="D15" s="18" t="str">
        <f t="shared" si="10"/>
        <v/>
      </c>
      <c r="E15" s="4"/>
      <c r="F15" s="8"/>
      <c r="G15" s="9"/>
      <c r="H15" s="9"/>
      <c r="I15" s="48"/>
      <c r="J15" s="21" t="str">
        <f t="shared" si="11"/>
        <v/>
      </c>
      <c r="K15" s="8"/>
      <c r="L15" s="9"/>
      <c r="M15" s="9"/>
      <c r="N15" s="48"/>
      <c r="O15" s="21" t="str">
        <f t="shared" si="12"/>
        <v/>
      </c>
      <c r="P15" s="8"/>
      <c r="Q15" s="9"/>
      <c r="R15" s="9"/>
      <c r="S15" s="48"/>
      <c r="T15" s="21" t="str">
        <f t="shared" si="1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/>
      </c>
      <c r="B16" s="18" t="str">
        <f t="shared" si="8"/>
        <v/>
      </c>
      <c r="C16" s="18" t="str">
        <f t="shared" si="9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BD64B4B-FE42-4352-8B8A-DB8D7B1F4933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966A8-A89F-413B-9033-E4E3E3E6642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204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ほたに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ほたに</v>
      </c>
      <c r="V2" s="70" t="str">
        <f>$K$1</f>
        <v>ぱぱ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-8000</v>
      </c>
      <c r="H4" s="9"/>
      <c r="I4" s="48">
        <v>0</v>
      </c>
      <c r="J4" s="21">
        <f t="shared" ref="J4:J13" si="0">IF(COUNTA($F4,$K4,$P4)&gt;0,J3+SUM(G4:I4),"")</f>
        <v>27000</v>
      </c>
      <c r="K4" s="8"/>
      <c r="L4" s="9"/>
      <c r="M4" s="9">
        <v>-1000</v>
      </c>
      <c r="N4" s="48"/>
      <c r="O4" s="21">
        <f t="shared" ref="O4:O13" si="1">IF(COUNTA($F4,$K4,$P4)&gt;0,O3+SUM(L4:N4),"")</f>
        <v>34000</v>
      </c>
      <c r="P4" s="8" t="s">
        <v>198</v>
      </c>
      <c r="Q4" s="9">
        <v>8000</v>
      </c>
      <c r="R4" s="9">
        <v>1000</v>
      </c>
      <c r="S4" s="48">
        <v>0</v>
      </c>
      <c r="T4" s="21">
        <f t="shared" ref="T4:T13" si="2">IF(COUNTA($F4,$K4,$P4)&gt;0,T3+SUM(Q4:S4),"")</f>
        <v>44000</v>
      </c>
      <c r="U4" s="53">
        <f>IF($J4="","",ROUND(($J4-$J$3)/1000,1)+(_xlfn.RANK.AVG($J4,($J4,$O4,$T4),1)-2)*20)</f>
        <v>-28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203</v>
      </c>
      <c r="BV4" s="41" t="s">
        <v>86</v>
      </c>
      <c r="BW4" s="41" t="s">
        <v>84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204</v>
      </c>
      <c r="F5" s="8" t="s">
        <v>194</v>
      </c>
      <c r="G5" s="9">
        <v>-1500</v>
      </c>
      <c r="H5" s="9"/>
      <c r="I5" s="48">
        <v>0</v>
      </c>
      <c r="J5" s="21">
        <f t="shared" si="0"/>
        <v>25500</v>
      </c>
      <c r="K5" s="8" t="s">
        <v>194</v>
      </c>
      <c r="L5" s="9">
        <v>-2500</v>
      </c>
      <c r="M5" s="9"/>
      <c r="N5" s="48">
        <v>0</v>
      </c>
      <c r="O5" s="21">
        <f t="shared" si="1"/>
        <v>31500</v>
      </c>
      <c r="P5" s="8" t="s">
        <v>195</v>
      </c>
      <c r="Q5" s="9">
        <v>4000</v>
      </c>
      <c r="R5" s="9"/>
      <c r="S5" s="48">
        <v>0</v>
      </c>
      <c r="T5" s="21">
        <f t="shared" si="2"/>
        <v>48000</v>
      </c>
      <c r="U5" s="53">
        <f>IF($J5="","",ROUND(($J5-$J$3)/1000,1)+(_xlfn.RANK.AVG($J5,($J5,$O5,$T5),1)-2)*20)</f>
        <v>-29.5</v>
      </c>
      <c r="V5" s="54">
        <f>IF($O5="","",ROUND(($O5-$O$3)/1000,1)+(_xlfn.RANK.AVG($O5,($J5,$O5,$T5),1)-2)*20)</f>
        <v>-3.5</v>
      </c>
      <c r="W5" s="55">
        <f>IF($T5="","",ROUND(($T5-$T$3)/1000,1)+(_xlfn.RANK.AVG($T5,($J5,$O5,$T5),1)-2)*20)</f>
        <v>33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203</v>
      </c>
      <c r="BV5" s="41" t="s">
        <v>82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0</v>
      </c>
      <c r="D6" s="18">
        <f t="shared" si="6"/>
        <v>0</v>
      </c>
      <c r="E6" s="4" t="s">
        <v>192</v>
      </c>
      <c r="F6" s="8" t="s">
        <v>195</v>
      </c>
      <c r="G6" s="9">
        <v>1200</v>
      </c>
      <c r="H6" s="9">
        <v>1000</v>
      </c>
      <c r="I6" s="48">
        <v>0</v>
      </c>
      <c r="J6" s="21">
        <f t="shared" si="0"/>
        <v>27700</v>
      </c>
      <c r="K6" s="8" t="s">
        <v>194</v>
      </c>
      <c r="L6" s="9">
        <v>-500</v>
      </c>
      <c r="M6" s="9"/>
      <c r="N6" s="48">
        <v>0</v>
      </c>
      <c r="O6" s="21">
        <f t="shared" si="1"/>
        <v>31000</v>
      </c>
      <c r="P6" s="8" t="s">
        <v>194</v>
      </c>
      <c r="Q6" s="9">
        <v>-700</v>
      </c>
      <c r="R6" s="9">
        <v>-1000</v>
      </c>
      <c r="S6" s="48">
        <v>0</v>
      </c>
      <c r="T6" s="21">
        <f t="shared" si="2"/>
        <v>46300</v>
      </c>
      <c r="U6" s="53">
        <f>IF($J6="","",ROUND(($J6-$J$3)/1000,1)+(_xlfn.RANK.AVG($J6,($J6,$O6,$T6),1)-2)*20)</f>
        <v>-27.3</v>
      </c>
      <c r="V6" s="54">
        <f>IF($O6="","",ROUND(($O6-$O$3)/1000,1)+(_xlfn.RANK.AVG($O6,($J6,$O6,$T6),1)-2)*20)</f>
        <v>-4</v>
      </c>
      <c r="W6" s="55">
        <f>IF($T6="","",ROUND(($T6-$T$3)/1000,1)+(_xlfn.RANK.AVG($T6,($J6,$O6,$T6),1)-2)*20)</f>
        <v>31.3</v>
      </c>
      <c r="Y6" s="8"/>
      <c r="Z6" s="34"/>
      <c r="AA6" s="26"/>
      <c r="AB6" s="26"/>
      <c r="AC6" s="26">
        <v>1</v>
      </c>
      <c r="AD6" s="30">
        <v>30</v>
      </c>
      <c r="AE6" s="40" t="s">
        <v>82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南</v>
      </c>
      <c r="B7" s="18">
        <f t="shared" si="4"/>
        <v>1</v>
      </c>
      <c r="C7" s="18">
        <f t="shared" si="5"/>
        <v>0</v>
      </c>
      <c r="D7" s="18">
        <f t="shared" si="6"/>
        <v>0</v>
      </c>
      <c r="E7" s="4" t="s">
        <v>191</v>
      </c>
      <c r="F7" s="8" t="s">
        <v>195</v>
      </c>
      <c r="G7" s="9">
        <v>12000</v>
      </c>
      <c r="H7" s="9">
        <v>1000</v>
      </c>
      <c r="I7" s="48">
        <v>0</v>
      </c>
      <c r="J7" s="21">
        <f t="shared" si="0"/>
        <v>40700</v>
      </c>
      <c r="K7" s="8" t="s">
        <v>194</v>
      </c>
      <c r="L7" s="9">
        <v>-6000</v>
      </c>
      <c r="M7" s="9"/>
      <c r="N7" s="48">
        <v>0</v>
      </c>
      <c r="O7" s="21">
        <f t="shared" si="1"/>
        <v>25000</v>
      </c>
      <c r="P7" s="8" t="s">
        <v>194</v>
      </c>
      <c r="Q7" s="9">
        <v>-6000</v>
      </c>
      <c r="R7" s="9">
        <v>-1000</v>
      </c>
      <c r="S7" s="48">
        <v>0</v>
      </c>
      <c r="T7" s="21">
        <f t="shared" si="2"/>
        <v>39300</v>
      </c>
      <c r="U7" s="53">
        <f>IF($J7="","",ROUND(($J7-$J$3)/1000,1)+(_xlfn.RANK.AVG($J7,($J7,$O7,$T7),1)-2)*20)</f>
        <v>25.7</v>
      </c>
      <c r="V7" s="54">
        <f>IF($O7="","",ROUND(($O7-$O$3)/1000,1)+(_xlfn.RANK.AVG($O7,($J7,$O7,$T7),1)-2)*20)</f>
        <v>-30</v>
      </c>
      <c r="W7" s="55">
        <f>IF($T7="","",ROUND(($T7-$T$3)/1000,1)+(_xlfn.RANK.AVG($T7,($J7,$O7,$T7),1)-2)*20)</f>
        <v>4.3</v>
      </c>
      <c r="Y7" s="8"/>
      <c r="Z7" s="34"/>
      <c r="AA7" s="26">
        <v>1</v>
      </c>
      <c r="AB7" s="26"/>
      <c r="AC7" s="26">
        <v>5</v>
      </c>
      <c r="AD7" s="30" t="s">
        <v>196</v>
      </c>
      <c r="AE7" s="40" t="s">
        <v>203</v>
      </c>
      <c r="AF7" s="41" t="s">
        <v>82</v>
      </c>
      <c r="AG7" s="41" t="s">
        <v>86</v>
      </c>
      <c r="AH7" s="41" t="s">
        <v>205</v>
      </c>
      <c r="AI7" s="41" t="s">
        <v>80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1</v>
      </c>
      <c r="D8" s="18">
        <f t="shared" si="6"/>
        <v>0</v>
      </c>
      <c r="E8" s="4" t="s">
        <v>191</v>
      </c>
      <c r="F8" s="8"/>
      <c r="G8" s="9"/>
      <c r="H8" s="9"/>
      <c r="I8" s="48"/>
      <c r="J8" s="21">
        <f t="shared" si="0"/>
        <v>40700</v>
      </c>
      <c r="K8" s="8" t="s">
        <v>198</v>
      </c>
      <c r="L8" s="9">
        <v>2000</v>
      </c>
      <c r="M8" s="9"/>
      <c r="N8" s="48">
        <v>1000</v>
      </c>
      <c r="O8" s="21">
        <f t="shared" si="1"/>
        <v>28000</v>
      </c>
      <c r="P8" s="8" t="s">
        <v>199</v>
      </c>
      <c r="Q8" s="9">
        <v>-2000</v>
      </c>
      <c r="R8" s="9"/>
      <c r="S8" s="48">
        <v>-1000</v>
      </c>
      <c r="T8" s="21">
        <f t="shared" si="2"/>
        <v>36300</v>
      </c>
      <c r="U8" s="53">
        <f>IF($J8="","",ROUND(($J8-$J$3)/1000,1)+(_xlfn.RANK.AVG($J8,($J8,$O8,$T8),1)-2)*20)</f>
        <v>25.7</v>
      </c>
      <c r="V8" s="54">
        <f>IF($O8="","",ROUND(($O8-$O$3)/1000,1)+(_xlfn.RANK.AVG($O8,($J8,$O8,$T8),1)-2)*20)</f>
        <v>-27</v>
      </c>
      <c r="W8" s="55">
        <f>IF($T8="","",ROUND(($T8-$T$3)/1000,1)+(_xlfn.RANK.AVG($T8,($J8,$O8,$T8),1)-2)*20)</f>
        <v>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30</v>
      </c>
      <c r="AZ8" s="40" t="s">
        <v>83</v>
      </c>
      <c r="BA8" s="41" t="s">
        <v>84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">
        <v>204</v>
      </c>
      <c r="F9" s="8"/>
      <c r="G9" s="9"/>
      <c r="H9" s="9"/>
      <c r="I9" s="48"/>
      <c r="J9" s="21">
        <f t="shared" si="0"/>
        <v>40700</v>
      </c>
      <c r="K9" s="8" t="s">
        <v>199</v>
      </c>
      <c r="L9" s="9">
        <v>-1300</v>
      </c>
      <c r="M9" s="9"/>
      <c r="N9" s="48">
        <v>0</v>
      </c>
      <c r="O9" s="21">
        <f t="shared" si="1"/>
        <v>26700</v>
      </c>
      <c r="P9" s="8" t="s">
        <v>198</v>
      </c>
      <c r="Q9" s="9">
        <v>1300</v>
      </c>
      <c r="R9" s="9"/>
      <c r="S9" s="48">
        <v>0</v>
      </c>
      <c r="T9" s="21">
        <f t="shared" si="2"/>
        <v>37600</v>
      </c>
      <c r="U9" s="53">
        <f>IF($J9="","",ROUND(($J9-$J$3)/1000,1)+(_xlfn.RANK.AVG($J9,($J9,$O9,$T9),1)-2)*20)</f>
        <v>25.7</v>
      </c>
      <c r="V9" s="54">
        <f>IF($O9="","",ROUND(($O9-$O$3)/1000,1)+(_xlfn.RANK.AVG($O9,($J9,$O9,$T9),1)-2)*20)</f>
        <v>-28.3</v>
      </c>
      <c r="W9" s="55">
        <f>IF($T9="","",ROUND(($T9-$T$3)/1000,1)+(_xlfn.RANK.AVG($T9,($J9,$O9,$T9),1)-2)*20)</f>
        <v>2.6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3</v>
      </c>
      <c r="C10" s="18">
        <f t="shared" si="5"/>
        <v>0</v>
      </c>
      <c r="D10" s="18">
        <f t="shared" si="6"/>
        <v>0</v>
      </c>
      <c r="E10" s="4" t="s">
        <v>192</v>
      </c>
      <c r="F10" s="8" t="s">
        <v>198</v>
      </c>
      <c r="G10" s="9">
        <v>16000</v>
      </c>
      <c r="H10" s="9">
        <v>1000</v>
      </c>
      <c r="I10" s="48">
        <v>0</v>
      </c>
      <c r="J10" s="21">
        <f t="shared" si="0"/>
        <v>57700</v>
      </c>
      <c r="K10" s="8" t="s">
        <v>199</v>
      </c>
      <c r="L10" s="9">
        <v>-16000</v>
      </c>
      <c r="M10" s="9">
        <v>-1000</v>
      </c>
      <c r="N10" s="48">
        <v>0</v>
      </c>
      <c r="O10" s="21">
        <f t="shared" si="1"/>
        <v>9700</v>
      </c>
      <c r="P10" s="8"/>
      <c r="Q10" s="9"/>
      <c r="R10" s="9"/>
      <c r="S10" s="48"/>
      <c r="T10" s="21">
        <f t="shared" si="2"/>
        <v>37600</v>
      </c>
      <c r="U10" s="53">
        <f>IF($J10="","",ROUND(($J10-$J$3)/1000,1)+(_xlfn.RANK.AVG($J10,($J10,$O10,$T10),1)-2)*20)</f>
        <v>42.7</v>
      </c>
      <c r="V10" s="54">
        <f>IF($O10="","",ROUND(($O10-$O$3)/1000,1)+(_xlfn.RANK.AVG($O10,($J10,$O10,$T10),1)-2)*20)</f>
        <v>-45.3</v>
      </c>
      <c r="W10" s="55">
        <f>IF($T10="","",ROUND(($T10-$T$3)/1000,1)+(_xlfn.RANK.AVG($T10,($J10,$O10,$T10),1)-2)*20)</f>
        <v>2.6</v>
      </c>
      <c r="Y10" s="8"/>
      <c r="Z10" s="34"/>
      <c r="AA10" s="26"/>
      <c r="AB10" s="26">
        <v>1</v>
      </c>
      <c r="AC10" s="26">
        <v>9</v>
      </c>
      <c r="AD10" s="30" t="s">
        <v>196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 t="s">
        <v>104</v>
      </c>
      <c r="AJ10" s="41" t="s">
        <v>197</v>
      </c>
      <c r="AK10" s="41" t="s">
        <v>98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/>
      </c>
      <c r="B14" s="18" t="str">
        <f t="shared" ref="B14:B30" si="8">IF($E14="","",IF($E13=$E14,B13,IF(B13=3,1,B13+1)))</f>
        <v/>
      </c>
      <c r="C14" s="18" t="str">
        <f t="shared" ref="C14:C30" si="9">IF($E14="","",IF($F13="チョンボ",C13,IF(OR($E13=$E14,$F13="流局"),C13+1,0)))</f>
        <v/>
      </c>
      <c r="D14" s="18" t="str">
        <f t="shared" ref="D14:D30" si="10">IF($E14="","",IF(OR($F13="流局",$F13="チョンボ"),D13+($H13+$M13+$R13)/-1000,0))</f>
        <v/>
      </c>
      <c r="E14" s="4"/>
      <c r="F14" s="8"/>
      <c r="G14" s="9"/>
      <c r="H14" s="9"/>
      <c r="I14" s="48"/>
      <c r="J14" s="21" t="str">
        <f t="shared" ref="J14:J30" si="11">IF(COUNTA($F14,$K14,$P14)&gt;0,J13+SUM(G14:I14),"")</f>
        <v/>
      </c>
      <c r="K14" s="8"/>
      <c r="L14" s="9"/>
      <c r="M14" s="9"/>
      <c r="N14" s="48"/>
      <c r="O14" s="21" t="str">
        <f t="shared" ref="O14:O30" si="12">IF(COUNTA($F14,$K14,$P14)&gt;0,O13+SUM(L14:N14),"")</f>
        <v/>
      </c>
      <c r="P14" s="8"/>
      <c r="Q14" s="9"/>
      <c r="R14" s="9"/>
      <c r="S14" s="48"/>
      <c r="T14" s="21" t="str">
        <f t="shared" ref="T14:T30" si="13">IF(COUNTA($F14,$K14,$P14)&gt;0,T13+SUM(Q14:S14),"")</f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/>
      </c>
      <c r="B15" s="18" t="str">
        <f t="shared" si="8"/>
        <v/>
      </c>
      <c r="C15" s="18" t="str">
        <f t="shared" si="9"/>
        <v/>
      </c>
      <c r="D15" s="18" t="str">
        <f t="shared" si="10"/>
        <v/>
      </c>
      <c r="E15" s="4"/>
      <c r="F15" s="8"/>
      <c r="G15" s="9"/>
      <c r="H15" s="9"/>
      <c r="I15" s="48"/>
      <c r="J15" s="21" t="str">
        <f t="shared" si="11"/>
        <v/>
      </c>
      <c r="K15" s="8"/>
      <c r="L15" s="9"/>
      <c r="M15" s="9"/>
      <c r="N15" s="48"/>
      <c r="O15" s="21" t="str">
        <f t="shared" si="12"/>
        <v/>
      </c>
      <c r="P15" s="8"/>
      <c r="Q15" s="9"/>
      <c r="R15" s="9"/>
      <c r="S15" s="48"/>
      <c r="T15" s="21" t="str">
        <f t="shared" si="13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/>
      </c>
      <c r="B16" s="18" t="str">
        <f t="shared" si="8"/>
        <v/>
      </c>
      <c r="C16" s="18" t="str">
        <f t="shared" si="9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07428DBE-79F5-4394-9B80-606D39A45CCD}">
      <formula1>"ロン,ツモ,放銃,ツモ支払,流局,チョンボ"</formula1>
    </dataValidation>
    <dataValidation type="list" allowBlank="1" showInputMessage="1" showErrorMessage="1" sqref="E4:E30" xr:uid="{0F638FA7-0BD3-4795-BE75-729E70A77D61}">
      <formula1>$U$2:$W$2</formula1>
    </dataValidation>
    <dataValidation type="list" allowBlank="1" showInputMessage="1" sqref="F1:T1" xr:uid="{D4F9F9FE-6698-407B-BA50-816CB7E8F56C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8C761-60F0-43F3-9E9C-3EB2610C45D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ほたに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ほたに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8000</v>
      </c>
      <c r="H4" s="9"/>
      <c r="I4" s="48">
        <v>0</v>
      </c>
      <c r="J4" s="21">
        <f t="shared" ref="J4:J13" si="0">IF(COUNTA($F4,$K4,$P4)&gt;0,J3+SUM(G4:I4),"")</f>
        <v>43000</v>
      </c>
      <c r="K4" s="8" t="s">
        <v>194</v>
      </c>
      <c r="L4" s="9">
        <v>-5000</v>
      </c>
      <c r="M4" s="9"/>
      <c r="N4" s="48">
        <v>0</v>
      </c>
      <c r="O4" s="21">
        <f t="shared" ref="O4:O13" si="1">IF(COUNTA($F4,$K4,$P4)&gt;0,O3+SUM(L4:N4),"")</f>
        <v>30000</v>
      </c>
      <c r="P4" s="8" t="s">
        <v>194</v>
      </c>
      <c r="Q4" s="9">
        <v>-3000</v>
      </c>
      <c r="R4" s="9"/>
      <c r="S4" s="48">
        <v>0</v>
      </c>
      <c r="T4" s="21">
        <f t="shared" ref="T4:T13" si="2">IF(COUNTA($F4,$K4,$P4)&gt;0,T3+SUM(Q4:S4),"")</f>
        <v>32000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-25</v>
      </c>
      <c r="W4" s="55">
        <f>IF($T4="","",ROUND(($T4-$T$3)/1000,1)+(_xlfn.RANK.AVG($T4,($J4,$O4,$T4),1)-2)*20)</f>
        <v>-3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13" si="3">IF($E5="","",IF(AND(B4=3,B5=1),_xlfn.SWITCH(A4,"東","南","南","西","西","北","北","東"),A4))</f>
        <v>東</v>
      </c>
      <c r="B5" s="18">
        <f t="shared" ref="B5:B13" si="4">IF($E5="","",IF($E4=$E5,B4,IF(B4=3,1,B4+1)))</f>
        <v>2</v>
      </c>
      <c r="C5" s="18">
        <f t="shared" ref="C5:C13" si="5">IF($E5="","",IF($F4="チョンボ",C4,IF(OR($E4=$E5,$F4="流局"),C4+1,0)))</f>
        <v>0</v>
      </c>
      <c r="D5" s="18">
        <f t="shared" ref="D5:D13" si="6">IF($E5="","",IF(OR($F4="流局",$F4="チョンボ"),D4+($H4+$M4+$R4)/-1000,0))</f>
        <v>0</v>
      </c>
      <c r="E5" s="4" t="s">
        <v>193</v>
      </c>
      <c r="F5" s="8" t="s">
        <v>206</v>
      </c>
      <c r="G5" s="9">
        <v>-1500</v>
      </c>
      <c r="H5" s="9"/>
      <c r="I5" s="48"/>
      <c r="J5" s="21">
        <f t="shared" si="0"/>
        <v>41500</v>
      </c>
      <c r="K5" s="8" t="s">
        <v>206</v>
      </c>
      <c r="L5" s="9">
        <v>3000</v>
      </c>
      <c r="M5" s="9">
        <v>-1000</v>
      </c>
      <c r="N5" s="48"/>
      <c r="O5" s="21">
        <f t="shared" si="1"/>
        <v>32000</v>
      </c>
      <c r="P5" s="8" t="s">
        <v>206</v>
      </c>
      <c r="Q5" s="9">
        <v>-1500</v>
      </c>
      <c r="R5" s="9"/>
      <c r="S5" s="48"/>
      <c r="T5" s="21">
        <f t="shared" si="2"/>
        <v>30500</v>
      </c>
      <c r="U5" s="53">
        <f>IF($J5="","",ROUND(($J5-$J$3)/1000,1)+(_xlfn.RANK.AVG($J5,($J5,$O5,$T5),1)-2)*20)</f>
        <v>26.5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-24.5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3</v>
      </c>
      <c r="C6" s="18">
        <f t="shared" si="5"/>
        <v>1</v>
      </c>
      <c r="D6" s="18">
        <f t="shared" si="6"/>
        <v>1</v>
      </c>
      <c r="E6" s="4" t="s">
        <v>192</v>
      </c>
      <c r="F6" s="8" t="s">
        <v>198</v>
      </c>
      <c r="G6" s="9">
        <v>18000</v>
      </c>
      <c r="H6" s="9">
        <v>3000</v>
      </c>
      <c r="I6" s="48">
        <v>1000</v>
      </c>
      <c r="J6" s="21">
        <f t="shared" si="0"/>
        <v>63500</v>
      </c>
      <c r="K6" s="8" t="s">
        <v>199</v>
      </c>
      <c r="L6" s="9">
        <v>-18000</v>
      </c>
      <c r="M6" s="9">
        <v>-1000</v>
      </c>
      <c r="N6" s="48">
        <v>-1000</v>
      </c>
      <c r="O6" s="21">
        <f t="shared" si="1"/>
        <v>12000</v>
      </c>
      <c r="P6" s="8"/>
      <c r="Q6" s="9"/>
      <c r="R6" s="9">
        <v>-1000</v>
      </c>
      <c r="S6" s="48"/>
      <c r="T6" s="21">
        <f t="shared" si="2"/>
        <v>29500</v>
      </c>
      <c r="U6" s="53">
        <f>IF($J6="","",ROUND(($J6-$J$3)/1000,1)+(_xlfn.RANK.AVG($J6,($J6,$O6,$T6),1)-2)*20)</f>
        <v>48.5</v>
      </c>
      <c r="V6" s="54">
        <f>IF($O6="","",ROUND(($O6-$O$3)/1000,1)+(_xlfn.RANK.AVG($O6,($J6,$O6,$T6),1)-2)*20)</f>
        <v>-43</v>
      </c>
      <c r="W6" s="55">
        <f>IF($T6="","",ROUND(($T6-$T$3)/1000,1)+(_xlfn.RANK.AVG($T6,($J6,$O6,$T6),1)-2)*20)</f>
        <v>-5.5</v>
      </c>
      <c r="Y6" s="8"/>
      <c r="Z6" s="34"/>
      <c r="AA6" s="26">
        <v>1</v>
      </c>
      <c r="AB6" s="26"/>
      <c r="AC6" s="26">
        <v>6</v>
      </c>
      <c r="AD6" s="30" t="s">
        <v>196</v>
      </c>
      <c r="AE6" s="40" t="s">
        <v>203</v>
      </c>
      <c r="AF6" s="41" t="s">
        <v>80</v>
      </c>
      <c r="AG6" s="41" t="s">
        <v>80</v>
      </c>
      <c r="AH6" s="41" t="s">
        <v>80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2</v>
      </c>
      <c r="D7" s="18">
        <f t="shared" si="6"/>
        <v>0</v>
      </c>
      <c r="E7" s="4" t="s">
        <v>192</v>
      </c>
      <c r="F7" s="8" t="s">
        <v>198</v>
      </c>
      <c r="G7" s="9">
        <v>2900</v>
      </c>
      <c r="H7" s="9"/>
      <c r="I7" s="48">
        <v>2000</v>
      </c>
      <c r="J7" s="21">
        <f t="shared" si="0"/>
        <v>68400</v>
      </c>
      <c r="K7" s="8" t="s">
        <v>198</v>
      </c>
      <c r="L7" s="9">
        <v>12000</v>
      </c>
      <c r="M7" s="9"/>
      <c r="N7" s="48"/>
      <c r="O7" s="21">
        <f t="shared" si="1"/>
        <v>24000</v>
      </c>
      <c r="P7" s="8" t="s">
        <v>199</v>
      </c>
      <c r="Q7" s="9">
        <v>-14900</v>
      </c>
      <c r="R7" s="9"/>
      <c r="S7" s="48">
        <v>-2000</v>
      </c>
      <c r="T7" s="21">
        <f t="shared" si="2"/>
        <v>12600</v>
      </c>
      <c r="U7" s="53">
        <f>IF($J7="","",ROUND(($J7-$J$3)/1000,1)+(_xlfn.RANK.AVG($J7,($J7,$O7,$T7),1)-2)*20)</f>
        <v>53.4</v>
      </c>
      <c r="V7" s="54">
        <f>IF($O7="","",ROUND(($O7-$O$3)/1000,1)+(_xlfn.RANK.AVG($O7,($J7,$O7,$T7),1)-2)*20)</f>
        <v>-11</v>
      </c>
      <c r="W7" s="55">
        <f>IF($T7="","",ROUND(($T7-$T$3)/1000,1)+(_xlfn.RANK.AVG($T7,($J7,$O7,$T7),1)-2)*20)</f>
        <v>-42.4</v>
      </c>
      <c r="Y7" s="8"/>
      <c r="Z7" s="34"/>
      <c r="AA7" s="26">
        <v>1</v>
      </c>
      <c r="AB7" s="26"/>
      <c r="AC7" s="26">
        <v>2</v>
      </c>
      <c r="AD7" s="30">
        <v>30</v>
      </c>
      <c r="AE7" s="40" t="s">
        <v>203</v>
      </c>
      <c r="AF7" s="41" t="s">
        <v>83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203</v>
      </c>
      <c r="BA7" s="41" t="s">
        <v>83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東</v>
      </c>
      <c r="B8" s="18">
        <f t="shared" si="4"/>
        <v>3</v>
      </c>
      <c r="C8" s="18">
        <f t="shared" si="5"/>
        <v>3</v>
      </c>
      <c r="D8" s="18">
        <f t="shared" si="6"/>
        <v>0</v>
      </c>
      <c r="E8" s="4" t="s">
        <v>192</v>
      </c>
      <c r="F8" s="8" t="s">
        <v>198</v>
      </c>
      <c r="G8" s="9">
        <v>12000</v>
      </c>
      <c r="H8" s="9">
        <v>1000</v>
      </c>
      <c r="I8" s="48">
        <v>3000</v>
      </c>
      <c r="J8" s="21">
        <f t="shared" si="0"/>
        <v>84400</v>
      </c>
      <c r="K8" s="8" t="s">
        <v>199</v>
      </c>
      <c r="L8" s="9">
        <v>-12000</v>
      </c>
      <c r="M8" s="9"/>
      <c r="N8" s="48">
        <v>-3000</v>
      </c>
      <c r="O8" s="21">
        <f t="shared" si="1"/>
        <v>9000</v>
      </c>
      <c r="P8" s="8"/>
      <c r="Q8" s="9"/>
      <c r="R8" s="9">
        <v>-1000</v>
      </c>
      <c r="S8" s="48"/>
      <c r="T8" s="21">
        <f t="shared" si="2"/>
        <v>11600</v>
      </c>
      <c r="U8" s="53">
        <f>IF($J8="","",ROUND(($J8-$J$3)/1000,1)+(_xlfn.RANK.AVG($J8,($J8,$O8,$T8),1)-2)*20)</f>
        <v>69.400000000000006</v>
      </c>
      <c r="V8" s="54">
        <f>IF($O8="","",ROUND(($O8-$O$3)/1000,1)+(_xlfn.RANK.AVG($O8,($J8,$O8,$T8),1)-2)*20)</f>
        <v>-46</v>
      </c>
      <c r="W8" s="55">
        <f>IF($T8="","",ROUND(($T8-$T$3)/1000,1)+(_xlfn.RANK.AVG($T8,($J8,$O8,$T8),1)-2)*20)</f>
        <v>-23.4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203</v>
      </c>
      <c r="AF8" s="41" t="s">
        <v>80</v>
      </c>
      <c r="AG8" s="41" t="s">
        <v>80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東</v>
      </c>
      <c r="B9" s="18">
        <f t="shared" si="4"/>
        <v>3</v>
      </c>
      <c r="C9" s="18">
        <f t="shared" si="5"/>
        <v>4</v>
      </c>
      <c r="D9" s="18">
        <f t="shared" si="6"/>
        <v>0</v>
      </c>
      <c r="E9" s="4" t="s">
        <v>192</v>
      </c>
      <c r="F9" s="8" t="s">
        <v>199</v>
      </c>
      <c r="G9" s="9">
        <v>-8000</v>
      </c>
      <c r="H9" s="9"/>
      <c r="I9" s="48">
        <v>-4000</v>
      </c>
      <c r="J9" s="21">
        <f t="shared" si="0"/>
        <v>72400</v>
      </c>
      <c r="K9" s="8"/>
      <c r="L9" s="9"/>
      <c r="M9" s="9"/>
      <c r="N9" s="48"/>
      <c r="O9" s="21">
        <f t="shared" si="1"/>
        <v>9000</v>
      </c>
      <c r="P9" s="8" t="s">
        <v>198</v>
      </c>
      <c r="Q9" s="9">
        <v>8000</v>
      </c>
      <c r="R9" s="9"/>
      <c r="S9" s="48">
        <v>4000</v>
      </c>
      <c r="T9" s="21">
        <f t="shared" si="2"/>
        <v>23600</v>
      </c>
      <c r="U9" s="53">
        <f>IF($J9="","",ROUND(($J9-$J$3)/1000,1)+(_xlfn.RANK.AVG($J9,($J9,$O9,$T9),1)-2)*20)</f>
        <v>57.4</v>
      </c>
      <c r="V9" s="54">
        <f>IF($O9="","",ROUND(($O9-$O$3)/1000,1)+(_xlfn.RANK.AVG($O9,($J9,$O9,$T9),1)-2)*20)</f>
        <v>-46</v>
      </c>
      <c r="W9" s="55">
        <f>IF($T9="","",ROUND(($T9-$T$3)/1000,1)+(_xlfn.RANK.AVG($T9,($J9,$O9,$T9),1)-2)*20)</f>
        <v>-11.4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91</v>
      </c>
      <c r="BV9" s="41" t="s">
        <v>79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1</v>
      </c>
      <c r="C10" s="18">
        <f t="shared" si="5"/>
        <v>0</v>
      </c>
      <c r="D10" s="18">
        <f t="shared" si="6"/>
        <v>0</v>
      </c>
      <c r="E10" s="4" t="s">
        <v>191</v>
      </c>
      <c r="F10" s="8" t="s">
        <v>194</v>
      </c>
      <c r="G10" s="9">
        <v>-3900</v>
      </c>
      <c r="H10" s="9"/>
      <c r="I10" s="48">
        <v>0</v>
      </c>
      <c r="J10" s="21">
        <f t="shared" si="0"/>
        <v>68500</v>
      </c>
      <c r="K10" s="8" t="s">
        <v>195</v>
      </c>
      <c r="L10" s="9">
        <v>7800</v>
      </c>
      <c r="M10" s="9"/>
      <c r="N10" s="48">
        <v>0</v>
      </c>
      <c r="O10" s="21">
        <f t="shared" si="1"/>
        <v>16800</v>
      </c>
      <c r="P10" s="8" t="s">
        <v>194</v>
      </c>
      <c r="Q10" s="9">
        <v>-3900</v>
      </c>
      <c r="R10" s="9"/>
      <c r="S10" s="48">
        <v>0</v>
      </c>
      <c r="T10" s="21">
        <f t="shared" si="2"/>
        <v>19700</v>
      </c>
      <c r="U10" s="53">
        <f>IF($J10="","",ROUND(($J10-$J$3)/1000,1)+(_xlfn.RANK.AVG($J10,($J10,$O10,$T10),1)-2)*20)</f>
        <v>53.5</v>
      </c>
      <c r="V10" s="54">
        <f>IF($O10="","",ROUND(($O10-$O$3)/1000,1)+(_xlfn.RANK.AVG($O10,($J10,$O10,$T10),1)-2)*20)</f>
        <v>-38.200000000000003</v>
      </c>
      <c r="W10" s="55">
        <f>IF($T10="","",ROUND(($T10-$T$3)/1000,1)+(_xlfn.RANK.AVG($T10,($J10,$O10,$T10),1)-2)*20)</f>
        <v>-15.3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40</v>
      </c>
      <c r="AZ10" s="40" t="s">
        <v>203</v>
      </c>
      <c r="BA10" s="41" t="s">
        <v>86</v>
      </c>
      <c r="BB10" s="41" t="s">
        <v>82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1</v>
      </c>
      <c r="C11" s="18">
        <f t="shared" si="5"/>
        <v>1</v>
      </c>
      <c r="D11" s="18">
        <f t="shared" si="6"/>
        <v>0</v>
      </c>
      <c r="E11" s="4" t="s">
        <v>191</v>
      </c>
      <c r="F11" s="8" t="s">
        <v>206</v>
      </c>
      <c r="G11" s="9">
        <v>-1500</v>
      </c>
      <c r="H11" s="9"/>
      <c r="I11" s="48"/>
      <c r="J11" s="21">
        <f t="shared" si="0"/>
        <v>67000</v>
      </c>
      <c r="K11" s="8" t="s">
        <v>206</v>
      </c>
      <c r="L11" s="9">
        <v>3000</v>
      </c>
      <c r="M11" s="9">
        <v>-1000</v>
      </c>
      <c r="N11" s="48"/>
      <c r="O11" s="21">
        <f t="shared" si="1"/>
        <v>18800</v>
      </c>
      <c r="P11" s="8" t="s">
        <v>206</v>
      </c>
      <c r="Q11" s="9">
        <v>-1500</v>
      </c>
      <c r="R11" s="9"/>
      <c r="S11" s="48"/>
      <c r="T11" s="21">
        <f t="shared" si="2"/>
        <v>18200</v>
      </c>
      <c r="U11" s="53">
        <f>IF($J11="","",ROUND(($J11-$J$3)/1000,1)+(_xlfn.RANK.AVG($J11,($J11,$O11,$T11),1)-2)*20)</f>
        <v>52</v>
      </c>
      <c r="V11" s="54">
        <f>IF($O11="","",ROUND(($O11-$O$3)/1000,1)+(_xlfn.RANK.AVG($O11,($J11,$O11,$T11),1)-2)*20)</f>
        <v>-16.2</v>
      </c>
      <c r="W11" s="55">
        <f>IF($T11="","",ROUND(($T11-$T$3)/1000,1)+(_xlfn.RANK.AVG($T11,($J11,$O11,$T11),1)-2)*20)</f>
        <v>-36.799999999999997</v>
      </c>
      <c r="Y11" s="8" t="s">
        <v>200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1</v>
      </c>
      <c r="C12" s="18">
        <f t="shared" si="5"/>
        <v>2</v>
      </c>
      <c r="D12" s="18">
        <f t="shared" si="6"/>
        <v>1</v>
      </c>
      <c r="E12" s="4" t="s">
        <v>191</v>
      </c>
      <c r="F12" s="8" t="s">
        <v>198</v>
      </c>
      <c r="G12" s="9">
        <v>12000</v>
      </c>
      <c r="H12" s="9">
        <v>1000</v>
      </c>
      <c r="I12" s="48">
        <v>2000</v>
      </c>
      <c r="J12" s="21">
        <f t="shared" si="0"/>
        <v>82000</v>
      </c>
      <c r="K12" s="8"/>
      <c r="L12" s="9"/>
      <c r="M12" s="9"/>
      <c r="N12" s="48"/>
      <c r="O12" s="21">
        <f t="shared" si="1"/>
        <v>18800</v>
      </c>
      <c r="P12" s="8" t="s">
        <v>199</v>
      </c>
      <c r="Q12" s="9">
        <v>-12000</v>
      </c>
      <c r="R12" s="9"/>
      <c r="S12" s="48">
        <v>-2000</v>
      </c>
      <c r="T12" s="21">
        <f t="shared" si="2"/>
        <v>4200</v>
      </c>
      <c r="U12" s="53">
        <f>IF($J12="","",ROUND(($J12-$J$3)/1000,1)+(_xlfn.RANK.AVG($J12,($J12,$O12,$T12),1)-2)*20)</f>
        <v>67</v>
      </c>
      <c r="V12" s="54">
        <f>IF($O12="","",ROUND(($O12-$O$3)/1000,1)+(_xlfn.RANK.AVG($O12,($J12,$O12,$T12),1)-2)*20)</f>
        <v>-16.2</v>
      </c>
      <c r="W12" s="55">
        <f>IF($T12="","",ROUND(($T12-$T$3)/1000,1)+(_xlfn.RANK.AVG($T12,($J12,$O12,$T12),1)-2)*20)</f>
        <v>-50.8</v>
      </c>
      <c r="Y12" s="8"/>
      <c r="Z12" s="34"/>
      <c r="AA12" s="26">
        <v>1</v>
      </c>
      <c r="AB12" s="26"/>
      <c r="AC12" s="26">
        <v>6</v>
      </c>
      <c r="AD12" s="30" t="s">
        <v>196</v>
      </c>
      <c r="AE12" s="40" t="s">
        <v>203</v>
      </c>
      <c r="AF12" s="41" t="s">
        <v>197</v>
      </c>
      <c r="AG12" s="41" t="s">
        <v>80</v>
      </c>
      <c r="AH12" s="41" t="s">
        <v>79</v>
      </c>
      <c r="AI12" s="41" t="s">
        <v>80</v>
      </c>
      <c r="AJ12" s="41" t="s">
        <v>197</v>
      </c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4"/>
        <v>2</v>
      </c>
      <c r="C13" s="18">
        <f t="shared" si="5"/>
        <v>0</v>
      </c>
      <c r="D13" s="18">
        <f t="shared" si="6"/>
        <v>0</v>
      </c>
      <c r="E13" s="4" t="s">
        <v>193</v>
      </c>
      <c r="F13" s="8" t="s">
        <v>194</v>
      </c>
      <c r="G13" s="9">
        <v>-9000</v>
      </c>
      <c r="H13" s="9"/>
      <c r="I13" s="48">
        <v>0</v>
      </c>
      <c r="J13" s="21">
        <f t="shared" si="0"/>
        <v>73000</v>
      </c>
      <c r="K13" s="8" t="s">
        <v>194</v>
      </c>
      <c r="L13" s="9">
        <v>-9000</v>
      </c>
      <c r="M13" s="9"/>
      <c r="N13" s="48">
        <v>0</v>
      </c>
      <c r="O13" s="21">
        <f t="shared" si="1"/>
        <v>9800</v>
      </c>
      <c r="P13" s="8" t="s">
        <v>195</v>
      </c>
      <c r="Q13" s="9">
        <v>18000</v>
      </c>
      <c r="R13" s="9"/>
      <c r="S13" s="48">
        <v>0</v>
      </c>
      <c r="T13" s="21">
        <f t="shared" si="2"/>
        <v>22200</v>
      </c>
      <c r="U13" s="53">
        <f>IF($J13="","",ROUND(($J13-$J$3)/1000,1)+(_xlfn.RANK.AVG($J13,($J13,$O13,$T13),1)-2)*20)</f>
        <v>58</v>
      </c>
      <c r="V13" s="54">
        <f>IF($O13="","",ROUND(($O13-$O$3)/1000,1)+(_xlfn.RANK.AVG($O13,($J13,$O13,$T13),1)-2)*20)</f>
        <v>-45.2</v>
      </c>
      <c r="W13" s="55">
        <f>IF($T13="","",ROUND(($T13-$T$3)/1000,1)+(_xlfn.RANK.AVG($T13,($J13,$O13,$T13),1)-2)*20)</f>
        <v>-12.8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196</v>
      </c>
      <c r="BU13" s="40" t="s">
        <v>203</v>
      </c>
      <c r="BV13" s="41" t="s">
        <v>82</v>
      </c>
      <c r="BW13" s="41" t="s">
        <v>83</v>
      </c>
      <c r="BX13" s="41" t="s">
        <v>84</v>
      </c>
      <c r="BY13" s="41" t="s">
        <v>197</v>
      </c>
      <c r="BZ13" s="41" t="s">
        <v>85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ref="A14:A30" si="7">IF($E14="","",IF(AND(B13=3,B14=1),_xlfn.SWITCH(A13,"東","南","南","西","西","北","北","東"),A13))</f>
        <v>南</v>
      </c>
      <c r="B14" s="18">
        <f t="shared" ref="B14:B30" si="8">IF($E14="","",IF($E13=$E14,B13,IF(B13=3,1,B13+1)))</f>
        <v>2</v>
      </c>
      <c r="C14" s="18">
        <f t="shared" ref="C14:C30" si="9">IF($E14="","",IF($F13="チョンボ",C13,IF(OR($E13=$E14,$F13="流局"),C13+1,0)))</f>
        <v>1</v>
      </c>
      <c r="D14" s="18">
        <f t="shared" ref="D14:D30" si="10">IF($E14="","",IF(OR($F13="流局",$F13="チョンボ"),D13+($H13+$M13+$R13)/-1000,0))</f>
        <v>0</v>
      </c>
      <c r="E14" s="4" t="s">
        <v>193</v>
      </c>
      <c r="F14" s="8"/>
      <c r="G14" s="9"/>
      <c r="H14" s="9"/>
      <c r="I14" s="48"/>
      <c r="J14" s="21">
        <f t="shared" ref="J14:J30" si="11">IF(COUNTA($F14,$K14,$P14)&gt;0,J13+SUM(G14:I14),"")</f>
        <v>73000</v>
      </c>
      <c r="K14" s="8" t="s">
        <v>199</v>
      </c>
      <c r="L14" s="9">
        <v>-2900</v>
      </c>
      <c r="M14" s="9"/>
      <c r="N14" s="48">
        <v>-1000</v>
      </c>
      <c r="O14" s="21">
        <f t="shared" ref="O14:O30" si="12">IF(COUNTA($F14,$K14,$P14)&gt;0,O13+SUM(L14:N14),"")</f>
        <v>5900</v>
      </c>
      <c r="P14" s="8" t="s">
        <v>198</v>
      </c>
      <c r="Q14" s="9">
        <v>2900</v>
      </c>
      <c r="R14" s="9"/>
      <c r="S14" s="48">
        <v>1000</v>
      </c>
      <c r="T14" s="21">
        <f t="shared" ref="T14:T30" si="13">IF(COUNTA($F14,$K14,$P14)&gt;0,T13+SUM(Q14:S14),"")</f>
        <v>26100</v>
      </c>
      <c r="U14" s="53">
        <f>IF($J14="","",ROUND(($J14-$J$3)/1000,1)+(_xlfn.RANK.AVG($J14,($J14,$O14,$T14),1)-2)*20)</f>
        <v>58</v>
      </c>
      <c r="V14" s="54">
        <f>IF($O14="","",ROUND(($O14-$O$3)/1000,1)+(_xlfn.RANK.AVG($O14,($J14,$O14,$T14),1)-2)*20)</f>
        <v>-49.1</v>
      </c>
      <c r="W14" s="55">
        <f>IF($T14="","",ROUND(($T14-$T$3)/1000,1)+(_xlfn.RANK.AVG($T14,($J14,$O14,$T14),1)-2)*20)</f>
        <v>-8.9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2</v>
      </c>
      <c r="BT14" s="30">
        <v>30</v>
      </c>
      <c r="BU14" s="40" t="s">
        <v>86</v>
      </c>
      <c r="BV14" s="41" t="s">
        <v>197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7"/>
        <v>南</v>
      </c>
      <c r="B15" s="18">
        <f t="shared" si="8"/>
        <v>2</v>
      </c>
      <c r="C15" s="18">
        <f t="shared" si="9"/>
        <v>2</v>
      </c>
      <c r="D15" s="18">
        <f t="shared" si="10"/>
        <v>0</v>
      </c>
      <c r="E15" s="4" t="s">
        <v>193</v>
      </c>
      <c r="F15" s="8" t="s">
        <v>207</v>
      </c>
      <c r="G15" s="9">
        <v>3000</v>
      </c>
      <c r="H15" s="9">
        <v>1000</v>
      </c>
      <c r="I15" s="48"/>
      <c r="J15" s="21">
        <f t="shared" si="11"/>
        <v>77000</v>
      </c>
      <c r="K15" s="8" t="s">
        <v>207</v>
      </c>
      <c r="L15" s="9">
        <v>-8000</v>
      </c>
      <c r="M15" s="9">
        <v>-1000</v>
      </c>
      <c r="N15" s="48"/>
      <c r="O15" s="21">
        <f t="shared" si="12"/>
        <v>-3100</v>
      </c>
      <c r="P15" s="8" t="s">
        <v>207</v>
      </c>
      <c r="Q15" s="9">
        <v>5000</v>
      </c>
      <c r="R15" s="9"/>
      <c r="S15" s="48"/>
      <c r="T15" s="21">
        <f t="shared" si="13"/>
        <v>31100</v>
      </c>
      <c r="U15" s="53">
        <f>IF($J15="","",ROUND(($J15-$J$3)/1000,1)+(_xlfn.RANK.AVG($J15,($J15,$O15,$T15),1)-2)*20)</f>
        <v>62</v>
      </c>
      <c r="V15" s="54">
        <f>IF($O15="","",ROUND(($O15-$O$3)/1000,1)+(_xlfn.RANK.AVG($O15,($J15,$O15,$T15),1)-2)*20)</f>
        <v>-58.1</v>
      </c>
      <c r="W15" s="55">
        <f>IF($T15="","",ROUND(($T15-$T$3)/1000,1)+(_xlfn.RANK.AVG($T15,($J15,$O15,$T15),1)-2)*20)</f>
        <v>-3.9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>
        <v>1</v>
      </c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7"/>
        <v/>
      </c>
      <c r="B16" s="18" t="str">
        <f t="shared" si="8"/>
        <v/>
      </c>
      <c r="C16" s="18" t="str">
        <f t="shared" si="9"/>
        <v/>
      </c>
      <c r="D16" s="18" t="str">
        <f t="shared" si="10"/>
        <v/>
      </c>
      <c r="E16" s="4"/>
      <c r="F16" s="8"/>
      <c r="G16" s="9"/>
      <c r="H16" s="9"/>
      <c r="I16" s="48"/>
      <c r="J16" s="21" t="str">
        <f t="shared" si="11"/>
        <v/>
      </c>
      <c r="K16" s="8"/>
      <c r="L16" s="9"/>
      <c r="M16" s="9"/>
      <c r="N16" s="48"/>
      <c r="O16" s="21" t="str">
        <f t="shared" si="12"/>
        <v/>
      </c>
      <c r="P16" s="8"/>
      <c r="Q16" s="9"/>
      <c r="R16" s="9"/>
      <c r="S16" s="48"/>
      <c r="T16" s="21" t="str">
        <f t="shared" si="13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7"/>
        <v/>
      </c>
      <c r="B17" s="18" t="str">
        <f t="shared" si="8"/>
        <v/>
      </c>
      <c r="C17" s="18" t="str">
        <f t="shared" si="9"/>
        <v/>
      </c>
      <c r="D17" s="18" t="str">
        <f t="shared" si="10"/>
        <v/>
      </c>
      <c r="E17" s="4"/>
      <c r="F17" s="8"/>
      <c r="G17" s="9"/>
      <c r="H17" s="9"/>
      <c r="I17" s="48"/>
      <c r="J17" s="21" t="str">
        <f t="shared" si="11"/>
        <v/>
      </c>
      <c r="K17" s="8"/>
      <c r="L17" s="9"/>
      <c r="M17" s="9"/>
      <c r="N17" s="48"/>
      <c r="O17" s="21" t="str">
        <f t="shared" si="12"/>
        <v/>
      </c>
      <c r="P17" s="8"/>
      <c r="Q17" s="9"/>
      <c r="R17" s="9"/>
      <c r="S17" s="48"/>
      <c r="T17" s="21" t="str">
        <f t="shared" si="13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7"/>
        <v/>
      </c>
      <c r="B18" s="18" t="str">
        <f t="shared" si="8"/>
        <v/>
      </c>
      <c r="C18" s="18" t="str">
        <f t="shared" si="9"/>
        <v/>
      </c>
      <c r="D18" s="18" t="str">
        <f t="shared" si="10"/>
        <v/>
      </c>
      <c r="E18" s="4"/>
      <c r="F18" s="8"/>
      <c r="G18" s="9"/>
      <c r="H18" s="9"/>
      <c r="I18" s="48"/>
      <c r="J18" s="21" t="str">
        <f t="shared" si="11"/>
        <v/>
      </c>
      <c r="K18" s="8"/>
      <c r="L18" s="9"/>
      <c r="M18" s="9"/>
      <c r="N18" s="48"/>
      <c r="O18" s="21" t="str">
        <f t="shared" si="12"/>
        <v/>
      </c>
      <c r="P18" s="8"/>
      <c r="Q18" s="9"/>
      <c r="R18" s="9"/>
      <c r="S18" s="48"/>
      <c r="T18" s="21" t="str">
        <f t="shared" si="13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7"/>
        <v/>
      </c>
      <c r="B19" s="18" t="str">
        <f t="shared" si="8"/>
        <v/>
      </c>
      <c r="C19" s="18" t="str">
        <f t="shared" si="9"/>
        <v/>
      </c>
      <c r="D19" s="18" t="str">
        <f t="shared" si="10"/>
        <v/>
      </c>
      <c r="E19" s="4"/>
      <c r="F19" s="8"/>
      <c r="G19" s="9"/>
      <c r="H19" s="9"/>
      <c r="I19" s="48"/>
      <c r="J19" s="21" t="str">
        <f t="shared" si="11"/>
        <v/>
      </c>
      <c r="K19" s="8"/>
      <c r="L19" s="9"/>
      <c r="M19" s="9"/>
      <c r="N19" s="48"/>
      <c r="O19" s="21" t="str">
        <f t="shared" si="12"/>
        <v/>
      </c>
      <c r="P19" s="8"/>
      <c r="Q19" s="9"/>
      <c r="R19" s="9"/>
      <c r="S19" s="48"/>
      <c r="T19" s="21" t="str">
        <f t="shared" si="13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7"/>
        <v/>
      </c>
      <c r="B20" s="18" t="str">
        <f t="shared" si="8"/>
        <v/>
      </c>
      <c r="C20" s="18" t="str">
        <f t="shared" si="9"/>
        <v/>
      </c>
      <c r="D20" s="18" t="str">
        <f t="shared" si="10"/>
        <v/>
      </c>
      <c r="E20" s="4"/>
      <c r="F20" s="8"/>
      <c r="G20" s="9"/>
      <c r="H20" s="9"/>
      <c r="I20" s="48"/>
      <c r="J20" s="21" t="str">
        <f t="shared" si="11"/>
        <v/>
      </c>
      <c r="K20" s="8"/>
      <c r="L20" s="9"/>
      <c r="M20" s="9"/>
      <c r="N20" s="48"/>
      <c r="O20" s="21" t="str">
        <f t="shared" si="12"/>
        <v/>
      </c>
      <c r="P20" s="8"/>
      <c r="Q20" s="9"/>
      <c r="R20" s="9"/>
      <c r="S20" s="48"/>
      <c r="T20" s="21" t="str">
        <f t="shared" si="13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7"/>
        <v/>
      </c>
      <c r="B21" s="18" t="str">
        <f t="shared" si="8"/>
        <v/>
      </c>
      <c r="C21" s="18" t="str">
        <f t="shared" si="9"/>
        <v/>
      </c>
      <c r="D21" s="18" t="str">
        <f t="shared" si="10"/>
        <v/>
      </c>
      <c r="E21" s="4"/>
      <c r="F21" s="8"/>
      <c r="G21" s="9"/>
      <c r="H21" s="9"/>
      <c r="I21" s="48"/>
      <c r="J21" s="21" t="str">
        <f t="shared" si="11"/>
        <v/>
      </c>
      <c r="K21" s="8"/>
      <c r="L21" s="9"/>
      <c r="M21" s="9"/>
      <c r="N21" s="48"/>
      <c r="O21" s="21" t="str">
        <f t="shared" si="12"/>
        <v/>
      </c>
      <c r="P21" s="8"/>
      <c r="Q21" s="9"/>
      <c r="R21" s="9"/>
      <c r="S21" s="48"/>
      <c r="T21" s="21" t="str">
        <f t="shared" si="13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7"/>
        <v/>
      </c>
      <c r="B22" s="18" t="str">
        <f t="shared" si="8"/>
        <v/>
      </c>
      <c r="C22" s="18" t="str">
        <f t="shared" si="9"/>
        <v/>
      </c>
      <c r="D22" s="18" t="str">
        <f t="shared" si="10"/>
        <v/>
      </c>
      <c r="E22" s="4"/>
      <c r="F22" s="8"/>
      <c r="G22" s="9"/>
      <c r="H22" s="9"/>
      <c r="I22" s="48"/>
      <c r="J22" s="21" t="str">
        <f t="shared" si="11"/>
        <v/>
      </c>
      <c r="K22" s="8"/>
      <c r="L22" s="9"/>
      <c r="M22" s="9"/>
      <c r="N22" s="48"/>
      <c r="O22" s="21" t="str">
        <f t="shared" si="12"/>
        <v/>
      </c>
      <c r="P22" s="8"/>
      <c r="Q22" s="9"/>
      <c r="R22" s="9"/>
      <c r="S22" s="48"/>
      <c r="T22" s="21" t="str">
        <f t="shared" si="13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7"/>
        <v/>
      </c>
      <c r="B23" s="18" t="str">
        <f t="shared" si="8"/>
        <v/>
      </c>
      <c r="C23" s="18" t="str">
        <f t="shared" si="9"/>
        <v/>
      </c>
      <c r="D23" s="18" t="str">
        <f t="shared" si="10"/>
        <v/>
      </c>
      <c r="E23" s="4"/>
      <c r="F23" s="8"/>
      <c r="G23" s="9"/>
      <c r="H23" s="9"/>
      <c r="I23" s="48"/>
      <c r="J23" s="21" t="str">
        <f t="shared" si="11"/>
        <v/>
      </c>
      <c r="K23" s="8"/>
      <c r="L23" s="9"/>
      <c r="M23" s="9"/>
      <c r="N23" s="48"/>
      <c r="O23" s="21" t="str">
        <f t="shared" si="12"/>
        <v/>
      </c>
      <c r="P23" s="8"/>
      <c r="Q23" s="9"/>
      <c r="R23" s="9"/>
      <c r="S23" s="48"/>
      <c r="T23" s="21" t="str">
        <f t="shared" si="13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7"/>
        <v/>
      </c>
      <c r="B24" s="18" t="str">
        <f t="shared" si="8"/>
        <v/>
      </c>
      <c r="C24" s="18" t="str">
        <f t="shared" si="9"/>
        <v/>
      </c>
      <c r="D24" s="18" t="str">
        <f t="shared" si="10"/>
        <v/>
      </c>
      <c r="E24" s="4"/>
      <c r="F24" s="8"/>
      <c r="G24" s="9"/>
      <c r="H24" s="9"/>
      <c r="I24" s="48"/>
      <c r="J24" s="21" t="str">
        <f t="shared" si="11"/>
        <v/>
      </c>
      <c r="K24" s="8"/>
      <c r="L24" s="9"/>
      <c r="M24" s="9"/>
      <c r="N24" s="48"/>
      <c r="O24" s="21" t="str">
        <f t="shared" si="12"/>
        <v/>
      </c>
      <c r="P24" s="8"/>
      <c r="Q24" s="9"/>
      <c r="R24" s="9"/>
      <c r="S24" s="48"/>
      <c r="T24" s="21" t="str">
        <f t="shared" si="13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7"/>
        <v/>
      </c>
      <c r="B25" s="18" t="str">
        <f t="shared" si="8"/>
        <v/>
      </c>
      <c r="C25" s="18" t="str">
        <f t="shared" si="9"/>
        <v/>
      </c>
      <c r="D25" s="18" t="str">
        <f t="shared" si="10"/>
        <v/>
      </c>
      <c r="E25" s="4"/>
      <c r="F25" s="8"/>
      <c r="G25" s="9"/>
      <c r="H25" s="9"/>
      <c r="I25" s="48"/>
      <c r="J25" s="21" t="str">
        <f t="shared" si="11"/>
        <v/>
      </c>
      <c r="K25" s="8"/>
      <c r="L25" s="9"/>
      <c r="M25" s="9"/>
      <c r="N25" s="48"/>
      <c r="O25" s="21" t="str">
        <f t="shared" si="12"/>
        <v/>
      </c>
      <c r="P25" s="8"/>
      <c r="Q25" s="9"/>
      <c r="R25" s="9"/>
      <c r="S25" s="48"/>
      <c r="T25" s="21" t="str">
        <f t="shared" si="13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7"/>
        <v/>
      </c>
      <c r="B26" s="18" t="str">
        <f t="shared" si="8"/>
        <v/>
      </c>
      <c r="C26" s="18" t="str">
        <f t="shared" si="9"/>
        <v/>
      </c>
      <c r="D26" s="18" t="str">
        <f t="shared" si="10"/>
        <v/>
      </c>
      <c r="E26" s="4"/>
      <c r="F26" s="8"/>
      <c r="G26" s="9"/>
      <c r="H26" s="9"/>
      <c r="I26" s="48"/>
      <c r="J26" s="21" t="str">
        <f t="shared" si="11"/>
        <v/>
      </c>
      <c r="K26" s="8"/>
      <c r="L26" s="9"/>
      <c r="M26" s="9"/>
      <c r="N26" s="48"/>
      <c r="O26" s="21" t="str">
        <f t="shared" si="12"/>
        <v/>
      </c>
      <c r="P26" s="8"/>
      <c r="Q26" s="9"/>
      <c r="R26" s="9"/>
      <c r="S26" s="48"/>
      <c r="T26" s="21" t="str">
        <f t="shared" si="13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7"/>
        <v/>
      </c>
      <c r="B27" s="18" t="str">
        <f t="shared" si="8"/>
        <v/>
      </c>
      <c r="C27" s="18" t="str">
        <f t="shared" si="9"/>
        <v/>
      </c>
      <c r="D27" s="18" t="str">
        <f t="shared" si="10"/>
        <v/>
      </c>
      <c r="E27" s="4"/>
      <c r="F27" s="8"/>
      <c r="G27" s="9"/>
      <c r="H27" s="9"/>
      <c r="I27" s="48"/>
      <c r="J27" s="21" t="str">
        <f t="shared" si="11"/>
        <v/>
      </c>
      <c r="K27" s="8"/>
      <c r="L27" s="9"/>
      <c r="M27" s="9"/>
      <c r="N27" s="48"/>
      <c r="O27" s="21" t="str">
        <f t="shared" si="12"/>
        <v/>
      </c>
      <c r="P27" s="8"/>
      <c r="Q27" s="9"/>
      <c r="R27" s="9"/>
      <c r="S27" s="48"/>
      <c r="T27" s="21" t="str">
        <f t="shared" si="13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7"/>
        <v/>
      </c>
      <c r="B28" s="18" t="str">
        <f t="shared" si="8"/>
        <v/>
      </c>
      <c r="C28" s="18" t="str">
        <f t="shared" si="9"/>
        <v/>
      </c>
      <c r="D28" s="18" t="str">
        <f t="shared" si="10"/>
        <v/>
      </c>
      <c r="E28" s="4"/>
      <c r="F28" s="8"/>
      <c r="G28" s="9"/>
      <c r="H28" s="9"/>
      <c r="I28" s="48"/>
      <c r="J28" s="21" t="str">
        <f t="shared" si="11"/>
        <v/>
      </c>
      <c r="K28" s="8"/>
      <c r="L28" s="9"/>
      <c r="M28" s="9"/>
      <c r="N28" s="48"/>
      <c r="O28" s="21" t="str">
        <f t="shared" si="12"/>
        <v/>
      </c>
      <c r="P28" s="8"/>
      <c r="Q28" s="9"/>
      <c r="R28" s="9"/>
      <c r="S28" s="48"/>
      <c r="T28" s="21" t="str">
        <f t="shared" si="13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7"/>
        <v/>
      </c>
      <c r="B29" s="18" t="str">
        <f t="shared" si="8"/>
        <v/>
      </c>
      <c r="C29" s="18" t="str">
        <f t="shared" si="9"/>
        <v/>
      </c>
      <c r="D29" s="18" t="str">
        <f t="shared" si="10"/>
        <v/>
      </c>
      <c r="E29" s="4"/>
      <c r="F29" s="8"/>
      <c r="G29" s="9"/>
      <c r="H29" s="9"/>
      <c r="I29" s="48"/>
      <c r="J29" s="21" t="str">
        <f t="shared" si="11"/>
        <v/>
      </c>
      <c r="K29" s="8"/>
      <c r="L29" s="9"/>
      <c r="M29" s="9"/>
      <c r="N29" s="48"/>
      <c r="O29" s="21" t="str">
        <f t="shared" si="12"/>
        <v/>
      </c>
      <c r="P29" s="8"/>
      <c r="Q29" s="9"/>
      <c r="R29" s="9"/>
      <c r="S29" s="48"/>
      <c r="T29" s="21" t="str">
        <f t="shared" si="13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7"/>
        <v/>
      </c>
      <c r="B30" s="19" t="str">
        <f t="shared" si="8"/>
        <v/>
      </c>
      <c r="C30" s="19" t="str">
        <f t="shared" si="9"/>
        <v/>
      </c>
      <c r="D30" s="19" t="str">
        <f t="shared" si="10"/>
        <v/>
      </c>
      <c r="E30" s="5"/>
      <c r="F30" s="10"/>
      <c r="G30" s="11"/>
      <c r="H30" s="11"/>
      <c r="I30" s="49"/>
      <c r="J30" s="22" t="str">
        <f t="shared" si="11"/>
        <v/>
      </c>
      <c r="K30" s="10"/>
      <c r="L30" s="11"/>
      <c r="M30" s="11"/>
      <c r="N30" s="49"/>
      <c r="O30" s="22" t="str">
        <f t="shared" si="12"/>
        <v/>
      </c>
      <c r="P30" s="10"/>
      <c r="Q30" s="11"/>
      <c r="R30" s="11"/>
      <c r="S30" s="49"/>
      <c r="T30" s="22" t="str">
        <f t="shared" si="13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F44533E-2262-4410-ADE1-EB40F168D527}">
      <formula1>$U$2:$W$2</formula1>
    </dataValidation>
    <dataValidation type="list" showInputMessage="1" showErrorMessage="1" sqref="K4:K30 P4:P30 F4:F30" xr:uid="{402CDF3A-D5BF-4AEC-9EF0-2BB4E64D994E}">
      <formula1>"ロン,ツモ,放銃,ツモ支払,流局,チョンボ"</formula1>
    </dataValidation>
    <dataValidation type="list" allowBlank="1" showInputMessage="1" sqref="F1:T1" xr:uid="{2B5E8161-DF67-46B9-AEE5-D113A1548936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2019-07-03T02:51:33Z</dcterms:modified>
</cp:coreProperties>
</file>