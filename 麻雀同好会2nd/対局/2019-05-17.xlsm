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F9E71DBB-B5E6-4BED-BD50-5A67C4C1AC4E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5" r:id="rId4"/>
    <sheet name="Sheet5" sheetId="22" r:id="rId5"/>
    <sheet name="Sheet6" sheetId="23" r:id="rId6"/>
    <sheet name="Sheet7" sheetId="24" r:id="rId7"/>
    <sheet name="役一覧" sheetId="15" state="hidden" r:id="rId8"/>
    <sheet name="点数表(親ロン)" sheetId="4" state="hidden" r:id="rId9"/>
    <sheet name="点数表(親ツモ)" sheetId="9" state="hidden" r:id="rId10"/>
    <sheet name="点数表(子→親)" sheetId="7" state="hidden" r:id="rId11"/>
    <sheet name="点数表(子ロン)" sheetId="3" state="hidden" r:id="rId12"/>
    <sheet name="点数表(子ツモ)" sheetId="10" state="hidden" r:id="rId13"/>
    <sheet name="点数表(子→子)" sheetId="5" state="hidden" r:id="rId14"/>
    <sheet name="点数表(親→子)" sheetId="6" state="hidden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5" l="1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U28" i="25"/>
  <c r="T28" i="25"/>
  <c r="W28" i="25" s="1"/>
  <c r="O28" i="25"/>
  <c r="V28" i="25" s="1"/>
  <c r="J28" i="25"/>
  <c r="D28" i="25"/>
  <c r="C28" i="25"/>
  <c r="B28" i="25"/>
  <c r="A28" i="25"/>
  <c r="W27" i="25"/>
  <c r="V27" i="25"/>
  <c r="U27" i="25"/>
  <c r="T27" i="25"/>
  <c r="O27" i="25"/>
  <c r="J27" i="25"/>
  <c r="D27" i="25"/>
  <c r="C27" i="25"/>
  <c r="B27" i="25"/>
  <c r="A27" i="25"/>
  <c r="W26" i="25"/>
  <c r="T26" i="25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U24" i="25"/>
  <c r="T24" i="25"/>
  <c r="W24" i="25" s="1"/>
  <c r="O24" i="25"/>
  <c r="V24" i="25" s="1"/>
  <c r="J24" i="25"/>
  <c r="D24" i="25"/>
  <c r="C24" i="25"/>
  <c r="B24" i="25"/>
  <c r="A24" i="25"/>
  <c r="W23" i="25"/>
  <c r="V23" i="25"/>
  <c r="U23" i="25"/>
  <c r="T23" i="25"/>
  <c r="O23" i="25"/>
  <c r="J23" i="25"/>
  <c r="D23" i="25"/>
  <c r="C23" i="25"/>
  <c r="B23" i="25"/>
  <c r="A23" i="25"/>
  <c r="W22" i="25"/>
  <c r="T22" i="25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U20" i="25"/>
  <c r="T20" i="25"/>
  <c r="W20" i="25" s="1"/>
  <c r="O20" i="25"/>
  <c r="V20" i="25" s="1"/>
  <c r="J20" i="25"/>
  <c r="D20" i="25"/>
  <c r="C20" i="25"/>
  <c r="D19" i="25"/>
  <c r="C19" i="25"/>
  <c r="D18" i="25"/>
  <c r="C18" i="25"/>
  <c r="D17" i="25"/>
  <c r="C17" i="25"/>
  <c r="D16" i="25"/>
  <c r="C16" i="25"/>
  <c r="D15" i="25"/>
  <c r="C15" i="25"/>
  <c r="D14" i="25"/>
  <c r="D13" i="25"/>
  <c r="D12" i="25"/>
  <c r="C12" i="25"/>
  <c r="C13" i="25" s="1"/>
  <c r="C14" i="25" s="1"/>
  <c r="D11" i="25"/>
  <c r="C11" i="25"/>
  <c r="D10" i="25"/>
  <c r="C10" i="25"/>
  <c r="D8" i="25"/>
  <c r="D9" i="25" s="1"/>
  <c r="D7" i="25"/>
  <c r="D6" i="25"/>
  <c r="T5" i="25"/>
  <c r="O5" i="25"/>
  <c r="D5" i="25"/>
  <c r="C5" i="25"/>
  <c r="C6" i="25" s="1"/>
  <c r="C7" i="25" s="1"/>
  <c r="C8" i="25" s="1"/>
  <c r="C9" i="25" s="1"/>
  <c r="B5" i="25"/>
  <c r="B6" i="25" s="1"/>
  <c r="A5" i="25"/>
  <c r="W4" i="25"/>
  <c r="V4" i="25"/>
  <c r="T4" i="25"/>
  <c r="O4" i="25"/>
  <c r="J4" i="25"/>
  <c r="U4" i="25" s="1"/>
  <c r="W3" i="25"/>
  <c r="V3" i="25"/>
  <c r="U3" i="25"/>
  <c r="W2" i="25"/>
  <c r="V2" i="25"/>
  <c r="U2" i="25"/>
  <c r="BO1" i="25"/>
  <c r="AT1" i="25"/>
  <c r="Y1" i="25"/>
  <c r="W30" i="24"/>
  <c r="V30" i="24"/>
  <c r="U30" i="24"/>
  <c r="T30" i="24"/>
  <c r="O30" i="24"/>
  <c r="J30" i="24"/>
  <c r="D30" i="24"/>
  <c r="C30" i="24"/>
  <c r="B30" i="24"/>
  <c r="A30" i="24"/>
  <c r="W29" i="24"/>
  <c r="T29" i="24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V27" i="24"/>
  <c r="U27" i="24"/>
  <c r="T27" i="24"/>
  <c r="W27" i="24" s="1"/>
  <c r="O27" i="24"/>
  <c r="J27" i="24"/>
  <c r="D27" i="24"/>
  <c r="C27" i="24"/>
  <c r="B27" i="24"/>
  <c r="A27" i="24"/>
  <c r="W26" i="24"/>
  <c r="V26" i="24"/>
  <c r="U26" i="24"/>
  <c r="T26" i="24"/>
  <c r="O26" i="24"/>
  <c r="J26" i="24"/>
  <c r="D26" i="24"/>
  <c r="C26" i="24"/>
  <c r="B26" i="24"/>
  <c r="A26" i="24"/>
  <c r="W25" i="24"/>
  <c r="T25" i="24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V23" i="24"/>
  <c r="U23" i="24"/>
  <c r="T23" i="24"/>
  <c r="W23" i="24" s="1"/>
  <c r="O23" i="24"/>
  <c r="J23" i="24"/>
  <c r="D23" i="24"/>
  <c r="C23" i="24"/>
  <c r="B23" i="24"/>
  <c r="A23" i="24"/>
  <c r="W22" i="24"/>
  <c r="V22" i="24"/>
  <c r="U22" i="24"/>
  <c r="T22" i="24"/>
  <c r="O22" i="24"/>
  <c r="J22" i="24"/>
  <c r="D22" i="24"/>
  <c r="C22" i="24"/>
  <c r="B22" i="24"/>
  <c r="A22" i="24"/>
  <c r="W21" i="24"/>
  <c r="T21" i="24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V19" i="24"/>
  <c r="U19" i="24"/>
  <c r="T19" i="24"/>
  <c r="W19" i="24" s="1"/>
  <c r="O19" i="24"/>
  <c r="J19" i="24"/>
  <c r="D19" i="24"/>
  <c r="C19" i="24"/>
  <c r="B19" i="24"/>
  <c r="A19" i="24"/>
  <c r="W18" i="24"/>
  <c r="V18" i="24"/>
  <c r="U18" i="24"/>
  <c r="T18" i="24"/>
  <c r="O18" i="24"/>
  <c r="J18" i="24"/>
  <c r="D18" i="24"/>
  <c r="C18" i="24"/>
  <c r="B18" i="24"/>
  <c r="A18" i="24"/>
  <c r="W17" i="24"/>
  <c r="T17" i="24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U15" i="24"/>
  <c r="T15" i="24"/>
  <c r="W15" i="24" s="1"/>
  <c r="O15" i="24"/>
  <c r="V15" i="24" s="1"/>
  <c r="J15" i="24"/>
  <c r="D15" i="24"/>
  <c r="C15" i="24"/>
  <c r="B15" i="24"/>
  <c r="A15" i="24"/>
  <c r="W14" i="24"/>
  <c r="V14" i="24"/>
  <c r="U14" i="24"/>
  <c r="T14" i="24"/>
  <c r="O14" i="24"/>
  <c r="J14" i="24"/>
  <c r="D14" i="24"/>
  <c r="C14" i="24"/>
  <c r="B14" i="24"/>
  <c r="A14" i="24"/>
  <c r="W13" i="24"/>
  <c r="T13" i="24"/>
  <c r="O13" i="24"/>
  <c r="V13" i="24" s="1"/>
  <c r="J13" i="24"/>
  <c r="U13" i="24" s="1"/>
  <c r="D13" i="24"/>
  <c r="C13" i="24"/>
  <c r="B13" i="24"/>
  <c r="A13" i="24"/>
  <c r="T12" i="24"/>
  <c r="W12" i="24" s="1"/>
  <c r="O12" i="24"/>
  <c r="V12" i="24" s="1"/>
  <c r="J12" i="24"/>
  <c r="U12" i="24" s="1"/>
  <c r="D12" i="24"/>
  <c r="C12" i="24"/>
  <c r="B12" i="24"/>
  <c r="A12" i="24"/>
  <c r="U11" i="24"/>
  <c r="T11" i="24"/>
  <c r="W11" i="24" s="1"/>
  <c r="O11" i="24"/>
  <c r="V11" i="24" s="1"/>
  <c r="J11" i="24"/>
  <c r="D11" i="24"/>
  <c r="C11" i="24"/>
  <c r="B11" i="24"/>
  <c r="A11" i="24"/>
  <c r="D10" i="24"/>
  <c r="D9" i="24"/>
  <c r="C9" i="24"/>
  <c r="C10" i="24" s="1"/>
  <c r="D8" i="24"/>
  <c r="D7" i="24"/>
  <c r="B6" i="24"/>
  <c r="B7" i="24" s="1"/>
  <c r="D5" i="24"/>
  <c r="D6" i="24" s="1"/>
  <c r="C5" i="24"/>
  <c r="C6" i="24" s="1"/>
  <c r="C7" i="24" s="1"/>
  <c r="C8" i="24" s="1"/>
  <c r="B5" i="24"/>
  <c r="T4" i="24"/>
  <c r="T5" i="24" s="1"/>
  <c r="O4" i="24"/>
  <c r="V4" i="24" s="1"/>
  <c r="J4" i="24"/>
  <c r="J5" i="24" s="1"/>
  <c r="W3" i="24"/>
  <c r="V3" i="24"/>
  <c r="U3" i="24"/>
  <c r="W2" i="24"/>
  <c r="V2" i="24"/>
  <c r="U2" i="24"/>
  <c r="BO1" i="24"/>
  <c r="AT1" i="24"/>
  <c r="Y1" i="24"/>
  <c r="W30" i="23"/>
  <c r="T30" i="23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V28" i="23"/>
  <c r="U28" i="23"/>
  <c r="T28" i="23"/>
  <c r="W28" i="23" s="1"/>
  <c r="O28" i="23"/>
  <c r="J28" i="23"/>
  <c r="D28" i="23"/>
  <c r="C28" i="23"/>
  <c r="B28" i="23"/>
  <c r="A28" i="23"/>
  <c r="W27" i="23"/>
  <c r="V27" i="23"/>
  <c r="U27" i="23"/>
  <c r="T27" i="23"/>
  <c r="O27" i="23"/>
  <c r="J27" i="23"/>
  <c r="D27" i="23"/>
  <c r="C27" i="23"/>
  <c r="B27" i="23"/>
  <c r="A27" i="23"/>
  <c r="W26" i="23"/>
  <c r="T26" i="23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V24" i="23"/>
  <c r="U24" i="23"/>
  <c r="T24" i="23"/>
  <c r="W24" i="23" s="1"/>
  <c r="O24" i="23"/>
  <c r="J24" i="23"/>
  <c r="D24" i="23"/>
  <c r="C24" i="23"/>
  <c r="B24" i="23"/>
  <c r="A24" i="23"/>
  <c r="W23" i="23"/>
  <c r="V23" i="23"/>
  <c r="U23" i="23"/>
  <c r="T23" i="23"/>
  <c r="O23" i="23"/>
  <c r="J23" i="23"/>
  <c r="D23" i="23"/>
  <c r="C23" i="23"/>
  <c r="B23" i="23"/>
  <c r="A23" i="23"/>
  <c r="W22" i="23"/>
  <c r="T22" i="23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V20" i="23"/>
  <c r="U20" i="23"/>
  <c r="T20" i="23"/>
  <c r="W20" i="23" s="1"/>
  <c r="O20" i="23"/>
  <c r="J20" i="23"/>
  <c r="D20" i="23"/>
  <c r="C20" i="23"/>
  <c r="B20" i="23"/>
  <c r="A20" i="23"/>
  <c r="W19" i="23"/>
  <c r="V19" i="23"/>
  <c r="U19" i="23"/>
  <c r="T19" i="23"/>
  <c r="O19" i="23"/>
  <c r="J19" i="23"/>
  <c r="D19" i="23"/>
  <c r="C19" i="23"/>
  <c r="B19" i="23"/>
  <c r="A19" i="23"/>
  <c r="W18" i="23"/>
  <c r="T18" i="23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V16" i="23"/>
  <c r="U16" i="23"/>
  <c r="T16" i="23"/>
  <c r="W16" i="23" s="1"/>
  <c r="O16" i="23"/>
  <c r="J16" i="23"/>
  <c r="D16" i="23"/>
  <c r="C16" i="23"/>
  <c r="B16" i="23"/>
  <c r="A16" i="23"/>
  <c r="W15" i="23"/>
  <c r="V15" i="23"/>
  <c r="U15" i="23"/>
  <c r="T15" i="23"/>
  <c r="O15" i="23"/>
  <c r="J15" i="23"/>
  <c r="D15" i="23"/>
  <c r="C15" i="23"/>
  <c r="B15" i="23"/>
  <c r="A15" i="23"/>
  <c r="W14" i="23"/>
  <c r="T14" i="23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V12" i="23"/>
  <c r="U12" i="23"/>
  <c r="T12" i="23"/>
  <c r="W12" i="23" s="1"/>
  <c r="O12" i="23"/>
  <c r="J12" i="23"/>
  <c r="D12" i="23"/>
  <c r="C12" i="23"/>
  <c r="B12" i="23"/>
  <c r="A12" i="23"/>
  <c r="D11" i="23"/>
  <c r="C11" i="23"/>
  <c r="D10" i="23"/>
  <c r="C10" i="23"/>
  <c r="D9" i="23"/>
  <c r="C9" i="23"/>
  <c r="D8" i="23"/>
  <c r="C8" i="23"/>
  <c r="D7" i="23"/>
  <c r="C7" i="23"/>
  <c r="B7" i="23"/>
  <c r="B8" i="23" s="1"/>
  <c r="J6" i="23"/>
  <c r="D6" i="23"/>
  <c r="C6" i="23"/>
  <c r="B6" i="23"/>
  <c r="A6" i="23" s="1"/>
  <c r="T5" i="23"/>
  <c r="W5" i="23" s="1"/>
  <c r="O5" i="23"/>
  <c r="V5" i="23" s="1"/>
  <c r="J5" i="23"/>
  <c r="U5" i="23" s="1"/>
  <c r="D5" i="23"/>
  <c r="C5" i="23"/>
  <c r="B5" i="23"/>
  <c r="A5" i="23" s="1"/>
  <c r="V4" i="23"/>
  <c r="U4" i="23"/>
  <c r="T4" i="23"/>
  <c r="W4" i="23" s="1"/>
  <c r="O4" i="23"/>
  <c r="J4" i="23"/>
  <c r="W3" i="23"/>
  <c r="V3" i="23"/>
  <c r="U3" i="23"/>
  <c r="W2" i="23"/>
  <c r="V2" i="23"/>
  <c r="U2" i="23"/>
  <c r="BO1" i="23"/>
  <c r="AT1" i="23"/>
  <c r="Y1" i="23"/>
  <c r="U30" i="22"/>
  <c r="T30" i="22"/>
  <c r="W30" i="22" s="1"/>
  <c r="O30" i="22"/>
  <c r="V30" i="22" s="1"/>
  <c r="J30" i="22"/>
  <c r="D30" i="22"/>
  <c r="C30" i="22"/>
  <c r="B30" i="22"/>
  <c r="A30" i="22"/>
  <c r="W29" i="22"/>
  <c r="V29" i="22"/>
  <c r="U29" i="22"/>
  <c r="T29" i="22"/>
  <c r="O29" i="22"/>
  <c r="J29" i="22"/>
  <c r="D29" i="22"/>
  <c r="C29" i="22"/>
  <c r="B29" i="22"/>
  <c r="A29" i="22"/>
  <c r="W28" i="22"/>
  <c r="V28" i="22"/>
  <c r="T28" i="22"/>
  <c r="O28" i="22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U26" i="22"/>
  <c r="T26" i="22"/>
  <c r="W26" i="22" s="1"/>
  <c r="O26" i="22"/>
  <c r="V26" i="22" s="1"/>
  <c r="J26" i="22"/>
  <c r="D26" i="22"/>
  <c r="C26" i="22"/>
  <c r="B26" i="22"/>
  <c r="A26" i="22"/>
  <c r="W25" i="22"/>
  <c r="V25" i="22"/>
  <c r="U25" i="22"/>
  <c r="T25" i="22"/>
  <c r="O25" i="22"/>
  <c r="J25" i="22"/>
  <c r="D25" i="22"/>
  <c r="C25" i="22"/>
  <c r="B25" i="22"/>
  <c r="A25" i="22"/>
  <c r="W24" i="22"/>
  <c r="V24" i="22"/>
  <c r="T24" i="22"/>
  <c r="O24" i="22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U22" i="22"/>
  <c r="T22" i="22"/>
  <c r="W22" i="22" s="1"/>
  <c r="O22" i="22"/>
  <c r="V22" i="22" s="1"/>
  <c r="J22" i="22"/>
  <c r="D22" i="22"/>
  <c r="C22" i="22"/>
  <c r="B22" i="22"/>
  <c r="A22" i="22"/>
  <c r="W21" i="22"/>
  <c r="V21" i="22"/>
  <c r="U21" i="22"/>
  <c r="T21" i="22"/>
  <c r="O21" i="22"/>
  <c r="J21" i="22"/>
  <c r="D21" i="22"/>
  <c r="C21" i="22"/>
  <c r="B21" i="22"/>
  <c r="A21" i="22"/>
  <c r="W20" i="22"/>
  <c r="V20" i="22"/>
  <c r="T20" i="22"/>
  <c r="O20" i="22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U18" i="22"/>
  <c r="T18" i="22"/>
  <c r="W18" i="22" s="1"/>
  <c r="O18" i="22"/>
  <c r="V18" i="22" s="1"/>
  <c r="J18" i="22"/>
  <c r="D18" i="22"/>
  <c r="C18" i="22"/>
  <c r="B18" i="22"/>
  <c r="A18" i="22"/>
  <c r="W17" i="22"/>
  <c r="V17" i="22"/>
  <c r="U17" i="22"/>
  <c r="T17" i="22"/>
  <c r="O17" i="22"/>
  <c r="J17" i="22"/>
  <c r="D17" i="22"/>
  <c r="C17" i="22"/>
  <c r="B17" i="22"/>
  <c r="A17" i="22"/>
  <c r="W16" i="22"/>
  <c r="V16" i="22"/>
  <c r="T16" i="22"/>
  <c r="O16" i="22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U14" i="22"/>
  <c r="T14" i="22"/>
  <c r="W14" i="22" s="1"/>
  <c r="O14" i="22"/>
  <c r="V14" i="22" s="1"/>
  <c r="J14" i="22"/>
  <c r="D14" i="22"/>
  <c r="C14" i="22"/>
  <c r="B14" i="22"/>
  <c r="A14" i="22"/>
  <c r="W13" i="22"/>
  <c r="V13" i="22"/>
  <c r="U13" i="22"/>
  <c r="T13" i="22"/>
  <c r="O13" i="22"/>
  <c r="J13" i="22"/>
  <c r="D13" i="22"/>
  <c r="C13" i="22"/>
  <c r="B13" i="22"/>
  <c r="A13" i="22"/>
  <c r="W12" i="22"/>
  <c r="V12" i="22"/>
  <c r="T12" i="22"/>
  <c r="O12" i="22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U10" i="22"/>
  <c r="T10" i="22"/>
  <c r="W10" i="22" s="1"/>
  <c r="O10" i="22"/>
  <c r="V10" i="22" s="1"/>
  <c r="J10" i="22"/>
  <c r="D10" i="22"/>
  <c r="C10" i="22"/>
  <c r="B10" i="22"/>
  <c r="A10" i="22"/>
  <c r="W9" i="22"/>
  <c r="V9" i="22"/>
  <c r="U9" i="22"/>
  <c r="T9" i="22"/>
  <c r="O9" i="22"/>
  <c r="J9" i="22"/>
  <c r="D9" i="22"/>
  <c r="C9" i="22"/>
  <c r="B9" i="22"/>
  <c r="A9" i="22"/>
  <c r="D8" i="22"/>
  <c r="C8" i="22"/>
  <c r="D7" i="22"/>
  <c r="C7" i="22"/>
  <c r="T6" i="22"/>
  <c r="O6" i="22"/>
  <c r="O7" i="22" s="1"/>
  <c r="D6" i="22"/>
  <c r="C6" i="22"/>
  <c r="T5" i="22"/>
  <c r="O5" i="22"/>
  <c r="D5" i="22"/>
  <c r="C5" i="22"/>
  <c r="B5" i="22"/>
  <c r="B6" i="22" s="1"/>
  <c r="A5" i="22"/>
  <c r="W4" i="22"/>
  <c r="T4" i="22"/>
  <c r="O4" i="22"/>
  <c r="J4" i="22"/>
  <c r="J5" i="22" s="1"/>
  <c r="W3" i="22"/>
  <c r="V3" i="22"/>
  <c r="U3" i="22"/>
  <c r="W2" i="22"/>
  <c r="V2" i="22"/>
  <c r="U2" i="22"/>
  <c r="BO1" i="22"/>
  <c r="AT1" i="22"/>
  <c r="Y1" i="22"/>
  <c r="B7" i="22" l="1"/>
  <c r="B9" i="23"/>
  <c r="U5" i="22"/>
  <c r="J6" i="22"/>
  <c r="V5" i="22"/>
  <c r="W5" i="22"/>
  <c r="B8" i="24"/>
  <c r="V5" i="25"/>
  <c r="W5" i="25"/>
  <c r="J6" i="24"/>
  <c r="U5" i="24"/>
  <c r="A6" i="25"/>
  <c r="B7" i="25"/>
  <c r="A7" i="25"/>
  <c r="O8" i="22"/>
  <c r="W5" i="24"/>
  <c r="T6" i="24"/>
  <c r="A6" i="22"/>
  <c r="A7" i="22" s="1"/>
  <c r="U4" i="22"/>
  <c r="W4" i="24"/>
  <c r="J5" i="25"/>
  <c r="V4" i="22"/>
  <c r="A5" i="24"/>
  <c r="A6" i="24" s="1"/>
  <c r="A7" i="24" s="1"/>
  <c r="A7" i="23"/>
  <c r="A8" i="23" s="1"/>
  <c r="O6" i="25"/>
  <c r="T6" i="25"/>
  <c r="T7" i="22"/>
  <c r="O6" i="23"/>
  <c r="T6" i="23"/>
  <c r="J7" i="23"/>
  <c r="U4" i="24"/>
  <c r="O5" i="24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2" i="21"/>
  <c r="C12" i="21"/>
  <c r="D11" i="21"/>
  <c r="D10" i="21"/>
  <c r="C10" i="21"/>
  <c r="C11" i="21" s="1"/>
  <c r="D9" i="21"/>
  <c r="C9" i="21"/>
  <c r="D8" i="21"/>
  <c r="C8" i="21"/>
  <c r="D7" i="21"/>
  <c r="D6" i="21"/>
  <c r="B6" i="21"/>
  <c r="B7" i="21" s="1"/>
  <c r="D5" i="21"/>
  <c r="C5" i="21"/>
  <c r="C6" i="21" s="1"/>
  <c r="C7" i="21" s="1"/>
  <c r="B5" i="21"/>
  <c r="A5" i="21"/>
  <c r="T4" i="21"/>
  <c r="T5" i="21" s="1"/>
  <c r="O4" i="21"/>
  <c r="J4" i="21"/>
  <c r="W3" i="21"/>
  <c r="V3" i="21"/>
  <c r="U3" i="21"/>
  <c r="W2" i="21"/>
  <c r="V2" i="21"/>
  <c r="U2" i="21"/>
  <c r="BO1" i="21"/>
  <c r="AT1" i="21"/>
  <c r="Y1" i="21"/>
  <c r="A9" i="23" l="1"/>
  <c r="T7" i="24"/>
  <c r="W6" i="23"/>
  <c r="T7" i="23"/>
  <c r="U6" i="24"/>
  <c r="J7" i="24"/>
  <c r="J7" i="22"/>
  <c r="U6" i="22"/>
  <c r="U5" i="25"/>
  <c r="J6" i="25"/>
  <c r="W6" i="22"/>
  <c r="O7" i="23"/>
  <c r="V6" i="23"/>
  <c r="B10" i="23"/>
  <c r="A10" i="23"/>
  <c r="T8" i="22"/>
  <c r="W6" i="25"/>
  <c r="T7" i="25"/>
  <c r="B8" i="25"/>
  <c r="A8" i="25" s="1"/>
  <c r="B9" i="24"/>
  <c r="U7" i="23"/>
  <c r="J8" i="23"/>
  <c r="V5" i="24"/>
  <c r="O6" i="24"/>
  <c r="V6" i="22"/>
  <c r="A8" i="24"/>
  <c r="B8" i="22"/>
  <c r="A8" i="22" s="1"/>
  <c r="V6" i="25"/>
  <c r="O7" i="25"/>
  <c r="U6" i="23"/>
  <c r="A6" i="21"/>
  <c r="V4" i="21"/>
  <c r="W4" i="21"/>
  <c r="B8" i="21"/>
  <c r="A8" i="21" s="1"/>
  <c r="T6" i="21"/>
  <c r="J5" i="21"/>
  <c r="A7" i="21"/>
  <c r="U4" i="21"/>
  <c r="O5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O13" i="20"/>
  <c r="J13" i="20"/>
  <c r="U13" i="20" s="1"/>
  <c r="D13" i="20"/>
  <c r="C13" i="20"/>
  <c r="B13" i="20"/>
  <c r="A13" i="20" s="1"/>
  <c r="T12" i="20"/>
  <c r="O12" i="20"/>
  <c r="J12" i="20"/>
  <c r="D12" i="20"/>
  <c r="C12" i="20"/>
  <c r="B12" i="20"/>
  <c r="A12" i="20" s="1"/>
  <c r="T11" i="20"/>
  <c r="O11" i="20"/>
  <c r="J11" i="20"/>
  <c r="D11" i="20"/>
  <c r="C11" i="20"/>
  <c r="B11" i="20"/>
  <c r="A11" i="20" s="1"/>
  <c r="T10" i="20"/>
  <c r="O10" i="20"/>
  <c r="J10" i="20"/>
  <c r="U10" i="20" s="1"/>
  <c r="D10" i="20"/>
  <c r="C10" i="20"/>
  <c r="B10" i="20"/>
  <c r="A10" i="20" s="1"/>
  <c r="D9" i="20"/>
  <c r="C9" i="20"/>
  <c r="D8" i="20"/>
  <c r="D7" i="20"/>
  <c r="C7" i="20"/>
  <c r="C8" i="20" s="1"/>
  <c r="B7" i="20"/>
  <c r="D6" i="20"/>
  <c r="C6" i="20"/>
  <c r="B6" i="20"/>
  <c r="A6" i="20" s="1"/>
  <c r="T5" i="20"/>
  <c r="O5" i="20"/>
  <c r="D5" i="20"/>
  <c r="C5" i="20"/>
  <c r="B5" i="20"/>
  <c r="A5" i="20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U7" i="22" l="1"/>
  <c r="J8" i="22"/>
  <c r="V7" i="22"/>
  <c r="B10" i="24"/>
  <c r="B11" i="23"/>
  <c r="A11" i="23" s="1"/>
  <c r="U7" i="24"/>
  <c r="J8" i="24"/>
  <c r="B9" i="25"/>
  <c r="A9" i="25"/>
  <c r="V6" i="24"/>
  <c r="O7" i="24"/>
  <c r="W7" i="25"/>
  <c r="T8" i="25"/>
  <c r="V7" i="23"/>
  <c r="O8" i="23"/>
  <c r="W7" i="23"/>
  <c r="T8" i="23"/>
  <c r="O8" i="25"/>
  <c r="V7" i="25"/>
  <c r="U8" i="23"/>
  <c r="J9" i="23"/>
  <c r="W7" i="22"/>
  <c r="U6" i="25"/>
  <c r="J7" i="25"/>
  <c r="T8" i="24"/>
  <c r="W8" i="22"/>
  <c r="W6" i="24"/>
  <c r="A9" i="24"/>
  <c r="A10" i="24" s="1"/>
  <c r="V5" i="21"/>
  <c r="O6" i="21"/>
  <c r="U5" i="21"/>
  <c r="J6" i="21"/>
  <c r="T7" i="21"/>
  <c r="W5" i="21"/>
  <c r="B9" i="21"/>
  <c r="A9" i="21" s="1"/>
  <c r="W13" i="20"/>
  <c r="V13" i="20"/>
  <c r="W12" i="20"/>
  <c r="V12" i="20"/>
  <c r="U12" i="20"/>
  <c r="U11" i="20"/>
  <c r="V11" i="20"/>
  <c r="W11" i="20"/>
  <c r="V10" i="20"/>
  <c r="W10" i="20"/>
  <c r="W4" i="20"/>
  <c r="V4" i="20"/>
  <c r="U4" i="20"/>
  <c r="V5" i="20"/>
  <c r="W5" i="20"/>
  <c r="J6" i="20"/>
  <c r="U5" i="20"/>
  <c r="A7" i="20"/>
  <c r="O6" i="20"/>
  <c r="B8" i="20"/>
  <c r="A8" i="20" s="1"/>
  <c r="T6" i="20"/>
  <c r="W8" i="25" l="1"/>
  <c r="T9" i="25"/>
  <c r="V7" i="24"/>
  <c r="O8" i="24"/>
  <c r="J10" i="23"/>
  <c r="W7" i="24"/>
  <c r="T9" i="24"/>
  <c r="W8" i="24"/>
  <c r="U7" i="25"/>
  <c r="J8" i="25"/>
  <c r="B10" i="25"/>
  <c r="A10" i="25"/>
  <c r="U8" i="22"/>
  <c r="V8" i="22"/>
  <c r="V8" i="25"/>
  <c r="O9" i="25"/>
  <c r="W8" i="23"/>
  <c r="T9" i="23"/>
  <c r="V8" i="23"/>
  <c r="O9" i="23"/>
  <c r="U8" i="24"/>
  <c r="J9" i="24"/>
  <c r="B10" i="21"/>
  <c r="A10" i="21" s="1"/>
  <c r="U6" i="21"/>
  <c r="J7" i="21"/>
  <c r="O7" i="21"/>
  <c r="V6" i="21"/>
  <c r="W7" i="21"/>
  <c r="T8" i="21"/>
  <c r="W6" i="21"/>
  <c r="B9" i="20"/>
  <c r="A9" i="20" s="1"/>
  <c r="U6" i="20"/>
  <c r="J7" i="20"/>
  <c r="V6" i="20"/>
  <c r="O7" i="20"/>
  <c r="W6" i="20"/>
  <c r="T7" i="20"/>
  <c r="O10" i="25" l="1"/>
  <c r="T10" i="24"/>
  <c r="J11" i="23"/>
  <c r="V9" i="23"/>
  <c r="O10" i="23"/>
  <c r="B11" i="25"/>
  <c r="A11" i="25" s="1"/>
  <c r="V8" i="24"/>
  <c r="O9" i="24"/>
  <c r="W9" i="23"/>
  <c r="T10" i="23"/>
  <c r="U8" i="25"/>
  <c r="J9" i="25"/>
  <c r="J10" i="24"/>
  <c r="U9" i="23"/>
  <c r="T10" i="25"/>
  <c r="T9" i="21"/>
  <c r="O8" i="21"/>
  <c r="V7" i="21"/>
  <c r="U7" i="21"/>
  <c r="J8" i="21"/>
  <c r="B11" i="21"/>
  <c r="W7" i="20"/>
  <c r="T8" i="20"/>
  <c r="U7" i="20"/>
  <c r="J8" i="20"/>
  <c r="O8" i="20"/>
  <c r="V7" i="20"/>
  <c r="O11" i="23" l="1"/>
  <c r="V11" i="23" s="1"/>
  <c r="V10" i="23"/>
  <c r="U9" i="25"/>
  <c r="J10" i="25"/>
  <c r="U11" i="23"/>
  <c r="W10" i="25"/>
  <c r="T11" i="25"/>
  <c r="U10" i="23"/>
  <c r="W10" i="23"/>
  <c r="T11" i="23"/>
  <c r="W11" i="23" s="1"/>
  <c r="V9" i="24"/>
  <c r="O10" i="24"/>
  <c r="V10" i="24" s="1"/>
  <c r="W10" i="24"/>
  <c r="W9" i="24"/>
  <c r="W9" i="25"/>
  <c r="U9" i="24"/>
  <c r="V10" i="25"/>
  <c r="O11" i="25"/>
  <c r="U10" i="24"/>
  <c r="B12" i="25"/>
  <c r="A12" i="25" s="1"/>
  <c r="V9" i="25"/>
  <c r="B12" i="21"/>
  <c r="U8" i="21"/>
  <c r="J9" i="21"/>
  <c r="W9" i="21" s="1"/>
  <c r="A11" i="21"/>
  <c r="V8" i="21"/>
  <c r="O9" i="21"/>
  <c r="T10" i="21"/>
  <c r="W8" i="21"/>
  <c r="U8" i="20"/>
  <c r="J9" i="20"/>
  <c r="W8" i="20"/>
  <c r="T9" i="20"/>
  <c r="V8" i="20"/>
  <c r="O9" i="20"/>
  <c r="U10" i="25" l="1"/>
  <c r="J11" i="25"/>
  <c r="O12" i="25"/>
  <c r="W11" i="25"/>
  <c r="T12" i="25"/>
  <c r="B13" i="25"/>
  <c r="A13" i="25" s="1"/>
  <c r="B13" i="21"/>
  <c r="A13" i="21" s="1"/>
  <c r="U9" i="21"/>
  <c r="J10" i="21"/>
  <c r="A12" i="21"/>
  <c r="T11" i="21"/>
  <c r="V9" i="21"/>
  <c r="O10" i="21"/>
  <c r="W10" i="21" s="1"/>
  <c r="V9" i="20"/>
  <c r="W9" i="20"/>
  <c r="U9" i="20"/>
  <c r="W12" i="25" l="1"/>
  <c r="T13" i="25"/>
  <c r="V12" i="25"/>
  <c r="O13" i="25"/>
  <c r="U11" i="25"/>
  <c r="J12" i="25"/>
  <c r="B14" i="25"/>
  <c r="A14" i="25"/>
  <c r="V11" i="25"/>
  <c r="W11" i="21"/>
  <c r="T12" i="21"/>
  <c r="U10" i="21"/>
  <c r="J11" i="21"/>
  <c r="O11" i="21"/>
  <c r="V10" i="21"/>
  <c r="B15" i="25" l="1"/>
  <c r="U12" i="25"/>
  <c r="J13" i="25"/>
  <c r="V13" i="25"/>
  <c r="O14" i="25"/>
  <c r="W13" i="25"/>
  <c r="T14" i="25"/>
  <c r="W12" i="21"/>
  <c r="T13" i="21"/>
  <c r="O12" i="21"/>
  <c r="V11" i="21"/>
  <c r="U11" i="21"/>
  <c r="J12" i="21"/>
  <c r="B16" i="25" l="1"/>
  <c r="A16" i="25" s="1"/>
  <c r="T15" i="25"/>
  <c r="O15" i="25"/>
  <c r="U13" i="25"/>
  <c r="J14" i="25"/>
  <c r="A15" i="25"/>
  <c r="U12" i="21"/>
  <c r="J13" i="21"/>
  <c r="U13" i="21" s="1"/>
  <c r="V12" i="21"/>
  <c r="O13" i="21"/>
  <c r="U14" i="25" l="1"/>
  <c r="J15" i="25"/>
  <c r="O16" i="25"/>
  <c r="V15" i="25"/>
  <c r="W15" i="25"/>
  <c r="T16" i="25"/>
  <c r="W14" i="25"/>
  <c r="V14" i="25"/>
  <c r="B17" i="25"/>
  <c r="A17" i="25" s="1"/>
  <c r="W13" i="21"/>
  <c r="V13" i="21"/>
  <c r="T17" i="25" l="1"/>
  <c r="O17" i="25"/>
  <c r="U15" i="25"/>
  <c r="J16" i="25"/>
  <c r="B18" i="25"/>
  <c r="A18" i="25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/>
  <c r="T6" i="19"/>
  <c r="O6" i="19"/>
  <c r="J6" i="19"/>
  <c r="U6" i="19" s="1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16" i="25" l="1"/>
  <c r="J17" i="25"/>
  <c r="V17" i="25"/>
  <c r="O18" i="25"/>
  <c r="V16" i="25"/>
  <c r="W17" i="25"/>
  <c r="T18" i="25"/>
  <c r="B19" i="25"/>
  <c r="W16" i="25"/>
  <c r="V9" i="19"/>
  <c r="W9" i="19"/>
  <c r="U8" i="19"/>
  <c r="V8" i="19"/>
  <c r="W7" i="19"/>
  <c r="U7" i="19"/>
  <c r="V7" i="19"/>
  <c r="V6" i="19"/>
  <c r="W6" i="19"/>
  <c r="U4" i="19"/>
  <c r="V4" i="19"/>
  <c r="W4" i="19"/>
  <c r="J5" i="19"/>
  <c r="O5" i="19"/>
  <c r="T19" i="25" l="1"/>
  <c r="O19" i="25"/>
  <c r="B20" i="25"/>
  <c r="A20" i="25" s="1"/>
  <c r="U17" i="25"/>
  <c r="J18" i="25"/>
  <c r="A19" i="25"/>
  <c r="V5" i="19"/>
  <c r="W5" i="19"/>
  <c r="U5" i="19"/>
  <c r="V19" i="25" l="1"/>
  <c r="U18" i="25"/>
  <c r="J19" i="25"/>
  <c r="U19" i="25" s="1"/>
  <c r="V18" i="25"/>
  <c r="W19" i="25"/>
  <c r="W18" i="25"/>
</calcChain>
</file>

<file path=xl/sharedStrings.xml><?xml version="1.0" encoding="utf-8"?>
<sst xmlns="http://schemas.openxmlformats.org/spreadsheetml/2006/main" count="1211" uniqueCount="160">
  <si>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</si>
  <si>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</si>
  <si>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</si>
  <si>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</si>
  <si>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</si>
  <si>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</si>
  <si>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</si>
  <si>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</si>
  <si>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</si>
  <si>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</si>
  <si>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</si>
  <si>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</si>
  <si>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</si>
  <si>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</si>
  <si>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</si>
  <si>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</si>
  <si>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</si>
  <si>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</si>
  <si>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</si>
  <si>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</si>
  <si>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</si>
  <si>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</si>
  <si>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</si>
  <si>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</si>
  <si>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</si>
  <si>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</si>
  <si>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</si>
  <si>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</si>
  <si>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</si>
  <si>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</si>
  <si>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</si>
  <si>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</si>
  <si>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</si>
  <si>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</si>
  <si>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</si>
  <si>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</si>
  <si>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</si>
  <si>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</si>
  <si>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</si>
  <si>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</si>
  <si>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</si>
  <si>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</si>
  <si>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</si>
  <si>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</si>
  <si>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</si>
  <si>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</si>
  <si>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</si>
  <si>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</si>
  <si>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</si>
  <si>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</si>
  <si>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</si>
  <si>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</si>
  <si>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</si>
  <si>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</si>
  <si>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</si>
  <si>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</si>
  <si>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</si>
  <si>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</si>
  <si>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</si>
  <si>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</si>
  <si>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</si>
  <si>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</si>
  <si>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</si>
  <si>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</si>
  <si>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</si>
  <si>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</si>
  <si>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</si>
  <si>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</si>
  <si>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</si>
  <si>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</si>
  <si>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</si>
  <si>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</si>
  <si>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</si>
  <si>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</si>
  <si>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</si>
  <si>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</si>
  <si>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</si>
  <si>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</si>
  <si>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</si>
  <si>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</si>
  <si>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</si>
  <si>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</si>
  <si>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</si>
  <si>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</si>
  <si>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</si>
  <si>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</si>
  <si>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</si>
  <si>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</si>
  <si>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</si>
  <si>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</si>
  <si>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</si>
  <si>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</si>
  <si>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</si>
  <si>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</si>
  <si>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</si>
  <si>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</si>
  <si>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</si>
  <si>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</si>
  <si>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</si>
  <si>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</si>
  <si>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</si>
  <si>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</si>
  <si>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</si>
  <si>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</si>
  <si>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</si>
  <si>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</si>
  <si>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</si>
  <si>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</si>
  <si>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</si>
  <si>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</si>
  <si>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</si>
  <si>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</si>
  <si>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</si>
  <si>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</si>
  <si>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</si>
  <si>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</si>
  <si>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</si>
  <si>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</si>
  <si>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</si>
  <si>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</si>
  <si>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</si>
  <si>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</si>
  <si>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</si>
  <si>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</si>
  <si>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</si>
  <si>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</si>
  <si>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</si>
  <si>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</si>
  <si>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</si>
  <si>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</si>
  <si>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</si>
  <si>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</si>
  <si>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</si>
  <si>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</si>
  <si>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</si>
  <si>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</si>
  <si>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</si>
  <si>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</si>
  <si>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</si>
  <si>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</si>
  <si>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</si>
  <si>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</si>
  <si>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</si>
  <si>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</si>
  <si>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ロン</t>
  </si>
  <si>
    <t>放銃</t>
  </si>
  <si>
    <t>*</t>
  </si>
  <si>
    <t>01</t>
  </si>
  <si>
    <t>52</t>
  </si>
  <si>
    <t>ツモ支払</t>
  </si>
  <si>
    <t>ツモ</t>
  </si>
  <si>
    <t>02</t>
  </si>
  <si>
    <t>ぱぱ</t>
  </si>
  <si>
    <t>ぱぱ</t>
    <phoneticPr fontId="1"/>
  </si>
  <si>
    <t>まっつん</t>
  </si>
  <si>
    <t>まっつん</t>
    <phoneticPr fontId="1"/>
  </si>
  <si>
    <t>チョンボ</t>
  </si>
  <si>
    <t>流局</t>
    <phoneticPr fontId="1"/>
  </si>
  <si>
    <t>N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</si>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</sst>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ただ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144</v>
      </c>
      <c r="L4" s="9">
        <v>24000</v>
      </c>
      <c r="M4" s="9">
        <v>2000</v>
      </c>
      <c r="N4" s="48">
        <v>0</v>
      </c>
      <c r="O4" s="21">
        <f>IF(COUNTA($F4,$K4,$P4)&gt;0,O3+SUM(L4:N4),"")</f>
        <v>61000</v>
      </c>
      <c r="P4" s="8" t="s">
        <v>145</v>
      </c>
      <c r="Q4" s="9">
        <v>-24000</v>
      </c>
      <c r="R4" s="9">
        <v>-1000</v>
      </c>
      <c r="S4" s="48">
        <v>0</v>
      </c>
      <c r="T4" s="21">
        <f>IF(COUNTA($F4,$K4,$P4)&gt;0,T3+SUM(Q4:S4),"")</f>
        <v>10000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46</v>
      </c>
      <c r="W4" s="55">
        <f>IF($T4="","",ROUND(($T4-$T$3)/1000,1)+(_xlfn.RANK.AVG($T4,($J4,$O4,$T4),1)-2)*20)</f>
        <v>-45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9</v>
      </c>
      <c r="AY4" s="30" t="s">
        <v>146</v>
      </c>
      <c r="AZ4" s="40" t="s">
        <v>147</v>
      </c>
      <c r="BA4" s="41" t="s">
        <v>84</v>
      </c>
      <c r="BB4" s="41" t="s">
        <v>148</v>
      </c>
      <c r="BC4" s="41" t="s">
        <v>148</v>
      </c>
      <c r="BD4" s="41" t="s">
        <v>79</v>
      </c>
      <c r="BE4" s="41" t="s">
        <v>80</v>
      </c>
      <c r="BF4" s="41" t="s">
        <v>80</v>
      </c>
      <c r="BG4" s="41" t="s">
        <v>80</v>
      </c>
      <c r="BH4" s="41" t="s">
        <v>80</v>
      </c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149</v>
      </c>
      <c r="G5" s="9">
        <v>-2000</v>
      </c>
      <c r="H5" s="9">
        <v>-1000</v>
      </c>
      <c r="I5" s="48">
        <v>-500</v>
      </c>
      <c r="J5" s="21">
        <f t="shared" ref="J5:J30" si="2">IF(COUNTA($F5,$K5,$P5)&gt;0,J4+SUM(G5:I5),"")</f>
        <v>30500</v>
      </c>
      <c r="K5" s="8" t="s">
        <v>149</v>
      </c>
      <c r="L5" s="9">
        <v>-3300</v>
      </c>
      <c r="M5" s="9"/>
      <c r="N5" s="48">
        <v>-500</v>
      </c>
      <c r="O5" s="21">
        <f t="shared" ref="O5:O30" si="3">IF(COUNTA($F5,$K5,$P5)&gt;0,O4+SUM(L5:N5),"")</f>
        <v>57200</v>
      </c>
      <c r="P5" s="8" t="s">
        <v>150</v>
      </c>
      <c r="Q5" s="9">
        <v>5300</v>
      </c>
      <c r="R5" s="9">
        <v>1000</v>
      </c>
      <c r="S5" s="48">
        <v>1000</v>
      </c>
      <c r="T5" s="21">
        <f t="shared" ref="T5:T30" si="4">IF(COUNTA($F5,$K5,$P5)&gt;0,T4+SUM(Q5:S5),"")</f>
        <v>17300</v>
      </c>
      <c r="U5" s="53">
        <f>IF($J5="","",ROUND(($J5-$J$3)/1000,1)+(_xlfn.RANK.AVG($J5,($J5,$O5,$T5),1)-2)*20)</f>
        <v>-4.5</v>
      </c>
      <c r="V5" s="54">
        <f>IF($O5="","",ROUND(($O5-$O$3)/1000,1)+(_xlfn.RANK.AVG($O5,($J5,$O5,$T5),1)-2)*20)</f>
        <v>42.2</v>
      </c>
      <c r="W5" s="55">
        <f>IF($T5="","",ROUND(($T5-$T$3)/1000,1)+(_xlfn.RANK.AVG($T5,($J5,$O5,$T5),1)-2)*20)</f>
        <v>-37.700000000000003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20</v>
      </c>
      <c r="BU5" s="40" t="s">
        <v>147</v>
      </c>
      <c r="BV5" s="41" t="s">
        <v>82</v>
      </c>
      <c r="BW5" s="41" t="s">
        <v>83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145</v>
      </c>
      <c r="G6" s="9">
        <v>-24000</v>
      </c>
      <c r="H6" s="9"/>
      <c r="I6" s="48">
        <v>0</v>
      </c>
      <c r="J6" s="21">
        <f t="shared" si="2"/>
        <v>6500</v>
      </c>
      <c r="K6" s="8"/>
      <c r="L6" s="9"/>
      <c r="M6" s="9"/>
      <c r="N6" s="48"/>
      <c r="O6" s="21">
        <f t="shared" si="3"/>
        <v>57200</v>
      </c>
      <c r="P6" s="8" t="s">
        <v>144</v>
      </c>
      <c r="Q6" s="9">
        <v>24000</v>
      </c>
      <c r="R6" s="9"/>
      <c r="S6" s="48">
        <v>0</v>
      </c>
      <c r="T6" s="21">
        <f t="shared" si="4"/>
        <v>41300</v>
      </c>
      <c r="U6" s="53">
        <f>IF($J6="","",ROUND(($J6-$J$3)/1000,1)+(_xlfn.RANK.AVG($J6,($J6,$O6,$T6),1)-2)*20)</f>
        <v>-48.5</v>
      </c>
      <c r="V6" s="54">
        <f>IF($O6="","",ROUND(($O6-$O$3)/1000,1)+(_xlfn.RANK.AVG($O6,($J6,$O6,$T6),1)-2)*20)</f>
        <v>42.2</v>
      </c>
      <c r="W6" s="55">
        <f>IF($T6="","",ROUND(($T6-$T$3)/1000,1)+(_xlfn.RANK.AVG($T6,($J6,$O6,$T6),1)-2)*20)</f>
        <v>6.3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9</v>
      </c>
      <c r="BT6" s="30" t="s">
        <v>146</v>
      </c>
      <c r="BU6" s="40" t="s">
        <v>147</v>
      </c>
      <c r="BV6" s="41" t="s">
        <v>92</v>
      </c>
      <c r="BW6" s="41" t="s">
        <v>104</v>
      </c>
      <c r="BX6" s="41" t="s">
        <v>84</v>
      </c>
      <c r="BY6" s="41" t="s">
        <v>80</v>
      </c>
      <c r="BZ6" s="41" t="s">
        <v>80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142</v>
      </c>
      <c r="F7" s="8" t="s">
        <v>149</v>
      </c>
      <c r="G7" s="9">
        <v>-3900</v>
      </c>
      <c r="H7" s="9">
        <v>-1000</v>
      </c>
      <c r="I7" s="48">
        <v>-500</v>
      </c>
      <c r="J7" s="21">
        <f t="shared" si="2"/>
        <v>1100</v>
      </c>
      <c r="K7" s="8" t="s">
        <v>149</v>
      </c>
      <c r="L7" s="9">
        <v>-3900</v>
      </c>
      <c r="M7" s="9"/>
      <c r="N7" s="48">
        <v>-500</v>
      </c>
      <c r="O7" s="21">
        <f t="shared" si="3"/>
        <v>52800</v>
      </c>
      <c r="P7" s="8" t="s">
        <v>150</v>
      </c>
      <c r="Q7" s="9">
        <v>7800</v>
      </c>
      <c r="R7" s="9">
        <v>1000</v>
      </c>
      <c r="S7" s="48">
        <v>1000</v>
      </c>
      <c r="T7" s="21">
        <f t="shared" si="4"/>
        <v>51100</v>
      </c>
      <c r="U7" s="53">
        <f>IF($J7="","",ROUND(($J7-$J$3)/1000,1)+(_xlfn.RANK.AVG($J7,($J7,$O7,$T7),1)-2)*20)</f>
        <v>-53.9</v>
      </c>
      <c r="V7" s="54">
        <f>IF($O7="","",ROUND(($O7-$O$3)/1000,1)+(_xlfn.RANK.AVG($O7,($J7,$O7,$T7),1)-2)*20)</f>
        <v>37.799999999999997</v>
      </c>
      <c r="W7" s="55">
        <f>IF($T7="","",ROUND(($T7-$T$3)/1000,1)+(_xlfn.RANK.AVG($T7,($J7,$O7,$T7),1)-2)*20)</f>
        <v>16.100000000000001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20</v>
      </c>
      <c r="BU7" s="40" t="s">
        <v>147</v>
      </c>
      <c r="BV7" s="41" t="s">
        <v>83</v>
      </c>
      <c r="BW7" s="41" t="s">
        <v>82</v>
      </c>
      <c r="BX7" s="41" t="s">
        <v>148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142</v>
      </c>
      <c r="F8" s="8"/>
      <c r="G8" s="9"/>
      <c r="H8" s="9"/>
      <c r="I8" s="48"/>
      <c r="J8" s="21">
        <f t="shared" si="2"/>
        <v>1100</v>
      </c>
      <c r="K8" s="8" t="s">
        <v>144</v>
      </c>
      <c r="L8" s="9">
        <v>3900</v>
      </c>
      <c r="M8" s="9">
        <v>1000</v>
      </c>
      <c r="N8" s="48">
        <v>2000</v>
      </c>
      <c r="O8" s="21">
        <f t="shared" si="3"/>
        <v>59700</v>
      </c>
      <c r="P8" s="8" t="s">
        <v>145</v>
      </c>
      <c r="Q8" s="9">
        <v>-3900</v>
      </c>
      <c r="R8" s="9">
        <v>-1000</v>
      </c>
      <c r="S8" s="48">
        <v>-2000</v>
      </c>
      <c r="T8" s="21">
        <f t="shared" si="4"/>
        <v>44200</v>
      </c>
      <c r="U8" s="53">
        <f>IF($J8="","",ROUND(($J8-$J$3)/1000,1)+(_xlfn.RANK.AVG($J8,($J8,$O8,$T8),1)-2)*20)</f>
        <v>-53.9</v>
      </c>
      <c r="V8" s="54">
        <f>IF($O8="","",ROUND(($O8-$O$3)/1000,1)+(_xlfn.RANK.AVG($O8,($J8,$O8,$T8),1)-2)*20)</f>
        <v>44.7</v>
      </c>
      <c r="W8" s="55">
        <f>IF($T8="","",ROUND(($T8-$T$3)/1000,1)+(_xlfn.RANK.AVG($T8,($J8,$O8,$T8),1)-2)*20)</f>
        <v>9.1999999999999993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79</v>
      </c>
      <c r="BA8" s="41" t="s">
        <v>79</v>
      </c>
      <c r="BB8" s="41" t="s">
        <v>86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149</v>
      </c>
      <c r="G9" s="9">
        <v>-5000</v>
      </c>
      <c r="H9" s="9"/>
      <c r="I9" s="48">
        <v>0</v>
      </c>
      <c r="J9" s="21">
        <f t="shared" si="2"/>
        <v>-3900</v>
      </c>
      <c r="K9" s="8" t="s">
        <v>149</v>
      </c>
      <c r="L9" s="9">
        <v>-3000</v>
      </c>
      <c r="M9" s="9"/>
      <c r="N9" s="48">
        <v>0</v>
      </c>
      <c r="O9" s="21">
        <f t="shared" si="3"/>
        <v>56700</v>
      </c>
      <c r="P9" s="8" t="s">
        <v>150</v>
      </c>
      <c r="Q9" s="9">
        <v>8000</v>
      </c>
      <c r="R9" s="9"/>
      <c r="S9" s="48">
        <v>0</v>
      </c>
      <c r="T9" s="21">
        <f t="shared" si="4"/>
        <v>52200</v>
      </c>
      <c r="U9" s="53">
        <f>IF($J9="","",ROUND(($J9-$J$3)/1000,1)+(_xlfn.RANK.AVG($J9,($J9,$O9,$T9),1)-2)*20)</f>
        <v>-58.9</v>
      </c>
      <c r="V9" s="54">
        <f>IF($O9="","",ROUND(($O9-$O$3)/1000,1)+(_xlfn.RANK.AVG($O9,($J9,$O9,$T9),1)-2)*20)</f>
        <v>41.7</v>
      </c>
      <c r="W9" s="55">
        <f>IF($T9="","",ROUND(($T9-$T$3)/1000,1)+(_xlfn.RANK.AVG($T9,($J9,$O9,$T9),1)-2)*20)</f>
        <v>17.2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146</v>
      </c>
      <c r="BU9" s="40" t="s">
        <v>147</v>
      </c>
      <c r="BV9" s="41" t="s">
        <v>82</v>
      </c>
      <c r="BW9" s="41" t="s">
        <v>84</v>
      </c>
      <c r="BX9" s="41" t="s">
        <v>148</v>
      </c>
      <c r="BY9" s="41" t="s">
        <v>80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3D611-D8B9-405E-A6EE-8DF0DE5AA77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ただ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145</v>
      </c>
      <c r="G4" s="9">
        <v>-7700</v>
      </c>
      <c r="H4" s="9"/>
      <c r="I4" s="48">
        <v>0</v>
      </c>
      <c r="J4" s="21">
        <f>IF(COUNTA($F4,$K4,$P4)&gt;0,J3+SUM(G4:I4),"")</f>
        <v>27300</v>
      </c>
      <c r="K4" s="8" t="s">
        <v>144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-27.7</v>
      </c>
      <c r="V4" s="54">
        <f>IF($O4="","",ROUND(($O4-$O$3)/1000,1)+(_xlfn.RANK.AVG($O4,($J4,$O4,$T4),1)-2)*20)</f>
        <v>27.7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147</v>
      </c>
      <c r="BA4" s="41" t="s">
        <v>83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149</v>
      </c>
      <c r="G5" s="9">
        <v>-6000</v>
      </c>
      <c r="H5" s="9"/>
      <c r="I5" s="48">
        <v>0</v>
      </c>
      <c r="J5" s="21">
        <f t="shared" ref="J5:J30" si="2">IF(COUNTA($F5,$K5,$P5)&gt;0,J4+SUM(G5:I5),"")</f>
        <v>21300</v>
      </c>
      <c r="K5" s="8" t="s">
        <v>150</v>
      </c>
      <c r="L5" s="9">
        <v>12000</v>
      </c>
      <c r="M5" s="9"/>
      <c r="N5" s="48">
        <v>0</v>
      </c>
      <c r="O5" s="21">
        <f t="shared" ref="O5:O30" si="3">IF(COUNTA($F5,$K5,$P5)&gt;0,O4+SUM(L5:N5),"")</f>
        <v>54700</v>
      </c>
      <c r="P5" s="8" t="s">
        <v>149</v>
      </c>
      <c r="Q5" s="9">
        <v>-6000</v>
      </c>
      <c r="R5" s="9"/>
      <c r="S5" s="48">
        <v>0</v>
      </c>
      <c r="T5" s="21">
        <f t="shared" ref="T5:T30" si="4">IF(COUNTA($F5,$K5,$P5)&gt;0,T4+SUM(Q5:S5),"")</f>
        <v>29000</v>
      </c>
      <c r="U5" s="53">
        <f>IF($J5="","",ROUND(($J5-$J$3)/1000,1)+(_xlfn.RANK.AVG($J5,($J5,$O5,$T5),1)-2)*20)</f>
        <v>-33.700000000000003</v>
      </c>
      <c r="V5" s="54">
        <f>IF($O5="","",ROUND(($O5-$O$3)/1000,1)+(_xlfn.RANK.AVG($O5,($J5,$O5,$T5),1)-2)*20)</f>
        <v>39.700000000000003</v>
      </c>
      <c r="W5" s="55">
        <f>IF($T5="","",ROUND(($T5-$T$3)/1000,1)+(_xlfn.RANK.AVG($T5,($J5,$O5,$T5),1)-2)*20)</f>
        <v>-6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146</v>
      </c>
      <c r="AZ5" s="40" t="s">
        <v>147</v>
      </c>
      <c r="BA5" s="41" t="s">
        <v>82</v>
      </c>
      <c r="BB5" s="41" t="s">
        <v>83</v>
      </c>
      <c r="BC5" s="41" t="s">
        <v>79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149</v>
      </c>
      <c r="G6" s="9">
        <v>-2400</v>
      </c>
      <c r="H6" s="9"/>
      <c r="I6" s="48">
        <v>-500</v>
      </c>
      <c r="J6" s="21">
        <f t="shared" si="2"/>
        <v>18400</v>
      </c>
      <c r="K6" s="8" t="s">
        <v>150</v>
      </c>
      <c r="L6" s="9">
        <v>4800</v>
      </c>
      <c r="M6" s="9"/>
      <c r="N6" s="48">
        <v>1000</v>
      </c>
      <c r="O6" s="21">
        <f t="shared" si="3"/>
        <v>60500</v>
      </c>
      <c r="P6" s="8" t="s">
        <v>149</v>
      </c>
      <c r="Q6" s="9">
        <v>-2400</v>
      </c>
      <c r="R6" s="9"/>
      <c r="S6" s="48">
        <v>-500</v>
      </c>
      <c r="T6" s="21">
        <f t="shared" si="4"/>
        <v>26100</v>
      </c>
      <c r="U6" s="53">
        <f>IF($J6="","",ROUND(($J6-$J$3)/1000,1)+(_xlfn.RANK.AVG($J6,($J6,$O6,$T6),1)-2)*20)</f>
        <v>-36.6</v>
      </c>
      <c r="V6" s="54">
        <f>IF($O6="","",ROUND(($O6-$O$3)/1000,1)+(_xlfn.RANK.AVG($O6,($J6,$O6,$T6),1)-2)*20)</f>
        <v>45.5</v>
      </c>
      <c r="W6" s="55">
        <f>IF($T6="","",ROUND(($T6-$T$3)/1000,1)+(_xlfn.RANK.AVG($T6,($J6,$O6,$T6),1)-2)*20)</f>
        <v>-8.9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25</v>
      </c>
      <c r="AZ6" s="40" t="s">
        <v>82</v>
      </c>
      <c r="BA6" s="41" t="s">
        <v>101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140</v>
      </c>
      <c r="F7" s="8"/>
      <c r="G7" s="9"/>
      <c r="H7" s="9"/>
      <c r="I7" s="48"/>
      <c r="J7" s="21">
        <f t="shared" si="2"/>
        <v>18400</v>
      </c>
      <c r="K7" s="8" t="s">
        <v>145</v>
      </c>
      <c r="L7" s="9">
        <v>-3200</v>
      </c>
      <c r="M7" s="9">
        <v>-1000</v>
      </c>
      <c r="N7" s="48">
        <v>-2000</v>
      </c>
      <c r="O7" s="21">
        <f t="shared" si="3"/>
        <v>54300</v>
      </c>
      <c r="P7" s="8" t="s">
        <v>144</v>
      </c>
      <c r="Q7" s="9">
        <v>3200</v>
      </c>
      <c r="R7" s="9">
        <v>1000</v>
      </c>
      <c r="S7" s="48">
        <v>2000</v>
      </c>
      <c r="T7" s="21">
        <f t="shared" si="4"/>
        <v>32300</v>
      </c>
      <c r="U7" s="53">
        <f>IF($J7="","",ROUND(($J7-$J$3)/1000,1)+(_xlfn.RANK.AVG($J7,($J7,$O7,$T7),1)-2)*20)</f>
        <v>-36.6</v>
      </c>
      <c r="V7" s="54">
        <f>IF($O7="","",ROUND(($O7-$O$3)/1000,1)+(_xlfn.RANK.AVG($O7,($J7,$O7,$T7),1)-2)*20)</f>
        <v>39.299999999999997</v>
      </c>
      <c r="W7" s="55">
        <f>IF($T7="","",ROUND(($T7-$T$3)/1000,1)+(_xlfn.RANK.AVG($T7,($J7,$O7,$T7),1)-2)*20)</f>
        <v>-2.7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25</v>
      </c>
      <c r="BU7" s="40" t="s">
        <v>147</v>
      </c>
      <c r="BV7" s="41" t="s">
        <v>101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142</v>
      </c>
      <c r="F8" s="8" t="s">
        <v>145</v>
      </c>
      <c r="G8" s="9">
        <v>-7700</v>
      </c>
      <c r="H8" s="9"/>
      <c r="I8" s="48">
        <v>0</v>
      </c>
      <c r="J8" s="21">
        <f t="shared" si="2"/>
        <v>10700</v>
      </c>
      <c r="K8" s="8"/>
      <c r="L8" s="9"/>
      <c r="M8" s="9"/>
      <c r="N8" s="48"/>
      <c r="O8" s="21">
        <f t="shared" si="3"/>
        <v>54300</v>
      </c>
      <c r="P8" s="8" t="s">
        <v>144</v>
      </c>
      <c r="Q8" s="9">
        <v>7700</v>
      </c>
      <c r="R8" s="9"/>
      <c r="S8" s="48">
        <v>0</v>
      </c>
      <c r="T8" s="21">
        <f t="shared" si="4"/>
        <v>40000</v>
      </c>
      <c r="U8" s="53">
        <f>IF($J8="","",ROUND(($J8-$J$3)/1000,1)+(_xlfn.RANK.AVG($J8,($J8,$O8,$T8),1)-2)*20)</f>
        <v>-44.3</v>
      </c>
      <c r="V8" s="54">
        <f>IF($O8="","",ROUND(($O8-$O$3)/1000,1)+(_xlfn.RANK.AVG($O8,($J8,$O8,$T8),1)-2)*20)</f>
        <v>39.299999999999997</v>
      </c>
      <c r="W8" s="55">
        <f>IF($T8="","",ROUND(($T8-$T$3)/1000,1)+(_xlfn.RANK.AVG($T8,($J8,$O8,$T8),1)-2)*20)</f>
        <v>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147</v>
      </c>
      <c r="BV8" s="41" t="s">
        <v>86</v>
      </c>
      <c r="BW8" s="41" t="s">
        <v>80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142</v>
      </c>
      <c r="F9" s="8" t="s">
        <v>149</v>
      </c>
      <c r="G9" s="9">
        <v>-6000</v>
      </c>
      <c r="H9" s="9"/>
      <c r="I9" s="48">
        <v>-500</v>
      </c>
      <c r="J9" s="21">
        <f t="shared" si="2"/>
        <v>4200</v>
      </c>
      <c r="K9" s="8" t="s">
        <v>150</v>
      </c>
      <c r="L9" s="9">
        <v>16000</v>
      </c>
      <c r="M9" s="9"/>
      <c r="N9" s="48">
        <v>1000</v>
      </c>
      <c r="O9" s="21">
        <f t="shared" si="3"/>
        <v>71300</v>
      </c>
      <c r="P9" s="8" t="s">
        <v>149</v>
      </c>
      <c r="Q9" s="9">
        <v>-10000</v>
      </c>
      <c r="R9" s="9"/>
      <c r="S9" s="48">
        <v>-500</v>
      </c>
      <c r="T9" s="21">
        <f t="shared" si="4"/>
        <v>29500</v>
      </c>
      <c r="U9" s="53">
        <f>IF($J9="","",ROUND(($J9-$J$3)/1000,1)+(_xlfn.RANK.AVG($J9,($J9,$O9,$T9),1)-2)*20)</f>
        <v>-50.8</v>
      </c>
      <c r="V9" s="54">
        <f>IF($O9="","",ROUND(($O9-$O$3)/1000,1)+(_xlfn.RANK.AVG($O9,($J9,$O9,$T9),1)-2)*20)</f>
        <v>56.3</v>
      </c>
      <c r="W9" s="55">
        <f>IF($T9="","",ROUND(($T9-$T$3)/1000,1)+(_xlfn.RANK.AVG($T9,($J9,$O9,$T9),1)-2)*20)</f>
        <v>-5.5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8</v>
      </c>
      <c r="AY9" s="30" t="s">
        <v>146</v>
      </c>
      <c r="AZ9" s="40" t="s">
        <v>147</v>
      </c>
      <c r="BA9" s="41" t="s">
        <v>82</v>
      </c>
      <c r="BB9" s="41" t="s">
        <v>151</v>
      </c>
      <c r="BC9" s="41" t="s">
        <v>101</v>
      </c>
      <c r="BD9" s="41" t="s">
        <v>85</v>
      </c>
      <c r="BE9" s="41" t="s">
        <v>79</v>
      </c>
      <c r="BF9" s="41" t="s">
        <v>79</v>
      </c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138</v>
      </c>
      <c r="F10" s="8" t="s">
        <v>144</v>
      </c>
      <c r="G10" s="9">
        <v>7700</v>
      </c>
      <c r="H10" s="9"/>
      <c r="I10" s="48">
        <v>0</v>
      </c>
      <c r="J10" s="21">
        <f t="shared" si="2"/>
        <v>11900</v>
      </c>
      <c r="K10" s="8" t="s">
        <v>145</v>
      </c>
      <c r="L10" s="9">
        <v>-7700</v>
      </c>
      <c r="M10" s="9"/>
      <c r="N10" s="48">
        <v>0</v>
      </c>
      <c r="O10" s="21">
        <f t="shared" si="3"/>
        <v>63600</v>
      </c>
      <c r="P10" s="8"/>
      <c r="Q10" s="9"/>
      <c r="R10" s="9"/>
      <c r="S10" s="48"/>
      <c r="T10" s="21">
        <f t="shared" si="4"/>
        <v>29500</v>
      </c>
      <c r="U10" s="53">
        <f>IF($J10="","",ROUND(($J10-$J$3)/1000,1)+(_xlfn.RANK.AVG($J10,($J10,$O10,$T10),1)-2)*20)</f>
        <v>-43.1</v>
      </c>
      <c r="V10" s="54">
        <f>IF($O10="","",ROUND(($O10-$O$3)/1000,1)+(_xlfn.RANK.AVG($O10,($J10,$O10,$T10),1)-2)*20)</f>
        <v>48.6</v>
      </c>
      <c r="W10" s="55">
        <f>IF($T10="","",ROUND(($T10-$T$3)/1000,1)+(_xlfn.RANK.AVG($T10,($J10,$O10,$T10),1)-2)*20)</f>
        <v>-5.5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147</v>
      </c>
      <c r="AF10" s="41" t="s">
        <v>151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138</v>
      </c>
      <c r="F11" s="8" t="s">
        <v>145</v>
      </c>
      <c r="G11" s="9">
        <v>-6400</v>
      </c>
      <c r="H11" s="9">
        <v>-1000</v>
      </c>
      <c r="I11" s="48">
        <v>-1000</v>
      </c>
      <c r="J11" s="21">
        <f t="shared" si="2"/>
        <v>3500</v>
      </c>
      <c r="K11" s="8"/>
      <c r="L11" s="9"/>
      <c r="M11" s="9"/>
      <c r="N11" s="48"/>
      <c r="O11" s="21">
        <f t="shared" si="3"/>
        <v>63600</v>
      </c>
      <c r="P11" s="8" t="s">
        <v>144</v>
      </c>
      <c r="Q11" s="9">
        <v>6400</v>
      </c>
      <c r="R11" s="9">
        <v>1000</v>
      </c>
      <c r="S11" s="48">
        <v>1000</v>
      </c>
      <c r="T11" s="21">
        <f t="shared" si="4"/>
        <v>37900</v>
      </c>
      <c r="U11" s="53">
        <f>IF($J11="","",ROUND(($J11-$J$3)/1000,1)+(_xlfn.RANK.AVG($J11,($J11,$O11,$T11),1)-2)*20)</f>
        <v>-51.5</v>
      </c>
      <c r="V11" s="54">
        <f>IF($O11="","",ROUND(($O11-$O$3)/1000,1)+(_xlfn.RANK.AVG($O11,($J11,$O11,$T11),1)-2)*20)</f>
        <v>48.6</v>
      </c>
      <c r="W11" s="55">
        <f>IF($T11="","",ROUND(($T11-$T$3)/1000,1)+(_xlfn.RANK.AVG($T11,($J11,$O11,$T11),1)-2)*20)</f>
        <v>2.9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25</v>
      </c>
      <c r="BU11" s="40" t="s">
        <v>79</v>
      </c>
      <c r="BV11" s="41" t="s">
        <v>79</v>
      </c>
      <c r="BW11" s="41" t="s">
        <v>101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140</v>
      </c>
      <c r="F12" s="8" t="s">
        <v>144</v>
      </c>
      <c r="G12" s="9">
        <v>5200</v>
      </c>
      <c r="H12" s="9">
        <v>2000</v>
      </c>
      <c r="I12" s="48">
        <v>0</v>
      </c>
      <c r="J12" s="21">
        <f t="shared" si="2"/>
        <v>10700</v>
      </c>
      <c r="K12" s="8" t="s">
        <v>145</v>
      </c>
      <c r="L12" s="9">
        <v>-5200</v>
      </c>
      <c r="M12" s="9">
        <v>-1000</v>
      </c>
      <c r="N12" s="48">
        <v>0</v>
      </c>
      <c r="O12" s="21">
        <f t="shared" si="3"/>
        <v>57400</v>
      </c>
      <c r="P12" s="8"/>
      <c r="Q12" s="9"/>
      <c r="R12" s="9">
        <v>-1000</v>
      </c>
      <c r="S12" s="48"/>
      <c r="T12" s="21">
        <f t="shared" si="4"/>
        <v>36900</v>
      </c>
      <c r="U12" s="53">
        <f>IF($J12="","",ROUND(($J12-$J$3)/1000,1)+(_xlfn.RANK.AVG($J12,($J12,$O12,$T12),1)-2)*20)</f>
        <v>-44.3</v>
      </c>
      <c r="V12" s="54">
        <f>IF($O12="","",ROUND(($O12-$O$3)/1000,1)+(_xlfn.RANK.AVG($O12,($J12,$O12,$T12),1)-2)*20)</f>
        <v>42.4</v>
      </c>
      <c r="W12" s="55">
        <f>IF($T12="","",ROUND(($T12-$T$3)/1000,1)+(_xlfn.RANK.AVG($T12,($J12,$O12,$T12),1)-2)*20)</f>
        <v>1.9</v>
      </c>
      <c r="Y12" s="8"/>
      <c r="Z12" s="34"/>
      <c r="AA12" s="26">
        <v>1</v>
      </c>
      <c r="AB12" s="26"/>
      <c r="AC12" s="26">
        <v>3</v>
      </c>
      <c r="AD12" s="30">
        <v>40</v>
      </c>
      <c r="AE12" s="40" t="s">
        <v>147</v>
      </c>
      <c r="AF12" s="41" t="s">
        <v>84</v>
      </c>
      <c r="AG12" s="41" t="s">
        <v>148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142</v>
      </c>
      <c r="F13" s="8" t="s">
        <v>145</v>
      </c>
      <c r="G13" s="9">
        <v>-12000</v>
      </c>
      <c r="H13" s="9"/>
      <c r="I13" s="48">
        <v>0</v>
      </c>
      <c r="J13" s="21">
        <f t="shared" si="2"/>
        <v>-1300</v>
      </c>
      <c r="K13" s="8"/>
      <c r="L13" s="9"/>
      <c r="M13" s="9"/>
      <c r="N13" s="48"/>
      <c r="O13" s="21">
        <f t="shared" si="3"/>
        <v>57400</v>
      </c>
      <c r="P13" s="8" t="s">
        <v>144</v>
      </c>
      <c r="Q13" s="9">
        <v>12000</v>
      </c>
      <c r="R13" s="9"/>
      <c r="S13" s="48">
        <v>0</v>
      </c>
      <c r="T13" s="21">
        <f t="shared" si="4"/>
        <v>48900</v>
      </c>
      <c r="U13" s="53">
        <f>IF($J13="","",ROUND(($J13-$J$3)/1000,1)+(_xlfn.RANK.AVG($J13,($J13,$O13,$T13),1)-2)*20)</f>
        <v>-56.3</v>
      </c>
      <c r="V13" s="54">
        <f>IF($O13="","",ROUND(($O13-$O$3)/1000,1)+(_xlfn.RANK.AVG($O13,($J13,$O13,$T13),1)-2)*20)</f>
        <v>42.4</v>
      </c>
      <c r="W13" s="55">
        <f>IF($T13="","",ROUND(($T13-$T$3)/1000,1)+(_xlfn.RANK.AVG($T13,($J13,$O13,$T13),1)-2)*20)</f>
        <v>13.9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146</v>
      </c>
      <c r="BU13" s="40" t="s">
        <v>147</v>
      </c>
      <c r="BV13" s="41" t="s">
        <v>101</v>
      </c>
      <c r="BW13" s="41" t="s">
        <v>79</v>
      </c>
      <c r="BX13" s="41" t="s">
        <v>79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81E469A9-AAEB-48E3-94F9-49492C32814F}">
      <formula1>"ロン,ツモ,放銃,ツモ支払,流局,チョンボ"</formula1>
    </dataValidation>
    <dataValidation type="list" allowBlank="1" showInputMessage="1" showErrorMessage="1" sqref="E4:E30" xr:uid="{B8362B4E-106E-4E79-9B8C-A6BD22CC896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94A0-83D5-4273-BEE6-E42C8CFA6D55}">
  <sheetPr codeName="Sheet12">
    <pageSetUpPr fitToPage="1"/>
  </sheetPr>
  <dimension ref="A1:CI30"/>
  <sheetViews>
    <sheetView zoomScaleNormal="100" workbookViewId="0">
      <selection activeCell="F5" sqref="F5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153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155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ぱぱ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まっつん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ただ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/>
      <c r="G4" s="9"/>
      <c r="H4" s="9">
        <v>-1000</v>
      </c>
      <c r="I4" s="48"/>
      <c r="J4" s="21">
        <f>IF(COUNTA($F4,$K4,$P4)&gt;0,J3+SUM(G4:I4),"")</f>
        <v>34000</v>
      </c>
      <c r="K4" s="8" t="s">
        <v>145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144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-1</v>
      </c>
      <c r="V4" s="54">
        <f>IF($O4="","",ROUND(($O4-$O$3)/1000,1)+(_xlfn.RANK.AVG($O4,($J4,$O4,$T4),1)-2)*20)</f>
        <v>-32</v>
      </c>
      <c r="W4" s="55">
        <f>IF($T4="","",ROUND(($T4-$T$3)/1000,1)+(_xlfn.RANK.AVG($T4,($J4,$O4,$T4),1)-2)*20)</f>
        <v>33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7</v>
      </c>
      <c r="BT4" s="30" t="s">
        <v>146</v>
      </c>
      <c r="BU4" s="40" t="s">
        <v>147</v>
      </c>
      <c r="BV4" s="41" t="s">
        <v>104</v>
      </c>
      <c r="BW4" s="41" t="s">
        <v>148</v>
      </c>
      <c r="BX4" s="41" t="s">
        <v>80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154</v>
      </c>
      <c r="F5" s="8"/>
      <c r="G5" s="9"/>
      <c r="H5" s="9"/>
      <c r="I5" s="48"/>
      <c r="J5" s="21">
        <f t="shared" ref="J5:J30" si="2">IF(COUNTA($F5,$K5,$P5)&gt;0,J4+SUM(G5:I5),"")</f>
        <v>34000</v>
      </c>
      <c r="K5" s="8" t="s">
        <v>145</v>
      </c>
      <c r="L5" s="9">
        <v>-7700</v>
      </c>
      <c r="M5" s="9"/>
      <c r="N5" s="48">
        <v>0</v>
      </c>
      <c r="O5" s="21">
        <f t="shared" ref="O5:O30" si="3">IF(COUNTA($F5,$K5,$P5)&gt;0,O4+SUM(L5:N5),"")</f>
        <v>15300</v>
      </c>
      <c r="P5" s="8" t="s">
        <v>144</v>
      </c>
      <c r="Q5" s="9">
        <v>7700</v>
      </c>
      <c r="R5" s="9"/>
      <c r="S5" s="48">
        <v>0</v>
      </c>
      <c r="T5" s="21">
        <f t="shared" ref="T5:T30" si="4">IF(COUNTA($F5,$K5,$P5)&gt;0,T4+SUM(Q5:S5),"")</f>
        <v>55700</v>
      </c>
      <c r="U5" s="53">
        <f>IF($J5="","",ROUND(($J5-$J$3)/1000,1)+(_xlfn.RANK.AVG($J5,($J5,$O5,$T5),1)-2)*20)</f>
        <v>-1</v>
      </c>
      <c r="V5" s="54">
        <f>IF($O5="","",ROUND(($O5-$O$3)/1000,1)+(_xlfn.RANK.AVG($O5,($J5,$O5,$T5),1)-2)*20)</f>
        <v>-39.700000000000003</v>
      </c>
      <c r="W5" s="55">
        <f>IF($T5="","",ROUND(($T5-$T$3)/1000,1)+(_xlfn.RANK.AVG($T5,($J5,$O5,$T5),1)-2)*20)</f>
        <v>40.700000000000003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147</v>
      </c>
      <c r="BV5" s="41" t="s">
        <v>79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154</v>
      </c>
      <c r="F6" s="8" t="s">
        <v>149</v>
      </c>
      <c r="G6" s="9">
        <v>-3900</v>
      </c>
      <c r="H6" s="9"/>
      <c r="I6" s="48">
        <v>-500</v>
      </c>
      <c r="J6" s="21">
        <f t="shared" si="2"/>
        <v>29600</v>
      </c>
      <c r="K6" s="8" t="s">
        <v>149</v>
      </c>
      <c r="L6" s="9">
        <v>-3900</v>
      </c>
      <c r="M6" s="9">
        <v>-1000</v>
      </c>
      <c r="N6" s="48">
        <v>-500</v>
      </c>
      <c r="O6" s="21">
        <f t="shared" si="3"/>
        <v>9900</v>
      </c>
      <c r="P6" s="8" t="s">
        <v>150</v>
      </c>
      <c r="Q6" s="9">
        <v>7800</v>
      </c>
      <c r="R6" s="9">
        <v>1000</v>
      </c>
      <c r="S6" s="48">
        <v>1000</v>
      </c>
      <c r="T6" s="21">
        <f t="shared" si="4"/>
        <v>65500</v>
      </c>
      <c r="U6" s="53">
        <f>IF($J6="","",ROUND(($J6-$J$3)/1000,1)+(_xlfn.RANK.AVG($J6,($J6,$O6,$T6),1)-2)*20)</f>
        <v>-5.4</v>
      </c>
      <c r="V6" s="54">
        <f>IF($O6="","",ROUND(($O6-$O$3)/1000,1)+(_xlfn.RANK.AVG($O6,($J6,$O6,$T6),1)-2)*20)</f>
        <v>-45.1</v>
      </c>
      <c r="W6" s="55">
        <f>IF($T6="","",ROUND(($T6-$T$3)/1000,1)+(_xlfn.RANK.AVG($T6,($J6,$O6,$T6),1)-2)*20)</f>
        <v>50.5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20</v>
      </c>
      <c r="BU6" s="40" t="s">
        <v>147</v>
      </c>
      <c r="BV6" s="41" t="s">
        <v>82</v>
      </c>
      <c r="BW6" s="41" t="s">
        <v>79</v>
      </c>
      <c r="BX6" s="41" t="s">
        <v>83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154</v>
      </c>
      <c r="F7" s="8" t="s">
        <v>144</v>
      </c>
      <c r="G7" s="9">
        <v>2000</v>
      </c>
      <c r="H7" s="9"/>
      <c r="I7" s="48">
        <v>2000</v>
      </c>
      <c r="J7" s="21">
        <f t="shared" si="2"/>
        <v>33600</v>
      </c>
      <c r="K7" s="8" t="s">
        <v>145</v>
      </c>
      <c r="L7" s="9">
        <v>-2000</v>
      </c>
      <c r="M7" s="9"/>
      <c r="N7" s="48">
        <v>-2000</v>
      </c>
      <c r="O7" s="21">
        <f t="shared" si="3"/>
        <v>5900</v>
      </c>
      <c r="P7" s="8"/>
      <c r="Q7" s="9"/>
      <c r="R7" s="9"/>
      <c r="S7" s="48"/>
      <c r="T7" s="21">
        <f t="shared" si="4"/>
        <v>65500</v>
      </c>
      <c r="U7" s="53">
        <f>IF($J7="","",ROUND(($J7-$J$3)/1000,1)+(_xlfn.RANK.AVG($J7,($J7,$O7,$T7),1)-2)*20)</f>
        <v>-1.4</v>
      </c>
      <c r="V7" s="54">
        <f>IF($O7="","",ROUND(($O7-$O$3)/1000,1)+(_xlfn.RANK.AVG($O7,($J7,$O7,$T7),1)-2)*20)</f>
        <v>-49.1</v>
      </c>
      <c r="W7" s="55">
        <f>IF($T7="","",ROUND(($T7-$T$3)/1000,1)+(_xlfn.RANK.AVG($T7,($J7,$O7,$T7),1)-2)*20)</f>
        <v>50.5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86</v>
      </c>
      <c r="AF7" s="41" t="s">
        <v>148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152</v>
      </c>
      <c r="F8" s="8" t="s">
        <v>145</v>
      </c>
      <c r="G8" s="9">
        <v>-2000</v>
      </c>
      <c r="H8" s="9"/>
      <c r="I8" s="48">
        <v>0</v>
      </c>
      <c r="J8" s="21">
        <f t="shared" si="2"/>
        <v>31600</v>
      </c>
      <c r="K8" s="8" t="s">
        <v>144</v>
      </c>
      <c r="L8" s="9">
        <v>2000</v>
      </c>
      <c r="M8" s="9"/>
      <c r="N8" s="48">
        <v>0</v>
      </c>
      <c r="O8" s="21">
        <f t="shared" si="3"/>
        <v>7900</v>
      </c>
      <c r="P8" s="8"/>
      <c r="Q8" s="9"/>
      <c r="R8" s="9"/>
      <c r="S8" s="48"/>
      <c r="T8" s="21">
        <f t="shared" si="4"/>
        <v>65500</v>
      </c>
      <c r="U8" s="53">
        <f>IF($J8="","",ROUND(($J8-$J$3)/1000,1)+(_xlfn.RANK.AVG($J8,($J8,$O8,$T8),1)-2)*20)</f>
        <v>-3.4</v>
      </c>
      <c r="V8" s="54">
        <f>IF($O8="","",ROUND(($O8-$O$3)/1000,1)+(_xlfn.RANK.AVG($O8,($J8,$O8,$T8),1)-2)*20)</f>
        <v>-47.1</v>
      </c>
      <c r="W8" s="55">
        <f>IF($T8="","",ROUND(($T8-$T$3)/1000,1)+(_xlfn.RANK.AVG($T8,($J8,$O8,$T8),1)-2)*20)</f>
        <v>50.5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30</v>
      </c>
      <c r="AZ8" s="40" t="s">
        <v>147</v>
      </c>
      <c r="BA8" s="41" t="s">
        <v>83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140</v>
      </c>
      <c r="F9" s="8" t="s">
        <v>149</v>
      </c>
      <c r="G9" s="9">
        <v>-3000</v>
      </c>
      <c r="H9" s="9"/>
      <c r="I9" s="48">
        <v>0</v>
      </c>
      <c r="J9" s="21">
        <f t="shared" si="2"/>
        <v>28600</v>
      </c>
      <c r="K9" s="8" t="s">
        <v>149</v>
      </c>
      <c r="L9" s="9">
        <v>-5000</v>
      </c>
      <c r="M9" s="9"/>
      <c r="N9" s="48">
        <v>0</v>
      </c>
      <c r="O9" s="21">
        <f t="shared" si="3"/>
        <v>2900</v>
      </c>
      <c r="P9" s="8" t="s">
        <v>150</v>
      </c>
      <c r="Q9" s="9">
        <v>8000</v>
      </c>
      <c r="R9" s="9"/>
      <c r="S9" s="48">
        <v>0</v>
      </c>
      <c r="T9" s="21">
        <f t="shared" si="4"/>
        <v>73500</v>
      </c>
      <c r="U9" s="53">
        <f>IF($J9="","",ROUND(($J9-$J$3)/1000,1)+(_xlfn.RANK.AVG($J9,($J9,$O9,$T9),1)-2)*20)</f>
        <v>-6.4</v>
      </c>
      <c r="V9" s="54">
        <f>IF($O9="","",ROUND(($O9-$O$3)/1000,1)+(_xlfn.RANK.AVG($O9,($J9,$O9,$T9),1)-2)*20)</f>
        <v>-52.1</v>
      </c>
      <c r="W9" s="55">
        <f>IF($T9="","",ROUND(($T9-$T$3)/1000,1)+(_xlfn.RANK.AVG($T9,($J9,$O9,$T9),1)-2)*20)</f>
        <v>58.5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146</v>
      </c>
      <c r="BU9" s="40" t="s">
        <v>147</v>
      </c>
      <c r="BV9" s="41" t="s">
        <v>82</v>
      </c>
      <c r="BW9" s="41" t="s">
        <v>96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154</v>
      </c>
      <c r="F10" s="8" t="s">
        <v>156</v>
      </c>
      <c r="G10" s="9">
        <v>6000</v>
      </c>
      <c r="H10" s="9"/>
      <c r="I10" s="48"/>
      <c r="J10" s="21">
        <f t="shared" si="2"/>
        <v>34600</v>
      </c>
      <c r="K10" s="8" t="s">
        <v>156</v>
      </c>
      <c r="L10" s="9">
        <v>6000</v>
      </c>
      <c r="M10" s="9"/>
      <c r="N10" s="48"/>
      <c r="O10" s="21">
        <f t="shared" si="3"/>
        <v>8900</v>
      </c>
      <c r="P10" s="8" t="s">
        <v>156</v>
      </c>
      <c r="Q10" s="9">
        <v>-12000</v>
      </c>
      <c r="R10" s="9"/>
      <c r="S10" s="48"/>
      <c r="T10" s="21">
        <f t="shared" si="4"/>
        <v>61500</v>
      </c>
      <c r="U10" s="53">
        <f>IF($J10="","",ROUND(($J10-$J$3)/1000,1)+(_xlfn.RANK.AVG($J10,($J10,$O10,$T10),1)-2)*20)</f>
        <v>-0.4</v>
      </c>
      <c r="V10" s="54">
        <f>IF($O10="","",ROUND(($O10-$O$3)/1000,1)+(_xlfn.RANK.AVG($O10,($J10,$O10,$T10),1)-2)*20)</f>
        <v>-46.1</v>
      </c>
      <c r="W10" s="55">
        <f>IF($T10="","",ROUND(($T10-$T$3)/1000,1)+(_xlfn.RANK.AVG($T10,($J10,$O10,$T10),1)-2)*20)</f>
        <v>46.5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>
        <v>1</v>
      </c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152</v>
      </c>
      <c r="F11" s="8" t="s">
        <v>156</v>
      </c>
      <c r="G11" s="9">
        <v>-12000</v>
      </c>
      <c r="H11" s="9"/>
      <c r="I11" s="48"/>
      <c r="J11" s="21">
        <f t="shared" si="2"/>
        <v>22600</v>
      </c>
      <c r="K11" s="8" t="s">
        <v>156</v>
      </c>
      <c r="L11" s="9">
        <v>6000</v>
      </c>
      <c r="M11" s="9"/>
      <c r="N11" s="48"/>
      <c r="O11" s="21">
        <f t="shared" si="3"/>
        <v>14900</v>
      </c>
      <c r="P11" s="8" t="s">
        <v>156</v>
      </c>
      <c r="Q11" s="9">
        <v>6000</v>
      </c>
      <c r="R11" s="9"/>
      <c r="S11" s="48"/>
      <c r="T11" s="21">
        <f t="shared" si="4"/>
        <v>67500</v>
      </c>
      <c r="U11" s="53">
        <f>IF($J11="","",ROUND(($J11-$J$3)/1000,1)+(_xlfn.RANK.AVG($J11,($J11,$O11,$T11),1)-2)*20)</f>
        <v>-12.4</v>
      </c>
      <c r="V11" s="54">
        <f>IF($O11="","",ROUND(($O11-$O$3)/1000,1)+(_xlfn.RANK.AVG($O11,($J11,$O11,$T11),1)-2)*20)</f>
        <v>-40.1</v>
      </c>
      <c r="W11" s="55">
        <f>IF($T11="","",ROUND(($T11-$T$3)/1000,1)+(_xlfn.RANK.AVG($T11,($J11,$O11,$T11),1)-2)*20)</f>
        <v>52.5</v>
      </c>
      <c r="Y11" s="8"/>
      <c r="Z11" s="34">
        <v>1</v>
      </c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140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089C816F-4466-4E8B-9361-C67E65C49FC7}">
      <formula1>$U$2:$W$2</formula1>
    </dataValidation>
    <dataValidation type="list" showInputMessage="1" showErrorMessage="1" sqref="K4:K30 P4:P30 F4:F30" xr:uid="{8BD1253E-031A-497E-9BD4-E74A5A50349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7F218-54CE-4B42-BFCD-A2FC6D7A8870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155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ただ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142</v>
      </c>
      <c r="F4" s="8" t="s">
        <v>149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149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150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IF($J4="","",ROUND(($J4-$J$3)/1000,1)+(_xlfn.RANK.AVG($J4,($J4,$O4,$T4),1)-2)*20)</f>
        <v>-16</v>
      </c>
      <c r="V4" s="54">
        <f>IF($O4="","",ROUND(($O4-$O$3)/1000,1)+(_xlfn.RANK.AVG($O4,($J4,$O4,$T4),1)-2)*20)</f>
        <v>-16</v>
      </c>
      <c r="W4" s="55">
        <f>IF($T4="","",ROUND(($T4-$T$3)/1000,1)+(_xlfn.RANK.AVG($T4,($J4,$O4,$T4),1)-2)*20)</f>
        <v>32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146</v>
      </c>
      <c r="BU4" s="40" t="s">
        <v>79</v>
      </c>
      <c r="BV4" s="41" t="s">
        <v>79</v>
      </c>
      <c r="BW4" s="41" t="s">
        <v>79</v>
      </c>
      <c r="BX4" s="41" t="s">
        <v>104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142</v>
      </c>
      <c r="F5" s="8" t="s">
        <v>149</v>
      </c>
      <c r="G5" s="9">
        <v>-6000</v>
      </c>
      <c r="H5" s="9"/>
      <c r="I5" s="48">
        <v>-500</v>
      </c>
      <c r="J5" s="21">
        <f t="shared" ref="J5:J30" si="2">IF(COUNTA($F5,$K5,$P5)&gt;0,J4+SUM(G5:I5),"")</f>
        <v>22500</v>
      </c>
      <c r="K5" s="8" t="s">
        <v>149</v>
      </c>
      <c r="L5" s="9">
        <v>-6000</v>
      </c>
      <c r="M5" s="9"/>
      <c r="N5" s="48">
        <v>-500</v>
      </c>
      <c r="O5" s="21">
        <f t="shared" ref="O5:O30" si="3">IF(COUNTA($F5,$K5,$P5)&gt;0,O4+SUM(L5:N5),"")</f>
        <v>22500</v>
      </c>
      <c r="P5" s="8" t="s">
        <v>150</v>
      </c>
      <c r="Q5" s="9">
        <v>12000</v>
      </c>
      <c r="R5" s="9"/>
      <c r="S5" s="48">
        <v>1000</v>
      </c>
      <c r="T5" s="21">
        <f t="shared" ref="T5:T30" si="4">IF(COUNTA($F5,$K5,$P5)&gt;0,T4+SUM(Q5:S5),"")</f>
        <v>60000</v>
      </c>
      <c r="U5" s="53">
        <f>IF($J5="","",ROUND(($J5-$J$3)/1000,1)+(_xlfn.RANK.AVG($J5,($J5,$O5,$T5),1)-2)*20)</f>
        <v>-22.5</v>
      </c>
      <c r="V5" s="54">
        <f>IF($O5="","",ROUND(($O5-$O$3)/1000,1)+(_xlfn.RANK.AVG($O5,($J5,$O5,$T5),1)-2)*20)</f>
        <v>-22.5</v>
      </c>
      <c r="W5" s="55">
        <f>IF($T5="","",ROUND(($T5-$T$3)/1000,1)+(_xlfn.RANK.AVG($T5,($J5,$O5,$T5),1)-2)*20)</f>
        <v>45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146</v>
      </c>
      <c r="BU5" s="40" t="s">
        <v>86</v>
      </c>
      <c r="BV5" s="41" t="s">
        <v>86</v>
      </c>
      <c r="BW5" s="41" t="s">
        <v>79</v>
      </c>
      <c r="BX5" s="41" t="s">
        <v>79</v>
      </c>
      <c r="BY5" s="41" t="s">
        <v>86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142</v>
      </c>
      <c r="F6" s="8" t="s">
        <v>149</v>
      </c>
      <c r="G6" s="9">
        <v>-3900</v>
      </c>
      <c r="H6" s="9"/>
      <c r="I6" s="48">
        <v>-1000</v>
      </c>
      <c r="J6" s="21">
        <f t="shared" si="2"/>
        <v>17600</v>
      </c>
      <c r="K6" s="8" t="s">
        <v>149</v>
      </c>
      <c r="L6" s="9">
        <v>-3900</v>
      </c>
      <c r="M6" s="9"/>
      <c r="N6" s="48">
        <v>-1000</v>
      </c>
      <c r="O6" s="21">
        <f t="shared" si="3"/>
        <v>17600</v>
      </c>
      <c r="P6" s="8" t="s">
        <v>150</v>
      </c>
      <c r="Q6" s="9">
        <v>7800</v>
      </c>
      <c r="R6" s="9"/>
      <c r="S6" s="48">
        <v>2000</v>
      </c>
      <c r="T6" s="21">
        <f t="shared" si="4"/>
        <v>69800</v>
      </c>
      <c r="U6" s="53">
        <f>IF($J6="","",ROUND(($J6-$J$3)/1000,1)+(_xlfn.RANK.AVG($J6,($J6,$O6,$T6),1)-2)*20)</f>
        <v>-27.4</v>
      </c>
      <c r="V6" s="54">
        <f>IF($O6="","",ROUND(($O6-$O$3)/1000,1)+(_xlfn.RANK.AVG($O6,($J6,$O6,$T6),1)-2)*20)</f>
        <v>-27.4</v>
      </c>
      <c r="W6" s="55">
        <f>IF($T6="","",ROUND(($T6-$T$3)/1000,1)+(_xlfn.RANK.AVG($T6,($J6,$O6,$T6),1)-2)*20)</f>
        <v>54.8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4</v>
      </c>
      <c r="BT6" s="30">
        <v>20</v>
      </c>
      <c r="BU6" s="40" t="s">
        <v>82</v>
      </c>
      <c r="BV6" s="41" t="s">
        <v>83</v>
      </c>
      <c r="BW6" s="41" t="s">
        <v>148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142</v>
      </c>
      <c r="F7" s="8"/>
      <c r="G7" s="9"/>
      <c r="H7" s="9"/>
      <c r="I7" s="48"/>
      <c r="J7" s="21">
        <f t="shared" si="2"/>
        <v>17600</v>
      </c>
      <c r="K7" s="8" t="s">
        <v>145</v>
      </c>
      <c r="L7" s="9">
        <v>-12000</v>
      </c>
      <c r="M7" s="9"/>
      <c r="N7" s="48">
        <v>-3000</v>
      </c>
      <c r="O7" s="21">
        <f t="shared" si="3"/>
        <v>2600</v>
      </c>
      <c r="P7" s="8" t="s">
        <v>144</v>
      </c>
      <c r="Q7" s="9">
        <v>12000</v>
      </c>
      <c r="R7" s="9"/>
      <c r="S7" s="48">
        <v>3000</v>
      </c>
      <c r="T7" s="21">
        <f t="shared" si="4"/>
        <v>84800</v>
      </c>
      <c r="U7" s="53">
        <f>IF($J7="","",ROUND(($J7-$J$3)/1000,1)+(_xlfn.RANK.AVG($J7,($J7,$O7,$T7),1)-2)*20)</f>
        <v>-17.399999999999999</v>
      </c>
      <c r="V7" s="54">
        <f>IF($O7="","",ROUND(($O7-$O$3)/1000,1)+(_xlfn.RANK.AVG($O7,($J7,$O7,$T7),1)-2)*20)</f>
        <v>-52.4</v>
      </c>
      <c r="W7" s="55">
        <f>IF($T7="","",ROUND(($T7-$T$3)/1000,1)+(_xlfn.RANK.AVG($T7,($J7,$O7,$T7),1)-2)*20)</f>
        <v>69.8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146</v>
      </c>
      <c r="BU7" s="40" t="s">
        <v>79</v>
      </c>
      <c r="BV7" s="41" t="s">
        <v>79</v>
      </c>
      <c r="BW7" s="41" t="s">
        <v>79</v>
      </c>
      <c r="BX7" s="41" t="s">
        <v>86</v>
      </c>
      <c r="BY7" s="41" t="s">
        <v>86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142</v>
      </c>
      <c r="F8" s="8" t="s">
        <v>157</v>
      </c>
      <c r="G8" s="9">
        <v>-1500</v>
      </c>
      <c r="H8" s="9"/>
      <c r="I8" s="48"/>
      <c r="J8" s="21">
        <f t="shared" si="2"/>
        <v>16100</v>
      </c>
      <c r="K8" s="8" t="s">
        <v>157</v>
      </c>
      <c r="L8" s="9">
        <v>-1500</v>
      </c>
      <c r="M8" s="9"/>
      <c r="N8" s="48"/>
      <c r="O8" s="21">
        <f t="shared" si="3"/>
        <v>1100</v>
      </c>
      <c r="P8" s="8" t="s">
        <v>157</v>
      </c>
      <c r="Q8" s="9">
        <v>3000</v>
      </c>
      <c r="R8" s="9"/>
      <c r="S8" s="48"/>
      <c r="T8" s="21">
        <f t="shared" si="4"/>
        <v>87800</v>
      </c>
      <c r="U8" s="53">
        <f>IF($J8="","",ROUND(($J8-$J$3)/1000,1)+(_xlfn.RANK.AVG($J8,($J8,$O8,$T8),1)-2)*20)</f>
        <v>-18.899999999999999</v>
      </c>
      <c r="V8" s="54">
        <f>IF($O8="","",ROUND(($O8-$O$3)/1000,1)+(_xlfn.RANK.AVG($O8,($J8,$O8,$T8),1)-2)*20)</f>
        <v>-53.9</v>
      </c>
      <c r="W8" s="55">
        <f>IF($T8="","",ROUND(($T8-$T$3)/1000,1)+(_xlfn.RANK.AVG($T8,($J8,$O8,$T8),1)-2)*20)</f>
        <v>72.8</v>
      </c>
      <c r="Y8" s="8" t="s">
        <v>158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158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159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1</v>
      </c>
      <c r="C9" s="18">
        <f t="shared" si="6"/>
        <v>5</v>
      </c>
      <c r="D9" s="18">
        <f t="shared" si="1"/>
        <v>0</v>
      </c>
      <c r="E9" s="4" t="s">
        <v>142</v>
      </c>
      <c r="F9" s="8"/>
      <c r="G9" s="9"/>
      <c r="H9" s="9"/>
      <c r="I9" s="48"/>
      <c r="J9" s="21">
        <f t="shared" si="2"/>
        <v>16100</v>
      </c>
      <c r="K9" s="8" t="s">
        <v>144</v>
      </c>
      <c r="L9" s="9">
        <v>7700</v>
      </c>
      <c r="M9" s="9"/>
      <c r="N9" s="48">
        <v>5000</v>
      </c>
      <c r="O9" s="21">
        <f t="shared" si="3"/>
        <v>13800</v>
      </c>
      <c r="P9" s="8" t="s">
        <v>145</v>
      </c>
      <c r="Q9" s="9">
        <v>-7700</v>
      </c>
      <c r="R9" s="9"/>
      <c r="S9" s="48">
        <v>-5000</v>
      </c>
      <c r="T9" s="21">
        <f t="shared" si="4"/>
        <v>75100</v>
      </c>
      <c r="U9" s="53">
        <f>IF($J9="","",ROUND(($J9-$J$3)/1000,1)+(_xlfn.RANK.AVG($J9,($J9,$O9,$T9),1)-2)*20)</f>
        <v>-18.899999999999999</v>
      </c>
      <c r="V9" s="54">
        <f>IF($O9="","",ROUND(($O9-$O$3)/1000,1)+(_xlfn.RANK.AVG($O9,($J9,$O9,$T9),1)-2)*20)</f>
        <v>-41.2</v>
      </c>
      <c r="W9" s="55">
        <f>IF($T9="","",ROUND(($T9-$T$3)/1000,1)+(_xlfn.RANK.AVG($T9,($J9,$O9,$T9),1)-2)*20)</f>
        <v>60.1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86</v>
      </c>
      <c r="BB9" s="41" t="s">
        <v>104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154</v>
      </c>
      <c r="F10" s="8" t="s">
        <v>150</v>
      </c>
      <c r="G10" s="9">
        <v>3000</v>
      </c>
      <c r="H10" s="9"/>
      <c r="I10" s="48">
        <v>0</v>
      </c>
      <c r="J10" s="21">
        <f t="shared" si="2"/>
        <v>19100</v>
      </c>
      <c r="K10" s="8" t="s">
        <v>149</v>
      </c>
      <c r="L10" s="9">
        <v>-1500</v>
      </c>
      <c r="M10" s="9"/>
      <c r="N10" s="48">
        <v>0</v>
      </c>
      <c r="O10" s="21">
        <f t="shared" si="3"/>
        <v>12300</v>
      </c>
      <c r="P10" s="8" t="s">
        <v>149</v>
      </c>
      <c r="Q10" s="9">
        <v>-1500</v>
      </c>
      <c r="R10" s="9"/>
      <c r="S10" s="48">
        <v>0</v>
      </c>
      <c r="T10" s="21">
        <f t="shared" si="4"/>
        <v>73600</v>
      </c>
      <c r="U10" s="53">
        <f>IF($J10="","",ROUND(($J10-$J$3)/1000,1)+(_xlfn.RANK.AVG($J10,($J10,$O10,$T10),1)-2)*20)</f>
        <v>-15.9</v>
      </c>
      <c r="V10" s="54">
        <f>IF($O10="","",ROUND(($O10-$O$3)/1000,1)+(_xlfn.RANK.AVG($O10,($J10,$O10,$T10),1)-2)*20)</f>
        <v>-42.7</v>
      </c>
      <c r="W10" s="55">
        <f>IF($T10="","",ROUND(($T10-$T$3)/1000,1)+(_xlfn.RANK.AVG($T10,($J10,$O10,$T10),1)-2)*20)</f>
        <v>58.6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148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154</v>
      </c>
      <c r="F11" s="8" t="s">
        <v>149</v>
      </c>
      <c r="G11" s="9">
        <v>-1300</v>
      </c>
      <c r="H11" s="9"/>
      <c r="I11" s="48">
        <v>-500</v>
      </c>
      <c r="J11" s="21">
        <f t="shared" si="2"/>
        <v>17300</v>
      </c>
      <c r="K11" s="8" t="s">
        <v>149</v>
      </c>
      <c r="L11" s="9">
        <v>-800</v>
      </c>
      <c r="M11" s="9">
        <v>-1000</v>
      </c>
      <c r="N11" s="48">
        <v>-500</v>
      </c>
      <c r="O11" s="21">
        <f t="shared" si="3"/>
        <v>10000</v>
      </c>
      <c r="P11" s="8" t="s">
        <v>150</v>
      </c>
      <c r="Q11" s="9">
        <v>2100</v>
      </c>
      <c r="R11" s="9">
        <v>1000</v>
      </c>
      <c r="S11" s="48">
        <v>1000</v>
      </c>
      <c r="T11" s="21">
        <f t="shared" si="4"/>
        <v>77700</v>
      </c>
      <c r="U11" s="53">
        <f>IF($J11="","",ROUND(($J11-$J$3)/1000,1)+(_xlfn.RANK.AVG($J11,($J11,$O11,$T11),1)-2)*20)</f>
        <v>-17.7</v>
      </c>
      <c r="V11" s="54">
        <f>IF($O11="","",ROUND(($O11-$O$3)/1000,1)+(_xlfn.RANK.AVG($O11,($J11,$O11,$T11),1)-2)*20)</f>
        <v>-45</v>
      </c>
      <c r="W11" s="55">
        <f>IF($T11="","",ROUND(($T11-$T$3)/1000,1)+(_xlfn.RANK.AVG($T11,($J11,$O11,$T11),1)-2)*20)</f>
        <v>62.7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2</v>
      </c>
      <c r="BT11" s="30">
        <v>30</v>
      </c>
      <c r="BU11" s="40" t="s">
        <v>84</v>
      </c>
      <c r="BV11" s="41" t="s">
        <v>148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140</v>
      </c>
      <c r="F12" s="8" t="s">
        <v>149</v>
      </c>
      <c r="G12" s="9">
        <v>-5800</v>
      </c>
      <c r="H12" s="9"/>
      <c r="I12" s="48">
        <v>0</v>
      </c>
      <c r="J12" s="21">
        <f t="shared" si="2"/>
        <v>11500</v>
      </c>
      <c r="K12" s="8" t="s">
        <v>150</v>
      </c>
      <c r="L12" s="9">
        <v>11600</v>
      </c>
      <c r="M12" s="9"/>
      <c r="N12" s="48">
        <v>0</v>
      </c>
      <c r="O12" s="21">
        <f t="shared" si="3"/>
        <v>21600</v>
      </c>
      <c r="P12" s="8" t="s">
        <v>149</v>
      </c>
      <c r="Q12" s="9">
        <v>-5800</v>
      </c>
      <c r="R12" s="9"/>
      <c r="S12" s="48">
        <v>0</v>
      </c>
      <c r="T12" s="21">
        <f t="shared" si="4"/>
        <v>71900</v>
      </c>
      <c r="U12" s="53">
        <f>IF($J12="","",ROUND(($J12-$J$3)/1000,1)+(_xlfn.RANK.AVG($J12,($J12,$O12,$T12),1)-2)*20)</f>
        <v>-43.5</v>
      </c>
      <c r="V12" s="54">
        <f>IF($O12="","",ROUND(($O12-$O$3)/1000,1)+(_xlfn.RANK.AVG($O12,($J12,$O12,$T12),1)-2)*20)</f>
        <v>-13.4</v>
      </c>
      <c r="W12" s="55">
        <f>IF($T12="","",ROUND(($T12-$T$3)/1000,1)+(_xlfn.RANK.AVG($T12,($J12,$O12,$T12),1)-2)*20)</f>
        <v>56.9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4</v>
      </c>
      <c r="AY12" s="30">
        <v>30</v>
      </c>
      <c r="AZ12" s="40" t="s">
        <v>147</v>
      </c>
      <c r="BA12" s="41" t="s">
        <v>82</v>
      </c>
      <c r="BB12" s="41" t="s">
        <v>80</v>
      </c>
      <c r="BC12" s="41" t="s">
        <v>80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140</v>
      </c>
      <c r="F13" s="8" t="s">
        <v>149</v>
      </c>
      <c r="G13" s="9">
        <v>-3000</v>
      </c>
      <c r="H13" s="9"/>
      <c r="I13" s="48">
        <v>-500</v>
      </c>
      <c r="J13" s="21">
        <f t="shared" si="2"/>
        <v>8000</v>
      </c>
      <c r="K13" s="8" t="s">
        <v>150</v>
      </c>
      <c r="L13" s="9">
        <v>6000</v>
      </c>
      <c r="M13" s="9">
        <v>1000</v>
      </c>
      <c r="N13" s="48">
        <v>1000</v>
      </c>
      <c r="O13" s="21">
        <f t="shared" si="3"/>
        <v>29600</v>
      </c>
      <c r="P13" s="8" t="s">
        <v>149</v>
      </c>
      <c r="Q13" s="9">
        <v>-3000</v>
      </c>
      <c r="R13" s="9">
        <v>-1000</v>
      </c>
      <c r="S13" s="48">
        <v>-500</v>
      </c>
      <c r="T13" s="21">
        <f t="shared" si="4"/>
        <v>67400</v>
      </c>
      <c r="U13" s="53">
        <f>IF($J13="","",ROUND(($J13-$J$3)/1000,1)+(_xlfn.RANK.AVG($J13,($J13,$O13,$T13),1)-2)*20)</f>
        <v>-47</v>
      </c>
      <c r="V13" s="54">
        <f>IF($O13="","",ROUND(($O13-$O$3)/1000,1)+(_xlfn.RANK.AVG($O13,($J13,$O13,$T13),1)-2)*20)</f>
        <v>-5.4</v>
      </c>
      <c r="W13" s="55">
        <f>IF($T13="","",ROUND(($T13-$T$3)/1000,1)+(_xlfn.RANK.AVG($T13,($J13,$O13,$T13),1)-2)*20)</f>
        <v>52.4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3</v>
      </c>
      <c r="AY13" s="30">
        <v>30</v>
      </c>
      <c r="AZ13" s="40" t="s">
        <v>85</v>
      </c>
      <c r="BA13" s="41" t="s">
        <v>82</v>
      </c>
      <c r="BB13" s="41" t="s">
        <v>148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東</v>
      </c>
      <c r="B14" s="18">
        <f t="shared" si="5"/>
        <v>3</v>
      </c>
      <c r="C14" s="18">
        <f t="shared" si="6"/>
        <v>2</v>
      </c>
      <c r="D14" s="18">
        <f t="shared" si="1"/>
        <v>0</v>
      </c>
      <c r="E14" s="4" t="s">
        <v>140</v>
      </c>
      <c r="F14" s="8" t="s">
        <v>150</v>
      </c>
      <c r="G14" s="9">
        <v>7700</v>
      </c>
      <c r="H14" s="9"/>
      <c r="I14" s="48">
        <v>2000</v>
      </c>
      <c r="J14" s="21">
        <f t="shared" si="2"/>
        <v>17700</v>
      </c>
      <c r="K14" s="8" t="s">
        <v>149</v>
      </c>
      <c r="L14" s="9">
        <v>-4800</v>
      </c>
      <c r="M14" s="9"/>
      <c r="N14" s="48">
        <v>-1000</v>
      </c>
      <c r="O14" s="21">
        <f t="shared" si="3"/>
        <v>23800</v>
      </c>
      <c r="P14" s="8" t="s">
        <v>149</v>
      </c>
      <c r="Q14" s="9">
        <v>-2900</v>
      </c>
      <c r="R14" s="9"/>
      <c r="S14" s="48">
        <v>-1000</v>
      </c>
      <c r="T14" s="21">
        <f t="shared" si="4"/>
        <v>63500</v>
      </c>
      <c r="U14" s="53">
        <f>IF($J14="","",ROUND(($J14-$J$3)/1000,1)+(_xlfn.RANK.AVG($J14,($J14,$O14,$T14),1)-2)*20)</f>
        <v>-37.299999999999997</v>
      </c>
      <c r="V14" s="54">
        <f>IF($O14="","",ROUND(($O14-$O$3)/1000,1)+(_xlfn.RANK.AVG($O14,($J14,$O14,$T14),1)-2)*20)</f>
        <v>-11.2</v>
      </c>
      <c r="W14" s="55">
        <f>IF($T14="","",ROUND(($T14-$T$3)/1000,1)+(_xlfn.RANK.AVG($T14,($J14,$O14,$T14),1)-2)*20)</f>
        <v>48.5</v>
      </c>
      <c r="Y14" s="8"/>
      <c r="Z14" s="34"/>
      <c r="AA14" s="26">
        <v>1</v>
      </c>
      <c r="AB14" s="26"/>
      <c r="AC14" s="26">
        <v>4</v>
      </c>
      <c r="AD14" s="30">
        <v>30</v>
      </c>
      <c r="AE14" s="40" t="s">
        <v>147</v>
      </c>
      <c r="AF14" s="41" t="s">
        <v>82</v>
      </c>
      <c r="AG14" s="41" t="s">
        <v>151</v>
      </c>
      <c r="AH14" s="41" t="s">
        <v>80</v>
      </c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142</v>
      </c>
      <c r="F15" s="8"/>
      <c r="G15" s="9"/>
      <c r="H15" s="9"/>
      <c r="I15" s="48"/>
      <c r="J15" s="21">
        <f t="shared" si="2"/>
        <v>17700</v>
      </c>
      <c r="K15" s="8" t="s">
        <v>145</v>
      </c>
      <c r="L15" s="9">
        <v>-2900</v>
      </c>
      <c r="M15" s="9"/>
      <c r="N15" s="48">
        <v>0</v>
      </c>
      <c r="O15" s="21">
        <f t="shared" si="3"/>
        <v>20900</v>
      </c>
      <c r="P15" s="8" t="s">
        <v>144</v>
      </c>
      <c r="Q15" s="9">
        <v>2900</v>
      </c>
      <c r="R15" s="9"/>
      <c r="S15" s="48">
        <v>0</v>
      </c>
      <c r="T15" s="21">
        <f t="shared" si="4"/>
        <v>66400</v>
      </c>
      <c r="U15" s="53">
        <f>IF($J15="","",ROUND(($J15-$J$3)/1000,1)+(_xlfn.RANK.AVG($J15,($J15,$O15,$T15),1)-2)*20)</f>
        <v>-37.299999999999997</v>
      </c>
      <c r="V15" s="54">
        <f>IF($O15="","",ROUND(($O15-$O$3)/1000,1)+(_xlfn.RANK.AVG($O15,($J15,$O15,$T15),1)-2)*20)</f>
        <v>-14.1</v>
      </c>
      <c r="W15" s="55">
        <f>IF($T15="","",ROUND(($T15-$T$3)/1000,1)+(_xlfn.RANK.AVG($T15,($J15,$O15,$T15),1)-2)*20)</f>
        <v>51.4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2</v>
      </c>
      <c r="BT15" s="30">
        <v>30</v>
      </c>
      <c r="BU15" s="40" t="s">
        <v>148</v>
      </c>
      <c r="BV15" s="41" t="s">
        <v>86</v>
      </c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1</v>
      </c>
      <c r="C16" s="18">
        <f t="shared" si="6"/>
        <v>1</v>
      </c>
      <c r="D16" s="18">
        <f t="shared" si="1"/>
        <v>0</v>
      </c>
      <c r="E16" s="4" t="s">
        <v>142</v>
      </c>
      <c r="F16" s="8" t="s">
        <v>150</v>
      </c>
      <c r="G16" s="9">
        <v>7700</v>
      </c>
      <c r="H16" s="9">
        <v>1000</v>
      </c>
      <c r="I16" s="48">
        <v>1000</v>
      </c>
      <c r="J16" s="21">
        <f t="shared" si="2"/>
        <v>27400</v>
      </c>
      <c r="K16" s="8" t="s">
        <v>149</v>
      </c>
      <c r="L16" s="9">
        <v>-2900</v>
      </c>
      <c r="M16" s="9">
        <v>-1000</v>
      </c>
      <c r="N16" s="48">
        <v>-500</v>
      </c>
      <c r="O16" s="21">
        <f t="shared" si="3"/>
        <v>16500</v>
      </c>
      <c r="P16" s="8" t="s">
        <v>149</v>
      </c>
      <c r="Q16" s="9">
        <v>-4800</v>
      </c>
      <c r="R16" s="9"/>
      <c r="S16" s="48">
        <v>-500</v>
      </c>
      <c r="T16" s="21">
        <f t="shared" si="4"/>
        <v>61100</v>
      </c>
      <c r="U16" s="53">
        <f>IF($J16="","",ROUND(($J16-$J$3)/1000,1)+(_xlfn.RANK.AVG($J16,($J16,$O16,$T16),1)-2)*20)</f>
        <v>-7.6</v>
      </c>
      <c r="V16" s="54">
        <f>IF($O16="","",ROUND(($O16-$O$3)/1000,1)+(_xlfn.RANK.AVG($O16,($J16,$O16,$T16),1)-2)*20)</f>
        <v>-38.5</v>
      </c>
      <c r="W16" s="55">
        <f>IF($T16="","",ROUND(($T16-$T$3)/1000,1)+(_xlfn.RANK.AVG($T16,($J16,$O16,$T16),1)-2)*20)</f>
        <v>46.1</v>
      </c>
      <c r="Y16" s="8"/>
      <c r="Z16" s="34"/>
      <c r="AA16" s="26"/>
      <c r="AB16" s="26"/>
      <c r="AC16" s="26">
        <v>4</v>
      </c>
      <c r="AD16" s="30">
        <v>30</v>
      </c>
      <c r="AE16" s="40" t="s">
        <v>82</v>
      </c>
      <c r="AF16" s="41" t="s">
        <v>148</v>
      </c>
      <c r="AG16" s="41" t="s">
        <v>148</v>
      </c>
      <c r="AH16" s="41" t="s">
        <v>85</v>
      </c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0</v>
      </c>
      <c r="D17" s="18">
        <f t="shared" si="1"/>
        <v>0</v>
      </c>
      <c r="E17" s="4" t="s">
        <v>154</v>
      </c>
      <c r="F17" s="8" t="s">
        <v>145</v>
      </c>
      <c r="G17" s="9">
        <v>-7700</v>
      </c>
      <c r="H17" s="9"/>
      <c r="I17" s="48">
        <v>0</v>
      </c>
      <c r="J17" s="21">
        <f t="shared" si="2"/>
        <v>19700</v>
      </c>
      <c r="K17" s="8" t="s">
        <v>144</v>
      </c>
      <c r="L17" s="9">
        <v>7700</v>
      </c>
      <c r="M17" s="9"/>
      <c r="N17" s="48">
        <v>0</v>
      </c>
      <c r="O17" s="21">
        <f t="shared" si="3"/>
        <v>24200</v>
      </c>
      <c r="P17" s="8"/>
      <c r="Q17" s="9"/>
      <c r="R17" s="9"/>
      <c r="S17" s="48"/>
      <c r="T17" s="21">
        <f t="shared" si="4"/>
        <v>61100</v>
      </c>
      <c r="U17" s="53">
        <f>IF($J17="","",ROUND(($J17-$J$3)/1000,1)+(_xlfn.RANK.AVG($J17,($J17,$O17,$T17),1)-2)*20)</f>
        <v>-35.299999999999997</v>
      </c>
      <c r="V17" s="54">
        <f>IF($O17="","",ROUND(($O17-$O$3)/1000,1)+(_xlfn.RANK.AVG($O17,($J17,$O17,$T17),1)-2)*20)</f>
        <v>-10.8</v>
      </c>
      <c r="W17" s="55">
        <f>IF($T17="","",ROUND(($T17-$T$3)/1000,1)+(_xlfn.RANK.AVG($T17,($J17,$O17,$T17),1)-2)*20)</f>
        <v>46.1</v>
      </c>
      <c r="Y17" s="8"/>
      <c r="Z17" s="34"/>
      <c r="AA17" s="26"/>
      <c r="AB17" s="26">
        <v>1</v>
      </c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>
        <v>1</v>
      </c>
      <c r="AW17" s="26"/>
      <c r="AX17" s="26">
        <v>4</v>
      </c>
      <c r="AY17" s="30">
        <v>30</v>
      </c>
      <c r="AZ17" s="40" t="s">
        <v>147</v>
      </c>
      <c r="BA17" s="41" t="s">
        <v>82</v>
      </c>
      <c r="BB17" s="41" t="s">
        <v>83</v>
      </c>
      <c r="BC17" s="41" t="s">
        <v>148</v>
      </c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3</v>
      </c>
      <c r="C18" s="18">
        <f t="shared" si="6"/>
        <v>0</v>
      </c>
      <c r="D18" s="18">
        <f t="shared" si="1"/>
        <v>0</v>
      </c>
      <c r="E18" s="4" t="s">
        <v>140</v>
      </c>
      <c r="F18" s="8" t="s">
        <v>149</v>
      </c>
      <c r="G18" s="9">
        <v>-5800</v>
      </c>
      <c r="H18" s="9"/>
      <c r="I18" s="48">
        <v>0</v>
      </c>
      <c r="J18" s="21">
        <f t="shared" si="2"/>
        <v>13900</v>
      </c>
      <c r="K18" s="8" t="s">
        <v>150</v>
      </c>
      <c r="L18" s="9">
        <v>11600</v>
      </c>
      <c r="M18" s="9"/>
      <c r="N18" s="48">
        <v>0</v>
      </c>
      <c r="O18" s="21">
        <f t="shared" si="3"/>
        <v>35800</v>
      </c>
      <c r="P18" s="8" t="s">
        <v>149</v>
      </c>
      <c r="Q18" s="9">
        <v>-5800</v>
      </c>
      <c r="R18" s="9"/>
      <c r="S18" s="48">
        <v>0</v>
      </c>
      <c r="T18" s="21">
        <f t="shared" si="4"/>
        <v>55300</v>
      </c>
      <c r="U18" s="53">
        <f>IF($J18="","",ROUND(($J18-$J$3)/1000,1)+(_xlfn.RANK.AVG($J18,($J18,$O18,$T18),1)-2)*20)</f>
        <v>-41.1</v>
      </c>
      <c r="V18" s="54">
        <f>IF($O18="","",ROUND(($O18-$O$3)/1000,1)+(_xlfn.RANK.AVG($O18,($J18,$O18,$T18),1)-2)*20)</f>
        <v>0.8</v>
      </c>
      <c r="W18" s="55">
        <f>IF($T18="","",ROUND(($T18-$T$3)/1000,1)+(_xlfn.RANK.AVG($T18,($J18,$O18,$T18),1)-2)*20)</f>
        <v>40.299999999999997</v>
      </c>
      <c r="Y18" s="8"/>
      <c r="Z18" s="34"/>
      <c r="AA18" s="26"/>
      <c r="AB18" s="26">
        <v>1</v>
      </c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>
        <v>1</v>
      </c>
      <c r="AW18" s="26"/>
      <c r="AX18" s="26">
        <v>4</v>
      </c>
      <c r="AY18" s="30">
        <v>30</v>
      </c>
      <c r="AZ18" s="40" t="s">
        <v>147</v>
      </c>
      <c r="BA18" s="41" t="s">
        <v>85</v>
      </c>
      <c r="BB18" s="41" t="s">
        <v>82</v>
      </c>
      <c r="BC18" s="41" t="s">
        <v>148</v>
      </c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南</v>
      </c>
      <c r="B19" s="18">
        <f t="shared" si="5"/>
        <v>3</v>
      </c>
      <c r="C19" s="18">
        <f t="shared" si="6"/>
        <v>1</v>
      </c>
      <c r="D19" s="18">
        <f t="shared" si="1"/>
        <v>0</v>
      </c>
      <c r="E19" s="4" t="s">
        <v>140</v>
      </c>
      <c r="F19" s="8" t="s">
        <v>149</v>
      </c>
      <c r="G19" s="9">
        <v>-9000</v>
      </c>
      <c r="H19" s="9"/>
      <c r="I19" s="48">
        <v>-500</v>
      </c>
      <c r="J19" s="21">
        <f t="shared" si="2"/>
        <v>4400</v>
      </c>
      <c r="K19" s="8" t="s">
        <v>149</v>
      </c>
      <c r="L19" s="9">
        <v>-15000</v>
      </c>
      <c r="M19" s="9">
        <v>-1000</v>
      </c>
      <c r="N19" s="48">
        <v>-500</v>
      </c>
      <c r="O19" s="21">
        <f t="shared" si="3"/>
        <v>19300</v>
      </c>
      <c r="P19" s="8" t="s">
        <v>150</v>
      </c>
      <c r="Q19" s="9">
        <v>24000</v>
      </c>
      <c r="R19" s="9">
        <v>1000</v>
      </c>
      <c r="S19" s="48">
        <v>1000</v>
      </c>
      <c r="T19" s="21">
        <f t="shared" si="4"/>
        <v>81300</v>
      </c>
      <c r="U19" s="53">
        <f>IF($J19="","",ROUND(($J19-$J$3)/1000,1)+(_xlfn.RANK.AVG($J19,($J19,$O19,$T19),1)-2)*20)</f>
        <v>-50.6</v>
      </c>
      <c r="V19" s="54">
        <f>IF($O19="","",ROUND(($O19-$O$3)/1000,1)+(_xlfn.RANK.AVG($O19,($J19,$O19,$T19),1)-2)*20)</f>
        <v>-15.7</v>
      </c>
      <c r="W19" s="55">
        <f>IF($T19="","",ROUND(($T19-$T$3)/1000,1)+(_xlfn.RANK.AVG($T19,($J19,$O19,$T19),1)-2)*20)</f>
        <v>66.3</v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>
        <v>1</v>
      </c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>
        <v>1</v>
      </c>
      <c r="BR19" s="26"/>
      <c r="BS19" s="26">
        <v>11</v>
      </c>
      <c r="BT19" s="30" t="s">
        <v>146</v>
      </c>
      <c r="BU19" s="40" t="s">
        <v>147</v>
      </c>
      <c r="BV19" s="41" t="s">
        <v>82</v>
      </c>
      <c r="BW19" s="41" t="s">
        <v>80</v>
      </c>
      <c r="BX19" s="41" t="s">
        <v>85</v>
      </c>
      <c r="BY19" s="41" t="s">
        <v>80</v>
      </c>
      <c r="BZ19" s="41" t="s">
        <v>80</v>
      </c>
      <c r="CA19" s="41" t="s">
        <v>79</v>
      </c>
      <c r="CB19" s="41" t="s">
        <v>79</v>
      </c>
      <c r="CC19" s="41" t="s">
        <v>79</v>
      </c>
      <c r="CD19" s="41" t="s">
        <v>148</v>
      </c>
      <c r="CE19" s="41" t="s">
        <v>148</v>
      </c>
      <c r="CF19" s="41"/>
      <c r="CG19" s="41"/>
      <c r="CH19" s="41"/>
      <c r="CI19" s="42"/>
    </row>
    <row r="20" spans="1:87" x14ac:dyDescent="0.4">
      <c r="A20" s="13" t="str">
        <f t="shared" si="0"/>
        <v>西</v>
      </c>
      <c r="B20" s="18">
        <f t="shared" si="5"/>
        <v>1</v>
      </c>
      <c r="C20" s="18">
        <f t="shared" si="6"/>
        <v>0</v>
      </c>
      <c r="D20" s="18">
        <f t="shared" si="1"/>
        <v>0</v>
      </c>
      <c r="E20" s="4" t="s">
        <v>142</v>
      </c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82FB05D6-7F98-499F-A2D0-4795FEF374E1}">
      <formula1>$U$2:$W$2</formula1>
    </dataValidation>
    <dataValidation type="list" showInputMessage="1" showErrorMessage="1" sqref="K4:K30 P4:P30 F4:F30" xr:uid="{4F96034F-5870-4E51-AF0B-12438EDB8A6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4FE51-C424-4C67-9468-D5ED97F60A8B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139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だいち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ただ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11600</v>
      </c>
      <c r="H4" s="9"/>
      <c r="I4" s="48">
        <v>0</v>
      </c>
      <c r="J4" s="21">
        <f>IF(COUNTA($F4,$K4,$P4)&gt;0,J3+SUM(G4:I4),"")</f>
        <v>46600</v>
      </c>
      <c r="K4" s="8"/>
      <c r="L4" s="9"/>
      <c r="M4" s="9"/>
      <c r="N4" s="48"/>
      <c r="O4" s="21">
        <f>IF(COUNTA($F4,$K4,$P4)&gt;0,O3+SUM(L4:N4),"")</f>
        <v>35000</v>
      </c>
      <c r="P4" s="8" t="s">
        <v>145</v>
      </c>
      <c r="Q4" s="9">
        <v>-11600</v>
      </c>
      <c r="R4" s="9"/>
      <c r="S4" s="48">
        <v>0</v>
      </c>
      <c r="T4" s="21">
        <f>IF(COUNTA($F4,$K4,$P4)&gt;0,T3+SUM(Q4:S4),"")</f>
        <v>23400</v>
      </c>
      <c r="U4" s="53">
        <f>IF($J4="","",ROUND(($J4-$J$3)/1000,1)+(_xlfn.RANK.AVG($J4,($J4,$O4,$T4),1)-2)*20)</f>
        <v>31.6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-31.6</v>
      </c>
      <c r="Y4" s="8"/>
      <c r="Z4" s="34"/>
      <c r="AA4" s="26">
        <v>1</v>
      </c>
      <c r="AB4" s="26"/>
      <c r="AC4" s="26">
        <v>3</v>
      </c>
      <c r="AD4" s="30">
        <v>60</v>
      </c>
      <c r="AE4" s="40" t="s">
        <v>147</v>
      </c>
      <c r="AF4" s="41" t="s">
        <v>80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138</v>
      </c>
      <c r="F5" s="8" t="s">
        <v>149</v>
      </c>
      <c r="G5" s="9">
        <v>-7500</v>
      </c>
      <c r="H5" s="9"/>
      <c r="I5" s="48">
        <v>-500</v>
      </c>
      <c r="J5" s="21">
        <f t="shared" ref="J5:J30" si="2">IF(COUNTA($F5,$K5,$P5)&gt;0,J4+SUM(G5:I5),"")</f>
        <v>38600</v>
      </c>
      <c r="K5" s="8" t="s">
        <v>149</v>
      </c>
      <c r="L5" s="9">
        <v>-4500</v>
      </c>
      <c r="M5" s="9"/>
      <c r="N5" s="48">
        <v>-500</v>
      </c>
      <c r="O5" s="21">
        <f t="shared" ref="O5:O30" si="3">IF(COUNTA($F5,$K5,$P5)&gt;0,O4+SUM(L5:N5),"")</f>
        <v>30000</v>
      </c>
      <c r="P5" s="8" t="s">
        <v>150</v>
      </c>
      <c r="Q5" s="9">
        <v>12000</v>
      </c>
      <c r="R5" s="9"/>
      <c r="S5" s="48">
        <v>1000</v>
      </c>
      <c r="T5" s="21">
        <f t="shared" ref="T5:T30" si="4">IF(COUNTA($F5,$K5,$P5)&gt;0,T4+SUM(Q5:S5),"")</f>
        <v>36400</v>
      </c>
      <c r="U5" s="53">
        <f>IF($J5="","",ROUND(($J5-$J$3)/1000,1)+(_xlfn.RANK.AVG($J5,($J5,$O5,$T5),1)-2)*20)</f>
        <v>23.6</v>
      </c>
      <c r="V5" s="54">
        <f>IF($O5="","",ROUND(($O5-$O$3)/1000,1)+(_xlfn.RANK.AVG($O5,($J5,$O5,$T5),1)-2)*20)</f>
        <v>-25</v>
      </c>
      <c r="W5" s="55">
        <f>IF($T5="","",ROUND(($T5-$T$3)/1000,1)+(_xlfn.RANK.AVG($T5,($J5,$O5,$T5),1)-2)*20)</f>
        <v>1.4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146</v>
      </c>
      <c r="BU5" s="40" t="s">
        <v>147</v>
      </c>
      <c r="BV5" s="41" t="s">
        <v>82</v>
      </c>
      <c r="BW5" s="41" t="s">
        <v>83</v>
      </c>
      <c r="BX5" s="41" t="s">
        <v>92</v>
      </c>
      <c r="BY5" s="41" t="s">
        <v>80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 t="s">
        <v>145</v>
      </c>
      <c r="G6" s="9">
        <v>-24000</v>
      </c>
      <c r="H6" s="9"/>
      <c r="I6" s="48">
        <v>0</v>
      </c>
      <c r="J6" s="21">
        <f t="shared" si="2"/>
        <v>14600</v>
      </c>
      <c r="K6" s="8" t="s">
        <v>144</v>
      </c>
      <c r="L6" s="9">
        <v>24000</v>
      </c>
      <c r="M6" s="9"/>
      <c r="N6" s="48">
        <v>0</v>
      </c>
      <c r="O6" s="21">
        <f t="shared" si="3"/>
        <v>54000</v>
      </c>
      <c r="P6" s="8"/>
      <c r="Q6" s="9"/>
      <c r="R6" s="9"/>
      <c r="S6" s="48"/>
      <c r="T6" s="21">
        <f t="shared" si="4"/>
        <v>36400</v>
      </c>
      <c r="U6" s="53">
        <f>IF($J6="","",ROUND(($J6-$J$3)/1000,1)+(_xlfn.RANK.AVG($J6,($J6,$O6,$T6),1)-2)*20)</f>
        <v>-40.4</v>
      </c>
      <c r="V6" s="54">
        <f>IF($O6="","",ROUND(($O6-$O$3)/1000,1)+(_xlfn.RANK.AVG($O6,($J6,$O6,$T6),1)-2)*20)</f>
        <v>39</v>
      </c>
      <c r="W6" s="55">
        <f>IF($T6="","",ROUND(($T6-$T$3)/1000,1)+(_xlfn.RANK.AVG($T6,($J6,$O6,$T6),1)-2)*20)</f>
        <v>1.4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10</v>
      </c>
      <c r="AY6" s="30" t="s">
        <v>146</v>
      </c>
      <c r="AZ6" s="40" t="s">
        <v>98</v>
      </c>
      <c r="BA6" s="41" t="s">
        <v>86</v>
      </c>
      <c r="BB6" s="41" t="s">
        <v>86</v>
      </c>
      <c r="BC6" s="41" t="s">
        <v>79</v>
      </c>
      <c r="BD6" s="41" t="s">
        <v>79</v>
      </c>
      <c r="BE6" s="41" t="s">
        <v>79</v>
      </c>
      <c r="BF6" s="41" t="s">
        <v>79</v>
      </c>
      <c r="BG6" s="41" t="s">
        <v>79</v>
      </c>
      <c r="BH6" s="41" t="s">
        <v>79</v>
      </c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140</v>
      </c>
      <c r="F7" s="8" t="s">
        <v>145</v>
      </c>
      <c r="G7" s="9">
        <v>-12000</v>
      </c>
      <c r="H7" s="9"/>
      <c r="I7" s="48">
        <v>-1000</v>
      </c>
      <c r="J7" s="21">
        <f t="shared" si="2"/>
        <v>1600</v>
      </c>
      <c r="K7" s="8" t="s">
        <v>144</v>
      </c>
      <c r="L7" s="9">
        <v>12000</v>
      </c>
      <c r="M7" s="9"/>
      <c r="N7" s="48">
        <v>1000</v>
      </c>
      <c r="O7" s="21">
        <f t="shared" si="3"/>
        <v>67000</v>
      </c>
      <c r="P7" s="8"/>
      <c r="Q7" s="9"/>
      <c r="R7" s="9"/>
      <c r="S7" s="48"/>
      <c r="T7" s="21">
        <f t="shared" si="4"/>
        <v>36400</v>
      </c>
      <c r="U7" s="53">
        <f>IF($J7="","",ROUND(($J7-$J$3)/1000,1)+(_xlfn.RANK.AVG($J7,($J7,$O7,$T7),1)-2)*20)</f>
        <v>-53.4</v>
      </c>
      <c r="V7" s="54">
        <f>IF($O7="","",ROUND(($O7-$O$3)/1000,1)+(_xlfn.RANK.AVG($O7,($J7,$O7,$T7),1)-2)*20)</f>
        <v>52</v>
      </c>
      <c r="W7" s="55">
        <f>IF($T7="","",ROUND(($T7-$T$3)/1000,1)+(_xlfn.RANK.AVG($T7,($J7,$O7,$T7),1)-2)*20)</f>
        <v>1.4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146</v>
      </c>
      <c r="AZ7" s="40" t="s">
        <v>147</v>
      </c>
      <c r="BA7" s="41" t="s">
        <v>83</v>
      </c>
      <c r="BB7" s="41" t="s">
        <v>92</v>
      </c>
      <c r="BC7" s="41" t="s">
        <v>80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140</v>
      </c>
      <c r="F8" s="8" t="s">
        <v>149</v>
      </c>
      <c r="G8" s="9">
        <v>-3000</v>
      </c>
      <c r="H8" s="9"/>
      <c r="I8" s="48">
        <v>-1000</v>
      </c>
      <c r="J8" s="21">
        <f t="shared" si="2"/>
        <v>-2400</v>
      </c>
      <c r="K8" s="8" t="s">
        <v>149</v>
      </c>
      <c r="L8" s="9">
        <v>-5000</v>
      </c>
      <c r="M8" s="9"/>
      <c r="N8" s="48">
        <v>-1000</v>
      </c>
      <c r="O8" s="21">
        <f t="shared" si="3"/>
        <v>61000</v>
      </c>
      <c r="P8" s="8" t="s">
        <v>150</v>
      </c>
      <c r="Q8" s="9">
        <v>8000</v>
      </c>
      <c r="R8" s="9"/>
      <c r="S8" s="48">
        <v>2000</v>
      </c>
      <c r="T8" s="21">
        <f t="shared" si="4"/>
        <v>46400</v>
      </c>
      <c r="U8" s="53">
        <f>IF($J8="","",ROUND(($J8-$J$3)/1000,1)+(_xlfn.RANK.AVG($J8,($J8,$O8,$T8),1)-2)*20)</f>
        <v>-57.4</v>
      </c>
      <c r="V8" s="54">
        <f>IF($O8="","",ROUND(($O8-$O$3)/1000,1)+(_xlfn.RANK.AVG($O8,($J8,$O8,$T8),1)-2)*20)</f>
        <v>46</v>
      </c>
      <c r="W8" s="55">
        <f>IF($T8="","",ROUND(($T8-$T$3)/1000,1)+(_xlfn.RANK.AVG($T8,($J8,$O8,$T8),1)-2)*20)</f>
        <v>11.4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146</v>
      </c>
      <c r="BU8" s="40" t="s">
        <v>147</v>
      </c>
      <c r="BV8" s="41" t="s">
        <v>82</v>
      </c>
      <c r="BW8" s="41" t="s">
        <v>83</v>
      </c>
      <c r="BX8" s="41" t="s">
        <v>85</v>
      </c>
      <c r="BY8" s="41" t="s">
        <v>84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49FFD392-A9DC-4B22-86A9-FA460349E31B}">
      <formula1>"ロン,ツモ,放銃,ツモ支払,流局,チョンボ"</formula1>
    </dataValidation>
    <dataValidation type="list" allowBlank="1" showInputMessage="1" showErrorMessage="1" sqref="E4:E30" xr:uid="{A405E4ED-2445-4D47-AA43-65B33D1BED9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179B9-F011-4B5D-A557-EAEBB017373A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155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ただ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154</v>
      </c>
      <c r="F4" s="8" t="s">
        <v>157</v>
      </c>
      <c r="G4" s="9">
        <v>-3000</v>
      </c>
      <c r="H4" s="9"/>
      <c r="I4" s="48"/>
      <c r="J4" s="21">
        <f>IF(COUNTA($F4,$K4,$P4)&gt;0,J3+SUM(G4:I4),"")</f>
        <v>32000</v>
      </c>
      <c r="K4" s="8" t="s">
        <v>157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157</v>
      </c>
      <c r="Q4" s="9">
        <v>1500</v>
      </c>
      <c r="R4" s="9">
        <v>-1000</v>
      </c>
      <c r="S4" s="48"/>
      <c r="T4" s="21">
        <f>IF(COUNTA($F4,$K4,$P4)&gt;0,T3+SUM(Q4:S4),"")</f>
        <v>35500</v>
      </c>
      <c r="U4" s="53">
        <f>IF($J4="","",ROUND(($J4-$J$3)/1000,1)+(_xlfn.RANK.AVG($J4,($J4,$O4,$T4),1)-2)*20)</f>
        <v>-23</v>
      </c>
      <c r="V4" s="54">
        <f>IF($O4="","",ROUND(($O4-$O$3)/1000,1)+(_xlfn.RANK.AVG($O4,($J4,$O4,$T4),1)-2)*20)</f>
        <v>10.5</v>
      </c>
      <c r="W4" s="55">
        <f>IF($T4="","",ROUND(($T4-$T$3)/1000,1)+(_xlfn.RANK.AVG($T4,($J4,$O4,$T4),1)-2)*20)</f>
        <v>10.5</v>
      </c>
      <c r="Y4" s="8" t="s">
        <v>158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159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159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140</v>
      </c>
      <c r="F5" s="8" t="s">
        <v>149</v>
      </c>
      <c r="G5" s="9">
        <v>-6000</v>
      </c>
      <c r="H5" s="9"/>
      <c r="I5" s="48">
        <v>-500</v>
      </c>
      <c r="J5" s="21">
        <f t="shared" ref="J5:J30" si="2">IF(COUNTA($F5,$K5,$P5)&gt;0,J4+SUM(G5:I5),"")</f>
        <v>25500</v>
      </c>
      <c r="K5" s="8" t="s">
        <v>150</v>
      </c>
      <c r="L5" s="9">
        <v>12000</v>
      </c>
      <c r="M5" s="9">
        <v>2000</v>
      </c>
      <c r="N5" s="48">
        <v>1000</v>
      </c>
      <c r="O5" s="21">
        <f t="shared" ref="O5:O30" si="3">IF(COUNTA($F5,$K5,$P5)&gt;0,O4+SUM(L5:N5),"")</f>
        <v>50500</v>
      </c>
      <c r="P5" s="8" t="s">
        <v>149</v>
      </c>
      <c r="Q5" s="9">
        <v>-6000</v>
      </c>
      <c r="R5" s="9"/>
      <c r="S5" s="48">
        <v>-500</v>
      </c>
      <c r="T5" s="21">
        <f t="shared" ref="T5:T30" si="4">IF(COUNTA($F5,$K5,$P5)&gt;0,T4+SUM(Q5:S5),"")</f>
        <v>29000</v>
      </c>
      <c r="U5" s="53">
        <f>IF($J5="","",ROUND(($J5-$J$3)/1000,1)+(_xlfn.RANK.AVG($J5,($J5,$O5,$T5),1)-2)*20)</f>
        <v>-29.5</v>
      </c>
      <c r="V5" s="54">
        <f>IF($O5="","",ROUND(($O5-$O$3)/1000,1)+(_xlfn.RANK.AVG($O5,($J5,$O5,$T5),1)-2)*20)</f>
        <v>35.5</v>
      </c>
      <c r="W5" s="55">
        <f>IF($T5="","",ROUND(($T5-$T$3)/1000,1)+(_xlfn.RANK.AVG($T5,($J5,$O5,$T5),1)-2)*20)</f>
        <v>-6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147</v>
      </c>
      <c r="BA5" s="41" t="s">
        <v>82</v>
      </c>
      <c r="BB5" s="41" t="s">
        <v>148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140</v>
      </c>
      <c r="F6" s="8" t="s">
        <v>150</v>
      </c>
      <c r="G6" s="9">
        <v>12000</v>
      </c>
      <c r="H6" s="9"/>
      <c r="I6" s="48">
        <v>2000</v>
      </c>
      <c r="J6" s="21">
        <f t="shared" si="2"/>
        <v>39500</v>
      </c>
      <c r="K6" s="8" t="s">
        <v>149</v>
      </c>
      <c r="L6" s="9">
        <v>-7500</v>
      </c>
      <c r="M6" s="9"/>
      <c r="N6" s="48">
        <v>-1000</v>
      </c>
      <c r="O6" s="21">
        <f t="shared" si="3"/>
        <v>42000</v>
      </c>
      <c r="P6" s="8" t="s">
        <v>149</v>
      </c>
      <c r="Q6" s="9">
        <v>-4500</v>
      </c>
      <c r="R6" s="9"/>
      <c r="S6" s="48">
        <v>-1000</v>
      </c>
      <c r="T6" s="21">
        <f t="shared" si="4"/>
        <v>23500</v>
      </c>
      <c r="U6" s="53">
        <f>IF($J6="","",ROUND(($J6-$J$3)/1000,1)+(_xlfn.RANK.AVG($J6,($J6,$O6,$T6),1)-2)*20)</f>
        <v>4.5</v>
      </c>
      <c r="V6" s="54">
        <f>IF($O6="","",ROUND(($O6-$O$3)/1000,1)+(_xlfn.RANK.AVG($O6,($J6,$O6,$T6),1)-2)*20)</f>
        <v>27</v>
      </c>
      <c r="W6" s="55">
        <f>IF($T6="","",ROUND(($T6-$T$3)/1000,1)+(_xlfn.RANK.AVG($T6,($J6,$O6,$T6),1)-2)*20)</f>
        <v>-31.5</v>
      </c>
      <c r="Y6" s="8"/>
      <c r="Z6" s="34"/>
      <c r="AA6" s="26"/>
      <c r="AB6" s="26"/>
      <c r="AC6" s="26">
        <v>6</v>
      </c>
      <c r="AD6" s="30" t="s">
        <v>146</v>
      </c>
      <c r="AE6" s="40" t="s">
        <v>106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150</v>
      </c>
      <c r="G7" s="9">
        <v>7700</v>
      </c>
      <c r="H7" s="9"/>
      <c r="I7" s="48">
        <v>0</v>
      </c>
      <c r="J7" s="21">
        <f t="shared" si="2"/>
        <v>47200</v>
      </c>
      <c r="K7" s="8" t="s">
        <v>149</v>
      </c>
      <c r="L7" s="9">
        <v>-2900</v>
      </c>
      <c r="M7" s="9"/>
      <c r="N7" s="48">
        <v>0</v>
      </c>
      <c r="O7" s="21">
        <f t="shared" si="3"/>
        <v>39100</v>
      </c>
      <c r="P7" s="8" t="s">
        <v>149</v>
      </c>
      <c r="Q7" s="9">
        <v>-4800</v>
      </c>
      <c r="R7" s="9"/>
      <c r="S7" s="48">
        <v>0</v>
      </c>
      <c r="T7" s="21">
        <f t="shared" si="4"/>
        <v>18700</v>
      </c>
      <c r="U7" s="53">
        <f>IF($J7="","",ROUND(($J7-$J$3)/1000,1)+(_xlfn.RANK.AVG($J7,($J7,$O7,$T7),1)-2)*20)</f>
        <v>32.200000000000003</v>
      </c>
      <c r="V7" s="54">
        <f>IF($O7="","",ROUND(($O7-$O$3)/1000,1)+(_xlfn.RANK.AVG($O7,($J7,$O7,$T7),1)-2)*20)</f>
        <v>4.0999999999999996</v>
      </c>
      <c r="W7" s="55">
        <f>IF($T7="","",ROUND(($T7-$T$3)/1000,1)+(_xlfn.RANK.AVG($T7,($J7,$O7,$T7),1)-2)*20)</f>
        <v>-36.299999999999997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147</v>
      </c>
      <c r="AF7" s="41" t="s">
        <v>82</v>
      </c>
      <c r="AG7" s="41" t="s">
        <v>148</v>
      </c>
      <c r="AH7" s="41" t="s">
        <v>86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154</v>
      </c>
      <c r="F8" s="8" t="s">
        <v>157</v>
      </c>
      <c r="G8" s="9">
        <v>-1500</v>
      </c>
      <c r="H8" s="9"/>
      <c r="I8" s="48"/>
      <c r="J8" s="21">
        <f t="shared" si="2"/>
        <v>45700</v>
      </c>
      <c r="K8" s="8" t="s">
        <v>157</v>
      </c>
      <c r="L8" s="9">
        <v>3000</v>
      </c>
      <c r="M8" s="9">
        <v>-1000</v>
      </c>
      <c r="N8" s="48"/>
      <c r="O8" s="21">
        <f t="shared" si="3"/>
        <v>41100</v>
      </c>
      <c r="P8" s="8" t="s">
        <v>157</v>
      </c>
      <c r="Q8" s="9">
        <v>-1500</v>
      </c>
      <c r="R8" s="9"/>
      <c r="S8" s="48"/>
      <c r="T8" s="21">
        <f t="shared" si="4"/>
        <v>17200</v>
      </c>
      <c r="U8" s="53">
        <f>IF($J8="","",ROUND(($J8-$J$3)/1000,1)+(_xlfn.RANK.AVG($J8,($J8,$O8,$T8),1)-2)*20)</f>
        <v>30.7</v>
      </c>
      <c r="V8" s="54">
        <f>IF($O8="","",ROUND(($O8-$O$3)/1000,1)+(_xlfn.RANK.AVG($O8,($J8,$O8,$T8),1)-2)*20)</f>
        <v>6.1</v>
      </c>
      <c r="W8" s="55">
        <f>IF($T8="","",ROUND(($T8-$T$3)/1000,1)+(_xlfn.RANK.AVG($T8,($J8,$O8,$T8),1)-2)*20)</f>
        <v>-37.799999999999997</v>
      </c>
      <c r="Y8" s="8" t="s">
        <v>158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159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158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1</v>
      </c>
      <c r="E9" s="4" t="s">
        <v>140</v>
      </c>
      <c r="F9" s="8" t="s">
        <v>157</v>
      </c>
      <c r="G9" s="9">
        <v>0</v>
      </c>
      <c r="H9" s="9"/>
      <c r="I9" s="48"/>
      <c r="J9" s="21">
        <f t="shared" si="2"/>
        <v>45700</v>
      </c>
      <c r="K9" s="8" t="s">
        <v>157</v>
      </c>
      <c r="L9" s="9">
        <v>0</v>
      </c>
      <c r="M9" s="9"/>
      <c r="N9" s="48"/>
      <c r="O9" s="21">
        <f t="shared" si="3"/>
        <v>41100</v>
      </c>
      <c r="P9" s="8" t="s">
        <v>157</v>
      </c>
      <c r="Q9" s="9">
        <v>0</v>
      </c>
      <c r="R9" s="9"/>
      <c r="S9" s="48"/>
      <c r="T9" s="21">
        <f t="shared" si="4"/>
        <v>17200</v>
      </c>
      <c r="U9" s="53">
        <f>IF($J9="","",ROUND(($J9-$J$3)/1000,1)+(_xlfn.RANK.AVG($J9,($J9,$O9,$T9),1)-2)*20)</f>
        <v>30.7</v>
      </c>
      <c r="V9" s="54">
        <f>IF($O9="","",ROUND(($O9-$O$3)/1000,1)+(_xlfn.RANK.AVG($O9,($J9,$O9,$T9),1)-2)*20)</f>
        <v>6.1</v>
      </c>
      <c r="W9" s="55">
        <f>IF($T9="","",ROUND(($T9-$T$3)/1000,1)+(_xlfn.RANK.AVG($T9,($J9,$O9,$T9),1)-2)*20)</f>
        <v>-37.799999999999997</v>
      </c>
      <c r="Y9" s="8" t="s">
        <v>159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159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159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1</v>
      </c>
      <c r="E10" s="4" t="s">
        <v>140</v>
      </c>
      <c r="F10" s="8"/>
      <c r="G10" s="9"/>
      <c r="H10" s="9"/>
      <c r="I10" s="48"/>
      <c r="J10" s="21">
        <f t="shared" si="2"/>
        <v>45700</v>
      </c>
      <c r="K10" s="8" t="s">
        <v>145</v>
      </c>
      <c r="L10" s="9">
        <v>-2600</v>
      </c>
      <c r="M10" s="9"/>
      <c r="N10" s="48">
        <v>-2000</v>
      </c>
      <c r="O10" s="21">
        <f t="shared" si="3"/>
        <v>36500</v>
      </c>
      <c r="P10" s="8" t="s">
        <v>144</v>
      </c>
      <c r="Q10" s="9">
        <v>2600</v>
      </c>
      <c r="R10" s="9">
        <v>1000</v>
      </c>
      <c r="S10" s="48">
        <v>2000</v>
      </c>
      <c r="T10" s="21">
        <f t="shared" si="4"/>
        <v>22800</v>
      </c>
      <c r="U10" s="53">
        <f>IF($J10="","",ROUND(($J10-$J$3)/1000,1)+(_xlfn.RANK.AVG($J10,($J10,$O10,$T10),1)-2)*20)</f>
        <v>30.7</v>
      </c>
      <c r="V10" s="54">
        <f>IF($O10="","",ROUND(($O10-$O$3)/1000,1)+(_xlfn.RANK.AVG($O10,($J10,$O10,$T10),1)-2)*20)</f>
        <v>1.5</v>
      </c>
      <c r="W10" s="55">
        <f>IF($T10="","",ROUND(($T10-$T$3)/1000,1)+(_xlfn.RANK.AVG($T10,($J10,$O10,$T10),1)-2)*20)</f>
        <v>-32.200000000000003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2</v>
      </c>
      <c r="BT10" s="30">
        <v>40</v>
      </c>
      <c r="BU10" s="40" t="s">
        <v>93</v>
      </c>
      <c r="BV10" s="41" t="s">
        <v>86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144</v>
      </c>
      <c r="G11" s="9">
        <v>2600</v>
      </c>
      <c r="H11" s="9">
        <v>1000</v>
      </c>
      <c r="I11" s="48">
        <v>0</v>
      </c>
      <c r="J11" s="21">
        <f t="shared" si="2"/>
        <v>49300</v>
      </c>
      <c r="K11" s="8" t="s">
        <v>145</v>
      </c>
      <c r="L11" s="9">
        <v>-2600</v>
      </c>
      <c r="M11" s="9">
        <v>-1000</v>
      </c>
      <c r="N11" s="48">
        <v>0</v>
      </c>
      <c r="O11" s="21">
        <f t="shared" si="3"/>
        <v>32900</v>
      </c>
      <c r="P11" s="8"/>
      <c r="Q11" s="9"/>
      <c r="R11" s="9"/>
      <c r="S11" s="48"/>
      <c r="T11" s="21">
        <f t="shared" si="4"/>
        <v>22800</v>
      </c>
      <c r="U11" s="53">
        <f>IF($J11="","",ROUND(($J11-$J$3)/1000,1)+(_xlfn.RANK.AVG($J11,($J11,$O11,$T11),1)-2)*20)</f>
        <v>34.299999999999997</v>
      </c>
      <c r="V11" s="54">
        <f>IF($O11="","",ROUND(($O11-$O$3)/1000,1)+(_xlfn.RANK.AVG($O11,($J11,$O11,$T11),1)-2)*20)</f>
        <v>-2.1</v>
      </c>
      <c r="W11" s="55">
        <f>IF($T11="","",ROUND(($T11-$T$3)/1000,1)+(_xlfn.RANK.AVG($T11,($J11,$O11,$T11),1)-2)*20)</f>
        <v>-32.200000000000003</v>
      </c>
      <c r="Y11" s="8"/>
      <c r="Z11" s="34"/>
      <c r="AA11" s="26">
        <v>1</v>
      </c>
      <c r="AB11" s="26"/>
      <c r="AC11" s="26">
        <v>2</v>
      </c>
      <c r="AD11" s="30">
        <v>40</v>
      </c>
      <c r="AE11" s="40" t="s">
        <v>147</v>
      </c>
      <c r="AF11" s="41" t="s">
        <v>79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E4DA53FC-8B9E-45DC-AA93-F07C6B67A48B}">
      <formula1>$U$2:$W$2</formula1>
    </dataValidation>
    <dataValidation type="list" showInputMessage="1" showErrorMessage="1" sqref="K4:K30 P4:P30 F4:F30" xr:uid="{99038BB9-D0D2-4504-928A-530D64287B1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FB7C-F51F-4A13-8163-C6DDD5FC6414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21</v>
      </c>
      <c r="E1" s="87" t="s">
        <v>3</v>
      </c>
      <c r="F1" s="78" t="s">
        <v>155</v>
      </c>
      <c r="G1" s="79"/>
      <c r="H1" s="79"/>
      <c r="I1" s="80"/>
      <c r="J1" s="81"/>
      <c r="K1" s="78" t="s">
        <v>141</v>
      </c>
      <c r="L1" s="79"/>
      <c r="M1" s="79"/>
      <c r="N1" s="80"/>
      <c r="O1" s="81"/>
      <c r="P1" s="78" t="s">
        <v>143</v>
      </c>
      <c r="Q1" s="79"/>
      <c r="R1" s="79"/>
      <c r="S1" s="80"/>
      <c r="T1" s="81"/>
      <c r="U1" s="78" t="s">
        <v>6</v>
      </c>
      <c r="V1" s="79"/>
      <c r="W1" s="81"/>
      <c r="Y1" s="78" t="str">
        <f>F1</f>
        <v>まっつん</v>
      </c>
      <c r="Z1" s="82"/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/>
      <c r="AN1" s="79"/>
      <c r="AO1" s="79"/>
      <c r="AP1" s="79"/>
      <c r="AQ1" s="79"/>
      <c r="AR1" s="79"/>
      <c r="AS1" s="81"/>
      <c r="AT1" s="78" t="str">
        <f>K1</f>
        <v>ただ</v>
      </c>
      <c r="AU1" s="82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81"/>
      <c r="BO1" s="78" t="str">
        <f>P1</f>
        <v>れんたろう</v>
      </c>
      <c r="BP1" s="82"/>
      <c r="BQ1" s="79"/>
      <c r="BR1" s="79"/>
      <c r="BS1" s="79"/>
      <c r="BT1" s="79"/>
      <c r="BU1" s="79"/>
      <c r="BV1" s="79"/>
      <c r="BW1" s="79"/>
      <c r="BX1" s="79"/>
      <c r="BY1" s="79"/>
      <c r="BZ1" s="79"/>
      <c r="CA1" s="79"/>
      <c r="CB1" s="79"/>
      <c r="CC1" s="79"/>
      <c r="CD1" s="79"/>
      <c r="CE1" s="79"/>
      <c r="CF1" s="79"/>
      <c r="CG1" s="79"/>
      <c r="CH1" s="79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まっつん</v>
      </c>
      <c r="V2" s="75" t="str">
        <f>$K$1</f>
        <v>ただ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77" t="s">
        <v>20</v>
      </c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77" t="s">
        <v>20</v>
      </c>
      <c r="BA2" s="77"/>
      <c r="BB2" s="77"/>
      <c r="BC2" s="77"/>
      <c r="BD2" s="77"/>
      <c r="BE2" s="77"/>
      <c r="BF2" s="77"/>
      <c r="BG2" s="77"/>
      <c r="BH2" s="77"/>
      <c r="BI2" s="77"/>
      <c r="BJ2" s="77"/>
      <c r="BK2" s="77"/>
      <c r="BL2" s="77"/>
      <c r="BM2" s="77"/>
      <c r="BN2" s="7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77" t="s">
        <v>20</v>
      </c>
      <c r="BV2" s="77"/>
      <c r="BW2" s="77"/>
      <c r="BX2" s="77"/>
      <c r="BY2" s="77"/>
      <c r="BZ2" s="77"/>
      <c r="CA2" s="77"/>
      <c r="CB2" s="77"/>
      <c r="CC2" s="77"/>
      <c r="CD2" s="77"/>
      <c r="CE2" s="77"/>
      <c r="CF2" s="77"/>
      <c r="CG2" s="77"/>
      <c r="CH2" s="77"/>
      <c r="CI2" s="7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154</v>
      </c>
      <c r="F4" s="8" t="s">
        <v>144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145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IF($J4="","",ROUND(($J4-$J$3)/1000,1)+(_xlfn.RANK.AVG($J4,($J4,$O4,$T4),1)-2)*20)</f>
        <v>32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-32</v>
      </c>
      <c r="Y4" s="8"/>
      <c r="Z4" s="34"/>
      <c r="AA4" s="26">
        <v>1</v>
      </c>
      <c r="AB4" s="26"/>
      <c r="AC4" s="26">
        <v>5</v>
      </c>
      <c r="AD4" s="30" t="s">
        <v>146</v>
      </c>
      <c r="AE4" s="40" t="s">
        <v>147</v>
      </c>
      <c r="AF4" s="41" t="s">
        <v>83</v>
      </c>
      <c r="AG4" s="41" t="s">
        <v>84</v>
      </c>
      <c r="AH4" s="41" t="s">
        <v>80</v>
      </c>
      <c r="AI4" s="41" t="s">
        <v>80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154</v>
      </c>
      <c r="F5" s="8" t="s">
        <v>157</v>
      </c>
      <c r="G5" s="9">
        <v>-1500</v>
      </c>
      <c r="H5" s="9"/>
      <c r="I5" s="48"/>
      <c r="J5" s="21">
        <f t="shared" ref="J5:J30" si="2">IF(COUNTA($F5,$K5,$P5)&gt;0,J4+SUM(G5:I5),"")</f>
        <v>45500</v>
      </c>
      <c r="K5" s="8" t="s">
        <v>157</v>
      </c>
      <c r="L5" s="9">
        <v>-1500</v>
      </c>
      <c r="M5" s="9"/>
      <c r="N5" s="48"/>
      <c r="O5" s="21">
        <f t="shared" ref="O5:O30" si="3">IF(COUNTA($F5,$K5,$P5)&gt;0,O4+SUM(L5:N5),"")</f>
        <v>33500</v>
      </c>
      <c r="P5" s="8" t="s">
        <v>157</v>
      </c>
      <c r="Q5" s="9">
        <v>3000</v>
      </c>
      <c r="R5" s="9"/>
      <c r="S5" s="48"/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30.5</v>
      </c>
      <c r="V5" s="54">
        <f>IF($O5="","",ROUND(($O5-$O$3)/1000,1)+(_xlfn.RANK.AVG($O5,($J5,$O5,$T5),1)-2)*20)</f>
        <v>-1.5</v>
      </c>
      <c r="W5" s="55">
        <f>IF($T5="","",ROUND(($T5-$T$3)/1000,1)+(_xlfn.RANK.AVG($T5,($J5,$O5,$T5),1)-2)*20)</f>
        <v>-29</v>
      </c>
      <c r="Y5" s="8" t="s">
        <v>158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158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159</v>
      </c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140</v>
      </c>
      <c r="F6" s="8" t="s">
        <v>149</v>
      </c>
      <c r="G6" s="9">
        <v>-3900</v>
      </c>
      <c r="H6" s="9"/>
      <c r="I6" s="48">
        <v>-1000</v>
      </c>
      <c r="J6" s="21">
        <f t="shared" si="2"/>
        <v>40600</v>
      </c>
      <c r="K6" s="8" t="s">
        <v>150</v>
      </c>
      <c r="L6" s="9">
        <v>7800</v>
      </c>
      <c r="M6" s="9"/>
      <c r="N6" s="48">
        <v>2000</v>
      </c>
      <c r="O6" s="21">
        <f t="shared" si="3"/>
        <v>43300</v>
      </c>
      <c r="P6" s="8" t="s">
        <v>149</v>
      </c>
      <c r="Q6" s="9">
        <v>-3900</v>
      </c>
      <c r="R6" s="9"/>
      <c r="S6" s="48">
        <v>-1000</v>
      </c>
      <c r="T6" s="21">
        <f t="shared" si="4"/>
        <v>21100</v>
      </c>
      <c r="U6" s="53">
        <f>IF($J6="","",ROUND(($J6-$J$3)/1000,1)+(_xlfn.RANK.AVG($J6,($J6,$O6,$T6),1)-2)*20)</f>
        <v>5.6</v>
      </c>
      <c r="V6" s="54">
        <f>IF($O6="","",ROUND(($O6-$O$3)/1000,1)+(_xlfn.RANK.AVG($O6,($J6,$O6,$T6),1)-2)*20)</f>
        <v>28.3</v>
      </c>
      <c r="W6" s="55">
        <f>IF($T6="","",ROUND(($T6-$T$3)/1000,1)+(_xlfn.RANK.AVG($T6,($J6,$O6,$T6),1)-2)*20)</f>
        <v>-33.9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20</v>
      </c>
      <c r="AZ6" s="40" t="s">
        <v>82</v>
      </c>
      <c r="BA6" s="41" t="s">
        <v>83</v>
      </c>
      <c r="BB6" s="41" t="s">
        <v>148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140</v>
      </c>
      <c r="F7" s="8" t="s">
        <v>145</v>
      </c>
      <c r="G7" s="9">
        <v>-12000</v>
      </c>
      <c r="H7" s="9">
        <v>-1000</v>
      </c>
      <c r="I7" s="48">
        <v>-3000</v>
      </c>
      <c r="J7" s="21">
        <f t="shared" si="2"/>
        <v>24600</v>
      </c>
      <c r="K7" s="8" t="s">
        <v>144</v>
      </c>
      <c r="L7" s="9">
        <v>12000</v>
      </c>
      <c r="M7" s="9">
        <v>1000</v>
      </c>
      <c r="N7" s="48">
        <v>3000</v>
      </c>
      <c r="O7" s="21">
        <f t="shared" si="3"/>
        <v>59300</v>
      </c>
      <c r="P7" s="8"/>
      <c r="Q7" s="9"/>
      <c r="R7" s="9"/>
      <c r="S7" s="48"/>
      <c r="T7" s="21">
        <f t="shared" si="4"/>
        <v>21100</v>
      </c>
      <c r="U7" s="53">
        <f>IF($J7="","",ROUND(($J7-$J$3)/1000,1)+(_xlfn.RANK.AVG($J7,($J7,$O7,$T7),1)-2)*20)</f>
        <v>-10.4</v>
      </c>
      <c r="V7" s="54">
        <f>IF($O7="","",ROUND(($O7-$O$3)/1000,1)+(_xlfn.RANK.AVG($O7,($J7,$O7,$T7),1)-2)*20)</f>
        <v>44.3</v>
      </c>
      <c r="W7" s="55">
        <f>IF($T7="","",ROUND(($T7-$T$3)/1000,1)+(_xlfn.RANK.AVG($T7,($J7,$O7,$T7),1)-2)*20)</f>
        <v>-33.9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146</v>
      </c>
      <c r="AZ7" s="40" t="s">
        <v>98</v>
      </c>
      <c r="BA7" s="41" t="s">
        <v>104</v>
      </c>
      <c r="BB7" s="41" t="s">
        <v>86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4</v>
      </c>
      <c r="D8" s="18">
        <f t="shared" si="1"/>
        <v>0</v>
      </c>
      <c r="E8" s="4" t="s">
        <v>140</v>
      </c>
      <c r="F8" s="8" t="s">
        <v>150</v>
      </c>
      <c r="G8" s="9">
        <v>1200</v>
      </c>
      <c r="H8" s="9"/>
      <c r="I8" s="48">
        <v>4000</v>
      </c>
      <c r="J8" s="21">
        <f t="shared" si="2"/>
        <v>29800</v>
      </c>
      <c r="K8" s="8" t="s">
        <v>149</v>
      </c>
      <c r="L8" s="9">
        <v>-700</v>
      </c>
      <c r="M8" s="9"/>
      <c r="N8" s="48">
        <v>-2000</v>
      </c>
      <c r="O8" s="21">
        <f t="shared" si="3"/>
        <v>56600</v>
      </c>
      <c r="P8" s="8" t="s">
        <v>149</v>
      </c>
      <c r="Q8" s="9">
        <v>-500</v>
      </c>
      <c r="R8" s="9"/>
      <c r="S8" s="48">
        <v>-2000</v>
      </c>
      <c r="T8" s="21">
        <f t="shared" si="4"/>
        <v>18600</v>
      </c>
      <c r="U8" s="53">
        <f>IF($J8="","",ROUND(($J8-$J$3)/1000,1)+(_xlfn.RANK.AVG($J8,($J8,$O8,$T8),1)-2)*20)</f>
        <v>-5.2</v>
      </c>
      <c r="V8" s="54">
        <f>IF($O8="","",ROUND(($O8-$O$3)/1000,1)+(_xlfn.RANK.AVG($O8,($J8,$O8,$T8),1)-2)*20)</f>
        <v>41.6</v>
      </c>
      <c r="W8" s="55">
        <f>IF($T8="","",ROUND(($T8-$T$3)/1000,1)+(_xlfn.RANK.AVG($T8,($J8,$O8,$T8),1)-2)*20)</f>
        <v>-36.4</v>
      </c>
      <c r="Y8" s="8"/>
      <c r="Z8" s="34"/>
      <c r="AA8" s="26"/>
      <c r="AB8" s="26"/>
      <c r="AC8" s="26">
        <v>1</v>
      </c>
      <c r="AD8" s="30">
        <v>30</v>
      </c>
      <c r="AE8" s="40" t="s">
        <v>82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142</v>
      </c>
      <c r="F9" s="8" t="s">
        <v>145</v>
      </c>
      <c r="G9" s="9">
        <v>-18000</v>
      </c>
      <c r="H9" s="9"/>
      <c r="I9" s="48">
        <v>0</v>
      </c>
      <c r="J9" s="21">
        <f t="shared" si="2"/>
        <v>11800</v>
      </c>
      <c r="K9" s="8"/>
      <c r="L9" s="9"/>
      <c r="M9" s="9"/>
      <c r="N9" s="48"/>
      <c r="O9" s="21">
        <f t="shared" si="3"/>
        <v>56600</v>
      </c>
      <c r="P9" s="8" t="s">
        <v>144</v>
      </c>
      <c r="Q9" s="9">
        <v>18000</v>
      </c>
      <c r="R9" s="9"/>
      <c r="S9" s="48">
        <v>0</v>
      </c>
      <c r="T9" s="21">
        <f t="shared" si="4"/>
        <v>36600</v>
      </c>
      <c r="U9" s="53">
        <f>IF($J9="","",ROUND(($J9-$J$3)/1000,1)+(_xlfn.RANK.AVG($J9,($J9,$O9,$T9),1)-2)*20)</f>
        <v>-43.2</v>
      </c>
      <c r="V9" s="54">
        <f>IF($O9="","",ROUND(($O9-$O$3)/1000,1)+(_xlfn.RANK.AVG($O9,($J9,$O9,$T9),1)-2)*20)</f>
        <v>41.6</v>
      </c>
      <c r="W9" s="55">
        <f>IF($T9="","",ROUND(($T9-$T$3)/1000,1)+(_xlfn.RANK.AVG($T9,($J9,$O9,$T9),1)-2)*20)</f>
        <v>1.6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6</v>
      </c>
      <c r="BT9" s="30" t="s">
        <v>146</v>
      </c>
      <c r="BU9" s="40" t="s">
        <v>79</v>
      </c>
      <c r="BV9" s="41" t="s">
        <v>106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142</v>
      </c>
      <c r="F10" s="8" t="s">
        <v>145</v>
      </c>
      <c r="G10" s="9">
        <v>-12000</v>
      </c>
      <c r="H10" s="9"/>
      <c r="I10" s="48">
        <v>-1000</v>
      </c>
      <c r="J10" s="21">
        <f t="shared" si="2"/>
        <v>-1200</v>
      </c>
      <c r="K10" s="8"/>
      <c r="L10" s="9"/>
      <c r="M10" s="9"/>
      <c r="N10" s="48"/>
      <c r="O10" s="21">
        <f t="shared" si="3"/>
        <v>56600</v>
      </c>
      <c r="P10" s="8" t="s">
        <v>144</v>
      </c>
      <c r="Q10" s="9">
        <v>12000</v>
      </c>
      <c r="R10" s="9"/>
      <c r="S10" s="48">
        <v>1000</v>
      </c>
      <c r="T10" s="21">
        <f t="shared" si="4"/>
        <v>49600</v>
      </c>
      <c r="U10" s="53">
        <f>IF($J10="","",ROUND(($J10-$J$3)/1000,1)+(_xlfn.RANK.AVG($J10,($J10,$O10,$T10),1)-2)*20)</f>
        <v>-56.2</v>
      </c>
      <c r="V10" s="54">
        <f>IF($O10="","",ROUND(($O10-$O$3)/1000,1)+(_xlfn.RANK.AVG($O10,($J10,$O10,$T10),1)-2)*20)</f>
        <v>41.6</v>
      </c>
      <c r="W10" s="55">
        <f>IF($T10="","",ROUND(($T10-$T$3)/1000,1)+(_xlfn.RANK.AVG($T10,($J10,$O10,$T10),1)-2)*20)</f>
        <v>14.6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146</v>
      </c>
      <c r="BU10" s="40" t="s">
        <v>147</v>
      </c>
      <c r="BV10" s="41" t="s">
        <v>84</v>
      </c>
      <c r="BW10" s="41" t="s">
        <v>79</v>
      </c>
      <c r="BX10" s="41" t="s">
        <v>79</v>
      </c>
      <c r="BY10" s="41" t="s">
        <v>148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1AF06061-3D0E-49CD-9181-FB94F2B5AE2B}">
      <formula1>"ロン,ツモ,放銃,ツモ支払,流局,チョンボ"</formula1>
    </dataValidation>
    <dataValidation type="list" allowBlank="1" showInputMessage="1" showErrorMessage="1" sqref="E4:E30" xr:uid="{8CD11267-F232-44A0-BF49-8D791FA49EF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2019-05-18T10:39:54Z</dcterms:modified>
</cp:coreProperties>
</file>