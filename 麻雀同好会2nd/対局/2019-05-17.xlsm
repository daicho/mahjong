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146C1A82-A15D-4F7A-8D60-6811AFDAD051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D13" i="21"/>
  <c r="C13" i="21"/>
  <c r="D12" i="21"/>
  <c r="C12" i="21"/>
  <c r="D11" i="21"/>
  <c r="D10" i="21"/>
  <c r="C10" i="21"/>
  <c r="C11" i="21" s="1"/>
  <c r="D9" i="21"/>
  <c r="C9" i="21"/>
  <c r="D8" i="21"/>
  <c r="C8" i="21"/>
  <c r="D7" i="21"/>
  <c r="D6" i="21"/>
  <c r="B6" i="21"/>
  <c r="B7" i="21" s="1"/>
  <c r="D5" i="21"/>
  <c r="C5" i="21"/>
  <c r="C6" i="21" s="1"/>
  <c r="C7" i="21" s="1"/>
  <c r="B5" i="21"/>
  <c r="A5" i="21"/>
  <c r="T4" i="21"/>
  <c r="T5" i="21" s="1"/>
  <c r="O4" i="21"/>
  <c r="J4" i="21"/>
  <c r="W3" i="21"/>
  <c r="V3" i="21"/>
  <c r="U3" i="21"/>
  <c r="W2" i="21"/>
  <c r="V2" i="21"/>
  <c r="U2" i="21"/>
  <c r="BO1" i="21"/>
  <c r="AT1" i="21"/>
  <c r="Y1" i="21"/>
  <c r="A6" i="21" l="1"/>
  <c r="V4" i="21"/>
  <c r="W4" i="21"/>
  <c r="B8" i="21"/>
  <c r="A8" i="21" s="1"/>
  <c r="T6" i="21"/>
  <c r="J5" i="21"/>
  <c r="A7" i="21"/>
  <c r="U4" i="21"/>
  <c r="O5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O13" i="20"/>
  <c r="J13" i="20"/>
  <c r="U13" i="20" s="1"/>
  <c r="D13" i="20"/>
  <c r="C13" i="20"/>
  <c r="B13" i="20"/>
  <c r="A13" i="20" s="1"/>
  <c r="T12" i="20"/>
  <c r="O12" i="20"/>
  <c r="J12" i="20"/>
  <c r="D12" i="20"/>
  <c r="C12" i="20"/>
  <c r="B12" i="20"/>
  <c r="A12" i="20" s="1"/>
  <c r="T11" i="20"/>
  <c r="O11" i="20"/>
  <c r="J11" i="20"/>
  <c r="D11" i="20"/>
  <c r="C11" i="20"/>
  <c r="B11" i="20"/>
  <c r="A11" i="20" s="1"/>
  <c r="T10" i="20"/>
  <c r="O10" i="20"/>
  <c r="J10" i="20"/>
  <c r="U10" i="20" s="1"/>
  <c r="D10" i="20"/>
  <c r="C10" i="20"/>
  <c r="B10" i="20"/>
  <c r="A10" i="20" s="1"/>
  <c r="D9" i="20"/>
  <c r="C9" i="20"/>
  <c r="D8" i="20"/>
  <c r="D7" i="20"/>
  <c r="C7" i="20"/>
  <c r="C8" i="20" s="1"/>
  <c r="B7" i="20"/>
  <c r="D6" i="20"/>
  <c r="C6" i="20"/>
  <c r="B6" i="20"/>
  <c r="A6" i="20" s="1"/>
  <c r="T5" i="20"/>
  <c r="O5" i="20"/>
  <c r="D5" i="20"/>
  <c r="C5" i="20"/>
  <c r="B5" i="20"/>
  <c r="A5" i="20"/>
  <c r="T4" i="20"/>
  <c r="O4" i="20"/>
  <c r="J4" i="20"/>
  <c r="J5" i="20" s="1"/>
  <c r="W3" i="20"/>
  <c r="V3" i="20"/>
  <c r="U3" i="20"/>
  <c r="W2" i="20"/>
  <c r="V2" i="20"/>
  <c r="U2" i="20"/>
  <c r="BO1" i="20"/>
  <c r="AT1" i="20"/>
  <c r="Y1" i="20"/>
  <c r="V5" i="21" l="1"/>
  <c r="O6" i="21"/>
  <c r="U5" i="21"/>
  <c r="J6" i="21"/>
  <c r="T7" i="21"/>
  <c r="W5" i="21"/>
  <c r="B9" i="21"/>
  <c r="A9" i="21" s="1"/>
  <c r="W13" i="20"/>
  <c r="V13" i="20"/>
  <c r="W12" i="20"/>
  <c r="V12" i="20"/>
  <c r="U12" i="20"/>
  <c r="U11" i="20"/>
  <c r="V11" i="20"/>
  <c r="W11" i="20"/>
  <c r="V10" i="20"/>
  <c r="W10" i="20"/>
  <c r="W4" i="20"/>
  <c r="V4" i="20"/>
  <c r="U4" i="20"/>
  <c r="V5" i="20"/>
  <c r="W5" i="20"/>
  <c r="J6" i="20"/>
  <c r="U5" i="20"/>
  <c r="A7" i="20"/>
  <c r="O6" i="20"/>
  <c r="B8" i="20"/>
  <c r="A8" i="20" s="1"/>
  <c r="T6" i="20"/>
  <c r="B10" i="21" l="1"/>
  <c r="A10" i="21" s="1"/>
  <c r="U6" i="21"/>
  <c r="J7" i="21"/>
  <c r="O7" i="21"/>
  <c r="V6" i="21"/>
  <c r="W7" i="21"/>
  <c r="T8" i="21"/>
  <c r="W6" i="21"/>
  <c r="B9" i="20"/>
  <c r="A9" i="20" s="1"/>
  <c r="U6" i="20"/>
  <c r="J7" i="20"/>
  <c r="V6" i="20"/>
  <c r="O7" i="20"/>
  <c r="W6" i="20"/>
  <c r="T7" i="20"/>
  <c r="T9" i="21" l="1"/>
  <c r="O8" i="21"/>
  <c r="V7" i="21"/>
  <c r="U7" i="21"/>
  <c r="J8" i="21"/>
  <c r="B11" i="21"/>
  <c r="W7" i="20"/>
  <c r="T8" i="20"/>
  <c r="U7" i="20"/>
  <c r="J8" i="20"/>
  <c r="O8" i="20"/>
  <c r="V7" i="20"/>
  <c r="B12" i="21" l="1"/>
  <c r="U8" i="21"/>
  <c r="J9" i="21"/>
  <c r="W9" i="21" s="1"/>
  <c r="A11" i="21"/>
  <c r="V8" i="21"/>
  <c r="O9" i="21"/>
  <c r="T10" i="21"/>
  <c r="W8" i="21"/>
  <c r="U8" i="20"/>
  <c r="J9" i="20"/>
  <c r="W8" i="20"/>
  <c r="T9" i="20"/>
  <c r="V8" i="20"/>
  <c r="O9" i="20"/>
  <c r="B13" i="21" l="1"/>
  <c r="A13" i="21" s="1"/>
  <c r="U9" i="21"/>
  <c r="J10" i="21"/>
  <c r="A12" i="21"/>
  <c r="T11" i="21"/>
  <c r="V9" i="21"/>
  <c r="O10" i="21"/>
  <c r="W10" i="21" s="1"/>
  <c r="V9" i="20"/>
  <c r="W9" i="20"/>
  <c r="U9" i="20"/>
  <c r="W11" i="21" l="1"/>
  <c r="T12" i="21"/>
  <c r="U10" i="21"/>
  <c r="J11" i="21"/>
  <c r="O11" i="21"/>
  <c r="V10" i="21"/>
  <c r="W12" i="21" l="1"/>
  <c r="T13" i="21"/>
  <c r="O12" i="21"/>
  <c r="V11" i="21"/>
  <c r="U11" i="21"/>
  <c r="J12" i="21"/>
  <c r="U12" i="21" l="1"/>
  <c r="J13" i="21"/>
  <c r="U13" i="21" s="1"/>
  <c r="V12" i="21"/>
  <c r="O13" i="21"/>
  <c r="W13" i="21" l="1"/>
  <c r="V13" i="21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O9" i="19"/>
  <c r="J9" i="19"/>
  <c r="U9" i="19" s="1"/>
  <c r="D9" i="19"/>
  <c r="C9" i="19"/>
  <c r="B9" i="19"/>
  <c r="A9" i="19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V9" i="19" l="1"/>
  <c r="W9" i="19"/>
  <c r="U8" i="19"/>
  <c r="V8" i="19"/>
  <c r="W7" i="19"/>
  <c r="U7" i="19"/>
  <c r="V7" i="19"/>
  <c r="V6" i="19"/>
  <c r="W6" i="19"/>
  <c r="U4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<sst xmlns="http://schemas.openxmlformats.org/spreadsheetml/2006/main" count="747" uniqueCount="157">
  <si>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</si>
  <si>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</si>
  <si>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</si>
  <si>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</si>
  <si>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</si>
  <si>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</si>
  <si>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</si>
  <si>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</si>
  <si>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</si>
  <si>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</si>
  <si>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</si>
  <si>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</si>
  <si>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</si>
  <si>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</si>
  <si>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</si>
  <si>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</si>
  <si>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</si>
  <si>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</si>
  <si>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</si>
  <si>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</si>
  <si>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</si>
  <si>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</si>
  <si>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</si>
  <si>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</si>
  <si>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</si>
  <si>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</si>
  <si>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</si>
  <si>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</si>
  <si>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</si>
  <si>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</si>
  <si>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</si>
  <si>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</si>
  <si>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</si>
  <si>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</si>
  <si>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</si>
  <si>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</si>
  <si>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</si>
  <si>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</si>
  <si>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</si>
  <si>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</si>
  <si>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</si>
  <si>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</si>
  <si>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</si>
  <si>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</si>
  <si>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</si>
  <si>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</si>
  <si>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</si>
  <si>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</si>
  <si>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</si>
  <si>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</si>
  <si>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</si>
  <si>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</si>
  <si>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</si>
  <si>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</si>
  <si>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</si>
  <si>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</si>
  <si>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</si>
  <si>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</si>
  <si>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</si>
  <si>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</si>
  <si>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</si>
  <si>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</si>
  <si>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</si>
  <si>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</si>
  <si>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</si>
  <si>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</si>
  <si>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</si>
  <si>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</si>
  <si>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</si>
  <si>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</si>
  <si>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</si>
  <si>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</si>
  <si>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</si>
  <si>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</si>
  <si>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</si>
  <si>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</si>
  <si>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</si>
  <si>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</si>
  <si>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</si>
  <si>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</si>
  <si>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</si>
  <si>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</si>
  <si>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</si>
  <si>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</si>
  <si>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</si>
  <si>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</si>
  <si>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</si>
  <si>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</si>
  <si>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</si>
  <si>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</si>
  <si>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</si>
  <si>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</si>
  <si>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</si>
  <si>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</si>
  <si>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</si>
  <si>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</si>
  <si>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</si>
  <si>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</si>
  <si>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</si>
  <si>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</si>
  <si>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</si>
  <si>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</si>
  <si>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</si>
  <si>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</si>
  <si>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</si>
  <si>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</si>
  <si>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</si>
  <si>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</si>
  <si>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</si>
  <si>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</si>
  <si>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</si>
  <si>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</si>
  <si>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</si>
  <si>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</si>
  <si>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</si>
  <si>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</si>
  <si>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</si>
  <si>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</si>
  <si>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</si>
  <si>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</si>
  <si>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</si>
  <si>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</si>
  <si>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</si>
  <si>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</si>
  <si>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</si>
  <si>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</si>
  <si>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</si>
  <si>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</si>
  <si>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</si>
  <si>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</si>
  <si>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</si>
  <si>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</si>
  <si>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</si>
  <si>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</si>
  <si>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</si>
  <si>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</si>
  <si>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</si>
  <si>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</si>
  <si>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</si>
  <si>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</si>
  <si>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ただ</t>
  </si>
  <si>
    <t>ただ</t>
    <phoneticPr fontId="1"/>
  </si>
  <si>
    <t>れんたろう</t>
  </si>
  <si>
    <t>れんたろう</t>
    <phoneticPr fontId="1"/>
  </si>
  <si>
    <t>ロン</t>
  </si>
  <si>
    <t>放銃</t>
  </si>
  <si>
    <t>*</t>
  </si>
  <si>
    <t>01</t>
  </si>
  <si>
    <t>52</t>
  </si>
  <si>
    <t>ツモ支払</t>
  </si>
  <si>
    <t>ツモ</t>
  </si>
  <si>
    <t>02</t>
  </si>
  <si>
    <t>ぱぱ</t>
  </si>
  <si>
    <t>ぱぱ</t>
    <phoneticPr fontId="1"/>
  </si>
  <si>
    <t>まっつん</t>
  </si>
  <si>
    <t>まっつん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</si>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</sst>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139</v>
      </c>
      <c r="G1" s="72"/>
      <c r="H1" s="72"/>
      <c r="I1" s="73"/>
      <c r="J1" s="74"/>
      <c r="K1" s="71" t="s">
        <v>141</v>
      </c>
      <c r="L1" s="72"/>
      <c r="M1" s="72"/>
      <c r="N1" s="73"/>
      <c r="O1" s="74"/>
      <c r="P1" s="71" t="s">
        <v>143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144</v>
      </c>
      <c r="L4" s="9">
        <v>24000</v>
      </c>
      <c r="M4" s="9">
        <v>2000</v>
      </c>
      <c r="N4" s="48">
        <v>0</v>
      </c>
      <c r="O4" s="21">
        <f>IF(COUNTA($F4,$K4,$P4)&gt;0,O3+SUM(L4:N4),"")</f>
        <v>61000</v>
      </c>
      <c r="P4" s="8" t="s">
        <v>145</v>
      </c>
      <c r="Q4" s="9">
        <v>-24000</v>
      </c>
      <c r="R4" s="9">
        <v>-1000</v>
      </c>
      <c r="S4" s="48">
        <v>0</v>
      </c>
      <c r="T4" s="21">
        <f>IF(COUNTA($F4,$K4,$P4)&gt;0,T3+SUM(Q4:S4),"")</f>
        <v>10000</v>
      </c>
      <c r="U4" s="53">
        <f>IF($J4="","",ROUND(($J4-$J$3)/1000,1)+(_xlfn.RANK.AVG($J4,($J4,$O4,$T4),1)-2)*20)</f>
        <v>-1</v>
      </c>
      <c r="V4" s="54">
        <f>IF($O4="","",ROUND(($O4-$O$3)/1000,1)+(_xlfn.RANK.AVG($O4,($J4,$O4,$T4),1)-2)*20)</f>
        <v>46</v>
      </c>
      <c r="W4" s="55">
        <f>IF($T4="","",ROUND(($T4-$T$3)/1000,1)+(_xlfn.RANK.AVG($T4,($J4,$O4,$T4),1)-2)*20)</f>
        <v>-45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9</v>
      </c>
      <c r="AY4" s="30" t="s">
        <v>146</v>
      </c>
      <c r="AZ4" s="40" t="s">
        <v>147</v>
      </c>
      <c r="BA4" s="41" t="s">
        <v>84</v>
      </c>
      <c r="BB4" s="41" t="s">
        <v>148</v>
      </c>
      <c r="BC4" s="41" t="s">
        <v>148</v>
      </c>
      <c r="BD4" s="41" t="s">
        <v>79</v>
      </c>
      <c r="BE4" s="41" t="s">
        <v>80</v>
      </c>
      <c r="BF4" s="41" t="s">
        <v>80</v>
      </c>
      <c r="BG4" s="41" t="s">
        <v>80</v>
      </c>
      <c r="BH4" s="41" t="s">
        <v>80</v>
      </c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149</v>
      </c>
      <c r="G5" s="9">
        <v>-2000</v>
      </c>
      <c r="H5" s="9">
        <v>-1000</v>
      </c>
      <c r="I5" s="48">
        <v>-500</v>
      </c>
      <c r="J5" s="21">
        <f t="shared" ref="J5:J30" si="2">IF(COUNTA($F5,$K5,$P5)&gt;0,J4+SUM(G5:I5),"")</f>
        <v>30500</v>
      </c>
      <c r="K5" s="8" t="s">
        <v>149</v>
      </c>
      <c r="L5" s="9">
        <v>-3300</v>
      </c>
      <c r="M5" s="9"/>
      <c r="N5" s="48">
        <v>-500</v>
      </c>
      <c r="O5" s="21">
        <f t="shared" ref="O5:O30" si="3">IF(COUNTA($F5,$K5,$P5)&gt;0,O4+SUM(L5:N5),"")</f>
        <v>57200</v>
      </c>
      <c r="P5" s="8" t="s">
        <v>150</v>
      </c>
      <c r="Q5" s="9">
        <v>5300</v>
      </c>
      <c r="R5" s="9">
        <v>1000</v>
      </c>
      <c r="S5" s="48">
        <v>1000</v>
      </c>
      <c r="T5" s="21">
        <f t="shared" ref="T5:T30" si="4">IF(COUNTA($F5,$K5,$P5)&gt;0,T4+SUM(Q5:S5),"")</f>
        <v>17300</v>
      </c>
      <c r="U5" s="53">
        <f>IF($J5="","",ROUND(($J5-$J$3)/1000,1)+(_xlfn.RANK.AVG($J5,($J5,$O5,$T5),1)-2)*20)</f>
        <v>-4.5</v>
      </c>
      <c r="V5" s="54">
        <f>IF($O5="","",ROUND(($O5-$O$3)/1000,1)+(_xlfn.RANK.AVG($O5,($J5,$O5,$T5),1)-2)*20)</f>
        <v>42.2</v>
      </c>
      <c r="W5" s="55">
        <f>IF($T5="","",ROUND(($T5-$T$3)/1000,1)+(_xlfn.RANK.AVG($T5,($J5,$O5,$T5),1)-2)*20)</f>
        <v>-37.700000000000003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20</v>
      </c>
      <c r="BU5" s="40" t="s">
        <v>147</v>
      </c>
      <c r="BV5" s="41" t="s">
        <v>82</v>
      </c>
      <c r="BW5" s="41" t="s">
        <v>83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142</v>
      </c>
      <c r="F6" s="8" t="s">
        <v>145</v>
      </c>
      <c r="G6" s="9">
        <v>-24000</v>
      </c>
      <c r="H6" s="9"/>
      <c r="I6" s="48">
        <v>0</v>
      </c>
      <c r="J6" s="21">
        <f t="shared" si="2"/>
        <v>6500</v>
      </c>
      <c r="K6" s="8"/>
      <c r="L6" s="9"/>
      <c r="M6" s="9"/>
      <c r="N6" s="48"/>
      <c r="O6" s="21">
        <f t="shared" si="3"/>
        <v>57200</v>
      </c>
      <c r="P6" s="8" t="s">
        <v>144</v>
      </c>
      <c r="Q6" s="9">
        <v>24000</v>
      </c>
      <c r="R6" s="9"/>
      <c r="S6" s="48">
        <v>0</v>
      </c>
      <c r="T6" s="21">
        <f t="shared" si="4"/>
        <v>41300</v>
      </c>
      <c r="U6" s="53">
        <f>IF($J6="","",ROUND(($J6-$J$3)/1000,1)+(_xlfn.RANK.AVG($J6,($J6,$O6,$T6),1)-2)*20)</f>
        <v>-48.5</v>
      </c>
      <c r="V6" s="54">
        <f>IF($O6="","",ROUND(($O6-$O$3)/1000,1)+(_xlfn.RANK.AVG($O6,($J6,$O6,$T6),1)-2)*20)</f>
        <v>42.2</v>
      </c>
      <c r="W6" s="55">
        <f>IF($T6="","",ROUND(($T6-$T$3)/1000,1)+(_xlfn.RANK.AVG($T6,($J6,$O6,$T6),1)-2)*20)</f>
        <v>6.3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9</v>
      </c>
      <c r="BT6" s="30" t="s">
        <v>146</v>
      </c>
      <c r="BU6" s="40" t="s">
        <v>147</v>
      </c>
      <c r="BV6" s="41" t="s">
        <v>92</v>
      </c>
      <c r="BW6" s="41" t="s">
        <v>104</v>
      </c>
      <c r="BX6" s="41" t="s">
        <v>84</v>
      </c>
      <c r="BY6" s="41" t="s">
        <v>80</v>
      </c>
      <c r="BZ6" s="41" t="s">
        <v>80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142</v>
      </c>
      <c r="F7" s="8" t="s">
        <v>149</v>
      </c>
      <c r="G7" s="9">
        <v>-3900</v>
      </c>
      <c r="H7" s="9">
        <v>-1000</v>
      </c>
      <c r="I7" s="48">
        <v>-500</v>
      </c>
      <c r="J7" s="21">
        <f t="shared" si="2"/>
        <v>1100</v>
      </c>
      <c r="K7" s="8" t="s">
        <v>149</v>
      </c>
      <c r="L7" s="9">
        <v>-3900</v>
      </c>
      <c r="M7" s="9"/>
      <c r="N7" s="48">
        <v>-500</v>
      </c>
      <c r="O7" s="21">
        <f t="shared" si="3"/>
        <v>52800</v>
      </c>
      <c r="P7" s="8" t="s">
        <v>150</v>
      </c>
      <c r="Q7" s="9">
        <v>7800</v>
      </c>
      <c r="R7" s="9">
        <v>1000</v>
      </c>
      <c r="S7" s="48">
        <v>1000</v>
      </c>
      <c r="T7" s="21">
        <f t="shared" si="4"/>
        <v>51100</v>
      </c>
      <c r="U7" s="53">
        <f>IF($J7="","",ROUND(($J7-$J$3)/1000,1)+(_xlfn.RANK.AVG($J7,($J7,$O7,$T7),1)-2)*20)</f>
        <v>-53.9</v>
      </c>
      <c r="V7" s="54">
        <f>IF($O7="","",ROUND(($O7-$O$3)/1000,1)+(_xlfn.RANK.AVG($O7,($J7,$O7,$T7),1)-2)*20)</f>
        <v>37.799999999999997</v>
      </c>
      <c r="W7" s="55">
        <f>IF($T7="","",ROUND(($T7-$T$3)/1000,1)+(_xlfn.RANK.AVG($T7,($J7,$O7,$T7),1)-2)*20)</f>
        <v>16.100000000000001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20</v>
      </c>
      <c r="BU7" s="40" t="s">
        <v>147</v>
      </c>
      <c r="BV7" s="41" t="s">
        <v>83</v>
      </c>
      <c r="BW7" s="41" t="s">
        <v>82</v>
      </c>
      <c r="BX7" s="41" t="s">
        <v>148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142</v>
      </c>
      <c r="F8" s="8"/>
      <c r="G8" s="9"/>
      <c r="H8" s="9"/>
      <c r="I8" s="48"/>
      <c r="J8" s="21">
        <f t="shared" si="2"/>
        <v>1100</v>
      </c>
      <c r="K8" s="8" t="s">
        <v>144</v>
      </c>
      <c r="L8" s="9">
        <v>3900</v>
      </c>
      <c r="M8" s="9">
        <v>1000</v>
      </c>
      <c r="N8" s="48">
        <v>2000</v>
      </c>
      <c r="O8" s="21">
        <f t="shared" si="3"/>
        <v>59700</v>
      </c>
      <c r="P8" s="8" t="s">
        <v>145</v>
      </c>
      <c r="Q8" s="9">
        <v>-3900</v>
      </c>
      <c r="R8" s="9">
        <v>-1000</v>
      </c>
      <c r="S8" s="48">
        <v>-2000</v>
      </c>
      <c r="T8" s="21">
        <f t="shared" si="4"/>
        <v>44200</v>
      </c>
      <c r="U8" s="53">
        <f>IF($J8="","",ROUND(($J8-$J$3)/1000,1)+(_xlfn.RANK.AVG($J8,($J8,$O8,$T8),1)-2)*20)</f>
        <v>-53.9</v>
      </c>
      <c r="V8" s="54">
        <f>IF($O8="","",ROUND(($O8-$O$3)/1000,1)+(_xlfn.RANK.AVG($O8,($J8,$O8,$T8),1)-2)*20)</f>
        <v>44.7</v>
      </c>
      <c r="W8" s="55">
        <f>IF($T8="","",ROUND(($T8-$T$3)/1000,1)+(_xlfn.RANK.AVG($T8,($J8,$O8,$T8),1)-2)*20)</f>
        <v>9.1999999999999993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30</v>
      </c>
      <c r="AZ8" s="40" t="s">
        <v>79</v>
      </c>
      <c r="BA8" s="41" t="s">
        <v>79</v>
      </c>
      <c r="BB8" s="41" t="s">
        <v>86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138</v>
      </c>
      <c r="F9" s="8" t="s">
        <v>149</v>
      </c>
      <c r="G9" s="9">
        <v>-5000</v>
      </c>
      <c r="H9" s="9"/>
      <c r="I9" s="48">
        <v>0</v>
      </c>
      <c r="J9" s="21">
        <f t="shared" si="2"/>
        <v>-3900</v>
      </c>
      <c r="K9" s="8" t="s">
        <v>149</v>
      </c>
      <c r="L9" s="9">
        <v>-3000</v>
      </c>
      <c r="M9" s="9"/>
      <c r="N9" s="48">
        <v>0</v>
      </c>
      <c r="O9" s="21">
        <f t="shared" si="3"/>
        <v>56700</v>
      </c>
      <c r="P9" s="8" t="s">
        <v>150</v>
      </c>
      <c r="Q9" s="9">
        <v>8000</v>
      </c>
      <c r="R9" s="9"/>
      <c r="S9" s="48">
        <v>0</v>
      </c>
      <c r="T9" s="21">
        <f t="shared" si="4"/>
        <v>52200</v>
      </c>
      <c r="U9" s="53">
        <f>IF($J9="","",ROUND(($J9-$J$3)/1000,1)+(_xlfn.RANK.AVG($J9,($J9,$O9,$T9),1)-2)*20)</f>
        <v>-58.9</v>
      </c>
      <c r="V9" s="54">
        <f>IF($O9="","",ROUND(($O9-$O$3)/1000,1)+(_xlfn.RANK.AVG($O9,($J9,$O9,$T9),1)-2)*20)</f>
        <v>41.7</v>
      </c>
      <c r="W9" s="55">
        <f>IF($T9="","",ROUND(($T9-$T$3)/1000,1)+(_xlfn.RANK.AVG($T9,($J9,$O9,$T9),1)-2)*20)</f>
        <v>17.2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146</v>
      </c>
      <c r="BU9" s="40" t="s">
        <v>147</v>
      </c>
      <c r="BV9" s="41" t="s">
        <v>82</v>
      </c>
      <c r="BW9" s="41" t="s">
        <v>84</v>
      </c>
      <c r="BX9" s="41" t="s">
        <v>148</v>
      </c>
      <c r="BY9" s="41" t="s">
        <v>80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3D611-D8B9-405E-A6EE-8DF0DE5AA77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139</v>
      </c>
      <c r="G1" s="72"/>
      <c r="H1" s="72"/>
      <c r="I1" s="73"/>
      <c r="J1" s="74"/>
      <c r="K1" s="71" t="s">
        <v>141</v>
      </c>
      <c r="L1" s="72"/>
      <c r="M1" s="72"/>
      <c r="N1" s="73"/>
      <c r="O1" s="74"/>
      <c r="P1" s="71" t="s">
        <v>143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ただ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145</v>
      </c>
      <c r="G4" s="9">
        <v>-7700</v>
      </c>
      <c r="H4" s="9"/>
      <c r="I4" s="48">
        <v>0</v>
      </c>
      <c r="J4" s="21">
        <f>IF(COUNTA($F4,$K4,$P4)&gt;0,J3+SUM(G4:I4),"")</f>
        <v>27300</v>
      </c>
      <c r="K4" s="8" t="s">
        <v>144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-27.7</v>
      </c>
      <c r="V4" s="54">
        <f>IF($O4="","",ROUND(($O4-$O$3)/1000,1)+(_xlfn.RANK.AVG($O4,($J4,$O4,$T4),1)-2)*20)</f>
        <v>27.7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30</v>
      </c>
      <c r="AZ4" s="40" t="s">
        <v>147</v>
      </c>
      <c r="BA4" s="41" t="s">
        <v>83</v>
      </c>
      <c r="BB4" s="41" t="s">
        <v>79</v>
      </c>
      <c r="BC4" s="41" t="s">
        <v>79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149</v>
      </c>
      <c r="G5" s="9">
        <v>-6000</v>
      </c>
      <c r="H5" s="9"/>
      <c r="I5" s="48">
        <v>0</v>
      </c>
      <c r="J5" s="21">
        <f t="shared" ref="J5:J30" si="2">IF(COUNTA($F5,$K5,$P5)&gt;0,J4+SUM(G5:I5),"")</f>
        <v>21300</v>
      </c>
      <c r="K5" s="8" t="s">
        <v>150</v>
      </c>
      <c r="L5" s="9">
        <v>12000</v>
      </c>
      <c r="M5" s="9"/>
      <c r="N5" s="48">
        <v>0</v>
      </c>
      <c r="O5" s="21">
        <f t="shared" ref="O5:O30" si="3">IF(COUNTA($F5,$K5,$P5)&gt;0,O4+SUM(L5:N5),"")</f>
        <v>54700</v>
      </c>
      <c r="P5" s="8" t="s">
        <v>149</v>
      </c>
      <c r="Q5" s="9">
        <v>-6000</v>
      </c>
      <c r="R5" s="9"/>
      <c r="S5" s="48">
        <v>0</v>
      </c>
      <c r="T5" s="21">
        <f t="shared" ref="T5:T30" si="4">IF(COUNTA($F5,$K5,$P5)&gt;0,T4+SUM(Q5:S5),"")</f>
        <v>29000</v>
      </c>
      <c r="U5" s="53">
        <f>IF($J5="","",ROUND(($J5-$J$3)/1000,1)+(_xlfn.RANK.AVG($J5,($J5,$O5,$T5),1)-2)*20)</f>
        <v>-33.700000000000003</v>
      </c>
      <c r="V5" s="54">
        <f>IF($O5="","",ROUND(($O5-$O$3)/1000,1)+(_xlfn.RANK.AVG($O5,($J5,$O5,$T5),1)-2)*20)</f>
        <v>39.700000000000003</v>
      </c>
      <c r="W5" s="55">
        <f>IF($T5="","",ROUND(($T5-$T$3)/1000,1)+(_xlfn.RANK.AVG($T5,($J5,$O5,$T5),1)-2)*20)</f>
        <v>-6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146</v>
      </c>
      <c r="AZ5" s="40" t="s">
        <v>147</v>
      </c>
      <c r="BA5" s="41" t="s">
        <v>82</v>
      </c>
      <c r="BB5" s="41" t="s">
        <v>83</v>
      </c>
      <c r="BC5" s="41" t="s">
        <v>79</v>
      </c>
      <c r="BD5" s="41" t="s">
        <v>80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140</v>
      </c>
      <c r="F6" s="8" t="s">
        <v>149</v>
      </c>
      <c r="G6" s="9">
        <v>-2400</v>
      </c>
      <c r="H6" s="9"/>
      <c r="I6" s="48">
        <v>-500</v>
      </c>
      <c r="J6" s="21">
        <f t="shared" si="2"/>
        <v>18400</v>
      </c>
      <c r="K6" s="8" t="s">
        <v>150</v>
      </c>
      <c r="L6" s="9">
        <v>4800</v>
      </c>
      <c r="M6" s="9"/>
      <c r="N6" s="48">
        <v>1000</v>
      </c>
      <c r="O6" s="21">
        <f t="shared" si="3"/>
        <v>60500</v>
      </c>
      <c r="P6" s="8" t="s">
        <v>149</v>
      </c>
      <c r="Q6" s="9">
        <v>-2400</v>
      </c>
      <c r="R6" s="9"/>
      <c r="S6" s="48">
        <v>-500</v>
      </c>
      <c r="T6" s="21">
        <f t="shared" si="4"/>
        <v>26100</v>
      </c>
      <c r="U6" s="53">
        <f>IF($J6="","",ROUND(($J6-$J$3)/1000,1)+(_xlfn.RANK.AVG($J6,($J6,$O6,$T6),1)-2)*20)</f>
        <v>-36.6</v>
      </c>
      <c r="V6" s="54">
        <f>IF($O6="","",ROUND(($O6-$O$3)/1000,1)+(_xlfn.RANK.AVG($O6,($J6,$O6,$T6),1)-2)*20)</f>
        <v>45.5</v>
      </c>
      <c r="W6" s="55">
        <f>IF($T6="","",ROUND(($T6-$T$3)/1000,1)+(_xlfn.RANK.AVG($T6,($J6,$O6,$T6),1)-2)*20)</f>
        <v>-8.9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3</v>
      </c>
      <c r="AY6" s="30">
        <v>25</v>
      </c>
      <c r="AZ6" s="40" t="s">
        <v>82</v>
      </c>
      <c r="BA6" s="41" t="s">
        <v>101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140</v>
      </c>
      <c r="F7" s="8"/>
      <c r="G7" s="9"/>
      <c r="H7" s="9"/>
      <c r="I7" s="48"/>
      <c r="J7" s="21">
        <f t="shared" si="2"/>
        <v>18400</v>
      </c>
      <c r="K7" s="8" t="s">
        <v>145</v>
      </c>
      <c r="L7" s="9">
        <v>-3200</v>
      </c>
      <c r="M7" s="9">
        <v>-1000</v>
      </c>
      <c r="N7" s="48">
        <v>-2000</v>
      </c>
      <c r="O7" s="21">
        <f t="shared" si="3"/>
        <v>54300</v>
      </c>
      <c r="P7" s="8" t="s">
        <v>144</v>
      </c>
      <c r="Q7" s="9">
        <v>3200</v>
      </c>
      <c r="R7" s="9">
        <v>1000</v>
      </c>
      <c r="S7" s="48">
        <v>2000</v>
      </c>
      <c r="T7" s="21">
        <f t="shared" si="4"/>
        <v>32300</v>
      </c>
      <c r="U7" s="53">
        <f>IF($J7="","",ROUND(($J7-$J$3)/1000,1)+(_xlfn.RANK.AVG($J7,($J7,$O7,$T7),1)-2)*20)</f>
        <v>-36.6</v>
      </c>
      <c r="V7" s="54">
        <f>IF($O7="","",ROUND(($O7-$O$3)/1000,1)+(_xlfn.RANK.AVG($O7,($J7,$O7,$T7),1)-2)*20)</f>
        <v>39.299999999999997</v>
      </c>
      <c r="W7" s="55">
        <f>IF($T7="","",ROUND(($T7-$T$3)/1000,1)+(_xlfn.RANK.AVG($T7,($J7,$O7,$T7),1)-2)*20)</f>
        <v>-2.7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25</v>
      </c>
      <c r="BU7" s="40" t="s">
        <v>147</v>
      </c>
      <c r="BV7" s="41" t="s">
        <v>101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142</v>
      </c>
      <c r="F8" s="8" t="s">
        <v>145</v>
      </c>
      <c r="G8" s="9">
        <v>-7700</v>
      </c>
      <c r="H8" s="9"/>
      <c r="I8" s="48">
        <v>0</v>
      </c>
      <c r="J8" s="21">
        <f t="shared" si="2"/>
        <v>10700</v>
      </c>
      <c r="K8" s="8"/>
      <c r="L8" s="9"/>
      <c r="M8" s="9"/>
      <c r="N8" s="48"/>
      <c r="O8" s="21">
        <f t="shared" si="3"/>
        <v>54300</v>
      </c>
      <c r="P8" s="8" t="s">
        <v>144</v>
      </c>
      <c r="Q8" s="9">
        <v>7700</v>
      </c>
      <c r="R8" s="9"/>
      <c r="S8" s="48">
        <v>0</v>
      </c>
      <c r="T8" s="21">
        <f t="shared" si="4"/>
        <v>40000</v>
      </c>
      <c r="U8" s="53">
        <f>IF($J8="","",ROUND(($J8-$J$3)/1000,1)+(_xlfn.RANK.AVG($J8,($J8,$O8,$T8),1)-2)*20)</f>
        <v>-44.3</v>
      </c>
      <c r="V8" s="54">
        <f>IF($O8="","",ROUND(($O8-$O$3)/1000,1)+(_xlfn.RANK.AVG($O8,($J8,$O8,$T8),1)-2)*20)</f>
        <v>39.299999999999997</v>
      </c>
      <c r="W8" s="55">
        <f>IF($T8="","",ROUND(($T8-$T$3)/1000,1)+(_xlfn.RANK.AVG($T8,($J8,$O8,$T8),1)-2)*20)</f>
        <v>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40</v>
      </c>
      <c r="BU8" s="40" t="s">
        <v>147</v>
      </c>
      <c r="BV8" s="41" t="s">
        <v>86</v>
      </c>
      <c r="BW8" s="41" t="s">
        <v>80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142</v>
      </c>
      <c r="F9" s="8" t="s">
        <v>149</v>
      </c>
      <c r="G9" s="9">
        <v>-6000</v>
      </c>
      <c r="H9" s="9"/>
      <c r="I9" s="48">
        <v>-500</v>
      </c>
      <c r="J9" s="21">
        <f t="shared" si="2"/>
        <v>4200</v>
      </c>
      <c r="K9" s="8" t="s">
        <v>150</v>
      </c>
      <c r="L9" s="9">
        <v>16000</v>
      </c>
      <c r="M9" s="9"/>
      <c r="N9" s="48">
        <v>1000</v>
      </c>
      <c r="O9" s="21">
        <f t="shared" si="3"/>
        <v>71300</v>
      </c>
      <c r="P9" s="8" t="s">
        <v>149</v>
      </c>
      <c r="Q9" s="9">
        <v>-10000</v>
      </c>
      <c r="R9" s="9"/>
      <c r="S9" s="48">
        <v>-500</v>
      </c>
      <c r="T9" s="21">
        <f t="shared" si="4"/>
        <v>29500</v>
      </c>
      <c r="U9" s="53">
        <f>IF($J9="","",ROUND(($J9-$J$3)/1000,1)+(_xlfn.RANK.AVG($J9,($J9,$O9,$T9),1)-2)*20)</f>
        <v>-50.8</v>
      </c>
      <c r="V9" s="54">
        <f>IF($O9="","",ROUND(($O9-$O$3)/1000,1)+(_xlfn.RANK.AVG($O9,($J9,$O9,$T9),1)-2)*20)</f>
        <v>56.3</v>
      </c>
      <c r="W9" s="55">
        <f>IF($T9="","",ROUND(($T9-$T$3)/1000,1)+(_xlfn.RANK.AVG($T9,($J9,$O9,$T9),1)-2)*20)</f>
        <v>-5.5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8</v>
      </c>
      <c r="AY9" s="30" t="s">
        <v>146</v>
      </c>
      <c r="AZ9" s="40" t="s">
        <v>147</v>
      </c>
      <c r="BA9" s="41" t="s">
        <v>82</v>
      </c>
      <c r="BB9" s="41" t="s">
        <v>151</v>
      </c>
      <c r="BC9" s="41" t="s">
        <v>101</v>
      </c>
      <c r="BD9" s="41" t="s">
        <v>85</v>
      </c>
      <c r="BE9" s="41" t="s">
        <v>79</v>
      </c>
      <c r="BF9" s="41" t="s">
        <v>79</v>
      </c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138</v>
      </c>
      <c r="F10" s="8" t="s">
        <v>144</v>
      </c>
      <c r="G10" s="9">
        <v>7700</v>
      </c>
      <c r="H10" s="9"/>
      <c r="I10" s="48">
        <v>0</v>
      </c>
      <c r="J10" s="21">
        <f t="shared" si="2"/>
        <v>11900</v>
      </c>
      <c r="K10" s="8" t="s">
        <v>145</v>
      </c>
      <c r="L10" s="9">
        <v>-7700</v>
      </c>
      <c r="M10" s="9"/>
      <c r="N10" s="48">
        <v>0</v>
      </c>
      <c r="O10" s="21">
        <f t="shared" si="3"/>
        <v>63600</v>
      </c>
      <c r="P10" s="8"/>
      <c r="Q10" s="9"/>
      <c r="R10" s="9"/>
      <c r="S10" s="48"/>
      <c r="T10" s="21">
        <f t="shared" si="4"/>
        <v>29500</v>
      </c>
      <c r="U10" s="53">
        <f>IF($J10="","",ROUND(($J10-$J$3)/1000,1)+(_xlfn.RANK.AVG($J10,($J10,$O10,$T10),1)-2)*20)</f>
        <v>-43.1</v>
      </c>
      <c r="V10" s="54">
        <f>IF($O10="","",ROUND(($O10-$O$3)/1000,1)+(_xlfn.RANK.AVG($O10,($J10,$O10,$T10),1)-2)*20)</f>
        <v>48.6</v>
      </c>
      <c r="W10" s="55">
        <f>IF($T10="","",ROUND(($T10-$T$3)/1000,1)+(_xlfn.RANK.AVG($T10,($J10,$O10,$T10),1)-2)*20)</f>
        <v>-5.5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147</v>
      </c>
      <c r="AF10" s="41" t="s">
        <v>151</v>
      </c>
      <c r="AG10" s="41" t="s">
        <v>80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138</v>
      </c>
      <c r="F11" s="8" t="s">
        <v>145</v>
      </c>
      <c r="G11" s="9">
        <v>-6400</v>
      </c>
      <c r="H11" s="9">
        <v>-1000</v>
      </c>
      <c r="I11" s="48">
        <v>-1000</v>
      </c>
      <c r="J11" s="21">
        <f t="shared" si="2"/>
        <v>3500</v>
      </c>
      <c r="K11" s="8"/>
      <c r="L11" s="9"/>
      <c r="M11" s="9"/>
      <c r="N11" s="48"/>
      <c r="O11" s="21">
        <f t="shared" si="3"/>
        <v>63600</v>
      </c>
      <c r="P11" s="8" t="s">
        <v>144</v>
      </c>
      <c r="Q11" s="9">
        <v>6400</v>
      </c>
      <c r="R11" s="9">
        <v>1000</v>
      </c>
      <c r="S11" s="48">
        <v>1000</v>
      </c>
      <c r="T11" s="21">
        <f t="shared" si="4"/>
        <v>37900</v>
      </c>
      <c r="U11" s="53">
        <f>IF($J11="","",ROUND(($J11-$J$3)/1000,1)+(_xlfn.RANK.AVG($J11,($J11,$O11,$T11),1)-2)*20)</f>
        <v>-51.5</v>
      </c>
      <c r="V11" s="54">
        <f>IF($O11="","",ROUND(($O11-$O$3)/1000,1)+(_xlfn.RANK.AVG($O11,($J11,$O11,$T11),1)-2)*20)</f>
        <v>48.6</v>
      </c>
      <c r="W11" s="55">
        <f>IF($T11="","",ROUND(($T11-$T$3)/1000,1)+(_xlfn.RANK.AVG($T11,($J11,$O11,$T11),1)-2)*20)</f>
        <v>2.9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4</v>
      </c>
      <c r="BT11" s="30">
        <v>25</v>
      </c>
      <c r="BU11" s="40" t="s">
        <v>79</v>
      </c>
      <c r="BV11" s="41" t="s">
        <v>79</v>
      </c>
      <c r="BW11" s="41" t="s">
        <v>101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140</v>
      </c>
      <c r="F12" s="8" t="s">
        <v>144</v>
      </c>
      <c r="G12" s="9">
        <v>5200</v>
      </c>
      <c r="H12" s="9">
        <v>2000</v>
      </c>
      <c r="I12" s="48">
        <v>0</v>
      </c>
      <c r="J12" s="21">
        <f t="shared" si="2"/>
        <v>10700</v>
      </c>
      <c r="K12" s="8" t="s">
        <v>145</v>
      </c>
      <c r="L12" s="9">
        <v>-5200</v>
      </c>
      <c r="M12" s="9">
        <v>-1000</v>
      </c>
      <c r="N12" s="48">
        <v>0</v>
      </c>
      <c r="O12" s="21">
        <f t="shared" si="3"/>
        <v>57400</v>
      </c>
      <c r="P12" s="8"/>
      <c r="Q12" s="9"/>
      <c r="R12" s="9">
        <v>-1000</v>
      </c>
      <c r="S12" s="48"/>
      <c r="T12" s="21">
        <f t="shared" si="4"/>
        <v>36900</v>
      </c>
      <c r="U12" s="53">
        <f>IF($J12="","",ROUND(($J12-$J$3)/1000,1)+(_xlfn.RANK.AVG($J12,($J12,$O12,$T12),1)-2)*20)</f>
        <v>-44.3</v>
      </c>
      <c r="V12" s="54">
        <f>IF($O12="","",ROUND(($O12-$O$3)/1000,1)+(_xlfn.RANK.AVG($O12,($J12,$O12,$T12),1)-2)*20)</f>
        <v>42.4</v>
      </c>
      <c r="W12" s="55">
        <f>IF($T12="","",ROUND(($T12-$T$3)/1000,1)+(_xlfn.RANK.AVG($T12,($J12,$O12,$T12),1)-2)*20)</f>
        <v>1.9</v>
      </c>
      <c r="Y12" s="8"/>
      <c r="Z12" s="34"/>
      <c r="AA12" s="26">
        <v>1</v>
      </c>
      <c r="AB12" s="26"/>
      <c r="AC12" s="26">
        <v>3</v>
      </c>
      <c r="AD12" s="30">
        <v>40</v>
      </c>
      <c r="AE12" s="40" t="s">
        <v>147</v>
      </c>
      <c r="AF12" s="41" t="s">
        <v>84</v>
      </c>
      <c r="AG12" s="41" t="s">
        <v>148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142</v>
      </c>
      <c r="F13" s="8" t="s">
        <v>145</v>
      </c>
      <c r="G13" s="9">
        <v>-12000</v>
      </c>
      <c r="H13" s="9"/>
      <c r="I13" s="48">
        <v>0</v>
      </c>
      <c r="J13" s="21">
        <f t="shared" si="2"/>
        <v>-1300</v>
      </c>
      <c r="K13" s="8"/>
      <c r="L13" s="9"/>
      <c r="M13" s="9"/>
      <c r="N13" s="48"/>
      <c r="O13" s="21">
        <f t="shared" si="3"/>
        <v>57400</v>
      </c>
      <c r="P13" s="8" t="s">
        <v>144</v>
      </c>
      <c r="Q13" s="9">
        <v>12000</v>
      </c>
      <c r="R13" s="9"/>
      <c r="S13" s="48">
        <v>0</v>
      </c>
      <c r="T13" s="21">
        <f t="shared" si="4"/>
        <v>48900</v>
      </c>
      <c r="U13" s="53">
        <f>IF($J13="","",ROUND(($J13-$J$3)/1000,1)+(_xlfn.RANK.AVG($J13,($J13,$O13,$T13),1)-2)*20)</f>
        <v>-56.3</v>
      </c>
      <c r="V13" s="54">
        <f>IF($O13="","",ROUND(($O13-$O$3)/1000,1)+(_xlfn.RANK.AVG($O13,($J13,$O13,$T13),1)-2)*20)</f>
        <v>42.4</v>
      </c>
      <c r="W13" s="55">
        <f>IF($T13="","",ROUND(($T13-$T$3)/1000,1)+(_xlfn.RANK.AVG($T13,($J13,$O13,$T13),1)-2)*20)</f>
        <v>13.9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5</v>
      </c>
      <c r="BT13" s="30" t="s">
        <v>146</v>
      </c>
      <c r="BU13" s="40" t="s">
        <v>147</v>
      </c>
      <c r="BV13" s="41" t="s">
        <v>101</v>
      </c>
      <c r="BW13" s="41" t="s">
        <v>79</v>
      </c>
      <c r="BX13" s="41" t="s">
        <v>79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81E469A9-AAEB-48E3-94F9-49492C32814F}">
      <formula1>"ロン,ツモ,放銃,ツモ支払,流局,チョンボ"</formula1>
    </dataValidation>
    <dataValidation type="list" allowBlank="1" showInputMessage="1" showErrorMessage="1" sqref="E4:E30" xr:uid="{B8362B4E-106E-4E79-9B8C-A6BD22CC896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094A0-83D5-4273-BEE6-E42C8CFA6D55}">
  <sheetPr codeName="Sheet12">
    <pageSetUpPr fitToPage="1"/>
  </sheetPr>
  <dimension ref="A1:CI30"/>
  <sheetViews>
    <sheetView tabSelected="1" zoomScaleNormal="100" workbookViewId="0">
      <selection activeCell="F5" sqref="F5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153</v>
      </c>
      <c r="G1" s="72"/>
      <c r="H1" s="72"/>
      <c r="I1" s="73"/>
      <c r="J1" s="74"/>
      <c r="K1" s="71" t="s">
        <v>141</v>
      </c>
      <c r="L1" s="72"/>
      <c r="M1" s="72"/>
      <c r="N1" s="73"/>
      <c r="O1" s="74"/>
      <c r="P1" s="71" t="s">
        <v>155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ぱぱ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ぱぱ</v>
      </c>
      <c r="V2" s="70" t="str">
        <f>$K$1</f>
        <v>ただ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145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144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IF($J4="","",ROUND(($J4-$J$3)/1000,1)+(_xlfn.RANK.AVG($J4,($J4,$O4,$T4),1)-2)*20)</f>
        <v>-1</v>
      </c>
      <c r="V4" s="54">
        <f>IF($O4="","",ROUND(($O4-$O$3)/1000,1)+(_xlfn.RANK.AVG($O4,($J4,$O4,$T4),1)-2)*20)</f>
        <v>-32</v>
      </c>
      <c r="W4" s="55">
        <f>IF($T4="","",ROUND(($T4-$T$3)/1000,1)+(_xlfn.RANK.AVG($T4,($J4,$O4,$T4),1)-2)*20)</f>
        <v>33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7</v>
      </c>
      <c r="BT4" s="30" t="s">
        <v>146</v>
      </c>
      <c r="BU4" s="40" t="s">
        <v>147</v>
      </c>
      <c r="BV4" s="41" t="s">
        <v>104</v>
      </c>
      <c r="BW4" s="41" t="s">
        <v>148</v>
      </c>
      <c r="BX4" s="41" t="s">
        <v>80</v>
      </c>
      <c r="BY4" s="41" t="s">
        <v>80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154</v>
      </c>
      <c r="F5" s="8"/>
      <c r="G5" s="9"/>
      <c r="H5" s="9"/>
      <c r="I5" s="48"/>
      <c r="J5" s="21">
        <f t="shared" ref="J5:J30" si="2">IF(COUNTA($F5,$K5,$P5)&gt;0,J4+SUM(G5:I5),"")</f>
        <v>34000</v>
      </c>
      <c r="K5" s="8" t="s">
        <v>145</v>
      </c>
      <c r="L5" s="9">
        <v>-7700</v>
      </c>
      <c r="M5" s="9"/>
      <c r="N5" s="48">
        <v>0</v>
      </c>
      <c r="O5" s="21">
        <f t="shared" ref="O5:O30" si="3">IF(COUNTA($F5,$K5,$P5)&gt;0,O4+SUM(L5:N5),"")</f>
        <v>15300</v>
      </c>
      <c r="P5" s="8" t="s">
        <v>144</v>
      </c>
      <c r="Q5" s="9">
        <v>7700</v>
      </c>
      <c r="R5" s="9"/>
      <c r="S5" s="48">
        <v>0</v>
      </c>
      <c r="T5" s="21">
        <f t="shared" ref="T5:T30" si="4">IF(COUNTA($F5,$K5,$P5)&gt;0,T4+SUM(Q5:S5),"")</f>
        <v>55700</v>
      </c>
      <c r="U5" s="53">
        <f>IF($J5="","",ROUND(($J5-$J$3)/1000,1)+(_xlfn.RANK.AVG($J5,($J5,$O5,$T5),1)-2)*20)</f>
        <v>-1</v>
      </c>
      <c r="V5" s="54">
        <f>IF($O5="","",ROUND(($O5-$O$3)/1000,1)+(_xlfn.RANK.AVG($O5,($J5,$O5,$T5),1)-2)*20)</f>
        <v>-39.700000000000003</v>
      </c>
      <c r="W5" s="55">
        <f>IF($T5="","",ROUND(($T5-$T$3)/1000,1)+(_xlfn.RANK.AVG($T5,($J5,$O5,$T5),1)-2)*20)</f>
        <v>40.700000000000003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147</v>
      </c>
      <c r="BV5" s="41" t="s">
        <v>79</v>
      </c>
      <c r="BW5" s="41" t="s">
        <v>86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154</v>
      </c>
      <c r="F6" s="8" t="s">
        <v>149</v>
      </c>
      <c r="G6" s="9">
        <v>-3900</v>
      </c>
      <c r="H6" s="9"/>
      <c r="I6" s="48">
        <v>-500</v>
      </c>
      <c r="J6" s="21">
        <f t="shared" si="2"/>
        <v>29600</v>
      </c>
      <c r="K6" s="8" t="s">
        <v>149</v>
      </c>
      <c r="L6" s="9">
        <v>-3900</v>
      </c>
      <c r="M6" s="9">
        <v>-1000</v>
      </c>
      <c r="N6" s="48">
        <v>-500</v>
      </c>
      <c r="O6" s="21">
        <f t="shared" si="3"/>
        <v>9900</v>
      </c>
      <c r="P6" s="8" t="s">
        <v>150</v>
      </c>
      <c r="Q6" s="9">
        <v>7800</v>
      </c>
      <c r="R6" s="9">
        <v>1000</v>
      </c>
      <c r="S6" s="48">
        <v>1000</v>
      </c>
      <c r="T6" s="21">
        <f t="shared" si="4"/>
        <v>65500</v>
      </c>
      <c r="U6" s="53">
        <f>IF($J6="","",ROUND(($J6-$J$3)/1000,1)+(_xlfn.RANK.AVG($J6,($J6,$O6,$T6),1)-2)*20)</f>
        <v>-5.4</v>
      </c>
      <c r="V6" s="54">
        <f>IF($O6="","",ROUND(($O6-$O$3)/1000,1)+(_xlfn.RANK.AVG($O6,($J6,$O6,$T6),1)-2)*20)</f>
        <v>-45.1</v>
      </c>
      <c r="W6" s="55">
        <f>IF($T6="","",ROUND(($T6-$T$3)/1000,1)+(_xlfn.RANK.AVG($T6,($J6,$O6,$T6),1)-2)*20)</f>
        <v>50.5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20</v>
      </c>
      <c r="BU6" s="40" t="s">
        <v>147</v>
      </c>
      <c r="BV6" s="41" t="s">
        <v>82</v>
      </c>
      <c r="BW6" s="41" t="s">
        <v>79</v>
      </c>
      <c r="BX6" s="41" t="s">
        <v>83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154</v>
      </c>
      <c r="F7" s="8" t="s">
        <v>144</v>
      </c>
      <c r="G7" s="9">
        <v>2000</v>
      </c>
      <c r="H7" s="9"/>
      <c r="I7" s="48">
        <v>2000</v>
      </c>
      <c r="J7" s="21">
        <f t="shared" si="2"/>
        <v>33600</v>
      </c>
      <c r="K7" s="8" t="s">
        <v>145</v>
      </c>
      <c r="L7" s="9">
        <v>-2000</v>
      </c>
      <c r="M7" s="9"/>
      <c r="N7" s="48">
        <v>-2000</v>
      </c>
      <c r="O7" s="21">
        <f t="shared" si="3"/>
        <v>5900</v>
      </c>
      <c r="P7" s="8"/>
      <c r="Q7" s="9"/>
      <c r="R7" s="9"/>
      <c r="S7" s="48"/>
      <c r="T7" s="21">
        <f t="shared" si="4"/>
        <v>65500</v>
      </c>
      <c r="U7" s="53">
        <f>IF($J7="","",ROUND(($J7-$J$3)/1000,1)+(_xlfn.RANK.AVG($J7,($J7,$O7,$T7),1)-2)*20)</f>
        <v>-1.4</v>
      </c>
      <c r="V7" s="54">
        <f>IF($O7="","",ROUND(($O7-$O$3)/1000,1)+(_xlfn.RANK.AVG($O7,($J7,$O7,$T7),1)-2)*20)</f>
        <v>-49.1</v>
      </c>
      <c r="W7" s="55">
        <f>IF($T7="","",ROUND(($T7-$T$3)/1000,1)+(_xlfn.RANK.AVG($T7,($J7,$O7,$T7),1)-2)*20)</f>
        <v>50.5</v>
      </c>
      <c r="Y7" s="8"/>
      <c r="Z7" s="34"/>
      <c r="AA7" s="26"/>
      <c r="AB7" s="26">
        <v>1</v>
      </c>
      <c r="AC7" s="26">
        <v>2</v>
      </c>
      <c r="AD7" s="30">
        <v>30</v>
      </c>
      <c r="AE7" s="40" t="s">
        <v>86</v>
      </c>
      <c r="AF7" s="41" t="s">
        <v>148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152</v>
      </c>
      <c r="F8" s="8" t="s">
        <v>145</v>
      </c>
      <c r="G8" s="9">
        <v>-2000</v>
      </c>
      <c r="H8" s="9"/>
      <c r="I8" s="48">
        <v>0</v>
      </c>
      <c r="J8" s="21">
        <f t="shared" si="2"/>
        <v>31600</v>
      </c>
      <c r="K8" s="8" t="s">
        <v>144</v>
      </c>
      <c r="L8" s="9">
        <v>2000</v>
      </c>
      <c r="M8" s="9"/>
      <c r="N8" s="48">
        <v>0</v>
      </c>
      <c r="O8" s="21">
        <f t="shared" si="3"/>
        <v>7900</v>
      </c>
      <c r="P8" s="8"/>
      <c r="Q8" s="9"/>
      <c r="R8" s="9"/>
      <c r="S8" s="48"/>
      <c r="T8" s="21">
        <f t="shared" si="4"/>
        <v>65500</v>
      </c>
      <c r="U8" s="53">
        <f>IF($J8="","",ROUND(($J8-$J$3)/1000,1)+(_xlfn.RANK.AVG($J8,($J8,$O8,$T8),1)-2)*20)</f>
        <v>-3.4</v>
      </c>
      <c r="V8" s="54">
        <f>IF($O8="","",ROUND(($O8-$O$3)/1000,1)+(_xlfn.RANK.AVG($O8,($J8,$O8,$T8),1)-2)*20)</f>
        <v>-47.1</v>
      </c>
      <c r="W8" s="55">
        <f>IF($T8="","",ROUND(($T8-$T$3)/1000,1)+(_xlfn.RANK.AVG($T8,($J8,$O8,$T8),1)-2)*20)</f>
        <v>50.5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30</v>
      </c>
      <c r="AZ8" s="40" t="s">
        <v>147</v>
      </c>
      <c r="BA8" s="41" t="s">
        <v>83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140</v>
      </c>
      <c r="F9" s="8" t="s">
        <v>149</v>
      </c>
      <c r="G9" s="9">
        <v>-3000</v>
      </c>
      <c r="H9" s="9"/>
      <c r="I9" s="48">
        <v>0</v>
      </c>
      <c r="J9" s="21">
        <f t="shared" si="2"/>
        <v>28600</v>
      </c>
      <c r="K9" s="8" t="s">
        <v>149</v>
      </c>
      <c r="L9" s="9">
        <v>-5000</v>
      </c>
      <c r="M9" s="9"/>
      <c r="N9" s="48">
        <v>0</v>
      </c>
      <c r="O9" s="21">
        <f t="shared" si="3"/>
        <v>2900</v>
      </c>
      <c r="P9" s="8" t="s">
        <v>150</v>
      </c>
      <c r="Q9" s="9">
        <v>8000</v>
      </c>
      <c r="R9" s="9"/>
      <c r="S9" s="48">
        <v>0</v>
      </c>
      <c r="T9" s="21">
        <f t="shared" si="4"/>
        <v>73500</v>
      </c>
      <c r="U9" s="53">
        <f>IF($J9="","",ROUND(($J9-$J$3)/1000,1)+(_xlfn.RANK.AVG($J9,($J9,$O9,$T9),1)-2)*20)</f>
        <v>-6.4</v>
      </c>
      <c r="V9" s="54">
        <f>IF($O9="","",ROUND(($O9-$O$3)/1000,1)+(_xlfn.RANK.AVG($O9,($J9,$O9,$T9),1)-2)*20)</f>
        <v>-52.1</v>
      </c>
      <c r="W9" s="55">
        <f>IF($T9="","",ROUND(($T9-$T$3)/1000,1)+(_xlfn.RANK.AVG($T9,($J9,$O9,$T9),1)-2)*20)</f>
        <v>58.5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146</v>
      </c>
      <c r="BU9" s="40" t="s">
        <v>147</v>
      </c>
      <c r="BV9" s="41" t="s">
        <v>82</v>
      </c>
      <c r="BW9" s="41" t="s">
        <v>96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154</v>
      </c>
      <c r="F10" s="8" t="s">
        <v>156</v>
      </c>
      <c r="G10" s="9">
        <v>6000</v>
      </c>
      <c r="H10" s="9"/>
      <c r="I10" s="48"/>
      <c r="J10" s="21">
        <f t="shared" si="2"/>
        <v>34600</v>
      </c>
      <c r="K10" s="8" t="s">
        <v>156</v>
      </c>
      <c r="L10" s="9">
        <v>6000</v>
      </c>
      <c r="M10" s="9"/>
      <c r="N10" s="48"/>
      <c r="O10" s="21">
        <f t="shared" si="3"/>
        <v>8900</v>
      </c>
      <c r="P10" s="8" t="s">
        <v>156</v>
      </c>
      <c r="Q10" s="9">
        <v>-12000</v>
      </c>
      <c r="R10" s="9"/>
      <c r="S10" s="48"/>
      <c r="T10" s="21">
        <f t="shared" si="4"/>
        <v>61500</v>
      </c>
      <c r="U10" s="53">
        <f>IF($J10="","",ROUND(($J10-$J$3)/1000,1)+(_xlfn.RANK.AVG($J10,($J10,$O10,$T10),1)-2)*20)</f>
        <v>-0.4</v>
      </c>
      <c r="V10" s="54">
        <f>IF($O10="","",ROUND(($O10-$O$3)/1000,1)+(_xlfn.RANK.AVG($O10,($J10,$O10,$T10),1)-2)*20)</f>
        <v>-46.1</v>
      </c>
      <c r="W10" s="55">
        <f>IF($T10="","",ROUND(($T10-$T$3)/1000,1)+(_xlfn.RANK.AVG($T10,($J10,$O10,$T10),1)-2)*20)</f>
        <v>46.5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>
        <v>1</v>
      </c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152</v>
      </c>
      <c r="F11" s="8" t="s">
        <v>156</v>
      </c>
      <c r="G11" s="9">
        <v>-12000</v>
      </c>
      <c r="H11" s="9"/>
      <c r="I11" s="48"/>
      <c r="J11" s="21">
        <f t="shared" si="2"/>
        <v>22600</v>
      </c>
      <c r="K11" s="8" t="s">
        <v>156</v>
      </c>
      <c r="L11" s="9">
        <v>6000</v>
      </c>
      <c r="M11" s="9"/>
      <c r="N11" s="48"/>
      <c r="O11" s="21">
        <f t="shared" si="3"/>
        <v>14900</v>
      </c>
      <c r="P11" s="8" t="s">
        <v>156</v>
      </c>
      <c r="Q11" s="9">
        <v>6000</v>
      </c>
      <c r="R11" s="9"/>
      <c r="S11" s="48"/>
      <c r="T11" s="21">
        <f t="shared" si="4"/>
        <v>67500</v>
      </c>
      <c r="U11" s="53">
        <f>IF($J11="","",ROUND(($J11-$J$3)/1000,1)+(_xlfn.RANK.AVG($J11,($J11,$O11,$T11),1)-2)*20)</f>
        <v>-12.4</v>
      </c>
      <c r="V11" s="54">
        <f>IF($O11="","",ROUND(($O11-$O$3)/1000,1)+(_xlfn.RANK.AVG($O11,($J11,$O11,$T11),1)-2)*20)</f>
        <v>-40.1</v>
      </c>
      <c r="W11" s="55">
        <f>IF($T11="","",ROUND(($T11-$T$3)/1000,1)+(_xlfn.RANK.AVG($T11,($J11,$O11,$T11),1)-2)*20)</f>
        <v>52.5</v>
      </c>
      <c r="Y11" s="8"/>
      <c r="Z11" s="34">
        <v>1</v>
      </c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140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089C816F-4466-4E8B-9361-C67E65C49FC7}">
      <formula1>$U$2:$W$2</formula1>
    </dataValidation>
    <dataValidation type="list" showInputMessage="1" showErrorMessage="1" sqref="K4:K30 P4:P30 F4:F30" xr:uid="{8BD1253E-031A-497E-9BD4-E74A5A50349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2019-05-17T07:15:05Z</dcterms:modified>
</cp:coreProperties>
</file>