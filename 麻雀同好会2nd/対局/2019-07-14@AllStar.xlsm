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A6FF88BC-AD4A-47BE-8629-A8223CCD88E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Sheet12" sheetId="30" r:id="rId12"/>
    <sheet name="Sheet13" sheetId="31" r:id="rId13"/>
    <sheet name="役一覧" sheetId="15" state="hidden" r:id="rId14"/>
    <sheet name="点数表(親ロン)" sheetId="4" state="hidden" r:id="rId15"/>
    <sheet name="点数表(親ツモ)" sheetId="9" state="hidden" r:id="rId16"/>
    <sheet name="点数表(子→親)" sheetId="7" state="hidden" r:id="rId17"/>
    <sheet name="点数表(子ロン)" sheetId="3" state="hidden" r:id="rId18"/>
    <sheet name="点数表(子ツモ)" sheetId="10" state="hidden" r:id="rId19"/>
    <sheet name="点数表(子→子)" sheetId="5" state="hidden" r:id="rId20"/>
    <sheet name="点数表(親→子)" sheetId="6" state="hidden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31" l="1"/>
  <c r="W30" i="31" s="1"/>
  <c r="O30" i="31"/>
  <c r="V30" i="31" s="1"/>
  <c r="J30" i="31"/>
  <c r="U30" i="31" s="1"/>
  <c r="D30" i="31"/>
  <c r="C30" i="31"/>
  <c r="B30" i="31"/>
  <c r="A30" i="31"/>
  <c r="T29" i="31"/>
  <c r="W29" i="31" s="1"/>
  <c r="O29" i="31"/>
  <c r="V29" i="31" s="1"/>
  <c r="J29" i="31"/>
  <c r="U29" i="31" s="1"/>
  <c r="D29" i="31"/>
  <c r="C29" i="31"/>
  <c r="B29" i="31"/>
  <c r="A29" i="31"/>
  <c r="T28" i="31"/>
  <c r="W28" i="31" s="1"/>
  <c r="O28" i="31"/>
  <c r="V28" i="31" s="1"/>
  <c r="J28" i="31"/>
  <c r="U28" i="31" s="1"/>
  <c r="D28" i="31"/>
  <c r="C28" i="31"/>
  <c r="B28" i="31"/>
  <c r="A28" i="31"/>
  <c r="T27" i="31"/>
  <c r="W27" i="31" s="1"/>
  <c r="O27" i="31"/>
  <c r="V27" i="31" s="1"/>
  <c r="J27" i="31"/>
  <c r="U27" i="31" s="1"/>
  <c r="D27" i="31"/>
  <c r="C27" i="31"/>
  <c r="B27" i="31"/>
  <c r="A27" i="31"/>
  <c r="T26" i="31"/>
  <c r="W26" i="31" s="1"/>
  <c r="O26" i="31"/>
  <c r="V26" i="31" s="1"/>
  <c r="J26" i="31"/>
  <c r="U26" i="31" s="1"/>
  <c r="D26" i="31"/>
  <c r="C26" i="31"/>
  <c r="B26" i="31"/>
  <c r="A26" i="31"/>
  <c r="T25" i="31"/>
  <c r="W25" i="31" s="1"/>
  <c r="O25" i="31"/>
  <c r="V25" i="31" s="1"/>
  <c r="J25" i="31"/>
  <c r="U25" i="31" s="1"/>
  <c r="D25" i="31"/>
  <c r="C25" i="31"/>
  <c r="B25" i="31"/>
  <c r="A25" i="31"/>
  <c r="T24" i="31"/>
  <c r="W24" i="31" s="1"/>
  <c r="O24" i="31"/>
  <c r="V24" i="31" s="1"/>
  <c r="J24" i="31"/>
  <c r="U24" i="31" s="1"/>
  <c r="D24" i="31"/>
  <c r="C24" i="31"/>
  <c r="B24" i="31"/>
  <c r="A24" i="31"/>
  <c r="T23" i="31"/>
  <c r="W23" i="31" s="1"/>
  <c r="O23" i="31"/>
  <c r="V23" i="31" s="1"/>
  <c r="J23" i="31"/>
  <c r="U23" i="31" s="1"/>
  <c r="D23" i="31"/>
  <c r="C23" i="31"/>
  <c r="B23" i="31"/>
  <c r="A23" i="31"/>
  <c r="T22" i="31"/>
  <c r="W22" i="31" s="1"/>
  <c r="O22" i="31"/>
  <c r="V22" i="31" s="1"/>
  <c r="J22" i="31"/>
  <c r="U22" i="31" s="1"/>
  <c r="D22" i="31"/>
  <c r="C22" i="31"/>
  <c r="B22" i="31"/>
  <c r="A22" i="31"/>
  <c r="T21" i="31"/>
  <c r="W21" i="31" s="1"/>
  <c r="O21" i="31"/>
  <c r="V21" i="31" s="1"/>
  <c r="J21" i="31"/>
  <c r="U21" i="31" s="1"/>
  <c r="D21" i="31"/>
  <c r="C21" i="31"/>
  <c r="B21" i="31"/>
  <c r="A21" i="31"/>
  <c r="T20" i="31"/>
  <c r="W20" i="31" s="1"/>
  <c r="O20" i="31"/>
  <c r="V20" i="31" s="1"/>
  <c r="J20" i="31"/>
  <c r="U20" i="31" s="1"/>
  <c r="D20" i="31"/>
  <c r="C20" i="31"/>
  <c r="B20" i="31"/>
  <c r="A20" i="31"/>
  <c r="T19" i="31"/>
  <c r="W19" i="31" s="1"/>
  <c r="O19" i="31"/>
  <c r="V19" i="31" s="1"/>
  <c r="J19" i="31"/>
  <c r="U19" i="31" s="1"/>
  <c r="D19" i="31"/>
  <c r="C19" i="31"/>
  <c r="B19" i="31"/>
  <c r="A19" i="31"/>
  <c r="T18" i="31"/>
  <c r="W18" i="31" s="1"/>
  <c r="O18" i="31"/>
  <c r="V18" i="31" s="1"/>
  <c r="J18" i="31"/>
  <c r="U18" i="31" s="1"/>
  <c r="D18" i="31"/>
  <c r="C18" i="31"/>
  <c r="B18" i="31"/>
  <c r="A18" i="31"/>
  <c r="T17" i="31"/>
  <c r="W17" i="31" s="1"/>
  <c r="O17" i="31"/>
  <c r="V17" i="31" s="1"/>
  <c r="J17" i="31"/>
  <c r="U17" i="31" s="1"/>
  <c r="D17" i="31"/>
  <c r="C17" i="31"/>
  <c r="B17" i="31"/>
  <c r="A17" i="31"/>
  <c r="T16" i="31"/>
  <c r="W16" i="31" s="1"/>
  <c r="O16" i="31"/>
  <c r="V16" i="31" s="1"/>
  <c r="J16" i="31"/>
  <c r="U16" i="31" s="1"/>
  <c r="D16" i="31"/>
  <c r="C16" i="31"/>
  <c r="B16" i="31"/>
  <c r="A16" i="31"/>
  <c r="T15" i="31"/>
  <c r="W15" i="31" s="1"/>
  <c r="O15" i="31"/>
  <c r="V15" i="31" s="1"/>
  <c r="J15" i="31"/>
  <c r="U15" i="31" s="1"/>
  <c r="D15" i="31"/>
  <c r="C15" i="31"/>
  <c r="B15" i="31"/>
  <c r="A15" i="31"/>
  <c r="T14" i="31"/>
  <c r="W14" i="31" s="1"/>
  <c r="O14" i="31"/>
  <c r="V14" i="31" s="1"/>
  <c r="J14" i="31"/>
  <c r="U14" i="31" s="1"/>
  <c r="D14" i="31"/>
  <c r="C14" i="31"/>
  <c r="B14" i="31"/>
  <c r="A14" i="31"/>
  <c r="T13" i="31"/>
  <c r="W13" i="31" s="1"/>
  <c r="O13" i="31"/>
  <c r="V13" i="31" s="1"/>
  <c r="J13" i="31"/>
  <c r="U13" i="31" s="1"/>
  <c r="D13" i="31"/>
  <c r="C13" i="31"/>
  <c r="B13" i="31"/>
  <c r="A13" i="31"/>
  <c r="T12" i="31"/>
  <c r="W12" i="31" s="1"/>
  <c r="O12" i="31"/>
  <c r="V12" i="31" s="1"/>
  <c r="J12" i="31"/>
  <c r="U12" i="31" s="1"/>
  <c r="D12" i="31"/>
  <c r="C12" i="31"/>
  <c r="B12" i="31"/>
  <c r="A12" i="31"/>
  <c r="T11" i="31"/>
  <c r="W11" i="31" s="1"/>
  <c r="O11" i="31"/>
  <c r="V11" i="31" s="1"/>
  <c r="J11" i="31"/>
  <c r="U11" i="31" s="1"/>
  <c r="D11" i="31"/>
  <c r="C11" i="31"/>
  <c r="B11" i="31"/>
  <c r="A11" i="31"/>
  <c r="D10" i="31"/>
  <c r="C10" i="31"/>
  <c r="D9" i="31"/>
  <c r="C9" i="31"/>
  <c r="D8" i="31"/>
  <c r="C8" i="31"/>
  <c r="D6" i="31"/>
  <c r="D7" i="31" s="1"/>
  <c r="C6" i="31"/>
  <c r="C7" i="31" s="1"/>
  <c r="O5" i="31"/>
  <c r="J5" i="31"/>
  <c r="D5" i="31"/>
  <c r="C5" i="31"/>
  <c r="B5" i="31"/>
  <c r="B6" i="31" s="1"/>
  <c r="T4" i="31"/>
  <c r="O4" i="31"/>
  <c r="J4" i="31"/>
  <c r="W3" i="31"/>
  <c r="V3" i="31"/>
  <c r="U3" i="31"/>
  <c r="W2" i="31"/>
  <c r="V2" i="31"/>
  <c r="U2" i="31"/>
  <c r="BO1" i="31"/>
  <c r="AT1" i="31"/>
  <c r="Y1" i="31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D16" i="30"/>
  <c r="D15" i="30"/>
  <c r="D14" i="30"/>
  <c r="D13" i="30"/>
  <c r="D12" i="30"/>
  <c r="D11" i="30"/>
  <c r="D10" i="30"/>
  <c r="C10" i="30"/>
  <c r="C11" i="30" s="1"/>
  <c r="C12" i="30" s="1"/>
  <c r="C13" i="30" s="1"/>
  <c r="C14" i="30" s="1"/>
  <c r="C15" i="30" s="1"/>
  <c r="C16" i="30" s="1"/>
  <c r="D9" i="30"/>
  <c r="D8" i="30"/>
  <c r="D7" i="30"/>
  <c r="D6" i="30"/>
  <c r="C6" i="30"/>
  <c r="C7" i="30" s="1"/>
  <c r="C8" i="30" s="1"/>
  <c r="C9" i="30" s="1"/>
  <c r="B6" i="30"/>
  <c r="B7" i="30" s="1"/>
  <c r="J5" i="30"/>
  <c r="D5" i="30"/>
  <c r="C5" i="30"/>
  <c r="B5" i="30"/>
  <c r="T4" i="30"/>
  <c r="T5" i="30" s="1"/>
  <c r="O4" i="30"/>
  <c r="V4" i="30" s="1"/>
  <c r="J4" i="30"/>
  <c r="W3" i="30"/>
  <c r="V3" i="30"/>
  <c r="U3" i="30"/>
  <c r="W2" i="30"/>
  <c r="V2" i="30"/>
  <c r="U2" i="30"/>
  <c r="BO1" i="30"/>
  <c r="AT1" i="30"/>
  <c r="Y1" i="30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O16" i="29"/>
  <c r="J16" i="29"/>
  <c r="D16" i="29"/>
  <c r="C16" i="29"/>
  <c r="B16" i="29"/>
  <c r="A16" i="29" s="1"/>
  <c r="T15" i="29"/>
  <c r="O15" i="29"/>
  <c r="J15" i="29"/>
  <c r="U15" i="29" s="1"/>
  <c r="D15" i="29"/>
  <c r="C15" i="29"/>
  <c r="B15" i="29"/>
  <c r="A15" i="29"/>
  <c r="T14" i="29"/>
  <c r="O14" i="29"/>
  <c r="J14" i="29"/>
  <c r="U14" i="29" s="1"/>
  <c r="D14" i="29"/>
  <c r="C14" i="29"/>
  <c r="B14" i="29"/>
  <c r="A14" i="29" s="1"/>
  <c r="T13" i="29"/>
  <c r="O13" i="29"/>
  <c r="J13" i="29"/>
  <c r="D13" i="29"/>
  <c r="C13" i="29"/>
  <c r="B13" i="29"/>
  <c r="A13" i="29" s="1"/>
  <c r="T12" i="29"/>
  <c r="W12" i="29" s="1"/>
  <c r="O12" i="29"/>
  <c r="J12" i="29"/>
  <c r="D12" i="29"/>
  <c r="C12" i="29"/>
  <c r="B12" i="29"/>
  <c r="A12" i="29" s="1"/>
  <c r="T11" i="29"/>
  <c r="O11" i="29"/>
  <c r="J11" i="29"/>
  <c r="U11" i="29" s="1"/>
  <c r="D11" i="29"/>
  <c r="C11" i="29"/>
  <c r="B11" i="29"/>
  <c r="A11" i="29"/>
  <c r="T10" i="29"/>
  <c r="W10" i="29" s="1"/>
  <c r="O10" i="29"/>
  <c r="J10" i="29"/>
  <c r="U10" i="29" s="1"/>
  <c r="D10" i="29"/>
  <c r="C10" i="29"/>
  <c r="B10" i="29"/>
  <c r="A10" i="29" s="1"/>
  <c r="T9" i="29"/>
  <c r="O9" i="29"/>
  <c r="J9" i="29"/>
  <c r="D9" i="29"/>
  <c r="C9" i="29"/>
  <c r="B9" i="29"/>
  <c r="A9" i="29" s="1"/>
  <c r="T8" i="29"/>
  <c r="O8" i="29"/>
  <c r="J8" i="29"/>
  <c r="D8" i="29"/>
  <c r="C8" i="29"/>
  <c r="B8" i="29"/>
  <c r="A8" i="29" s="1"/>
  <c r="D7" i="29"/>
  <c r="D6" i="29"/>
  <c r="C6" i="29"/>
  <c r="C7" i="29" s="1"/>
  <c r="O5" i="29"/>
  <c r="O6" i="29" s="1"/>
  <c r="D5" i="29"/>
  <c r="C5" i="29"/>
  <c r="B5" i="29"/>
  <c r="B6" i="29" s="1"/>
  <c r="T4" i="29"/>
  <c r="O4" i="29"/>
  <c r="J4" i="29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D13" i="28"/>
  <c r="C13" i="28"/>
  <c r="D12" i="28"/>
  <c r="C12" i="28"/>
  <c r="D11" i="28"/>
  <c r="C11" i="28"/>
  <c r="D10" i="28"/>
  <c r="C10" i="28"/>
  <c r="D9" i="28"/>
  <c r="C9" i="28"/>
  <c r="D8" i="28"/>
  <c r="C8" i="28"/>
  <c r="D7" i="28"/>
  <c r="C7" i="28"/>
  <c r="D6" i="28"/>
  <c r="C6" i="28"/>
  <c r="T5" i="28"/>
  <c r="T6" i="28" s="1"/>
  <c r="O5" i="28"/>
  <c r="D5" i="28"/>
  <c r="C5" i="28"/>
  <c r="B5" i="28"/>
  <c r="A5" i="28" s="1"/>
  <c r="T4" i="28"/>
  <c r="O4" i="28"/>
  <c r="V4" i="28" s="1"/>
  <c r="J4" i="28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 s="1"/>
  <c r="T13" i="27"/>
  <c r="O13" i="27"/>
  <c r="J13" i="27"/>
  <c r="D13" i="27"/>
  <c r="C13" i="27"/>
  <c r="B13" i="27"/>
  <c r="A13" i="27" s="1"/>
  <c r="D12" i="27"/>
  <c r="D11" i="27"/>
  <c r="C11" i="27"/>
  <c r="C12" i="27" s="1"/>
  <c r="D10" i="27"/>
  <c r="C10" i="27"/>
  <c r="D9" i="27"/>
  <c r="C9" i="27"/>
  <c r="D8" i="27"/>
  <c r="C8" i="27"/>
  <c r="D7" i="27"/>
  <c r="D6" i="27"/>
  <c r="T5" i="27"/>
  <c r="T6" i="27" s="1"/>
  <c r="O5" i="27"/>
  <c r="D5" i="27"/>
  <c r="C5" i="27"/>
  <c r="C6" i="27" s="1"/>
  <c r="C7" i="27" s="1"/>
  <c r="B5" i="27"/>
  <c r="A5" i="27" s="1"/>
  <c r="T4" i="27"/>
  <c r="O4" i="27"/>
  <c r="V4" i="27" s="1"/>
  <c r="J4" i="27"/>
  <c r="W3" i="27"/>
  <c r="V3" i="27"/>
  <c r="U3" i="27"/>
  <c r="W2" i="27"/>
  <c r="V2" i="27"/>
  <c r="U2" i="27"/>
  <c r="BO1" i="27"/>
  <c r="AT1" i="27"/>
  <c r="Y1" i="27"/>
  <c r="A5" i="31" l="1"/>
  <c r="W4" i="31"/>
  <c r="A6" i="31"/>
  <c r="B7" i="31"/>
  <c r="U4" i="31"/>
  <c r="V4" i="31"/>
  <c r="T5" i="31"/>
  <c r="J6" i="31"/>
  <c r="O6" i="31"/>
  <c r="A6" i="30"/>
  <c r="A5" i="30"/>
  <c r="U4" i="30"/>
  <c r="B8" i="30"/>
  <c r="T6" i="30"/>
  <c r="A7" i="30"/>
  <c r="O5" i="30"/>
  <c r="U5" i="30" s="1"/>
  <c r="J6" i="30"/>
  <c r="W4" i="30"/>
  <c r="U16" i="29"/>
  <c r="V16" i="29"/>
  <c r="W16" i="29"/>
  <c r="V15" i="29"/>
  <c r="W15" i="29"/>
  <c r="V14" i="29"/>
  <c r="W14" i="29"/>
  <c r="U13" i="29"/>
  <c r="W13" i="29"/>
  <c r="V13" i="29"/>
  <c r="V12" i="29"/>
  <c r="U12" i="29"/>
  <c r="V11" i="29"/>
  <c r="W11" i="29"/>
  <c r="V10" i="29"/>
  <c r="V9" i="29"/>
  <c r="U9" i="29"/>
  <c r="W9" i="29"/>
  <c r="U8" i="29"/>
  <c r="V8" i="29"/>
  <c r="W8" i="29"/>
  <c r="A5" i="29"/>
  <c r="W4" i="29"/>
  <c r="V4" i="29"/>
  <c r="B7" i="29"/>
  <c r="A7" i="29" s="1"/>
  <c r="A6" i="29"/>
  <c r="O7" i="29"/>
  <c r="J5" i="29"/>
  <c r="U4" i="29"/>
  <c r="T5" i="29"/>
  <c r="W4" i="28"/>
  <c r="U4" i="28"/>
  <c r="T7" i="28"/>
  <c r="B6" i="28"/>
  <c r="J5" i="28"/>
  <c r="V5" i="28" s="1"/>
  <c r="O6" i="28"/>
  <c r="U13" i="27"/>
  <c r="W13" i="27"/>
  <c r="V13" i="27"/>
  <c r="U4" i="27"/>
  <c r="W4" i="27"/>
  <c r="T7" i="27"/>
  <c r="B6" i="27"/>
  <c r="J5" i="27"/>
  <c r="V5" i="27" s="1"/>
  <c r="O6" i="27"/>
  <c r="W5" i="31" l="1"/>
  <c r="T6" i="31"/>
  <c r="V5" i="31"/>
  <c r="U5" i="31"/>
  <c r="B8" i="31"/>
  <c r="A7" i="31"/>
  <c r="O7" i="31"/>
  <c r="U6" i="31"/>
  <c r="J7" i="31"/>
  <c r="W5" i="30"/>
  <c r="J7" i="30"/>
  <c r="V5" i="30"/>
  <c r="O6" i="30"/>
  <c r="U6" i="30" s="1"/>
  <c r="T7" i="30"/>
  <c r="W6" i="30"/>
  <c r="B9" i="30"/>
  <c r="A9" i="30" s="1"/>
  <c r="A8" i="30"/>
  <c r="T6" i="29"/>
  <c r="W5" i="29"/>
  <c r="V5" i="29"/>
  <c r="U5" i="29"/>
  <c r="J6" i="29"/>
  <c r="O7" i="28"/>
  <c r="W5" i="28"/>
  <c r="U5" i="28"/>
  <c r="J6" i="28"/>
  <c r="V6" i="28" s="1"/>
  <c r="B7" i="28"/>
  <c r="A7" i="28" s="1"/>
  <c r="A6" i="28"/>
  <c r="T8" i="28"/>
  <c r="T8" i="27"/>
  <c r="O7" i="27"/>
  <c r="U5" i="27"/>
  <c r="J6" i="27"/>
  <c r="V6" i="27" s="1"/>
  <c r="W5" i="27"/>
  <c r="B7" i="27"/>
  <c r="A6" i="27"/>
  <c r="A8" i="31" l="1"/>
  <c r="W6" i="31"/>
  <c r="T7" i="31"/>
  <c r="O8" i="31"/>
  <c r="V6" i="31"/>
  <c r="J8" i="31"/>
  <c r="B9" i="31"/>
  <c r="A9" i="31"/>
  <c r="J8" i="30"/>
  <c r="B10" i="30"/>
  <c r="A10" i="30" s="1"/>
  <c r="T8" i="30"/>
  <c r="V6" i="30"/>
  <c r="O7" i="30"/>
  <c r="W6" i="29"/>
  <c r="T7" i="29"/>
  <c r="W7" i="29" s="1"/>
  <c r="U6" i="29"/>
  <c r="J7" i="29"/>
  <c r="V6" i="29"/>
  <c r="B8" i="28"/>
  <c r="U6" i="28"/>
  <c r="J7" i="28"/>
  <c r="W6" i="28"/>
  <c r="T9" i="28"/>
  <c r="V7" i="28"/>
  <c r="O8" i="28"/>
  <c r="A7" i="27"/>
  <c r="B8" i="27"/>
  <c r="A8" i="27" s="1"/>
  <c r="U6" i="27"/>
  <c r="J7" i="27"/>
  <c r="W6" i="27"/>
  <c r="V7" i="27"/>
  <c r="O8" i="27"/>
  <c r="T9" i="27"/>
  <c r="W7" i="31" l="1"/>
  <c r="T8" i="31"/>
  <c r="B10" i="31"/>
  <c r="A10" i="31" s="1"/>
  <c r="J9" i="31"/>
  <c r="V7" i="31"/>
  <c r="U7" i="31"/>
  <c r="V8" i="31"/>
  <c r="O9" i="31"/>
  <c r="O8" i="30"/>
  <c r="V7" i="30"/>
  <c r="W8" i="30"/>
  <c r="T9" i="30"/>
  <c r="W7" i="30"/>
  <c r="B11" i="30"/>
  <c r="A11" i="30" s="1"/>
  <c r="U7" i="30"/>
  <c r="U8" i="30"/>
  <c r="J9" i="30"/>
  <c r="U7" i="29"/>
  <c r="V7" i="29"/>
  <c r="V8" i="28"/>
  <c r="O9" i="28"/>
  <c r="T10" i="28"/>
  <c r="J8" i="28"/>
  <c r="U7" i="28"/>
  <c r="W7" i="28"/>
  <c r="B9" i="28"/>
  <c r="A9" i="28"/>
  <c r="A8" i="28"/>
  <c r="B9" i="27"/>
  <c r="O9" i="27"/>
  <c r="U7" i="27"/>
  <c r="J8" i="27"/>
  <c r="V8" i="27" s="1"/>
  <c r="W7" i="27"/>
  <c r="T10" i="27"/>
  <c r="O10" i="31" l="1"/>
  <c r="W8" i="31"/>
  <c r="T9" i="31"/>
  <c r="V9" i="31" s="1"/>
  <c r="U9" i="31"/>
  <c r="J10" i="31"/>
  <c r="U8" i="31"/>
  <c r="J10" i="30"/>
  <c r="V8" i="30"/>
  <c r="O9" i="30"/>
  <c r="U9" i="30" s="1"/>
  <c r="B12" i="30"/>
  <c r="A12" i="30"/>
  <c r="W9" i="30"/>
  <c r="T10" i="30"/>
  <c r="B10" i="28"/>
  <c r="U8" i="28"/>
  <c r="J9" i="28"/>
  <c r="W8" i="28"/>
  <c r="T11" i="28"/>
  <c r="V9" i="28"/>
  <c r="O10" i="28"/>
  <c r="B10" i="27"/>
  <c r="T11" i="27"/>
  <c r="A9" i="27"/>
  <c r="U8" i="27"/>
  <c r="J9" i="27"/>
  <c r="W8" i="27"/>
  <c r="O10" i="27"/>
  <c r="W9" i="31" l="1"/>
  <c r="T10" i="31"/>
  <c r="W10" i="31" s="1"/>
  <c r="V10" i="31"/>
  <c r="J11" i="30"/>
  <c r="T11" i="30"/>
  <c r="B13" i="30"/>
  <c r="A13" i="30"/>
  <c r="O10" i="30"/>
  <c r="V9" i="30"/>
  <c r="B11" i="28"/>
  <c r="A11" i="28" s="1"/>
  <c r="O11" i="28"/>
  <c r="V10" i="28"/>
  <c r="U9" i="28"/>
  <c r="J10" i="28"/>
  <c r="W9" i="28"/>
  <c r="T12" i="28"/>
  <c r="A10" i="28"/>
  <c r="A10" i="27"/>
  <c r="U9" i="27"/>
  <c r="J10" i="27"/>
  <c r="W9" i="27"/>
  <c r="T12" i="27"/>
  <c r="O11" i="27"/>
  <c r="V10" i="27"/>
  <c r="B11" i="27"/>
  <c r="V9" i="27"/>
  <c r="U10" i="31" l="1"/>
  <c r="V10" i="30"/>
  <c r="O11" i="30"/>
  <c r="W11" i="30"/>
  <c r="T12" i="30"/>
  <c r="J12" i="30"/>
  <c r="U11" i="30"/>
  <c r="U10" i="30"/>
  <c r="B14" i="30"/>
  <c r="A14" i="30" s="1"/>
  <c r="W10" i="30"/>
  <c r="U10" i="28"/>
  <c r="J11" i="28"/>
  <c r="W10" i="28"/>
  <c r="O12" i="28"/>
  <c r="V11" i="28"/>
  <c r="T13" i="28"/>
  <c r="B12" i="28"/>
  <c r="B12" i="27"/>
  <c r="A12" i="27" s="1"/>
  <c r="O12" i="27"/>
  <c r="U10" i="27"/>
  <c r="J11" i="27"/>
  <c r="V11" i="27" s="1"/>
  <c r="W10" i="27"/>
  <c r="A11" i="27"/>
  <c r="O12" i="30" l="1"/>
  <c r="V11" i="30"/>
  <c r="U12" i="30"/>
  <c r="J13" i="30"/>
  <c r="T13" i="30"/>
  <c r="W12" i="30"/>
  <c r="B15" i="30"/>
  <c r="A15" i="30" s="1"/>
  <c r="B13" i="28"/>
  <c r="A13" i="28" s="1"/>
  <c r="A12" i="28"/>
  <c r="O13" i="28"/>
  <c r="U11" i="28"/>
  <c r="J12" i="28"/>
  <c r="W11" i="28"/>
  <c r="U11" i="27"/>
  <c r="J12" i="27"/>
  <c r="W11" i="27"/>
  <c r="V12" i="27"/>
  <c r="V12" i="30" l="1"/>
  <c r="O13" i="30"/>
  <c r="W13" i="30" s="1"/>
  <c r="B16" i="30"/>
  <c r="A16" i="30" s="1"/>
  <c r="T14" i="30"/>
  <c r="U13" i="30"/>
  <c r="J14" i="30"/>
  <c r="U12" i="28"/>
  <c r="J13" i="28"/>
  <c r="W12" i="28"/>
  <c r="V12" i="28"/>
  <c r="V13" i="28"/>
  <c r="U12" i="27"/>
  <c r="W12" i="27"/>
  <c r="U14" i="30" l="1"/>
  <c r="J15" i="30"/>
  <c r="T15" i="30"/>
  <c r="W14" i="30"/>
  <c r="O14" i="30"/>
  <c r="V13" i="30"/>
  <c r="U13" i="28"/>
  <c r="W13" i="28"/>
  <c r="V14" i="30" l="1"/>
  <c r="O15" i="30"/>
  <c r="W15" i="30"/>
  <c r="T16" i="30"/>
  <c r="J16" i="30"/>
  <c r="U15" i="30"/>
  <c r="W16" i="30" l="1"/>
  <c r="O16" i="30"/>
  <c r="V16" i="30" s="1"/>
  <c r="V15" i="30"/>
  <c r="U16" i="30" l="1"/>
  <c r="T30" i="26" l="1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 s="1"/>
  <c r="T14" i="26"/>
  <c r="O14" i="26"/>
  <c r="J14" i="26"/>
  <c r="D14" i="26"/>
  <c r="C14" i="26"/>
  <c r="B14" i="26"/>
  <c r="A14" i="26" s="1"/>
  <c r="D13" i="26"/>
  <c r="C13" i="26"/>
  <c r="D12" i="26"/>
  <c r="C12" i="26"/>
  <c r="D11" i="26"/>
  <c r="D10" i="26"/>
  <c r="C10" i="26"/>
  <c r="C11" i="26" s="1"/>
  <c r="D9" i="26"/>
  <c r="C9" i="26"/>
  <c r="D8" i="26"/>
  <c r="D7" i="26"/>
  <c r="D6" i="26"/>
  <c r="C6" i="26"/>
  <c r="C7" i="26" s="1"/>
  <c r="C8" i="26" s="1"/>
  <c r="O5" i="26"/>
  <c r="J5" i="26"/>
  <c r="D5" i="26"/>
  <c r="C5" i="26"/>
  <c r="B5" i="26"/>
  <c r="B6" i="26" s="1"/>
  <c r="T4" i="26"/>
  <c r="O4" i="26"/>
  <c r="J4" i="26"/>
  <c r="W3" i="26"/>
  <c r="V3" i="26"/>
  <c r="U3" i="26"/>
  <c r="W2" i="26"/>
  <c r="V2" i="26"/>
  <c r="U2" i="26"/>
  <c r="BO1" i="26"/>
  <c r="AT1" i="26"/>
  <c r="Y1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 s="1"/>
  <c r="T13" i="25"/>
  <c r="O13" i="25"/>
  <c r="J13" i="25"/>
  <c r="D13" i="25"/>
  <c r="C13" i="25"/>
  <c r="B13" i="25"/>
  <c r="A13" i="25" s="1"/>
  <c r="T12" i="25"/>
  <c r="O12" i="25"/>
  <c r="J12" i="25"/>
  <c r="D12" i="25"/>
  <c r="C12" i="25"/>
  <c r="B12" i="25"/>
  <c r="A12" i="25" s="1"/>
  <c r="D11" i="25"/>
  <c r="C11" i="25"/>
  <c r="D10" i="25"/>
  <c r="C10" i="25"/>
  <c r="D9" i="25"/>
  <c r="C9" i="25"/>
  <c r="D8" i="25"/>
  <c r="D7" i="25"/>
  <c r="C7" i="25"/>
  <c r="C8" i="25" s="1"/>
  <c r="D6" i="25"/>
  <c r="C6" i="25"/>
  <c r="T5" i="25"/>
  <c r="O5" i="25"/>
  <c r="D5" i="25"/>
  <c r="C5" i="25"/>
  <c r="B5" i="25"/>
  <c r="A5" i="25" s="1"/>
  <c r="T4" i="25"/>
  <c r="O4" i="25"/>
  <c r="V4" i="25" s="1"/>
  <c r="J4" i="25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O11" i="24"/>
  <c r="J11" i="24"/>
  <c r="U11" i="24" s="1"/>
  <c r="D11" i="24"/>
  <c r="C11" i="24"/>
  <c r="B11" i="24"/>
  <c r="A11" i="24"/>
  <c r="D10" i="24"/>
  <c r="C10" i="24"/>
  <c r="D9" i="24"/>
  <c r="C9" i="24"/>
  <c r="D8" i="24"/>
  <c r="C8" i="24"/>
  <c r="D6" i="24"/>
  <c r="D7" i="24" s="1"/>
  <c r="C6" i="24"/>
  <c r="C7" i="24" s="1"/>
  <c r="O5" i="24"/>
  <c r="J5" i="24"/>
  <c r="D5" i="24"/>
  <c r="C5" i="24"/>
  <c r="B5" i="24"/>
  <c r="B6" i="24" s="1"/>
  <c r="T4" i="24"/>
  <c r="O4" i="24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T10" i="23"/>
  <c r="O10" i="23"/>
  <c r="J10" i="23"/>
  <c r="U10" i="23" s="1"/>
  <c r="D10" i="23"/>
  <c r="C10" i="23"/>
  <c r="B10" i="23"/>
  <c r="A10" i="23" s="1"/>
  <c r="D9" i="23"/>
  <c r="C9" i="23"/>
  <c r="D8" i="23"/>
  <c r="C8" i="23"/>
  <c r="D7" i="23"/>
  <c r="C7" i="23"/>
  <c r="B7" i="23"/>
  <c r="D6" i="23"/>
  <c r="C6" i="23"/>
  <c r="B6" i="23"/>
  <c r="T5" i="23"/>
  <c r="O5" i="23"/>
  <c r="O6" i="23" s="1"/>
  <c r="D5" i="23"/>
  <c r="C5" i="23"/>
  <c r="B5" i="23"/>
  <c r="A5" i="23" s="1"/>
  <c r="A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W14" i="26" l="1"/>
  <c r="U14" i="26"/>
  <c r="V14" i="26"/>
  <c r="U4" i="26"/>
  <c r="B7" i="26"/>
  <c r="T5" i="26"/>
  <c r="V4" i="26"/>
  <c r="J6" i="26"/>
  <c r="W4" i="26"/>
  <c r="O6" i="26"/>
  <c r="A5" i="26"/>
  <c r="A6" i="26" s="1"/>
  <c r="W13" i="25"/>
  <c r="U13" i="25"/>
  <c r="V13" i="25"/>
  <c r="V12" i="25"/>
  <c r="W12" i="25"/>
  <c r="U12" i="25"/>
  <c r="W4" i="25"/>
  <c r="B6" i="25"/>
  <c r="J5" i="25"/>
  <c r="W5" i="25" s="1"/>
  <c r="U4" i="25"/>
  <c r="O6" i="25"/>
  <c r="T6" i="25"/>
  <c r="V11" i="24"/>
  <c r="W11" i="24"/>
  <c r="U4" i="24"/>
  <c r="W4" i="24"/>
  <c r="B7" i="24"/>
  <c r="T5" i="24"/>
  <c r="U5" i="24" s="1"/>
  <c r="V4" i="24"/>
  <c r="J6" i="24"/>
  <c r="O6" i="24"/>
  <c r="A5" i="24"/>
  <c r="A6" i="24" s="1"/>
  <c r="V10" i="23"/>
  <c r="W10" i="23"/>
  <c r="W4" i="23"/>
  <c r="O7" i="23"/>
  <c r="A7" i="23"/>
  <c r="J5" i="23"/>
  <c r="U4" i="23"/>
  <c r="V4" i="23"/>
  <c r="B8" i="23"/>
  <c r="V5" i="23"/>
  <c r="T6" i="23"/>
  <c r="O7" i="26" l="1"/>
  <c r="J7" i="26"/>
  <c r="W5" i="26"/>
  <c r="T6" i="26"/>
  <c r="V5" i="26"/>
  <c r="B8" i="26"/>
  <c r="A7" i="26"/>
  <c r="U5" i="26"/>
  <c r="T7" i="25"/>
  <c r="U5" i="25"/>
  <c r="J6" i="25"/>
  <c r="W6" i="25" s="1"/>
  <c r="A6" i="25"/>
  <c r="B7" i="25"/>
  <c r="O7" i="25"/>
  <c r="V6" i="25"/>
  <c r="V5" i="25"/>
  <c r="V5" i="24"/>
  <c r="O7" i="24"/>
  <c r="J7" i="24"/>
  <c r="W5" i="24"/>
  <c r="T6" i="24"/>
  <c r="V6" i="24" s="1"/>
  <c r="B8" i="24"/>
  <c r="A8" i="24" s="1"/>
  <c r="A7" i="24"/>
  <c r="O8" i="23"/>
  <c r="B9" i="23"/>
  <c r="A9" i="23" s="1"/>
  <c r="A8" i="23"/>
  <c r="T7" i="23"/>
  <c r="U5" i="23"/>
  <c r="J6" i="23"/>
  <c r="W6" i="23" s="1"/>
  <c r="W5" i="23"/>
  <c r="B9" i="26" l="1"/>
  <c r="W6" i="26"/>
  <c r="T7" i="26"/>
  <c r="U7" i="26"/>
  <c r="J8" i="26"/>
  <c r="U6" i="26"/>
  <c r="O8" i="26"/>
  <c r="V7" i="26"/>
  <c r="A8" i="26"/>
  <c r="V6" i="26"/>
  <c r="O8" i="25"/>
  <c r="B8" i="25"/>
  <c r="A8" i="25" s="1"/>
  <c r="A7" i="25"/>
  <c r="U6" i="25"/>
  <c r="J7" i="25"/>
  <c r="W7" i="25"/>
  <c r="T8" i="25"/>
  <c r="U6" i="24"/>
  <c r="O8" i="24"/>
  <c r="V7" i="24"/>
  <c r="W6" i="24"/>
  <c r="T7" i="24"/>
  <c r="B9" i="24"/>
  <c r="U7" i="24"/>
  <c r="J8" i="24"/>
  <c r="T8" i="23"/>
  <c r="U6" i="23"/>
  <c r="J7" i="23"/>
  <c r="W7" i="23" s="1"/>
  <c r="V6" i="23"/>
  <c r="O9" i="23"/>
  <c r="B10" i="26" l="1"/>
  <c r="J9" i="26"/>
  <c r="T8" i="26"/>
  <c r="U8" i="26" s="1"/>
  <c r="W7" i="26"/>
  <c r="V8" i="26"/>
  <c r="O9" i="26"/>
  <c r="A9" i="26"/>
  <c r="U7" i="25"/>
  <c r="J8" i="25"/>
  <c r="B9" i="25"/>
  <c r="O9" i="25"/>
  <c r="T9" i="25"/>
  <c r="V7" i="25"/>
  <c r="J9" i="24"/>
  <c r="B10" i="24"/>
  <c r="A10" i="24" s="1"/>
  <c r="A9" i="24"/>
  <c r="W7" i="24"/>
  <c r="T8" i="24"/>
  <c r="U8" i="24" s="1"/>
  <c r="V8" i="24"/>
  <c r="O9" i="24"/>
  <c r="U7" i="23"/>
  <c r="J8" i="23"/>
  <c r="W8" i="23" s="1"/>
  <c r="V7" i="23"/>
  <c r="T9" i="23"/>
  <c r="O10" i="26" l="1"/>
  <c r="B11" i="26"/>
  <c r="A10" i="26"/>
  <c r="A11" i="26" s="1"/>
  <c r="T9" i="26"/>
  <c r="V9" i="26" s="1"/>
  <c r="W8" i="26"/>
  <c r="U9" i="26"/>
  <c r="J10" i="26"/>
  <c r="U8" i="25"/>
  <c r="J9" i="25"/>
  <c r="V9" i="25" s="1"/>
  <c r="T10" i="25"/>
  <c r="B10" i="25"/>
  <c r="W8" i="25"/>
  <c r="O10" i="25"/>
  <c r="V8" i="25"/>
  <c r="A9" i="25"/>
  <c r="O10" i="24"/>
  <c r="W8" i="24"/>
  <c r="T9" i="24"/>
  <c r="V9" i="24" s="1"/>
  <c r="U9" i="24"/>
  <c r="J10" i="24"/>
  <c r="U8" i="23"/>
  <c r="J9" i="23"/>
  <c r="W9" i="23" s="1"/>
  <c r="V8" i="23"/>
  <c r="J11" i="26" l="1"/>
  <c r="W9" i="26"/>
  <c r="T10" i="26"/>
  <c r="U10" i="26" s="1"/>
  <c r="V10" i="26"/>
  <c r="O11" i="26"/>
  <c r="B12" i="26"/>
  <c r="A12" i="26" s="1"/>
  <c r="W9" i="25"/>
  <c r="U9" i="25"/>
  <c r="J10" i="25"/>
  <c r="W10" i="25" s="1"/>
  <c r="O11" i="25"/>
  <c r="B11" i="25"/>
  <c r="A10" i="25"/>
  <c r="T11" i="25"/>
  <c r="W9" i="24"/>
  <c r="T10" i="24"/>
  <c r="W10" i="24" s="1"/>
  <c r="U10" i="24"/>
  <c r="V10" i="24"/>
  <c r="U9" i="23"/>
  <c r="V9" i="23"/>
  <c r="B13" i="26" l="1"/>
  <c r="A13" i="26" s="1"/>
  <c r="O12" i="26"/>
  <c r="W10" i="26"/>
  <c r="T11" i="26"/>
  <c r="V11" i="26" s="1"/>
  <c r="U11" i="26"/>
  <c r="J12" i="26"/>
  <c r="A11" i="25"/>
  <c r="V10" i="25"/>
  <c r="U10" i="25"/>
  <c r="J11" i="25"/>
  <c r="U11" i="25" s="1"/>
  <c r="J13" i="26" l="1"/>
  <c r="T12" i="26"/>
  <c r="U12" i="26" s="1"/>
  <c r="W11" i="26"/>
  <c r="O13" i="26"/>
  <c r="V12" i="26"/>
  <c r="V11" i="25"/>
  <c r="W11" i="25"/>
  <c r="W12" i="26" l="1"/>
  <c r="T13" i="26"/>
  <c r="W13" i="26" s="1"/>
  <c r="U13" i="26"/>
  <c r="V13" i="26" l="1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D10" i="22"/>
  <c r="C10" i="22"/>
  <c r="D9" i="22"/>
  <c r="D8" i="22"/>
  <c r="C8" i="22"/>
  <c r="C9" i="22" s="1"/>
  <c r="D7" i="22"/>
  <c r="D6" i="22"/>
  <c r="C6" i="22"/>
  <c r="C7" i="22" s="1"/>
  <c r="B6" i="22"/>
  <c r="A6" i="22" s="1"/>
  <c r="D5" i="22"/>
  <c r="C5" i="22"/>
  <c r="B5" i="22"/>
  <c r="A5" i="22" s="1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T10" i="21"/>
  <c r="O10" i="21"/>
  <c r="J10" i="21"/>
  <c r="D10" i="21"/>
  <c r="C10" i="21"/>
  <c r="B10" i="21"/>
  <c r="A10" i="21"/>
  <c r="D9" i="21"/>
  <c r="C9" i="21"/>
  <c r="D8" i="21"/>
  <c r="C8" i="21"/>
  <c r="D7" i="21"/>
  <c r="C7" i="21"/>
  <c r="D6" i="21"/>
  <c r="C6" i="21"/>
  <c r="B6" i="21"/>
  <c r="B7" i="21" s="1"/>
  <c r="A6" i="21"/>
  <c r="T5" i="21"/>
  <c r="D5" i="21"/>
  <c r="C5" i="2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C9" i="20"/>
  <c r="D8" i="20"/>
  <c r="C8" i="20"/>
  <c r="D7" i="20"/>
  <c r="D6" i="20"/>
  <c r="B6" i="20"/>
  <c r="B7" i="20" s="1"/>
  <c r="D5" i="20"/>
  <c r="C5" i="20"/>
  <c r="C6" i="20" s="1"/>
  <c r="C7" i="20" s="1"/>
  <c r="B5" i="20"/>
  <c r="A5" i="20" s="1"/>
  <c r="A6" i="20" s="1"/>
  <c r="T4" i="20"/>
  <c r="T5" i="20" s="1"/>
  <c r="O4" i="20"/>
  <c r="J4" i="20"/>
  <c r="J5" i="20" s="1"/>
  <c r="W3" i="20"/>
  <c r="V3" i="20"/>
  <c r="U3" i="20"/>
  <c r="W2" i="20"/>
  <c r="V2" i="20"/>
  <c r="U2" i="20"/>
  <c r="BO1" i="20"/>
  <c r="AT1" i="20"/>
  <c r="Y1" i="20"/>
  <c r="V4" i="22" l="1"/>
  <c r="W4" i="22"/>
  <c r="J6" i="22"/>
  <c r="U4" i="22"/>
  <c r="O5" i="22"/>
  <c r="B7" i="22"/>
  <c r="T5" i="22"/>
  <c r="U10" i="21"/>
  <c r="V10" i="21"/>
  <c r="W10" i="21"/>
  <c r="W4" i="21"/>
  <c r="V4" i="21"/>
  <c r="B8" i="21"/>
  <c r="A8" i="21" s="1"/>
  <c r="O6" i="21"/>
  <c r="A7" i="21"/>
  <c r="J5" i="21"/>
  <c r="W5" i="21" s="1"/>
  <c r="U4" i="21"/>
  <c r="T6" i="21"/>
  <c r="V4" i="20"/>
  <c r="W4" i="20"/>
  <c r="J6" i="20"/>
  <c r="U5" i="20"/>
  <c r="B8" i="20"/>
  <c r="W5" i="20"/>
  <c r="T6" i="20"/>
  <c r="A7" i="20"/>
  <c r="U4" i="20"/>
  <c r="O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2" l="1"/>
  <c r="T6" i="22"/>
  <c r="B8" i="22"/>
  <c r="V5" i="22"/>
  <c r="O6" i="22"/>
  <c r="U6" i="22" s="1"/>
  <c r="A7" i="22"/>
  <c r="J7" i="22"/>
  <c r="U5" i="22"/>
  <c r="T7" i="21"/>
  <c r="U5" i="21"/>
  <c r="J6" i="21"/>
  <c r="W6" i="21" s="1"/>
  <c r="V5" i="21"/>
  <c r="O7" i="21"/>
  <c r="B9" i="21"/>
  <c r="A9" i="21" s="1"/>
  <c r="B9" i="20"/>
  <c r="A9" i="20" s="1"/>
  <c r="T7" i="20"/>
  <c r="A8" i="20"/>
  <c r="O6" i="20"/>
  <c r="U6" i="20" s="1"/>
  <c r="V5" i="20"/>
  <c r="J7" i="20"/>
  <c r="U12" i="19"/>
  <c r="W12" i="19"/>
  <c r="V12" i="19"/>
  <c r="U11" i="19"/>
  <c r="V11" i="19"/>
  <c r="W11" i="19"/>
  <c r="U10" i="19"/>
  <c r="W10" i="19"/>
  <c r="V10" i="19"/>
  <c r="U9" i="19"/>
  <c r="V9" i="19"/>
  <c r="U8" i="19"/>
  <c r="V8" i="19"/>
  <c r="W8" i="19"/>
  <c r="V7" i="19"/>
  <c r="U7" i="19"/>
  <c r="W7" i="19"/>
  <c r="W6" i="19"/>
  <c r="U6" i="19"/>
  <c r="V6" i="19"/>
  <c r="U4" i="19"/>
  <c r="V4" i="19"/>
  <c r="W4" i="19"/>
  <c r="J5" i="19"/>
  <c r="O5" i="19"/>
  <c r="T7" i="22" l="1"/>
  <c r="W6" i="22"/>
  <c r="J8" i="22"/>
  <c r="B9" i="22"/>
  <c r="V6" i="22"/>
  <c r="O7" i="22"/>
  <c r="A8" i="22"/>
  <c r="V6" i="21"/>
  <c r="T8" i="21"/>
  <c r="O8" i="21"/>
  <c r="U6" i="21"/>
  <c r="J7" i="21"/>
  <c r="W7" i="21" s="1"/>
  <c r="J8" i="20"/>
  <c r="B10" i="20"/>
  <c r="T8" i="20"/>
  <c r="V6" i="20"/>
  <c r="O7" i="20"/>
  <c r="U7" i="20" s="1"/>
  <c r="W6" i="20"/>
  <c r="V5" i="19"/>
  <c r="W5" i="19"/>
  <c r="U5" i="19"/>
  <c r="U7" i="22" l="1"/>
  <c r="O8" i="22"/>
  <c r="V7" i="22"/>
  <c r="B10" i="22"/>
  <c r="A10" i="22" s="1"/>
  <c r="A9" i="22"/>
  <c r="J9" i="22"/>
  <c r="T8" i="22"/>
  <c r="W7" i="22"/>
  <c r="T9" i="21"/>
  <c r="J8" i="21"/>
  <c r="U7" i="21"/>
  <c r="V7" i="21"/>
  <c r="O9" i="21"/>
  <c r="O8" i="20"/>
  <c r="U8" i="20" s="1"/>
  <c r="V7" i="20"/>
  <c r="B11" i="20"/>
  <c r="J9" i="20"/>
  <c r="W7" i="20"/>
  <c r="T9" i="20"/>
  <c r="A10" i="20"/>
  <c r="U8" i="22" l="1"/>
  <c r="V8" i="22"/>
  <c r="O9" i="22"/>
  <c r="W8" i="22"/>
  <c r="T9" i="22"/>
  <c r="J10" i="22"/>
  <c r="U8" i="21"/>
  <c r="J9" i="21"/>
  <c r="U9" i="21" s="1"/>
  <c r="W8" i="21"/>
  <c r="V8" i="21"/>
  <c r="W8" i="20"/>
  <c r="B12" i="20"/>
  <c r="A12" i="20" s="1"/>
  <c r="V8" i="20"/>
  <c r="O9" i="20"/>
  <c r="W9" i="20"/>
  <c r="T10" i="20"/>
  <c r="U9" i="20"/>
  <c r="J10" i="20"/>
  <c r="A11" i="20"/>
  <c r="V9" i="22" l="1"/>
  <c r="O10" i="22"/>
  <c r="U10" i="22"/>
  <c r="U9" i="22"/>
  <c r="W9" i="22"/>
  <c r="T10" i="22"/>
  <c r="W9" i="21"/>
  <c r="V9" i="21"/>
  <c r="J11" i="20"/>
  <c r="W10" i="20"/>
  <c r="T11" i="20"/>
  <c r="V9" i="20"/>
  <c r="O10" i="20"/>
  <c r="W10" i="22" l="1"/>
  <c r="V10" i="22"/>
  <c r="U11" i="20"/>
  <c r="J12" i="20"/>
  <c r="V10" i="20"/>
  <c r="O11" i="20"/>
  <c r="W11" i="20"/>
  <c r="T12" i="20"/>
  <c r="U10" i="20"/>
  <c r="O12" i="20" l="1"/>
  <c r="V12" i="20" s="1"/>
  <c r="V11" i="20"/>
  <c r="U12" i="20" l="1"/>
  <c r="W12" i="20"/>
</calcChain>
</file>

<file path=xl/sharedStrings.xml><?xml version="1.0" encoding="utf-8"?>
<sst xmlns="http://schemas.openxmlformats.org/spreadsheetml/2006/main" count="1829" uniqueCount="209">
  <si>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</si>
  <si>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</si>
  <si>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</si>
  <si>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</si>
  <si>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</si>
  <si>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</si>
  <si>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</si>
  <si>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</si>
  <si>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</si>
  <si>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</si>
  <si>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</si>
  <si>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</si>
  <si>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</si>
  <si>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</si>
  <si>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</si>
  <si>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</si>
  <si>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</si>
  <si>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</si>
  <si>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</si>
  <si>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</si>
  <si>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</si>
  <si>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</si>
  <si>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</si>
  <si>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</si>
  <si>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</si>
  <si>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</si>
  <si>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</si>
  <si>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</si>
  <si>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</si>
  <si>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</si>
  <si>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</si>
  <si>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</si>
  <si>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</si>
  <si>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</si>
  <si>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</si>
  <si>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</si>
  <si>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</si>
  <si>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</si>
  <si>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</si>
  <si>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</si>
  <si>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</si>
  <si>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</si>
  <si>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</si>
  <si>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</si>
  <si>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</si>
  <si>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</si>
  <si>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</si>
  <si>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</si>
  <si>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</si>
  <si>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</si>
  <si>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</si>
  <si>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</si>
  <si>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</si>
  <si>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</si>
  <si>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</si>
  <si>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</si>
  <si>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</si>
  <si>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</si>
  <si>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</si>
  <si>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</si>
  <si>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</si>
  <si>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</si>
  <si>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</si>
  <si>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</si>
  <si>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</si>
  <si>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</si>
  <si>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</si>
  <si>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</si>
  <si>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</si>
  <si>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</si>
  <si>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</si>
  <si>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</si>
  <si>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</si>
  <si>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</si>
  <si>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</si>
  <si>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</si>
  <si>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</si>
  <si>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</si>
  <si>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</si>
  <si>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</si>
  <si>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</si>
  <si>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</si>
  <si>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</si>
  <si>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</si>
  <si>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</si>
  <si>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</si>
  <si>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</si>
  <si>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</si>
  <si>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</si>
  <si>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</si>
  <si>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</si>
  <si>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</si>
  <si>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</si>
  <si>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</si>
  <si>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</si>
  <si>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</si>
  <si>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</si>
  <si>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</si>
  <si>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</si>
  <si>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</si>
  <si>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</si>
  <si>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</si>
  <si>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</si>
  <si>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</si>
  <si>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</si>
  <si>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</si>
  <si>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</si>
  <si>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</si>
  <si>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</si>
  <si>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</si>
  <si>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</si>
  <si>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</si>
  <si>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</si>
  <si>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</si>
  <si>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</si>
  <si>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</si>
  <si>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</si>
  <si>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</si>
  <si>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</si>
  <si>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</si>
  <si>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</si>
  <si>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</si>
  <si>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</si>
  <si>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</si>
  <si>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</si>
  <si>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</si>
  <si>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</si>
  <si>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</si>
  <si>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</si>
  <si>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</si>
  <si>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</si>
  <si>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</si>
  <si>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</si>
  <si>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</si>
  <si>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</si>
  <si>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</si>
  <si>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</si>
  <si>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</si>
  <si>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</si>
  <si>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</si>
  <si>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</si>
  <si>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</si>
  <si>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</si>
  <si>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</si>
  <si>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</si>
  <si>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</si>
  <si>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</si>
  <si>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</si>
  <si>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</si>
  <si>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</si>
  <si>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</si>
  <si>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</si>
  <si>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</si>
  <si>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</si>
  <si>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</si>
  <si>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</si>
  <si>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</si>
  <si>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</si>
  <si>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</si>
  <si>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</si>
  <si>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</si>
  <si>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</si>
  <si>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</si>
  <si>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</si>
  <si>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</si>
  <si>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</si>
  <si>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</si>
  <si>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</si>
  <si>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</si>
  <si>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</si>
  <si>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</si>
  <si>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</si>
  <si>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</si>
  <si>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</si>
  <si>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</si>
  <si>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</si>
  <si>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</si>
  <si>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</si>
  <si>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</si>
  <si>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</si>
  <si>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</si>
  <si>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</si>
  <si>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</si>
  <si>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</si>
  <si>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</si>
  <si>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</si>
  <si>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</si>
  <si>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</si>
  <si>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</si>
  <si>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</si>
  <si>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</si>
  <si>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</si>
  <si>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</si>
  <si>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</si>
  <si>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</si>
  <si>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</si>
  <si>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</si>
  <si>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</si>
  <si>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</si>
  <si>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*</t>
  </si>
  <si>
    <t>ロン</t>
  </si>
  <si>
    <t>放銃</t>
  </si>
  <si>
    <t>01</t>
  </si>
  <si>
    <t>02</t>
  </si>
  <si>
    <t>52</t>
  </si>
  <si>
    <t>51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</si>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</sst>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-2500</v>
      </c>
      <c r="H4" s="9">
        <v>-1000</v>
      </c>
      <c r="I4" s="48">
        <v>0</v>
      </c>
      <c r="J4" s="21">
        <f>IF(COUNTA($F4,$K4,$P4)&gt;0,J3+SUM(G4:I4),"")</f>
        <v>31500</v>
      </c>
      <c r="K4" s="8" t="s">
        <v>198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-23.5</v>
      </c>
      <c r="V4" s="54">
        <f>IF($O4="","",ROUND(($O4-$O$3)/1000,1)+(_xlfn.RANK.AVG($O4,($J4,$O4,$T4),1)-2)*20)</f>
        <v>25</v>
      </c>
      <c r="W4" s="55">
        <f>IF($T4="","",ROUND(($T4-$T$3)/1000,1)+(_xlfn.RANK.AVG($T4,($J4,$O4,$T4),1)-2)*20)</f>
        <v>-1.5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30</v>
      </c>
      <c r="AZ4" s="40" t="s">
        <v>82</v>
      </c>
      <c r="BA4" s="41" t="s">
        <v>84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-12000</v>
      </c>
      <c r="H5" s="9"/>
      <c r="I5" s="48">
        <v>0</v>
      </c>
      <c r="J5" s="21">
        <f t="shared" ref="J5:J30" si="2">IF(COUNTA($F5,$K5,$P5)&gt;0,J4+SUM(G5:I5),"")</f>
        <v>19500</v>
      </c>
      <c r="K5" s="8" t="s">
        <v>198</v>
      </c>
      <c r="L5" s="9">
        <v>24000</v>
      </c>
      <c r="M5" s="9"/>
      <c r="N5" s="48">
        <v>0</v>
      </c>
      <c r="O5" s="21">
        <f t="shared" ref="O5:O30" si="3">IF(COUNTA($F5,$K5,$P5)&gt;0,O4+SUM(L5:N5),"")</f>
        <v>64000</v>
      </c>
      <c r="P5" s="8" t="s">
        <v>197</v>
      </c>
      <c r="Q5" s="9">
        <v>-12000</v>
      </c>
      <c r="R5" s="9"/>
      <c r="S5" s="48">
        <v>0</v>
      </c>
      <c r="T5" s="21">
        <f t="shared" ref="T5:T30" si="4">IF(COUNTA($F5,$K5,$P5)&gt;0,T4+SUM(Q5:S5),"")</f>
        <v>21500</v>
      </c>
      <c r="U5" s="53">
        <f>IF($J5="","",ROUND(($J5-$J$3)/1000,1)+(_xlfn.RANK.AVG($J5,($J5,$O5,$T5),1)-2)*20)</f>
        <v>-35.5</v>
      </c>
      <c r="V5" s="54">
        <f>IF($O5="","",ROUND(($O5-$O$3)/1000,1)+(_xlfn.RANK.AVG($O5,($J5,$O5,$T5),1)-2)*20)</f>
        <v>49</v>
      </c>
      <c r="W5" s="55">
        <f>IF($T5="","",ROUND(($T5-$T$3)/1000,1)+(_xlfn.RANK.AVG($T5,($J5,$O5,$T5),1)-2)*20)</f>
        <v>-13.5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9</v>
      </c>
      <c r="AY5" s="30" t="s">
        <v>199</v>
      </c>
      <c r="AZ5" s="40" t="s">
        <v>104</v>
      </c>
      <c r="BA5" s="41" t="s">
        <v>98</v>
      </c>
      <c r="BB5" s="41" t="s">
        <v>86</v>
      </c>
      <c r="BC5" s="41" t="s">
        <v>86</v>
      </c>
      <c r="BD5" s="41" t="s">
        <v>86</v>
      </c>
      <c r="BE5" s="41" t="s">
        <v>100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19500</v>
      </c>
      <c r="K6" s="8" t="s">
        <v>200</v>
      </c>
      <c r="L6" s="9">
        <v>12000</v>
      </c>
      <c r="M6" s="9"/>
      <c r="N6" s="48">
        <v>1000</v>
      </c>
      <c r="O6" s="21">
        <f t="shared" si="3"/>
        <v>77000</v>
      </c>
      <c r="P6" s="8" t="s">
        <v>201</v>
      </c>
      <c r="Q6" s="9">
        <v>-12000</v>
      </c>
      <c r="R6" s="9"/>
      <c r="S6" s="48">
        <v>-1000</v>
      </c>
      <c r="T6" s="21">
        <f t="shared" si="4"/>
        <v>8500</v>
      </c>
      <c r="U6" s="53">
        <f>IF($J6="","",ROUND(($J6-$J$3)/1000,1)+(_xlfn.RANK.AVG($J6,($J6,$O6,$T6),1)-2)*20)</f>
        <v>-15.5</v>
      </c>
      <c r="V6" s="54">
        <f>IF($O6="","",ROUND(($O6-$O$3)/1000,1)+(_xlfn.RANK.AVG($O6,($J6,$O6,$T6),1)-2)*20)</f>
        <v>62</v>
      </c>
      <c r="W6" s="55">
        <f>IF($T6="","",ROUND(($T6-$T$3)/1000,1)+(_xlfn.RANK.AVG($T6,($J6,$O6,$T6),1)-2)*20)</f>
        <v>-46.5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202</v>
      </c>
      <c r="BA6" s="41" t="s">
        <v>203</v>
      </c>
      <c r="BB6" s="41" t="s">
        <v>86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197</v>
      </c>
      <c r="G7" s="9">
        <v>-1500</v>
      </c>
      <c r="H7" s="9">
        <v>-1000</v>
      </c>
      <c r="I7" s="48">
        <v>-1000</v>
      </c>
      <c r="J7" s="21">
        <f t="shared" si="2"/>
        <v>16000</v>
      </c>
      <c r="K7" s="8" t="s">
        <v>197</v>
      </c>
      <c r="L7" s="9">
        <v>-2500</v>
      </c>
      <c r="M7" s="9"/>
      <c r="N7" s="48">
        <v>-1000</v>
      </c>
      <c r="O7" s="21">
        <f t="shared" si="3"/>
        <v>73500</v>
      </c>
      <c r="P7" s="8" t="s">
        <v>198</v>
      </c>
      <c r="Q7" s="9">
        <v>4000</v>
      </c>
      <c r="R7" s="9">
        <v>1000</v>
      </c>
      <c r="S7" s="48">
        <v>2000</v>
      </c>
      <c r="T7" s="21">
        <f t="shared" si="4"/>
        <v>15500</v>
      </c>
      <c r="U7" s="53">
        <f>IF($J7="","",ROUND(($J7-$J$3)/1000,1)+(_xlfn.RANK.AVG($J7,($J7,$O7,$T7),1)-2)*20)</f>
        <v>-19</v>
      </c>
      <c r="V7" s="54">
        <f>IF($O7="","",ROUND(($O7-$O$3)/1000,1)+(_xlfn.RANK.AVG($O7,($J7,$O7,$T7),1)-2)*20)</f>
        <v>58.5</v>
      </c>
      <c r="W7" s="55">
        <f>IF($T7="","",ROUND(($T7-$T$3)/1000,1)+(_xlfn.RANK.AVG($T7,($J7,$O7,$T7),1)-2)*20)</f>
        <v>-39.5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202</v>
      </c>
      <c r="BV7" s="41" t="s">
        <v>82</v>
      </c>
      <c r="BW7" s="41" t="s">
        <v>86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16000</v>
      </c>
      <c r="K8" s="8" t="s">
        <v>200</v>
      </c>
      <c r="L8" s="9">
        <v>2600</v>
      </c>
      <c r="M8" s="9"/>
      <c r="N8" s="48">
        <v>0</v>
      </c>
      <c r="O8" s="21">
        <f t="shared" si="3"/>
        <v>76100</v>
      </c>
      <c r="P8" s="8" t="s">
        <v>201</v>
      </c>
      <c r="Q8" s="9">
        <v>-2600</v>
      </c>
      <c r="R8" s="9"/>
      <c r="S8" s="48">
        <v>0</v>
      </c>
      <c r="T8" s="21">
        <f t="shared" si="4"/>
        <v>12900</v>
      </c>
      <c r="U8" s="53">
        <f>IF($J8="","",ROUND(($J8-$J$3)/1000,1)+(_xlfn.RANK.AVG($J8,($J8,$O8,$T8),1)-2)*20)</f>
        <v>-19</v>
      </c>
      <c r="V8" s="54">
        <f>IF($O8="","",ROUND(($O8-$O$3)/1000,1)+(_xlfn.RANK.AVG($O8,($J8,$O8,$T8),1)-2)*20)</f>
        <v>61.1</v>
      </c>
      <c r="W8" s="55">
        <f>IF($T8="","",ROUND(($T8-$T$3)/1000,1)+(_xlfn.RANK.AVG($T8,($J8,$O8,$T8),1)-2)*20)</f>
        <v>-42.1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40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16000</v>
      </c>
      <c r="K9" s="8" t="s">
        <v>201</v>
      </c>
      <c r="L9" s="9">
        <v>-12000</v>
      </c>
      <c r="M9" s="9"/>
      <c r="N9" s="48">
        <v>0</v>
      </c>
      <c r="O9" s="21">
        <f t="shared" si="3"/>
        <v>64100</v>
      </c>
      <c r="P9" s="8" t="s">
        <v>200</v>
      </c>
      <c r="Q9" s="9">
        <v>12000</v>
      </c>
      <c r="R9" s="9"/>
      <c r="S9" s="48">
        <v>0</v>
      </c>
      <c r="T9" s="21">
        <f t="shared" si="4"/>
        <v>24900</v>
      </c>
      <c r="U9" s="53">
        <f>IF($J9="","",ROUND(($J9-$J$3)/1000,1)+(_xlfn.RANK.AVG($J9,($J9,$O9,$T9),1)-2)*20)</f>
        <v>-39</v>
      </c>
      <c r="V9" s="54">
        <f>IF($O9="","",ROUND(($O9-$O$3)/1000,1)+(_xlfn.RANK.AVG($O9,($J9,$O9,$T9),1)-2)*20)</f>
        <v>49.1</v>
      </c>
      <c r="W9" s="55">
        <f>IF($T9="","",ROUND(($T9-$T$3)/1000,1)+(_xlfn.RANK.AVG($T9,($J9,$O9,$T9),1)-2)*20)</f>
        <v>-10.1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7</v>
      </c>
      <c r="BT9" s="30" t="s">
        <v>199</v>
      </c>
      <c r="BU9" s="40" t="s">
        <v>104</v>
      </c>
      <c r="BV9" s="41" t="s">
        <v>86</v>
      </c>
      <c r="BW9" s="41" t="s">
        <v>86</v>
      </c>
      <c r="BX9" s="41" t="s">
        <v>204</v>
      </c>
      <c r="BY9" s="41" t="s">
        <v>99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15000</v>
      </c>
      <c r="K10" s="8" t="s">
        <v>201</v>
      </c>
      <c r="L10" s="9">
        <v>-8000</v>
      </c>
      <c r="M10" s="9"/>
      <c r="N10" s="48">
        <v>0</v>
      </c>
      <c r="O10" s="21">
        <f t="shared" si="3"/>
        <v>56100</v>
      </c>
      <c r="P10" s="8" t="s">
        <v>200</v>
      </c>
      <c r="Q10" s="9">
        <v>8000</v>
      </c>
      <c r="R10" s="9">
        <v>1000</v>
      </c>
      <c r="S10" s="48">
        <v>0</v>
      </c>
      <c r="T10" s="21">
        <f t="shared" si="4"/>
        <v>33900</v>
      </c>
      <c r="U10" s="53">
        <f>IF($J10="","",ROUND(($J10-$J$3)/1000,1)+(_xlfn.RANK.AVG($J10,($J10,$O10,$T10),1)-2)*20)</f>
        <v>-40</v>
      </c>
      <c r="V10" s="54">
        <f>IF($O10="","",ROUND(($O10-$O$3)/1000,1)+(_xlfn.RANK.AVG($O10,($J10,$O10,$T10),1)-2)*20)</f>
        <v>41.1</v>
      </c>
      <c r="W10" s="55">
        <f>IF($T10="","",ROUND(($T10-$T$3)/1000,1)+(_xlfn.RANK.AVG($T10,($J10,$O10,$T10),1)-2)*20)</f>
        <v>-1.1000000000000001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202</v>
      </c>
      <c r="BV10" s="41" t="s">
        <v>203</v>
      </c>
      <c r="BW10" s="41" t="s">
        <v>79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201</v>
      </c>
      <c r="G11" s="9">
        <v>-5800</v>
      </c>
      <c r="H11" s="9"/>
      <c r="I11" s="48">
        <v>0</v>
      </c>
      <c r="J11" s="21">
        <f t="shared" si="2"/>
        <v>9200</v>
      </c>
      <c r="K11" s="8"/>
      <c r="L11" s="9"/>
      <c r="M11" s="9"/>
      <c r="N11" s="48"/>
      <c r="O11" s="21">
        <f t="shared" si="3"/>
        <v>56100</v>
      </c>
      <c r="P11" s="8" t="s">
        <v>200</v>
      </c>
      <c r="Q11" s="9">
        <v>5800</v>
      </c>
      <c r="R11" s="9"/>
      <c r="S11" s="48">
        <v>0</v>
      </c>
      <c r="T11" s="21">
        <f t="shared" si="4"/>
        <v>39700</v>
      </c>
      <c r="U11" s="53">
        <f>IF($J11="","",ROUND(($J11-$J$3)/1000,1)+(_xlfn.RANK.AVG($J11,($J11,$O11,$T11),1)-2)*20)</f>
        <v>-45.8</v>
      </c>
      <c r="V11" s="54">
        <f>IF($O11="","",ROUND(($O11-$O$3)/1000,1)+(_xlfn.RANK.AVG($O11,($J11,$O11,$T11),1)-2)*20)</f>
        <v>41.1</v>
      </c>
      <c r="W11" s="55">
        <f>IF($T11="","",ROUND(($T11-$T$3)/1000,1)+(_xlfn.RANK.AVG($T11,($J11,$O11,$T11),1)-2)*20)</f>
        <v>4.7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86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198</v>
      </c>
      <c r="G12" s="9">
        <v>12000</v>
      </c>
      <c r="H12" s="9"/>
      <c r="I12" s="48">
        <v>1000</v>
      </c>
      <c r="J12" s="21">
        <f t="shared" si="2"/>
        <v>22200</v>
      </c>
      <c r="K12" s="8" t="s">
        <v>197</v>
      </c>
      <c r="L12" s="9">
        <v>-4500</v>
      </c>
      <c r="M12" s="9"/>
      <c r="N12" s="48">
        <v>-500</v>
      </c>
      <c r="O12" s="21">
        <f t="shared" si="3"/>
        <v>51100</v>
      </c>
      <c r="P12" s="8" t="s">
        <v>197</v>
      </c>
      <c r="Q12" s="9">
        <v>-7500</v>
      </c>
      <c r="R12" s="9"/>
      <c r="S12" s="48">
        <v>-500</v>
      </c>
      <c r="T12" s="21">
        <f t="shared" si="4"/>
        <v>31700</v>
      </c>
      <c r="U12" s="53">
        <f>IF($J12="","",ROUND(($J12-$J$3)/1000,1)+(_xlfn.RANK.AVG($J12,($J12,$O12,$T12),1)-2)*20)</f>
        <v>-32.799999999999997</v>
      </c>
      <c r="V12" s="54">
        <f>IF($O12="","",ROUND(($O12-$O$3)/1000,1)+(_xlfn.RANK.AVG($O12,($J12,$O12,$T12),1)-2)*20)</f>
        <v>36.1</v>
      </c>
      <c r="W12" s="55">
        <f>IF($T12="","",ROUND(($T12-$T$3)/1000,1)+(_xlfn.RANK.AVG($T12,($J12,$O12,$T12),1)-2)*20)</f>
        <v>-3.3</v>
      </c>
      <c r="Y12" s="8"/>
      <c r="Z12" s="34"/>
      <c r="AA12" s="26">
        <v>1</v>
      </c>
      <c r="AB12" s="26"/>
      <c r="AC12" s="26">
        <v>7</v>
      </c>
      <c r="AD12" s="30" t="s">
        <v>199</v>
      </c>
      <c r="AE12" s="40" t="s">
        <v>205</v>
      </c>
      <c r="AF12" s="41" t="s">
        <v>82</v>
      </c>
      <c r="AG12" s="41" t="s">
        <v>104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64" priority="5">
      <formula>IF(G4&lt;&gt;"",SUM($G4:$I4,$L4:$N4,$Q4:$S4)-$D4*1000+$D5*1000)</formula>
    </cfRule>
  </conditionalFormatting>
  <conditionalFormatting sqref="F1:G1 I1:L1 S1:T1 N1:Q1">
    <cfRule type="duplicateValues" dxfId="63" priority="4"/>
  </conditionalFormatting>
  <conditionalFormatting sqref="H1">
    <cfRule type="duplicateValues" dxfId="62" priority="3"/>
  </conditionalFormatting>
  <conditionalFormatting sqref="R1">
    <cfRule type="duplicateValues" dxfId="61" priority="2"/>
  </conditionalFormatting>
  <conditionalFormatting sqref="M1">
    <cfRule type="duplicateValues" dxfId="6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1D0DDB0-F2DA-420E-90A4-C8869423453B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2DF5-4F83-4A96-B9CE-BDE3A348AD8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-28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202</v>
      </c>
      <c r="AF4" s="41" t="s">
        <v>203</v>
      </c>
      <c r="AG4" s="41" t="s">
        <v>83</v>
      </c>
      <c r="AH4" s="41" t="s">
        <v>84</v>
      </c>
      <c r="AI4" s="41" t="s">
        <v>204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7700</v>
      </c>
      <c r="H5" s="9"/>
      <c r="I5" s="48">
        <v>0</v>
      </c>
      <c r="J5" s="21">
        <f t="shared" ref="J5:J30" si="2">IF(COUNTA($F5,$K5,$P5)&gt;0,J4+SUM(G5:I5),"")</f>
        <v>50700</v>
      </c>
      <c r="K5" s="8" t="s">
        <v>201</v>
      </c>
      <c r="L5" s="9">
        <v>-7700</v>
      </c>
      <c r="M5" s="9"/>
      <c r="N5" s="48">
        <v>0</v>
      </c>
      <c r="O5" s="21">
        <f t="shared" ref="O5:O30" si="3">IF(COUNTA($F5,$K5,$P5)&gt;0,O4+SUM(L5:N5),"")</f>
        <v>27300</v>
      </c>
      <c r="P5" s="8"/>
      <c r="Q5" s="9"/>
      <c r="R5" s="9"/>
      <c r="S5" s="48"/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35.700000000000003</v>
      </c>
      <c r="V5" s="54">
        <f>IF($O5="","",ROUND(($O5-$O$3)/1000,1)+(_xlfn.RANK.AVG($O5,($J5,$O5,$T5),1)-2)*20)</f>
        <v>-7.7</v>
      </c>
      <c r="W5" s="55">
        <f>IF($T5="","",ROUND(($T5-$T$3)/1000,1)+(_xlfn.RANK.AVG($T5,($J5,$O5,$T5),1)-2)*20)</f>
        <v>-28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202</v>
      </c>
      <c r="AF5" s="41" t="s">
        <v>83</v>
      </c>
      <c r="AG5" s="41" t="s">
        <v>204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-7500</v>
      </c>
      <c r="H6" s="9"/>
      <c r="I6" s="48">
        <v>0</v>
      </c>
      <c r="J6" s="21">
        <f t="shared" si="2"/>
        <v>43200</v>
      </c>
      <c r="K6" s="8" t="s">
        <v>197</v>
      </c>
      <c r="L6" s="9">
        <v>-4500</v>
      </c>
      <c r="M6" s="9"/>
      <c r="N6" s="48">
        <v>0</v>
      </c>
      <c r="O6" s="21">
        <f t="shared" si="3"/>
        <v>22800</v>
      </c>
      <c r="P6" s="8" t="s">
        <v>198</v>
      </c>
      <c r="Q6" s="9">
        <v>12000</v>
      </c>
      <c r="R6" s="9"/>
      <c r="S6" s="48">
        <v>0</v>
      </c>
      <c r="T6" s="21">
        <f t="shared" si="4"/>
        <v>39000</v>
      </c>
      <c r="U6" s="53">
        <f>IF($J6="","",ROUND(($J6-$J$3)/1000,1)+(_xlfn.RANK.AVG($J6,($J6,$O6,$T6),1)-2)*20)</f>
        <v>28.2</v>
      </c>
      <c r="V6" s="54">
        <f>IF($O6="","",ROUND(($O6-$O$3)/1000,1)+(_xlfn.RANK.AVG($O6,($J6,$O6,$T6),1)-2)*20)</f>
        <v>-32.200000000000003</v>
      </c>
      <c r="W6" s="55">
        <f>IF($T6="","",ROUND(($T6-$T$3)/1000,1)+(_xlfn.RANK.AVG($T6,($J6,$O6,$T6),1)-2)*20)</f>
        <v>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199</v>
      </c>
      <c r="BU6" s="40" t="s">
        <v>202</v>
      </c>
      <c r="BV6" s="41" t="s">
        <v>82</v>
      </c>
      <c r="BW6" s="41" t="s">
        <v>83</v>
      </c>
      <c r="BX6" s="41" t="s">
        <v>84</v>
      </c>
      <c r="BY6" s="41" t="s">
        <v>80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43200</v>
      </c>
      <c r="K7" s="8" t="s">
        <v>201</v>
      </c>
      <c r="L7" s="9">
        <v>-5200</v>
      </c>
      <c r="M7" s="9"/>
      <c r="N7" s="48">
        <v>0</v>
      </c>
      <c r="O7" s="21">
        <f t="shared" si="3"/>
        <v>17600</v>
      </c>
      <c r="P7" s="8" t="s">
        <v>200</v>
      </c>
      <c r="Q7" s="9">
        <v>5200</v>
      </c>
      <c r="R7" s="9"/>
      <c r="S7" s="48">
        <v>0</v>
      </c>
      <c r="T7" s="21">
        <f t="shared" si="4"/>
        <v>44200</v>
      </c>
      <c r="U7" s="53">
        <f>IF($J7="","",ROUND(($J7-$J$3)/1000,1)+(_xlfn.RANK.AVG($J7,($J7,$O7,$T7),1)-2)*20)</f>
        <v>8.1999999999999993</v>
      </c>
      <c r="V7" s="54">
        <f>IF($O7="","",ROUND(($O7-$O$3)/1000,1)+(_xlfn.RANK.AVG($O7,($J7,$O7,$T7),1)-2)*20)</f>
        <v>-37.4</v>
      </c>
      <c r="W7" s="55">
        <f>IF($T7="","",ROUND(($T7-$T$3)/1000,1)+(_xlfn.RANK.AVG($T7,($J7,$O7,$T7),1)-2)*20)</f>
        <v>29.2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202</v>
      </c>
      <c r="BV7" s="41" t="s">
        <v>79</v>
      </c>
      <c r="BW7" s="41" t="s">
        <v>203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200</v>
      </c>
      <c r="G8" s="9">
        <v>1000</v>
      </c>
      <c r="H8" s="9">
        <v>1000</v>
      </c>
      <c r="I8" s="48">
        <v>0</v>
      </c>
      <c r="J8" s="21">
        <f t="shared" si="2"/>
        <v>45200</v>
      </c>
      <c r="K8" s="8"/>
      <c r="L8" s="9"/>
      <c r="M8" s="9">
        <v>-1000</v>
      </c>
      <c r="N8" s="48"/>
      <c r="O8" s="21">
        <f t="shared" si="3"/>
        <v>16600</v>
      </c>
      <c r="P8" s="8" t="s">
        <v>201</v>
      </c>
      <c r="Q8" s="9">
        <v>-1000</v>
      </c>
      <c r="R8" s="9"/>
      <c r="S8" s="48">
        <v>0</v>
      </c>
      <c r="T8" s="21">
        <f t="shared" si="4"/>
        <v>43200</v>
      </c>
      <c r="U8" s="53">
        <f>IF($J8="","",ROUND(($J8-$J$3)/1000,1)+(_xlfn.RANK.AVG($J8,($J8,$O8,$T8),1)-2)*20)</f>
        <v>30.2</v>
      </c>
      <c r="V8" s="54">
        <f>IF($O8="","",ROUND(($O8-$O$3)/1000,1)+(_xlfn.RANK.AVG($O8,($J8,$O8,$T8),1)-2)*20)</f>
        <v>-38.4</v>
      </c>
      <c r="W8" s="55">
        <f>IF($T8="","",ROUND(($T8-$T$3)/1000,1)+(_xlfn.RANK.AVG($T8,($J8,$O8,$T8),1)-2)*20)</f>
        <v>8.1999999999999993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-12000</v>
      </c>
      <c r="H9" s="9"/>
      <c r="I9" s="48">
        <v>0</v>
      </c>
      <c r="J9" s="21">
        <f t="shared" si="2"/>
        <v>33200</v>
      </c>
      <c r="K9" s="8" t="s">
        <v>200</v>
      </c>
      <c r="L9" s="9">
        <v>12000</v>
      </c>
      <c r="M9" s="9"/>
      <c r="N9" s="48">
        <v>0</v>
      </c>
      <c r="O9" s="21">
        <f t="shared" si="3"/>
        <v>28600</v>
      </c>
      <c r="P9" s="8"/>
      <c r="Q9" s="9"/>
      <c r="R9" s="9"/>
      <c r="S9" s="48"/>
      <c r="T9" s="21">
        <f t="shared" si="4"/>
        <v>43200</v>
      </c>
      <c r="U9" s="53">
        <f>IF($J9="","",ROUND(($J9-$J$3)/1000,1)+(_xlfn.RANK.AVG($J9,($J9,$O9,$T9),1)-2)*20)</f>
        <v>-1.8</v>
      </c>
      <c r="V9" s="54">
        <f>IF($O9="","",ROUND(($O9-$O$3)/1000,1)+(_xlfn.RANK.AVG($O9,($J9,$O9,$T9),1)-2)*20)</f>
        <v>-26.4</v>
      </c>
      <c r="W9" s="55">
        <f>IF($T9="","",ROUND(($T9-$T$3)/1000,1)+(_xlfn.RANK.AVG($T9,($J9,$O9,$T9),1)-2)*20)</f>
        <v>28.2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199</v>
      </c>
      <c r="AZ9" s="40" t="s">
        <v>86</v>
      </c>
      <c r="BA9" s="41" t="s">
        <v>104</v>
      </c>
      <c r="BB9" s="41" t="s">
        <v>79</v>
      </c>
      <c r="BC9" s="41" t="s">
        <v>79</v>
      </c>
      <c r="BD9" s="41" t="s">
        <v>79</v>
      </c>
      <c r="BE9" s="41" t="s">
        <v>204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allowBlank="1" showInputMessage="1" sqref="F1:T1" xr:uid="{7F5D4937-580F-423A-9379-769195CF6984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A2DDF0A2-3E43-4DC3-995E-10CEA987CA21}">
      <formula1>"ロン,ツモ,放銃,ツモ支払,流局,チョンボ"</formula1>
    </dataValidation>
    <dataValidation type="list" allowBlank="1" showInputMessage="1" showErrorMessage="1" sqref="E4:E30" xr:uid="{4EF4EA99-FD3C-4B50-963D-E4B2DD4EAEF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462DF-4796-4760-854C-AD2659FEE4D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200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199</v>
      </c>
      <c r="AZ4" s="40" t="s">
        <v>106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-3900</v>
      </c>
      <c r="H5" s="9"/>
      <c r="I5" s="48">
        <v>0</v>
      </c>
      <c r="J5" s="21">
        <f t="shared" ref="J5:J30" si="2">IF(COUNTA($F5,$K5,$P5)&gt;0,J4+SUM(G5:I5),"")</f>
        <v>19100</v>
      </c>
      <c r="K5" s="8"/>
      <c r="L5" s="9"/>
      <c r="M5" s="9"/>
      <c r="N5" s="48"/>
      <c r="O5" s="21">
        <f t="shared" ref="O5:O30" si="3">IF(COUNTA($F5,$K5,$P5)&gt;0,O4+SUM(L5:N5),"")</f>
        <v>47000</v>
      </c>
      <c r="P5" s="8" t="s">
        <v>200</v>
      </c>
      <c r="Q5" s="9">
        <v>3900</v>
      </c>
      <c r="R5" s="9"/>
      <c r="S5" s="48">
        <v>0</v>
      </c>
      <c r="T5" s="21">
        <f t="shared" ref="T5:T30" si="4">IF(COUNTA($F5,$K5,$P5)&gt;0,T4+SUM(Q5:S5),"")</f>
        <v>38900</v>
      </c>
      <c r="U5" s="53">
        <f>IF($J5="","",ROUND(($J5-$J$3)/1000,1)+(_xlfn.RANK.AVG($J5,($J5,$O5,$T5),1)-2)*20)</f>
        <v>-35.9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3.9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79</v>
      </c>
      <c r="BV5" s="41" t="s">
        <v>79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-6000</v>
      </c>
      <c r="H6" s="9"/>
      <c r="I6" s="48">
        <v>0</v>
      </c>
      <c r="J6" s="21">
        <f t="shared" si="2"/>
        <v>13100</v>
      </c>
      <c r="K6" s="8" t="s">
        <v>198</v>
      </c>
      <c r="L6" s="9">
        <v>12000</v>
      </c>
      <c r="M6" s="9"/>
      <c r="N6" s="48">
        <v>0</v>
      </c>
      <c r="O6" s="21">
        <f t="shared" si="3"/>
        <v>59000</v>
      </c>
      <c r="P6" s="8" t="s">
        <v>197</v>
      </c>
      <c r="Q6" s="9">
        <v>-6000</v>
      </c>
      <c r="R6" s="9"/>
      <c r="S6" s="48">
        <v>0</v>
      </c>
      <c r="T6" s="21">
        <f t="shared" si="4"/>
        <v>32900</v>
      </c>
      <c r="U6" s="53">
        <f>IF($J6="","",ROUND(($J6-$J$3)/1000,1)+(_xlfn.RANK.AVG($J6,($J6,$O6,$T6),1)-2)*20)</f>
        <v>-41.9</v>
      </c>
      <c r="V6" s="54">
        <f>IF($O6="","",ROUND(($O6-$O$3)/1000,1)+(_xlfn.RANK.AVG($O6,($J6,$O6,$T6),1)-2)*20)</f>
        <v>44</v>
      </c>
      <c r="W6" s="55">
        <f>IF($T6="","",ROUND(($T6-$T$3)/1000,1)+(_xlfn.RANK.AVG($T6,($J6,$O6,$T6),1)-2)*20)</f>
        <v>-2.1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199</v>
      </c>
      <c r="AZ6" s="40" t="s">
        <v>105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201</v>
      </c>
      <c r="G7" s="9">
        <v>-2000</v>
      </c>
      <c r="H7" s="9">
        <v>-1000</v>
      </c>
      <c r="I7" s="48">
        <v>-1000</v>
      </c>
      <c r="J7" s="21">
        <f t="shared" si="2"/>
        <v>9100</v>
      </c>
      <c r="K7" s="8"/>
      <c r="L7" s="9"/>
      <c r="M7" s="9"/>
      <c r="N7" s="48"/>
      <c r="O7" s="21">
        <f t="shared" si="3"/>
        <v>59000</v>
      </c>
      <c r="P7" s="8" t="s">
        <v>200</v>
      </c>
      <c r="Q7" s="9">
        <v>2000</v>
      </c>
      <c r="R7" s="9">
        <v>1000</v>
      </c>
      <c r="S7" s="48">
        <v>1000</v>
      </c>
      <c r="T7" s="21">
        <f t="shared" si="4"/>
        <v>36900</v>
      </c>
      <c r="U7" s="53">
        <f>IF($J7="","",ROUND(($J7-$J$3)/1000,1)+(_xlfn.RANK.AVG($J7,($J7,$O7,$T7),1)-2)*20)</f>
        <v>-45.9</v>
      </c>
      <c r="V7" s="54">
        <f>IF($O7="","",ROUND(($O7-$O$3)/1000,1)+(_xlfn.RANK.AVG($O7,($J7,$O7,$T7),1)-2)*20)</f>
        <v>44</v>
      </c>
      <c r="W7" s="55">
        <f>IF($T7="","",ROUND(($T7-$T$3)/1000,1)+(_xlfn.RANK.AVG($T7,($J7,$O7,$T7),1)-2)*20)</f>
        <v>1.9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30</v>
      </c>
      <c r="BU7" s="40" t="s">
        <v>202</v>
      </c>
      <c r="BV7" s="41" t="s">
        <v>83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-2900</v>
      </c>
      <c r="H8" s="9"/>
      <c r="I8" s="48">
        <v>0</v>
      </c>
      <c r="J8" s="21">
        <f t="shared" si="2"/>
        <v>6200</v>
      </c>
      <c r="K8" s="8"/>
      <c r="L8" s="9"/>
      <c r="M8" s="9"/>
      <c r="N8" s="48"/>
      <c r="O8" s="21">
        <f t="shared" si="3"/>
        <v>59000</v>
      </c>
      <c r="P8" s="8" t="s">
        <v>200</v>
      </c>
      <c r="Q8" s="9">
        <v>2900</v>
      </c>
      <c r="R8" s="9"/>
      <c r="S8" s="48">
        <v>0</v>
      </c>
      <c r="T8" s="21">
        <f t="shared" si="4"/>
        <v>39800</v>
      </c>
      <c r="U8" s="53">
        <f>IF($J8="","",ROUND(($J8-$J$3)/1000,1)+(_xlfn.RANK.AVG($J8,($J8,$O8,$T8),1)-2)*20)</f>
        <v>-48.8</v>
      </c>
      <c r="V8" s="54">
        <f>IF($O8="","",ROUND(($O8-$O$3)/1000,1)+(_xlfn.RANK.AVG($O8,($J8,$O8,$T8),1)-2)*20)</f>
        <v>44</v>
      </c>
      <c r="W8" s="55">
        <f>IF($T8="","",ROUND(($T8-$T$3)/1000,1)+(_xlfn.RANK.AVG($T8,($J8,$O8,$T8),1)-2)*20)</f>
        <v>4.8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204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197</v>
      </c>
      <c r="G9" s="9">
        <v>-4500</v>
      </c>
      <c r="H9" s="9">
        <v>-1000</v>
      </c>
      <c r="I9" s="48">
        <v>-500</v>
      </c>
      <c r="J9" s="21">
        <f t="shared" si="2"/>
        <v>200</v>
      </c>
      <c r="K9" s="8" t="s">
        <v>198</v>
      </c>
      <c r="L9" s="9">
        <v>12000</v>
      </c>
      <c r="M9" s="9">
        <v>1000</v>
      </c>
      <c r="N9" s="48">
        <v>1000</v>
      </c>
      <c r="O9" s="21">
        <f t="shared" si="3"/>
        <v>73000</v>
      </c>
      <c r="P9" s="8" t="s">
        <v>197</v>
      </c>
      <c r="Q9" s="9">
        <v>-7500</v>
      </c>
      <c r="R9" s="9"/>
      <c r="S9" s="48">
        <v>-500</v>
      </c>
      <c r="T9" s="21">
        <f t="shared" si="4"/>
        <v>31800</v>
      </c>
      <c r="U9" s="53">
        <f>IF($J9="","",ROUND(($J9-$J$3)/1000,1)+(_xlfn.RANK.AVG($J9,($J9,$O9,$T9),1)-2)*20)</f>
        <v>-54.8</v>
      </c>
      <c r="V9" s="54">
        <f>IF($O9="","",ROUND(($O9-$O$3)/1000,1)+(_xlfn.RANK.AVG($O9,($J9,$O9,$T9),1)-2)*20)</f>
        <v>58</v>
      </c>
      <c r="W9" s="55">
        <f>IF($T9="","",ROUND(($T9-$T$3)/1000,1)+(_xlfn.RANK.AVG($T9,($J9,$O9,$T9),1)-2)*20)</f>
        <v>-3.2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199</v>
      </c>
      <c r="AZ9" s="40" t="s">
        <v>86</v>
      </c>
      <c r="BA9" s="41" t="s">
        <v>86</v>
      </c>
      <c r="BB9" s="41" t="s">
        <v>204</v>
      </c>
      <c r="BC9" s="41" t="s">
        <v>79</v>
      </c>
      <c r="BD9" s="41" t="s">
        <v>79</v>
      </c>
      <c r="BE9" s="41" t="s">
        <v>79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-2000</v>
      </c>
      <c r="H10" s="9"/>
      <c r="I10" s="48">
        <v>0</v>
      </c>
      <c r="J10" s="21">
        <f t="shared" si="2"/>
        <v>-1800</v>
      </c>
      <c r="K10" s="8" t="s">
        <v>200</v>
      </c>
      <c r="L10" s="9">
        <v>2000</v>
      </c>
      <c r="M10" s="9">
        <v>1000</v>
      </c>
      <c r="N10" s="48">
        <v>0</v>
      </c>
      <c r="O10" s="21">
        <f t="shared" si="3"/>
        <v>76000</v>
      </c>
      <c r="P10" s="8"/>
      <c r="Q10" s="9"/>
      <c r="R10" s="9">
        <v>-1000</v>
      </c>
      <c r="S10" s="48"/>
      <c r="T10" s="21">
        <f t="shared" si="4"/>
        <v>30800</v>
      </c>
      <c r="U10" s="53">
        <f>IF($J10="","",ROUND(($J10-$J$3)/1000,1)+(_xlfn.RANK.AVG($J10,($J10,$O10,$T10),1)-2)*20)</f>
        <v>-56.8</v>
      </c>
      <c r="V10" s="54">
        <f>IF($O10="","",ROUND(($O10-$O$3)/1000,1)+(_xlfn.RANK.AVG($O10,($J10,$O10,$T10),1)-2)*20)</f>
        <v>61</v>
      </c>
      <c r="W10" s="55">
        <f>IF($T10="","",ROUND(($T10-$T$3)/1000,1)+(_xlfn.RANK.AVG($T10,($J10,$O10,$T10),1)-2)*20)</f>
        <v>-4.2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79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EA2A0EF1-9035-4C57-87B6-31F9FBF52739}">
      <formula1>$U$2:$W$2</formula1>
    </dataValidation>
    <dataValidation type="list" showInputMessage="1" showErrorMessage="1" sqref="K4:K30 P4:P30 F4:F30" xr:uid="{A1E3EADD-9A1E-45FF-A809-9DDEE9726A87}">
      <formula1>"ロン,ツモ,放銃,ツモ支払,流局,チョンボ"</formula1>
    </dataValidation>
    <dataValidation type="list" allowBlank="1" showInputMessage="1" sqref="F1:T1" xr:uid="{D632C4DC-A766-4002-9988-E3BF146088A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9BB4-FBAC-4A94-876E-3DC9F72CB31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201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-23.9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104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-3200</v>
      </c>
      <c r="H5" s="9"/>
      <c r="I5" s="48">
        <v>0</v>
      </c>
      <c r="J5" s="21">
        <f t="shared" ref="J5:J30" si="2">IF(COUNTA($F5,$K5,$P5)&gt;0,J4+SUM(G5:I5),"")</f>
        <v>31800</v>
      </c>
      <c r="K5" s="8"/>
      <c r="L5" s="9"/>
      <c r="M5" s="9"/>
      <c r="N5" s="48"/>
      <c r="O5" s="21">
        <f t="shared" ref="O5:O30" si="3">IF(COUNTA($F5,$K5,$P5)&gt;0,O4+SUM(L5:N5),"")</f>
        <v>38900</v>
      </c>
      <c r="P5" s="8" t="s">
        <v>200</v>
      </c>
      <c r="Q5" s="9">
        <v>3200</v>
      </c>
      <c r="R5" s="9"/>
      <c r="S5" s="48">
        <v>0</v>
      </c>
      <c r="T5" s="21">
        <f t="shared" ref="T5:T30" si="4">IF(COUNTA($F5,$K5,$P5)&gt;0,T4+SUM(Q5:S5),"")</f>
        <v>34300</v>
      </c>
      <c r="U5" s="53">
        <f>IF($J5="","",ROUND(($J5-$J$3)/1000,1)+(_xlfn.RANK.AVG($J5,($J5,$O5,$T5),1)-2)*20)</f>
        <v>-23.2</v>
      </c>
      <c r="V5" s="54">
        <f>IF($O5="","",ROUND(($O5-$O$3)/1000,1)+(_xlfn.RANK.AVG($O5,($J5,$O5,$T5),1)-2)*20)</f>
        <v>23.9</v>
      </c>
      <c r="W5" s="55">
        <f>IF($T5="","",ROUND(($T5-$T$3)/1000,1)+(_xlfn.RANK.AVG($T5,($J5,$O5,$T5),1)-2)*20)</f>
        <v>-0.7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25</v>
      </c>
      <c r="BU5" s="40" t="s">
        <v>101</v>
      </c>
      <c r="BV5" s="41" t="s">
        <v>204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201</v>
      </c>
      <c r="G6" s="9">
        <v>-7700</v>
      </c>
      <c r="H6" s="9"/>
      <c r="I6" s="48">
        <v>0</v>
      </c>
      <c r="J6" s="21">
        <f t="shared" si="2"/>
        <v>24100</v>
      </c>
      <c r="K6" s="8"/>
      <c r="L6" s="9"/>
      <c r="M6" s="9"/>
      <c r="N6" s="48"/>
      <c r="O6" s="21">
        <f t="shared" si="3"/>
        <v>38900</v>
      </c>
      <c r="P6" s="8" t="s">
        <v>200</v>
      </c>
      <c r="Q6" s="9">
        <v>7700</v>
      </c>
      <c r="R6" s="9"/>
      <c r="S6" s="48">
        <v>0</v>
      </c>
      <c r="T6" s="21">
        <f t="shared" si="4"/>
        <v>42000</v>
      </c>
      <c r="U6" s="53">
        <f>IF($J6="","",ROUND(($J6-$J$3)/1000,1)+(_xlfn.RANK.AVG($J6,($J6,$O6,$T6),1)-2)*20)</f>
        <v>-30.9</v>
      </c>
      <c r="V6" s="54">
        <f>IF($O6="","",ROUND(($O6-$O$3)/1000,1)+(_xlfn.RANK.AVG($O6,($J6,$O6,$T6),1)-2)*20)</f>
        <v>3.9</v>
      </c>
      <c r="W6" s="55">
        <f>IF($T6="","",ROUND(($T6-$T$3)/1000,1)+(_xlfn.RANK.AVG($T6,($J6,$O6,$T6),1)-2)*20)</f>
        <v>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104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0</v>
      </c>
      <c r="J7" s="21">
        <f t="shared" si="2"/>
        <v>32100</v>
      </c>
      <c r="K7" s="8" t="s">
        <v>197</v>
      </c>
      <c r="L7" s="9">
        <v>-3000</v>
      </c>
      <c r="M7" s="9"/>
      <c r="N7" s="48">
        <v>0</v>
      </c>
      <c r="O7" s="21">
        <f t="shared" si="3"/>
        <v>35900</v>
      </c>
      <c r="P7" s="8" t="s">
        <v>197</v>
      </c>
      <c r="Q7" s="9">
        <v>-5000</v>
      </c>
      <c r="R7" s="9"/>
      <c r="S7" s="48">
        <v>0</v>
      </c>
      <c r="T7" s="21">
        <f t="shared" si="4"/>
        <v>37000</v>
      </c>
      <c r="U7" s="53">
        <f>IF($J7="","",ROUND(($J7-$J$3)/1000,1)+(_xlfn.RANK.AVG($J7,($J7,$O7,$T7),1)-2)*20)</f>
        <v>-22.9</v>
      </c>
      <c r="V7" s="54">
        <f>IF($O7="","",ROUND(($O7-$O$3)/1000,1)+(_xlfn.RANK.AVG($O7,($J7,$O7,$T7),1)-2)*20)</f>
        <v>0.9</v>
      </c>
      <c r="W7" s="55">
        <f>IF($T7="","",ROUND(($T7-$T$3)/1000,1)+(_xlfn.RANK.AVG($T7,($J7,$O7,$T7),1)-2)*20)</f>
        <v>22</v>
      </c>
      <c r="Y7" s="8"/>
      <c r="Z7" s="34"/>
      <c r="AA7" s="26"/>
      <c r="AB7" s="26"/>
      <c r="AC7" s="26">
        <v>5</v>
      </c>
      <c r="AD7" s="30" t="s">
        <v>199</v>
      </c>
      <c r="AE7" s="40" t="s">
        <v>82</v>
      </c>
      <c r="AF7" s="41" t="s">
        <v>92</v>
      </c>
      <c r="AG7" s="41" t="s">
        <v>79</v>
      </c>
      <c r="AH7" s="41" t="s">
        <v>204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32100</v>
      </c>
      <c r="K8" s="8" t="s">
        <v>200</v>
      </c>
      <c r="L8" s="9">
        <v>3900</v>
      </c>
      <c r="M8" s="9">
        <v>1000</v>
      </c>
      <c r="N8" s="48">
        <v>0</v>
      </c>
      <c r="O8" s="21">
        <f t="shared" si="3"/>
        <v>40800</v>
      </c>
      <c r="P8" s="8" t="s">
        <v>201</v>
      </c>
      <c r="Q8" s="9">
        <v>-3900</v>
      </c>
      <c r="R8" s="9">
        <v>-1000</v>
      </c>
      <c r="S8" s="48">
        <v>0</v>
      </c>
      <c r="T8" s="21">
        <f t="shared" si="4"/>
        <v>32100</v>
      </c>
      <c r="U8" s="53">
        <f>IF($J8="","",ROUND(($J8-$J$3)/1000,1)+(_xlfn.RANK.AVG($J8,($J8,$O8,$T8),1)-2)*20)</f>
        <v>-12.9</v>
      </c>
      <c r="V8" s="54">
        <f>IF($O8="","",ROUND(($O8-$O$3)/1000,1)+(_xlfn.RANK.AVG($O8,($J8,$O8,$T8),1)-2)*20)</f>
        <v>25.8</v>
      </c>
      <c r="W8" s="55">
        <f>IF($T8="","",ROUND(($T8-$T$3)/1000,1)+(_xlfn.RANK.AVG($T8,($J8,$O8,$T8),1)-2)*20)</f>
        <v>-12.9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202</v>
      </c>
      <c r="BA8" s="41" t="s">
        <v>83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-9600</v>
      </c>
      <c r="H9" s="9"/>
      <c r="I9" s="48">
        <v>0</v>
      </c>
      <c r="J9" s="21">
        <f t="shared" si="2"/>
        <v>22500</v>
      </c>
      <c r="K9" s="8" t="s">
        <v>200</v>
      </c>
      <c r="L9" s="9">
        <v>9600</v>
      </c>
      <c r="M9" s="9"/>
      <c r="N9" s="48">
        <v>0</v>
      </c>
      <c r="O9" s="21">
        <f t="shared" si="3"/>
        <v>50400</v>
      </c>
      <c r="P9" s="8"/>
      <c r="Q9" s="9"/>
      <c r="R9" s="9"/>
      <c r="S9" s="48"/>
      <c r="T9" s="21">
        <f t="shared" si="4"/>
        <v>32100</v>
      </c>
      <c r="U9" s="53">
        <f>IF($J9="","",ROUND(($J9-$J$3)/1000,1)+(_xlfn.RANK.AVG($J9,($J9,$O9,$T9),1)-2)*20)</f>
        <v>-32.5</v>
      </c>
      <c r="V9" s="54">
        <f>IF($O9="","",ROUND(($O9-$O$3)/1000,1)+(_xlfn.RANK.AVG($O9,($J9,$O9,$T9),1)-2)*20)</f>
        <v>35.4</v>
      </c>
      <c r="W9" s="55">
        <f>IF($T9="","",ROUND(($T9-$T$3)/1000,1)+(_xlfn.RANK.AVG($T9,($J9,$O9,$T9),1)-2)*20)</f>
        <v>-2.9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25</v>
      </c>
      <c r="AZ9" s="40" t="s">
        <v>101</v>
      </c>
      <c r="BA9" s="41" t="s">
        <v>79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D9882231-0A3F-49FE-B8DB-908BA8BEC5A0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91791C2D-D3F8-49F2-BAAB-3BE7C0A6AB21}">
      <formula1>"ロン,ツモ,放銃,ツモ支払,流局,チョンボ"</formula1>
    </dataValidation>
    <dataValidation type="list" allowBlank="1" showInputMessage="1" showErrorMessage="1" sqref="E4:E30" xr:uid="{40B94432-8E0B-418F-8A31-8FAC8D782C8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C63E-3AEE-462C-B7EF-AF1676672F8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5300</v>
      </c>
      <c r="H4" s="9"/>
      <c r="I4" s="48">
        <v>0</v>
      </c>
      <c r="J4" s="21">
        <f>IF(COUNTA($F4,$K4,$P4)&gt;0,J3+SUM(G4:I4),"")</f>
        <v>40300</v>
      </c>
      <c r="K4" s="8" t="s">
        <v>197</v>
      </c>
      <c r="L4" s="9">
        <v>-3300</v>
      </c>
      <c r="M4" s="9"/>
      <c r="N4" s="48">
        <v>0</v>
      </c>
      <c r="O4" s="21">
        <f>IF(COUNTA($F4,$K4,$P4)&gt;0,O3+SUM(L4:N4),"")</f>
        <v>31700</v>
      </c>
      <c r="P4" s="8" t="s">
        <v>197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25.3</v>
      </c>
      <c r="V4" s="54">
        <f>IF($O4="","",ROUND(($O4-$O$3)/1000,1)+(_xlfn.RANK.AVG($O4,($J4,$O4,$T4),1)-2)*20)</f>
        <v>-23.3</v>
      </c>
      <c r="W4" s="55">
        <f>IF($T4="","",ROUND(($T4-$T$3)/1000,1)+(_xlfn.RANK.AVG($T4,($J4,$O4,$T4),1)-2)*20)</f>
        <v>-2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202</v>
      </c>
      <c r="AF4" s="41" t="s">
        <v>82</v>
      </c>
      <c r="AG4" s="41" t="s">
        <v>83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8000</v>
      </c>
      <c r="H5" s="9"/>
      <c r="I5" s="48">
        <v>0</v>
      </c>
      <c r="J5" s="21">
        <f t="shared" ref="J5:J30" si="2">IF(COUNTA($F5,$K5,$P5)&gt;0,J4+SUM(G5:I5),"")</f>
        <v>48300</v>
      </c>
      <c r="K5" s="8"/>
      <c r="L5" s="9"/>
      <c r="M5" s="9"/>
      <c r="N5" s="48"/>
      <c r="O5" s="21">
        <f t="shared" ref="O5:O30" si="3">IF(COUNTA($F5,$K5,$P5)&gt;0,O4+SUM(L5:N5),"")</f>
        <v>31700</v>
      </c>
      <c r="P5" s="8" t="s">
        <v>201</v>
      </c>
      <c r="Q5" s="9">
        <v>-8000</v>
      </c>
      <c r="R5" s="9"/>
      <c r="S5" s="48">
        <v>0</v>
      </c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33.299999999999997</v>
      </c>
      <c r="V5" s="54">
        <f>IF($O5="","",ROUND(($O5-$O$3)/1000,1)+(_xlfn.RANK.AVG($O5,($J5,$O5,$T5),1)-2)*20)</f>
        <v>-3.3</v>
      </c>
      <c r="W5" s="55">
        <f>IF($T5="","",ROUND(($T5-$T$3)/1000,1)+(_xlfn.RANK.AVG($T5,($J5,$O5,$T5),1)-2)*20)</f>
        <v>-30</v>
      </c>
      <c r="Y5" s="8"/>
      <c r="Z5" s="34"/>
      <c r="AA5" s="26"/>
      <c r="AB5" s="26">
        <v>1</v>
      </c>
      <c r="AC5" s="26">
        <v>5</v>
      </c>
      <c r="AD5" s="30" t="s">
        <v>199</v>
      </c>
      <c r="AE5" s="40" t="s">
        <v>104</v>
      </c>
      <c r="AF5" s="41" t="s">
        <v>79</v>
      </c>
      <c r="AG5" s="41" t="s">
        <v>79</v>
      </c>
      <c r="AH5" s="41" t="s">
        <v>204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208</v>
      </c>
      <c r="G6" s="9">
        <v>3000</v>
      </c>
      <c r="H6" s="9">
        <v>-1000</v>
      </c>
      <c r="I6" s="48"/>
      <c r="J6" s="21">
        <f t="shared" si="2"/>
        <v>50300</v>
      </c>
      <c r="K6" s="8" t="s">
        <v>208</v>
      </c>
      <c r="L6" s="9">
        <v>-1500</v>
      </c>
      <c r="M6" s="9"/>
      <c r="N6" s="48"/>
      <c r="O6" s="21">
        <f t="shared" si="3"/>
        <v>30200</v>
      </c>
      <c r="P6" s="8" t="s">
        <v>208</v>
      </c>
      <c r="Q6" s="9">
        <v>-1500</v>
      </c>
      <c r="R6" s="9"/>
      <c r="S6" s="48"/>
      <c r="T6" s="21">
        <f t="shared" si="4"/>
        <v>23500</v>
      </c>
      <c r="U6" s="53">
        <f>IF($J6="","",ROUND(($J6-$J$3)/1000,1)+(_xlfn.RANK.AVG($J6,($J6,$O6,$T6),1)-2)*20)</f>
        <v>35.299999999999997</v>
      </c>
      <c r="V6" s="54">
        <f>IF($O6="","",ROUND(($O6-$O$3)/1000,1)+(_xlfn.RANK.AVG($O6,($J6,$O6,$T6),1)-2)*20)</f>
        <v>-4.8</v>
      </c>
      <c r="W6" s="55">
        <f>IF($T6="","",ROUND(($T6-$T$3)/1000,1)+(_xlfn.RANK.AVG($T6,($J6,$O6,$T6),1)-2)*20)</f>
        <v>-31.5</v>
      </c>
      <c r="Y6" s="8" t="s">
        <v>206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197</v>
      </c>
      <c r="G7" s="9">
        <v>-3300</v>
      </c>
      <c r="H7" s="9">
        <v>-1000</v>
      </c>
      <c r="I7" s="48">
        <v>-500</v>
      </c>
      <c r="J7" s="21">
        <f t="shared" si="2"/>
        <v>45500</v>
      </c>
      <c r="K7" s="8" t="s">
        <v>198</v>
      </c>
      <c r="L7" s="9">
        <v>5300</v>
      </c>
      <c r="M7" s="9">
        <v>2000</v>
      </c>
      <c r="N7" s="48">
        <v>1000</v>
      </c>
      <c r="O7" s="21">
        <f t="shared" si="3"/>
        <v>38500</v>
      </c>
      <c r="P7" s="8" t="s">
        <v>197</v>
      </c>
      <c r="Q7" s="9">
        <v>-2000</v>
      </c>
      <c r="R7" s="9"/>
      <c r="S7" s="48">
        <v>-500</v>
      </c>
      <c r="T7" s="21">
        <f t="shared" si="4"/>
        <v>21000</v>
      </c>
      <c r="U7" s="53">
        <f>IF($J7="","",ROUND(($J7-$J$3)/1000,1)+(_xlfn.RANK.AVG($J7,($J7,$O7,$T7),1)-2)*20)</f>
        <v>30.5</v>
      </c>
      <c r="V7" s="54">
        <f>IF($O7="","",ROUND(($O7-$O$3)/1000,1)+(_xlfn.RANK.AVG($O7,($J7,$O7,$T7),1)-2)*20)</f>
        <v>3.5</v>
      </c>
      <c r="W7" s="55">
        <f>IF($T7="","",ROUND(($T7-$T$3)/1000,1)+(_xlfn.RANK.AVG($T7,($J7,$O7,$T7),1)-2)*20)</f>
        <v>-34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82</v>
      </c>
      <c r="BA7" s="41" t="s">
        <v>202</v>
      </c>
      <c r="BB7" s="41" t="s">
        <v>83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201</v>
      </c>
      <c r="G8" s="9">
        <v>-5200</v>
      </c>
      <c r="H8" s="9">
        <v>-1000</v>
      </c>
      <c r="I8" s="48">
        <v>0</v>
      </c>
      <c r="J8" s="21">
        <f t="shared" si="2"/>
        <v>39300</v>
      </c>
      <c r="K8" s="8"/>
      <c r="L8" s="9"/>
      <c r="M8" s="9"/>
      <c r="N8" s="48"/>
      <c r="O8" s="21">
        <f t="shared" si="3"/>
        <v>38500</v>
      </c>
      <c r="P8" s="8" t="s">
        <v>200</v>
      </c>
      <c r="Q8" s="9">
        <v>5200</v>
      </c>
      <c r="R8" s="9">
        <v>1000</v>
      </c>
      <c r="S8" s="48">
        <v>0</v>
      </c>
      <c r="T8" s="21">
        <f t="shared" si="4"/>
        <v>27200</v>
      </c>
      <c r="U8" s="53">
        <f>IF($J8="","",ROUND(($J8-$J$3)/1000,1)+(_xlfn.RANK.AVG($J8,($J8,$O8,$T8),1)-2)*20)</f>
        <v>24.3</v>
      </c>
      <c r="V8" s="54">
        <f>IF($O8="","",ROUND(($O8-$O$3)/1000,1)+(_xlfn.RANK.AVG($O8,($J8,$O8,$T8),1)-2)*20)</f>
        <v>3.5</v>
      </c>
      <c r="W8" s="55">
        <f>IF($T8="","",ROUND(($T8-$T$3)/1000,1)+(_xlfn.RANK.AVG($T8,($J8,$O8,$T8),1)-2)*20)</f>
        <v>-27.8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40</v>
      </c>
      <c r="BU8" s="40" t="s">
        <v>85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-9000</v>
      </c>
      <c r="H9" s="9"/>
      <c r="I9" s="48">
        <v>0</v>
      </c>
      <c r="J9" s="21">
        <f t="shared" si="2"/>
        <v>30300</v>
      </c>
      <c r="K9" s="8" t="s">
        <v>198</v>
      </c>
      <c r="L9" s="9">
        <v>24000</v>
      </c>
      <c r="M9" s="9"/>
      <c r="N9" s="48">
        <v>0</v>
      </c>
      <c r="O9" s="21">
        <f t="shared" si="3"/>
        <v>62500</v>
      </c>
      <c r="P9" s="8" t="s">
        <v>197</v>
      </c>
      <c r="Q9" s="9">
        <v>-15000</v>
      </c>
      <c r="R9" s="9"/>
      <c r="S9" s="48">
        <v>0</v>
      </c>
      <c r="T9" s="21">
        <f t="shared" si="4"/>
        <v>12200</v>
      </c>
      <c r="U9" s="53">
        <f>IF($J9="","",ROUND(($J9-$J$3)/1000,1)+(_xlfn.RANK.AVG($J9,($J9,$O9,$T9),1)-2)*20)</f>
        <v>-4.7</v>
      </c>
      <c r="V9" s="54">
        <f>IF($O9="","",ROUND(($O9-$O$3)/1000,1)+(_xlfn.RANK.AVG($O9,($J9,$O9,$T9),1)-2)*20)</f>
        <v>47.5</v>
      </c>
      <c r="W9" s="55">
        <f>IF($T9="","",ROUND(($T9-$T$3)/1000,1)+(_xlfn.RANK.AVG($T9,($J9,$O9,$T9),1)-2)*20)</f>
        <v>-42.8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11</v>
      </c>
      <c r="AY9" s="30" t="s">
        <v>199</v>
      </c>
      <c r="AZ9" s="40" t="s">
        <v>202</v>
      </c>
      <c r="BA9" s="41" t="s">
        <v>82</v>
      </c>
      <c r="BB9" s="41" t="s">
        <v>85</v>
      </c>
      <c r="BC9" s="41" t="s">
        <v>204</v>
      </c>
      <c r="BD9" s="41" t="s">
        <v>79</v>
      </c>
      <c r="BE9" s="41" t="s">
        <v>79</v>
      </c>
      <c r="BF9" s="41" t="s">
        <v>79</v>
      </c>
      <c r="BG9" s="41" t="s">
        <v>80</v>
      </c>
      <c r="BH9" s="41" t="s">
        <v>80</v>
      </c>
      <c r="BI9" s="41" t="s">
        <v>80</v>
      </c>
      <c r="BJ9" s="41" t="s">
        <v>80</v>
      </c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-8000</v>
      </c>
      <c r="H10" s="9"/>
      <c r="I10" s="48">
        <v>0</v>
      </c>
      <c r="J10" s="21">
        <f t="shared" si="2"/>
        <v>22300</v>
      </c>
      <c r="K10" s="8" t="s">
        <v>200</v>
      </c>
      <c r="L10" s="9">
        <v>8000</v>
      </c>
      <c r="M10" s="9"/>
      <c r="N10" s="48">
        <v>0</v>
      </c>
      <c r="O10" s="21">
        <f t="shared" si="3"/>
        <v>70500</v>
      </c>
      <c r="P10" s="8"/>
      <c r="Q10" s="9"/>
      <c r="R10" s="9"/>
      <c r="S10" s="48"/>
      <c r="T10" s="21">
        <f t="shared" si="4"/>
        <v>12200</v>
      </c>
      <c r="U10" s="53">
        <f>IF($J10="","",ROUND(($J10-$J$3)/1000,1)+(_xlfn.RANK.AVG($J10,($J10,$O10,$T10),1)-2)*20)</f>
        <v>-12.7</v>
      </c>
      <c r="V10" s="54">
        <f>IF($O10="","",ROUND(($O10-$O$3)/1000,1)+(_xlfn.RANK.AVG($O10,($J10,$O10,$T10),1)-2)*20)</f>
        <v>55.5</v>
      </c>
      <c r="W10" s="55">
        <f>IF($T10="","",ROUND(($T10-$T$3)/1000,1)+(_xlfn.RANK.AVG($T10,($J10,$O10,$T10),1)-2)*20)</f>
        <v>-42.8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202</v>
      </c>
      <c r="BA10" s="41" t="s">
        <v>79</v>
      </c>
      <c r="BB10" s="41" t="s">
        <v>80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C6D2F6D7-248A-4F47-B195-8172B330A114}">
      <formula1>$U$2:$W$2</formula1>
    </dataValidation>
    <dataValidation type="list" showInputMessage="1" showErrorMessage="1" sqref="K4:K30 P4:P30 F4:F30" xr:uid="{57ABF32A-79D2-4C3C-9816-3FA18A992E38}">
      <formula1>"ロン,ツモ,放銃,ツモ支払,流局,チョンボ"</formula1>
    </dataValidation>
    <dataValidation type="list" allowBlank="1" showInputMessage="1" sqref="F1:T1" xr:uid="{89CBD3FA-3580-45C3-9EDB-2CA2A929DA1A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E5784-9BF7-4A17-B0DA-9D045D0B72E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197</v>
      </c>
      <c r="L4" s="9">
        <v>-800</v>
      </c>
      <c r="M4" s="9"/>
      <c r="N4" s="48">
        <v>0</v>
      </c>
      <c r="O4" s="21">
        <f>IF(COUNTA($F4,$K4,$P4)&gt;0,O3+SUM(L4:N4),"")</f>
        <v>34200</v>
      </c>
      <c r="P4" s="8" t="s">
        <v>198</v>
      </c>
      <c r="Q4" s="9">
        <v>2100</v>
      </c>
      <c r="R4" s="9"/>
      <c r="S4" s="48">
        <v>0</v>
      </c>
      <c r="T4" s="21">
        <f>IF(COUNTA($F4,$K4,$P4)&gt;0,T3+SUM(Q4:S4),"")</f>
        <v>37100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-0.8</v>
      </c>
      <c r="W4" s="55">
        <f>IF($T4="","",ROUND(($T4-$T$3)/1000,1)+(_xlfn.RANK.AVG($T4,($J4,$O4,$T4),1)-2)*20)</f>
        <v>22.1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79</v>
      </c>
      <c r="BV4" s="41" t="s">
        <v>82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-3200</v>
      </c>
      <c r="H5" s="9"/>
      <c r="I5" s="48">
        <v>0</v>
      </c>
      <c r="J5" s="21">
        <f t="shared" ref="J5:J30" si="2">IF(COUNTA($F5,$K5,$P5)&gt;0,J4+SUM(G5:I5),"")</f>
        <v>30500</v>
      </c>
      <c r="K5" s="8"/>
      <c r="L5" s="9"/>
      <c r="M5" s="9"/>
      <c r="N5" s="48"/>
      <c r="O5" s="21">
        <f t="shared" ref="O5:O30" si="3">IF(COUNTA($F5,$K5,$P5)&gt;0,O4+SUM(L5:N5),"")</f>
        <v>34200</v>
      </c>
      <c r="P5" s="8" t="s">
        <v>200</v>
      </c>
      <c r="Q5" s="9">
        <v>3200</v>
      </c>
      <c r="R5" s="9"/>
      <c r="S5" s="48">
        <v>0</v>
      </c>
      <c r="T5" s="21">
        <f t="shared" ref="T5:T30" si="4">IF(COUNTA($F5,$K5,$P5)&gt;0,T4+SUM(Q5:S5),"")</f>
        <v>40300</v>
      </c>
      <c r="U5" s="53">
        <f>IF($J5="","",ROUND(($J5-$J$3)/1000,1)+(_xlfn.RANK.AVG($J5,($J5,$O5,$T5),1)-2)*20)</f>
        <v>-24.5</v>
      </c>
      <c r="V5" s="54">
        <f>IF($O5="","",ROUND(($O5-$O$3)/1000,1)+(_xlfn.RANK.AVG($O5,($J5,$O5,$T5),1)-2)*20)</f>
        <v>-0.8</v>
      </c>
      <c r="W5" s="55">
        <f>IF($T5="","",ROUND(($T5-$T$3)/1000,1)+(_xlfn.RANK.AVG($T5,($J5,$O5,$T5),1)-2)*20)</f>
        <v>25.3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50</v>
      </c>
      <c r="BU5" s="40" t="s">
        <v>202</v>
      </c>
      <c r="BV5" s="41" t="s">
        <v>204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-3900</v>
      </c>
      <c r="H6" s="9">
        <v>-1000</v>
      </c>
      <c r="I6" s="48">
        <v>0</v>
      </c>
      <c r="J6" s="21">
        <f t="shared" si="2"/>
        <v>25600</v>
      </c>
      <c r="K6" s="8"/>
      <c r="L6" s="9"/>
      <c r="M6" s="9"/>
      <c r="N6" s="48"/>
      <c r="O6" s="21">
        <f t="shared" si="3"/>
        <v>34200</v>
      </c>
      <c r="P6" s="8" t="s">
        <v>200</v>
      </c>
      <c r="Q6" s="9">
        <v>3900</v>
      </c>
      <c r="R6" s="9">
        <v>1000</v>
      </c>
      <c r="S6" s="48">
        <v>0</v>
      </c>
      <c r="T6" s="21">
        <f t="shared" si="4"/>
        <v>45200</v>
      </c>
      <c r="U6" s="53">
        <f>IF($J6="","",ROUND(($J6-$J$3)/1000,1)+(_xlfn.RANK.AVG($J6,($J6,$O6,$T6),1)-2)*20)</f>
        <v>-29.4</v>
      </c>
      <c r="V6" s="54">
        <f>IF($O6="","",ROUND(($O6-$O$3)/1000,1)+(_xlfn.RANK.AVG($O6,($J6,$O6,$T6),1)-2)*20)</f>
        <v>-0.8</v>
      </c>
      <c r="W6" s="55">
        <f>IF($T6="","",ROUND(($T6-$T$3)/1000,1)+(_xlfn.RANK.AVG($T6,($J6,$O6,$T6),1)-2)*20)</f>
        <v>30.2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79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-5800</v>
      </c>
      <c r="H7" s="9"/>
      <c r="I7" s="48">
        <v>-500</v>
      </c>
      <c r="J7" s="21">
        <f t="shared" si="2"/>
        <v>19300</v>
      </c>
      <c r="K7" s="8" t="s">
        <v>197</v>
      </c>
      <c r="L7" s="9">
        <v>-5800</v>
      </c>
      <c r="M7" s="9"/>
      <c r="N7" s="48">
        <v>-500</v>
      </c>
      <c r="O7" s="21">
        <f t="shared" si="3"/>
        <v>27900</v>
      </c>
      <c r="P7" s="8" t="s">
        <v>198</v>
      </c>
      <c r="Q7" s="9">
        <v>11600</v>
      </c>
      <c r="R7" s="9"/>
      <c r="S7" s="48">
        <v>1000</v>
      </c>
      <c r="T7" s="21">
        <f t="shared" si="4"/>
        <v>57800</v>
      </c>
      <c r="U7" s="53">
        <f>IF($J7="","",ROUND(($J7-$J$3)/1000,1)+(_xlfn.RANK.AVG($J7,($J7,$O7,$T7),1)-2)*20)</f>
        <v>-35.700000000000003</v>
      </c>
      <c r="V7" s="54">
        <f>IF($O7="","",ROUND(($O7-$O$3)/1000,1)+(_xlfn.RANK.AVG($O7,($J7,$O7,$T7),1)-2)*20)</f>
        <v>-7.1</v>
      </c>
      <c r="W7" s="55">
        <f>IF($T7="","",ROUND(($T7-$T$3)/1000,1)+(_xlfn.RANK.AVG($T7,($J7,$O7,$T7),1)-2)*20)</f>
        <v>42.8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30</v>
      </c>
      <c r="BU7" s="40" t="s">
        <v>84</v>
      </c>
      <c r="BV7" s="41" t="s">
        <v>82</v>
      </c>
      <c r="BW7" s="41" t="s">
        <v>79</v>
      </c>
      <c r="BX7" s="41" t="s">
        <v>204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195</v>
      </c>
      <c r="F8" s="8" t="s">
        <v>201</v>
      </c>
      <c r="G8" s="9">
        <v>-7700</v>
      </c>
      <c r="H8" s="9"/>
      <c r="I8" s="48">
        <v>-2000</v>
      </c>
      <c r="J8" s="21">
        <f t="shared" si="2"/>
        <v>9600</v>
      </c>
      <c r="K8" s="8" t="s">
        <v>200</v>
      </c>
      <c r="L8" s="9">
        <v>7700</v>
      </c>
      <c r="M8" s="9"/>
      <c r="N8" s="48">
        <v>2000</v>
      </c>
      <c r="O8" s="21">
        <f t="shared" si="3"/>
        <v>37600</v>
      </c>
      <c r="P8" s="8"/>
      <c r="Q8" s="9"/>
      <c r="R8" s="9"/>
      <c r="S8" s="48"/>
      <c r="T8" s="21">
        <f t="shared" si="4"/>
        <v>57800</v>
      </c>
      <c r="U8" s="53">
        <f>IF($J8="","",ROUND(($J8-$J$3)/1000,1)+(_xlfn.RANK.AVG($J8,($J8,$O8,$T8),1)-2)*20)</f>
        <v>-45.4</v>
      </c>
      <c r="V8" s="54">
        <f>IF($O8="","",ROUND(($O8-$O$3)/1000,1)+(_xlfn.RANK.AVG($O8,($J8,$O8,$T8),1)-2)*20)</f>
        <v>2.6</v>
      </c>
      <c r="W8" s="55">
        <f>IF($T8="","",ROUND(($T8-$T$3)/1000,1)+(_xlfn.RANK.AVG($T8,($J8,$O8,$T8),1)-2)*20)</f>
        <v>42.8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104</v>
      </c>
      <c r="BA8" s="41" t="s">
        <v>86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9600</v>
      </c>
      <c r="K9" s="8" t="s">
        <v>200</v>
      </c>
      <c r="L9" s="9">
        <v>12000</v>
      </c>
      <c r="M9" s="9"/>
      <c r="N9" s="48">
        <v>0</v>
      </c>
      <c r="O9" s="21">
        <f t="shared" si="3"/>
        <v>49600</v>
      </c>
      <c r="P9" s="8" t="s">
        <v>201</v>
      </c>
      <c r="Q9" s="9">
        <v>-12000</v>
      </c>
      <c r="R9" s="9"/>
      <c r="S9" s="48">
        <v>0</v>
      </c>
      <c r="T9" s="21">
        <f t="shared" si="4"/>
        <v>45800</v>
      </c>
      <c r="U9" s="53">
        <f>IF($J9="","",ROUND(($J9-$J$3)/1000,1)+(_xlfn.RANK.AVG($J9,($J9,$O9,$T9),1)-2)*20)</f>
        <v>-45.4</v>
      </c>
      <c r="V9" s="54">
        <f>IF($O9="","",ROUND(($O9-$O$3)/1000,1)+(_xlfn.RANK.AVG($O9,($J9,$O9,$T9),1)-2)*20)</f>
        <v>34.6</v>
      </c>
      <c r="W9" s="55">
        <f>IF($T9="","",ROUND(($T9-$T$3)/1000,1)+(_xlfn.RANK.AVG($T9,($J9,$O9,$T9),1)-2)*20)</f>
        <v>10.8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7</v>
      </c>
      <c r="AY9" s="30" t="s">
        <v>199</v>
      </c>
      <c r="AZ9" s="40" t="s">
        <v>104</v>
      </c>
      <c r="BA9" s="41" t="s">
        <v>86</v>
      </c>
      <c r="BB9" s="41" t="s">
        <v>79</v>
      </c>
      <c r="BC9" s="41" t="s">
        <v>79</v>
      </c>
      <c r="BD9" s="41" t="s">
        <v>79</v>
      </c>
      <c r="BE9" s="41" t="s">
        <v>204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200</v>
      </c>
      <c r="G10" s="9">
        <v>5200</v>
      </c>
      <c r="H10" s="9">
        <v>1000</v>
      </c>
      <c r="I10" s="48">
        <v>0</v>
      </c>
      <c r="J10" s="21">
        <f t="shared" si="2"/>
        <v>15800</v>
      </c>
      <c r="K10" s="8" t="s">
        <v>201</v>
      </c>
      <c r="L10" s="9">
        <v>-5200</v>
      </c>
      <c r="M10" s="9"/>
      <c r="N10" s="48">
        <v>0</v>
      </c>
      <c r="O10" s="21">
        <f t="shared" si="3"/>
        <v>44400</v>
      </c>
      <c r="P10" s="8"/>
      <c r="Q10" s="9"/>
      <c r="R10" s="9">
        <v>-1000</v>
      </c>
      <c r="S10" s="48"/>
      <c r="T10" s="21">
        <f t="shared" si="4"/>
        <v>44800</v>
      </c>
      <c r="U10" s="53">
        <f>IF($J10="","",ROUND(($J10-$J$3)/1000,1)+(_xlfn.RANK.AVG($J10,($J10,$O10,$T10),1)-2)*20)</f>
        <v>-39.200000000000003</v>
      </c>
      <c r="V10" s="54">
        <f>IF($O10="","",ROUND(($O10-$O$3)/1000,1)+(_xlfn.RANK.AVG($O10,($J10,$O10,$T10),1)-2)*20)</f>
        <v>9.4</v>
      </c>
      <c r="W10" s="55">
        <f>IF($T10="","",ROUND(($T10-$T$3)/1000,1)+(_xlfn.RANK.AVG($T10,($J10,$O10,$T10),1)-2)*20)</f>
        <v>29.8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202</v>
      </c>
      <c r="AF10" s="41" t="s">
        <v>92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201</v>
      </c>
      <c r="G11" s="9">
        <v>-3900</v>
      </c>
      <c r="H11" s="9"/>
      <c r="I11" s="48">
        <v>0</v>
      </c>
      <c r="J11" s="21">
        <f t="shared" si="2"/>
        <v>11900</v>
      </c>
      <c r="K11" s="8" t="s">
        <v>200</v>
      </c>
      <c r="L11" s="9">
        <v>3900</v>
      </c>
      <c r="M11" s="9"/>
      <c r="N11" s="48">
        <v>0</v>
      </c>
      <c r="O11" s="21">
        <f t="shared" si="3"/>
        <v>48300</v>
      </c>
      <c r="P11" s="8"/>
      <c r="Q11" s="9"/>
      <c r="R11" s="9"/>
      <c r="S11" s="48"/>
      <c r="T11" s="21">
        <f t="shared" si="4"/>
        <v>44800</v>
      </c>
      <c r="U11" s="53">
        <f>IF($J11="","",ROUND(($J11-$J$3)/1000,1)+(_xlfn.RANK.AVG($J11,($J11,$O11,$T11),1)-2)*20)</f>
        <v>-43.1</v>
      </c>
      <c r="V11" s="54">
        <f>IF($O11="","",ROUND(($O11-$O$3)/1000,1)+(_xlfn.RANK.AVG($O11,($J11,$O11,$T11),1)-2)*20)</f>
        <v>33.299999999999997</v>
      </c>
      <c r="W11" s="55">
        <f>IF($T11="","",ROUND(($T11-$T$3)/1000,1)+(_xlfn.RANK.AVG($T11,($J11,$O11,$T11),1)-2)*20)</f>
        <v>9.8000000000000007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79</v>
      </c>
      <c r="BB11" s="41" t="s">
        <v>204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D4D0595C-43D7-4D2F-B828-3BFD2E8B2643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4B92F326-38D5-4218-AC1E-0614D9F2ADCD}">
      <formula1>"ロン,ツモ,放銃,ツモ支払,流局,チョンボ"</formula1>
    </dataValidation>
    <dataValidation type="list" allowBlank="1" showInputMessage="1" showErrorMessage="1" sqref="E4:E30" xr:uid="{B77E109F-CEF2-4ECF-A3C7-F22EE4CC96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CF854-43EB-4C01-AB9E-AB6A99DC81D7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79</v>
      </c>
      <c r="BV4" s="41" t="s">
        <v>86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2100</v>
      </c>
      <c r="H5" s="9"/>
      <c r="I5" s="48">
        <v>1000</v>
      </c>
      <c r="J5" s="21">
        <f t="shared" ref="J5:J30" si="2">IF(COUNTA($F5,$K5,$P5)&gt;0,J4+SUM(G5:I5),"")</f>
        <v>35100</v>
      </c>
      <c r="K5" s="8" t="s">
        <v>197</v>
      </c>
      <c r="L5" s="9">
        <v>-800</v>
      </c>
      <c r="M5" s="9"/>
      <c r="N5" s="48">
        <v>-500</v>
      </c>
      <c r="O5" s="21">
        <f t="shared" ref="O5:O30" si="3">IF(COUNTA($F5,$K5,$P5)&gt;0,O4+SUM(L5:N5),"")</f>
        <v>30700</v>
      </c>
      <c r="P5" s="8" t="s">
        <v>197</v>
      </c>
      <c r="Q5" s="9">
        <v>-1300</v>
      </c>
      <c r="R5" s="9"/>
      <c r="S5" s="48">
        <v>-500</v>
      </c>
      <c r="T5" s="21">
        <f t="shared" ref="T5:T30" si="4">IF(COUNTA($F5,$K5,$P5)&gt;0,T4+SUM(Q5:S5),"")</f>
        <v>39200</v>
      </c>
      <c r="U5" s="53">
        <f>IF($J5="","",ROUND(($J5-$J$3)/1000,1)+(_xlfn.RANK.AVG($J5,($J5,$O5,$T5),1)-2)*20)</f>
        <v>0.1</v>
      </c>
      <c r="V5" s="54">
        <f>IF($O5="","",ROUND(($O5-$O$3)/1000,1)+(_xlfn.RANK.AVG($O5,($J5,$O5,$T5),1)-2)*20)</f>
        <v>-24.3</v>
      </c>
      <c r="W5" s="55">
        <f>IF($T5="","",ROUND(($T5-$T$3)/1000,1)+(_xlfn.RANK.AVG($T5,($J5,$O5,$T5),1)-2)*20)</f>
        <v>24.2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204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6000</v>
      </c>
      <c r="H6" s="9"/>
      <c r="I6" s="48">
        <v>0</v>
      </c>
      <c r="J6" s="21">
        <f t="shared" si="2"/>
        <v>41100</v>
      </c>
      <c r="K6" s="8" t="s">
        <v>197</v>
      </c>
      <c r="L6" s="9">
        <v>-3000</v>
      </c>
      <c r="M6" s="9"/>
      <c r="N6" s="48">
        <v>0</v>
      </c>
      <c r="O6" s="21">
        <f t="shared" si="3"/>
        <v>27700</v>
      </c>
      <c r="P6" s="8" t="s">
        <v>197</v>
      </c>
      <c r="Q6" s="9">
        <v>-3000</v>
      </c>
      <c r="R6" s="9"/>
      <c r="S6" s="48">
        <v>0</v>
      </c>
      <c r="T6" s="21">
        <f t="shared" si="4"/>
        <v>36200</v>
      </c>
      <c r="U6" s="53">
        <f>IF($J6="","",ROUND(($J6-$J$3)/1000,1)+(_xlfn.RANK.AVG($J6,($J6,$O6,$T6),1)-2)*20)</f>
        <v>26.1</v>
      </c>
      <c r="V6" s="54">
        <f>IF($O6="","",ROUND(($O6-$O$3)/1000,1)+(_xlfn.RANK.AVG($O6,($J6,$O6,$T6),1)-2)*20)</f>
        <v>-27.3</v>
      </c>
      <c r="W6" s="55">
        <f>IF($T6="","",ROUND(($T6-$T$3)/1000,1)+(_xlfn.RANK.AVG($T6,($J6,$O6,$T6),1)-2)*20)</f>
        <v>1.2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202</v>
      </c>
      <c r="AF6" s="41" t="s">
        <v>82</v>
      </c>
      <c r="AG6" s="41" t="s">
        <v>204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198</v>
      </c>
      <c r="G7" s="9">
        <v>7800</v>
      </c>
      <c r="H7" s="9"/>
      <c r="I7" s="48">
        <v>1000</v>
      </c>
      <c r="J7" s="21">
        <f t="shared" si="2"/>
        <v>49900</v>
      </c>
      <c r="K7" s="8" t="s">
        <v>197</v>
      </c>
      <c r="L7" s="9">
        <v>-3900</v>
      </c>
      <c r="M7" s="9"/>
      <c r="N7" s="48">
        <v>-500</v>
      </c>
      <c r="O7" s="21">
        <f t="shared" si="3"/>
        <v>23300</v>
      </c>
      <c r="P7" s="8" t="s">
        <v>197</v>
      </c>
      <c r="Q7" s="9">
        <v>-3900</v>
      </c>
      <c r="R7" s="9"/>
      <c r="S7" s="48">
        <v>-500</v>
      </c>
      <c r="T7" s="21">
        <f t="shared" si="4"/>
        <v>31800</v>
      </c>
      <c r="U7" s="53">
        <f>IF($J7="","",ROUND(($J7-$J$3)/1000,1)+(_xlfn.RANK.AVG($J7,($J7,$O7,$T7),1)-2)*20)</f>
        <v>34.9</v>
      </c>
      <c r="V7" s="54">
        <f>IF($O7="","",ROUND(($O7-$O$3)/1000,1)+(_xlfn.RANK.AVG($O7,($J7,$O7,$T7),1)-2)*20)</f>
        <v>-31.7</v>
      </c>
      <c r="W7" s="55">
        <f>IF($T7="","",ROUND(($T7-$T$3)/1000,1)+(_xlfn.RANK.AVG($T7,($J7,$O7,$T7),1)-2)*20)</f>
        <v>-3.2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202</v>
      </c>
      <c r="AF7" s="41" t="s">
        <v>79</v>
      </c>
      <c r="AG7" s="41" t="s">
        <v>82</v>
      </c>
      <c r="AH7" s="41" t="s">
        <v>83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49900</v>
      </c>
      <c r="K8" s="8" t="s">
        <v>200</v>
      </c>
      <c r="L8" s="9">
        <v>12000</v>
      </c>
      <c r="M8" s="9"/>
      <c r="N8" s="48">
        <v>2000</v>
      </c>
      <c r="O8" s="21">
        <f t="shared" si="3"/>
        <v>37300</v>
      </c>
      <c r="P8" s="8" t="s">
        <v>201</v>
      </c>
      <c r="Q8" s="9">
        <v>-12000</v>
      </c>
      <c r="R8" s="9"/>
      <c r="S8" s="48">
        <v>-2000</v>
      </c>
      <c r="T8" s="21">
        <f t="shared" si="4"/>
        <v>17800</v>
      </c>
      <c r="U8" s="53">
        <f>IF($J8="","",ROUND(($J8-$J$3)/1000,1)+(_xlfn.RANK.AVG($J8,($J8,$O8,$T8),1)-2)*20)</f>
        <v>34.9</v>
      </c>
      <c r="V8" s="54">
        <f>IF($O8="","",ROUND(($O8-$O$3)/1000,1)+(_xlfn.RANK.AVG($O8,($J8,$O8,$T8),1)-2)*20)</f>
        <v>2.2999999999999998</v>
      </c>
      <c r="W8" s="55">
        <f>IF($T8="","",ROUND(($T8-$T$3)/1000,1)+(_xlfn.RANK.AVG($T8,($J8,$O8,$T8),1)-2)*20)</f>
        <v>-37.200000000000003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6</v>
      </c>
      <c r="AY8" s="30" t="s">
        <v>199</v>
      </c>
      <c r="AZ8" s="40" t="s">
        <v>104</v>
      </c>
      <c r="BA8" s="41" t="s">
        <v>86</v>
      </c>
      <c r="BB8" s="41" t="s">
        <v>86</v>
      </c>
      <c r="BC8" s="41" t="s">
        <v>204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-6000</v>
      </c>
      <c r="H9" s="9"/>
      <c r="I9" s="48">
        <v>0</v>
      </c>
      <c r="J9" s="21">
        <f t="shared" si="2"/>
        <v>43900</v>
      </c>
      <c r="K9" s="8" t="s">
        <v>197</v>
      </c>
      <c r="L9" s="9">
        <v>-10000</v>
      </c>
      <c r="M9" s="9">
        <v>-1000</v>
      </c>
      <c r="N9" s="48">
        <v>0</v>
      </c>
      <c r="O9" s="21">
        <f t="shared" si="3"/>
        <v>26300</v>
      </c>
      <c r="P9" s="8" t="s">
        <v>198</v>
      </c>
      <c r="Q9" s="9">
        <v>16000</v>
      </c>
      <c r="R9" s="9">
        <v>1000</v>
      </c>
      <c r="S9" s="48">
        <v>0</v>
      </c>
      <c r="T9" s="21">
        <f t="shared" si="4"/>
        <v>34800</v>
      </c>
      <c r="U9" s="53">
        <f>IF($J9="","",ROUND(($J9-$J$3)/1000,1)+(_xlfn.RANK.AVG($J9,($J9,$O9,$T9),1)-2)*20)</f>
        <v>28.9</v>
      </c>
      <c r="V9" s="54">
        <f>IF($O9="","",ROUND(($O9-$O$3)/1000,1)+(_xlfn.RANK.AVG($O9,($J9,$O9,$T9),1)-2)*20)</f>
        <v>-28.7</v>
      </c>
      <c r="W9" s="55">
        <f>IF($T9="","",ROUND(($T9-$T$3)/1000,1)+(_xlfn.RANK.AVG($T9,($J9,$O9,$T9),1)-2)*20)</f>
        <v>-0.2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9</v>
      </c>
      <c r="BT9" s="30" t="s">
        <v>199</v>
      </c>
      <c r="BU9" s="40" t="s">
        <v>104</v>
      </c>
      <c r="BV9" s="41" t="s">
        <v>84</v>
      </c>
      <c r="BW9" s="41" t="s">
        <v>79</v>
      </c>
      <c r="BX9" s="41" t="s">
        <v>79</v>
      </c>
      <c r="BY9" s="41" t="s">
        <v>79</v>
      </c>
      <c r="BZ9" s="41" t="s">
        <v>79</v>
      </c>
      <c r="CA9" s="41" t="s">
        <v>82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43900</v>
      </c>
      <c r="K10" s="8" t="s">
        <v>201</v>
      </c>
      <c r="L10" s="9">
        <v>-7700</v>
      </c>
      <c r="M10" s="9"/>
      <c r="N10" s="48">
        <v>0</v>
      </c>
      <c r="O10" s="21">
        <f t="shared" si="3"/>
        <v>18600</v>
      </c>
      <c r="P10" s="8" t="s">
        <v>200</v>
      </c>
      <c r="Q10" s="9">
        <v>7700</v>
      </c>
      <c r="R10" s="9"/>
      <c r="S10" s="48">
        <v>0</v>
      </c>
      <c r="T10" s="21">
        <f t="shared" si="4"/>
        <v>42500</v>
      </c>
      <c r="U10" s="53">
        <f>IF($J10="","",ROUND(($J10-$J$3)/1000,1)+(_xlfn.RANK.AVG($J10,($J10,$O10,$T10),1)-2)*20)</f>
        <v>28.9</v>
      </c>
      <c r="V10" s="54">
        <f>IF($O10="","",ROUND(($O10-$O$3)/1000,1)+(_xlfn.RANK.AVG($O10,($J10,$O10,$T10),1)-2)*20)</f>
        <v>-36.4</v>
      </c>
      <c r="W10" s="55">
        <f>IF($T10="","",ROUND(($T10-$T$3)/1000,1)+(_xlfn.RANK.AVG($T10,($J10,$O10,$T10),1)-2)*20)</f>
        <v>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40</v>
      </c>
      <c r="BU10" s="40" t="s">
        <v>85</v>
      </c>
      <c r="BV10" s="41" t="s">
        <v>84</v>
      </c>
      <c r="BW10" s="41" t="s">
        <v>204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198</v>
      </c>
      <c r="G11" s="9">
        <v>7700</v>
      </c>
      <c r="H11" s="9"/>
      <c r="I11" s="48">
        <v>1000</v>
      </c>
      <c r="J11" s="21">
        <f t="shared" si="2"/>
        <v>52600</v>
      </c>
      <c r="K11" s="8" t="s">
        <v>197</v>
      </c>
      <c r="L11" s="9">
        <v>-2900</v>
      </c>
      <c r="M11" s="9"/>
      <c r="N11" s="48">
        <v>-500</v>
      </c>
      <c r="O11" s="21">
        <f t="shared" si="3"/>
        <v>15200</v>
      </c>
      <c r="P11" s="8" t="s">
        <v>197</v>
      </c>
      <c r="Q11" s="9">
        <v>-4800</v>
      </c>
      <c r="R11" s="9"/>
      <c r="S11" s="48">
        <v>-500</v>
      </c>
      <c r="T11" s="21">
        <f t="shared" si="4"/>
        <v>37200</v>
      </c>
      <c r="U11" s="53">
        <f>IF($J11="","",ROUND(($J11-$J$3)/1000,1)+(_xlfn.RANK.AVG($J11,($J11,$O11,$T11),1)-2)*20)</f>
        <v>37.6</v>
      </c>
      <c r="V11" s="54">
        <f>IF($O11="","",ROUND(($O11-$O$3)/1000,1)+(_xlfn.RANK.AVG($O11,($J11,$O11,$T11),1)-2)*20)</f>
        <v>-39.799999999999997</v>
      </c>
      <c r="W11" s="55">
        <f>IF($T11="","",ROUND(($T11-$T$3)/1000,1)+(_xlfn.RANK.AVG($T11,($J11,$O11,$T11),1)-2)*20)</f>
        <v>2.2000000000000002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104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197</v>
      </c>
      <c r="G12" s="9">
        <v>-7500</v>
      </c>
      <c r="H12" s="9">
        <v>-1000</v>
      </c>
      <c r="I12" s="48">
        <v>0</v>
      </c>
      <c r="J12" s="21">
        <f t="shared" si="2"/>
        <v>44100</v>
      </c>
      <c r="K12" s="8" t="s">
        <v>198</v>
      </c>
      <c r="L12" s="9">
        <v>12000</v>
      </c>
      <c r="M12" s="9">
        <v>1000</v>
      </c>
      <c r="N12" s="48">
        <v>0</v>
      </c>
      <c r="O12" s="21">
        <f t="shared" si="3"/>
        <v>28200</v>
      </c>
      <c r="P12" s="8" t="s">
        <v>197</v>
      </c>
      <c r="Q12" s="9">
        <v>-4500</v>
      </c>
      <c r="R12" s="9"/>
      <c r="S12" s="48">
        <v>0</v>
      </c>
      <c r="T12" s="21">
        <f t="shared" si="4"/>
        <v>32700</v>
      </c>
      <c r="U12" s="53">
        <f>IF($J12="","",ROUND(($J12-$J$3)/1000,1)+(_xlfn.RANK.AVG($J12,($J12,$O12,$T12),1)-2)*20)</f>
        <v>29.1</v>
      </c>
      <c r="V12" s="54">
        <f>IF($O12="","",ROUND(($O12-$O$3)/1000,1)+(_xlfn.RANK.AVG($O12,($J12,$O12,$T12),1)-2)*20)</f>
        <v>-26.8</v>
      </c>
      <c r="W12" s="55">
        <f>IF($T12="","",ROUND(($T12-$T$3)/1000,1)+(_xlfn.RANK.AVG($T12,($J12,$O12,$T12),1)-2)*20)</f>
        <v>-2.2999999999999998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199</v>
      </c>
      <c r="AZ12" s="40" t="s">
        <v>100</v>
      </c>
      <c r="BA12" s="41" t="s">
        <v>86</v>
      </c>
      <c r="BB12" s="41" t="s">
        <v>86</v>
      </c>
      <c r="BC12" s="41" t="s">
        <v>98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-2600</v>
      </c>
      <c r="H13" s="9"/>
      <c r="I13" s="48">
        <v>0</v>
      </c>
      <c r="J13" s="21">
        <f t="shared" si="2"/>
        <v>41500</v>
      </c>
      <c r="K13" s="8"/>
      <c r="L13" s="9"/>
      <c r="M13" s="9"/>
      <c r="N13" s="48"/>
      <c r="O13" s="21">
        <f t="shared" si="3"/>
        <v>28200</v>
      </c>
      <c r="P13" s="8" t="s">
        <v>200</v>
      </c>
      <c r="Q13" s="9">
        <v>2600</v>
      </c>
      <c r="R13" s="9"/>
      <c r="S13" s="48">
        <v>0</v>
      </c>
      <c r="T13" s="21">
        <f t="shared" si="4"/>
        <v>35300</v>
      </c>
      <c r="U13" s="53">
        <f>IF($J13="","",ROUND(($J13-$J$3)/1000,1)+(_xlfn.RANK.AVG($J13,($J13,$O13,$T13),1)-2)*20)</f>
        <v>26.5</v>
      </c>
      <c r="V13" s="54">
        <f>IF($O13="","",ROUND(($O13-$O$3)/1000,1)+(_xlfn.RANK.AVG($O13,($J13,$O13,$T13),1)-2)*20)</f>
        <v>-26.8</v>
      </c>
      <c r="W13" s="55">
        <f>IF($T13="","",ROUND(($T13-$T$3)/1000,1)+(_xlfn.RANK.AVG($T13,($J13,$O13,$T13),1)-2)*20)</f>
        <v>0.3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2</v>
      </c>
      <c r="BT13" s="30">
        <v>40</v>
      </c>
      <c r="BU13" s="40" t="s">
        <v>204</v>
      </c>
      <c r="BV13" s="41" t="s">
        <v>202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913E8AE5-0FD6-4FE5-9B9B-88A0E49EE8AE}">
      <formula1>$U$2:$W$2</formula1>
    </dataValidation>
    <dataValidation type="list" showInputMessage="1" showErrorMessage="1" sqref="K4:K30 P4:P30 F4:F30" xr:uid="{CF5345C8-6423-4C4A-816C-621E24D4B4EF}">
      <formula1>"ロン,ツモ,放銃,ツモ支払,流局,チョンボ"</formula1>
    </dataValidation>
    <dataValidation type="list" allowBlank="1" showInputMessage="1" sqref="F1:T1" xr:uid="{9BB016D2-2E9D-4D77-8D57-86B251C6AAA7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B7299-39CF-4C3A-B77A-C982E0F1BC43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208</v>
      </c>
      <c r="G4" s="9">
        <v>1500</v>
      </c>
      <c r="H4" s="9"/>
      <c r="I4" s="48"/>
      <c r="J4" s="21">
        <f>IF(COUNTA($F4,$K4,$P4)&gt;0,J3+SUM(G4:I4),"")</f>
        <v>36500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11.5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11.5</v>
      </c>
      <c r="Y4" s="8" t="s">
        <v>206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7800</v>
      </c>
      <c r="H5" s="9"/>
      <c r="I5" s="48">
        <v>1000</v>
      </c>
      <c r="J5" s="21">
        <f t="shared" ref="J5:J30" si="2">IF(COUNTA($F5,$K5,$P5)&gt;0,J4+SUM(G5:I5),"")</f>
        <v>45300</v>
      </c>
      <c r="K5" s="8" t="s">
        <v>197</v>
      </c>
      <c r="L5" s="9">
        <v>-3900</v>
      </c>
      <c r="M5" s="9"/>
      <c r="N5" s="48">
        <v>-500</v>
      </c>
      <c r="O5" s="21">
        <f t="shared" ref="O5:O30" si="3">IF(COUNTA($F5,$K5,$P5)&gt;0,O4+SUM(L5:N5),"")</f>
        <v>27600</v>
      </c>
      <c r="P5" s="8" t="s">
        <v>197</v>
      </c>
      <c r="Q5" s="9">
        <v>-3900</v>
      </c>
      <c r="R5" s="9"/>
      <c r="S5" s="48">
        <v>-500</v>
      </c>
      <c r="T5" s="21">
        <f t="shared" ref="T5:T30" si="4">IF(COUNTA($F5,$K5,$P5)&gt;0,T4+SUM(Q5:S5),"")</f>
        <v>32100</v>
      </c>
      <c r="U5" s="53">
        <f>IF($J5="","",ROUND(($J5-$J$3)/1000,1)+(_xlfn.RANK.AVG($J5,($J5,$O5,$T5),1)-2)*20)</f>
        <v>30.3</v>
      </c>
      <c r="V5" s="54">
        <f>IF($O5="","",ROUND(($O5-$O$3)/1000,1)+(_xlfn.RANK.AVG($O5,($J5,$O5,$T5),1)-2)*20)</f>
        <v>-27.4</v>
      </c>
      <c r="W5" s="55">
        <f>IF($T5="","",ROUND(($T5-$T$3)/1000,1)+(_xlfn.RANK.AVG($T5,($J5,$O5,$T5),1)-2)*20)</f>
        <v>-2.9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202</v>
      </c>
      <c r="AF5" s="41" t="s">
        <v>82</v>
      </c>
      <c r="AG5" s="41" t="s">
        <v>83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201</v>
      </c>
      <c r="G6" s="9">
        <v>-8000</v>
      </c>
      <c r="H6" s="9"/>
      <c r="I6" s="48">
        <v>-2000</v>
      </c>
      <c r="J6" s="21">
        <f t="shared" si="2"/>
        <v>35300</v>
      </c>
      <c r="K6" s="8" t="s">
        <v>200</v>
      </c>
      <c r="L6" s="9">
        <v>8000</v>
      </c>
      <c r="M6" s="9"/>
      <c r="N6" s="48">
        <v>2000</v>
      </c>
      <c r="O6" s="21">
        <f t="shared" si="3"/>
        <v>37600</v>
      </c>
      <c r="P6" s="8"/>
      <c r="Q6" s="9"/>
      <c r="R6" s="9"/>
      <c r="S6" s="48"/>
      <c r="T6" s="21">
        <f t="shared" si="4"/>
        <v>32100</v>
      </c>
      <c r="U6" s="53">
        <f>IF($J6="","",ROUND(($J6-$J$3)/1000,1)+(_xlfn.RANK.AVG($J6,($J6,$O6,$T6),1)-2)*20)</f>
        <v>0.3</v>
      </c>
      <c r="V6" s="54">
        <f>IF($O6="","",ROUND(($O6-$O$3)/1000,1)+(_xlfn.RANK.AVG($O6,($J6,$O6,$T6),1)-2)*20)</f>
        <v>22.6</v>
      </c>
      <c r="W6" s="55">
        <f>IF($T6="","",ROUND(($T6-$T$3)/1000,1)+(_xlfn.RANK.AVG($T6,($J6,$O6,$T6),1)-2)*20)</f>
        <v>-22.9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202</v>
      </c>
      <c r="BA6" s="41" t="s">
        <v>85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201</v>
      </c>
      <c r="G7" s="9">
        <v>-5200</v>
      </c>
      <c r="H7" s="9">
        <v>-1000</v>
      </c>
      <c r="I7" s="48">
        <v>0</v>
      </c>
      <c r="J7" s="21">
        <f t="shared" si="2"/>
        <v>29100</v>
      </c>
      <c r="K7" s="8"/>
      <c r="L7" s="9"/>
      <c r="M7" s="9"/>
      <c r="N7" s="48"/>
      <c r="O7" s="21">
        <f t="shared" si="3"/>
        <v>37600</v>
      </c>
      <c r="P7" s="8" t="s">
        <v>200</v>
      </c>
      <c r="Q7" s="9">
        <v>5200</v>
      </c>
      <c r="R7" s="9">
        <v>1000</v>
      </c>
      <c r="S7" s="48">
        <v>0</v>
      </c>
      <c r="T7" s="21">
        <f t="shared" si="4"/>
        <v>38300</v>
      </c>
      <c r="U7" s="53">
        <f>IF($J7="","",ROUND(($J7-$J$3)/1000,1)+(_xlfn.RANK.AVG($J7,($J7,$O7,$T7),1)-2)*20)</f>
        <v>-25.9</v>
      </c>
      <c r="V7" s="54">
        <f>IF($O7="","",ROUND(($O7-$O$3)/1000,1)+(_xlfn.RANK.AVG($O7,($J7,$O7,$T7),1)-2)*20)</f>
        <v>2.6</v>
      </c>
      <c r="W7" s="55">
        <f>IF($T7="","",ROUND(($T7-$T$3)/1000,1)+(_xlfn.RANK.AVG($T7,($J7,$O7,$T7),1)-2)*20)</f>
        <v>23.3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86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-7700</v>
      </c>
      <c r="H8" s="9"/>
      <c r="I8" s="48">
        <v>0</v>
      </c>
      <c r="J8" s="21">
        <f t="shared" si="2"/>
        <v>21400</v>
      </c>
      <c r="K8" s="8"/>
      <c r="L8" s="9"/>
      <c r="M8" s="9"/>
      <c r="N8" s="48"/>
      <c r="O8" s="21">
        <f t="shared" si="3"/>
        <v>37600</v>
      </c>
      <c r="P8" s="8" t="s">
        <v>200</v>
      </c>
      <c r="Q8" s="9">
        <v>7700</v>
      </c>
      <c r="R8" s="9"/>
      <c r="S8" s="48">
        <v>0</v>
      </c>
      <c r="T8" s="21">
        <f t="shared" si="4"/>
        <v>46000</v>
      </c>
      <c r="U8" s="53">
        <f>IF($J8="","",ROUND(($J8-$J$3)/1000,1)+(_xlfn.RANK.AVG($J8,($J8,$O8,$T8),1)-2)*20)</f>
        <v>-33.6</v>
      </c>
      <c r="V8" s="54">
        <f>IF($O8="","",ROUND(($O8-$O$3)/1000,1)+(_xlfn.RANK.AVG($O8,($J8,$O8,$T8),1)-2)*20)</f>
        <v>2.6</v>
      </c>
      <c r="W8" s="55">
        <f>IF($T8="","",ROUND(($T8-$T$3)/1000,1)+(_xlfn.RANK.AVG($T8,($J8,$O8,$T8),1)-2)*20)</f>
        <v>31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204</v>
      </c>
      <c r="BV8" s="41" t="s">
        <v>202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208</v>
      </c>
      <c r="G9" s="9">
        <v>-1500</v>
      </c>
      <c r="H9" s="9"/>
      <c r="I9" s="48"/>
      <c r="J9" s="21">
        <f t="shared" si="2"/>
        <v>19900</v>
      </c>
      <c r="K9" s="8" t="s">
        <v>208</v>
      </c>
      <c r="L9" s="9">
        <v>3000</v>
      </c>
      <c r="M9" s="9"/>
      <c r="N9" s="48"/>
      <c r="O9" s="21">
        <f t="shared" si="3"/>
        <v>40600</v>
      </c>
      <c r="P9" s="8" t="s">
        <v>208</v>
      </c>
      <c r="Q9" s="9">
        <v>-1500</v>
      </c>
      <c r="R9" s="9"/>
      <c r="S9" s="48"/>
      <c r="T9" s="21">
        <f t="shared" si="4"/>
        <v>44500</v>
      </c>
      <c r="U9" s="53">
        <f>IF($J9="","",ROUND(($J9-$J$3)/1000,1)+(_xlfn.RANK.AVG($J9,($J9,$O9,$T9),1)-2)*20)</f>
        <v>-35.1</v>
      </c>
      <c r="V9" s="54">
        <f>IF($O9="","",ROUND(($O9-$O$3)/1000,1)+(_xlfn.RANK.AVG($O9,($J9,$O9,$T9),1)-2)*20)</f>
        <v>5.6</v>
      </c>
      <c r="W9" s="55">
        <f>IF($T9="","",ROUND(($T9-$T$3)/1000,1)+(_xlfn.RANK.AVG($T9,($J9,$O9,$T9),1)-2)*20)</f>
        <v>29.5</v>
      </c>
      <c r="Y9" s="8" t="s">
        <v>207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191</v>
      </c>
      <c r="F10" s="8" t="s">
        <v>200</v>
      </c>
      <c r="G10" s="9">
        <v>7700</v>
      </c>
      <c r="H10" s="9"/>
      <c r="I10" s="48">
        <v>2000</v>
      </c>
      <c r="J10" s="21">
        <f t="shared" si="2"/>
        <v>29600</v>
      </c>
      <c r="K10" s="8"/>
      <c r="L10" s="9"/>
      <c r="M10" s="9"/>
      <c r="N10" s="48"/>
      <c r="O10" s="21">
        <f t="shared" si="3"/>
        <v>40600</v>
      </c>
      <c r="P10" s="8" t="s">
        <v>201</v>
      </c>
      <c r="Q10" s="9">
        <v>-7700</v>
      </c>
      <c r="R10" s="9"/>
      <c r="S10" s="48">
        <v>-2000</v>
      </c>
      <c r="T10" s="21">
        <f t="shared" si="4"/>
        <v>34800</v>
      </c>
      <c r="U10" s="53">
        <f>IF($J10="","",ROUND(($J10-$J$3)/1000,1)+(_xlfn.RANK.AVG($J10,($J10,$O10,$T10),1)-2)*20)</f>
        <v>-25.4</v>
      </c>
      <c r="V10" s="54">
        <f>IF($O10="","",ROUND(($O10-$O$3)/1000,1)+(_xlfn.RANK.AVG($O10,($J10,$O10,$T10),1)-2)*20)</f>
        <v>25.6</v>
      </c>
      <c r="W10" s="55">
        <f>IF($T10="","",ROUND(($T10-$T$3)/1000,1)+(_xlfn.RANK.AVG($T10,($J10,$O10,$T10),1)-2)*20)</f>
        <v>-0.2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84</v>
      </c>
      <c r="AF10" s="41" t="s">
        <v>202</v>
      </c>
      <c r="AG10" s="41" t="s">
        <v>86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191</v>
      </c>
      <c r="F11" s="8" t="s">
        <v>208</v>
      </c>
      <c r="G11" s="9">
        <v>-3000</v>
      </c>
      <c r="H11" s="9"/>
      <c r="I11" s="48"/>
      <c r="J11" s="21">
        <f t="shared" si="2"/>
        <v>26600</v>
      </c>
      <c r="K11" s="8" t="s">
        <v>208</v>
      </c>
      <c r="L11" s="9">
        <v>1500</v>
      </c>
      <c r="M11" s="9">
        <v>-1000</v>
      </c>
      <c r="N11" s="48"/>
      <c r="O11" s="21">
        <f t="shared" si="3"/>
        <v>41100</v>
      </c>
      <c r="P11" s="8" t="s">
        <v>208</v>
      </c>
      <c r="Q11" s="9">
        <v>1500</v>
      </c>
      <c r="R11" s="9"/>
      <c r="S11" s="48"/>
      <c r="T11" s="21">
        <f t="shared" si="4"/>
        <v>36300</v>
      </c>
      <c r="U11" s="53">
        <f>IF($J11="","",ROUND(($J11-$J$3)/1000,1)+(_xlfn.RANK.AVG($J11,($J11,$O11,$T11),1)-2)*20)</f>
        <v>-28.4</v>
      </c>
      <c r="V11" s="54">
        <f>IF($O11="","",ROUND(($O11-$O$3)/1000,1)+(_xlfn.RANK.AVG($O11,($J11,$O11,$T11),1)-2)*20)</f>
        <v>26.1</v>
      </c>
      <c r="W11" s="55">
        <f>IF($T11="","",ROUND(($T11-$T$3)/1000,1)+(_xlfn.RANK.AVG($T11,($J11,$O11,$T11),1)-2)*20)</f>
        <v>1.3</v>
      </c>
      <c r="Y11" s="8" t="s">
        <v>207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1</v>
      </c>
      <c r="E12" s="4" t="s">
        <v>193</v>
      </c>
      <c r="F12" s="8" t="s">
        <v>198</v>
      </c>
      <c r="G12" s="9">
        <v>16000</v>
      </c>
      <c r="H12" s="9">
        <v>1000</v>
      </c>
      <c r="I12" s="48">
        <v>4000</v>
      </c>
      <c r="J12" s="21">
        <f t="shared" si="2"/>
        <v>47600</v>
      </c>
      <c r="K12" s="8" t="s">
        <v>197</v>
      </c>
      <c r="L12" s="9">
        <v>-10000</v>
      </c>
      <c r="M12" s="9"/>
      <c r="N12" s="48">
        <v>-2000</v>
      </c>
      <c r="O12" s="21">
        <f t="shared" si="3"/>
        <v>29100</v>
      </c>
      <c r="P12" s="8" t="s">
        <v>197</v>
      </c>
      <c r="Q12" s="9">
        <v>-6000</v>
      </c>
      <c r="R12" s="9"/>
      <c r="S12" s="48">
        <v>-2000</v>
      </c>
      <c r="T12" s="21">
        <f t="shared" si="4"/>
        <v>28300</v>
      </c>
      <c r="U12" s="53">
        <f>IF($J12="","",ROUND(($J12-$J$3)/1000,1)+(_xlfn.RANK.AVG($J12,($J12,$O12,$T12),1)-2)*20)</f>
        <v>32.6</v>
      </c>
      <c r="V12" s="54">
        <f>IF($O12="","",ROUND(($O12-$O$3)/1000,1)+(_xlfn.RANK.AVG($O12,($J12,$O12,$T12),1)-2)*20)</f>
        <v>-5.9</v>
      </c>
      <c r="W12" s="55">
        <f>IF($T12="","",ROUND(($T12-$T$3)/1000,1)+(_xlfn.RANK.AVG($T12,($J12,$O12,$T12),1)-2)*20)</f>
        <v>-26.7</v>
      </c>
      <c r="Y12" s="8"/>
      <c r="Z12" s="34"/>
      <c r="AA12" s="26">
        <v>1</v>
      </c>
      <c r="AB12" s="26"/>
      <c r="AC12" s="26">
        <v>8</v>
      </c>
      <c r="AD12" s="30" t="s">
        <v>199</v>
      </c>
      <c r="AE12" s="40" t="s">
        <v>202</v>
      </c>
      <c r="AF12" s="41" t="s">
        <v>82</v>
      </c>
      <c r="AG12" s="41" t="s">
        <v>203</v>
      </c>
      <c r="AH12" s="41" t="s">
        <v>104</v>
      </c>
      <c r="AI12" s="41" t="s">
        <v>101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197</v>
      </c>
      <c r="G13" s="9">
        <v>-800</v>
      </c>
      <c r="H13" s="9"/>
      <c r="I13" s="48">
        <v>0</v>
      </c>
      <c r="J13" s="21">
        <f t="shared" si="2"/>
        <v>46800</v>
      </c>
      <c r="K13" s="8" t="s">
        <v>197</v>
      </c>
      <c r="L13" s="9">
        <v>-800</v>
      </c>
      <c r="M13" s="9"/>
      <c r="N13" s="48">
        <v>0</v>
      </c>
      <c r="O13" s="21">
        <f t="shared" si="3"/>
        <v>28300</v>
      </c>
      <c r="P13" s="8" t="s">
        <v>198</v>
      </c>
      <c r="Q13" s="9">
        <v>1600</v>
      </c>
      <c r="R13" s="9"/>
      <c r="S13" s="48">
        <v>0</v>
      </c>
      <c r="T13" s="21">
        <f t="shared" si="4"/>
        <v>29900</v>
      </c>
      <c r="U13" s="53">
        <f>IF($J13="","",ROUND(($J13-$J$3)/1000,1)+(_xlfn.RANK.AVG($J13,($J13,$O13,$T13),1)-2)*20)</f>
        <v>31.8</v>
      </c>
      <c r="V13" s="54">
        <f>IF($O13="","",ROUND(($O13-$O$3)/1000,1)+(_xlfn.RANK.AVG($O13,($J13,$O13,$T13),1)-2)*20)</f>
        <v>-26.7</v>
      </c>
      <c r="W13" s="55">
        <f>IF($T13="","",ROUND(($T13-$T$3)/1000,1)+(_xlfn.RANK.AVG($T13,($J13,$O13,$T13),1)-2)*20)</f>
        <v>-5.0999999999999996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1</v>
      </c>
      <c r="BT13" s="30">
        <v>30</v>
      </c>
      <c r="BU13" s="40" t="s">
        <v>86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195</v>
      </c>
      <c r="F14" s="8" t="s">
        <v>200</v>
      </c>
      <c r="G14" s="9">
        <v>8000</v>
      </c>
      <c r="H14" s="9"/>
      <c r="I14" s="48">
        <v>1000</v>
      </c>
      <c r="J14" s="21">
        <f t="shared" si="2"/>
        <v>55800</v>
      </c>
      <c r="K14" s="8"/>
      <c r="L14" s="9"/>
      <c r="M14" s="9"/>
      <c r="N14" s="48"/>
      <c r="O14" s="21">
        <f t="shared" si="3"/>
        <v>28300</v>
      </c>
      <c r="P14" s="8" t="s">
        <v>201</v>
      </c>
      <c r="Q14" s="9">
        <v>-8000</v>
      </c>
      <c r="R14" s="9"/>
      <c r="S14" s="48">
        <v>-1000</v>
      </c>
      <c r="T14" s="21">
        <f t="shared" si="4"/>
        <v>20900</v>
      </c>
      <c r="U14" s="53">
        <f>IF($J14="","",ROUND(($J14-$J$3)/1000,1)+(_xlfn.RANK.AVG($J14,($J14,$O14,$T14),1)-2)*20)</f>
        <v>40.799999999999997</v>
      </c>
      <c r="V14" s="54">
        <f>IF($O14="","",ROUND(($O14-$O$3)/1000,1)+(_xlfn.RANK.AVG($O14,($J14,$O14,$T14),1)-2)*20)</f>
        <v>-6.7</v>
      </c>
      <c r="W14" s="55">
        <f>IF($T14="","",ROUND(($T14-$T$3)/1000,1)+(_xlfn.RANK.AVG($T14,($J14,$O14,$T14),1)-2)*20)</f>
        <v>-34.1</v>
      </c>
      <c r="Y14" s="8"/>
      <c r="Z14" s="34"/>
      <c r="AA14" s="26">
        <v>1</v>
      </c>
      <c r="AB14" s="26"/>
      <c r="AC14" s="26">
        <v>5</v>
      </c>
      <c r="AD14" s="30" t="s">
        <v>199</v>
      </c>
      <c r="AE14" s="40" t="s">
        <v>202</v>
      </c>
      <c r="AF14" s="41" t="s">
        <v>80</v>
      </c>
      <c r="AG14" s="41" t="s">
        <v>80</v>
      </c>
      <c r="AH14" s="41" t="s">
        <v>80</v>
      </c>
      <c r="AI14" s="41" t="s">
        <v>80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3F9C4E0D-DDEF-4A17-AA31-2D7249EA4C96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AB30ED2B-1B5A-4E36-B79D-F3FDE037440F}">
      <formula1>"ロン,ツモ,放銃,ツモ支払,流局,チョンボ"</formula1>
    </dataValidation>
    <dataValidation type="list" allowBlank="1" showInputMessage="1" showErrorMessage="1" sqref="E4:E30" xr:uid="{DA2A3B3F-9B7C-4288-9215-7122BA18117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57163-311B-4C1A-ABF9-B3DC88EA089B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4800</v>
      </c>
      <c r="H4" s="9"/>
      <c r="I4" s="48">
        <v>0</v>
      </c>
      <c r="J4" s="21">
        <f>IF(COUNTA($F4,$K4,$P4)&gt;0,J3+SUM(G4:I4),"")</f>
        <v>39800</v>
      </c>
      <c r="K4" s="8" t="s">
        <v>197</v>
      </c>
      <c r="L4" s="9">
        <v>-2400</v>
      </c>
      <c r="M4" s="9"/>
      <c r="N4" s="48">
        <v>0</v>
      </c>
      <c r="O4" s="21">
        <f>IF(COUNTA($F4,$K4,$P4)&gt;0,O3+SUM(L4:N4),"")</f>
        <v>32600</v>
      </c>
      <c r="P4" s="8" t="s">
        <v>197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IF($J4="","",ROUND(($J4-$J$3)/1000,1)+(_xlfn.RANK.AVG($J4,($J4,$O4,$T4),1)-2)*20)</f>
        <v>24.8</v>
      </c>
      <c r="V4" s="54">
        <f>IF($O4="","",ROUND(($O4-$O$3)/1000,1)+(_xlfn.RANK.AVG($O4,($J4,$O4,$T4),1)-2)*20)</f>
        <v>-12.4</v>
      </c>
      <c r="W4" s="55">
        <f>IF($T4="","",ROUND(($T4-$T$3)/1000,1)+(_xlfn.RANK.AVG($T4,($J4,$O4,$T4),1)-2)*20)</f>
        <v>-12.4</v>
      </c>
      <c r="Y4" s="8"/>
      <c r="Z4" s="34"/>
      <c r="AA4" s="26"/>
      <c r="AB4" s="26"/>
      <c r="AC4" s="26">
        <v>3</v>
      </c>
      <c r="AD4" s="30">
        <v>25</v>
      </c>
      <c r="AE4" s="40" t="s">
        <v>82</v>
      </c>
      <c r="AF4" s="41" t="s">
        <v>101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-7500</v>
      </c>
      <c r="H5" s="9"/>
      <c r="I5" s="48">
        <v>-500</v>
      </c>
      <c r="J5" s="21">
        <f t="shared" ref="J5:J30" si="2">IF(COUNTA($F5,$K5,$P5)&gt;0,J4+SUM(G5:I5),"")</f>
        <v>31800</v>
      </c>
      <c r="K5" s="8" t="s">
        <v>198</v>
      </c>
      <c r="L5" s="9">
        <v>12000</v>
      </c>
      <c r="M5" s="9"/>
      <c r="N5" s="48">
        <v>1000</v>
      </c>
      <c r="O5" s="21">
        <f t="shared" ref="O5:O30" si="3">IF(COUNTA($F5,$K5,$P5)&gt;0,O4+SUM(L5:N5),"")</f>
        <v>45600</v>
      </c>
      <c r="P5" s="8" t="s">
        <v>197</v>
      </c>
      <c r="Q5" s="9">
        <v>-4500</v>
      </c>
      <c r="R5" s="9"/>
      <c r="S5" s="48">
        <v>-500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-3.2</v>
      </c>
      <c r="V5" s="54">
        <f>IF($O5="","",ROUND(($O5-$O$3)/1000,1)+(_xlfn.RANK.AVG($O5,($J5,$O5,$T5),1)-2)*20)</f>
        <v>30.6</v>
      </c>
      <c r="W5" s="55">
        <f>IF($T5="","",ROUND(($T5-$T$3)/1000,1)+(_xlfn.RANK.AVG($T5,($J5,$O5,$T5),1)-2)*20)</f>
        <v>-27.4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199</v>
      </c>
      <c r="AZ5" s="40" t="s">
        <v>202</v>
      </c>
      <c r="BA5" s="41" t="s">
        <v>82</v>
      </c>
      <c r="BB5" s="41" t="s">
        <v>203</v>
      </c>
      <c r="BC5" s="41" t="s">
        <v>83</v>
      </c>
      <c r="BD5" s="41" t="s">
        <v>204</v>
      </c>
      <c r="BE5" s="41" t="s">
        <v>80</v>
      </c>
      <c r="BF5" s="41" t="s">
        <v>79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-3000</v>
      </c>
      <c r="H6" s="9">
        <v>-1000</v>
      </c>
      <c r="I6" s="48">
        <v>0</v>
      </c>
      <c r="J6" s="21">
        <f t="shared" si="2"/>
        <v>27800</v>
      </c>
      <c r="K6" s="8" t="s">
        <v>197</v>
      </c>
      <c r="L6" s="9">
        <v>-5000</v>
      </c>
      <c r="M6" s="9"/>
      <c r="N6" s="48">
        <v>0</v>
      </c>
      <c r="O6" s="21">
        <f t="shared" si="3"/>
        <v>40600</v>
      </c>
      <c r="P6" s="8" t="s">
        <v>198</v>
      </c>
      <c r="Q6" s="9">
        <v>8000</v>
      </c>
      <c r="R6" s="9">
        <v>1000</v>
      </c>
      <c r="S6" s="48">
        <v>0</v>
      </c>
      <c r="T6" s="21">
        <f t="shared" si="4"/>
        <v>36600</v>
      </c>
      <c r="U6" s="53">
        <f>IF($J6="","",ROUND(($J6-$J$3)/1000,1)+(_xlfn.RANK.AVG($J6,($J6,$O6,$T6),1)-2)*20)</f>
        <v>-27.2</v>
      </c>
      <c r="V6" s="54">
        <f>IF($O6="","",ROUND(($O6-$O$3)/1000,1)+(_xlfn.RANK.AVG($O6,($J6,$O6,$T6),1)-2)*20)</f>
        <v>25.6</v>
      </c>
      <c r="W6" s="55">
        <f>IF($T6="","",ROUND(($T6-$T$3)/1000,1)+(_xlfn.RANK.AVG($T6,($J6,$O6,$T6),1)-2)*20)</f>
        <v>1.6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199</v>
      </c>
      <c r="BU6" s="40" t="s">
        <v>204</v>
      </c>
      <c r="BV6" s="41" t="s">
        <v>86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197</v>
      </c>
      <c r="G7" s="9">
        <v>-2400</v>
      </c>
      <c r="H7" s="9"/>
      <c r="I7" s="48">
        <v>0</v>
      </c>
      <c r="J7" s="21">
        <f t="shared" si="2"/>
        <v>25400</v>
      </c>
      <c r="K7" s="8" t="s">
        <v>198</v>
      </c>
      <c r="L7" s="9">
        <v>6400</v>
      </c>
      <c r="M7" s="9"/>
      <c r="N7" s="48">
        <v>0</v>
      </c>
      <c r="O7" s="21">
        <f t="shared" si="3"/>
        <v>47000</v>
      </c>
      <c r="P7" s="8" t="s">
        <v>197</v>
      </c>
      <c r="Q7" s="9">
        <v>-4000</v>
      </c>
      <c r="R7" s="9"/>
      <c r="S7" s="48">
        <v>0</v>
      </c>
      <c r="T7" s="21">
        <f t="shared" si="4"/>
        <v>32600</v>
      </c>
      <c r="U7" s="53">
        <f>IF($J7="","",ROUND(($J7-$J$3)/1000,1)+(_xlfn.RANK.AVG($J7,($J7,$O7,$T7),1)-2)*20)</f>
        <v>-29.6</v>
      </c>
      <c r="V7" s="54">
        <f>IF($O7="","",ROUND(($O7-$O$3)/1000,1)+(_xlfn.RANK.AVG($O7,($J7,$O7,$T7),1)-2)*20)</f>
        <v>32</v>
      </c>
      <c r="W7" s="55">
        <f>IF($T7="","",ROUND(($T7-$T$3)/1000,1)+(_xlfn.RANK.AVG($T7,($J7,$O7,$T7),1)-2)*20)</f>
        <v>-2.4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25</v>
      </c>
      <c r="AZ7" s="40" t="s">
        <v>82</v>
      </c>
      <c r="BA7" s="41" t="s">
        <v>101</v>
      </c>
      <c r="BB7" s="41" t="s">
        <v>204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11600</v>
      </c>
      <c r="H8" s="9"/>
      <c r="I8" s="48">
        <v>0</v>
      </c>
      <c r="J8" s="21">
        <f t="shared" si="2"/>
        <v>37000</v>
      </c>
      <c r="K8" s="8" t="s">
        <v>197</v>
      </c>
      <c r="L8" s="9">
        <v>-5800</v>
      </c>
      <c r="M8" s="9"/>
      <c r="N8" s="48">
        <v>0</v>
      </c>
      <c r="O8" s="21">
        <f t="shared" si="3"/>
        <v>41200</v>
      </c>
      <c r="P8" s="8" t="s">
        <v>197</v>
      </c>
      <c r="Q8" s="9">
        <v>-5800</v>
      </c>
      <c r="R8" s="9"/>
      <c r="S8" s="48">
        <v>0</v>
      </c>
      <c r="T8" s="21">
        <f t="shared" si="4"/>
        <v>26800</v>
      </c>
      <c r="U8" s="53">
        <f>IF($J8="","",ROUND(($J8-$J$3)/1000,1)+(_xlfn.RANK.AVG($J8,($J8,$O8,$T8),1)-2)*20)</f>
        <v>2</v>
      </c>
      <c r="V8" s="54">
        <f>IF($O8="","",ROUND(($O8-$O$3)/1000,1)+(_xlfn.RANK.AVG($O8,($J8,$O8,$T8),1)-2)*20)</f>
        <v>26.2</v>
      </c>
      <c r="W8" s="55">
        <f>IF($T8="","",ROUND(($T8-$T$3)/1000,1)+(_xlfn.RANK.AVG($T8,($J8,$O8,$T8),1)-2)*20)</f>
        <v>-28.2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104</v>
      </c>
      <c r="AF8" s="41" t="s">
        <v>92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201</v>
      </c>
      <c r="G9" s="9">
        <v>-3200</v>
      </c>
      <c r="H9" s="9"/>
      <c r="I9" s="48">
        <v>-1000</v>
      </c>
      <c r="J9" s="21">
        <f t="shared" si="2"/>
        <v>32800</v>
      </c>
      <c r="K9" s="8"/>
      <c r="L9" s="9"/>
      <c r="M9" s="9"/>
      <c r="N9" s="48"/>
      <c r="O9" s="21">
        <f t="shared" si="3"/>
        <v>41200</v>
      </c>
      <c r="P9" s="8" t="s">
        <v>200</v>
      </c>
      <c r="Q9" s="9">
        <v>3200</v>
      </c>
      <c r="R9" s="9"/>
      <c r="S9" s="48">
        <v>1000</v>
      </c>
      <c r="T9" s="21">
        <f t="shared" si="4"/>
        <v>31000</v>
      </c>
      <c r="U9" s="53">
        <f>IF($J9="","",ROUND(($J9-$J$3)/1000,1)+(_xlfn.RANK.AVG($J9,($J9,$O9,$T9),1)-2)*20)</f>
        <v>-2.2000000000000002</v>
      </c>
      <c r="V9" s="54">
        <f>IF($O9="","",ROUND(($O9-$O$3)/1000,1)+(_xlfn.RANK.AVG($O9,($J9,$O9,$T9),1)-2)*20)</f>
        <v>26.2</v>
      </c>
      <c r="W9" s="55">
        <f>IF($T9="","",ROUND(($T9-$T$3)/1000,1)+(_xlfn.RANK.AVG($T9,($J9,$O9,$T9),1)-2)*20)</f>
        <v>-24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50</v>
      </c>
      <c r="BU9" s="40" t="s">
        <v>202</v>
      </c>
      <c r="BV9" s="41" t="s">
        <v>204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197</v>
      </c>
      <c r="G10" s="9">
        <v>-9000</v>
      </c>
      <c r="H10" s="9"/>
      <c r="I10" s="48">
        <v>0</v>
      </c>
      <c r="J10" s="21">
        <f t="shared" si="2"/>
        <v>23800</v>
      </c>
      <c r="K10" s="8" t="s">
        <v>198</v>
      </c>
      <c r="L10" s="9">
        <v>18000</v>
      </c>
      <c r="M10" s="9"/>
      <c r="N10" s="48">
        <v>0</v>
      </c>
      <c r="O10" s="21">
        <f t="shared" si="3"/>
        <v>59200</v>
      </c>
      <c r="P10" s="8" t="s">
        <v>197</v>
      </c>
      <c r="Q10" s="9">
        <v>-9000</v>
      </c>
      <c r="R10" s="9"/>
      <c r="S10" s="48">
        <v>0</v>
      </c>
      <c r="T10" s="21">
        <f t="shared" si="4"/>
        <v>22000</v>
      </c>
      <c r="U10" s="53">
        <f>IF($J10="","",ROUND(($J10-$J$3)/1000,1)+(_xlfn.RANK.AVG($J10,($J10,$O10,$T10),1)-2)*20)</f>
        <v>-11.2</v>
      </c>
      <c r="V10" s="54">
        <f>IF($O10="","",ROUND(($O10-$O$3)/1000,1)+(_xlfn.RANK.AVG($O10,($J10,$O10,$T10),1)-2)*20)</f>
        <v>44.2</v>
      </c>
      <c r="W10" s="55">
        <f>IF($T10="","",ROUND(($T10-$T$3)/1000,1)+(_xlfn.RANK.AVG($T10,($J10,$O10,$T10),1)-2)*20)</f>
        <v>-33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199</v>
      </c>
      <c r="AZ10" s="40" t="s">
        <v>202</v>
      </c>
      <c r="BA10" s="41" t="s">
        <v>82</v>
      </c>
      <c r="BB10" s="41" t="s">
        <v>79</v>
      </c>
      <c r="BC10" s="41" t="s">
        <v>79</v>
      </c>
      <c r="BD10" s="41" t="s">
        <v>80</v>
      </c>
      <c r="BE10" s="41" t="s">
        <v>204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197</v>
      </c>
      <c r="G11" s="9">
        <v>-800</v>
      </c>
      <c r="H11" s="9"/>
      <c r="I11" s="48">
        <v>-500</v>
      </c>
      <c r="J11" s="21">
        <f t="shared" si="2"/>
        <v>22500</v>
      </c>
      <c r="K11" s="8" t="s">
        <v>197</v>
      </c>
      <c r="L11" s="9">
        <v>-1300</v>
      </c>
      <c r="M11" s="9"/>
      <c r="N11" s="48">
        <v>-500</v>
      </c>
      <c r="O11" s="21">
        <f t="shared" si="3"/>
        <v>57400</v>
      </c>
      <c r="P11" s="8" t="s">
        <v>198</v>
      </c>
      <c r="Q11" s="9">
        <v>2100</v>
      </c>
      <c r="R11" s="9"/>
      <c r="S11" s="48">
        <v>1000</v>
      </c>
      <c r="T11" s="21">
        <f t="shared" si="4"/>
        <v>25100</v>
      </c>
      <c r="U11" s="53">
        <f>IF($J11="","",ROUND(($J11-$J$3)/1000,1)+(_xlfn.RANK.AVG($J11,($J11,$O11,$T11),1)-2)*20)</f>
        <v>-32.5</v>
      </c>
      <c r="V11" s="54">
        <f>IF($O11="","",ROUND(($O11-$O$3)/1000,1)+(_xlfn.RANK.AVG($O11,($J11,$O11,$T11),1)-2)*20)</f>
        <v>42.4</v>
      </c>
      <c r="W11" s="55">
        <f>IF($T11="","",ROUND(($T11-$T$3)/1000,1)+(_xlfn.RANK.AVG($T11,($J11,$O11,$T11),1)-2)*20)</f>
        <v>-9.9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30</v>
      </c>
      <c r="BU11" s="40" t="s">
        <v>202</v>
      </c>
      <c r="BV11" s="41" t="s">
        <v>82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-1500</v>
      </c>
      <c r="H12" s="9"/>
      <c r="I12" s="48">
        <v>0</v>
      </c>
      <c r="J12" s="21">
        <f t="shared" si="2"/>
        <v>21000</v>
      </c>
      <c r="K12" s="8"/>
      <c r="L12" s="9"/>
      <c r="M12" s="9">
        <v>-1000</v>
      </c>
      <c r="N12" s="48"/>
      <c r="O12" s="21">
        <f t="shared" si="3"/>
        <v>56400</v>
      </c>
      <c r="P12" s="8" t="s">
        <v>200</v>
      </c>
      <c r="Q12" s="9">
        <v>1500</v>
      </c>
      <c r="R12" s="9">
        <v>1000</v>
      </c>
      <c r="S12" s="48">
        <v>0</v>
      </c>
      <c r="T12" s="21">
        <f t="shared" si="4"/>
        <v>27600</v>
      </c>
      <c r="U12" s="53">
        <f>IF($J12="","",ROUND(($J12-$J$3)/1000,1)+(_xlfn.RANK.AVG($J12,($J12,$O12,$T12),1)-2)*20)</f>
        <v>-34</v>
      </c>
      <c r="V12" s="54">
        <f>IF($O12="","",ROUND(($O12-$O$3)/1000,1)+(_xlfn.RANK.AVG($O12,($J12,$O12,$T12),1)-2)*20)</f>
        <v>41.4</v>
      </c>
      <c r="W12" s="55">
        <f>IF($T12="","",ROUND(($T12-$T$3)/1000,1)+(_xlfn.RANK.AVG($T12,($J12,$O12,$T12),1)-2)*20)</f>
        <v>-7.4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30</v>
      </c>
      <c r="BU12" s="40" t="s">
        <v>83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200</v>
      </c>
      <c r="G13" s="9">
        <v>8000</v>
      </c>
      <c r="H13" s="9">
        <v>2000</v>
      </c>
      <c r="I13" s="48">
        <v>1000</v>
      </c>
      <c r="J13" s="21">
        <f t="shared" si="2"/>
        <v>32000</v>
      </c>
      <c r="K13" s="8"/>
      <c r="L13" s="9"/>
      <c r="M13" s="9">
        <v>-1000</v>
      </c>
      <c r="N13" s="48"/>
      <c r="O13" s="21">
        <f t="shared" si="3"/>
        <v>55400</v>
      </c>
      <c r="P13" s="8" t="s">
        <v>201</v>
      </c>
      <c r="Q13" s="9">
        <v>-8000</v>
      </c>
      <c r="R13" s="9">
        <v>-1000</v>
      </c>
      <c r="S13" s="48">
        <v>-1000</v>
      </c>
      <c r="T13" s="21">
        <f t="shared" si="4"/>
        <v>17600</v>
      </c>
      <c r="U13" s="53">
        <f>IF($J13="","",ROUND(($J13-$J$3)/1000,1)+(_xlfn.RANK.AVG($J13,($J13,$O13,$T13),1)-2)*20)</f>
        <v>-3</v>
      </c>
      <c r="V13" s="54">
        <f>IF($O13="","",ROUND(($O13-$O$3)/1000,1)+(_xlfn.RANK.AVG($O13,($J13,$O13,$T13),1)-2)*20)</f>
        <v>40.4</v>
      </c>
      <c r="W13" s="55">
        <f>IF($T13="","",ROUND(($T13-$T$3)/1000,1)+(_xlfn.RANK.AVG($T13,($J13,$O13,$T13),1)-2)*20)</f>
        <v>-37.4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202</v>
      </c>
      <c r="AF13" s="41" t="s">
        <v>86</v>
      </c>
      <c r="AG13" s="41" t="s">
        <v>86</v>
      </c>
      <c r="AH13" s="41" t="s">
        <v>204</v>
      </c>
      <c r="AI13" s="41" t="s">
        <v>80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9B8B3B5D-D02C-4B48-BDCF-DA617D73082E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0079EAE2-7247-404F-B701-4E6CFA6D540A}">
      <formula1>"ロン,ツモ,放銃,ツモ支払,流局,チョンボ"</formula1>
    </dataValidation>
    <dataValidation type="list" allowBlank="1" showInputMessage="1" showErrorMessage="1" sqref="E4:E30" xr:uid="{7988821F-2894-4924-A838-AF4EC0A0499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1963-CC92-437F-A6B5-7B6668E29D90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 t="s">
        <v>200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-33</v>
      </c>
      <c r="W4" s="55">
        <f>IF($T4="","",ROUND(($T4-$T$3)/1000,1)+(_xlfn.RANK.AVG($T4,($J4,$O4,$T4),1)-2)*20)</f>
        <v>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202</v>
      </c>
      <c r="BV4" s="41" t="s">
        <v>84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49000</v>
      </c>
      <c r="K5" s="8" t="s">
        <v>197</v>
      </c>
      <c r="L5" s="9">
        <v>-4500</v>
      </c>
      <c r="M5" s="9">
        <v>-1000</v>
      </c>
      <c r="N5" s="48">
        <v>-500</v>
      </c>
      <c r="O5" s="21">
        <f t="shared" ref="O5:O30" si="3">IF(COUNTA($F5,$K5,$P5)&gt;0,O4+SUM(L5:N5),"")</f>
        <v>16000</v>
      </c>
      <c r="P5" s="8" t="s">
        <v>197</v>
      </c>
      <c r="Q5" s="9">
        <v>-7500</v>
      </c>
      <c r="R5" s="9"/>
      <c r="S5" s="48">
        <v>-500</v>
      </c>
      <c r="T5" s="21">
        <f t="shared" ref="T5:T30" si="4">IF(COUNTA($F5,$K5,$P5)&gt;0,T4+SUM(Q5:S5),"")</f>
        <v>40000</v>
      </c>
      <c r="U5" s="53">
        <f>IF($J5="","",ROUND(($J5-$J$3)/1000,1)+(_xlfn.RANK.AVG($J5,($J5,$O5,$T5),1)-2)*20)</f>
        <v>34</v>
      </c>
      <c r="V5" s="54">
        <f>IF($O5="","",ROUND(($O5-$O$3)/1000,1)+(_xlfn.RANK.AVG($O5,($J5,$O5,$T5),1)-2)*20)</f>
        <v>-39</v>
      </c>
      <c r="W5" s="55">
        <f>IF($T5="","",ROUND(($T5-$T$3)/1000,1)+(_xlfn.RANK.AVG($T5,($J5,$O5,$T5),1)-2)*20)</f>
        <v>5</v>
      </c>
      <c r="Y5" s="8"/>
      <c r="Z5" s="34"/>
      <c r="AA5" s="26">
        <v>1</v>
      </c>
      <c r="AB5" s="26"/>
      <c r="AC5" s="26">
        <v>7</v>
      </c>
      <c r="AD5" s="30" t="s">
        <v>199</v>
      </c>
      <c r="AE5" s="40" t="s">
        <v>202</v>
      </c>
      <c r="AF5" s="41" t="s">
        <v>82</v>
      </c>
      <c r="AG5" s="41" t="s">
        <v>84</v>
      </c>
      <c r="AH5" s="41" t="s">
        <v>80</v>
      </c>
      <c r="AI5" s="41" t="s">
        <v>80</v>
      </c>
      <c r="AJ5" s="41" t="s">
        <v>204</v>
      </c>
      <c r="AK5" s="41" t="s">
        <v>204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4800</v>
      </c>
      <c r="H6" s="9">
        <v>1000</v>
      </c>
      <c r="I6" s="48">
        <v>0</v>
      </c>
      <c r="J6" s="21">
        <f t="shared" si="2"/>
        <v>54800</v>
      </c>
      <c r="K6" s="8"/>
      <c r="L6" s="9"/>
      <c r="M6" s="9"/>
      <c r="N6" s="48"/>
      <c r="O6" s="21">
        <f t="shared" si="3"/>
        <v>16000</v>
      </c>
      <c r="P6" s="8" t="s">
        <v>201</v>
      </c>
      <c r="Q6" s="9">
        <v>-4800</v>
      </c>
      <c r="R6" s="9">
        <v>-1000</v>
      </c>
      <c r="S6" s="48">
        <v>0</v>
      </c>
      <c r="T6" s="21">
        <f t="shared" si="4"/>
        <v>34200</v>
      </c>
      <c r="U6" s="53">
        <f>IF($J6="","",ROUND(($J6-$J$3)/1000,1)+(_xlfn.RANK.AVG($J6,($J6,$O6,$T6),1)-2)*20)</f>
        <v>39.799999999999997</v>
      </c>
      <c r="V6" s="54">
        <f>IF($O6="","",ROUND(($O6-$O$3)/1000,1)+(_xlfn.RANK.AVG($O6,($J6,$O6,$T6),1)-2)*20)</f>
        <v>-39</v>
      </c>
      <c r="W6" s="55">
        <f>IF($T6="","",ROUND(($T6-$T$3)/1000,1)+(_xlfn.RANK.AVG($T6,($J6,$O6,$T6),1)-2)*20)</f>
        <v>-0.8</v>
      </c>
      <c r="Y6" s="8"/>
      <c r="Z6" s="34"/>
      <c r="AA6" s="26"/>
      <c r="AB6" s="26"/>
      <c r="AC6" s="26">
        <v>3</v>
      </c>
      <c r="AD6" s="30">
        <v>25</v>
      </c>
      <c r="AE6" s="40" t="s">
        <v>101</v>
      </c>
      <c r="AF6" s="41" t="s">
        <v>204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200</v>
      </c>
      <c r="G7" s="9">
        <v>18000</v>
      </c>
      <c r="H7" s="9"/>
      <c r="I7" s="48">
        <v>1000</v>
      </c>
      <c r="J7" s="21">
        <f t="shared" si="2"/>
        <v>73800</v>
      </c>
      <c r="K7" s="8" t="s">
        <v>201</v>
      </c>
      <c r="L7" s="9">
        <v>-18000</v>
      </c>
      <c r="M7" s="9"/>
      <c r="N7" s="48">
        <v>-1000</v>
      </c>
      <c r="O7" s="21">
        <f t="shared" si="3"/>
        <v>-3000</v>
      </c>
      <c r="P7" s="8"/>
      <c r="Q7" s="9"/>
      <c r="R7" s="9"/>
      <c r="S7" s="48"/>
      <c r="T7" s="21">
        <f t="shared" si="4"/>
        <v>34200</v>
      </c>
      <c r="U7" s="53">
        <f>IF($J7="","",ROUND(($J7-$J$3)/1000,1)+(_xlfn.RANK.AVG($J7,($J7,$O7,$T7),1)-2)*20)</f>
        <v>58.8</v>
      </c>
      <c r="V7" s="54">
        <f>IF($O7="","",ROUND(($O7-$O$3)/1000,1)+(_xlfn.RANK.AVG($O7,($J7,$O7,$T7),1)-2)*20)</f>
        <v>-58</v>
      </c>
      <c r="W7" s="55">
        <f>IF($T7="","",ROUND(($T7-$T$3)/1000,1)+(_xlfn.RANK.AVG($T7,($J7,$O7,$T7),1)-2)*20)</f>
        <v>-0.8</v>
      </c>
      <c r="Y7" s="8"/>
      <c r="Z7" s="34"/>
      <c r="AA7" s="26"/>
      <c r="AB7" s="26"/>
      <c r="AC7" s="26">
        <v>6</v>
      </c>
      <c r="AD7" s="30" t="s">
        <v>199</v>
      </c>
      <c r="AE7" s="40" t="s">
        <v>104</v>
      </c>
      <c r="AF7" s="41" t="s">
        <v>86</v>
      </c>
      <c r="AG7" s="41" t="s">
        <v>86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EA4D0A2A-0BC0-4019-964E-F66B9098A48A}">
      <formula1>$U$2:$W$2</formula1>
    </dataValidation>
    <dataValidation type="list" showInputMessage="1" showErrorMessage="1" sqref="K4:K30 P4:P30 F4:F30" xr:uid="{052B437B-F4E6-4C1E-801E-316BDAE0B4CE}">
      <formula1>"ロン,ツモ,放銃,ツモ支払,流局,チョンボ"</formula1>
    </dataValidation>
    <dataValidation type="list" allowBlank="1" showInputMessage="1" sqref="F1:T1" xr:uid="{F781A00E-BFDB-4905-A54D-87D5C641191A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3E7C-6556-4BEA-AC76-74CA246F5DC8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-3900</v>
      </c>
      <c r="H4" s="9">
        <v>-1000</v>
      </c>
      <c r="I4" s="48">
        <v>0</v>
      </c>
      <c r="J4" s="21">
        <f>IF(COUNTA($F4,$K4,$P4)&gt;0,J3+SUM(G4:I4),"")</f>
        <v>30100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3900</v>
      </c>
      <c r="R4" s="9">
        <v>1000</v>
      </c>
      <c r="S4" s="48">
        <v>0</v>
      </c>
      <c r="T4" s="21">
        <f>IF(COUNTA($F4,$K4,$P4)&gt;0,T3+SUM(Q4:S4),"")</f>
        <v>39900</v>
      </c>
      <c r="U4" s="53">
        <f>IF($J4="","",ROUND(($J4-$J$3)/1000,1)+(_xlfn.RANK.AVG($J4,($J4,$O4,$T4),1)-2)*20)</f>
        <v>-24.9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24.9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202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2100</v>
      </c>
      <c r="H5" s="9">
        <v>1000</v>
      </c>
      <c r="I5" s="48">
        <v>1000</v>
      </c>
      <c r="J5" s="21">
        <f t="shared" ref="J5:J30" si="2">IF(COUNTA($F5,$K5,$P5)&gt;0,J4+SUM(G5:I5),"")</f>
        <v>34200</v>
      </c>
      <c r="K5" s="8" t="s">
        <v>197</v>
      </c>
      <c r="L5" s="9">
        <v>-800</v>
      </c>
      <c r="M5" s="9">
        <v>-1000</v>
      </c>
      <c r="N5" s="48">
        <v>-500</v>
      </c>
      <c r="O5" s="21">
        <f t="shared" ref="O5:O30" si="3">IF(COUNTA($F5,$K5,$P5)&gt;0,O4+SUM(L5:N5),"")</f>
        <v>32700</v>
      </c>
      <c r="P5" s="8" t="s">
        <v>197</v>
      </c>
      <c r="Q5" s="9">
        <v>-1300</v>
      </c>
      <c r="R5" s="9"/>
      <c r="S5" s="48">
        <v>-500</v>
      </c>
      <c r="T5" s="21">
        <f t="shared" ref="T5:T30" si="4">IF(COUNTA($F5,$K5,$P5)&gt;0,T4+SUM(Q5:S5),"")</f>
        <v>38100</v>
      </c>
      <c r="U5" s="53">
        <f>IF($J5="","",ROUND(($J5-$J$3)/1000,1)+(_xlfn.RANK.AVG($J5,($J5,$O5,$T5),1)-2)*20)</f>
        <v>-0.8</v>
      </c>
      <c r="V5" s="54">
        <f>IF($O5="","",ROUND(($O5-$O$3)/1000,1)+(_xlfn.RANK.AVG($O5,($J5,$O5,$T5),1)-2)*20)</f>
        <v>-22.3</v>
      </c>
      <c r="W5" s="55">
        <f>IF($T5="","",ROUND(($T5-$T$3)/1000,1)+(_xlfn.RANK.AVG($T5,($J5,$O5,$T5),1)-2)*20)</f>
        <v>23.1</v>
      </c>
      <c r="Y5" s="8"/>
      <c r="Z5" s="34"/>
      <c r="AA5" s="26"/>
      <c r="AB5" s="26"/>
      <c r="AC5" s="26">
        <v>2</v>
      </c>
      <c r="AD5" s="30">
        <v>30</v>
      </c>
      <c r="AE5" s="40" t="s">
        <v>82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198</v>
      </c>
      <c r="G6" s="9">
        <v>3000</v>
      </c>
      <c r="H6" s="9"/>
      <c r="I6" s="48">
        <v>0</v>
      </c>
      <c r="J6" s="21">
        <f t="shared" si="2"/>
        <v>37200</v>
      </c>
      <c r="K6" s="8" t="s">
        <v>197</v>
      </c>
      <c r="L6" s="9">
        <v>-1500</v>
      </c>
      <c r="M6" s="9"/>
      <c r="N6" s="48">
        <v>0</v>
      </c>
      <c r="O6" s="21">
        <f t="shared" si="3"/>
        <v>31200</v>
      </c>
      <c r="P6" s="8" t="s">
        <v>197</v>
      </c>
      <c r="Q6" s="9">
        <v>-1500</v>
      </c>
      <c r="R6" s="9"/>
      <c r="S6" s="48">
        <v>0</v>
      </c>
      <c r="T6" s="21">
        <f t="shared" si="4"/>
        <v>36600</v>
      </c>
      <c r="U6" s="53">
        <f>IF($J6="","",ROUND(($J6-$J$3)/1000,1)+(_xlfn.RANK.AVG($J6,($J6,$O6,$T6),1)-2)*20)</f>
        <v>22.2</v>
      </c>
      <c r="V6" s="54">
        <f>IF($O6="","",ROUND(($O6-$O$3)/1000,1)+(_xlfn.RANK.AVG($O6,($J6,$O6,$T6),1)-2)*20)</f>
        <v>-23.8</v>
      </c>
      <c r="W6" s="55">
        <f>IF($T6="","",ROUND(($T6-$T$3)/1000,1)+(_xlfn.RANK.AVG($T6,($J6,$O6,$T6),1)-2)*20)</f>
        <v>1.6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84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200</v>
      </c>
      <c r="G7" s="9">
        <v>12000</v>
      </c>
      <c r="H7" s="9"/>
      <c r="I7" s="48">
        <v>1000</v>
      </c>
      <c r="J7" s="21">
        <f t="shared" si="2"/>
        <v>50200</v>
      </c>
      <c r="K7" s="8" t="s">
        <v>201</v>
      </c>
      <c r="L7" s="9">
        <v>-12000</v>
      </c>
      <c r="M7" s="9"/>
      <c r="N7" s="48">
        <v>-1000</v>
      </c>
      <c r="O7" s="21">
        <f t="shared" si="3"/>
        <v>18200</v>
      </c>
      <c r="P7" s="8"/>
      <c r="Q7" s="9"/>
      <c r="R7" s="9"/>
      <c r="S7" s="48"/>
      <c r="T7" s="21">
        <f t="shared" si="4"/>
        <v>36600</v>
      </c>
      <c r="U7" s="53">
        <f>IF($J7="","",ROUND(($J7-$J$3)/1000,1)+(_xlfn.RANK.AVG($J7,($J7,$O7,$T7),1)-2)*20)</f>
        <v>35.200000000000003</v>
      </c>
      <c r="V7" s="54">
        <f>IF($O7="","",ROUND(($O7-$O$3)/1000,1)+(_xlfn.RANK.AVG($O7,($J7,$O7,$T7),1)-2)*20)</f>
        <v>-36.799999999999997</v>
      </c>
      <c r="W7" s="55">
        <f>IF($T7="","",ROUND(($T7-$T$3)/1000,1)+(_xlfn.RANK.AVG($T7,($J7,$O7,$T7),1)-2)*20)</f>
        <v>1.6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202</v>
      </c>
      <c r="AF7" s="41" t="s">
        <v>79</v>
      </c>
      <c r="AG7" s="41" t="s">
        <v>79</v>
      </c>
      <c r="AH7" s="41" t="s">
        <v>79</v>
      </c>
      <c r="AI7" s="41" t="s">
        <v>204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198</v>
      </c>
      <c r="G8" s="9">
        <v>18000</v>
      </c>
      <c r="H8" s="9"/>
      <c r="I8" s="48">
        <v>2000</v>
      </c>
      <c r="J8" s="21">
        <f t="shared" si="2"/>
        <v>70200</v>
      </c>
      <c r="K8" s="8" t="s">
        <v>197</v>
      </c>
      <c r="L8" s="9">
        <v>-9000</v>
      </c>
      <c r="M8" s="9"/>
      <c r="N8" s="48">
        <v>-1000</v>
      </c>
      <c r="O8" s="21">
        <f t="shared" si="3"/>
        <v>8200</v>
      </c>
      <c r="P8" s="8" t="s">
        <v>197</v>
      </c>
      <c r="Q8" s="9">
        <v>-9000</v>
      </c>
      <c r="R8" s="9"/>
      <c r="S8" s="48">
        <v>-1000</v>
      </c>
      <c r="T8" s="21">
        <f t="shared" si="4"/>
        <v>26600</v>
      </c>
      <c r="U8" s="53">
        <f>IF($J8="","",ROUND(($J8-$J$3)/1000,1)+(_xlfn.RANK.AVG($J8,($J8,$O8,$T8),1)-2)*20)</f>
        <v>55.2</v>
      </c>
      <c r="V8" s="54">
        <f>IF($O8="","",ROUND(($O8-$O$3)/1000,1)+(_xlfn.RANK.AVG($O8,($J8,$O8,$T8),1)-2)*20)</f>
        <v>-46.8</v>
      </c>
      <c r="W8" s="55">
        <f>IF($T8="","",ROUND(($T8-$T$3)/1000,1)+(_xlfn.RANK.AVG($T8,($J8,$O8,$T8),1)-2)*20)</f>
        <v>-8.4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202</v>
      </c>
      <c r="AF8" s="41" t="s">
        <v>82</v>
      </c>
      <c r="AG8" s="41" t="s">
        <v>79</v>
      </c>
      <c r="AH8" s="41" t="s">
        <v>79</v>
      </c>
      <c r="AI8" s="41" t="s">
        <v>101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70200</v>
      </c>
      <c r="K9" s="8" t="s">
        <v>200</v>
      </c>
      <c r="L9" s="9">
        <v>8000</v>
      </c>
      <c r="M9" s="9">
        <v>1000</v>
      </c>
      <c r="N9" s="48">
        <v>3000</v>
      </c>
      <c r="O9" s="21">
        <f t="shared" si="3"/>
        <v>20200</v>
      </c>
      <c r="P9" s="8" t="s">
        <v>201</v>
      </c>
      <c r="Q9" s="9">
        <v>-8000</v>
      </c>
      <c r="R9" s="9">
        <v>-1000</v>
      </c>
      <c r="S9" s="48">
        <v>-3000</v>
      </c>
      <c r="T9" s="21">
        <f t="shared" si="4"/>
        <v>14600</v>
      </c>
      <c r="U9" s="53">
        <f>IF($J9="","",ROUND(($J9-$J$3)/1000,1)+(_xlfn.RANK.AVG($J9,($J9,$O9,$T9),1)-2)*20)</f>
        <v>55.2</v>
      </c>
      <c r="V9" s="54">
        <f>IF($O9="","",ROUND(($O9-$O$3)/1000,1)+(_xlfn.RANK.AVG($O9,($J9,$O9,$T9),1)-2)*20)</f>
        <v>-14.8</v>
      </c>
      <c r="W9" s="55">
        <f>IF($T9="","",ROUND(($T9-$T$3)/1000,1)+(_xlfn.RANK.AVG($T9,($J9,$O9,$T9),1)-2)*20)</f>
        <v>-40.4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104</v>
      </c>
      <c r="BA9" s="41" t="s">
        <v>86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201</v>
      </c>
      <c r="G10" s="9">
        <v>-3900</v>
      </c>
      <c r="H10" s="9"/>
      <c r="I10" s="48">
        <v>0</v>
      </c>
      <c r="J10" s="21">
        <f t="shared" si="2"/>
        <v>66300</v>
      </c>
      <c r="K10" s="8" t="s">
        <v>200</v>
      </c>
      <c r="L10" s="9">
        <v>3900</v>
      </c>
      <c r="M10" s="9"/>
      <c r="N10" s="48">
        <v>0</v>
      </c>
      <c r="O10" s="21">
        <f t="shared" si="3"/>
        <v>24100</v>
      </c>
      <c r="P10" s="8"/>
      <c r="Q10" s="9"/>
      <c r="R10" s="9"/>
      <c r="S10" s="48"/>
      <c r="T10" s="21">
        <f t="shared" si="4"/>
        <v>14600</v>
      </c>
      <c r="U10" s="53">
        <f>IF($J10="","",ROUND(($J10-$J$3)/1000,1)+(_xlfn.RANK.AVG($J10,($J10,$O10,$T10),1)-2)*20)</f>
        <v>51.3</v>
      </c>
      <c r="V10" s="54">
        <f>IF($O10="","",ROUND(($O10-$O$3)/1000,1)+(_xlfn.RANK.AVG($O10,($J10,$O10,$T10),1)-2)*20)</f>
        <v>-10.9</v>
      </c>
      <c r="W10" s="55">
        <f>IF($T10="","",ROUND(($T10-$T$3)/1000,1)+(_xlfn.RANK.AVG($T10,($J10,$O10,$T10),1)-2)*20)</f>
        <v>-40.4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40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66300</v>
      </c>
      <c r="K11" s="8" t="s">
        <v>200</v>
      </c>
      <c r="L11" s="9">
        <v>3900</v>
      </c>
      <c r="M11" s="9"/>
      <c r="N11" s="48">
        <v>1000</v>
      </c>
      <c r="O11" s="21">
        <f t="shared" si="3"/>
        <v>29000</v>
      </c>
      <c r="P11" s="8" t="s">
        <v>201</v>
      </c>
      <c r="Q11" s="9">
        <v>-3900</v>
      </c>
      <c r="R11" s="9"/>
      <c r="S11" s="48">
        <v>-1000</v>
      </c>
      <c r="T11" s="21">
        <f t="shared" si="4"/>
        <v>9700</v>
      </c>
      <c r="U11" s="53">
        <f>IF($J11="","",ROUND(($J11-$J$3)/1000,1)+(_xlfn.RANK.AVG($J11,($J11,$O11,$T11),1)-2)*20)</f>
        <v>51.3</v>
      </c>
      <c r="V11" s="54">
        <f>IF($O11="","",ROUND(($O11-$O$3)/1000,1)+(_xlfn.RANK.AVG($O11,($J11,$O11,$T11),1)-2)*20)</f>
        <v>-6</v>
      </c>
      <c r="W11" s="55">
        <f>IF($T11="","",ROUND(($T11-$T$3)/1000,1)+(_xlfn.RANK.AVG($T11,($J11,$O11,$T11),1)-2)*20)</f>
        <v>-45.3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40</v>
      </c>
      <c r="AZ11" s="40" t="s">
        <v>104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193</v>
      </c>
      <c r="F12" s="8" t="s">
        <v>208</v>
      </c>
      <c r="G12" s="9">
        <v>-3000</v>
      </c>
      <c r="H12" s="9"/>
      <c r="I12" s="48"/>
      <c r="J12" s="21">
        <f t="shared" si="2"/>
        <v>63300</v>
      </c>
      <c r="K12" s="8" t="s">
        <v>208</v>
      </c>
      <c r="L12" s="9">
        <v>1500</v>
      </c>
      <c r="M12" s="9">
        <v>-1000</v>
      </c>
      <c r="N12" s="48"/>
      <c r="O12" s="21">
        <f t="shared" si="3"/>
        <v>29500</v>
      </c>
      <c r="P12" s="8" t="s">
        <v>208</v>
      </c>
      <c r="Q12" s="9">
        <v>1500</v>
      </c>
      <c r="R12" s="9"/>
      <c r="S12" s="48"/>
      <c r="T12" s="21">
        <f t="shared" si="4"/>
        <v>11200</v>
      </c>
      <c r="U12" s="53">
        <f>IF($J12="","",ROUND(($J12-$J$3)/1000,1)+(_xlfn.RANK.AVG($J12,($J12,$O12,$T12),1)-2)*20)</f>
        <v>48.3</v>
      </c>
      <c r="V12" s="54">
        <f>IF($O12="","",ROUND(($O12-$O$3)/1000,1)+(_xlfn.RANK.AVG($O12,($J12,$O12,$T12),1)-2)*20)</f>
        <v>-5.5</v>
      </c>
      <c r="W12" s="55">
        <f>IF($T12="","",ROUND(($T12-$T$3)/1000,1)+(_xlfn.RANK.AVG($T12,($J12,$O12,$T12),1)-2)*20)</f>
        <v>-43.8</v>
      </c>
      <c r="Y12" s="8" t="s">
        <v>207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206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206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1</v>
      </c>
      <c r="E13" s="4" t="s">
        <v>193</v>
      </c>
      <c r="F13" s="8" t="s">
        <v>197</v>
      </c>
      <c r="G13" s="9">
        <v>-2400</v>
      </c>
      <c r="H13" s="9"/>
      <c r="I13" s="48">
        <v>-1500</v>
      </c>
      <c r="J13" s="21">
        <f t="shared" si="2"/>
        <v>59400</v>
      </c>
      <c r="K13" s="8" t="s">
        <v>198</v>
      </c>
      <c r="L13" s="9">
        <v>4800</v>
      </c>
      <c r="M13" s="9">
        <v>1000</v>
      </c>
      <c r="N13" s="48">
        <v>3000</v>
      </c>
      <c r="O13" s="21">
        <f t="shared" si="3"/>
        <v>38300</v>
      </c>
      <c r="P13" s="8" t="s">
        <v>197</v>
      </c>
      <c r="Q13" s="9">
        <v>-2400</v>
      </c>
      <c r="R13" s="9"/>
      <c r="S13" s="48">
        <v>-1500</v>
      </c>
      <c r="T13" s="21">
        <f t="shared" si="4"/>
        <v>7300</v>
      </c>
      <c r="U13" s="53">
        <f>IF($J13="","",ROUND(($J13-$J$3)/1000,1)+(_xlfn.RANK.AVG($J13,($J13,$O13,$T13),1)-2)*20)</f>
        <v>44.4</v>
      </c>
      <c r="V13" s="54">
        <f>IF($O13="","",ROUND(($O13-$O$3)/1000,1)+(_xlfn.RANK.AVG($O13,($J13,$O13,$T13),1)-2)*20)</f>
        <v>3.3</v>
      </c>
      <c r="W13" s="55">
        <f>IF($T13="","",ROUND(($T13-$T$3)/1000,1)+(_xlfn.RANK.AVG($T13,($J13,$O13,$T13),1)-2)*20)</f>
        <v>-47.7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50</v>
      </c>
      <c r="AZ13" s="40" t="s">
        <v>86</v>
      </c>
      <c r="BA13" s="41" t="s">
        <v>86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4</v>
      </c>
      <c r="D14" s="18">
        <f t="shared" si="1"/>
        <v>0</v>
      </c>
      <c r="E14" s="4" t="s">
        <v>193</v>
      </c>
      <c r="F14" s="8" t="s">
        <v>201</v>
      </c>
      <c r="G14" s="9">
        <v>-3900</v>
      </c>
      <c r="H14" s="9"/>
      <c r="I14" s="48">
        <v>-4000</v>
      </c>
      <c r="J14" s="21">
        <f t="shared" si="2"/>
        <v>51500</v>
      </c>
      <c r="K14" s="8" t="s">
        <v>200</v>
      </c>
      <c r="L14" s="9">
        <v>3900</v>
      </c>
      <c r="M14" s="9"/>
      <c r="N14" s="48">
        <v>4000</v>
      </c>
      <c r="O14" s="21">
        <f t="shared" si="3"/>
        <v>46200</v>
      </c>
      <c r="P14" s="8"/>
      <c r="Q14" s="9"/>
      <c r="R14" s="9"/>
      <c r="S14" s="48"/>
      <c r="T14" s="21">
        <f t="shared" si="4"/>
        <v>7300</v>
      </c>
      <c r="U14" s="53">
        <f>IF($J14="","",ROUND(($J14-$J$3)/1000,1)+(_xlfn.RANK.AVG($J14,($J14,$O14,$T14),1)-2)*20)</f>
        <v>36.5</v>
      </c>
      <c r="V14" s="54">
        <f>IF($O14="","",ROUND(($O14-$O$3)/1000,1)+(_xlfn.RANK.AVG($O14,($J14,$O14,$T14),1)-2)*20)</f>
        <v>11.2</v>
      </c>
      <c r="W14" s="55">
        <f>IF($T14="","",ROUND(($T14-$T$3)/1000,1)+(_xlfn.RANK.AVG($T14,($J14,$O14,$T14),1)-2)*20)</f>
        <v>-47.7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40</v>
      </c>
      <c r="AZ14" s="40" t="s">
        <v>85</v>
      </c>
      <c r="BA14" s="41" t="s">
        <v>204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東</v>
      </c>
      <c r="B15" s="18">
        <f t="shared" si="5"/>
        <v>3</v>
      </c>
      <c r="C15" s="18">
        <f t="shared" si="6"/>
        <v>5</v>
      </c>
      <c r="D15" s="18">
        <f t="shared" si="1"/>
        <v>0</v>
      </c>
      <c r="E15" s="4" t="s">
        <v>193</v>
      </c>
      <c r="F15" s="8" t="s">
        <v>201</v>
      </c>
      <c r="G15" s="9">
        <v>-2900</v>
      </c>
      <c r="H15" s="9"/>
      <c r="I15" s="48">
        <v>-5000</v>
      </c>
      <c r="J15" s="21">
        <f t="shared" si="2"/>
        <v>43600</v>
      </c>
      <c r="K15" s="8" t="s">
        <v>200</v>
      </c>
      <c r="L15" s="9">
        <v>2900</v>
      </c>
      <c r="M15" s="9"/>
      <c r="N15" s="48">
        <v>5000</v>
      </c>
      <c r="O15" s="21">
        <f t="shared" si="3"/>
        <v>54100</v>
      </c>
      <c r="P15" s="8"/>
      <c r="Q15" s="9"/>
      <c r="R15" s="9"/>
      <c r="S15" s="48"/>
      <c r="T15" s="21">
        <f t="shared" si="4"/>
        <v>7300</v>
      </c>
      <c r="U15" s="53">
        <f>IF($J15="","",ROUND(($J15-$J$3)/1000,1)+(_xlfn.RANK.AVG($J15,($J15,$O15,$T15),1)-2)*20)</f>
        <v>8.6</v>
      </c>
      <c r="V15" s="54">
        <f>IF($O15="","",ROUND(($O15-$O$3)/1000,1)+(_xlfn.RANK.AVG($O15,($J15,$O15,$T15),1)-2)*20)</f>
        <v>39.1</v>
      </c>
      <c r="W15" s="55">
        <f>IF($T15="","",ROUND(($T15-$T$3)/1000,1)+(_xlfn.RANK.AVG($T15,($J15,$O15,$T15),1)-2)*20)</f>
        <v>-47.7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30</v>
      </c>
      <c r="AZ15" s="40" t="s">
        <v>83</v>
      </c>
      <c r="BA15" s="41" t="s">
        <v>204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東</v>
      </c>
      <c r="B16" s="18">
        <f t="shared" si="5"/>
        <v>3</v>
      </c>
      <c r="C16" s="18">
        <f t="shared" si="6"/>
        <v>6</v>
      </c>
      <c r="D16" s="18">
        <f t="shared" si="1"/>
        <v>0</v>
      </c>
      <c r="E16" s="4" t="s">
        <v>193</v>
      </c>
      <c r="F16" s="8"/>
      <c r="G16" s="9"/>
      <c r="H16" s="9"/>
      <c r="I16" s="48"/>
      <c r="J16" s="21">
        <f t="shared" si="2"/>
        <v>43600</v>
      </c>
      <c r="K16" s="8" t="s">
        <v>200</v>
      </c>
      <c r="L16" s="9">
        <v>2400</v>
      </c>
      <c r="M16" s="9"/>
      <c r="N16" s="48">
        <v>6000</v>
      </c>
      <c r="O16" s="21">
        <f t="shared" si="3"/>
        <v>62500</v>
      </c>
      <c r="P16" s="8" t="s">
        <v>201</v>
      </c>
      <c r="Q16" s="9">
        <v>-2400</v>
      </c>
      <c r="R16" s="9"/>
      <c r="S16" s="48">
        <v>-6000</v>
      </c>
      <c r="T16" s="21">
        <f t="shared" si="4"/>
        <v>-1100</v>
      </c>
      <c r="U16" s="53">
        <f>IF($J16="","",ROUND(($J16-$J$3)/1000,1)+(_xlfn.RANK.AVG($J16,($J16,$O16,$T16),1)-2)*20)</f>
        <v>8.6</v>
      </c>
      <c r="V16" s="54">
        <f>IF($O16="","",ROUND(($O16-$O$3)/1000,1)+(_xlfn.RANK.AVG($O16,($J16,$O16,$T16),1)-2)*20)</f>
        <v>47.5</v>
      </c>
      <c r="W16" s="55">
        <f>IF($T16="","",ROUND(($T16-$T$3)/1000,1)+(_xlfn.RANK.AVG($T16,($J16,$O16,$T16),1)-2)*20)</f>
        <v>-56.1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1</v>
      </c>
      <c r="AY16" s="30">
        <v>50</v>
      </c>
      <c r="AZ16" s="40" t="s">
        <v>202</v>
      </c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ADF7E572-7D47-4538-B1D8-79E774227F7F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6607AB37-FA47-42D1-AD79-CA1F9F505CF8}">
      <formula1>"ロン,ツモ,放銃,ツモ支払,流局,チョンボ"</formula1>
    </dataValidation>
    <dataValidation type="list" allowBlank="1" showInputMessage="1" showErrorMessage="1" sqref="E4:E30" xr:uid="{988D58A6-8AFE-4C86-A04B-A6D0384B5A1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F3C6-556C-4A3F-943A-7B30E62FFE84}">
  <sheetPr codeName="Sheet2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201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200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86</v>
      </c>
      <c r="BW4" s="41" t="s">
        <v>204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4000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197</v>
      </c>
      <c r="L5" s="9">
        <v>-1500</v>
      </c>
      <c r="M5" s="9"/>
      <c r="N5" s="48">
        <v>0</v>
      </c>
      <c r="O5" s="21">
        <f t="shared" ref="O5:O30" si="3">IF(COUNTA($F5,$K5,$P5)&gt;0,O4+SUM(L5:N5),"")</f>
        <v>29600</v>
      </c>
      <c r="P5" s="8" t="s">
        <v>197</v>
      </c>
      <c r="Q5" s="9">
        <v>-2500</v>
      </c>
      <c r="R5" s="9"/>
      <c r="S5" s="48">
        <v>0</v>
      </c>
      <c r="T5" s="21">
        <f t="shared" ref="T5:T30" si="4">IF(COUNTA($F5,$K5,$P5)&gt;0,T4+SUM(Q5:S5),"")</f>
        <v>36400</v>
      </c>
      <c r="U5" s="53">
        <f>IF($J5="","",ROUND(($J5-$J$3)/1000,1)+(_xlfn.RANK.AVG($J5,($J5,$O5,$T5),1)-2)*20)</f>
        <v>24</v>
      </c>
      <c r="V5" s="54">
        <f>IF($O5="","",ROUND(($O5-$O$3)/1000,1)+(_xlfn.RANK.AVG($O5,($J5,$O5,$T5),1)-2)*20)</f>
        <v>-25.4</v>
      </c>
      <c r="W5" s="55">
        <f>IF($T5="","",ROUND(($T5-$T$3)/1000,1)+(_xlfn.RANK.AVG($T5,($J5,$O5,$T5),1)-2)*20)</f>
        <v>1.4</v>
      </c>
      <c r="Y5" s="8"/>
      <c r="Z5" s="34"/>
      <c r="AA5" s="26"/>
      <c r="AB5" s="26"/>
      <c r="AC5" s="26">
        <v>3</v>
      </c>
      <c r="AD5" s="30">
        <v>30</v>
      </c>
      <c r="AE5" s="40" t="s">
        <v>82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208</v>
      </c>
      <c r="G6" s="9">
        <v>0</v>
      </c>
      <c r="H6" s="9"/>
      <c r="I6" s="48"/>
      <c r="J6" s="21">
        <f t="shared" si="2"/>
        <v>39000</v>
      </c>
      <c r="K6" s="8" t="s">
        <v>208</v>
      </c>
      <c r="L6" s="9">
        <v>0</v>
      </c>
      <c r="M6" s="9"/>
      <c r="N6" s="48"/>
      <c r="O6" s="21">
        <f t="shared" si="3"/>
        <v>29600</v>
      </c>
      <c r="P6" s="8" t="s">
        <v>208</v>
      </c>
      <c r="Q6" s="9">
        <v>0</v>
      </c>
      <c r="R6" s="9">
        <v>-1000</v>
      </c>
      <c r="S6" s="48"/>
      <c r="T6" s="21">
        <f t="shared" si="4"/>
        <v>35400</v>
      </c>
      <c r="U6" s="53">
        <f>IF($J6="","",ROUND(($J6-$J$3)/1000,1)+(_xlfn.RANK.AVG($J6,($J6,$O6,$T6),1)-2)*20)</f>
        <v>24</v>
      </c>
      <c r="V6" s="54">
        <f>IF($O6="","",ROUND(($O6-$O$3)/1000,1)+(_xlfn.RANK.AVG($O6,($J6,$O6,$T6),1)-2)*20)</f>
        <v>-25.4</v>
      </c>
      <c r="W6" s="55">
        <f>IF($T6="","",ROUND(($T6-$T$3)/1000,1)+(_xlfn.RANK.AVG($T6,($J6,$O6,$T6),1)-2)*20)</f>
        <v>0.4</v>
      </c>
      <c r="Y6" s="8" t="s">
        <v>206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206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201</v>
      </c>
      <c r="G7" s="9">
        <v>-5200</v>
      </c>
      <c r="H7" s="9"/>
      <c r="I7" s="48">
        <v>-1000</v>
      </c>
      <c r="J7" s="21">
        <f t="shared" si="2"/>
        <v>32800</v>
      </c>
      <c r="K7" s="8"/>
      <c r="L7" s="9"/>
      <c r="M7" s="9"/>
      <c r="N7" s="48"/>
      <c r="O7" s="21">
        <f t="shared" si="3"/>
        <v>29600</v>
      </c>
      <c r="P7" s="8" t="s">
        <v>200</v>
      </c>
      <c r="Q7" s="9">
        <v>5200</v>
      </c>
      <c r="R7" s="9">
        <v>1000</v>
      </c>
      <c r="S7" s="48">
        <v>1000</v>
      </c>
      <c r="T7" s="21">
        <f t="shared" si="4"/>
        <v>42600</v>
      </c>
      <c r="U7" s="53">
        <f>IF($J7="","",ROUND(($J7-$J$3)/1000,1)+(_xlfn.RANK.AVG($J7,($J7,$O7,$T7),1)-2)*20)</f>
        <v>-2.2000000000000002</v>
      </c>
      <c r="V7" s="54">
        <f>IF($O7="","",ROUND(($O7-$O$3)/1000,1)+(_xlfn.RANK.AVG($O7,($J7,$O7,$T7),1)-2)*20)</f>
        <v>-25.4</v>
      </c>
      <c r="W7" s="55">
        <f>IF($T7="","",ROUND(($T7-$T$3)/1000,1)+(_xlfn.RANK.AVG($T7,($J7,$O7,$T7),1)-2)*20)</f>
        <v>27.6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202</v>
      </c>
      <c r="BV7" s="41" t="s">
        <v>80</v>
      </c>
      <c r="BW7" s="41" t="s">
        <v>204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-3000</v>
      </c>
      <c r="H8" s="9"/>
      <c r="I8" s="48">
        <v>0</v>
      </c>
      <c r="J8" s="21">
        <f t="shared" si="2"/>
        <v>29800</v>
      </c>
      <c r="K8" s="8" t="s">
        <v>197</v>
      </c>
      <c r="L8" s="9">
        <v>-5000</v>
      </c>
      <c r="M8" s="9"/>
      <c r="N8" s="48">
        <v>0</v>
      </c>
      <c r="O8" s="21">
        <f t="shared" si="3"/>
        <v>24600</v>
      </c>
      <c r="P8" s="8" t="s">
        <v>198</v>
      </c>
      <c r="Q8" s="9">
        <v>8000</v>
      </c>
      <c r="R8" s="9"/>
      <c r="S8" s="48">
        <v>0</v>
      </c>
      <c r="T8" s="21">
        <f t="shared" si="4"/>
        <v>50600</v>
      </c>
      <c r="U8" s="53">
        <f>IF($J8="","",ROUND(($J8-$J$3)/1000,1)+(_xlfn.RANK.AVG($J8,($J8,$O8,$T8),1)-2)*20)</f>
        <v>-5.2</v>
      </c>
      <c r="V8" s="54">
        <f>IF($O8="","",ROUND(($O8-$O$3)/1000,1)+(_xlfn.RANK.AVG($O8,($J8,$O8,$T8),1)-2)*20)</f>
        <v>-30.4</v>
      </c>
      <c r="W8" s="55">
        <f>IF($T8="","",ROUND(($T8-$T$3)/1000,1)+(_xlfn.RANK.AVG($T8,($J8,$O8,$T8),1)-2)*20)</f>
        <v>35.6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199</v>
      </c>
      <c r="BU8" s="40" t="s">
        <v>202</v>
      </c>
      <c r="BV8" s="41" t="s">
        <v>82</v>
      </c>
      <c r="BW8" s="41" t="s">
        <v>101</v>
      </c>
      <c r="BX8" s="41" t="s">
        <v>204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-8000</v>
      </c>
      <c r="H9" s="9">
        <v>-1000</v>
      </c>
      <c r="I9" s="48">
        <v>0</v>
      </c>
      <c r="J9" s="21">
        <f t="shared" si="2"/>
        <v>20800</v>
      </c>
      <c r="K9" s="8" t="s">
        <v>200</v>
      </c>
      <c r="L9" s="9">
        <v>8000</v>
      </c>
      <c r="M9" s="9">
        <v>2000</v>
      </c>
      <c r="N9" s="48">
        <v>0</v>
      </c>
      <c r="O9" s="21">
        <f t="shared" si="3"/>
        <v>34600</v>
      </c>
      <c r="P9" s="8"/>
      <c r="Q9" s="9"/>
      <c r="R9" s="9">
        <v>-1000</v>
      </c>
      <c r="S9" s="48"/>
      <c r="T9" s="21">
        <f t="shared" si="4"/>
        <v>49600</v>
      </c>
      <c r="U9" s="53">
        <f>IF($J9="","",ROUND(($J9-$J$3)/1000,1)+(_xlfn.RANK.AVG($J9,($J9,$O9,$T9),1)-2)*20)</f>
        <v>-34.200000000000003</v>
      </c>
      <c r="V9" s="54">
        <f>IF($O9="","",ROUND(($O9-$O$3)/1000,1)+(_xlfn.RANK.AVG($O9,($J9,$O9,$T9),1)-2)*20)</f>
        <v>-0.4</v>
      </c>
      <c r="W9" s="55">
        <f>IF($T9="","",ROUND(($T9-$T$3)/1000,1)+(_xlfn.RANK.AVG($T9,($J9,$O9,$T9),1)-2)*20)</f>
        <v>34.6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202</v>
      </c>
      <c r="BA9" s="41" t="s">
        <v>79</v>
      </c>
      <c r="BB9" s="41" t="s">
        <v>79</v>
      </c>
      <c r="BC9" s="41" t="s">
        <v>204</v>
      </c>
      <c r="BD9" s="41" t="s">
        <v>204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208</v>
      </c>
      <c r="G10" s="9">
        <v>-1500</v>
      </c>
      <c r="H10" s="9"/>
      <c r="I10" s="48"/>
      <c r="J10" s="21">
        <f t="shared" si="2"/>
        <v>19300</v>
      </c>
      <c r="K10" s="8" t="s">
        <v>208</v>
      </c>
      <c r="L10" s="9">
        <v>-1500</v>
      </c>
      <c r="M10" s="9"/>
      <c r="N10" s="48"/>
      <c r="O10" s="21">
        <f t="shared" si="3"/>
        <v>33100</v>
      </c>
      <c r="P10" s="8" t="s">
        <v>208</v>
      </c>
      <c r="Q10" s="9">
        <v>3000</v>
      </c>
      <c r="R10" s="9"/>
      <c r="S10" s="48"/>
      <c r="T10" s="21">
        <f t="shared" si="4"/>
        <v>52600</v>
      </c>
      <c r="U10" s="53">
        <f>IF($J10="","",ROUND(($J10-$J$3)/1000,1)+(_xlfn.RANK.AVG($J10,($J10,$O10,$T10),1)-2)*20)</f>
        <v>-35.700000000000003</v>
      </c>
      <c r="V10" s="54">
        <f>IF($O10="","",ROUND(($O10-$O$3)/1000,1)+(_xlfn.RANK.AVG($O10,($J10,$O10,$T10),1)-2)*20)</f>
        <v>-1.9</v>
      </c>
      <c r="W10" s="55">
        <f>IF($T10="","",ROUND(($T10-$T$3)/1000,1)+(_xlfn.RANK.AVG($T10,($J10,$O10,$T10),1)-2)*20)</f>
        <v>37.6</v>
      </c>
      <c r="Y10" s="8" t="s">
        <v>207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207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96CD111D-C3C8-45F8-897A-CD9754AC87B6}">
      <formula1>$U$2:$W$2</formula1>
    </dataValidation>
    <dataValidation type="list" showInputMessage="1" showErrorMessage="1" sqref="K4:K30 P4:P30 F4:F30" xr:uid="{EA4CBA3B-57C9-4BA4-8823-A0F6F3F06D55}">
      <formula1>"ロン,ツモ,放銃,ツモ支払,流局,チョンボ"</formula1>
    </dataValidation>
    <dataValidation type="list" allowBlank="1" showInputMessage="1" sqref="F1:T1" xr:uid="{474611C7-E929-42E4-976A-297F903206B4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386ED-5527-4624-80CA-D9FA1A21DF0A}">
  <sheetPr codeName="Sheet2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-1500</v>
      </c>
      <c r="M4" s="9"/>
      <c r="N4" s="48"/>
      <c r="O4" s="21">
        <f>IF(COUNTA($F4,$K4,$P4)&gt;0,O3+SUM(L4:N4),"")</f>
        <v>33500</v>
      </c>
      <c r="P4" s="8" t="s">
        <v>208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22</v>
      </c>
      <c r="Y4" s="8" t="s">
        <v>207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198</v>
      </c>
      <c r="G5" s="9">
        <v>7700</v>
      </c>
      <c r="H5" s="9">
        <v>1000</v>
      </c>
      <c r="I5" s="48">
        <v>1000</v>
      </c>
      <c r="J5" s="21">
        <f t="shared" ref="J5:J30" si="2">IF(COUNTA($F5,$K5,$P5)&gt;0,J4+SUM(G5:I5),"")</f>
        <v>43200</v>
      </c>
      <c r="K5" s="8" t="s">
        <v>197</v>
      </c>
      <c r="L5" s="9">
        <v>-2900</v>
      </c>
      <c r="M5" s="9"/>
      <c r="N5" s="48">
        <v>-500</v>
      </c>
      <c r="O5" s="21">
        <f t="shared" ref="O5:O30" si="3">IF(COUNTA($F5,$K5,$P5)&gt;0,O4+SUM(L5:N5),"")</f>
        <v>30100</v>
      </c>
      <c r="P5" s="8" t="s">
        <v>197</v>
      </c>
      <c r="Q5" s="9">
        <v>-4800</v>
      </c>
      <c r="R5" s="9"/>
      <c r="S5" s="48">
        <v>-500</v>
      </c>
      <c r="T5" s="21">
        <f t="shared" ref="T5:T30" si="4">IF(COUNTA($F5,$K5,$P5)&gt;0,T4+SUM(Q5:S5),"")</f>
        <v>31700</v>
      </c>
      <c r="U5" s="53">
        <f>IF($J5="","",ROUND(($J5-$J$3)/1000,1)+(_xlfn.RANK.AVG($J5,($J5,$O5,$T5),1)-2)*20)</f>
        <v>28.2</v>
      </c>
      <c r="V5" s="54">
        <f>IF($O5="","",ROUND(($O5-$O$3)/1000,1)+(_xlfn.RANK.AVG($O5,($J5,$O5,$T5),1)-2)*20)</f>
        <v>-24.9</v>
      </c>
      <c r="W5" s="55">
        <f>IF($T5="","",ROUND(($T5-$T$3)/1000,1)+(_xlfn.RANK.AVG($T5,($J5,$O5,$T5),1)-2)*20)</f>
        <v>-3.3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205</v>
      </c>
      <c r="AF5" s="41" t="s">
        <v>82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201</v>
      </c>
      <c r="G6" s="9">
        <v>-2000</v>
      </c>
      <c r="H6" s="9"/>
      <c r="I6" s="48">
        <v>0</v>
      </c>
      <c r="J6" s="21">
        <f t="shared" si="2"/>
        <v>41200</v>
      </c>
      <c r="K6" s="8"/>
      <c r="L6" s="9"/>
      <c r="M6" s="9">
        <v>-1000</v>
      </c>
      <c r="N6" s="48"/>
      <c r="O6" s="21">
        <f t="shared" si="3"/>
        <v>29100</v>
      </c>
      <c r="P6" s="8" t="s">
        <v>200</v>
      </c>
      <c r="Q6" s="9">
        <v>2000</v>
      </c>
      <c r="R6" s="9">
        <v>1000</v>
      </c>
      <c r="S6" s="48">
        <v>0</v>
      </c>
      <c r="T6" s="21">
        <f t="shared" si="4"/>
        <v>34700</v>
      </c>
      <c r="U6" s="53">
        <f>IF($J6="","",ROUND(($J6-$J$3)/1000,1)+(_xlfn.RANK.AVG($J6,($J6,$O6,$T6),1)-2)*20)</f>
        <v>26.2</v>
      </c>
      <c r="V6" s="54">
        <f>IF($O6="","",ROUND(($O6-$O$3)/1000,1)+(_xlfn.RANK.AVG($O6,($J6,$O6,$T6),1)-2)*20)</f>
        <v>-25.9</v>
      </c>
      <c r="W6" s="55">
        <f>IF($T6="","",ROUND(($T6-$T$3)/1000,1)+(_xlfn.RANK.AVG($T6,($J6,$O6,$T6),1)-2)*20)</f>
        <v>-0.3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204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41200</v>
      </c>
      <c r="K7" s="8" t="s">
        <v>200</v>
      </c>
      <c r="L7" s="9">
        <v>3900</v>
      </c>
      <c r="M7" s="9"/>
      <c r="N7" s="48">
        <v>0</v>
      </c>
      <c r="O7" s="21">
        <f t="shared" si="3"/>
        <v>33000</v>
      </c>
      <c r="P7" s="8" t="s">
        <v>201</v>
      </c>
      <c r="Q7" s="9">
        <v>-3900</v>
      </c>
      <c r="R7" s="9"/>
      <c r="S7" s="48">
        <v>0</v>
      </c>
      <c r="T7" s="21">
        <f t="shared" si="4"/>
        <v>30800</v>
      </c>
      <c r="U7" s="53">
        <f>IF($J7="","",ROUND(($J7-$J$3)/1000,1)+(_xlfn.RANK.AVG($J7,($J7,$O7,$T7),1)-2)*20)</f>
        <v>26.2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-24.2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202</v>
      </c>
      <c r="BA7" s="41" t="s">
        <v>204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41200</v>
      </c>
      <c r="K8" s="8" t="s">
        <v>200</v>
      </c>
      <c r="L8" s="9">
        <v>12000</v>
      </c>
      <c r="M8" s="9"/>
      <c r="N8" s="48">
        <v>1000</v>
      </c>
      <c r="O8" s="21">
        <f t="shared" si="3"/>
        <v>46000</v>
      </c>
      <c r="P8" s="8" t="s">
        <v>201</v>
      </c>
      <c r="Q8" s="9">
        <v>-12000</v>
      </c>
      <c r="R8" s="9"/>
      <c r="S8" s="48">
        <v>-1000</v>
      </c>
      <c r="T8" s="21">
        <f t="shared" si="4"/>
        <v>17800</v>
      </c>
      <c r="U8" s="53">
        <f>IF($J8="","",ROUND(($J8-$J$3)/1000,1)+(_xlfn.RANK.AVG($J8,($J8,$O8,$T8),1)-2)*20)</f>
        <v>6.2</v>
      </c>
      <c r="V8" s="54">
        <f>IF($O8="","",ROUND(($O8-$O$3)/1000,1)+(_xlfn.RANK.AVG($O8,($J8,$O8,$T8),1)-2)*20)</f>
        <v>31</v>
      </c>
      <c r="W8" s="55">
        <f>IF($T8="","",ROUND(($T8-$T$3)/1000,1)+(_xlfn.RANK.AVG($T8,($J8,$O8,$T8),1)-2)*20)</f>
        <v>-37.200000000000003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202</v>
      </c>
      <c r="BA8" s="41" t="s">
        <v>80</v>
      </c>
      <c r="BB8" s="41" t="s">
        <v>80</v>
      </c>
      <c r="BC8" s="41" t="s">
        <v>204</v>
      </c>
      <c r="BD8" s="41" t="s">
        <v>204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193</v>
      </c>
      <c r="F9" s="8"/>
      <c r="G9" s="9"/>
      <c r="H9" s="9">
        <v>-1000</v>
      </c>
      <c r="I9" s="48"/>
      <c r="J9" s="21">
        <f t="shared" si="2"/>
        <v>40200</v>
      </c>
      <c r="K9" s="8" t="s">
        <v>200</v>
      </c>
      <c r="L9" s="9">
        <v>11600</v>
      </c>
      <c r="M9" s="9">
        <v>1000</v>
      </c>
      <c r="N9" s="48">
        <v>2000</v>
      </c>
      <c r="O9" s="21">
        <f t="shared" si="3"/>
        <v>60600</v>
      </c>
      <c r="P9" s="8" t="s">
        <v>201</v>
      </c>
      <c r="Q9" s="9">
        <v>-11600</v>
      </c>
      <c r="R9" s="9"/>
      <c r="S9" s="48">
        <v>-2000</v>
      </c>
      <c r="T9" s="21">
        <f t="shared" si="4"/>
        <v>4200</v>
      </c>
      <c r="U9" s="53">
        <f>IF($J9="","",ROUND(($J9-$J$3)/1000,1)+(_xlfn.RANK.AVG($J9,($J9,$O9,$T9),1)-2)*20)</f>
        <v>5.2</v>
      </c>
      <c r="V9" s="54">
        <f>IF($O9="","",ROUND(($O9-$O$3)/1000,1)+(_xlfn.RANK.AVG($O9,($J9,$O9,$T9),1)-2)*20)</f>
        <v>45.6</v>
      </c>
      <c r="W9" s="55">
        <f>IF($T9="","",ROUND(($T9-$T$3)/1000,1)+(_xlfn.RANK.AVG($T9,($J9,$O9,$T9),1)-2)*20)</f>
        <v>-50.8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93</v>
      </c>
      <c r="BA9" s="41" t="s">
        <v>86</v>
      </c>
      <c r="BB9" s="41" t="s">
        <v>86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40200</v>
      </c>
      <c r="K10" s="8" t="s">
        <v>200</v>
      </c>
      <c r="L10" s="9">
        <v>5800</v>
      </c>
      <c r="M10" s="9"/>
      <c r="N10" s="48">
        <v>3000</v>
      </c>
      <c r="O10" s="21">
        <f t="shared" si="3"/>
        <v>69400</v>
      </c>
      <c r="P10" s="8" t="s">
        <v>201</v>
      </c>
      <c r="Q10" s="9">
        <v>-5800</v>
      </c>
      <c r="R10" s="9"/>
      <c r="S10" s="48">
        <v>-3000</v>
      </c>
      <c r="T10" s="21">
        <f t="shared" si="4"/>
        <v>-4600</v>
      </c>
      <c r="U10" s="53">
        <f>IF($J10="","",ROUND(($J10-$J$3)/1000,1)+(_xlfn.RANK.AVG($J10,($J10,$O10,$T10),1)-2)*20)</f>
        <v>5.2</v>
      </c>
      <c r="V10" s="54">
        <f>IF($O10="","",ROUND(($O10-$O$3)/1000,1)+(_xlfn.RANK.AVG($O10,($J10,$O10,$T10),1)-2)*20)</f>
        <v>54.4</v>
      </c>
      <c r="W10" s="55">
        <f>IF($T10="","",ROUND(($T10-$T$3)/1000,1)+(_xlfn.RANK.AVG($T10,($J10,$O10,$T10),1)-2)*20)</f>
        <v>-59.6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104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FD6286A-919D-4ACD-B16D-5AA9FC2542CC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D49919AC-FB65-4473-9399-594E136DFC98}">
      <formula1>"ロン,ツモ,放銃,ツモ支払,流局,チョンボ"</formula1>
    </dataValidation>
    <dataValidation type="list" allowBlank="1" showInputMessage="1" showErrorMessage="1" sqref="E4:E30" xr:uid="{38FA99EF-C17C-44C9-AA87-B272079918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2019-07-15T00:44:05Z</dcterms:modified>
</cp:coreProperties>
</file>