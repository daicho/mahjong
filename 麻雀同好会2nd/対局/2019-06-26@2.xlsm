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C8FBB113-00E2-4F7D-A6A4-E5638E0C118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J17" i="20"/>
  <c r="D17" i="20"/>
  <c r="C17" i="20"/>
  <c r="B17" i="20"/>
  <c r="A17" i="20" s="1"/>
  <c r="T16" i="20"/>
  <c r="W16" i="20" s="1"/>
  <c r="O16" i="20"/>
  <c r="V16" i="20" s="1"/>
  <c r="J16" i="20"/>
  <c r="U16" i="20" s="1"/>
  <c r="D16" i="20"/>
  <c r="C16" i="20"/>
  <c r="B16" i="20"/>
  <c r="A16" i="20"/>
  <c r="T15" i="20"/>
  <c r="O15" i="20"/>
  <c r="J15" i="20"/>
  <c r="U15" i="20" s="1"/>
  <c r="D15" i="20"/>
  <c r="C15" i="20"/>
  <c r="B15" i="20"/>
  <c r="A15" i="20"/>
  <c r="T14" i="20"/>
  <c r="O14" i="20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D11" i="20"/>
  <c r="C11" i="20"/>
  <c r="D10" i="20"/>
  <c r="C10" i="20"/>
  <c r="D9" i="20"/>
  <c r="B7" i="20"/>
  <c r="B8" i="20" s="1"/>
  <c r="D6" i="20"/>
  <c r="D7" i="20" s="1"/>
  <c r="D8" i="20" s="1"/>
  <c r="C6" i="20"/>
  <c r="C7" i="20" s="1"/>
  <c r="C8" i="20" s="1"/>
  <c r="C9" i="20" s="1"/>
  <c r="B6" i="20"/>
  <c r="O5" i="20"/>
  <c r="J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7" i="20" l="1"/>
  <c r="V17" i="20"/>
  <c r="W17" i="20"/>
  <c r="V15" i="20"/>
  <c r="W15" i="20"/>
  <c r="V14" i="20"/>
  <c r="W14" i="20"/>
  <c r="V13" i="20"/>
  <c r="W13" i="20"/>
  <c r="U13" i="20"/>
  <c r="U12" i="20"/>
  <c r="V12" i="20"/>
  <c r="W12" i="20"/>
  <c r="A6" i="20"/>
  <c r="A7" i="20" s="1"/>
  <c r="W4" i="20"/>
  <c r="B9" i="20"/>
  <c r="J6" i="20"/>
  <c r="A8" i="20"/>
  <c r="T5" i="20"/>
  <c r="O6" i="20"/>
  <c r="U4" i="20"/>
  <c r="V4" i="20"/>
  <c r="A9" i="20" l="1"/>
  <c r="T6" i="20"/>
  <c r="V6" i="20" s="1"/>
  <c r="W5" i="20"/>
  <c r="O7" i="20"/>
  <c r="U6" i="20"/>
  <c r="J7" i="20"/>
  <c r="V5" i="20"/>
  <c r="B10" i="20"/>
  <c r="A10" i="20" s="1"/>
  <c r="U5" i="20"/>
  <c r="J8" i="20" l="1"/>
  <c r="O8" i="20"/>
  <c r="W6" i="20"/>
  <c r="T7" i="20"/>
  <c r="U7" i="20" s="1"/>
  <c r="B11" i="20"/>
  <c r="A11" i="20" s="1"/>
  <c r="O9" i="20" l="1"/>
  <c r="J9" i="20"/>
  <c r="W7" i="20"/>
  <c r="T8" i="20"/>
  <c r="U8" i="20" s="1"/>
  <c r="V7" i="20"/>
  <c r="W8" i="20" l="1"/>
  <c r="T9" i="20"/>
  <c r="U9" i="20" s="1"/>
  <c r="J10" i="20"/>
  <c r="V8" i="20"/>
  <c r="O10" i="20"/>
  <c r="V9" i="20" l="1"/>
  <c r="O11" i="20"/>
  <c r="J11" i="20"/>
  <c r="W9" i="20"/>
  <c r="T10" i="20"/>
  <c r="V10" i="20" s="1"/>
  <c r="U10" i="20" l="1"/>
  <c r="W10" i="20"/>
  <c r="T11" i="20"/>
  <c r="W11" i="20" s="1"/>
  <c r="V11" i="20" l="1"/>
  <c r="U11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1" i="19" l="1"/>
  <c r="U11" i="19"/>
  <c r="W11" i="19"/>
  <c r="W10" i="19"/>
  <c r="V10" i="19"/>
  <c r="U9" i="19"/>
  <c r="V9" i="19"/>
  <c r="W9" i="19"/>
  <c r="V8" i="19"/>
  <c r="W8" i="19"/>
  <c r="W7" i="19"/>
  <c r="U7" i="19"/>
  <c r="V7" i="19"/>
  <c r="U6" i="19"/>
  <c r="W6" i="19"/>
  <c r="V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<sst xmlns="http://schemas.openxmlformats.org/spreadsheetml/2006/main" count="746" uniqueCount="212">
  <si>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</si>
  <si>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</si>
  <si>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</si>
  <si>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</si>
  <si>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</si>
  <si>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</si>
  <si>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</si>
  <si>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</si>
  <si>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</si>
  <si>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</si>
  <si>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</si>
  <si>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</si>
  <si>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</si>
  <si>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</si>
  <si>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</si>
  <si>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</si>
  <si>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</si>
  <si>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</si>
  <si>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</si>
  <si>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</si>
  <si>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</si>
  <si>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</si>
  <si>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</si>
  <si>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</si>
  <si>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</si>
  <si>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</si>
  <si>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</si>
  <si>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</si>
  <si>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</si>
  <si>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</si>
  <si>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</si>
  <si>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</si>
  <si>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</si>
  <si>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</si>
  <si>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</si>
  <si>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</si>
  <si>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</si>
  <si>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</si>
  <si>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</si>
  <si>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</si>
  <si>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</si>
  <si>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</si>
  <si>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</si>
  <si>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</si>
  <si>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</si>
  <si>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</si>
  <si>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</si>
  <si>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</si>
  <si>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</si>
  <si>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</si>
  <si>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</si>
  <si>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</si>
  <si>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</si>
  <si>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</si>
  <si>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</si>
  <si>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</si>
  <si>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</si>
  <si>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</si>
  <si>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</si>
  <si>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</si>
  <si>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</si>
  <si>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</si>
  <si>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</si>
  <si>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</si>
  <si>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</si>
  <si>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</si>
  <si>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</si>
  <si>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</si>
  <si>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</si>
  <si>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</si>
  <si>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</si>
  <si>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</si>
  <si>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</si>
  <si>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</si>
  <si>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</si>
  <si>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</si>
  <si>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</si>
  <si>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</si>
  <si>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</si>
  <si>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</si>
  <si>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</si>
  <si>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</si>
  <si>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</si>
  <si>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</si>
  <si>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</si>
  <si>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</si>
  <si>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</si>
  <si>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</si>
  <si>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</si>
  <si>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</si>
  <si>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</si>
  <si>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</si>
  <si>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</si>
  <si>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</si>
  <si>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</si>
  <si>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</si>
  <si>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</si>
  <si>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</si>
  <si>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</si>
  <si>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</si>
  <si>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</si>
  <si>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</si>
  <si>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</si>
  <si>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</si>
  <si>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</si>
  <si>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</si>
  <si>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</si>
  <si>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</si>
  <si>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</si>
  <si>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</si>
  <si>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</si>
  <si>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</si>
  <si>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</si>
  <si>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</si>
  <si>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</si>
  <si>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</si>
  <si>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</si>
  <si>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</si>
  <si>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</si>
  <si>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</si>
  <si>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</si>
  <si>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</si>
  <si>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</si>
  <si>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</si>
  <si>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</si>
  <si>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</si>
  <si>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</si>
  <si>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</si>
  <si>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</si>
  <si>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</si>
  <si>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</si>
  <si>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</si>
  <si>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</si>
  <si>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</si>
  <si>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</si>
  <si>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</si>
  <si>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</si>
  <si>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</si>
  <si>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</si>
  <si>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</si>
  <si>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</si>
  <si>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</si>
  <si>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</si>
  <si>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</si>
  <si>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</si>
  <si>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</si>
  <si>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</si>
  <si>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</si>
  <si>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</si>
  <si>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</si>
  <si>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</si>
  <si>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</si>
  <si>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</si>
  <si>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</si>
  <si>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</si>
  <si>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</si>
  <si>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</si>
  <si>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</si>
  <si>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</si>
  <si>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</si>
  <si>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</si>
  <si>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</si>
  <si>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</si>
  <si>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</si>
  <si>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</si>
  <si>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</si>
  <si>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</si>
  <si>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</si>
  <si>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</si>
  <si>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</si>
  <si>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</si>
  <si>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</si>
  <si>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</si>
  <si>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</si>
  <si>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</si>
  <si>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</si>
  <si>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</si>
  <si>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</si>
  <si>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</si>
  <si>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</si>
  <si>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</si>
  <si>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</si>
  <si>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</si>
  <si>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</si>
  <si>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</si>
  <si>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</si>
  <si>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</si>
  <si>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</si>
  <si>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</si>
  <si>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</si>
  <si>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</si>
  <si>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</si>
  <si>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</si>
  <si>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</si>
  <si>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</si>
  <si>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</si>
  <si>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</si>
  <si>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</si>
  <si>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</si>
  <si>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</si>
  <si>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</si>
  <si>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02</t>
  </si>
  <si>
    <t>N</t>
  </si>
  <si>
    <t>T</t>
  </si>
  <si>
    <t>流局</t>
    <phoneticPr fontId="1"/>
  </si>
  <si>
    <t>放銃</t>
  </si>
  <si>
    <t>ロン</t>
  </si>
  <si>
    <t>52</t>
  </si>
  <si>
    <t>たかの</t>
  </si>
  <si>
    <t>たかの</t>
    <phoneticPr fontId="1"/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</si>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</sst>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198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197</v>
      </c>
      <c r="Q4" s="9">
        <v>-5000</v>
      </c>
      <c r="R4" s="9">
        <v>-1000</v>
      </c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-3</v>
      </c>
      <c r="V4" s="54">
        <f>IF($O4="","",ROUND(($O4-$O$3)/1000,1)+(_xlfn.RANK.AVG($O4,($J4,$O4,$T4),1)-2)*20)</f>
        <v>29</v>
      </c>
      <c r="W4" s="55">
        <f>IF($T4="","",ROUND(($T4-$T$3)/1000,1)+(_xlfn.RANK.AVG($T4,($J4,$O4,$T4),1)-2)*20)</f>
        <v>-26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199</v>
      </c>
      <c r="AZ4" s="40" t="s">
        <v>200</v>
      </c>
      <c r="BA4" s="41" t="s">
        <v>82</v>
      </c>
      <c r="BB4" s="41" t="s">
        <v>79</v>
      </c>
      <c r="BC4" s="41" t="s">
        <v>79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-7500</v>
      </c>
      <c r="H5" s="9"/>
      <c r="I5" s="48">
        <v>0</v>
      </c>
      <c r="J5" s="21">
        <f t="shared" ref="J5:J30" si="2">IF(COUNTA($F5,$K5,$P5)&gt;0,J4+SUM(G5:I5),"")</f>
        <v>24500</v>
      </c>
      <c r="K5" s="8" t="s">
        <v>198</v>
      </c>
      <c r="L5" s="9">
        <v>12000</v>
      </c>
      <c r="M5" s="9"/>
      <c r="N5" s="48">
        <v>0</v>
      </c>
      <c r="O5" s="21">
        <f t="shared" ref="O5:O30" si="3">IF(COUNTA($F5,$K5,$P5)&gt;0,O4+SUM(L5:N5),"")</f>
        <v>56000</v>
      </c>
      <c r="P5" s="8" t="s">
        <v>197</v>
      </c>
      <c r="Q5" s="9">
        <v>-4500</v>
      </c>
      <c r="R5" s="9"/>
      <c r="S5" s="48">
        <v>0</v>
      </c>
      <c r="T5" s="21">
        <f t="shared" ref="T5:T30" si="4">IF(COUNTA($F5,$K5,$P5)&gt;0,T4+SUM(Q5:S5),"")</f>
        <v>24500</v>
      </c>
      <c r="U5" s="53">
        <f>IF($J5="","",ROUND(($J5-$J$3)/1000,1)+(_xlfn.RANK.AVG($J5,($J5,$O5,$T5),1)-2)*20)</f>
        <v>-20.5</v>
      </c>
      <c r="V5" s="54">
        <f>IF($O5="","",ROUND(($O5-$O$3)/1000,1)+(_xlfn.RANK.AVG($O5,($J5,$O5,$T5),1)-2)*20)</f>
        <v>41</v>
      </c>
      <c r="W5" s="55">
        <f>IF($T5="","",ROUND(($T5-$T$3)/1000,1)+(_xlfn.RANK.AVG($T5,($J5,$O5,$T5),1)-2)*20)</f>
        <v>-20.5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199</v>
      </c>
      <c r="AZ5" s="40" t="s">
        <v>200</v>
      </c>
      <c r="BA5" s="41" t="s">
        <v>82</v>
      </c>
      <c r="BB5" s="41" t="s">
        <v>201</v>
      </c>
      <c r="BC5" s="41" t="s">
        <v>85</v>
      </c>
      <c r="BD5" s="41" t="s">
        <v>80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-1500</v>
      </c>
      <c r="H6" s="9"/>
      <c r="I6" s="48"/>
      <c r="J6" s="21">
        <f t="shared" si="2"/>
        <v>23000</v>
      </c>
      <c r="K6" s="8" t="s">
        <v>204</v>
      </c>
      <c r="L6" s="9">
        <v>3000</v>
      </c>
      <c r="M6" s="9">
        <v>-1000</v>
      </c>
      <c r="N6" s="48"/>
      <c r="O6" s="21">
        <f t="shared" si="3"/>
        <v>58000</v>
      </c>
      <c r="P6" s="8" t="s">
        <v>204</v>
      </c>
      <c r="Q6" s="9">
        <v>-1500</v>
      </c>
      <c r="R6" s="9"/>
      <c r="S6" s="48"/>
      <c r="T6" s="21">
        <f t="shared" si="4"/>
        <v>23000</v>
      </c>
      <c r="U6" s="53">
        <f>IF($J6="","",ROUND(($J6-$J$3)/1000,1)+(_xlfn.RANK.AVG($J6,($J6,$O6,$T6),1)-2)*20)</f>
        <v>-22</v>
      </c>
      <c r="V6" s="54">
        <f>IF($O6="","",ROUND(($O6-$O$3)/1000,1)+(_xlfn.RANK.AVG($O6,($J6,$O6,$T6),1)-2)*20)</f>
        <v>43</v>
      </c>
      <c r="W6" s="55">
        <f>IF($T6="","",ROUND(($T6-$T$3)/1000,1)+(_xlfn.RANK.AVG($T6,($J6,$O6,$T6),1)-2)*20)</f>
        <v>-22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193</v>
      </c>
      <c r="F7" s="8" t="s">
        <v>204</v>
      </c>
      <c r="G7" s="9">
        <v>0</v>
      </c>
      <c r="H7" s="9">
        <v>-1000</v>
      </c>
      <c r="I7" s="48"/>
      <c r="J7" s="21">
        <f t="shared" si="2"/>
        <v>22000</v>
      </c>
      <c r="K7" s="8" t="s">
        <v>204</v>
      </c>
      <c r="L7" s="9">
        <v>0</v>
      </c>
      <c r="M7" s="9"/>
      <c r="N7" s="48"/>
      <c r="O7" s="21">
        <f t="shared" si="3"/>
        <v>58000</v>
      </c>
      <c r="P7" s="8" t="s">
        <v>204</v>
      </c>
      <c r="Q7" s="9">
        <v>0</v>
      </c>
      <c r="R7" s="9">
        <v>-1000</v>
      </c>
      <c r="S7" s="48"/>
      <c r="T7" s="21">
        <f t="shared" si="4"/>
        <v>22000</v>
      </c>
      <c r="U7" s="53">
        <f>IF($J7="","",ROUND(($J7-$J$3)/1000,1)+(_xlfn.RANK.AVG($J7,($J7,$O7,$T7),1)-2)*20)</f>
        <v>-23</v>
      </c>
      <c r="V7" s="54">
        <f>IF($O7="","",ROUND(($O7-$O$3)/1000,1)+(_xlfn.RANK.AVG($O7,($J7,$O7,$T7),1)-2)*20)</f>
        <v>43</v>
      </c>
      <c r="W7" s="55">
        <f>IF($T7="","",ROUND(($T7-$T$3)/1000,1)+(_xlfn.RANK.AVG($T7,($J7,$O7,$T7),1)-2)*20)</f>
        <v>-23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3</v>
      </c>
      <c r="E8" s="4" t="s">
        <v>193</v>
      </c>
      <c r="F8" s="8" t="s">
        <v>205</v>
      </c>
      <c r="G8" s="9">
        <v>-12000</v>
      </c>
      <c r="H8" s="9">
        <v>-1000</v>
      </c>
      <c r="I8" s="48">
        <v>-2000</v>
      </c>
      <c r="J8" s="21">
        <f t="shared" si="2"/>
        <v>7000</v>
      </c>
      <c r="K8" s="8" t="s">
        <v>206</v>
      </c>
      <c r="L8" s="9">
        <v>12000</v>
      </c>
      <c r="M8" s="9">
        <v>4000</v>
      </c>
      <c r="N8" s="48">
        <v>2000</v>
      </c>
      <c r="O8" s="21">
        <f t="shared" si="3"/>
        <v>76000</v>
      </c>
      <c r="P8" s="8"/>
      <c r="Q8" s="9"/>
      <c r="R8" s="9"/>
      <c r="S8" s="48"/>
      <c r="T8" s="21">
        <f t="shared" si="4"/>
        <v>22000</v>
      </c>
      <c r="U8" s="53">
        <f>IF($J8="","",ROUND(($J8-$J$3)/1000,1)+(_xlfn.RANK.AVG($J8,($J8,$O8,$T8),1)-2)*20)</f>
        <v>-48</v>
      </c>
      <c r="V8" s="54">
        <f>IF($O8="","",ROUND(($O8-$O$3)/1000,1)+(_xlfn.RANK.AVG($O8,($J8,$O8,$T8),1)-2)*20)</f>
        <v>61</v>
      </c>
      <c r="W8" s="55">
        <f>IF($T8="","",ROUND(($T8-$T$3)/1000,1)+(_xlfn.RANK.AVG($T8,($J8,$O8,$T8),1)-2)*20)</f>
        <v>-13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93</v>
      </c>
      <c r="BA8" s="41" t="s">
        <v>200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205</v>
      </c>
      <c r="G9" s="9">
        <v>-2000</v>
      </c>
      <c r="H9" s="9"/>
      <c r="I9" s="48">
        <v>-3000</v>
      </c>
      <c r="J9" s="21">
        <f t="shared" si="2"/>
        <v>2000</v>
      </c>
      <c r="K9" s="8"/>
      <c r="L9" s="9"/>
      <c r="M9" s="9"/>
      <c r="N9" s="48"/>
      <c r="O9" s="21">
        <f t="shared" si="3"/>
        <v>76000</v>
      </c>
      <c r="P9" s="8" t="s">
        <v>206</v>
      </c>
      <c r="Q9" s="9">
        <v>2000</v>
      </c>
      <c r="R9" s="9"/>
      <c r="S9" s="48">
        <v>3000</v>
      </c>
      <c r="T9" s="21">
        <f t="shared" si="4"/>
        <v>27000</v>
      </c>
      <c r="U9" s="53">
        <f>IF($J9="","",ROUND(($J9-$J$3)/1000,1)+(_xlfn.RANK.AVG($J9,($J9,$O9,$T9),1)-2)*20)</f>
        <v>-53</v>
      </c>
      <c r="V9" s="54">
        <f>IF($O9="","",ROUND(($O9-$O$3)/1000,1)+(_xlfn.RANK.AVG($O9,($J9,$O9,$T9),1)-2)*20)</f>
        <v>61</v>
      </c>
      <c r="W9" s="55">
        <f>IF($T9="","",ROUND(($T9-$T$3)/1000,1)+(_xlfn.RANK.AVG($T9,($J9,$O9,$T9),1)-2)*20)</f>
        <v>-8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207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2000</v>
      </c>
      <c r="K10" s="8" t="s">
        <v>206</v>
      </c>
      <c r="L10" s="9">
        <v>8000</v>
      </c>
      <c r="M10" s="9"/>
      <c r="N10" s="48">
        <v>0</v>
      </c>
      <c r="O10" s="21">
        <f t="shared" si="3"/>
        <v>84000</v>
      </c>
      <c r="P10" s="8" t="s">
        <v>205</v>
      </c>
      <c r="Q10" s="9">
        <v>-8000</v>
      </c>
      <c r="R10" s="9"/>
      <c r="S10" s="48">
        <v>0</v>
      </c>
      <c r="T10" s="21">
        <f t="shared" si="4"/>
        <v>19000</v>
      </c>
      <c r="U10" s="53">
        <f>IF($J10="","",ROUND(($J10-$J$3)/1000,1)+(_xlfn.RANK.AVG($J10,($J10,$O10,$T10),1)-2)*20)</f>
        <v>-53</v>
      </c>
      <c r="V10" s="54">
        <f>IF($O10="","",ROUND(($O10-$O$3)/1000,1)+(_xlfn.RANK.AVG($O10,($J10,$O10,$T10),1)-2)*20)</f>
        <v>69</v>
      </c>
      <c r="W10" s="55">
        <f>IF($T10="","",ROUND(($T10-$T$3)/1000,1)+(_xlfn.RANK.AVG($T10,($J10,$O10,$T10),1)-2)*20)</f>
        <v>-16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200</v>
      </c>
      <c r="BA10" s="41" t="s">
        <v>96</v>
      </c>
      <c r="BB10" s="41" t="s">
        <v>79</v>
      </c>
      <c r="BC10" s="41" t="s">
        <v>86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48000</v>
      </c>
      <c r="H11" s="9"/>
      <c r="I11" s="48">
        <v>0</v>
      </c>
      <c r="J11" s="21">
        <f t="shared" si="2"/>
        <v>50000</v>
      </c>
      <c r="K11" s="8" t="s">
        <v>197</v>
      </c>
      <c r="L11" s="9">
        <v>-24000</v>
      </c>
      <c r="M11" s="9"/>
      <c r="N11" s="48">
        <v>0</v>
      </c>
      <c r="O11" s="21">
        <f t="shared" si="3"/>
        <v>60000</v>
      </c>
      <c r="P11" s="8" t="s">
        <v>197</v>
      </c>
      <c r="Q11" s="9">
        <v>-24000</v>
      </c>
      <c r="R11" s="9"/>
      <c r="S11" s="48">
        <v>0</v>
      </c>
      <c r="T11" s="21">
        <f t="shared" si="4"/>
        <v>-5000</v>
      </c>
      <c r="U11" s="53">
        <f>IF($J11="","",ROUND(($J11-$J$3)/1000,1)+(_xlfn.RANK.AVG($J11,($J11,$O11,$T11),1)-2)*20)</f>
        <v>15</v>
      </c>
      <c r="V11" s="54">
        <f>IF($O11="","",ROUND(($O11-$O$3)/1000,1)+(_xlfn.RANK.AVG($O11,($J11,$O11,$T11),1)-2)*20)</f>
        <v>45</v>
      </c>
      <c r="W11" s="55">
        <f>IF($T11="","",ROUND(($T11-$T$3)/1000,1)+(_xlfn.RANK.AVG($T11,($J11,$O11,$T11),1)-2)*20)</f>
        <v>-60</v>
      </c>
      <c r="Y11" s="8"/>
      <c r="Z11" s="34"/>
      <c r="AA11" s="26">
        <v>1</v>
      </c>
      <c r="AB11" s="26"/>
      <c r="AC11" s="26">
        <v>13</v>
      </c>
      <c r="AD11" s="30" t="s">
        <v>199</v>
      </c>
      <c r="AE11" s="40" t="s">
        <v>108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A3DF7-658B-4FE0-99A0-60D44DC0F8D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197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197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198</v>
      </c>
      <c r="Q4" s="9">
        <v>9600</v>
      </c>
      <c r="R4" s="9"/>
      <c r="S4" s="48">
        <v>0</v>
      </c>
      <c r="T4" s="21">
        <f>IF(COUNTA($F4,$K4,$P4)&gt;0,T3+SUM(Q4:S4),"")</f>
        <v>44600</v>
      </c>
      <c r="U4" s="53">
        <f>IF($J4="","",ROUND(($J4-$J$3)/1000,1)+(_xlfn.RANK.AVG($J4,($J4,$O4,$T4),1)-2)*20)</f>
        <v>-14.8</v>
      </c>
      <c r="V4" s="54">
        <f>IF($O4="","",ROUND(($O4-$O$3)/1000,1)+(_xlfn.RANK.AVG($O4,($J4,$O4,$T4),1)-2)*20)</f>
        <v>-14.8</v>
      </c>
      <c r="W4" s="55">
        <f>IF($T4="","",ROUND(($T4-$T$3)/1000,1)+(_xlfn.RANK.AVG($T4,($J4,$O4,$T4),1)-2)*20)</f>
        <v>29.6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25</v>
      </c>
      <c r="BU4" s="40" t="s">
        <v>82</v>
      </c>
      <c r="BV4" s="41" t="s">
        <v>101</v>
      </c>
      <c r="BW4" s="41" t="s">
        <v>207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210</v>
      </c>
      <c r="G5" s="9">
        <v>-3000</v>
      </c>
      <c r="H5" s="9"/>
      <c r="I5" s="48"/>
      <c r="J5" s="21">
        <f t="shared" ref="J5:J30" si="2">IF(COUNTA($F5,$K5,$P5)&gt;0,J4+SUM(G5:I5),"")</f>
        <v>27200</v>
      </c>
      <c r="K5" s="8" t="s">
        <v>210</v>
      </c>
      <c r="L5" s="9">
        <v>1500</v>
      </c>
      <c r="M5" s="9"/>
      <c r="N5" s="48"/>
      <c r="O5" s="21">
        <f t="shared" ref="O5:O30" si="3">IF(COUNTA($F5,$K5,$P5)&gt;0,O4+SUM(L5:N5),"")</f>
        <v>31700</v>
      </c>
      <c r="P5" s="8" t="s">
        <v>210</v>
      </c>
      <c r="Q5" s="9">
        <v>1500</v>
      </c>
      <c r="R5" s="9">
        <v>-1000</v>
      </c>
      <c r="S5" s="48"/>
      <c r="T5" s="21">
        <f t="shared" ref="T5:T30" si="4">IF(COUNTA($F5,$K5,$P5)&gt;0,T4+SUM(Q5:S5),"")</f>
        <v>45100</v>
      </c>
      <c r="U5" s="53">
        <f>IF($J5="","",ROUND(($J5-$J$3)/1000,1)+(_xlfn.RANK.AVG($J5,($J5,$O5,$T5),1)-2)*20)</f>
        <v>-27.8</v>
      </c>
      <c r="V5" s="54">
        <f>IF($O5="","",ROUND(($O5-$O$3)/1000,1)+(_xlfn.RANK.AVG($O5,($J5,$O5,$T5),1)-2)*20)</f>
        <v>-3.3</v>
      </c>
      <c r="W5" s="55">
        <f>IF($T5="","",ROUND(($T5-$T$3)/1000,1)+(_xlfn.RANK.AVG($T5,($J5,$O5,$T5),1)-2)*20)</f>
        <v>30.1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208</v>
      </c>
      <c r="F6" s="8"/>
      <c r="G6" s="9"/>
      <c r="H6" s="9"/>
      <c r="I6" s="48"/>
      <c r="J6" s="21">
        <f t="shared" si="2"/>
        <v>27200</v>
      </c>
      <c r="K6" s="8" t="s">
        <v>205</v>
      </c>
      <c r="L6" s="9">
        <v>-1500</v>
      </c>
      <c r="M6" s="9"/>
      <c r="N6" s="48">
        <v>-2000</v>
      </c>
      <c r="O6" s="21">
        <f t="shared" si="3"/>
        <v>28200</v>
      </c>
      <c r="P6" s="8" t="s">
        <v>206</v>
      </c>
      <c r="Q6" s="9">
        <v>1500</v>
      </c>
      <c r="R6" s="9">
        <v>1000</v>
      </c>
      <c r="S6" s="48">
        <v>2000</v>
      </c>
      <c r="T6" s="21">
        <f t="shared" si="4"/>
        <v>49600</v>
      </c>
      <c r="U6" s="53">
        <f>IF($J6="","",ROUND(($J6-$J$3)/1000,1)+(_xlfn.RANK.AVG($J6,($J6,$O6,$T6),1)-2)*20)</f>
        <v>-27.8</v>
      </c>
      <c r="V6" s="54">
        <f>IF($O6="","",ROUND(($O6-$O$3)/1000,1)+(_xlfn.RANK.AVG($O6,($J6,$O6,$T6),1)-2)*20)</f>
        <v>-6.8</v>
      </c>
      <c r="W6" s="55">
        <f>IF($T6="","",ROUND(($T6-$T$3)/1000,1)+(_xlfn.RANK.AVG($T6,($J6,$O6,$T6),1)-2)*20)</f>
        <v>34.6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30</v>
      </c>
      <c r="BU6" s="40" t="s">
        <v>83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208</v>
      </c>
      <c r="F7" s="8" t="s">
        <v>205</v>
      </c>
      <c r="G7" s="9">
        <v>-12000</v>
      </c>
      <c r="H7" s="9"/>
      <c r="I7" s="48">
        <v>-3000</v>
      </c>
      <c r="J7" s="21">
        <f t="shared" si="2"/>
        <v>12200</v>
      </c>
      <c r="K7" s="8"/>
      <c r="L7" s="9"/>
      <c r="M7" s="9"/>
      <c r="N7" s="48"/>
      <c r="O7" s="21">
        <f t="shared" si="3"/>
        <v>28200</v>
      </c>
      <c r="P7" s="8" t="s">
        <v>206</v>
      </c>
      <c r="Q7" s="9">
        <v>12000</v>
      </c>
      <c r="R7" s="9"/>
      <c r="S7" s="48">
        <v>3000</v>
      </c>
      <c r="T7" s="21">
        <f t="shared" si="4"/>
        <v>64600</v>
      </c>
      <c r="U7" s="53">
        <f>IF($J7="","",ROUND(($J7-$J$3)/1000,1)+(_xlfn.RANK.AVG($J7,($J7,$O7,$T7),1)-2)*20)</f>
        <v>-42.8</v>
      </c>
      <c r="V7" s="54">
        <f>IF($O7="","",ROUND(($O7-$O$3)/1000,1)+(_xlfn.RANK.AVG($O7,($J7,$O7,$T7),1)-2)*20)</f>
        <v>-6.8</v>
      </c>
      <c r="W7" s="55">
        <f>IF($T7="","",ROUND(($T7-$T$3)/1000,1)+(_xlfn.RANK.AVG($T7,($J7,$O7,$T7),1)-2)*20)</f>
        <v>49.6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79</v>
      </c>
      <c r="BV7" s="41" t="s">
        <v>79</v>
      </c>
      <c r="BW7" s="41" t="s">
        <v>79</v>
      </c>
      <c r="BX7" s="41" t="s">
        <v>86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208</v>
      </c>
      <c r="F8" s="8" t="s">
        <v>197</v>
      </c>
      <c r="G8" s="9">
        <v>-2900</v>
      </c>
      <c r="H8" s="9"/>
      <c r="I8" s="48">
        <v>-2000</v>
      </c>
      <c r="J8" s="21">
        <f t="shared" si="2"/>
        <v>7300</v>
      </c>
      <c r="K8" s="8" t="s">
        <v>198</v>
      </c>
      <c r="L8" s="9">
        <v>7700</v>
      </c>
      <c r="M8" s="9">
        <v>1000</v>
      </c>
      <c r="N8" s="48">
        <v>4000</v>
      </c>
      <c r="O8" s="21">
        <f t="shared" si="3"/>
        <v>40900</v>
      </c>
      <c r="P8" s="8" t="s">
        <v>197</v>
      </c>
      <c r="Q8" s="9">
        <v>-4800</v>
      </c>
      <c r="R8" s="9">
        <v>-1000</v>
      </c>
      <c r="S8" s="48">
        <v>-2000</v>
      </c>
      <c r="T8" s="21">
        <f t="shared" si="4"/>
        <v>56800</v>
      </c>
      <c r="U8" s="53">
        <f>IF($J8="","",ROUND(($J8-$J$3)/1000,1)+(_xlfn.RANK.AVG($J8,($J8,$O8,$T8),1)-2)*20)</f>
        <v>-47.7</v>
      </c>
      <c r="V8" s="54">
        <f>IF($O8="","",ROUND(($O8-$O$3)/1000,1)+(_xlfn.RANK.AVG($O8,($J8,$O8,$T8),1)-2)*20)</f>
        <v>5.9</v>
      </c>
      <c r="W8" s="55">
        <f>IF($T8="","",ROUND(($T8-$T$3)/1000,1)+(_xlfn.RANK.AVG($T8,($J8,$O8,$T8),1)-2)*20)</f>
        <v>41.8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207</v>
      </c>
      <c r="BC8" s="41" t="s">
        <v>207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1600</v>
      </c>
      <c r="H9" s="9"/>
      <c r="I9" s="48">
        <v>0</v>
      </c>
      <c r="J9" s="21">
        <f t="shared" si="2"/>
        <v>8900</v>
      </c>
      <c r="K9" s="8" t="s">
        <v>197</v>
      </c>
      <c r="L9" s="9">
        <v>-800</v>
      </c>
      <c r="M9" s="9"/>
      <c r="N9" s="48">
        <v>0</v>
      </c>
      <c r="O9" s="21">
        <f t="shared" si="3"/>
        <v>40100</v>
      </c>
      <c r="P9" s="8" t="s">
        <v>197</v>
      </c>
      <c r="Q9" s="9">
        <v>-800</v>
      </c>
      <c r="R9" s="9"/>
      <c r="S9" s="48">
        <v>0</v>
      </c>
      <c r="T9" s="21">
        <f t="shared" si="4"/>
        <v>56000</v>
      </c>
      <c r="U9" s="53">
        <f>IF($J9="","",ROUND(($J9-$J$3)/1000,1)+(_xlfn.RANK.AVG($J9,($J9,$O9,$T9),1)-2)*20)</f>
        <v>-46.1</v>
      </c>
      <c r="V9" s="54">
        <f>IF($O9="","",ROUND(($O9-$O$3)/1000,1)+(_xlfn.RANK.AVG($O9,($J9,$O9,$T9),1)-2)*20)</f>
        <v>5.0999999999999996</v>
      </c>
      <c r="W9" s="55">
        <f>IF($T9="","",ROUND(($T9-$T$3)/1000,1)+(_xlfn.RANK.AVG($T9,($J9,$O9,$T9),1)-2)*20)</f>
        <v>41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198</v>
      </c>
      <c r="G10" s="9">
        <v>12000</v>
      </c>
      <c r="H10" s="9">
        <v>1000</v>
      </c>
      <c r="I10" s="48">
        <v>1000</v>
      </c>
      <c r="J10" s="21">
        <f t="shared" si="2"/>
        <v>22900</v>
      </c>
      <c r="K10" s="8" t="s">
        <v>197</v>
      </c>
      <c r="L10" s="9">
        <v>-6000</v>
      </c>
      <c r="M10" s="9">
        <v>-1000</v>
      </c>
      <c r="N10" s="48">
        <v>-500</v>
      </c>
      <c r="O10" s="21">
        <f t="shared" si="3"/>
        <v>32600</v>
      </c>
      <c r="P10" s="8" t="s">
        <v>197</v>
      </c>
      <c r="Q10" s="9">
        <v>-6000</v>
      </c>
      <c r="R10" s="9"/>
      <c r="S10" s="48">
        <v>-500</v>
      </c>
      <c r="T10" s="21">
        <f t="shared" si="4"/>
        <v>49500</v>
      </c>
      <c r="U10" s="53">
        <f>IF($J10="","",ROUND(($J10-$J$3)/1000,1)+(_xlfn.RANK.AVG($J10,($J10,$O10,$T10),1)-2)*20)</f>
        <v>-32.1</v>
      </c>
      <c r="V10" s="54">
        <f>IF($O10="","",ROUND(($O10-$O$3)/1000,1)+(_xlfn.RANK.AVG($O10,($J10,$O10,$T10),1)-2)*20)</f>
        <v>-2.4</v>
      </c>
      <c r="W10" s="55">
        <f>IF($T10="","",ROUND(($T10-$T$3)/1000,1)+(_xlfn.RANK.AVG($T10,($J10,$O10,$T10),1)-2)*20)</f>
        <v>34.5</v>
      </c>
      <c r="Y10" s="8"/>
      <c r="Z10" s="34"/>
      <c r="AA10" s="26">
        <v>1</v>
      </c>
      <c r="AB10" s="26"/>
      <c r="AC10" s="26">
        <v>5</v>
      </c>
      <c r="AD10" s="30" t="s">
        <v>199</v>
      </c>
      <c r="AE10" s="40" t="s">
        <v>200</v>
      </c>
      <c r="AF10" s="41" t="s">
        <v>82</v>
      </c>
      <c r="AG10" s="41" t="s">
        <v>207</v>
      </c>
      <c r="AH10" s="41" t="s">
        <v>80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22900</v>
      </c>
      <c r="K11" s="8" t="s">
        <v>206</v>
      </c>
      <c r="L11" s="9">
        <v>12000</v>
      </c>
      <c r="M11" s="9"/>
      <c r="N11" s="48">
        <v>2000</v>
      </c>
      <c r="O11" s="21">
        <f t="shared" si="3"/>
        <v>46600</v>
      </c>
      <c r="P11" s="8" t="s">
        <v>205</v>
      </c>
      <c r="Q11" s="9">
        <v>-12000</v>
      </c>
      <c r="R11" s="9"/>
      <c r="S11" s="48">
        <v>-2000</v>
      </c>
      <c r="T11" s="21">
        <f t="shared" si="4"/>
        <v>35500</v>
      </c>
      <c r="U11" s="53">
        <f>IF($J11="","",ROUND(($J11-$J$3)/1000,1)+(_xlfn.RANK.AVG($J11,($J11,$O11,$T11),1)-2)*20)</f>
        <v>-32.1</v>
      </c>
      <c r="V11" s="54">
        <f>IF($O11="","",ROUND(($O11-$O$3)/1000,1)+(_xlfn.RANK.AVG($O11,($J11,$O11,$T11),1)-2)*20)</f>
        <v>31.6</v>
      </c>
      <c r="W11" s="55">
        <f>IF($T11="","",ROUND(($T11-$T$3)/1000,1)+(_xlfn.RANK.AVG($T11,($J11,$O11,$T11),1)-2)*20)</f>
        <v>0.5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199</v>
      </c>
      <c r="AZ11" s="40" t="s">
        <v>200</v>
      </c>
      <c r="BA11" s="41" t="s">
        <v>201</v>
      </c>
      <c r="BB11" s="41" t="s">
        <v>79</v>
      </c>
      <c r="BC11" s="41" t="s">
        <v>79</v>
      </c>
      <c r="BD11" s="41" t="s">
        <v>79</v>
      </c>
      <c r="BE11" s="41" t="s">
        <v>207</v>
      </c>
      <c r="BF11" s="41" t="s">
        <v>80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197</v>
      </c>
      <c r="G12" s="9">
        <v>-1500</v>
      </c>
      <c r="H12" s="9"/>
      <c r="I12" s="48">
        <v>0</v>
      </c>
      <c r="J12" s="21">
        <f t="shared" si="2"/>
        <v>21400</v>
      </c>
      <c r="K12" s="8" t="s">
        <v>197</v>
      </c>
      <c r="L12" s="9">
        <v>-2500</v>
      </c>
      <c r="M12" s="9"/>
      <c r="N12" s="48">
        <v>0</v>
      </c>
      <c r="O12" s="21">
        <f t="shared" si="3"/>
        <v>44100</v>
      </c>
      <c r="P12" s="8" t="s">
        <v>198</v>
      </c>
      <c r="Q12" s="9">
        <v>4000</v>
      </c>
      <c r="R12" s="9"/>
      <c r="S12" s="48">
        <v>0</v>
      </c>
      <c r="T12" s="21">
        <f t="shared" si="4"/>
        <v>39500</v>
      </c>
      <c r="U12" s="53">
        <f>IF($J12="","",ROUND(($J12-$J$3)/1000,1)+(_xlfn.RANK.AVG($J12,($J12,$O12,$T12),1)-2)*20)</f>
        <v>-33.6</v>
      </c>
      <c r="V12" s="54">
        <f>IF($O12="","",ROUND(($O12-$O$3)/1000,1)+(_xlfn.RANK.AVG($O12,($J12,$O12,$T12),1)-2)*20)</f>
        <v>29.1</v>
      </c>
      <c r="W12" s="55">
        <f>IF($T12="","",ROUND(($T12-$T$3)/1000,1)+(_xlfn.RANK.AVG($T12,($J12,$O12,$T12),1)-2)*20)</f>
        <v>4.5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30</v>
      </c>
      <c r="BU12" s="40" t="s">
        <v>82</v>
      </c>
      <c r="BV12" s="41" t="s">
        <v>85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208</v>
      </c>
      <c r="F13" s="8" t="s">
        <v>205</v>
      </c>
      <c r="G13" s="9">
        <v>-12000</v>
      </c>
      <c r="H13" s="9"/>
      <c r="I13" s="48">
        <v>0</v>
      </c>
      <c r="J13" s="21">
        <f t="shared" si="2"/>
        <v>9400</v>
      </c>
      <c r="K13" s="8"/>
      <c r="L13" s="9"/>
      <c r="M13" s="9"/>
      <c r="N13" s="48"/>
      <c r="O13" s="21">
        <f t="shared" si="3"/>
        <v>44100</v>
      </c>
      <c r="P13" s="8" t="s">
        <v>206</v>
      </c>
      <c r="Q13" s="9">
        <v>12000</v>
      </c>
      <c r="R13" s="9"/>
      <c r="S13" s="48">
        <v>0</v>
      </c>
      <c r="T13" s="21">
        <f t="shared" si="4"/>
        <v>51500</v>
      </c>
      <c r="U13" s="53">
        <f>IF($J13="","",ROUND(($J13-$J$3)/1000,1)+(_xlfn.RANK.AVG($J13,($J13,$O13,$T13),1)-2)*20)</f>
        <v>-45.6</v>
      </c>
      <c r="V13" s="54">
        <f>IF($O13="","",ROUND(($O13-$O$3)/1000,1)+(_xlfn.RANK.AVG($O13,($J13,$O13,$T13),1)-2)*20)</f>
        <v>9.1</v>
      </c>
      <c r="W13" s="55">
        <f>IF($T13="","",ROUND(($T13-$T$3)/1000,1)+(_xlfn.RANK.AVG($T13,($J13,$O13,$T13),1)-2)*20)</f>
        <v>36.5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199</v>
      </c>
      <c r="BU13" s="40" t="s">
        <v>200</v>
      </c>
      <c r="BV13" s="41" t="s">
        <v>86</v>
      </c>
      <c r="BW13" s="41" t="s">
        <v>92</v>
      </c>
      <c r="BX13" s="41" t="s">
        <v>207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208</v>
      </c>
      <c r="F14" s="8" t="s">
        <v>205</v>
      </c>
      <c r="G14" s="9">
        <v>-5800</v>
      </c>
      <c r="H14" s="9"/>
      <c r="I14" s="48">
        <v>-1000</v>
      </c>
      <c r="J14" s="21">
        <f t="shared" si="2"/>
        <v>2600</v>
      </c>
      <c r="K14" s="8"/>
      <c r="L14" s="9"/>
      <c r="M14" s="9"/>
      <c r="N14" s="48"/>
      <c r="O14" s="21">
        <f t="shared" si="3"/>
        <v>44100</v>
      </c>
      <c r="P14" s="8" t="s">
        <v>206</v>
      </c>
      <c r="Q14" s="9">
        <v>5800</v>
      </c>
      <c r="R14" s="9"/>
      <c r="S14" s="48">
        <v>1000</v>
      </c>
      <c r="T14" s="21">
        <f t="shared" si="4"/>
        <v>58300</v>
      </c>
      <c r="U14" s="53">
        <f>IF($J14="","",ROUND(($J14-$J$3)/1000,1)+(_xlfn.RANK.AVG($J14,($J14,$O14,$T14),1)-2)*20)</f>
        <v>-52.4</v>
      </c>
      <c r="V14" s="54">
        <f>IF($O14="","",ROUND(($O14-$O$3)/1000,1)+(_xlfn.RANK.AVG($O14,($J14,$O14,$T14),1)-2)*20)</f>
        <v>9.1</v>
      </c>
      <c r="W14" s="55">
        <f>IF($T14="","",ROUND(($T14-$T$3)/1000,1)+(_xlfn.RANK.AVG($T14,($J14,$O14,$T14),1)-2)*20)</f>
        <v>43.3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2</v>
      </c>
      <c r="BT14" s="30">
        <v>60</v>
      </c>
      <c r="BU14" s="40" t="s">
        <v>86</v>
      </c>
      <c r="BV14" s="41" t="s">
        <v>86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2</v>
      </c>
      <c r="D15" s="18">
        <f t="shared" si="1"/>
        <v>0</v>
      </c>
      <c r="E15" s="4" t="s">
        <v>208</v>
      </c>
      <c r="F15" s="8" t="s">
        <v>198</v>
      </c>
      <c r="G15" s="9">
        <v>16000</v>
      </c>
      <c r="H15" s="9"/>
      <c r="I15" s="48">
        <v>2000</v>
      </c>
      <c r="J15" s="21">
        <f t="shared" si="2"/>
        <v>20600</v>
      </c>
      <c r="K15" s="8" t="s">
        <v>197</v>
      </c>
      <c r="L15" s="9">
        <v>-6000</v>
      </c>
      <c r="M15" s="9"/>
      <c r="N15" s="48">
        <v>-1000</v>
      </c>
      <c r="O15" s="21">
        <f t="shared" si="3"/>
        <v>37100</v>
      </c>
      <c r="P15" s="8" t="s">
        <v>197</v>
      </c>
      <c r="Q15" s="9">
        <v>-10000</v>
      </c>
      <c r="R15" s="9"/>
      <c r="S15" s="48">
        <v>-1000</v>
      </c>
      <c r="T15" s="21">
        <f t="shared" si="4"/>
        <v>47300</v>
      </c>
      <c r="U15" s="53">
        <f>IF($J15="","",ROUND(($J15-$J$3)/1000,1)+(_xlfn.RANK.AVG($J15,($J15,$O15,$T15),1)-2)*20)</f>
        <v>-34.4</v>
      </c>
      <c r="V15" s="54">
        <f>IF($O15="","",ROUND(($O15-$O$3)/1000,1)+(_xlfn.RANK.AVG($O15,($J15,$O15,$T15),1)-2)*20)</f>
        <v>2.1</v>
      </c>
      <c r="W15" s="55">
        <f>IF($T15="","",ROUND(($T15-$T$3)/1000,1)+(_xlfn.RANK.AVG($T15,($J15,$O15,$T15),1)-2)*20)</f>
        <v>32.299999999999997</v>
      </c>
      <c r="Y15" s="8"/>
      <c r="Z15" s="34"/>
      <c r="AA15" s="26">
        <v>1</v>
      </c>
      <c r="AB15" s="26"/>
      <c r="AC15" s="26">
        <v>10</v>
      </c>
      <c r="AD15" s="30" t="s">
        <v>199</v>
      </c>
      <c r="AE15" s="40" t="s">
        <v>211</v>
      </c>
      <c r="AF15" s="41" t="s">
        <v>82</v>
      </c>
      <c r="AG15" s="41" t="s">
        <v>79</v>
      </c>
      <c r="AH15" s="41" t="s">
        <v>80</v>
      </c>
      <c r="AI15" s="41" t="s">
        <v>84</v>
      </c>
      <c r="AJ15" s="41" t="s">
        <v>103</v>
      </c>
      <c r="AK15" s="41" t="s">
        <v>83</v>
      </c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197</v>
      </c>
      <c r="G16" s="9">
        <v>-7500</v>
      </c>
      <c r="H16" s="9"/>
      <c r="I16" s="48">
        <v>0</v>
      </c>
      <c r="J16" s="21">
        <f t="shared" si="2"/>
        <v>13100</v>
      </c>
      <c r="K16" s="8" t="s">
        <v>198</v>
      </c>
      <c r="L16" s="9">
        <v>12000</v>
      </c>
      <c r="M16" s="9"/>
      <c r="N16" s="48">
        <v>0</v>
      </c>
      <c r="O16" s="21">
        <f t="shared" si="3"/>
        <v>49100</v>
      </c>
      <c r="P16" s="8" t="s">
        <v>197</v>
      </c>
      <c r="Q16" s="9">
        <v>-4500</v>
      </c>
      <c r="R16" s="9"/>
      <c r="S16" s="48">
        <v>0</v>
      </c>
      <c r="T16" s="21">
        <f t="shared" si="4"/>
        <v>42800</v>
      </c>
      <c r="U16" s="53">
        <f>IF($J16="","",ROUND(($J16-$J$3)/1000,1)+(_xlfn.RANK.AVG($J16,($J16,$O16,$T16),1)-2)*20)</f>
        <v>-41.9</v>
      </c>
      <c r="V16" s="54">
        <f>IF($O16="","",ROUND(($O16-$O$3)/1000,1)+(_xlfn.RANK.AVG($O16,($J16,$O16,$T16),1)-2)*20)</f>
        <v>34.1</v>
      </c>
      <c r="W16" s="55">
        <f>IF($T16="","",ROUND(($T16-$T$3)/1000,1)+(_xlfn.RANK.AVG($T16,($J16,$O16,$T16),1)-2)*20)</f>
        <v>7.8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6</v>
      </c>
      <c r="AY16" s="30" t="s">
        <v>199</v>
      </c>
      <c r="AZ16" s="40" t="s">
        <v>200</v>
      </c>
      <c r="BA16" s="41" t="s">
        <v>82</v>
      </c>
      <c r="BB16" s="41" t="s">
        <v>86</v>
      </c>
      <c r="BC16" s="41" t="s">
        <v>207</v>
      </c>
      <c r="BD16" s="41" t="s">
        <v>96</v>
      </c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197</v>
      </c>
      <c r="G17" s="9">
        <v>-9000</v>
      </c>
      <c r="H17" s="9"/>
      <c r="I17" s="48">
        <v>0</v>
      </c>
      <c r="J17" s="21">
        <f t="shared" si="2"/>
        <v>4100</v>
      </c>
      <c r="K17" s="8" t="s">
        <v>198</v>
      </c>
      <c r="L17" s="9">
        <v>18000</v>
      </c>
      <c r="M17" s="9"/>
      <c r="N17" s="48">
        <v>0</v>
      </c>
      <c r="O17" s="21">
        <f t="shared" si="3"/>
        <v>67100</v>
      </c>
      <c r="P17" s="8" t="s">
        <v>197</v>
      </c>
      <c r="Q17" s="9">
        <v>-9000</v>
      </c>
      <c r="R17" s="9"/>
      <c r="S17" s="48">
        <v>0</v>
      </c>
      <c r="T17" s="21">
        <f t="shared" si="4"/>
        <v>33800</v>
      </c>
      <c r="U17" s="53">
        <f>IF($J17="","",ROUND(($J17-$J$3)/1000,1)+(_xlfn.RANK.AVG($J17,($J17,$O17,$T17),1)-2)*20)</f>
        <v>-50.9</v>
      </c>
      <c r="V17" s="54">
        <f>IF($O17="","",ROUND(($O17-$O$3)/1000,1)+(_xlfn.RANK.AVG($O17,($J17,$O17,$T17),1)-2)*20)</f>
        <v>52.1</v>
      </c>
      <c r="W17" s="55">
        <f>IF($T17="","",ROUND(($T17-$T$3)/1000,1)+(_xlfn.RANK.AVG($T17,($J17,$O17,$T17),1)-2)*20)</f>
        <v>-1.2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7</v>
      </c>
      <c r="AY17" s="30" t="s">
        <v>199</v>
      </c>
      <c r="AZ17" s="40" t="s">
        <v>82</v>
      </c>
      <c r="BA17" s="41" t="s">
        <v>104</v>
      </c>
      <c r="BB17" s="41" t="s">
        <v>207</v>
      </c>
      <c r="BC17" s="41" t="s">
        <v>92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2CAA6C9-8309-4A15-BFF7-7C36D48BB7FC}">
      <formula1>"ロン,ツモ,放銃,ツモ支払,流局,チョンボ"</formula1>
    </dataValidation>
    <dataValidation type="list" allowBlank="1" showInputMessage="1" showErrorMessage="1" sqref="E4:E30" xr:uid="{84E47E69-25BA-4505-B4BA-497F740E5B7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2019-06-26T15:52:50Z</dcterms:modified>
</cp:coreProperties>
</file>