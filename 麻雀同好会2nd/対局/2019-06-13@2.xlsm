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7A4C08F6-FE5C-4F65-93FD-EAA59D502CF9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J13" i="21"/>
  <c r="D13" i="21"/>
  <c r="C13" i="21"/>
  <c r="B13" i="21"/>
  <c r="A13" i="21"/>
  <c r="T12" i="21"/>
  <c r="O12" i="21"/>
  <c r="J12" i="21"/>
  <c r="D12" i="21"/>
  <c r="C12" i="21"/>
  <c r="B12" i="21"/>
  <c r="A12" i="21" s="1"/>
  <c r="T11" i="21"/>
  <c r="O11" i="21"/>
  <c r="J11" i="21"/>
  <c r="D11" i="21"/>
  <c r="C11" i="21"/>
  <c r="B11" i="21"/>
  <c r="A11" i="21"/>
  <c r="T10" i="21"/>
  <c r="O10" i="21"/>
  <c r="J10" i="21"/>
  <c r="U10" i="21" s="1"/>
  <c r="D10" i="21"/>
  <c r="C10" i="21"/>
  <c r="B10" i="21"/>
  <c r="A10" i="21" s="1"/>
  <c r="T9" i="21"/>
  <c r="O9" i="21"/>
  <c r="J9" i="21"/>
  <c r="U9" i="21" s="1"/>
  <c r="D9" i="21"/>
  <c r="C9" i="21"/>
  <c r="B9" i="21"/>
  <c r="A9" i="21" s="1"/>
  <c r="T8" i="21"/>
  <c r="O8" i="21"/>
  <c r="J8" i="21"/>
  <c r="D8" i="21"/>
  <c r="C8" i="21"/>
  <c r="B8" i="21"/>
  <c r="A8" i="21" s="1"/>
  <c r="D7" i="21"/>
  <c r="B7" i="21"/>
  <c r="A7" i="21" s="1"/>
  <c r="D6" i="21"/>
  <c r="C6" i="21"/>
  <c r="C7" i="21" s="1"/>
  <c r="B6" i="21"/>
  <c r="A6" i="21" s="1"/>
  <c r="O5" i="21"/>
  <c r="O6" i="21" s="1"/>
  <c r="J5" i="21"/>
  <c r="D5" i="21"/>
  <c r="C5" i="21"/>
  <c r="B5" i="21"/>
  <c r="A5" i="21"/>
  <c r="T4" i="21"/>
  <c r="W4" i="21" s="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D10" i="20"/>
  <c r="C10" i="20"/>
  <c r="D9" i="20"/>
  <c r="C9" i="20"/>
  <c r="D8" i="20"/>
  <c r="C8" i="20"/>
  <c r="C7" i="20"/>
  <c r="B7" i="20"/>
  <c r="B8" i="20" s="1"/>
  <c r="D6" i="20"/>
  <c r="D7" i="20" s="1"/>
  <c r="C6" i="20"/>
  <c r="B6" i="20"/>
  <c r="A7" i="20" s="1"/>
  <c r="T5" i="20"/>
  <c r="O5" i="20"/>
  <c r="D5" i="20"/>
  <c r="C5" i="20"/>
  <c r="B5" i="20"/>
  <c r="A5" i="20" s="1"/>
  <c r="T4" i="20"/>
  <c r="O4" i="20"/>
  <c r="J4" i="20"/>
  <c r="W3" i="20"/>
  <c r="V3" i="20"/>
  <c r="U3" i="20"/>
  <c r="W2" i="20"/>
  <c r="V2" i="20"/>
  <c r="U2" i="20"/>
  <c r="BO1" i="20"/>
  <c r="AT1" i="20"/>
  <c r="Y1" i="20"/>
  <c r="U13" i="21" l="1"/>
  <c r="V13" i="21"/>
  <c r="W12" i="21"/>
  <c r="V12" i="21"/>
  <c r="U12" i="21"/>
  <c r="V11" i="21"/>
  <c r="W11" i="21"/>
  <c r="U11" i="21"/>
  <c r="V10" i="21"/>
  <c r="W10" i="21"/>
  <c r="W9" i="21"/>
  <c r="V9" i="21"/>
  <c r="V8" i="21"/>
  <c r="U8" i="21"/>
  <c r="W8" i="21"/>
  <c r="U4" i="21"/>
  <c r="O7" i="21"/>
  <c r="T5" i="21"/>
  <c r="V4" i="21"/>
  <c r="J6" i="21"/>
  <c r="V5" i="21"/>
  <c r="A6" i="20"/>
  <c r="W4" i="20"/>
  <c r="U4" i="20"/>
  <c r="B9" i="20"/>
  <c r="J5" i="20"/>
  <c r="W5" i="20" s="1"/>
  <c r="V4" i="20"/>
  <c r="A8" i="20"/>
  <c r="A9" i="20" s="1"/>
  <c r="O6" i="20"/>
  <c r="T6" i="20"/>
  <c r="W5" i="21" l="1"/>
  <c r="T6" i="21"/>
  <c r="J7" i="21"/>
  <c r="U5" i="21"/>
  <c r="V5" i="20"/>
  <c r="T7" i="20"/>
  <c r="B10" i="20"/>
  <c r="A10" i="20" s="1"/>
  <c r="O7" i="20"/>
  <c r="U5" i="20"/>
  <c r="J6" i="20"/>
  <c r="W6" i="20" s="1"/>
  <c r="W6" i="21" l="1"/>
  <c r="T7" i="21"/>
  <c r="W7" i="21" s="1"/>
  <c r="V6" i="21"/>
  <c r="U6" i="21"/>
  <c r="V6" i="20"/>
  <c r="U6" i="20"/>
  <c r="J7" i="20"/>
  <c r="V7" i="20"/>
  <c r="O8" i="20"/>
  <c r="T8" i="20"/>
  <c r="V7" i="21" l="1"/>
  <c r="U7" i="21"/>
  <c r="U7" i="20"/>
  <c r="J8" i="20"/>
  <c r="V8" i="20" s="1"/>
  <c r="T9" i="20"/>
  <c r="W7" i="20"/>
  <c r="O9" i="20"/>
  <c r="W8" i="20" l="1"/>
  <c r="V9" i="20"/>
  <c r="O10" i="20"/>
  <c r="T10" i="20"/>
  <c r="U8" i="20"/>
  <c r="J9" i="20"/>
  <c r="U9" i="20" l="1"/>
  <c r="J10" i="20"/>
  <c r="U10" i="20" s="1"/>
  <c r="W9" i="20"/>
  <c r="W10" i="20" l="1"/>
  <c r="V10" i="20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O10" i="19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V10" i="19" l="1"/>
  <c r="W10" i="19"/>
  <c r="W9" i="19"/>
  <c r="V9" i="19"/>
  <c r="U8" i="19"/>
  <c r="V8" i="19"/>
  <c r="W8" i="19"/>
  <c r="W7" i="19"/>
  <c r="U7" i="19"/>
  <c r="V7" i="19"/>
  <c r="V6" i="19"/>
  <c r="W6" i="19"/>
  <c r="U4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<sst xmlns="http://schemas.openxmlformats.org/spreadsheetml/2006/main" count="775" uniqueCount="207">
  <si>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</si>
  <si>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</si>
  <si>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</si>
  <si>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</si>
  <si>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</si>
  <si>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</si>
  <si>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</si>
  <si>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</si>
  <si>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</si>
  <si>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</si>
  <si>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</si>
  <si>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</si>
  <si>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</si>
  <si>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</si>
  <si>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</si>
  <si>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</si>
  <si>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</si>
  <si>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</si>
  <si>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</si>
  <si>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</si>
  <si>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</si>
  <si>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</si>
  <si>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</si>
  <si>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</si>
  <si>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</si>
  <si>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</si>
  <si>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</si>
  <si>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</si>
  <si>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</si>
  <si>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</si>
  <si>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</si>
  <si>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</si>
  <si>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</si>
  <si>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</si>
  <si>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</si>
  <si>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</si>
  <si>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</si>
  <si>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</si>
  <si>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</si>
  <si>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</si>
  <si>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</si>
  <si>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</si>
  <si>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</si>
  <si>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</si>
  <si>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</si>
  <si>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</si>
  <si>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</si>
  <si>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</si>
  <si>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</si>
  <si>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</si>
  <si>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</si>
  <si>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</si>
  <si>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</si>
  <si>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</si>
  <si>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</si>
  <si>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</si>
  <si>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</si>
  <si>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</si>
  <si>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</si>
  <si>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</si>
  <si>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</si>
  <si>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</si>
  <si>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</si>
  <si>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</si>
  <si>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</si>
  <si>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</si>
  <si>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</si>
  <si>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</si>
  <si>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</si>
  <si>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</si>
  <si>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</si>
  <si>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</si>
  <si>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</si>
  <si>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</si>
  <si>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</si>
  <si>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</si>
  <si>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</si>
  <si>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</si>
  <si>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</si>
  <si>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</si>
  <si>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</si>
  <si>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</si>
  <si>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</si>
  <si>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</si>
  <si>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</si>
  <si>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</si>
  <si>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</si>
  <si>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</si>
  <si>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</si>
  <si>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</si>
  <si>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</si>
  <si>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</si>
  <si>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</si>
  <si>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</si>
  <si>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</si>
  <si>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</si>
  <si>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</si>
  <si>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</si>
  <si>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</si>
  <si>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</si>
  <si>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</si>
  <si>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</si>
  <si>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</si>
  <si>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</si>
  <si>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</si>
  <si>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</si>
  <si>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</si>
  <si>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</si>
  <si>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</si>
  <si>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</si>
  <si>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</si>
  <si>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</si>
  <si>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</si>
  <si>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</si>
  <si>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</si>
  <si>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</si>
  <si>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</si>
  <si>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</si>
  <si>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</si>
  <si>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</si>
  <si>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</si>
  <si>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</si>
  <si>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</si>
  <si>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</si>
  <si>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</si>
  <si>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</si>
  <si>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</si>
  <si>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</si>
  <si>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</si>
  <si>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</si>
  <si>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</si>
  <si>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</si>
  <si>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</si>
  <si>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</si>
  <si>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</si>
  <si>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</si>
  <si>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</si>
  <si>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</si>
  <si>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</si>
  <si>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</si>
  <si>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</si>
  <si>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</si>
  <si>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</si>
  <si>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</si>
  <si>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</si>
  <si>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</si>
  <si>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</si>
  <si>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</si>
  <si>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</si>
  <si>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</si>
  <si>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</si>
  <si>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</si>
  <si>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</si>
  <si>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</si>
  <si>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</si>
  <si>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</si>
  <si>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</si>
  <si>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</si>
  <si>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</si>
  <si>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</si>
  <si>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</si>
  <si>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</si>
  <si>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</si>
  <si>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</si>
  <si>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</si>
  <si>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</si>
  <si>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</si>
  <si>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</si>
  <si>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</si>
  <si>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</si>
  <si>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</si>
  <si>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</si>
  <si>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</si>
  <si>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</si>
  <si>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</si>
  <si>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</si>
  <si>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</si>
  <si>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</si>
  <si>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</si>
  <si>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</si>
  <si>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</si>
  <si>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</si>
  <si>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</si>
  <si>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</si>
  <si>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</si>
  <si>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</si>
  <si>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</si>
  <si>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</si>
  <si>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</si>
  <si>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</si>
  <si>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</si>
  <si>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</si>
  <si>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まっつん</t>
  </si>
  <si>
    <t>だいち</t>
  </si>
  <si>
    <t>T</t>
  </si>
  <si>
    <t>N</t>
  </si>
  <si>
    <t>流局</t>
    <phoneticPr fontId="1"/>
  </si>
  <si>
    <t>ツモ支払</t>
  </si>
  <si>
    <t>ツモ</t>
  </si>
  <si>
    <t>*</t>
  </si>
  <si>
    <t>放銃</t>
  </si>
  <si>
    <t>ロン</t>
  </si>
  <si>
    <t>01</t>
  </si>
  <si>
    <t>52</t>
  </si>
  <si>
    <t>りくと</t>
  </si>
  <si>
    <t>02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</si>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</sst>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まっつん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196</v>
      </c>
      <c r="G4" s="9">
        <v>3000</v>
      </c>
      <c r="H4" s="9"/>
      <c r="I4" s="48"/>
      <c r="J4" s="21">
        <f>IF(COUNTA($F4,$K4,$P4)&gt;0,J3+SUM(G4:I4),"")</f>
        <v>38000</v>
      </c>
      <c r="K4" s="8" t="s">
        <v>196</v>
      </c>
      <c r="L4" s="9">
        <v>-1500</v>
      </c>
      <c r="M4" s="9"/>
      <c r="N4" s="48"/>
      <c r="O4" s="21">
        <f>IF(COUNTA($F4,$K4,$P4)&gt;0,O3+SUM(L4:N4),"")</f>
        <v>33500</v>
      </c>
      <c r="P4" s="8" t="s">
        <v>196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IF($J4="","",ROUND(($J4-$J$3)/1000,1)+(_xlfn.RANK.AVG($J4,($J4,$O4,$T4),1)-2)*20)</f>
        <v>23</v>
      </c>
      <c r="V4" s="54">
        <f>IF($O4="","",ROUND(($O4-$O$3)/1000,1)+(_xlfn.RANK.AVG($O4,($J4,$O4,$T4),1)-2)*20)</f>
        <v>-11.5</v>
      </c>
      <c r="W4" s="55">
        <f>IF($T4="","",ROUND(($T4-$T$3)/1000,1)+(_xlfn.RANK.AVG($T4,($J4,$O4,$T4),1)-2)*20)</f>
        <v>-11.5</v>
      </c>
      <c r="Y4" s="8" t="s">
        <v>194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195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-5000</v>
      </c>
      <c r="H5" s="9"/>
      <c r="I5" s="48">
        <v>-500</v>
      </c>
      <c r="J5" s="21">
        <f t="shared" ref="J5:J30" si="2">IF(COUNTA($F5,$K5,$P5)&gt;0,J4+SUM(G5:I5),"")</f>
        <v>32500</v>
      </c>
      <c r="K5" s="8" t="s">
        <v>198</v>
      </c>
      <c r="L5" s="9">
        <v>8000</v>
      </c>
      <c r="M5" s="9"/>
      <c r="N5" s="48">
        <v>1000</v>
      </c>
      <c r="O5" s="21">
        <f t="shared" ref="O5:O30" si="3">IF(COUNTA($F5,$K5,$P5)&gt;0,O4+SUM(L5:N5),"")</f>
        <v>42500</v>
      </c>
      <c r="P5" s="8" t="s">
        <v>197</v>
      </c>
      <c r="Q5" s="9">
        <v>-3000</v>
      </c>
      <c r="R5" s="9"/>
      <c r="S5" s="48">
        <v>-500</v>
      </c>
      <c r="T5" s="21">
        <f t="shared" ref="T5:T30" si="4">IF(COUNTA($F5,$K5,$P5)&gt;0,T4+SUM(Q5:S5),"")</f>
        <v>30000</v>
      </c>
      <c r="U5" s="53">
        <f>IF($J5="","",ROUND(($J5-$J$3)/1000,1)+(_xlfn.RANK.AVG($J5,($J5,$O5,$T5),1)-2)*20)</f>
        <v>-2.5</v>
      </c>
      <c r="V5" s="54">
        <f>IF($O5="","",ROUND(($O5-$O$3)/1000,1)+(_xlfn.RANK.AVG($O5,($J5,$O5,$T5),1)-2)*20)</f>
        <v>27.5</v>
      </c>
      <c r="W5" s="55">
        <f>IF($T5="","",ROUND(($T5-$T$3)/1000,1)+(_xlfn.RANK.AVG($T5,($J5,$O5,$T5),1)-2)*20)</f>
        <v>-25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5</v>
      </c>
      <c r="AY5" s="30" t="s">
        <v>199</v>
      </c>
      <c r="AZ5" s="40" t="s">
        <v>105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192</v>
      </c>
      <c r="F6" s="8" t="s">
        <v>196</v>
      </c>
      <c r="G6" s="9">
        <v>-3000</v>
      </c>
      <c r="H6" s="9"/>
      <c r="I6" s="48"/>
      <c r="J6" s="21">
        <f t="shared" si="2"/>
        <v>29500</v>
      </c>
      <c r="K6" s="8" t="s">
        <v>196</v>
      </c>
      <c r="L6" s="9">
        <v>1500</v>
      </c>
      <c r="M6" s="9">
        <v>-1000</v>
      </c>
      <c r="N6" s="48"/>
      <c r="O6" s="21">
        <f t="shared" si="3"/>
        <v>43000</v>
      </c>
      <c r="P6" s="8" t="s">
        <v>196</v>
      </c>
      <c r="Q6" s="9">
        <v>1500</v>
      </c>
      <c r="R6" s="9"/>
      <c r="S6" s="48"/>
      <c r="T6" s="21">
        <f t="shared" si="4"/>
        <v>31500</v>
      </c>
      <c r="U6" s="53">
        <f>IF($J6="","",ROUND(($J6-$J$3)/1000,1)+(_xlfn.RANK.AVG($J6,($J6,$O6,$T6),1)-2)*20)</f>
        <v>-25.5</v>
      </c>
      <c r="V6" s="54">
        <f>IF($O6="","",ROUND(($O6-$O$3)/1000,1)+(_xlfn.RANK.AVG($O6,($J6,$O6,$T6),1)-2)*20)</f>
        <v>28</v>
      </c>
      <c r="W6" s="55">
        <f>IF($T6="","",ROUND(($T6-$T$3)/1000,1)+(_xlfn.RANK.AVG($T6,($J6,$O6,$T6),1)-2)*20)</f>
        <v>-3.5</v>
      </c>
      <c r="Y6" s="8" t="s">
        <v>195</v>
      </c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194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194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1</v>
      </c>
      <c r="E7" s="4" t="s">
        <v>192</v>
      </c>
      <c r="F7" s="8" t="s">
        <v>200</v>
      </c>
      <c r="G7" s="9">
        <v>-8000</v>
      </c>
      <c r="H7" s="9"/>
      <c r="I7" s="48">
        <v>-1000</v>
      </c>
      <c r="J7" s="21">
        <f t="shared" si="2"/>
        <v>20500</v>
      </c>
      <c r="K7" s="8"/>
      <c r="L7" s="9"/>
      <c r="M7" s="9"/>
      <c r="N7" s="48"/>
      <c r="O7" s="21">
        <f t="shared" si="3"/>
        <v>43000</v>
      </c>
      <c r="P7" s="8" t="s">
        <v>201</v>
      </c>
      <c r="Q7" s="9">
        <v>8000</v>
      </c>
      <c r="R7" s="9">
        <v>1000</v>
      </c>
      <c r="S7" s="48">
        <v>1000</v>
      </c>
      <c r="T7" s="21">
        <f t="shared" si="4"/>
        <v>41500</v>
      </c>
      <c r="U7" s="53">
        <f>IF($J7="","",ROUND(($J7-$J$3)/1000,1)+(_xlfn.RANK.AVG($J7,($J7,$O7,$T7),1)-2)*20)</f>
        <v>-34.5</v>
      </c>
      <c r="V7" s="54">
        <f>IF($O7="","",ROUND(($O7-$O$3)/1000,1)+(_xlfn.RANK.AVG($O7,($J7,$O7,$T7),1)-2)*20)</f>
        <v>28</v>
      </c>
      <c r="W7" s="55">
        <f>IF($T7="","",ROUND(($T7-$T$3)/1000,1)+(_xlfn.RANK.AVG($T7,($J7,$O7,$T7),1)-2)*20)</f>
        <v>6.5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5</v>
      </c>
      <c r="BT7" s="30" t="s">
        <v>199</v>
      </c>
      <c r="BU7" s="40" t="s">
        <v>104</v>
      </c>
      <c r="BV7" s="41" t="s">
        <v>86</v>
      </c>
      <c r="BW7" s="41" t="s">
        <v>86</v>
      </c>
      <c r="BX7" s="41" t="s">
        <v>79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196</v>
      </c>
      <c r="G8" s="9">
        <v>-1500</v>
      </c>
      <c r="H8" s="9"/>
      <c r="I8" s="48"/>
      <c r="J8" s="21">
        <f t="shared" si="2"/>
        <v>19000</v>
      </c>
      <c r="K8" s="8" t="s">
        <v>196</v>
      </c>
      <c r="L8" s="9">
        <v>-1500</v>
      </c>
      <c r="M8" s="9"/>
      <c r="N8" s="48"/>
      <c r="O8" s="21">
        <f t="shared" si="3"/>
        <v>41500</v>
      </c>
      <c r="P8" s="8" t="s">
        <v>196</v>
      </c>
      <c r="Q8" s="9">
        <v>3000</v>
      </c>
      <c r="R8" s="9">
        <v>-1000</v>
      </c>
      <c r="S8" s="48"/>
      <c r="T8" s="21">
        <f t="shared" si="4"/>
        <v>43500</v>
      </c>
      <c r="U8" s="53">
        <f>IF($J8="","",ROUND(($J8-$J$3)/1000,1)+(_xlfn.RANK.AVG($J8,($J8,$O8,$T8),1)-2)*20)</f>
        <v>-36</v>
      </c>
      <c r="V8" s="54">
        <f>IF($O8="","",ROUND(($O8-$O$3)/1000,1)+(_xlfn.RANK.AVG($O8,($J8,$O8,$T8),1)-2)*20)</f>
        <v>6.5</v>
      </c>
      <c r="W8" s="55">
        <f>IF($T8="","",ROUND(($T8-$T$3)/1000,1)+(_xlfn.RANK.AVG($T8,($J8,$O8,$T8),1)-2)*20)</f>
        <v>28.5</v>
      </c>
      <c r="Y8" s="8" t="s">
        <v>195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195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194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1</v>
      </c>
      <c r="E9" s="4" t="s">
        <v>193</v>
      </c>
      <c r="F9" s="8" t="s">
        <v>200</v>
      </c>
      <c r="G9" s="9">
        <v>-3900</v>
      </c>
      <c r="H9" s="9"/>
      <c r="I9" s="48">
        <v>-1000</v>
      </c>
      <c r="J9" s="21">
        <f t="shared" si="2"/>
        <v>14100</v>
      </c>
      <c r="K9" s="8" t="s">
        <v>201</v>
      </c>
      <c r="L9" s="9">
        <v>3900</v>
      </c>
      <c r="M9" s="9">
        <v>1000</v>
      </c>
      <c r="N9" s="48">
        <v>1000</v>
      </c>
      <c r="O9" s="21">
        <f t="shared" si="3"/>
        <v>47400</v>
      </c>
      <c r="P9" s="8"/>
      <c r="Q9" s="9"/>
      <c r="R9" s="9"/>
      <c r="S9" s="48"/>
      <c r="T9" s="21">
        <f t="shared" si="4"/>
        <v>43500</v>
      </c>
      <c r="U9" s="53">
        <f>IF($J9="","",ROUND(($J9-$J$3)/1000,1)+(_xlfn.RANK.AVG($J9,($J9,$O9,$T9),1)-2)*20)</f>
        <v>-40.9</v>
      </c>
      <c r="V9" s="54">
        <f>IF($O9="","",ROUND(($O9-$O$3)/1000,1)+(_xlfn.RANK.AVG($O9,($J9,$O9,$T9),1)-2)*20)</f>
        <v>32.4</v>
      </c>
      <c r="W9" s="55">
        <f>IF($T9="","",ROUND(($T9-$T$3)/1000,1)+(_xlfn.RANK.AVG($T9,($J9,$O9,$T9),1)-2)*20)</f>
        <v>8.5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30</v>
      </c>
      <c r="AZ9" s="40" t="s">
        <v>202</v>
      </c>
      <c r="BA9" s="41" t="s">
        <v>83</v>
      </c>
      <c r="BB9" s="41" t="s">
        <v>203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197</v>
      </c>
      <c r="G10" s="9">
        <v>-20000</v>
      </c>
      <c r="H10" s="9"/>
      <c r="I10" s="48">
        <v>0</v>
      </c>
      <c r="J10" s="21">
        <f t="shared" si="2"/>
        <v>-5900</v>
      </c>
      <c r="K10" s="8" t="s">
        <v>198</v>
      </c>
      <c r="L10" s="9">
        <v>32000</v>
      </c>
      <c r="M10" s="9"/>
      <c r="N10" s="48">
        <v>0</v>
      </c>
      <c r="O10" s="21">
        <f t="shared" si="3"/>
        <v>79400</v>
      </c>
      <c r="P10" s="8" t="s">
        <v>197</v>
      </c>
      <c r="Q10" s="9">
        <v>-12000</v>
      </c>
      <c r="R10" s="9"/>
      <c r="S10" s="48">
        <v>0</v>
      </c>
      <c r="T10" s="21">
        <f t="shared" si="4"/>
        <v>31500</v>
      </c>
      <c r="U10" s="53">
        <f>IF($J10="","",ROUND(($J10-$J$3)/1000,1)+(_xlfn.RANK.AVG($J10,($J10,$O10,$T10),1)-2)*20)</f>
        <v>-60.9</v>
      </c>
      <c r="V10" s="54">
        <f>IF($O10="","",ROUND(($O10-$O$3)/1000,1)+(_xlfn.RANK.AVG($O10,($J10,$O10,$T10),1)-2)*20)</f>
        <v>64.400000000000006</v>
      </c>
      <c r="W10" s="55">
        <f>IF($T10="","",ROUND(($T10-$T$3)/1000,1)+(_xlfn.RANK.AVG($T10,($J10,$O10,$T10),1)-2)*20)</f>
        <v>-3.5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13</v>
      </c>
      <c r="AY10" s="30" t="s">
        <v>199</v>
      </c>
      <c r="AZ10" s="40" t="s">
        <v>108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FAE1C2A8-0608-4ACE-A980-DB902A4F9AD1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239C-E84A-4720-9E70-5D74241A668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204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りくと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まっつん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204</v>
      </c>
      <c r="F4" s="8" t="s">
        <v>201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200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IF($J4="","",ROUND(($J4-$J$3)/1000,1)+(_xlfn.RANK.AVG($J4,($J4,$O4,$T4),1)-2)*20)</f>
        <v>33</v>
      </c>
      <c r="V4" s="54">
        <f>IF($O4="","",ROUND(($O4-$O$3)/1000,1)+(_xlfn.RANK.AVG($O4,($J4,$O4,$T4),1)-2)*20)</f>
        <v>-1</v>
      </c>
      <c r="W4" s="55">
        <f>IF($T4="","",ROUND(($T4-$T$3)/1000,1)+(_xlfn.RANK.AVG($T4,($J4,$O4,$T4),1)-2)*20)</f>
        <v>-32</v>
      </c>
      <c r="Y4" s="8"/>
      <c r="Z4" s="34"/>
      <c r="AA4" s="26"/>
      <c r="AB4" s="26"/>
      <c r="AC4" s="26">
        <v>7</v>
      </c>
      <c r="AD4" s="30" t="s">
        <v>199</v>
      </c>
      <c r="AE4" s="40" t="s">
        <v>106</v>
      </c>
      <c r="AF4" s="41" t="s">
        <v>203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198</v>
      </c>
      <c r="G5" s="9">
        <v>7800</v>
      </c>
      <c r="H5" s="9"/>
      <c r="I5" s="48">
        <v>0</v>
      </c>
      <c r="J5" s="21">
        <f t="shared" ref="J5:J30" si="2">IF(COUNTA($F5,$K5,$P5)&gt;0,J4+SUM(G5:I5),"")</f>
        <v>55800</v>
      </c>
      <c r="K5" s="8" t="s">
        <v>197</v>
      </c>
      <c r="L5" s="9">
        <v>-3900</v>
      </c>
      <c r="M5" s="9"/>
      <c r="N5" s="48">
        <v>0</v>
      </c>
      <c r="O5" s="21">
        <f t="shared" ref="O5:O30" si="3">IF(COUNTA($F5,$K5,$P5)&gt;0,O4+SUM(L5:N5),"")</f>
        <v>30100</v>
      </c>
      <c r="P5" s="8" t="s">
        <v>197</v>
      </c>
      <c r="Q5" s="9">
        <v>-3900</v>
      </c>
      <c r="R5" s="9"/>
      <c r="S5" s="48">
        <v>0</v>
      </c>
      <c r="T5" s="21">
        <f t="shared" ref="T5:T30" si="4">IF(COUNTA($F5,$K5,$P5)&gt;0,T4+SUM(Q5:S5),"")</f>
        <v>19100</v>
      </c>
      <c r="U5" s="53">
        <f>IF($J5="","",ROUND(($J5-$J$3)/1000,1)+(_xlfn.RANK.AVG($J5,($J5,$O5,$T5),1)-2)*20)</f>
        <v>40.799999999999997</v>
      </c>
      <c r="V5" s="54">
        <f>IF($O5="","",ROUND(($O5-$O$3)/1000,1)+(_xlfn.RANK.AVG($O5,($J5,$O5,$T5),1)-2)*20)</f>
        <v>-4.9000000000000004</v>
      </c>
      <c r="W5" s="55">
        <f>IF($T5="","",ROUND(($T5-$T$3)/1000,1)+(_xlfn.RANK.AVG($T5,($J5,$O5,$T5),1)-2)*20)</f>
        <v>-35.9</v>
      </c>
      <c r="Y5" s="8"/>
      <c r="Z5" s="34"/>
      <c r="AA5" s="26"/>
      <c r="AB5" s="26">
        <v>1</v>
      </c>
      <c r="AC5" s="26">
        <v>3</v>
      </c>
      <c r="AD5" s="30">
        <v>40</v>
      </c>
      <c r="AE5" s="40" t="s">
        <v>86</v>
      </c>
      <c r="AF5" s="41" t="s">
        <v>86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191</v>
      </c>
      <c r="F6" s="8" t="s">
        <v>201</v>
      </c>
      <c r="G6" s="9">
        <v>12000</v>
      </c>
      <c r="H6" s="9"/>
      <c r="I6" s="48">
        <v>1000</v>
      </c>
      <c r="J6" s="21">
        <f t="shared" si="2"/>
        <v>68800</v>
      </c>
      <c r="K6" s="8"/>
      <c r="L6" s="9"/>
      <c r="M6" s="9"/>
      <c r="N6" s="48"/>
      <c r="O6" s="21">
        <f t="shared" si="3"/>
        <v>30100</v>
      </c>
      <c r="P6" s="8" t="s">
        <v>200</v>
      </c>
      <c r="Q6" s="9">
        <v>-12000</v>
      </c>
      <c r="R6" s="9"/>
      <c r="S6" s="48">
        <v>-1000</v>
      </c>
      <c r="T6" s="21">
        <f t="shared" si="4"/>
        <v>6100</v>
      </c>
      <c r="U6" s="53">
        <f>IF($J6="","",ROUND(($J6-$J$3)/1000,1)+(_xlfn.RANK.AVG($J6,($J6,$O6,$T6),1)-2)*20)</f>
        <v>53.8</v>
      </c>
      <c r="V6" s="54">
        <f>IF($O6="","",ROUND(($O6-$O$3)/1000,1)+(_xlfn.RANK.AVG($O6,($J6,$O6,$T6),1)-2)*20)</f>
        <v>-4.9000000000000004</v>
      </c>
      <c r="W6" s="55">
        <f>IF($T6="","",ROUND(($T6-$T$3)/1000,1)+(_xlfn.RANK.AVG($T6,($J6,$O6,$T6),1)-2)*20)</f>
        <v>-48.9</v>
      </c>
      <c r="Y6" s="8"/>
      <c r="Z6" s="34"/>
      <c r="AA6" s="26">
        <v>1</v>
      </c>
      <c r="AB6" s="26"/>
      <c r="AC6" s="26">
        <v>5</v>
      </c>
      <c r="AD6" s="30" t="s">
        <v>199</v>
      </c>
      <c r="AE6" s="40" t="s">
        <v>202</v>
      </c>
      <c r="AF6" s="41" t="s">
        <v>85</v>
      </c>
      <c r="AG6" s="41" t="s">
        <v>205</v>
      </c>
      <c r="AH6" s="41" t="s">
        <v>203</v>
      </c>
      <c r="AI6" s="41" t="s">
        <v>80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191</v>
      </c>
      <c r="F7" s="8" t="s">
        <v>198</v>
      </c>
      <c r="G7" s="9">
        <v>12000</v>
      </c>
      <c r="H7" s="9"/>
      <c r="I7" s="48">
        <v>2000</v>
      </c>
      <c r="J7" s="21">
        <f t="shared" si="2"/>
        <v>82800</v>
      </c>
      <c r="K7" s="8" t="s">
        <v>197</v>
      </c>
      <c r="L7" s="9">
        <v>-6000</v>
      </c>
      <c r="M7" s="9"/>
      <c r="N7" s="48">
        <v>-1000</v>
      </c>
      <c r="O7" s="21">
        <f t="shared" si="3"/>
        <v>23100</v>
      </c>
      <c r="P7" s="8" t="s">
        <v>197</v>
      </c>
      <c r="Q7" s="9">
        <v>-6000</v>
      </c>
      <c r="R7" s="9"/>
      <c r="S7" s="48">
        <v>-1000</v>
      </c>
      <c r="T7" s="21">
        <f t="shared" si="4"/>
        <v>-900</v>
      </c>
      <c r="U7" s="53">
        <f>IF($J7="","",ROUND(($J7-$J$3)/1000,1)+(_xlfn.RANK.AVG($J7,($J7,$O7,$T7),1)-2)*20)</f>
        <v>67.8</v>
      </c>
      <c r="V7" s="54">
        <f>IF($O7="","",ROUND(($O7-$O$3)/1000,1)+(_xlfn.RANK.AVG($O7,($J7,$O7,$T7),1)-2)*20)</f>
        <v>-11.9</v>
      </c>
      <c r="W7" s="55">
        <f>IF($T7="","",ROUND(($T7-$T$3)/1000,1)+(_xlfn.RANK.AVG($T7,($J7,$O7,$T7),1)-2)*20)</f>
        <v>-55.9</v>
      </c>
      <c r="Y7" s="8"/>
      <c r="Z7" s="34"/>
      <c r="AA7" s="26"/>
      <c r="AB7" s="26">
        <v>1</v>
      </c>
      <c r="AC7" s="26">
        <v>5</v>
      </c>
      <c r="AD7" s="30" t="s">
        <v>199</v>
      </c>
      <c r="AE7" s="40" t="s">
        <v>98</v>
      </c>
      <c r="AF7" s="41" t="s">
        <v>86</v>
      </c>
      <c r="AG7" s="41" t="s">
        <v>86</v>
      </c>
      <c r="AH7" s="41" t="s">
        <v>86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BC45AC81-CBBE-47E9-A9C9-FA190F59DBA4}">
      <formula1>"だいち,りくと,ただ,れんたろう,たかの,ぱぱ,まっつん,あさひ,いっしー,ほたに,かわたつ,やがさき,"</formula1>
    </dataValidation>
    <dataValidation type="list" showInputMessage="1" showErrorMessage="1" sqref="K4:K30 P4:P30 F4:F30" xr:uid="{ACA7C9E4-9D03-43DD-9EF2-96155B369C9E}">
      <formula1>"ロン,ツモ,放銃,ツモ支払,流局,チョンボ"</formula1>
    </dataValidation>
    <dataValidation type="list" allowBlank="1" showInputMessage="1" showErrorMessage="1" sqref="E4:E30" xr:uid="{A7DF8C06-CD54-4DAA-A8A0-7AE249AB2AC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DF82-31DD-4817-B527-466BE0FA8A56}">
  <sheetPr codeName="Sheet12">
    <pageSetUpPr fitToPage="1"/>
  </sheetPr>
  <dimension ref="A1:CI30"/>
  <sheetViews>
    <sheetView tabSelected="1" zoomScaleNormal="100" workbookViewId="0">
      <selection activeCell="C14" sqref="C1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204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りくと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だいち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206</v>
      </c>
      <c r="G4" s="9">
        <v>0</v>
      </c>
      <c r="H4" s="9"/>
      <c r="I4" s="48"/>
      <c r="J4" s="21">
        <f>IF(COUNTA($F4,$K4,$P4)&gt;0,J3+SUM(G4:I4),"")</f>
        <v>35000</v>
      </c>
      <c r="K4" s="8" t="s">
        <v>206</v>
      </c>
      <c r="L4" s="9">
        <v>0</v>
      </c>
      <c r="M4" s="9"/>
      <c r="N4" s="48"/>
      <c r="O4" s="21">
        <f>IF(COUNTA($F4,$K4,$P4)&gt;0,O3+SUM(L4:N4),"")</f>
        <v>35000</v>
      </c>
      <c r="P4" s="8" t="s">
        <v>206</v>
      </c>
      <c r="Q4" s="9">
        <v>0</v>
      </c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IF($J4="","",ROUND(($J4-$J$3)/1000,1)+(_xlfn.RANK.AVG($J4,($J4,$O4,$T4),1)-2)*20)</f>
        <v>10</v>
      </c>
      <c r="V4" s="54">
        <f>IF($O4="","",ROUND(($O4-$O$3)/1000,1)+(_xlfn.RANK.AVG($O4,($J4,$O4,$T4),1)-2)*20)</f>
        <v>10</v>
      </c>
      <c r="W4" s="55">
        <f>IF($T4="","",ROUND(($T4-$T$3)/1000,1)+(_xlfn.RANK.AVG($T4,($J4,$O4,$T4),1)-2)*20)</f>
        <v>-21</v>
      </c>
      <c r="Y4" s="8" t="s">
        <v>194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194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194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193</v>
      </c>
      <c r="F5" s="8" t="s">
        <v>200</v>
      </c>
      <c r="G5" s="9">
        <v>-8000</v>
      </c>
      <c r="H5" s="9">
        <v>-1000</v>
      </c>
      <c r="I5" s="48">
        <v>-1000</v>
      </c>
      <c r="J5" s="21">
        <f t="shared" ref="J5:J30" si="2">IF(COUNTA($F5,$K5,$P5)&gt;0,J4+SUM(G5:I5),"")</f>
        <v>25000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201</v>
      </c>
      <c r="Q5" s="9">
        <v>8000</v>
      </c>
      <c r="R5" s="9">
        <v>2000</v>
      </c>
      <c r="S5" s="48">
        <v>1000</v>
      </c>
      <c r="T5" s="21">
        <f t="shared" ref="T5:T30" si="4">IF(COUNTA($F5,$K5,$P5)&gt;0,T4+SUM(Q5:S5),"")</f>
        <v>45000</v>
      </c>
      <c r="U5" s="53">
        <f>IF($J5="","",ROUND(($J5-$J$3)/1000,1)+(_xlfn.RANK.AVG($J5,($J5,$O5,$T5),1)-2)*20)</f>
        <v>-30</v>
      </c>
      <c r="V5" s="54">
        <f>IF($O5="","",ROUND(($O5-$O$3)/1000,1)+(_xlfn.RANK.AVG($O5,($J5,$O5,$T5),1)-2)*20)</f>
        <v>0</v>
      </c>
      <c r="W5" s="55">
        <f>IF($T5="","",ROUND(($T5-$T$3)/1000,1)+(_xlfn.RANK.AVG($T5,($J5,$O5,$T5),1)-2)*20)</f>
        <v>30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5</v>
      </c>
      <c r="BT5" s="30" t="s">
        <v>199</v>
      </c>
      <c r="BU5" s="40" t="s">
        <v>104</v>
      </c>
      <c r="BV5" s="41" t="s">
        <v>86</v>
      </c>
      <c r="BW5" s="41" t="s">
        <v>86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204</v>
      </c>
      <c r="F6" s="8" t="s">
        <v>197</v>
      </c>
      <c r="G6" s="9">
        <v>-9000</v>
      </c>
      <c r="H6" s="9"/>
      <c r="I6" s="48">
        <v>0</v>
      </c>
      <c r="J6" s="21">
        <f t="shared" si="2"/>
        <v>16000</v>
      </c>
      <c r="K6" s="8" t="s">
        <v>197</v>
      </c>
      <c r="L6" s="9">
        <v>-9000</v>
      </c>
      <c r="M6" s="9"/>
      <c r="N6" s="48">
        <v>0</v>
      </c>
      <c r="O6" s="21">
        <f t="shared" si="3"/>
        <v>26000</v>
      </c>
      <c r="P6" s="8" t="s">
        <v>198</v>
      </c>
      <c r="Q6" s="9">
        <v>18000</v>
      </c>
      <c r="R6" s="9"/>
      <c r="S6" s="48">
        <v>0</v>
      </c>
      <c r="T6" s="21">
        <f t="shared" si="4"/>
        <v>63000</v>
      </c>
      <c r="U6" s="53">
        <f>IF($J6="","",ROUND(($J6-$J$3)/1000,1)+(_xlfn.RANK.AVG($J6,($J6,$O6,$T6),1)-2)*20)</f>
        <v>-39</v>
      </c>
      <c r="V6" s="54">
        <f>IF($O6="","",ROUND(($O6-$O$3)/1000,1)+(_xlfn.RANK.AVG($O6,($J6,$O6,$T6),1)-2)*20)</f>
        <v>-9</v>
      </c>
      <c r="W6" s="55">
        <f>IF($T6="","",ROUND(($T6-$T$3)/1000,1)+(_xlfn.RANK.AVG($T6,($J6,$O6,$T6),1)-2)*20)</f>
        <v>48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7</v>
      </c>
      <c r="BT6" s="30" t="s">
        <v>199</v>
      </c>
      <c r="BU6" s="40" t="s">
        <v>86</v>
      </c>
      <c r="BV6" s="41" t="s">
        <v>104</v>
      </c>
      <c r="BW6" s="41" t="s">
        <v>86</v>
      </c>
      <c r="BX6" s="41" t="s">
        <v>79</v>
      </c>
      <c r="BY6" s="41" t="s">
        <v>79</v>
      </c>
      <c r="BZ6" s="41" t="s">
        <v>79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204</v>
      </c>
      <c r="F7" s="8" t="s">
        <v>201</v>
      </c>
      <c r="G7" s="9">
        <v>2600</v>
      </c>
      <c r="H7" s="9"/>
      <c r="I7" s="48">
        <v>1000</v>
      </c>
      <c r="J7" s="21">
        <f t="shared" si="2"/>
        <v>19600</v>
      </c>
      <c r="K7" s="8"/>
      <c r="L7" s="9"/>
      <c r="M7" s="9"/>
      <c r="N7" s="48"/>
      <c r="O7" s="21">
        <f t="shared" si="3"/>
        <v>26000</v>
      </c>
      <c r="P7" s="8" t="s">
        <v>200</v>
      </c>
      <c r="Q7" s="9">
        <v>-2600</v>
      </c>
      <c r="R7" s="9"/>
      <c r="S7" s="48">
        <v>-1000</v>
      </c>
      <c r="T7" s="21">
        <f t="shared" si="4"/>
        <v>59400</v>
      </c>
      <c r="U7" s="53">
        <f>IF($J7="","",ROUND(($J7-$J$3)/1000,1)+(_xlfn.RANK.AVG($J7,($J7,$O7,$T7),1)-2)*20)</f>
        <v>-35.4</v>
      </c>
      <c r="V7" s="54">
        <f>IF($O7="","",ROUND(($O7-$O$3)/1000,1)+(_xlfn.RANK.AVG($O7,($J7,$O7,$T7),1)-2)*20)</f>
        <v>-9</v>
      </c>
      <c r="W7" s="55">
        <f>IF($T7="","",ROUND(($T7-$T$3)/1000,1)+(_xlfn.RANK.AVG($T7,($J7,$O7,$T7),1)-2)*20)</f>
        <v>44.4</v>
      </c>
      <c r="Y7" s="8"/>
      <c r="Z7" s="34"/>
      <c r="AA7" s="26">
        <v>1</v>
      </c>
      <c r="AB7" s="26"/>
      <c r="AC7" s="26">
        <v>2</v>
      </c>
      <c r="AD7" s="30">
        <v>40</v>
      </c>
      <c r="AE7" s="40" t="s">
        <v>202</v>
      </c>
      <c r="AF7" s="41" t="s">
        <v>86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191</v>
      </c>
      <c r="F8" s="8"/>
      <c r="G8" s="9"/>
      <c r="H8" s="9"/>
      <c r="I8" s="48"/>
      <c r="J8" s="21">
        <f t="shared" si="2"/>
        <v>19600</v>
      </c>
      <c r="K8" s="8" t="s">
        <v>200</v>
      </c>
      <c r="L8" s="9">
        <v>-16000</v>
      </c>
      <c r="M8" s="9"/>
      <c r="N8" s="48">
        <v>0</v>
      </c>
      <c r="O8" s="21">
        <f t="shared" si="3"/>
        <v>10000</v>
      </c>
      <c r="P8" s="8" t="s">
        <v>201</v>
      </c>
      <c r="Q8" s="9">
        <v>16000</v>
      </c>
      <c r="R8" s="9"/>
      <c r="S8" s="48">
        <v>0</v>
      </c>
      <c r="T8" s="21">
        <f t="shared" si="4"/>
        <v>75400</v>
      </c>
      <c r="U8" s="53">
        <f>IF($J8="","",ROUND(($J8-$J$3)/1000,1)+(_xlfn.RANK.AVG($J8,($J8,$O8,$T8),1)-2)*20)</f>
        <v>-15.4</v>
      </c>
      <c r="V8" s="54">
        <f>IF($O8="","",ROUND(($O8-$O$3)/1000,1)+(_xlfn.RANK.AVG($O8,($J8,$O8,$T8),1)-2)*20)</f>
        <v>-45</v>
      </c>
      <c r="W8" s="55">
        <f>IF($T8="","",ROUND(($T8-$T$3)/1000,1)+(_xlfn.RANK.AVG($T8,($J8,$O8,$T8),1)-2)*20)</f>
        <v>60.4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9</v>
      </c>
      <c r="BT8" s="30" t="s">
        <v>199</v>
      </c>
      <c r="BU8" s="40" t="s">
        <v>202</v>
      </c>
      <c r="BV8" s="41" t="s">
        <v>205</v>
      </c>
      <c r="BW8" s="41" t="s">
        <v>101</v>
      </c>
      <c r="BX8" s="41" t="s">
        <v>104</v>
      </c>
      <c r="BY8" s="41" t="s">
        <v>79</v>
      </c>
      <c r="BZ8" s="41" t="s">
        <v>79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206</v>
      </c>
      <c r="G9" s="9">
        <v>-3000</v>
      </c>
      <c r="H9" s="9"/>
      <c r="I9" s="48"/>
      <c r="J9" s="21">
        <f t="shared" si="2"/>
        <v>16600</v>
      </c>
      <c r="K9" s="8" t="s">
        <v>206</v>
      </c>
      <c r="L9" s="9">
        <v>1500</v>
      </c>
      <c r="M9" s="9"/>
      <c r="N9" s="48"/>
      <c r="O9" s="21">
        <f t="shared" si="3"/>
        <v>11500</v>
      </c>
      <c r="P9" s="8" t="s">
        <v>206</v>
      </c>
      <c r="Q9" s="9">
        <v>1500</v>
      </c>
      <c r="R9" s="9">
        <v>-1000</v>
      </c>
      <c r="S9" s="48"/>
      <c r="T9" s="21">
        <f t="shared" si="4"/>
        <v>75900</v>
      </c>
      <c r="U9" s="53">
        <f>IF($J9="","",ROUND(($J9-$J$3)/1000,1)+(_xlfn.RANK.AVG($J9,($J9,$O9,$T9),1)-2)*20)</f>
        <v>-18.399999999999999</v>
      </c>
      <c r="V9" s="54">
        <f>IF($O9="","",ROUND(($O9-$O$3)/1000,1)+(_xlfn.RANK.AVG($O9,($J9,$O9,$T9),1)-2)*20)</f>
        <v>-43.5</v>
      </c>
      <c r="W9" s="55">
        <f>IF($T9="","",ROUND(($T9-$T$3)/1000,1)+(_xlfn.RANK.AVG($T9,($J9,$O9,$T9),1)-2)*20)</f>
        <v>60.9</v>
      </c>
      <c r="Y9" s="8" t="s">
        <v>195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194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194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1</v>
      </c>
      <c r="E10" s="4" t="s">
        <v>193</v>
      </c>
      <c r="F10" s="8" t="s">
        <v>201</v>
      </c>
      <c r="G10" s="9">
        <v>12000</v>
      </c>
      <c r="H10" s="9">
        <v>1000</v>
      </c>
      <c r="I10" s="48">
        <v>1000</v>
      </c>
      <c r="J10" s="21">
        <f t="shared" si="2"/>
        <v>30600</v>
      </c>
      <c r="K10" s="8"/>
      <c r="L10" s="9"/>
      <c r="M10" s="9"/>
      <c r="N10" s="48"/>
      <c r="O10" s="21">
        <f t="shared" si="3"/>
        <v>11500</v>
      </c>
      <c r="P10" s="8" t="s">
        <v>200</v>
      </c>
      <c r="Q10" s="9">
        <v>-12000</v>
      </c>
      <c r="R10" s="9"/>
      <c r="S10" s="48">
        <v>-1000</v>
      </c>
      <c r="T10" s="21">
        <f t="shared" si="4"/>
        <v>62900</v>
      </c>
      <c r="U10" s="53">
        <f>IF($J10="","",ROUND(($J10-$J$3)/1000,1)+(_xlfn.RANK.AVG($J10,($J10,$O10,$T10),1)-2)*20)</f>
        <v>-4.4000000000000004</v>
      </c>
      <c r="V10" s="54">
        <f>IF($O10="","",ROUND(($O10-$O$3)/1000,1)+(_xlfn.RANK.AVG($O10,($J10,$O10,$T10),1)-2)*20)</f>
        <v>-43.5</v>
      </c>
      <c r="W10" s="55">
        <f>IF($T10="","",ROUND(($T10-$T$3)/1000,1)+(_xlfn.RANK.AVG($T10,($J10,$O10,$T10),1)-2)*20)</f>
        <v>47.9</v>
      </c>
      <c r="Y10" s="8"/>
      <c r="Z10" s="34"/>
      <c r="AA10" s="26">
        <v>1</v>
      </c>
      <c r="AB10" s="26"/>
      <c r="AC10" s="26">
        <v>6</v>
      </c>
      <c r="AD10" s="30" t="s">
        <v>199</v>
      </c>
      <c r="AE10" s="40" t="s">
        <v>202</v>
      </c>
      <c r="AF10" s="41" t="s">
        <v>203</v>
      </c>
      <c r="AG10" s="41" t="s">
        <v>79</v>
      </c>
      <c r="AH10" s="41" t="s">
        <v>79</v>
      </c>
      <c r="AI10" s="41" t="s">
        <v>79</v>
      </c>
      <c r="AJ10" s="41" t="s">
        <v>80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204</v>
      </c>
      <c r="F11" s="8"/>
      <c r="G11" s="9"/>
      <c r="H11" s="9"/>
      <c r="I11" s="48"/>
      <c r="J11" s="21">
        <f t="shared" si="2"/>
        <v>30600</v>
      </c>
      <c r="K11" s="8" t="s">
        <v>200</v>
      </c>
      <c r="L11" s="9">
        <v>-3900</v>
      </c>
      <c r="M11" s="9"/>
      <c r="N11" s="48">
        <v>0</v>
      </c>
      <c r="O11" s="21">
        <f t="shared" si="3"/>
        <v>7600</v>
      </c>
      <c r="P11" s="8" t="s">
        <v>201</v>
      </c>
      <c r="Q11" s="9">
        <v>3900</v>
      </c>
      <c r="R11" s="9"/>
      <c r="S11" s="48">
        <v>0</v>
      </c>
      <c r="T11" s="21">
        <f t="shared" si="4"/>
        <v>66800</v>
      </c>
      <c r="U11" s="53">
        <f>IF($J11="","",ROUND(($J11-$J$3)/1000,1)+(_xlfn.RANK.AVG($J11,($J11,$O11,$T11),1)-2)*20)</f>
        <v>-4.4000000000000004</v>
      </c>
      <c r="V11" s="54">
        <f>IF($O11="","",ROUND(($O11-$O$3)/1000,1)+(_xlfn.RANK.AVG($O11,($J11,$O11,$T11),1)-2)*20)</f>
        <v>-47.4</v>
      </c>
      <c r="W11" s="55">
        <f>IF($T11="","",ROUND(($T11-$T$3)/1000,1)+(_xlfn.RANK.AVG($T11,($J11,$O11,$T11),1)-2)*20)</f>
        <v>51.8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2</v>
      </c>
      <c r="BT11" s="30">
        <v>40</v>
      </c>
      <c r="BU11" s="40" t="s">
        <v>202</v>
      </c>
      <c r="BV11" s="41" t="s">
        <v>84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204</v>
      </c>
      <c r="F12" s="8" t="s">
        <v>200</v>
      </c>
      <c r="G12" s="9">
        <v>-8000</v>
      </c>
      <c r="H12" s="9"/>
      <c r="I12" s="48">
        <v>-1000</v>
      </c>
      <c r="J12" s="21">
        <f t="shared" si="2"/>
        <v>21600</v>
      </c>
      <c r="K12" s="8" t="s">
        <v>201</v>
      </c>
      <c r="L12" s="9">
        <v>8000</v>
      </c>
      <c r="M12" s="9"/>
      <c r="N12" s="48">
        <v>1000</v>
      </c>
      <c r="O12" s="21">
        <f t="shared" si="3"/>
        <v>16600</v>
      </c>
      <c r="P12" s="8"/>
      <c r="Q12" s="9"/>
      <c r="R12" s="9"/>
      <c r="S12" s="48"/>
      <c r="T12" s="21">
        <f t="shared" si="4"/>
        <v>66800</v>
      </c>
      <c r="U12" s="53">
        <f>IF($J12="","",ROUND(($J12-$J$3)/1000,1)+(_xlfn.RANK.AVG($J12,($J12,$O12,$T12),1)-2)*20)</f>
        <v>-13.4</v>
      </c>
      <c r="V12" s="54">
        <f>IF($O12="","",ROUND(($O12-$O$3)/1000,1)+(_xlfn.RANK.AVG($O12,($J12,$O12,$T12),1)-2)*20)</f>
        <v>-38.4</v>
      </c>
      <c r="W12" s="55">
        <f>IF($T12="","",ROUND(($T12-$T$3)/1000,1)+(_xlfn.RANK.AVG($T12,($J12,$O12,$T12),1)-2)*20)</f>
        <v>51.8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4</v>
      </c>
      <c r="AY12" s="30">
        <v>40</v>
      </c>
      <c r="AZ12" s="40" t="s">
        <v>104</v>
      </c>
      <c r="BA12" s="41" t="s">
        <v>86</v>
      </c>
      <c r="BB12" s="41" t="s">
        <v>86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191</v>
      </c>
      <c r="F13" s="8" t="s">
        <v>206</v>
      </c>
      <c r="G13" s="9">
        <v>-1500</v>
      </c>
      <c r="H13" s="9"/>
      <c r="I13" s="48"/>
      <c r="J13" s="21">
        <f t="shared" si="2"/>
        <v>20100</v>
      </c>
      <c r="K13" s="8" t="s">
        <v>206</v>
      </c>
      <c r="L13" s="9">
        <v>3000</v>
      </c>
      <c r="M13" s="9">
        <v>-1000</v>
      </c>
      <c r="N13" s="48"/>
      <c r="O13" s="21">
        <f t="shared" si="3"/>
        <v>18600</v>
      </c>
      <c r="P13" s="8" t="s">
        <v>206</v>
      </c>
      <c r="Q13" s="9">
        <v>-1500</v>
      </c>
      <c r="R13" s="9">
        <v>1000</v>
      </c>
      <c r="S13" s="48"/>
      <c r="T13" s="21">
        <f t="shared" si="4"/>
        <v>66300</v>
      </c>
      <c r="U13" s="53">
        <f>IF($J13="","",ROUND(($J13-$J$3)/1000,1)+(_xlfn.RANK.AVG($J13,($J13,$O13,$T13),1)-2)*20)</f>
        <v>-14.9</v>
      </c>
      <c r="V13" s="54">
        <f>IF($O13="","",ROUND(($O13-$O$3)/1000,1)+(_xlfn.RANK.AVG($O13,($J13,$O13,$T13),1)-2)*20)</f>
        <v>-36.4</v>
      </c>
      <c r="W13" s="55">
        <f>IF($T13="","",ROUND(($T13-$T$3)/1000,1)+(_xlfn.RANK.AVG($T13,($J13,$O13,$T13),1)-2)*20)</f>
        <v>51.3</v>
      </c>
      <c r="Y13" s="8" t="s">
        <v>195</v>
      </c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194</v>
      </c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195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D9A69FE-139F-47BC-865A-5757948FF801}">
      <formula1>$U$2:$W$2</formula1>
    </dataValidation>
    <dataValidation type="list" showInputMessage="1" showErrorMessage="1" sqref="K4:K30 P4:P30 F4:F30" xr:uid="{A7EBD72E-1690-4F5B-B723-CD56C097F580}">
      <formula1>"ロン,ツモ,放銃,ツモ支払,流局,チョンボ"</formula1>
    </dataValidation>
    <dataValidation type="list" allowBlank="1" showInputMessage="1" sqref="F1:T1" xr:uid="{2CEACB03-9ACB-4783-9CC2-AC102700C0A0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2019-06-13T15:53:00Z</dcterms:modified>
</cp:coreProperties>
</file>