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9DE2FE02-365D-41BE-AADE-2F19116A452D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役一覧" sheetId="15" state="hidden" r:id="rId6"/>
    <sheet name="点数表(親ロン)" sheetId="4" state="hidden" r:id="rId7"/>
    <sheet name="点数表(親ツモ)" sheetId="9" state="hidden" r:id="rId8"/>
    <sheet name="点数表(子→親)" sheetId="7" state="hidden" r:id="rId9"/>
    <sheet name="点数表(子ロン)" sheetId="3" state="hidden" r:id="rId10"/>
    <sheet name="点数表(子ツモ)" sheetId="10" state="hidden" r:id="rId11"/>
    <sheet name="点数表(子→子)" sheetId="5" state="hidden" r:id="rId12"/>
    <sheet name="点数表(親→子)" sheetId="6" state="hidden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3" l="1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 s="1"/>
  <c r="T13" i="23"/>
  <c r="O13" i="23"/>
  <c r="J13" i="23"/>
  <c r="D13" i="23"/>
  <c r="C13" i="23"/>
  <c r="B13" i="23"/>
  <c r="A13" i="23" s="1"/>
  <c r="T12" i="23"/>
  <c r="O12" i="23"/>
  <c r="J12" i="23"/>
  <c r="D12" i="23"/>
  <c r="C12" i="23"/>
  <c r="B12" i="23"/>
  <c r="A12" i="23" s="1"/>
  <c r="T11" i="23"/>
  <c r="O11" i="23"/>
  <c r="J11" i="23"/>
  <c r="U11" i="23" s="1"/>
  <c r="D11" i="23"/>
  <c r="C11" i="23"/>
  <c r="B11" i="23"/>
  <c r="A11" i="23"/>
  <c r="T10" i="23"/>
  <c r="O10" i="23"/>
  <c r="J10" i="23"/>
  <c r="U10" i="23" s="1"/>
  <c r="D10" i="23"/>
  <c r="C10" i="23"/>
  <c r="B10" i="23"/>
  <c r="A10" i="23" s="1"/>
  <c r="T9" i="23"/>
  <c r="O9" i="23"/>
  <c r="J9" i="23"/>
  <c r="D9" i="23"/>
  <c r="C9" i="23"/>
  <c r="B9" i="23"/>
  <c r="A9" i="23" s="1"/>
  <c r="T8" i="23"/>
  <c r="O8" i="23"/>
  <c r="J8" i="23"/>
  <c r="U8" i="23" s="1"/>
  <c r="D8" i="23"/>
  <c r="C8" i="23"/>
  <c r="B8" i="23"/>
  <c r="A8" i="23"/>
  <c r="T7" i="23"/>
  <c r="O7" i="23"/>
  <c r="J7" i="23"/>
  <c r="D7" i="23"/>
  <c r="C7" i="23"/>
  <c r="B7" i="23"/>
  <c r="A7" i="23" s="1"/>
  <c r="D6" i="23"/>
  <c r="B6" i="23"/>
  <c r="A6" i="23"/>
  <c r="D5" i="23"/>
  <c r="C5" i="23"/>
  <c r="C6" i="23" s="1"/>
  <c r="B5" i="23"/>
  <c r="A5" i="23" s="1"/>
  <c r="T4" i="23"/>
  <c r="W4" i="23" s="1"/>
  <c r="O4" i="23"/>
  <c r="J4" i="23"/>
  <c r="J5" i="23" s="1"/>
  <c r="W3" i="23"/>
  <c r="V3" i="23"/>
  <c r="U3" i="23"/>
  <c r="W2" i="23"/>
  <c r="V2" i="23"/>
  <c r="U2" i="23"/>
  <c r="BO1" i="23"/>
  <c r="AT1" i="23"/>
  <c r="Y1" i="23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/>
  <c r="T12" i="22"/>
  <c r="W12" i="22" s="1"/>
  <c r="O12" i="22"/>
  <c r="V12" i="22" s="1"/>
  <c r="J12" i="22"/>
  <c r="U12" i="22" s="1"/>
  <c r="D12" i="22"/>
  <c r="C12" i="22"/>
  <c r="B12" i="22"/>
  <c r="A12" i="22"/>
  <c r="T11" i="22"/>
  <c r="W11" i="22" s="1"/>
  <c r="O11" i="22"/>
  <c r="V11" i="22" s="1"/>
  <c r="J11" i="22"/>
  <c r="U11" i="22" s="1"/>
  <c r="D11" i="22"/>
  <c r="C11" i="22"/>
  <c r="B11" i="22"/>
  <c r="A11" i="22"/>
  <c r="T10" i="22"/>
  <c r="W10" i="22" s="1"/>
  <c r="O10" i="22"/>
  <c r="V10" i="22" s="1"/>
  <c r="J10" i="22"/>
  <c r="U10" i="22" s="1"/>
  <c r="D10" i="22"/>
  <c r="C10" i="22"/>
  <c r="B10" i="22"/>
  <c r="A10" i="22"/>
  <c r="D9" i="22"/>
  <c r="C9" i="22"/>
  <c r="D8" i="22"/>
  <c r="C8" i="22"/>
  <c r="D7" i="22"/>
  <c r="C7" i="22"/>
  <c r="D6" i="22"/>
  <c r="C6" i="22"/>
  <c r="O5" i="22"/>
  <c r="J5" i="22"/>
  <c r="J6" i="22" s="1"/>
  <c r="D5" i="22"/>
  <c r="C5" i="22"/>
  <c r="B5" i="22"/>
  <c r="B6" i="22" s="1"/>
  <c r="T4" i="22"/>
  <c r="O4" i="22"/>
  <c r="J4" i="22"/>
  <c r="W3" i="22"/>
  <c r="V3" i="22"/>
  <c r="U3" i="22"/>
  <c r="W2" i="22"/>
  <c r="V2" i="22"/>
  <c r="U2" i="22"/>
  <c r="BO1" i="22"/>
  <c r="AT1" i="22"/>
  <c r="Y1" i="22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/>
  <c r="D11" i="21"/>
  <c r="C11" i="21"/>
  <c r="D10" i="21"/>
  <c r="C10" i="21"/>
  <c r="D9" i="21"/>
  <c r="C9" i="21"/>
  <c r="D8" i="21"/>
  <c r="C8" i="21"/>
  <c r="D7" i="21"/>
  <c r="C7" i="21"/>
  <c r="D6" i="21"/>
  <c r="C6" i="21"/>
  <c r="J5" i="21"/>
  <c r="D5" i="21"/>
  <c r="C5" i="21"/>
  <c r="B5" i="21"/>
  <c r="B6" i="21" s="1"/>
  <c r="T4" i="21"/>
  <c r="O4" i="21"/>
  <c r="O5" i="21" s="1"/>
  <c r="J4" i="21"/>
  <c r="U4" i="21" s="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D10" i="20"/>
  <c r="D11" i="20" s="1"/>
  <c r="D9" i="20"/>
  <c r="C9" i="20"/>
  <c r="C10" i="20" s="1"/>
  <c r="C11" i="20" s="1"/>
  <c r="D8" i="20"/>
  <c r="C8" i="20"/>
  <c r="D7" i="20"/>
  <c r="D6" i="20"/>
  <c r="C6" i="20"/>
  <c r="C7" i="20" s="1"/>
  <c r="B6" i="20"/>
  <c r="B7" i="20" s="1"/>
  <c r="D5" i="20"/>
  <c r="C5" i="20"/>
  <c r="B5" i="20"/>
  <c r="A5" i="20"/>
  <c r="T4" i="20"/>
  <c r="O4" i="20"/>
  <c r="V4" i="20" s="1"/>
  <c r="J4" i="20"/>
  <c r="J5" i="20" s="1"/>
  <c r="W3" i="20"/>
  <c r="V3" i="20"/>
  <c r="U3" i="20"/>
  <c r="W2" i="20"/>
  <c r="V2" i="20"/>
  <c r="U2" i="20"/>
  <c r="BO1" i="20"/>
  <c r="AT1" i="20"/>
  <c r="Y1" i="20"/>
  <c r="W13" i="23" l="1"/>
  <c r="U13" i="23"/>
  <c r="V13" i="23"/>
  <c r="V12" i="23"/>
  <c r="W12" i="23"/>
  <c r="U12" i="23"/>
  <c r="V11" i="23"/>
  <c r="W11" i="23"/>
  <c r="V10" i="23"/>
  <c r="W10" i="23"/>
  <c r="V9" i="23"/>
  <c r="U9" i="23"/>
  <c r="W9" i="23"/>
  <c r="V8" i="23"/>
  <c r="W8" i="23"/>
  <c r="U7" i="23"/>
  <c r="V7" i="23"/>
  <c r="W7" i="23"/>
  <c r="V4" i="23"/>
  <c r="J6" i="23"/>
  <c r="U4" i="23"/>
  <c r="O5" i="23"/>
  <c r="T5" i="23"/>
  <c r="A5" i="22"/>
  <c r="U4" i="22"/>
  <c r="J7" i="22"/>
  <c r="A6" i="22"/>
  <c r="B7" i="22"/>
  <c r="A7" i="22" s="1"/>
  <c r="V4" i="22"/>
  <c r="T5" i="22"/>
  <c r="V5" i="22" s="1"/>
  <c r="W4" i="22"/>
  <c r="O6" i="22"/>
  <c r="V4" i="21"/>
  <c r="O6" i="21"/>
  <c r="B7" i="21"/>
  <c r="T5" i="21"/>
  <c r="J6" i="21"/>
  <c r="W4" i="21"/>
  <c r="A5" i="21"/>
  <c r="A6" i="21" s="1"/>
  <c r="A6" i="20"/>
  <c r="W4" i="20"/>
  <c r="J6" i="20"/>
  <c r="B8" i="20"/>
  <c r="A8" i="20" s="1"/>
  <c r="A7" i="20"/>
  <c r="U4" i="20"/>
  <c r="O5" i="20"/>
  <c r="T5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O11" i="19"/>
  <c r="J11" i="19"/>
  <c r="U11" i="19" s="1"/>
  <c r="D11" i="19"/>
  <c r="C11" i="19"/>
  <c r="B11" i="19"/>
  <c r="A11" i="19"/>
  <c r="T10" i="19"/>
  <c r="O10" i="19"/>
  <c r="J10" i="19"/>
  <c r="D10" i="19"/>
  <c r="C10" i="19"/>
  <c r="B10" i="19"/>
  <c r="A10" i="19"/>
  <c r="T9" i="19"/>
  <c r="O9" i="19"/>
  <c r="J9" i="19"/>
  <c r="U9" i="19" s="1"/>
  <c r="D9" i="19"/>
  <c r="C9" i="19"/>
  <c r="B9" i="19"/>
  <c r="A9" i="19"/>
  <c r="T8" i="19"/>
  <c r="W8" i="19" s="1"/>
  <c r="O8" i="19"/>
  <c r="J8" i="19"/>
  <c r="U8" i="19" s="1"/>
  <c r="D8" i="19"/>
  <c r="C8" i="19"/>
  <c r="B8" i="19"/>
  <c r="A8" i="19" s="1"/>
  <c r="T7" i="19"/>
  <c r="O7" i="19"/>
  <c r="J7" i="19"/>
  <c r="D7" i="19"/>
  <c r="C7" i="19"/>
  <c r="B7" i="19"/>
  <c r="A7" i="19"/>
  <c r="T6" i="19"/>
  <c r="O6" i="19"/>
  <c r="J6" i="19"/>
  <c r="D6" i="19"/>
  <c r="C6" i="19"/>
  <c r="B6" i="19"/>
  <c r="A6" i="19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W5" i="23" l="1"/>
  <c r="T6" i="23"/>
  <c r="V5" i="23"/>
  <c r="O6" i="23"/>
  <c r="V6" i="23" s="1"/>
  <c r="U5" i="23"/>
  <c r="U5" i="22"/>
  <c r="W5" i="22"/>
  <c r="T6" i="22"/>
  <c r="B8" i="22"/>
  <c r="A8" i="22"/>
  <c r="V6" i="22"/>
  <c r="O7" i="22"/>
  <c r="J8" i="22"/>
  <c r="J7" i="21"/>
  <c r="W5" i="21"/>
  <c r="T6" i="21"/>
  <c r="U5" i="21"/>
  <c r="B8" i="21"/>
  <c r="A8" i="21" s="1"/>
  <c r="A7" i="21"/>
  <c r="V6" i="21"/>
  <c r="O7" i="21"/>
  <c r="V5" i="21"/>
  <c r="V5" i="20"/>
  <c r="O6" i="20"/>
  <c r="B9" i="20"/>
  <c r="A9" i="20" s="1"/>
  <c r="W5" i="20"/>
  <c r="T6" i="20"/>
  <c r="J7" i="20"/>
  <c r="U5" i="20"/>
  <c r="V11" i="19"/>
  <c r="W11" i="19"/>
  <c r="U10" i="19"/>
  <c r="W10" i="19"/>
  <c r="V10" i="19"/>
  <c r="V9" i="19"/>
  <c r="W9" i="19"/>
  <c r="V8" i="19"/>
  <c r="W7" i="19"/>
  <c r="U7" i="19"/>
  <c r="V7" i="19"/>
  <c r="U6" i="19"/>
  <c r="V6" i="19"/>
  <c r="W6" i="19"/>
  <c r="U4" i="19"/>
  <c r="V4" i="19"/>
  <c r="W4" i="19"/>
  <c r="J5" i="19"/>
  <c r="O5" i="19"/>
  <c r="V5" i="19" s="1"/>
  <c r="U6" i="23" l="1"/>
  <c r="W6" i="23"/>
  <c r="J9" i="22"/>
  <c r="O8" i="22"/>
  <c r="V7" i="22"/>
  <c r="B9" i="22"/>
  <c r="A9" i="22" s="1"/>
  <c r="W6" i="22"/>
  <c r="T7" i="22"/>
  <c r="U6" i="22"/>
  <c r="B9" i="21"/>
  <c r="W6" i="21"/>
  <c r="T7" i="21"/>
  <c r="O8" i="21"/>
  <c r="V7" i="21"/>
  <c r="U7" i="21"/>
  <c r="J8" i="21"/>
  <c r="U6" i="21"/>
  <c r="U6" i="20"/>
  <c r="V6" i="20"/>
  <c r="O7" i="20"/>
  <c r="J8" i="20"/>
  <c r="W6" i="20"/>
  <c r="T7" i="20"/>
  <c r="B10" i="20"/>
  <c r="W5" i="19"/>
  <c r="U5" i="19"/>
  <c r="W7" i="22" l="1"/>
  <c r="T8" i="22"/>
  <c r="V8" i="22" s="1"/>
  <c r="U7" i="22"/>
  <c r="O9" i="22"/>
  <c r="B10" i="21"/>
  <c r="J9" i="21"/>
  <c r="O9" i="21"/>
  <c r="W7" i="21"/>
  <c r="T8" i="21"/>
  <c r="A9" i="21"/>
  <c r="U7" i="20"/>
  <c r="B11" i="20"/>
  <c r="A11" i="20" s="1"/>
  <c r="T8" i="20"/>
  <c r="W7" i="20"/>
  <c r="A10" i="20"/>
  <c r="J9" i="20"/>
  <c r="O8" i="20"/>
  <c r="V7" i="20"/>
  <c r="W8" i="22" l="1"/>
  <c r="T9" i="22"/>
  <c r="W9" i="22" s="1"/>
  <c r="U8" i="22"/>
  <c r="B11" i="21"/>
  <c r="W8" i="21"/>
  <c r="T9" i="21"/>
  <c r="U9" i="21" s="1"/>
  <c r="J10" i="21"/>
  <c r="A10" i="21"/>
  <c r="V8" i="21"/>
  <c r="V9" i="21"/>
  <c r="O10" i="21"/>
  <c r="U8" i="21"/>
  <c r="W8" i="20"/>
  <c r="T9" i="20"/>
  <c r="V8" i="20"/>
  <c r="O9" i="20"/>
  <c r="U9" i="20"/>
  <c r="J10" i="20"/>
  <c r="U8" i="20"/>
  <c r="U9" i="22" l="1"/>
  <c r="V9" i="22"/>
  <c r="A11" i="21"/>
  <c r="J11" i="21"/>
  <c r="W9" i="21"/>
  <c r="T10" i="21"/>
  <c r="O11" i="21"/>
  <c r="V9" i="20"/>
  <c r="O10" i="20"/>
  <c r="U10" i="20"/>
  <c r="J11" i="20"/>
  <c r="W9" i="20"/>
  <c r="T10" i="20"/>
  <c r="W10" i="21" l="1"/>
  <c r="T11" i="21"/>
  <c r="W11" i="21" s="1"/>
  <c r="U11" i="21"/>
  <c r="U10" i="21"/>
  <c r="V11" i="21"/>
  <c r="V10" i="21"/>
  <c r="V10" i="20"/>
  <c r="O11" i="20"/>
  <c r="W10" i="20"/>
  <c r="T11" i="20"/>
  <c r="U11" i="20" s="1"/>
  <c r="V11" i="20" l="1"/>
  <c r="W11" i="20"/>
</calcChain>
</file>

<file path=xl/sharedStrings.xml><?xml version="1.0" encoding="utf-8"?>
<sst xmlns="http://schemas.openxmlformats.org/spreadsheetml/2006/main" count="974" uniqueCount="208">
  <si>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</si>
  <si>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</si>
  <si>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</si>
  <si>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</si>
  <si>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</si>
  <si>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</si>
  <si>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</si>
  <si>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</si>
  <si>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</si>
  <si>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</si>
  <si>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</si>
  <si>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</si>
  <si>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</si>
  <si>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</si>
  <si>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</si>
  <si>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</si>
  <si>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</si>
  <si>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</si>
  <si>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</si>
  <si>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</si>
  <si>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</si>
  <si>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</si>
  <si>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</si>
  <si>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</si>
  <si>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</si>
  <si>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</si>
  <si>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</si>
  <si>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</si>
  <si>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</si>
  <si>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</si>
  <si>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</si>
  <si>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</si>
  <si>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</si>
  <si>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</si>
  <si>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</si>
  <si>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</si>
  <si>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</si>
  <si>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</si>
  <si>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</si>
  <si>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</si>
  <si>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</si>
  <si>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</si>
  <si>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</si>
  <si>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</si>
  <si>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</si>
  <si>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</si>
  <si>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</si>
  <si>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</si>
  <si>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</si>
  <si>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</si>
  <si>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</si>
  <si>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</si>
  <si>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</si>
  <si>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</si>
  <si>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</si>
  <si>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</si>
  <si>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</si>
  <si>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</si>
  <si>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</si>
  <si>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</si>
  <si>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</si>
  <si>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</si>
  <si>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</si>
  <si>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</si>
  <si>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</si>
  <si>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</si>
  <si>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</si>
  <si>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</si>
  <si>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</si>
  <si>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</si>
  <si>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</si>
  <si>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</si>
  <si>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</si>
  <si>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</si>
  <si>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</si>
  <si>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</si>
  <si>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</si>
  <si>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</si>
  <si>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</si>
  <si>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</si>
  <si>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</si>
  <si>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</si>
  <si>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</si>
  <si>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</si>
  <si>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</si>
  <si>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</si>
  <si>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</si>
  <si>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</si>
  <si>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</si>
  <si>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</si>
  <si>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</si>
  <si>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</si>
  <si>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</si>
  <si>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</si>
  <si>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</si>
  <si>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</si>
  <si>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</si>
  <si>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</si>
  <si>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</si>
  <si>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</si>
  <si>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</si>
  <si>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</si>
  <si>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</si>
  <si>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</si>
  <si>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</si>
  <si>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</si>
  <si>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</si>
  <si>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</si>
  <si>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</si>
  <si>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</si>
  <si>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</si>
  <si>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</si>
  <si>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</si>
  <si>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</si>
  <si>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</si>
  <si>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</si>
  <si>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</si>
  <si>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</si>
  <si>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</si>
  <si>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</si>
  <si>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</si>
  <si>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</si>
  <si>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</si>
  <si>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</si>
  <si>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</si>
  <si>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</si>
  <si>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</si>
  <si>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</si>
  <si>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</si>
  <si>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</si>
  <si>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</si>
  <si>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</si>
  <si>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</si>
  <si>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</si>
  <si>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</si>
  <si>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</si>
  <si>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</si>
  <si>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</si>
  <si>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</si>
  <si>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</si>
  <si>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</si>
  <si>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</si>
  <si>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</si>
  <si>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</si>
  <si>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</si>
  <si>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</si>
  <si>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</si>
  <si>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</si>
  <si>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</si>
  <si>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</si>
  <si>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</si>
  <si>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</si>
  <si>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</si>
  <si>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</si>
  <si>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</si>
  <si>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</si>
  <si>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</si>
  <si>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</si>
  <si>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</si>
  <si>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</si>
  <si>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</si>
  <si>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</si>
  <si>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</si>
  <si>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</si>
  <si>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</si>
  <si>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</si>
  <si>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</si>
  <si>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</si>
  <si>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</si>
  <si>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</si>
  <si>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</si>
  <si>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</si>
  <si>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</si>
  <si>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</si>
  <si>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</si>
  <si>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</si>
  <si>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</si>
  <si>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</si>
  <si>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</si>
  <si>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</si>
  <si>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</si>
  <si>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</si>
  <si>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</si>
  <si>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</si>
  <si>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</si>
  <si>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</si>
  <si>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</si>
  <si>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</si>
  <si>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</si>
  <si>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</si>
  <si>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</si>
  <si>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</si>
  <si>
    <t>まっつん</t>
  </si>
  <si>
    <t>ただ</t>
  </si>
  <si>
    <t>ツモ支払</t>
  </si>
  <si>
    <t>ツモ</t>
  </si>
  <si>
    <t>01</t>
  </si>
  <si>
    <t>放銃</t>
  </si>
  <si>
    <t>ロン</t>
  </si>
  <si>
    <t>*</t>
  </si>
  <si>
    <t>02</t>
  </si>
  <si>
    <t>52</t>
  </si>
  <si>
    <t>T</t>
  </si>
  <si>
    <t>N</t>
  </si>
  <si>
    <t>流局</t>
    <phoneticPr fontId="1"/>
  </si>
  <si>
    <t>流局</t>
    <phoneticPr fontId="1"/>
  </si>
  <si>
    <t>51</t>
  </si>
  <si>
    <t>れんたろう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</si>
</sst>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2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191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まっつん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まっつん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194</v>
      </c>
      <c r="G4" s="9">
        <v>-2500</v>
      </c>
      <c r="H4" s="9"/>
      <c r="I4" s="48">
        <v>0</v>
      </c>
      <c r="J4" s="21">
        <f>IF(COUNTA($F4,$K4,$P4)&gt;0,J3+SUM(G4:I4),"")</f>
        <v>32500</v>
      </c>
      <c r="K4" s="8" t="s">
        <v>194</v>
      </c>
      <c r="L4" s="9">
        <v>-1500</v>
      </c>
      <c r="M4" s="9"/>
      <c r="N4" s="48">
        <v>0</v>
      </c>
      <c r="O4" s="21">
        <f>IF(COUNTA($F4,$K4,$P4)&gt;0,O3+SUM(L4:N4),"")</f>
        <v>33500</v>
      </c>
      <c r="P4" s="8" t="s">
        <v>195</v>
      </c>
      <c r="Q4" s="9">
        <v>4000</v>
      </c>
      <c r="R4" s="9"/>
      <c r="S4" s="48">
        <v>0</v>
      </c>
      <c r="T4" s="21">
        <f>IF(COUNTA($F4,$K4,$P4)&gt;0,T3+SUM(Q4:S4),"")</f>
        <v>39000</v>
      </c>
      <c r="U4" s="53">
        <f>IF($J4="","",ROUND(($J4-$J$3)/1000,1)+(_xlfn.RANK.AVG($J4,($J4,$O4,$T4),1)-2)*20)</f>
        <v>-22.5</v>
      </c>
      <c r="V4" s="54">
        <f>IF($O4="","",ROUND(($O4-$O$3)/1000,1)+(_xlfn.RANK.AVG($O4,($J4,$O4,$T4),1)-2)*20)</f>
        <v>-1.5</v>
      </c>
      <c r="W4" s="55">
        <f>IF($T4="","",ROUND(($T4-$T$3)/1000,1)+(_xlfn.RANK.AVG($T4,($J4,$O4,$T4),1)-2)*20)</f>
        <v>24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3</v>
      </c>
      <c r="BT4" s="30">
        <v>30</v>
      </c>
      <c r="BU4" s="40" t="s">
        <v>196</v>
      </c>
      <c r="BV4" s="41" t="s">
        <v>82</v>
      </c>
      <c r="BW4" s="41" t="s">
        <v>86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192</v>
      </c>
      <c r="F5" s="8" t="s">
        <v>194</v>
      </c>
      <c r="G5" s="9">
        <v>-800</v>
      </c>
      <c r="H5" s="9"/>
      <c r="I5" s="48">
        <v>0</v>
      </c>
      <c r="J5" s="21">
        <f t="shared" ref="J5:J30" si="2">IF(COUNTA($F5,$K5,$P5)&gt;0,J4+SUM(G5:I5),"")</f>
        <v>31700</v>
      </c>
      <c r="K5" s="8" t="s">
        <v>194</v>
      </c>
      <c r="L5" s="9">
        <v>-1300</v>
      </c>
      <c r="M5" s="9"/>
      <c r="N5" s="48">
        <v>0</v>
      </c>
      <c r="O5" s="21">
        <f t="shared" ref="O5:O30" si="3">IF(COUNTA($F5,$K5,$P5)&gt;0,O4+SUM(L5:N5),"")</f>
        <v>32200</v>
      </c>
      <c r="P5" s="8" t="s">
        <v>195</v>
      </c>
      <c r="Q5" s="9">
        <v>2100</v>
      </c>
      <c r="R5" s="9"/>
      <c r="S5" s="48">
        <v>0</v>
      </c>
      <c r="T5" s="21">
        <f t="shared" ref="T5:T30" si="4">IF(COUNTA($F5,$K5,$P5)&gt;0,T4+SUM(Q5:S5),"")</f>
        <v>41100</v>
      </c>
      <c r="U5" s="53">
        <f>IF($J5="","",ROUND(($J5-$J$3)/1000,1)+(_xlfn.RANK.AVG($J5,($J5,$O5,$T5),1)-2)*20)</f>
        <v>-23.3</v>
      </c>
      <c r="V5" s="54">
        <f>IF($O5="","",ROUND(($O5-$O$3)/1000,1)+(_xlfn.RANK.AVG($O5,($J5,$O5,$T5),1)-2)*20)</f>
        <v>-2.8</v>
      </c>
      <c r="W5" s="55">
        <f>IF($T5="","",ROUND(($T5-$T$3)/1000,1)+(_xlfn.RANK.AVG($T5,($J5,$O5,$T5),1)-2)*20)</f>
        <v>26.1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2</v>
      </c>
      <c r="BT5" s="30">
        <v>30</v>
      </c>
      <c r="BU5" s="40" t="s">
        <v>82</v>
      </c>
      <c r="BV5" s="41" t="s">
        <v>84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197</v>
      </c>
      <c r="G6" s="9">
        <v>-9600</v>
      </c>
      <c r="H6" s="9"/>
      <c r="I6" s="48">
        <v>0</v>
      </c>
      <c r="J6" s="21">
        <f t="shared" si="2"/>
        <v>22100</v>
      </c>
      <c r="K6" s="8"/>
      <c r="L6" s="9"/>
      <c r="M6" s="9"/>
      <c r="N6" s="48"/>
      <c r="O6" s="21">
        <f t="shared" si="3"/>
        <v>32200</v>
      </c>
      <c r="P6" s="8" t="s">
        <v>198</v>
      </c>
      <c r="Q6" s="9">
        <v>9600</v>
      </c>
      <c r="R6" s="9"/>
      <c r="S6" s="48">
        <v>0</v>
      </c>
      <c r="T6" s="21">
        <f t="shared" si="4"/>
        <v>50700</v>
      </c>
      <c r="U6" s="53">
        <f>IF($J6="","",ROUND(($J6-$J$3)/1000,1)+(_xlfn.RANK.AVG($J6,($J6,$O6,$T6),1)-2)*20)</f>
        <v>-32.9</v>
      </c>
      <c r="V6" s="54">
        <f>IF($O6="","",ROUND(($O6-$O$3)/1000,1)+(_xlfn.RANK.AVG($O6,($J6,$O6,$T6),1)-2)*20)</f>
        <v>-2.8</v>
      </c>
      <c r="W6" s="55">
        <f>IF($T6="","",ROUND(($T6-$T$3)/1000,1)+(_xlfn.RANK.AVG($T6,($J6,$O6,$T6),1)-2)*20)</f>
        <v>35.700000000000003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4</v>
      </c>
      <c r="BT6" s="30">
        <v>25</v>
      </c>
      <c r="BU6" s="40" t="s">
        <v>101</v>
      </c>
      <c r="BV6" s="41" t="s">
        <v>79</v>
      </c>
      <c r="BW6" s="41" t="s">
        <v>79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193</v>
      </c>
      <c r="F7" s="8" t="s">
        <v>195</v>
      </c>
      <c r="G7" s="9">
        <v>12000</v>
      </c>
      <c r="H7" s="9"/>
      <c r="I7" s="48">
        <v>1000</v>
      </c>
      <c r="J7" s="21">
        <f t="shared" si="2"/>
        <v>35100</v>
      </c>
      <c r="K7" s="8" t="s">
        <v>194</v>
      </c>
      <c r="L7" s="9">
        <v>-4500</v>
      </c>
      <c r="M7" s="9"/>
      <c r="N7" s="48">
        <v>-500</v>
      </c>
      <c r="O7" s="21">
        <f t="shared" si="3"/>
        <v>27200</v>
      </c>
      <c r="P7" s="8" t="s">
        <v>194</v>
      </c>
      <c r="Q7" s="9">
        <v>-7500</v>
      </c>
      <c r="R7" s="9"/>
      <c r="S7" s="48">
        <v>-500</v>
      </c>
      <c r="T7" s="21">
        <f t="shared" si="4"/>
        <v>42700</v>
      </c>
      <c r="U7" s="53">
        <f>IF($J7="","",ROUND(($J7-$J$3)/1000,1)+(_xlfn.RANK.AVG($J7,($J7,$O7,$T7),1)-2)*20)</f>
        <v>0.1</v>
      </c>
      <c r="V7" s="54">
        <f>IF($O7="","",ROUND(($O7-$O$3)/1000,1)+(_xlfn.RANK.AVG($O7,($J7,$O7,$T7),1)-2)*20)</f>
        <v>-27.8</v>
      </c>
      <c r="W7" s="55">
        <f>IF($T7="","",ROUND(($T7-$T$3)/1000,1)+(_xlfn.RANK.AVG($T7,($J7,$O7,$T7),1)-2)*20)</f>
        <v>27.7</v>
      </c>
      <c r="Y7" s="8"/>
      <c r="Z7" s="34"/>
      <c r="AA7" s="26"/>
      <c r="AB7" s="26">
        <v>1</v>
      </c>
      <c r="AC7" s="26">
        <v>7</v>
      </c>
      <c r="AD7" s="30" t="s">
        <v>199</v>
      </c>
      <c r="AE7" s="40" t="s">
        <v>86</v>
      </c>
      <c r="AF7" s="41" t="s">
        <v>86</v>
      </c>
      <c r="AG7" s="41" t="s">
        <v>86</v>
      </c>
      <c r="AH7" s="41" t="s">
        <v>79</v>
      </c>
      <c r="AI7" s="41" t="s">
        <v>79</v>
      </c>
      <c r="AJ7" s="41" t="s">
        <v>79</v>
      </c>
      <c r="AK7" s="41" t="s">
        <v>79</v>
      </c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194</v>
      </c>
      <c r="G8" s="9">
        <v>-7500</v>
      </c>
      <c r="H8" s="9"/>
      <c r="I8" s="48">
        <v>0</v>
      </c>
      <c r="J8" s="21">
        <f t="shared" si="2"/>
        <v>27600</v>
      </c>
      <c r="K8" s="8" t="s">
        <v>195</v>
      </c>
      <c r="L8" s="9">
        <v>12000</v>
      </c>
      <c r="M8" s="9">
        <v>1000</v>
      </c>
      <c r="N8" s="48">
        <v>0</v>
      </c>
      <c r="O8" s="21">
        <f t="shared" si="3"/>
        <v>40200</v>
      </c>
      <c r="P8" s="8" t="s">
        <v>194</v>
      </c>
      <c r="Q8" s="9">
        <v>-4500</v>
      </c>
      <c r="R8" s="9">
        <v>-1000</v>
      </c>
      <c r="S8" s="48">
        <v>0</v>
      </c>
      <c r="T8" s="21">
        <f t="shared" si="4"/>
        <v>37200</v>
      </c>
      <c r="U8" s="53">
        <f>IF($J8="","",ROUND(($J8-$J$3)/1000,1)+(_xlfn.RANK.AVG($J8,($J8,$O8,$T8),1)-2)*20)</f>
        <v>-27.4</v>
      </c>
      <c r="V8" s="54">
        <f>IF($O8="","",ROUND(($O8-$O$3)/1000,1)+(_xlfn.RANK.AVG($O8,($J8,$O8,$T8),1)-2)*20)</f>
        <v>25.2</v>
      </c>
      <c r="W8" s="55">
        <f>IF($T8="","",ROUND(($T8-$T$3)/1000,1)+(_xlfn.RANK.AVG($T8,($J8,$O8,$T8),1)-2)*20)</f>
        <v>2.2000000000000002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7</v>
      </c>
      <c r="AY8" s="30" t="s">
        <v>199</v>
      </c>
      <c r="AZ8" s="40" t="s">
        <v>196</v>
      </c>
      <c r="BA8" s="41" t="s">
        <v>82</v>
      </c>
      <c r="BB8" s="41" t="s">
        <v>200</v>
      </c>
      <c r="BC8" s="41" t="s">
        <v>201</v>
      </c>
      <c r="BD8" s="41" t="s">
        <v>201</v>
      </c>
      <c r="BE8" s="41" t="s">
        <v>80</v>
      </c>
      <c r="BF8" s="41" t="s">
        <v>80</v>
      </c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192</v>
      </c>
      <c r="F9" s="8" t="s">
        <v>194</v>
      </c>
      <c r="G9" s="9">
        <v>-3000</v>
      </c>
      <c r="H9" s="9"/>
      <c r="I9" s="48">
        <v>0</v>
      </c>
      <c r="J9" s="21">
        <f t="shared" si="2"/>
        <v>24600</v>
      </c>
      <c r="K9" s="8" t="s">
        <v>195</v>
      </c>
      <c r="L9" s="9">
        <v>6000</v>
      </c>
      <c r="M9" s="9"/>
      <c r="N9" s="48">
        <v>0</v>
      </c>
      <c r="O9" s="21">
        <f t="shared" si="3"/>
        <v>46200</v>
      </c>
      <c r="P9" s="8" t="s">
        <v>194</v>
      </c>
      <c r="Q9" s="9">
        <v>-3000</v>
      </c>
      <c r="R9" s="9"/>
      <c r="S9" s="48">
        <v>0</v>
      </c>
      <c r="T9" s="21">
        <f t="shared" si="4"/>
        <v>34200</v>
      </c>
      <c r="U9" s="53">
        <f>IF($J9="","",ROUND(($J9-$J$3)/1000,1)+(_xlfn.RANK.AVG($J9,($J9,$O9,$T9),1)-2)*20)</f>
        <v>-30.4</v>
      </c>
      <c r="V9" s="54">
        <f>IF($O9="","",ROUND(($O9-$O$3)/1000,1)+(_xlfn.RANK.AVG($O9,($J9,$O9,$T9),1)-2)*20)</f>
        <v>31.2</v>
      </c>
      <c r="W9" s="55">
        <f>IF($T9="","",ROUND(($T9-$T$3)/1000,1)+(_xlfn.RANK.AVG($T9,($J9,$O9,$T9),1)-2)*20)</f>
        <v>-0.8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>
        <v>3</v>
      </c>
      <c r="AY9" s="30">
        <v>30</v>
      </c>
      <c r="AZ9" s="40" t="s">
        <v>82</v>
      </c>
      <c r="BA9" s="41" t="s">
        <v>84</v>
      </c>
      <c r="BB9" s="41" t="s">
        <v>85</v>
      </c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192</v>
      </c>
      <c r="F10" s="8" t="s">
        <v>204</v>
      </c>
      <c r="G10" s="9">
        <v>1500</v>
      </c>
      <c r="H10" s="9">
        <v>-1000</v>
      </c>
      <c r="I10" s="48"/>
      <c r="J10" s="21">
        <f t="shared" si="2"/>
        <v>25100</v>
      </c>
      <c r="K10" s="8" t="s">
        <v>204</v>
      </c>
      <c r="L10" s="9">
        <v>-3000</v>
      </c>
      <c r="M10" s="9"/>
      <c r="N10" s="48"/>
      <c r="O10" s="21">
        <f t="shared" si="3"/>
        <v>43200</v>
      </c>
      <c r="P10" s="8" t="s">
        <v>204</v>
      </c>
      <c r="Q10" s="9">
        <v>1500</v>
      </c>
      <c r="R10" s="9"/>
      <c r="S10" s="48"/>
      <c r="T10" s="21">
        <f t="shared" si="4"/>
        <v>35700</v>
      </c>
      <c r="U10" s="53">
        <f>IF($J10="","",ROUND(($J10-$J$3)/1000,1)+(_xlfn.RANK.AVG($J10,($J10,$O10,$T10),1)-2)*20)</f>
        <v>-29.9</v>
      </c>
      <c r="V10" s="54">
        <f>IF($O10="","",ROUND(($O10-$O$3)/1000,1)+(_xlfn.RANK.AVG($O10,($J10,$O10,$T10),1)-2)*20)</f>
        <v>28.2</v>
      </c>
      <c r="W10" s="55">
        <f>IF($T10="","",ROUND(($T10-$T$3)/1000,1)+(_xlfn.RANK.AVG($T10,($J10,$O10,$T10),1)-2)*20)</f>
        <v>0.7</v>
      </c>
      <c r="Y10" s="8" t="s">
        <v>202</v>
      </c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203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202</v>
      </c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2</v>
      </c>
      <c r="D11" s="18">
        <f t="shared" si="1"/>
        <v>1</v>
      </c>
      <c r="E11" s="4" t="s">
        <v>193</v>
      </c>
      <c r="F11" s="8" t="s">
        <v>194</v>
      </c>
      <c r="G11" s="9">
        <v>-2900</v>
      </c>
      <c r="H11" s="9"/>
      <c r="I11" s="48">
        <v>-1000</v>
      </c>
      <c r="J11" s="21">
        <f t="shared" si="2"/>
        <v>21200</v>
      </c>
      <c r="K11" s="8" t="s">
        <v>195</v>
      </c>
      <c r="L11" s="9">
        <v>7700</v>
      </c>
      <c r="M11" s="9">
        <v>1000</v>
      </c>
      <c r="N11" s="48">
        <v>2000</v>
      </c>
      <c r="O11" s="21">
        <f t="shared" si="3"/>
        <v>53900</v>
      </c>
      <c r="P11" s="8" t="s">
        <v>194</v>
      </c>
      <c r="Q11" s="9">
        <v>-4800</v>
      </c>
      <c r="R11" s="9"/>
      <c r="S11" s="48">
        <v>-1000</v>
      </c>
      <c r="T11" s="21">
        <f t="shared" si="4"/>
        <v>29900</v>
      </c>
      <c r="U11" s="53">
        <f>IF($J11="","",ROUND(($J11-$J$3)/1000,1)+(_xlfn.RANK.AVG($J11,($J11,$O11,$T11),1)-2)*20)</f>
        <v>-33.799999999999997</v>
      </c>
      <c r="V11" s="54">
        <f>IF($O11="","",ROUND(($O11-$O$3)/1000,1)+(_xlfn.RANK.AVG($O11,($J11,$O11,$T11),1)-2)*20)</f>
        <v>38.9</v>
      </c>
      <c r="W11" s="55">
        <f>IF($T11="","",ROUND(($T11-$T$3)/1000,1)+(_xlfn.RANK.AVG($T11,($J11,$O11,$T11),1)-2)*20)</f>
        <v>-5.0999999999999996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4</v>
      </c>
      <c r="AY11" s="30">
        <v>30</v>
      </c>
      <c r="AZ11" s="40" t="s">
        <v>196</v>
      </c>
      <c r="BA11" s="41" t="s">
        <v>82</v>
      </c>
      <c r="BB11" s="41" t="s">
        <v>200</v>
      </c>
      <c r="BC11" s="41" t="s">
        <v>79</v>
      </c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921902BF-70E9-4ADA-B2B4-B44E917F6990}">
      <formula1>"だいち,りくと,ただ,れんたろう,たかの,ぱぱ,まっつん,あさひ,いっしー,ほたに,かわたつ,やがさき,のり,"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1E4DF-9BB6-4629-A8B4-1EF23F2721C2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191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まっつん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まっつん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205</v>
      </c>
      <c r="G4" s="9">
        <v>-3000</v>
      </c>
      <c r="H4" s="9"/>
      <c r="I4" s="48"/>
      <c r="J4" s="21">
        <f>IF(COUNTA($F4,$K4,$P4)&gt;0,J3+SUM(G4:I4),"")</f>
        <v>32000</v>
      </c>
      <c r="K4" s="8" t="s">
        <v>205</v>
      </c>
      <c r="L4" s="9">
        <v>1500</v>
      </c>
      <c r="M4" s="9"/>
      <c r="N4" s="48"/>
      <c r="O4" s="21">
        <f>IF(COUNTA($F4,$K4,$P4)&gt;0,O3+SUM(L4:N4),"")</f>
        <v>36500</v>
      </c>
      <c r="P4" s="8" t="s">
        <v>205</v>
      </c>
      <c r="Q4" s="9">
        <v>1500</v>
      </c>
      <c r="R4" s="9"/>
      <c r="S4" s="48"/>
      <c r="T4" s="21">
        <f>IF(COUNTA($F4,$K4,$P4)&gt;0,T3+SUM(Q4:S4),"")</f>
        <v>36500</v>
      </c>
      <c r="U4" s="53">
        <f>IF($J4="","",ROUND(($J4-$J$3)/1000,1)+(_xlfn.RANK.AVG($J4,($J4,$O4,$T4),1)-2)*20)</f>
        <v>-23</v>
      </c>
      <c r="V4" s="54">
        <f>IF($O4="","",ROUND(($O4-$O$3)/1000,1)+(_xlfn.RANK.AVG($O4,($J4,$O4,$T4),1)-2)*20)</f>
        <v>11.5</v>
      </c>
      <c r="W4" s="55">
        <f>IF($T4="","",ROUND(($T4-$T$3)/1000,1)+(_xlfn.RANK.AVG($T4,($J4,$O4,$T4),1)-2)*20)</f>
        <v>11.5</v>
      </c>
      <c r="Y4" s="8" t="s">
        <v>203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202</v>
      </c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202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193</v>
      </c>
      <c r="F5" s="8"/>
      <c r="G5" s="9"/>
      <c r="H5" s="9"/>
      <c r="I5" s="48"/>
      <c r="J5" s="21">
        <f t="shared" ref="J5:J30" si="2">IF(COUNTA($F5,$K5,$P5)&gt;0,J4+SUM(G5:I5),"")</f>
        <v>32000</v>
      </c>
      <c r="K5" s="8" t="s">
        <v>197</v>
      </c>
      <c r="L5" s="9">
        <v>-7700</v>
      </c>
      <c r="M5" s="9">
        <v>-1000</v>
      </c>
      <c r="N5" s="48">
        <v>-1000</v>
      </c>
      <c r="O5" s="21">
        <f t="shared" ref="O5:O30" si="3">IF(COUNTA($F5,$K5,$P5)&gt;0,O4+SUM(L5:N5),"")</f>
        <v>26800</v>
      </c>
      <c r="P5" s="8" t="s">
        <v>198</v>
      </c>
      <c r="Q5" s="9">
        <v>7700</v>
      </c>
      <c r="R5" s="9">
        <v>1000</v>
      </c>
      <c r="S5" s="48">
        <v>1000</v>
      </c>
      <c r="T5" s="21">
        <f t="shared" ref="T5:T30" si="4">IF(COUNTA($F5,$K5,$P5)&gt;0,T4+SUM(Q5:S5),"")</f>
        <v>46200</v>
      </c>
      <c r="U5" s="53">
        <f>IF($J5="","",ROUND(($J5-$J$3)/1000,1)+(_xlfn.RANK.AVG($J5,($J5,$O5,$T5),1)-2)*20)</f>
        <v>-3</v>
      </c>
      <c r="V5" s="54">
        <f>IF($O5="","",ROUND(($O5-$O$3)/1000,1)+(_xlfn.RANK.AVG($O5,($J5,$O5,$T5),1)-2)*20)</f>
        <v>-28.2</v>
      </c>
      <c r="W5" s="55">
        <f>IF($T5="","",ROUND(($T5-$T$3)/1000,1)+(_xlfn.RANK.AVG($T5,($J5,$O5,$T5),1)-2)*20)</f>
        <v>31.2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3</v>
      </c>
      <c r="BT5" s="30">
        <v>40</v>
      </c>
      <c r="BU5" s="40" t="s">
        <v>196</v>
      </c>
      <c r="BV5" s="41" t="s">
        <v>201</v>
      </c>
      <c r="BW5" s="41" t="s">
        <v>201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193</v>
      </c>
      <c r="F6" s="8" t="s">
        <v>197</v>
      </c>
      <c r="G6" s="9">
        <v>-16000</v>
      </c>
      <c r="H6" s="9">
        <v>-1000</v>
      </c>
      <c r="I6" s="48">
        <v>-2000</v>
      </c>
      <c r="J6" s="21">
        <f t="shared" si="2"/>
        <v>13000</v>
      </c>
      <c r="K6" s="8" t="s">
        <v>198</v>
      </c>
      <c r="L6" s="9">
        <v>16000</v>
      </c>
      <c r="M6" s="9">
        <v>1000</v>
      </c>
      <c r="N6" s="48">
        <v>2000</v>
      </c>
      <c r="O6" s="21">
        <f t="shared" si="3"/>
        <v>45800</v>
      </c>
      <c r="P6" s="8"/>
      <c r="Q6" s="9"/>
      <c r="R6" s="9"/>
      <c r="S6" s="48"/>
      <c r="T6" s="21">
        <f t="shared" si="4"/>
        <v>46200</v>
      </c>
      <c r="U6" s="53">
        <f>IF($J6="","",ROUND(($J6-$J$3)/1000,1)+(_xlfn.RANK.AVG($J6,($J6,$O6,$T6),1)-2)*20)</f>
        <v>-42</v>
      </c>
      <c r="V6" s="54">
        <f>IF($O6="","",ROUND(($O6-$O$3)/1000,1)+(_xlfn.RANK.AVG($O6,($J6,$O6,$T6),1)-2)*20)</f>
        <v>10.8</v>
      </c>
      <c r="W6" s="55">
        <f>IF($T6="","",ROUND(($T6-$T$3)/1000,1)+(_xlfn.RANK.AVG($T6,($J6,$O6,$T6),1)-2)*20)</f>
        <v>31.2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8</v>
      </c>
      <c r="AY6" s="30" t="s">
        <v>199</v>
      </c>
      <c r="AZ6" s="40" t="s">
        <v>85</v>
      </c>
      <c r="BA6" s="41" t="s">
        <v>106</v>
      </c>
      <c r="BB6" s="41" t="s">
        <v>83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197</v>
      </c>
      <c r="G7" s="9">
        <v>-2600</v>
      </c>
      <c r="H7" s="9"/>
      <c r="I7" s="48">
        <v>0</v>
      </c>
      <c r="J7" s="21">
        <f t="shared" si="2"/>
        <v>10400</v>
      </c>
      <c r="K7" s="8"/>
      <c r="L7" s="9"/>
      <c r="M7" s="9">
        <v>-1000</v>
      </c>
      <c r="N7" s="48"/>
      <c r="O7" s="21">
        <f t="shared" si="3"/>
        <v>44800</v>
      </c>
      <c r="P7" s="8" t="s">
        <v>198</v>
      </c>
      <c r="Q7" s="9">
        <v>2600</v>
      </c>
      <c r="R7" s="9">
        <v>1000</v>
      </c>
      <c r="S7" s="48">
        <v>0</v>
      </c>
      <c r="T7" s="21">
        <f t="shared" si="4"/>
        <v>49800</v>
      </c>
      <c r="U7" s="53">
        <f>IF($J7="","",ROUND(($J7-$J$3)/1000,1)+(_xlfn.RANK.AVG($J7,($J7,$O7,$T7),1)-2)*20)</f>
        <v>-44.6</v>
      </c>
      <c r="V7" s="54">
        <f>IF($O7="","",ROUND(($O7-$O$3)/1000,1)+(_xlfn.RANK.AVG($O7,($J7,$O7,$T7),1)-2)*20)</f>
        <v>9.8000000000000007</v>
      </c>
      <c r="W7" s="55">
        <f>IF($T7="","",ROUND(($T7-$T$3)/1000,1)+(_xlfn.RANK.AVG($T7,($J7,$O7,$T7),1)-2)*20)</f>
        <v>34.799999999999997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2</v>
      </c>
      <c r="BT7" s="30">
        <v>40</v>
      </c>
      <c r="BU7" s="40" t="s">
        <v>86</v>
      </c>
      <c r="BV7" s="41" t="s">
        <v>86</v>
      </c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192</v>
      </c>
      <c r="F8" s="8" t="s">
        <v>198</v>
      </c>
      <c r="G8" s="9">
        <v>8000</v>
      </c>
      <c r="H8" s="9">
        <v>1000</v>
      </c>
      <c r="I8" s="48">
        <v>0</v>
      </c>
      <c r="J8" s="21">
        <f t="shared" si="2"/>
        <v>19400</v>
      </c>
      <c r="K8" s="8"/>
      <c r="L8" s="9"/>
      <c r="M8" s="9"/>
      <c r="N8" s="48"/>
      <c r="O8" s="21">
        <f t="shared" si="3"/>
        <v>44800</v>
      </c>
      <c r="P8" s="8" t="s">
        <v>197</v>
      </c>
      <c r="Q8" s="9">
        <v>-8000</v>
      </c>
      <c r="R8" s="9">
        <v>-1000</v>
      </c>
      <c r="S8" s="48">
        <v>0</v>
      </c>
      <c r="T8" s="21">
        <f t="shared" si="4"/>
        <v>40800</v>
      </c>
      <c r="U8" s="53">
        <f>IF($J8="","",ROUND(($J8-$J$3)/1000,1)+(_xlfn.RANK.AVG($J8,($J8,$O8,$T8),1)-2)*20)</f>
        <v>-35.6</v>
      </c>
      <c r="V8" s="54">
        <f>IF($O8="","",ROUND(($O8-$O$3)/1000,1)+(_xlfn.RANK.AVG($O8,($J8,$O8,$T8),1)-2)*20)</f>
        <v>29.8</v>
      </c>
      <c r="W8" s="55">
        <f>IF($T8="","",ROUND(($T8-$T$3)/1000,1)+(_xlfn.RANK.AVG($T8,($J8,$O8,$T8),1)-2)*20)</f>
        <v>5.8</v>
      </c>
      <c r="Y8" s="8"/>
      <c r="Z8" s="34"/>
      <c r="AA8" s="26">
        <v>1</v>
      </c>
      <c r="AB8" s="26"/>
      <c r="AC8" s="26">
        <v>5</v>
      </c>
      <c r="AD8" s="30" t="s">
        <v>199</v>
      </c>
      <c r="AE8" s="40" t="s">
        <v>206</v>
      </c>
      <c r="AF8" s="41" t="s">
        <v>83</v>
      </c>
      <c r="AG8" s="41" t="s">
        <v>79</v>
      </c>
      <c r="AH8" s="41" t="s">
        <v>80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194</v>
      </c>
      <c r="G9" s="9">
        <v>-3000</v>
      </c>
      <c r="H9" s="9"/>
      <c r="I9" s="48">
        <v>0</v>
      </c>
      <c r="J9" s="21">
        <f t="shared" si="2"/>
        <v>16400</v>
      </c>
      <c r="K9" s="8" t="s">
        <v>195</v>
      </c>
      <c r="L9" s="9">
        <v>8000</v>
      </c>
      <c r="M9" s="9"/>
      <c r="N9" s="48">
        <v>0</v>
      </c>
      <c r="O9" s="21">
        <f t="shared" si="3"/>
        <v>52800</v>
      </c>
      <c r="P9" s="8" t="s">
        <v>194</v>
      </c>
      <c r="Q9" s="9">
        <v>-5000</v>
      </c>
      <c r="R9" s="9"/>
      <c r="S9" s="48">
        <v>0</v>
      </c>
      <c r="T9" s="21">
        <f t="shared" si="4"/>
        <v>35800</v>
      </c>
      <c r="U9" s="53">
        <f>IF($J9="","",ROUND(($J9-$J$3)/1000,1)+(_xlfn.RANK.AVG($J9,($J9,$O9,$T9),1)-2)*20)</f>
        <v>-38.6</v>
      </c>
      <c r="V9" s="54">
        <f>IF($O9="","",ROUND(($O9-$O$3)/1000,1)+(_xlfn.RANK.AVG($O9,($J9,$O9,$T9),1)-2)*20)</f>
        <v>37.799999999999997</v>
      </c>
      <c r="W9" s="55">
        <f>IF($T9="","",ROUND(($T9-$T$3)/1000,1)+(_xlfn.RANK.AVG($T9,($J9,$O9,$T9),1)-2)*20)</f>
        <v>0.8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5</v>
      </c>
      <c r="AY9" s="30" t="s">
        <v>199</v>
      </c>
      <c r="AZ9" s="40" t="s">
        <v>196</v>
      </c>
      <c r="BA9" s="41" t="s">
        <v>82</v>
      </c>
      <c r="BB9" s="41" t="s">
        <v>79</v>
      </c>
      <c r="BC9" s="41" t="s">
        <v>80</v>
      </c>
      <c r="BD9" s="41" t="s">
        <v>80</v>
      </c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191</v>
      </c>
      <c r="F10" s="8" t="s">
        <v>197</v>
      </c>
      <c r="G10" s="9">
        <v>-5200</v>
      </c>
      <c r="H10" s="9"/>
      <c r="I10" s="48">
        <v>0</v>
      </c>
      <c r="J10" s="21">
        <f t="shared" si="2"/>
        <v>11200</v>
      </c>
      <c r="K10" s="8"/>
      <c r="L10" s="9"/>
      <c r="M10" s="9"/>
      <c r="N10" s="48"/>
      <c r="O10" s="21">
        <f t="shared" si="3"/>
        <v>52800</v>
      </c>
      <c r="P10" s="8" t="s">
        <v>198</v>
      </c>
      <c r="Q10" s="9">
        <v>5200</v>
      </c>
      <c r="R10" s="9"/>
      <c r="S10" s="48">
        <v>0</v>
      </c>
      <c r="T10" s="21">
        <f t="shared" si="4"/>
        <v>41000</v>
      </c>
      <c r="U10" s="53">
        <f>IF($J10="","",ROUND(($J10-$J$3)/1000,1)+(_xlfn.RANK.AVG($J10,($J10,$O10,$T10),1)-2)*20)</f>
        <v>-43.8</v>
      </c>
      <c r="V10" s="54">
        <f>IF($O10="","",ROUND(($O10-$O$3)/1000,1)+(_xlfn.RANK.AVG($O10,($J10,$O10,$T10),1)-2)*20)</f>
        <v>37.799999999999997</v>
      </c>
      <c r="W10" s="55">
        <f>IF($T10="","",ROUND(($T10-$T$3)/1000,1)+(_xlfn.RANK.AVG($T10,($J10,$O10,$T10),1)-2)*20)</f>
        <v>6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3</v>
      </c>
      <c r="BT10" s="30">
        <v>40</v>
      </c>
      <c r="BU10" s="40" t="s">
        <v>196</v>
      </c>
      <c r="BV10" s="41" t="s">
        <v>200</v>
      </c>
      <c r="BW10" s="41" t="s">
        <v>201</v>
      </c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192</v>
      </c>
      <c r="F11" s="8" t="s">
        <v>195</v>
      </c>
      <c r="G11" s="9">
        <v>12000</v>
      </c>
      <c r="H11" s="9"/>
      <c r="I11" s="48">
        <v>0</v>
      </c>
      <c r="J11" s="21">
        <f t="shared" si="2"/>
        <v>23200</v>
      </c>
      <c r="K11" s="8" t="s">
        <v>194</v>
      </c>
      <c r="L11" s="9">
        <v>-7500</v>
      </c>
      <c r="M11" s="9"/>
      <c r="N11" s="48">
        <v>0</v>
      </c>
      <c r="O11" s="21">
        <f t="shared" si="3"/>
        <v>45300</v>
      </c>
      <c r="P11" s="8" t="s">
        <v>194</v>
      </c>
      <c r="Q11" s="9">
        <v>-4500</v>
      </c>
      <c r="R11" s="9"/>
      <c r="S11" s="48">
        <v>0</v>
      </c>
      <c r="T11" s="21">
        <f t="shared" si="4"/>
        <v>36500</v>
      </c>
      <c r="U11" s="53">
        <f>IF($J11="","",ROUND(($J11-$J$3)/1000,1)+(_xlfn.RANK.AVG($J11,($J11,$O11,$T11),1)-2)*20)</f>
        <v>-31.8</v>
      </c>
      <c r="V11" s="54">
        <f>IF($O11="","",ROUND(($O11-$O$3)/1000,1)+(_xlfn.RANK.AVG($O11,($J11,$O11,$T11),1)-2)*20)</f>
        <v>30.3</v>
      </c>
      <c r="W11" s="55">
        <f>IF($T11="","",ROUND(($T11-$T$3)/1000,1)+(_xlfn.RANK.AVG($T11,($J11,$O11,$T11),1)-2)*20)</f>
        <v>1.5</v>
      </c>
      <c r="Y11" s="8"/>
      <c r="Z11" s="34"/>
      <c r="AA11" s="26">
        <v>1</v>
      </c>
      <c r="AB11" s="26"/>
      <c r="AC11" s="26">
        <v>6</v>
      </c>
      <c r="AD11" s="30" t="s">
        <v>199</v>
      </c>
      <c r="AE11" s="40" t="s">
        <v>206</v>
      </c>
      <c r="AF11" s="41" t="s">
        <v>82</v>
      </c>
      <c r="AG11" s="41" t="s">
        <v>83</v>
      </c>
      <c r="AH11" s="41" t="s">
        <v>80</v>
      </c>
      <c r="AI11" s="41" t="s">
        <v>79</v>
      </c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qref="F1:T1" xr:uid="{64322808-5DF0-40E6-A929-A3C7E7A3FE59}">
      <formula1>"だいち,りくと,ただ,れんたろう,たかの,ぱぱ,まっつん,あさひ,いっしー,ほたに,かわたつ,やがさき,のり,"</formula1>
    </dataValidation>
    <dataValidation type="list" showInputMessage="1" showErrorMessage="1" sqref="K4:K30 P4:P30 F4:F30" xr:uid="{C1205791-B9D9-4D12-9544-09D38114BDD2}">
      <formula1>"ロン,ツモ,放銃,ツモ支払,流局,チョンボ"</formula1>
    </dataValidation>
    <dataValidation type="list" allowBlank="1" showInputMessage="1" showErrorMessage="1" sqref="E4:E30" xr:uid="{A7DC4FAE-C71B-4408-A634-F2BD8AEC363C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6E616-DE10-4D27-B9F0-37DE2D0543F1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207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れんたろう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まっつん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れんたろう</v>
      </c>
      <c r="V2" s="70" t="str">
        <f>$K$1</f>
        <v>まっつん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207</v>
      </c>
      <c r="F4" s="8" t="s">
        <v>194</v>
      </c>
      <c r="G4" s="9">
        <v>-3300</v>
      </c>
      <c r="H4" s="9"/>
      <c r="I4" s="48">
        <v>0</v>
      </c>
      <c r="J4" s="21">
        <f>IF(COUNTA($F4,$K4,$P4)&gt;0,J3+SUM(G4:I4),"")</f>
        <v>31700</v>
      </c>
      <c r="K4" s="8" t="s">
        <v>194</v>
      </c>
      <c r="L4" s="9">
        <v>-2000</v>
      </c>
      <c r="M4" s="9"/>
      <c r="N4" s="48">
        <v>0</v>
      </c>
      <c r="O4" s="21">
        <f>IF(COUNTA($F4,$K4,$P4)&gt;0,O3+SUM(L4:N4),"")</f>
        <v>33000</v>
      </c>
      <c r="P4" s="8" t="s">
        <v>195</v>
      </c>
      <c r="Q4" s="9">
        <v>5300</v>
      </c>
      <c r="R4" s="9"/>
      <c r="S4" s="48">
        <v>0</v>
      </c>
      <c r="T4" s="21">
        <f>IF(COUNTA($F4,$K4,$P4)&gt;0,T3+SUM(Q4:S4),"")</f>
        <v>40300</v>
      </c>
      <c r="U4" s="53">
        <f>IF($J4="","",ROUND(($J4-$J$3)/1000,1)+(_xlfn.RANK.AVG($J4,($J4,$O4,$T4),1)-2)*20)</f>
        <v>-23.3</v>
      </c>
      <c r="V4" s="54">
        <f>IF($O4="","",ROUND(($O4-$O$3)/1000,1)+(_xlfn.RANK.AVG($O4,($J4,$O4,$T4),1)-2)*20)</f>
        <v>-2</v>
      </c>
      <c r="W4" s="55">
        <f>IF($T4="","",ROUND(($T4-$T$3)/1000,1)+(_xlfn.RANK.AVG($T4,($J4,$O4,$T4),1)-2)*20)</f>
        <v>25.3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3</v>
      </c>
      <c r="BT4" s="30">
        <v>40</v>
      </c>
      <c r="BU4" s="40" t="s">
        <v>104</v>
      </c>
      <c r="BV4" s="41" t="s">
        <v>86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192</v>
      </c>
      <c r="F5" s="8" t="s">
        <v>205</v>
      </c>
      <c r="G5" s="9">
        <v>3000</v>
      </c>
      <c r="H5" s="9">
        <v>-1000</v>
      </c>
      <c r="I5" s="48"/>
      <c r="J5" s="21">
        <f t="shared" ref="J5:J30" si="2">IF(COUNTA($F5,$K5,$P5)&gt;0,J4+SUM(G5:I5),"")</f>
        <v>33700</v>
      </c>
      <c r="K5" s="8" t="s">
        <v>205</v>
      </c>
      <c r="L5" s="9">
        <v>-1500</v>
      </c>
      <c r="M5" s="9"/>
      <c r="N5" s="48"/>
      <c r="O5" s="21">
        <f t="shared" ref="O5:O30" si="3">IF(COUNTA($F5,$K5,$P5)&gt;0,O4+SUM(L5:N5),"")</f>
        <v>31500</v>
      </c>
      <c r="P5" s="8" t="s">
        <v>205</v>
      </c>
      <c r="Q5" s="9">
        <v>-1500</v>
      </c>
      <c r="R5" s="9"/>
      <c r="S5" s="48"/>
      <c r="T5" s="21">
        <f t="shared" ref="T5:T30" si="4">IF(COUNTA($F5,$K5,$P5)&gt;0,T4+SUM(Q5:S5),"")</f>
        <v>38800</v>
      </c>
      <c r="U5" s="53">
        <f>IF($J5="","",ROUND(($J5-$J$3)/1000,1)+(_xlfn.RANK.AVG($J5,($J5,$O5,$T5),1)-2)*20)</f>
        <v>-1.3</v>
      </c>
      <c r="V5" s="54">
        <f>IF($O5="","",ROUND(($O5-$O$3)/1000,1)+(_xlfn.RANK.AVG($O5,($J5,$O5,$T5),1)-2)*20)</f>
        <v>-23.5</v>
      </c>
      <c r="W5" s="55">
        <f>IF($T5="","",ROUND(($T5-$T$3)/1000,1)+(_xlfn.RANK.AVG($T5,($J5,$O5,$T5),1)-2)*20)</f>
        <v>23.8</v>
      </c>
      <c r="Y5" s="8" t="s">
        <v>202</v>
      </c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203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203</v>
      </c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1</v>
      </c>
      <c r="D6" s="18">
        <f t="shared" si="1"/>
        <v>1</v>
      </c>
      <c r="E6" s="4" t="s">
        <v>193</v>
      </c>
      <c r="F6" s="8" t="s">
        <v>194</v>
      </c>
      <c r="G6" s="9">
        <v>-1100</v>
      </c>
      <c r="H6" s="9"/>
      <c r="I6" s="48">
        <v>-500</v>
      </c>
      <c r="J6" s="21">
        <f t="shared" si="2"/>
        <v>32100</v>
      </c>
      <c r="K6" s="8" t="s">
        <v>195</v>
      </c>
      <c r="L6" s="9">
        <v>2800</v>
      </c>
      <c r="M6" s="9">
        <v>1000</v>
      </c>
      <c r="N6" s="48">
        <v>1000</v>
      </c>
      <c r="O6" s="21">
        <f t="shared" si="3"/>
        <v>36300</v>
      </c>
      <c r="P6" s="8" t="s">
        <v>194</v>
      </c>
      <c r="Q6" s="9">
        <v>-1700</v>
      </c>
      <c r="R6" s="9"/>
      <c r="S6" s="48">
        <v>-500</v>
      </c>
      <c r="T6" s="21">
        <f t="shared" si="4"/>
        <v>36600</v>
      </c>
      <c r="U6" s="53">
        <f>IF($J6="","",ROUND(($J6-$J$3)/1000,1)+(_xlfn.RANK.AVG($J6,($J6,$O6,$T6),1)-2)*20)</f>
        <v>-22.9</v>
      </c>
      <c r="V6" s="54">
        <f>IF($O6="","",ROUND(($O6-$O$3)/1000,1)+(_xlfn.RANK.AVG($O6,($J6,$O6,$T6),1)-2)*20)</f>
        <v>1.3</v>
      </c>
      <c r="W6" s="55">
        <f>IF($T6="","",ROUND(($T6-$T$3)/1000,1)+(_xlfn.RANK.AVG($T6,($J6,$O6,$T6),1)-2)*20)</f>
        <v>21.6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2</v>
      </c>
      <c r="AY6" s="30">
        <v>40</v>
      </c>
      <c r="AZ6" s="40" t="s">
        <v>196</v>
      </c>
      <c r="BA6" s="41" t="s">
        <v>82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207</v>
      </c>
      <c r="F7" s="8" t="s">
        <v>194</v>
      </c>
      <c r="G7" s="9">
        <v>-900</v>
      </c>
      <c r="H7" s="9"/>
      <c r="I7" s="48">
        <v>0</v>
      </c>
      <c r="J7" s="21">
        <f t="shared" si="2"/>
        <v>31200</v>
      </c>
      <c r="K7" s="8" t="s">
        <v>194</v>
      </c>
      <c r="L7" s="9">
        <v>-600</v>
      </c>
      <c r="M7" s="9"/>
      <c r="N7" s="48">
        <v>0</v>
      </c>
      <c r="O7" s="21">
        <f t="shared" si="3"/>
        <v>35700</v>
      </c>
      <c r="P7" s="8" t="s">
        <v>195</v>
      </c>
      <c r="Q7" s="9">
        <v>1500</v>
      </c>
      <c r="R7" s="9"/>
      <c r="S7" s="48">
        <v>0</v>
      </c>
      <c r="T7" s="21">
        <f t="shared" si="4"/>
        <v>38100</v>
      </c>
      <c r="U7" s="53">
        <f>IF($J7="","",ROUND(($J7-$J$3)/1000,1)+(_xlfn.RANK.AVG($J7,($J7,$O7,$T7),1)-2)*20)</f>
        <v>-23.8</v>
      </c>
      <c r="V7" s="54">
        <f>IF($O7="","",ROUND(($O7-$O$3)/1000,1)+(_xlfn.RANK.AVG($O7,($J7,$O7,$T7),1)-2)*20)</f>
        <v>0.7</v>
      </c>
      <c r="W7" s="55">
        <f>IF($T7="","",ROUND(($T7-$T$3)/1000,1)+(_xlfn.RANK.AVG($T7,($J7,$O7,$T7),1)-2)*20)</f>
        <v>23.1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2</v>
      </c>
      <c r="BT7" s="30">
        <v>20</v>
      </c>
      <c r="BU7" s="40" t="s">
        <v>82</v>
      </c>
      <c r="BV7" s="41" t="s">
        <v>83</v>
      </c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192</v>
      </c>
      <c r="F8" s="8" t="s">
        <v>198</v>
      </c>
      <c r="G8" s="9">
        <v>8000</v>
      </c>
      <c r="H8" s="9">
        <v>1000</v>
      </c>
      <c r="I8" s="48">
        <v>0</v>
      </c>
      <c r="J8" s="21">
        <f t="shared" si="2"/>
        <v>40200</v>
      </c>
      <c r="K8" s="8" t="s">
        <v>197</v>
      </c>
      <c r="L8" s="9">
        <v>-8000</v>
      </c>
      <c r="M8" s="9">
        <v>-1000</v>
      </c>
      <c r="N8" s="48">
        <v>0</v>
      </c>
      <c r="O8" s="21">
        <f t="shared" si="3"/>
        <v>26700</v>
      </c>
      <c r="P8" s="8"/>
      <c r="Q8" s="9"/>
      <c r="R8" s="9"/>
      <c r="S8" s="48"/>
      <c r="T8" s="21">
        <f t="shared" si="4"/>
        <v>38100</v>
      </c>
      <c r="U8" s="53">
        <f>IF($J8="","",ROUND(($J8-$J$3)/1000,1)+(_xlfn.RANK.AVG($J8,($J8,$O8,$T8),1)-2)*20)</f>
        <v>25.2</v>
      </c>
      <c r="V8" s="54">
        <f>IF($O8="","",ROUND(($O8-$O$3)/1000,1)+(_xlfn.RANK.AVG($O8,($J8,$O8,$T8),1)-2)*20)</f>
        <v>-28.3</v>
      </c>
      <c r="W8" s="55">
        <f>IF($T8="","",ROUND(($T8-$T$3)/1000,1)+(_xlfn.RANK.AVG($T8,($J8,$O8,$T8),1)-2)*20)</f>
        <v>3.1</v>
      </c>
      <c r="Y8" s="8"/>
      <c r="Z8" s="34"/>
      <c r="AA8" s="26">
        <v>1</v>
      </c>
      <c r="AB8" s="26"/>
      <c r="AC8" s="26">
        <v>4</v>
      </c>
      <c r="AD8" s="30">
        <v>40</v>
      </c>
      <c r="AE8" s="40" t="s">
        <v>196</v>
      </c>
      <c r="AF8" s="41" t="s">
        <v>200</v>
      </c>
      <c r="AG8" s="41" t="s">
        <v>79</v>
      </c>
      <c r="AH8" s="41" t="s">
        <v>79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194</v>
      </c>
      <c r="G9" s="9">
        <v>-6000</v>
      </c>
      <c r="H9" s="9"/>
      <c r="I9" s="48">
        <v>0</v>
      </c>
      <c r="J9" s="21">
        <f t="shared" si="2"/>
        <v>34200</v>
      </c>
      <c r="K9" s="8" t="s">
        <v>195</v>
      </c>
      <c r="L9" s="9">
        <v>16000</v>
      </c>
      <c r="M9" s="9"/>
      <c r="N9" s="48">
        <v>0</v>
      </c>
      <c r="O9" s="21">
        <f t="shared" si="3"/>
        <v>42700</v>
      </c>
      <c r="P9" s="8" t="s">
        <v>194</v>
      </c>
      <c r="Q9" s="9">
        <v>-10000</v>
      </c>
      <c r="R9" s="9"/>
      <c r="S9" s="48">
        <v>0</v>
      </c>
      <c r="T9" s="21">
        <f t="shared" si="4"/>
        <v>28100</v>
      </c>
      <c r="U9" s="53">
        <f>IF($J9="","",ROUND(($J9-$J$3)/1000,1)+(_xlfn.RANK.AVG($J9,($J9,$O9,$T9),1)-2)*20)</f>
        <v>-0.8</v>
      </c>
      <c r="V9" s="54">
        <f>IF($O9="","",ROUND(($O9-$O$3)/1000,1)+(_xlfn.RANK.AVG($O9,($J9,$O9,$T9),1)-2)*20)</f>
        <v>27.7</v>
      </c>
      <c r="W9" s="55">
        <f>IF($T9="","",ROUND(($T9-$T$3)/1000,1)+(_xlfn.RANK.AVG($T9,($J9,$O9,$T9),1)-2)*20)</f>
        <v>-26.9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9</v>
      </c>
      <c r="AY9" s="30" t="s">
        <v>199</v>
      </c>
      <c r="AZ9" s="40" t="s">
        <v>104</v>
      </c>
      <c r="BA9" s="41" t="s">
        <v>100</v>
      </c>
      <c r="BB9" s="41" t="s">
        <v>98</v>
      </c>
      <c r="BC9" s="41" t="s">
        <v>86</v>
      </c>
      <c r="BD9" s="41" t="s">
        <v>86</v>
      </c>
      <c r="BE9" s="41" t="s">
        <v>86</v>
      </c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727ECBC1-3FD3-4210-A4DE-D1A0E28EF132}">
      <formula1>$U$2:$W$2</formula1>
    </dataValidation>
    <dataValidation type="list" showInputMessage="1" showErrorMessage="1" sqref="K4:K30 P4:P30 F4:F30" xr:uid="{9C4906A9-AEA7-48C6-B087-0D595DC5C658}">
      <formula1>"ロン,ツモ,放銃,ツモ支払,流局,チョンボ"</formula1>
    </dataValidation>
    <dataValidation type="list" allowBlank="1" showInputMessage="1" sqref="F1:T1" xr:uid="{6DE9DBB6-6095-439D-86FA-77DB7A6A4308}">
      <formula1>"だいち,りくと,ただ,れんたろう,たかの,ぱぱ,まっつん,あさひ,いっしー,ほたに,かわたつ,やがさき,のり,"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EE364-EE55-4FC0-B45C-844F370BCB35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207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れんたろう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まっつん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れんたろう</v>
      </c>
      <c r="V2" s="70" t="str">
        <f>$K$1</f>
        <v>まっつん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207</v>
      </c>
      <c r="F4" s="8" t="s">
        <v>198</v>
      </c>
      <c r="G4" s="9">
        <v>18000</v>
      </c>
      <c r="H4" s="9">
        <v>1000</v>
      </c>
      <c r="I4" s="48">
        <v>0</v>
      </c>
      <c r="J4" s="21">
        <f>IF(COUNTA($F4,$K4,$P4)&gt;0,J3+SUM(G4:I4),"")</f>
        <v>54000</v>
      </c>
      <c r="K4" s="8"/>
      <c r="L4" s="9"/>
      <c r="M4" s="9"/>
      <c r="N4" s="48"/>
      <c r="O4" s="21">
        <f>IF(COUNTA($F4,$K4,$P4)&gt;0,O3+SUM(L4:N4),"")</f>
        <v>35000</v>
      </c>
      <c r="P4" s="8" t="s">
        <v>197</v>
      </c>
      <c r="Q4" s="9">
        <v>-18000</v>
      </c>
      <c r="R4" s="9">
        <v>-1000</v>
      </c>
      <c r="S4" s="48">
        <v>0</v>
      </c>
      <c r="T4" s="21">
        <f>IF(COUNTA($F4,$K4,$P4)&gt;0,T3+SUM(Q4:S4),"")</f>
        <v>16000</v>
      </c>
      <c r="U4" s="53">
        <f>IF($J4="","",ROUND(($J4-$J$3)/1000,1)+(_xlfn.RANK.AVG($J4,($J4,$O4,$T4),1)-2)*20)</f>
        <v>39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-39</v>
      </c>
      <c r="Y4" s="8"/>
      <c r="Z4" s="34"/>
      <c r="AA4" s="26"/>
      <c r="AB4" s="26"/>
      <c r="AC4" s="26">
        <v>7</v>
      </c>
      <c r="AD4" s="30" t="s">
        <v>199</v>
      </c>
      <c r="AE4" s="40" t="s">
        <v>106</v>
      </c>
      <c r="AF4" s="41" t="s">
        <v>201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207</v>
      </c>
      <c r="F5" s="8" t="s">
        <v>198</v>
      </c>
      <c r="G5" s="9">
        <v>12000</v>
      </c>
      <c r="H5" s="9"/>
      <c r="I5" s="48">
        <v>1000</v>
      </c>
      <c r="J5" s="21">
        <f t="shared" ref="J5:J30" si="2">IF(COUNTA($F5,$K5,$P5)&gt;0,J4+SUM(G5:I5),"")</f>
        <v>67000</v>
      </c>
      <c r="K5" s="8"/>
      <c r="L5" s="9"/>
      <c r="M5" s="9"/>
      <c r="N5" s="48"/>
      <c r="O5" s="21">
        <f t="shared" ref="O5:O30" si="3">IF(COUNTA($F5,$K5,$P5)&gt;0,O4+SUM(L5:N5),"")</f>
        <v>35000</v>
      </c>
      <c r="P5" s="8" t="s">
        <v>197</v>
      </c>
      <c r="Q5" s="9">
        <v>-12000</v>
      </c>
      <c r="R5" s="9"/>
      <c r="S5" s="48">
        <v>-1000</v>
      </c>
      <c r="T5" s="21">
        <f t="shared" ref="T5:T30" si="4">IF(COUNTA($F5,$K5,$P5)&gt;0,T4+SUM(Q5:S5),"")</f>
        <v>3000</v>
      </c>
      <c r="U5" s="53">
        <f>IF($J5="","",ROUND(($J5-$J$3)/1000,1)+(_xlfn.RANK.AVG($J5,($J5,$O5,$T5),1)-2)*20)</f>
        <v>52</v>
      </c>
      <c r="V5" s="54">
        <f>IF($O5="","",ROUND(($O5-$O$3)/1000,1)+(_xlfn.RANK.AVG($O5,($J5,$O5,$T5),1)-2)*20)</f>
        <v>0</v>
      </c>
      <c r="W5" s="55">
        <f>IF($T5="","",ROUND(($T5-$T$3)/1000,1)+(_xlfn.RANK.AVG($T5,($J5,$O5,$T5),1)-2)*20)</f>
        <v>-52</v>
      </c>
      <c r="Y5" s="8"/>
      <c r="Z5" s="34"/>
      <c r="AA5" s="26">
        <v>1</v>
      </c>
      <c r="AB5" s="26"/>
      <c r="AC5" s="26">
        <v>4</v>
      </c>
      <c r="AD5" s="30">
        <v>40</v>
      </c>
      <c r="AE5" s="40" t="s">
        <v>196</v>
      </c>
      <c r="AF5" s="41" t="s">
        <v>85</v>
      </c>
      <c r="AG5" s="41" t="s">
        <v>84</v>
      </c>
      <c r="AH5" s="41" t="s">
        <v>201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207</v>
      </c>
      <c r="F6" s="8" t="s">
        <v>195</v>
      </c>
      <c r="G6" s="9">
        <v>18000</v>
      </c>
      <c r="H6" s="9"/>
      <c r="I6" s="48">
        <v>2000</v>
      </c>
      <c r="J6" s="21">
        <f t="shared" si="2"/>
        <v>87000</v>
      </c>
      <c r="K6" s="8" t="s">
        <v>194</v>
      </c>
      <c r="L6" s="9">
        <v>-9000</v>
      </c>
      <c r="M6" s="9"/>
      <c r="N6" s="48">
        <v>-1000</v>
      </c>
      <c r="O6" s="21">
        <f t="shared" si="3"/>
        <v>25000</v>
      </c>
      <c r="P6" s="8" t="s">
        <v>194</v>
      </c>
      <c r="Q6" s="9">
        <v>-9000</v>
      </c>
      <c r="R6" s="9"/>
      <c r="S6" s="48">
        <v>-1000</v>
      </c>
      <c r="T6" s="21">
        <f t="shared" si="4"/>
        <v>-7000</v>
      </c>
      <c r="U6" s="53">
        <f>IF($J6="","",ROUND(($J6-$J$3)/1000,1)+(_xlfn.RANK.AVG($J6,($J6,$O6,$T6),1)-2)*20)</f>
        <v>72</v>
      </c>
      <c r="V6" s="54">
        <f>IF($O6="","",ROUND(($O6-$O$3)/1000,1)+(_xlfn.RANK.AVG($O6,($J6,$O6,$T6),1)-2)*20)</f>
        <v>-10</v>
      </c>
      <c r="W6" s="55">
        <f>IF($T6="","",ROUND(($T6-$T$3)/1000,1)+(_xlfn.RANK.AVG($T6,($J6,$O6,$T6),1)-2)*20)</f>
        <v>-62</v>
      </c>
      <c r="Y6" s="8"/>
      <c r="Z6" s="34"/>
      <c r="AA6" s="26">
        <v>1</v>
      </c>
      <c r="AB6" s="26"/>
      <c r="AC6" s="26">
        <v>7</v>
      </c>
      <c r="AD6" s="30" t="s">
        <v>199</v>
      </c>
      <c r="AE6" s="40" t="s">
        <v>196</v>
      </c>
      <c r="AF6" s="41" t="s">
        <v>82</v>
      </c>
      <c r="AG6" s="41" t="s">
        <v>79</v>
      </c>
      <c r="AH6" s="41" t="s">
        <v>79</v>
      </c>
      <c r="AI6" s="41" t="s">
        <v>79</v>
      </c>
      <c r="AJ6" s="41" t="s">
        <v>80</v>
      </c>
      <c r="AK6" s="41" t="s">
        <v>201</v>
      </c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IF($J7="","",ROUND(($J7-$J$3)/1000,1)+(_xlfn.RANK.AVG($J7,($J7,$O7,$T7),1)-2)*20)</f>
        <v/>
      </c>
      <c r="V7" s="54" t="str">
        <f>IF($O7="","",ROUND(($O7-$O$3)/1000,1)+(_xlfn.RANK.AVG($O7,($J7,$O7,$T7),1)-2)*20)</f>
        <v/>
      </c>
      <c r="W7" s="55" t="str">
        <f>IF($T7="","",ROUND(($T7-$T$3)/1000,1)+(_xlfn.RANK.AVG($T7,($J7,$O7,$T7),1)-2)*20)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IF($J8="","",ROUND(($J8-$J$3)/1000,1)+(_xlfn.RANK.AVG($J8,($J8,$O8,$T8),1)-2)*20)</f>
        <v/>
      </c>
      <c r="V8" s="54" t="str">
        <f>IF($O8="","",ROUND(($O8-$O$3)/1000,1)+(_xlfn.RANK.AVG($O8,($J8,$O8,$T8),1)-2)*20)</f>
        <v/>
      </c>
      <c r="W8" s="55" t="str">
        <f>IF($T8="","",ROUND(($T8-$T$3)/1000,1)+(_xlfn.RANK.AVG($T8,($J8,$O8,$T8),1)-2)*20)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7297C13C-C804-45A4-AFA7-CAF2023C97B2}">
      <formula1>"だいち,りくと,ただ,れんたろう,たかの,ぱぱ,まっつん,あさひ,いっしー,ほたに,かわたつ,やがさき,のり,"</formula1>
    </dataValidation>
    <dataValidation type="list" showInputMessage="1" showErrorMessage="1" sqref="K4:K30 P4:P30 F4:F30" xr:uid="{126BBD5D-719B-4027-89EA-01691C72E2C7}">
      <formula1>"ロン,ツモ,放銃,ツモ支払,流局,チョンボ"</formula1>
    </dataValidation>
    <dataValidation type="list" allowBlank="1" showInputMessage="1" showErrorMessage="1" sqref="E4:E30" xr:uid="{F82733CC-8243-4021-A103-843B34760FF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D8AD78-ED8A-4325-9532-C53409A9C027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207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れんたろう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まっつん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れんたろう</v>
      </c>
      <c r="V2" s="70" t="str">
        <f>$K$1</f>
        <v>まっつん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197</v>
      </c>
      <c r="G4" s="9">
        <v>-3900</v>
      </c>
      <c r="H4" s="9"/>
      <c r="I4" s="48">
        <v>0</v>
      </c>
      <c r="J4" s="21">
        <f>IF(COUNTA($F4,$K4,$P4)&gt;0,J3+SUM(G4:I4),"")</f>
        <v>31100</v>
      </c>
      <c r="K4" s="8"/>
      <c r="L4" s="9"/>
      <c r="M4" s="9"/>
      <c r="N4" s="48"/>
      <c r="O4" s="21">
        <f>IF(COUNTA($F4,$K4,$P4)&gt;0,O3+SUM(L4:N4),"")</f>
        <v>35000</v>
      </c>
      <c r="P4" s="8" t="s">
        <v>198</v>
      </c>
      <c r="Q4" s="9">
        <v>3900</v>
      </c>
      <c r="R4" s="9"/>
      <c r="S4" s="48">
        <v>0</v>
      </c>
      <c r="T4" s="21">
        <f>IF(COUNTA($F4,$K4,$P4)&gt;0,T3+SUM(Q4:S4),"")</f>
        <v>38900</v>
      </c>
      <c r="U4" s="53">
        <f>IF($J4="","",ROUND(($J4-$J$3)/1000,1)+(_xlfn.RANK.AVG($J4,($J4,$O4,$T4),1)-2)*20)</f>
        <v>-23.9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23.9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3</v>
      </c>
      <c r="BT4" s="30">
        <v>30</v>
      </c>
      <c r="BU4" s="40" t="s">
        <v>86</v>
      </c>
      <c r="BV4" s="41" t="s">
        <v>79</v>
      </c>
      <c r="BW4" s="41" t="s">
        <v>201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205</v>
      </c>
      <c r="G5" s="9">
        <v>-1500</v>
      </c>
      <c r="H5" s="9"/>
      <c r="I5" s="48"/>
      <c r="J5" s="21">
        <f t="shared" ref="J5:J30" si="2">IF(COUNTA($F5,$K5,$P5)&gt;0,J4+SUM(G5:I5),"")</f>
        <v>29600</v>
      </c>
      <c r="K5" s="8" t="s">
        <v>205</v>
      </c>
      <c r="L5" s="9">
        <v>-1500</v>
      </c>
      <c r="M5" s="9"/>
      <c r="N5" s="48"/>
      <c r="O5" s="21">
        <f t="shared" ref="O5:O30" si="3">IF(COUNTA($F5,$K5,$P5)&gt;0,O4+SUM(L5:N5),"")</f>
        <v>33500</v>
      </c>
      <c r="P5" s="8" t="s">
        <v>205</v>
      </c>
      <c r="Q5" s="9">
        <v>3000</v>
      </c>
      <c r="R5" s="9">
        <v>-1000</v>
      </c>
      <c r="S5" s="48"/>
      <c r="T5" s="21">
        <f t="shared" ref="T5:T30" si="4">IF(COUNTA($F5,$K5,$P5)&gt;0,T4+SUM(Q5:S5),"")</f>
        <v>40900</v>
      </c>
      <c r="U5" s="53">
        <f>IF($J5="","",ROUND(($J5-$J$3)/1000,1)+(_xlfn.RANK.AVG($J5,($J5,$O5,$T5),1)-2)*20)</f>
        <v>-25.4</v>
      </c>
      <c r="V5" s="54">
        <f>IF($O5="","",ROUND(($O5-$O$3)/1000,1)+(_xlfn.RANK.AVG($O5,($J5,$O5,$T5),1)-2)*20)</f>
        <v>-1.5</v>
      </c>
      <c r="W5" s="55">
        <f>IF($T5="","",ROUND(($T5-$T$3)/1000,1)+(_xlfn.RANK.AVG($T5,($J5,$O5,$T5),1)-2)*20)</f>
        <v>25.9</v>
      </c>
      <c r="Y5" s="8" t="s">
        <v>203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203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202</v>
      </c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1</v>
      </c>
      <c r="E6" s="4" t="s">
        <v>193</v>
      </c>
      <c r="F6" s="8" t="s">
        <v>205</v>
      </c>
      <c r="G6" s="9">
        <v>1500</v>
      </c>
      <c r="H6" s="9"/>
      <c r="I6" s="48"/>
      <c r="J6" s="21">
        <f t="shared" si="2"/>
        <v>31100</v>
      </c>
      <c r="K6" s="8" t="s">
        <v>205</v>
      </c>
      <c r="L6" s="9">
        <v>-3000</v>
      </c>
      <c r="M6" s="9"/>
      <c r="N6" s="48"/>
      <c r="O6" s="21">
        <f t="shared" si="3"/>
        <v>30500</v>
      </c>
      <c r="P6" s="8" t="s">
        <v>205</v>
      </c>
      <c r="Q6" s="9">
        <v>1500</v>
      </c>
      <c r="R6" s="9">
        <v>-1000</v>
      </c>
      <c r="S6" s="48"/>
      <c r="T6" s="21">
        <f t="shared" si="4"/>
        <v>41400</v>
      </c>
      <c r="U6" s="53">
        <f>IF($J6="","",ROUND(($J6-$J$3)/1000,1)+(_xlfn.RANK.AVG($J6,($J6,$O6,$T6),1)-2)*20)</f>
        <v>-3.9</v>
      </c>
      <c r="V6" s="54">
        <f>IF($O6="","",ROUND(($O6-$O$3)/1000,1)+(_xlfn.RANK.AVG($O6,($J6,$O6,$T6),1)-2)*20)</f>
        <v>-24.5</v>
      </c>
      <c r="W6" s="55">
        <f>IF($T6="","",ROUND(($T6-$T$3)/1000,1)+(_xlfn.RANK.AVG($T6,($J6,$O6,$T6),1)-2)*20)</f>
        <v>26.4</v>
      </c>
      <c r="Y6" s="8" t="s">
        <v>202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203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202</v>
      </c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2</v>
      </c>
      <c r="E7" s="4" t="s">
        <v>193</v>
      </c>
      <c r="F7" s="8"/>
      <c r="G7" s="9"/>
      <c r="H7" s="9"/>
      <c r="I7" s="48"/>
      <c r="J7" s="21">
        <f t="shared" si="2"/>
        <v>31100</v>
      </c>
      <c r="K7" s="8" t="s">
        <v>197</v>
      </c>
      <c r="L7" s="9">
        <v>-3900</v>
      </c>
      <c r="M7" s="9"/>
      <c r="N7" s="48">
        <v>-2000</v>
      </c>
      <c r="O7" s="21">
        <f t="shared" si="3"/>
        <v>24600</v>
      </c>
      <c r="P7" s="8" t="s">
        <v>198</v>
      </c>
      <c r="Q7" s="9">
        <v>3900</v>
      </c>
      <c r="R7" s="9">
        <v>2000</v>
      </c>
      <c r="S7" s="48">
        <v>2000</v>
      </c>
      <c r="T7" s="21">
        <f t="shared" si="4"/>
        <v>49300</v>
      </c>
      <c r="U7" s="53">
        <f>IF($J7="","",ROUND(($J7-$J$3)/1000,1)+(_xlfn.RANK.AVG($J7,($J7,$O7,$T7),1)-2)*20)</f>
        <v>-3.9</v>
      </c>
      <c r="V7" s="54">
        <f>IF($O7="","",ROUND(($O7-$O$3)/1000,1)+(_xlfn.RANK.AVG($O7,($J7,$O7,$T7),1)-2)*20)</f>
        <v>-30.4</v>
      </c>
      <c r="W7" s="55">
        <f>IF($T7="","",ROUND(($T7-$T$3)/1000,1)+(_xlfn.RANK.AVG($T7,($J7,$O7,$T7),1)-2)*20)</f>
        <v>34.299999999999997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2</v>
      </c>
      <c r="BT7" s="30">
        <v>40</v>
      </c>
      <c r="BU7" s="40" t="s">
        <v>196</v>
      </c>
      <c r="BV7" s="41" t="s">
        <v>201</v>
      </c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3</v>
      </c>
      <c r="D8" s="18">
        <f t="shared" si="1"/>
        <v>0</v>
      </c>
      <c r="E8" s="4" t="s">
        <v>193</v>
      </c>
      <c r="F8" s="8" t="s">
        <v>205</v>
      </c>
      <c r="G8" s="9">
        <v>1500</v>
      </c>
      <c r="H8" s="9"/>
      <c r="I8" s="48"/>
      <c r="J8" s="21">
        <f t="shared" si="2"/>
        <v>32600</v>
      </c>
      <c r="K8" s="8" t="s">
        <v>205</v>
      </c>
      <c r="L8" s="9">
        <v>1500</v>
      </c>
      <c r="M8" s="9"/>
      <c r="N8" s="48"/>
      <c r="O8" s="21">
        <f t="shared" si="3"/>
        <v>26100</v>
      </c>
      <c r="P8" s="8" t="s">
        <v>205</v>
      </c>
      <c r="Q8" s="9">
        <v>-3000</v>
      </c>
      <c r="R8" s="9"/>
      <c r="S8" s="48"/>
      <c r="T8" s="21">
        <f t="shared" si="4"/>
        <v>46300</v>
      </c>
      <c r="U8" s="53">
        <f>IF($J8="","",ROUND(($J8-$J$3)/1000,1)+(_xlfn.RANK.AVG($J8,($J8,$O8,$T8),1)-2)*20)</f>
        <v>-2.4</v>
      </c>
      <c r="V8" s="54">
        <f>IF($O8="","",ROUND(($O8-$O$3)/1000,1)+(_xlfn.RANK.AVG($O8,($J8,$O8,$T8),1)-2)*20)</f>
        <v>-28.9</v>
      </c>
      <c r="W8" s="55">
        <f>IF($T8="","",ROUND(($T8-$T$3)/1000,1)+(_xlfn.RANK.AVG($T8,($J8,$O8,$T8),1)-2)*20)</f>
        <v>31.3</v>
      </c>
      <c r="Y8" s="8" t="s">
        <v>202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202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203</v>
      </c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4</v>
      </c>
      <c r="D9" s="18">
        <f t="shared" si="1"/>
        <v>0</v>
      </c>
      <c r="E9" s="4" t="s">
        <v>207</v>
      </c>
      <c r="F9" s="8" t="s">
        <v>194</v>
      </c>
      <c r="G9" s="9">
        <v>-10000</v>
      </c>
      <c r="H9" s="9"/>
      <c r="I9" s="48">
        <v>-2000</v>
      </c>
      <c r="J9" s="21">
        <f t="shared" si="2"/>
        <v>20600</v>
      </c>
      <c r="K9" s="8" t="s">
        <v>195</v>
      </c>
      <c r="L9" s="9">
        <v>16000</v>
      </c>
      <c r="M9" s="9">
        <v>1000</v>
      </c>
      <c r="N9" s="48">
        <v>4000</v>
      </c>
      <c r="O9" s="21">
        <f t="shared" si="3"/>
        <v>47100</v>
      </c>
      <c r="P9" s="8" t="s">
        <v>194</v>
      </c>
      <c r="Q9" s="9">
        <v>-6000</v>
      </c>
      <c r="R9" s="9">
        <v>-1000</v>
      </c>
      <c r="S9" s="48">
        <v>-2000</v>
      </c>
      <c r="T9" s="21">
        <f t="shared" si="4"/>
        <v>37300</v>
      </c>
      <c r="U9" s="53">
        <f>IF($J9="","",ROUND(($J9-$J$3)/1000,1)+(_xlfn.RANK.AVG($J9,($J9,$O9,$T9),1)-2)*20)</f>
        <v>-34.4</v>
      </c>
      <c r="V9" s="54">
        <f>IF($O9="","",ROUND(($O9-$O$3)/1000,1)+(_xlfn.RANK.AVG($O9,($J9,$O9,$T9),1)-2)*20)</f>
        <v>32.1</v>
      </c>
      <c r="W9" s="55">
        <f>IF($T9="","",ROUND(($T9-$T$3)/1000,1)+(_xlfn.RANK.AVG($T9,($J9,$O9,$T9),1)-2)*20)</f>
        <v>2.2999999999999998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>
        <v>9</v>
      </c>
      <c r="AY9" s="30" t="s">
        <v>199</v>
      </c>
      <c r="AZ9" s="40" t="s">
        <v>82</v>
      </c>
      <c r="BA9" s="41" t="s">
        <v>106</v>
      </c>
      <c r="BB9" s="41" t="s">
        <v>96</v>
      </c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192</v>
      </c>
      <c r="F10" s="8" t="s">
        <v>195</v>
      </c>
      <c r="G10" s="9">
        <v>4000</v>
      </c>
      <c r="H10" s="9">
        <v>1000</v>
      </c>
      <c r="I10" s="48">
        <v>0</v>
      </c>
      <c r="J10" s="21">
        <f t="shared" si="2"/>
        <v>25600</v>
      </c>
      <c r="K10" s="8" t="s">
        <v>194</v>
      </c>
      <c r="L10" s="9">
        <v>-2500</v>
      </c>
      <c r="M10" s="9"/>
      <c r="N10" s="48">
        <v>0</v>
      </c>
      <c r="O10" s="21">
        <f t="shared" si="3"/>
        <v>44600</v>
      </c>
      <c r="P10" s="8" t="s">
        <v>194</v>
      </c>
      <c r="Q10" s="9">
        <v>-1500</v>
      </c>
      <c r="R10" s="9">
        <v>-1000</v>
      </c>
      <c r="S10" s="48">
        <v>0</v>
      </c>
      <c r="T10" s="21">
        <f t="shared" si="4"/>
        <v>34800</v>
      </c>
      <c r="U10" s="53">
        <f>IF($J10="","",ROUND(($J10-$J$3)/1000,1)+(_xlfn.RANK.AVG($J10,($J10,$O10,$T10),1)-2)*20)</f>
        <v>-29.4</v>
      </c>
      <c r="V10" s="54">
        <f>IF($O10="","",ROUND(($O10-$O$3)/1000,1)+(_xlfn.RANK.AVG($O10,($J10,$O10,$T10),1)-2)*20)</f>
        <v>29.6</v>
      </c>
      <c r="W10" s="55">
        <f>IF($T10="","",ROUND(($T10-$T$3)/1000,1)+(_xlfn.RANK.AVG($T10,($J10,$O10,$T10),1)-2)*20)</f>
        <v>-0.2</v>
      </c>
      <c r="Y10" s="8"/>
      <c r="Z10" s="34"/>
      <c r="AA10" s="26"/>
      <c r="AB10" s="26">
        <v>1</v>
      </c>
      <c r="AC10" s="26">
        <v>3</v>
      </c>
      <c r="AD10" s="30">
        <v>30</v>
      </c>
      <c r="AE10" s="40" t="s">
        <v>86</v>
      </c>
      <c r="AF10" s="41" t="s">
        <v>104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193</v>
      </c>
      <c r="F11" s="8" t="s">
        <v>197</v>
      </c>
      <c r="G11" s="9">
        <v>-5800</v>
      </c>
      <c r="H11" s="9"/>
      <c r="I11" s="48">
        <v>0</v>
      </c>
      <c r="J11" s="21">
        <f t="shared" si="2"/>
        <v>19800</v>
      </c>
      <c r="K11" s="8"/>
      <c r="L11" s="9"/>
      <c r="M11" s="9"/>
      <c r="N11" s="48"/>
      <c r="O11" s="21">
        <f t="shared" si="3"/>
        <v>44600</v>
      </c>
      <c r="P11" s="8" t="s">
        <v>198</v>
      </c>
      <c r="Q11" s="9">
        <v>5800</v>
      </c>
      <c r="R11" s="9"/>
      <c r="S11" s="48">
        <v>0</v>
      </c>
      <c r="T11" s="21">
        <f t="shared" si="4"/>
        <v>40600</v>
      </c>
      <c r="U11" s="53">
        <f>IF($J11="","",ROUND(($J11-$J$3)/1000,1)+(_xlfn.RANK.AVG($J11,($J11,$O11,$T11),1)-2)*20)</f>
        <v>-35.200000000000003</v>
      </c>
      <c r="V11" s="54">
        <f>IF($O11="","",ROUND(($O11-$O$3)/1000,1)+(_xlfn.RANK.AVG($O11,($J11,$O11,$T11),1)-2)*20)</f>
        <v>29.6</v>
      </c>
      <c r="W11" s="55">
        <f>IF($T11="","",ROUND(($T11-$T$3)/1000,1)+(_xlfn.RANK.AVG($T11,($J11,$O11,$T11),1)-2)*20)</f>
        <v>5.6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3</v>
      </c>
      <c r="BT11" s="30">
        <v>30</v>
      </c>
      <c r="BU11" s="40" t="s">
        <v>86</v>
      </c>
      <c r="BV11" s="41" t="s">
        <v>104</v>
      </c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1</v>
      </c>
      <c r="D12" s="18">
        <f t="shared" si="1"/>
        <v>0</v>
      </c>
      <c r="E12" s="4" t="s">
        <v>193</v>
      </c>
      <c r="F12" s="8" t="s">
        <v>195</v>
      </c>
      <c r="G12" s="9">
        <v>8000</v>
      </c>
      <c r="H12" s="9">
        <v>1000</v>
      </c>
      <c r="I12" s="48">
        <v>1000</v>
      </c>
      <c r="J12" s="21">
        <f t="shared" si="2"/>
        <v>29800</v>
      </c>
      <c r="K12" s="8" t="s">
        <v>194</v>
      </c>
      <c r="L12" s="9">
        <v>-3000</v>
      </c>
      <c r="M12" s="9"/>
      <c r="N12" s="48">
        <v>-500</v>
      </c>
      <c r="O12" s="21">
        <f t="shared" si="3"/>
        <v>41100</v>
      </c>
      <c r="P12" s="8" t="s">
        <v>194</v>
      </c>
      <c r="Q12" s="9">
        <v>-5000</v>
      </c>
      <c r="R12" s="9">
        <v>-1000</v>
      </c>
      <c r="S12" s="48">
        <v>-500</v>
      </c>
      <c r="T12" s="21">
        <f t="shared" si="4"/>
        <v>34100</v>
      </c>
      <c r="U12" s="53">
        <f>IF($J12="","",ROUND(($J12-$J$3)/1000,1)+(_xlfn.RANK.AVG($J12,($J12,$O12,$T12),1)-2)*20)</f>
        <v>-25.2</v>
      </c>
      <c r="V12" s="54">
        <f>IF($O12="","",ROUND(($O12-$O$3)/1000,1)+(_xlfn.RANK.AVG($O12,($J12,$O12,$T12),1)-2)*20)</f>
        <v>26.1</v>
      </c>
      <c r="W12" s="55">
        <f>IF($T12="","",ROUND(($T12-$T$3)/1000,1)+(_xlfn.RANK.AVG($T12,($J12,$O12,$T12),1)-2)*20)</f>
        <v>-0.9</v>
      </c>
      <c r="Y12" s="8"/>
      <c r="Z12" s="34"/>
      <c r="AA12" s="26"/>
      <c r="AB12" s="26">
        <v>1</v>
      </c>
      <c r="AC12" s="26">
        <v>4</v>
      </c>
      <c r="AD12" s="30">
        <v>40</v>
      </c>
      <c r="AE12" s="40" t="s">
        <v>86</v>
      </c>
      <c r="AF12" s="41" t="s">
        <v>86</v>
      </c>
      <c r="AG12" s="41" t="s">
        <v>104</v>
      </c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207</v>
      </c>
      <c r="F13" s="8" t="s">
        <v>194</v>
      </c>
      <c r="G13" s="9">
        <v>-7500</v>
      </c>
      <c r="H13" s="9"/>
      <c r="I13" s="48">
        <v>0</v>
      </c>
      <c r="J13" s="21">
        <f t="shared" si="2"/>
        <v>22300</v>
      </c>
      <c r="K13" s="8" t="s">
        <v>194</v>
      </c>
      <c r="L13" s="9">
        <v>-4500</v>
      </c>
      <c r="M13" s="9"/>
      <c r="N13" s="48">
        <v>0</v>
      </c>
      <c r="O13" s="21">
        <f t="shared" si="3"/>
        <v>36600</v>
      </c>
      <c r="P13" s="8" t="s">
        <v>195</v>
      </c>
      <c r="Q13" s="9">
        <v>12000</v>
      </c>
      <c r="R13" s="9"/>
      <c r="S13" s="48">
        <v>0</v>
      </c>
      <c r="T13" s="21">
        <f t="shared" si="4"/>
        <v>46100</v>
      </c>
      <c r="U13" s="53">
        <f>IF($J13="","",ROUND(($J13-$J$3)/1000,1)+(_xlfn.RANK.AVG($J13,($J13,$O13,$T13),1)-2)*20)</f>
        <v>-32.700000000000003</v>
      </c>
      <c r="V13" s="54">
        <f>IF($O13="","",ROUND(($O13-$O$3)/1000,1)+(_xlfn.RANK.AVG($O13,($J13,$O13,$T13),1)-2)*20)</f>
        <v>1.6</v>
      </c>
      <c r="W13" s="55">
        <f>IF($T13="","",ROUND(($T13-$T$3)/1000,1)+(_xlfn.RANK.AVG($T13,($J13,$O13,$T13),1)-2)*20)</f>
        <v>31.1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>
        <v>6</v>
      </c>
      <c r="BT13" s="30" t="s">
        <v>199</v>
      </c>
      <c r="BU13" s="40" t="s">
        <v>196</v>
      </c>
      <c r="BV13" s="41" t="s">
        <v>82</v>
      </c>
      <c r="BW13" s="41" t="s">
        <v>200</v>
      </c>
      <c r="BX13" s="41" t="s">
        <v>201</v>
      </c>
      <c r="BY13" s="41" t="s">
        <v>101</v>
      </c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B4C0FF9-6D73-4F9A-B290-07D280ADE30C}">
      <formula1>$U$2:$W$2</formula1>
    </dataValidation>
    <dataValidation type="list" showInputMessage="1" showErrorMessage="1" sqref="K4:K30 P4:P30 F4:F30" xr:uid="{6D18CFD0-55FC-443D-9661-926B08B0D3BF}">
      <formula1>"ロン,ツモ,放銃,ツモ支払,流局,チョンボ"</formula1>
    </dataValidation>
    <dataValidation type="list" allowBlank="1" showInputMessage="1" sqref="F1:T1" xr:uid="{335ECC85-7100-45AF-97C1-1094ADC5FB0D}">
      <formula1>"だいち,りくと,ただ,れんたろう,たかの,ぱぱ,まっつん,あさひ,いっしー,ほたに,かわたつ,やがさき,のり,"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Sheet1</vt:lpstr>
      <vt:lpstr>Sheet2</vt:lpstr>
      <vt:lpstr>Sheet3</vt:lpstr>
      <vt:lpstr>Sheet4</vt:lpstr>
      <vt:lpstr>Sheet5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2019-07-15T00:44:25Z</dcterms:modified>
</cp:coreProperties>
</file>