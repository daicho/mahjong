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89D798F2-0EEC-49E7-8BE6-488EF63F982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W11" i="21" s="1"/>
  <c r="O11" i="21"/>
  <c r="V11" i="21" s="1"/>
  <c r="J11" i="21"/>
  <c r="U11" i="21" s="1"/>
  <c r="D11" i="21"/>
  <c r="C11" i="21"/>
  <c r="B11" i="21"/>
  <c r="A11" i="21" s="1"/>
  <c r="D10" i="21"/>
  <c r="C10" i="21"/>
  <c r="D9" i="21"/>
  <c r="C9" i="21"/>
  <c r="D8" i="21"/>
  <c r="C8" i="21"/>
  <c r="D7" i="21"/>
  <c r="C7" i="21"/>
  <c r="D6" i="21"/>
  <c r="C6" i="21"/>
  <c r="B6" i="21"/>
  <c r="A6" i="21" s="1"/>
  <c r="D5" i="21"/>
  <c r="C5" i="21"/>
  <c r="B5" i="21"/>
  <c r="A5" i="21" s="1"/>
  <c r="T4" i="21"/>
  <c r="W4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D8" i="20"/>
  <c r="C8" i="20"/>
  <c r="C9" i="20" s="1"/>
  <c r="D7" i="20"/>
  <c r="C7" i="20"/>
  <c r="T5" i="20"/>
  <c r="T6" i="20" s="1"/>
  <c r="D5" i="20"/>
  <c r="D6" i="20" s="1"/>
  <c r="C5" i="20"/>
  <c r="C6" i="20" s="1"/>
  <c r="B5" i="20"/>
  <c r="B6" i="20" s="1"/>
  <c r="T4" i="20"/>
  <c r="W4" i="20" s="1"/>
  <c r="O4" i="20"/>
  <c r="O5" i="20" s="1"/>
  <c r="J4" i="20"/>
  <c r="W3" i="20"/>
  <c r="V3" i="20"/>
  <c r="U3" i="20"/>
  <c r="W2" i="20"/>
  <c r="V2" i="20"/>
  <c r="U2" i="20"/>
  <c r="BO1" i="20"/>
  <c r="AT1" i="20"/>
  <c r="Y1" i="20"/>
  <c r="V4" i="21" l="1"/>
  <c r="J6" i="21"/>
  <c r="U4" i="21"/>
  <c r="O5" i="21"/>
  <c r="B7" i="21"/>
  <c r="T5" i="21"/>
  <c r="A5" i="20"/>
  <c r="U4" i="20"/>
  <c r="V4" i="20"/>
  <c r="O6" i="20"/>
  <c r="T7" i="20"/>
  <c r="B7" i="20"/>
  <c r="A7" i="20" s="1"/>
  <c r="A6" i="20"/>
  <c r="J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W10" i="19" s="1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1" l="1"/>
  <c r="B8" i="21"/>
  <c r="A8" i="21" s="1"/>
  <c r="V5" i="21"/>
  <c r="O6" i="21"/>
  <c r="A7" i="21"/>
  <c r="J7" i="21"/>
  <c r="W5" i="21"/>
  <c r="T6" i="21"/>
  <c r="U5" i="20"/>
  <c r="J6" i="20"/>
  <c r="B8" i="20"/>
  <c r="O7" i="20"/>
  <c r="T8" i="20"/>
  <c r="W5" i="20"/>
  <c r="V5" i="20"/>
  <c r="U12" i="19"/>
  <c r="V12" i="19"/>
  <c r="U11" i="19"/>
  <c r="V11" i="19"/>
  <c r="W11" i="19"/>
  <c r="V10" i="19"/>
  <c r="V9" i="19"/>
  <c r="U9" i="19"/>
  <c r="W9" i="19"/>
  <c r="V8" i="19"/>
  <c r="W8" i="19"/>
  <c r="V7" i="19"/>
  <c r="W7" i="19"/>
  <c r="V6" i="19"/>
  <c r="W6" i="19"/>
  <c r="U4" i="19"/>
  <c r="V4" i="19"/>
  <c r="W4" i="19"/>
  <c r="J5" i="19"/>
  <c r="O5" i="19"/>
  <c r="T7" i="21" l="1"/>
  <c r="W6" i="21"/>
  <c r="B9" i="21"/>
  <c r="J8" i="21"/>
  <c r="U6" i="21"/>
  <c r="V6" i="21"/>
  <c r="O7" i="21"/>
  <c r="U6" i="20"/>
  <c r="J7" i="20"/>
  <c r="W6" i="20"/>
  <c r="T9" i="20"/>
  <c r="B9" i="20"/>
  <c r="V6" i="20"/>
  <c r="O8" i="20"/>
  <c r="A8" i="20"/>
  <c r="V5" i="19"/>
  <c r="W5" i="19"/>
  <c r="U5" i="19"/>
  <c r="B10" i="21" l="1"/>
  <c r="A10" i="21" s="1"/>
  <c r="O8" i="21"/>
  <c r="V7" i="21"/>
  <c r="T8" i="21"/>
  <c r="W7" i="21"/>
  <c r="U7" i="21"/>
  <c r="J9" i="21"/>
  <c r="A9" i="21"/>
  <c r="A9" i="20"/>
  <c r="U7" i="20"/>
  <c r="J8" i="20"/>
  <c r="W7" i="20"/>
  <c r="V7" i="20"/>
  <c r="B10" i="20"/>
  <c r="A10" i="20" s="1"/>
  <c r="T10" i="20"/>
  <c r="O9" i="20"/>
  <c r="V8" i="21" l="1"/>
  <c r="O9" i="21"/>
  <c r="J10" i="21"/>
  <c r="U8" i="21"/>
  <c r="W8" i="21"/>
  <c r="T9" i="21"/>
  <c r="O10" i="20"/>
  <c r="U8" i="20"/>
  <c r="J9" i="20"/>
  <c r="W8" i="20"/>
  <c r="V8" i="20"/>
  <c r="T11" i="20"/>
  <c r="B11" i="20"/>
  <c r="A11" i="20" s="1"/>
  <c r="W9" i="21" l="1"/>
  <c r="T10" i="21"/>
  <c r="U9" i="21"/>
  <c r="V9" i="21"/>
  <c r="O10" i="21"/>
  <c r="V10" i="21" s="1"/>
  <c r="U10" i="21"/>
  <c r="T12" i="20"/>
  <c r="U9" i="20"/>
  <c r="J10" i="20"/>
  <c r="V10" i="20" s="1"/>
  <c r="W9" i="20"/>
  <c r="O11" i="20"/>
  <c r="B12" i="20"/>
  <c r="A12" i="20"/>
  <c r="V9" i="20"/>
  <c r="W10" i="21" l="1"/>
  <c r="O12" i="20"/>
  <c r="U10" i="20"/>
  <c r="J11" i="20"/>
  <c r="W10" i="20"/>
  <c r="U11" i="20" l="1"/>
  <c r="J12" i="20"/>
  <c r="V12" i="20" s="1"/>
  <c r="W11" i="20"/>
  <c r="V11" i="20"/>
  <c r="U12" i="20" l="1"/>
  <c r="W12" i="20"/>
</calcChain>
</file>

<file path=xl/sharedStrings.xml><?xml version="1.0" encoding="utf-8"?>
<sst xmlns="http://schemas.openxmlformats.org/spreadsheetml/2006/main" count="784" uniqueCount="212">
  <si>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</si>
  <si>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</si>
  <si>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</si>
  <si>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</si>
  <si>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</si>
  <si>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</si>
  <si>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</si>
  <si>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</si>
  <si>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</si>
  <si>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</si>
  <si>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</si>
  <si>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</si>
  <si>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</si>
  <si>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</si>
  <si>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</si>
  <si>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</si>
  <si>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</si>
  <si>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</si>
  <si>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</si>
  <si>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</si>
  <si>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</si>
  <si>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</si>
  <si>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</si>
  <si>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</si>
  <si>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</si>
  <si>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</si>
  <si>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</si>
  <si>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</si>
  <si>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</si>
  <si>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</si>
  <si>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</si>
  <si>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</si>
  <si>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</si>
  <si>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</si>
  <si>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</si>
  <si>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</si>
  <si>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</si>
  <si>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</si>
  <si>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</si>
  <si>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</si>
  <si>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</si>
  <si>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</si>
  <si>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</si>
  <si>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</si>
  <si>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</si>
  <si>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</si>
  <si>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</si>
  <si>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</si>
  <si>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</si>
  <si>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</si>
  <si>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</si>
  <si>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</si>
  <si>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</si>
  <si>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</si>
  <si>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</si>
  <si>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</si>
  <si>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</si>
  <si>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</si>
  <si>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</si>
  <si>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</si>
  <si>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</si>
  <si>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</si>
  <si>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</si>
  <si>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</si>
  <si>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</si>
  <si>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</si>
  <si>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</si>
  <si>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</si>
  <si>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</si>
  <si>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</si>
  <si>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</si>
  <si>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</si>
  <si>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</si>
  <si>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</si>
  <si>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</si>
  <si>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</si>
  <si>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</si>
  <si>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</si>
  <si>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</si>
  <si>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</si>
  <si>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</si>
  <si>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</si>
  <si>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</si>
  <si>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</si>
  <si>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</si>
  <si>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</si>
  <si>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</si>
  <si>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</si>
  <si>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</si>
  <si>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</si>
  <si>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</si>
  <si>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</si>
  <si>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</si>
  <si>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</si>
  <si>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</si>
  <si>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</si>
  <si>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</si>
  <si>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</si>
  <si>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</si>
  <si>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</si>
  <si>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</si>
  <si>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</si>
  <si>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</si>
  <si>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</si>
  <si>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</si>
  <si>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</si>
  <si>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</si>
  <si>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</si>
  <si>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</si>
  <si>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</si>
  <si>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</si>
  <si>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</si>
  <si>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</si>
  <si>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</si>
  <si>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</si>
  <si>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</si>
  <si>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</si>
  <si>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</si>
  <si>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</si>
  <si>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</si>
  <si>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</si>
  <si>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</si>
  <si>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</si>
  <si>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</si>
  <si>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</si>
  <si>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</si>
  <si>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</si>
  <si>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</si>
  <si>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</si>
  <si>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</si>
  <si>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</si>
  <si>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</si>
  <si>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</si>
  <si>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</si>
  <si>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</si>
  <si>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</si>
  <si>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</si>
  <si>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</si>
  <si>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</si>
  <si>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</si>
  <si>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</si>
  <si>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</si>
  <si>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</si>
  <si>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</si>
  <si>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</si>
  <si>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</si>
  <si>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</si>
  <si>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</si>
  <si>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</si>
  <si>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</si>
  <si>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</si>
  <si>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</si>
  <si>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</si>
  <si>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</si>
  <si>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</si>
  <si>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</si>
  <si>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</si>
  <si>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</si>
  <si>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</si>
  <si>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</si>
  <si>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</si>
  <si>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</si>
  <si>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</si>
  <si>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</si>
  <si>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</si>
  <si>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</si>
  <si>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</si>
  <si>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</si>
  <si>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</si>
  <si>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</si>
  <si>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</si>
  <si>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</si>
  <si>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</si>
  <si>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</si>
  <si>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</si>
  <si>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</si>
  <si>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</si>
  <si>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</si>
  <si>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</si>
  <si>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</si>
  <si>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</si>
  <si>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</si>
  <si>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</si>
  <si>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</si>
  <si>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</si>
  <si>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</si>
  <si>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</si>
  <si>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</si>
  <si>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</si>
  <si>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</si>
  <si>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</si>
  <si>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</si>
  <si>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</si>
  <si>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</si>
  <si>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</si>
  <si>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</si>
  <si>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</si>
  <si>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</si>
  <si>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</si>
  <si>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01</t>
  </si>
  <si>
    <t>52</t>
  </si>
  <si>
    <t>T</t>
  </si>
  <si>
    <t>流局</t>
    <phoneticPr fontId="1"/>
  </si>
  <si>
    <t>ツモ支払</t>
  </si>
  <si>
    <t>ツモ</t>
  </si>
  <si>
    <t>N</t>
  </si>
  <si>
    <t>ただ</t>
    <phoneticPr fontId="1"/>
  </si>
  <si>
    <t>だいち</t>
  </si>
  <si>
    <t>だいち</t>
    <phoneticPr fontId="1"/>
  </si>
  <si>
    <t>02</t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</si>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</sst>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3900</v>
      </c>
      <c r="H4" s="9">
        <v>1000</v>
      </c>
      <c r="I4" s="48">
        <v>0</v>
      </c>
      <c r="J4" s="21">
        <f>IF(COUNTA($F4,$K4,$P4)&gt;0,J3+SUM(G4:I4),"")</f>
        <v>39900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24.9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-1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83</v>
      </c>
      <c r="AG4" s="41" t="s">
        <v>200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0</v>
      </c>
      <c r="H5" s="9"/>
      <c r="I5" s="48"/>
      <c r="J5" s="21">
        <f t="shared" ref="J5:J30" si="2">IF(COUNTA($F5,$K5,$P5)&gt;0,J4+SUM(G5:I5),"")</f>
        <v>39900</v>
      </c>
      <c r="K5" s="8" t="s">
        <v>202</v>
      </c>
      <c r="L5" s="9">
        <v>0</v>
      </c>
      <c r="M5" s="9"/>
      <c r="N5" s="48"/>
      <c r="O5" s="21">
        <f t="shared" ref="O5:O30" si="3">IF(COUNTA($F5,$K5,$P5)&gt;0,O4+SUM(L5:N5),"")</f>
        <v>31100</v>
      </c>
      <c r="P5" s="8" t="s">
        <v>202</v>
      </c>
      <c r="Q5" s="9">
        <v>0</v>
      </c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IF($J5="","",ROUND(($J5-$J$3)/1000,1)+(_xlfn.RANK.AVG($J5,($J5,$O5,$T5),1)-2)*20)</f>
        <v>24.9</v>
      </c>
      <c r="V5" s="54">
        <f>IF($O5="","",ROUND(($O5-$O$3)/1000,1)+(_xlfn.RANK.AVG($O5,($J5,$O5,$T5),1)-2)*20)</f>
        <v>-23.9</v>
      </c>
      <c r="W5" s="55">
        <f>IF($T5="","",ROUND(($T5-$T$3)/1000,1)+(_xlfn.RANK.AVG($T5,($J5,$O5,$T5),1)-2)*20)</f>
        <v>-1</v>
      </c>
      <c r="Y5" s="8" t="s">
        <v>201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198</v>
      </c>
      <c r="G6" s="9">
        <v>-2000</v>
      </c>
      <c r="H6" s="9"/>
      <c r="I6" s="48">
        <v>-1000</v>
      </c>
      <c r="J6" s="21">
        <f t="shared" si="2"/>
        <v>36900</v>
      </c>
      <c r="K6" s="8" t="s">
        <v>197</v>
      </c>
      <c r="L6" s="9">
        <v>2000</v>
      </c>
      <c r="M6" s="9"/>
      <c r="N6" s="48">
        <v>1000</v>
      </c>
      <c r="O6" s="21">
        <f t="shared" si="3"/>
        <v>34100</v>
      </c>
      <c r="P6" s="8"/>
      <c r="Q6" s="9"/>
      <c r="R6" s="9"/>
      <c r="S6" s="48"/>
      <c r="T6" s="21">
        <f t="shared" si="4"/>
        <v>34000</v>
      </c>
      <c r="U6" s="53">
        <f>IF($J6="","",ROUND(($J6-$J$3)/1000,1)+(_xlfn.RANK.AVG($J6,($J6,$O6,$T6),1)-2)*20)</f>
        <v>21.9</v>
      </c>
      <c r="V6" s="54">
        <f>IF($O6="","",ROUND(($O6-$O$3)/1000,1)+(_xlfn.RANK.AVG($O6,($J6,$O6,$T6),1)-2)*20)</f>
        <v>-0.9</v>
      </c>
      <c r="W6" s="55">
        <f>IF($T6="","",ROUND(($T6-$T$3)/1000,1)+(_xlfn.RANK.AVG($T6,($J6,$O6,$T6),1)-2)*20)</f>
        <v>-21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200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-7700</v>
      </c>
      <c r="H7" s="9"/>
      <c r="I7" s="48">
        <v>0</v>
      </c>
      <c r="J7" s="21">
        <f t="shared" si="2"/>
        <v>29200</v>
      </c>
      <c r="K7" s="8" t="s">
        <v>197</v>
      </c>
      <c r="L7" s="9">
        <v>7700</v>
      </c>
      <c r="M7" s="9"/>
      <c r="N7" s="48">
        <v>0</v>
      </c>
      <c r="O7" s="21">
        <f t="shared" si="3"/>
        <v>41800</v>
      </c>
      <c r="P7" s="8"/>
      <c r="Q7" s="9"/>
      <c r="R7" s="9"/>
      <c r="S7" s="48"/>
      <c r="T7" s="21">
        <f t="shared" si="4"/>
        <v>34000</v>
      </c>
      <c r="U7" s="53">
        <f>IF($J7="","",ROUND(($J7-$J$3)/1000,1)+(_xlfn.RANK.AVG($J7,($J7,$O7,$T7),1)-2)*20)</f>
        <v>-25.8</v>
      </c>
      <c r="V7" s="54">
        <f>IF($O7="","",ROUND(($O7-$O$3)/1000,1)+(_xlfn.RANK.AVG($O7,($J7,$O7,$T7),1)-2)*20)</f>
        <v>26.8</v>
      </c>
      <c r="W7" s="55">
        <f>IF($T7="","",ROUND(($T7-$T$3)/1000,1)+(_xlfn.RANK.AVG($T7,($J7,$O7,$T7),1)-2)*20)</f>
        <v>-1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83</v>
      </c>
      <c r="BA7" s="41" t="s">
        <v>199</v>
      </c>
      <c r="BB7" s="41" t="s">
        <v>84</v>
      </c>
      <c r="BC7" s="41" t="s">
        <v>200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-1500</v>
      </c>
      <c r="H8" s="9"/>
      <c r="I8" s="48">
        <v>0</v>
      </c>
      <c r="J8" s="21">
        <f t="shared" si="2"/>
        <v>27700</v>
      </c>
      <c r="K8" s="8" t="s">
        <v>204</v>
      </c>
      <c r="L8" s="9">
        <v>3000</v>
      </c>
      <c r="M8" s="9"/>
      <c r="N8" s="48">
        <v>0</v>
      </c>
      <c r="O8" s="21">
        <f t="shared" si="3"/>
        <v>44800</v>
      </c>
      <c r="P8" s="8" t="s">
        <v>203</v>
      </c>
      <c r="Q8" s="9">
        <v>-1500</v>
      </c>
      <c r="R8" s="9"/>
      <c r="S8" s="48">
        <v>0</v>
      </c>
      <c r="T8" s="21">
        <f t="shared" si="4"/>
        <v>32500</v>
      </c>
      <c r="U8" s="53">
        <f>IF($J8="","",ROUND(($J8-$J$3)/1000,1)+(_xlfn.RANK.AVG($J8,($J8,$O8,$T8),1)-2)*20)</f>
        <v>-27.3</v>
      </c>
      <c r="V8" s="54">
        <f>IF($O8="","",ROUND(($O8-$O$3)/1000,1)+(_xlfn.RANK.AVG($O8,($J8,$O8,$T8),1)-2)*20)</f>
        <v>29.8</v>
      </c>
      <c r="W8" s="55">
        <f>IF($T8="","",ROUND(($T8-$T$3)/1000,1)+(_xlfn.RANK.AVG($T8,($J8,$O8,$T8),1)-2)*20)</f>
        <v>-2.5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82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203</v>
      </c>
      <c r="G9" s="9">
        <v>-1500</v>
      </c>
      <c r="H9" s="9"/>
      <c r="I9" s="48">
        <v>-500</v>
      </c>
      <c r="J9" s="21">
        <f t="shared" si="2"/>
        <v>25700</v>
      </c>
      <c r="K9" s="8" t="s">
        <v>203</v>
      </c>
      <c r="L9" s="9">
        <v>-2500</v>
      </c>
      <c r="M9" s="9"/>
      <c r="N9" s="48">
        <v>-500</v>
      </c>
      <c r="O9" s="21">
        <f t="shared" si="3"/>
        <v>41800</v>
      </c>
      <c r="P9" s="8" t="s">
        <v>204</v>
      </c>
      <c r="Q9" s="9">
        <v>4000</v>
      </c>
      <c r="R9" s="9"/>
      <c r="S9" s="48">
        <v>1000</v>
      </c>
      <c r="T9" s="21">
        <f t="shared" si="4"/>
        <v>37500</v>
      </c>
      <c r="U9" s="53">
        <f>IF($J9="","",ROUND(($J9-$J$3)/1000,1)+(_xlfn.RANK.AVG($J9,($J9,$O9,$T9),1)-2)*20)</f>
        <v>-29.3</v>
      </c>
      <c r="V9" s="54">
        <f>IF($O9="","",ROUND(($O9-$O$3)/1000,1)+(_xlfn.RANK.AVG($O9,($J9,$O9,$T9),1)-2)*20)</f>
        <v>26.8</v>
      </c>
      <c r="W9" s="55">
        <f>IF($T9="","",ROUND(($T9-$T$3)/1000,1)+(_xlfn.RANK.AVG($T9,($J9,$O9,$T9),1)-2)*20)</f>
        <v>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79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203</v>
      </c>
      <c r="G10" s="9">
        <v>-800</v>
      </c>
      <c r="H10" s="9"/>
      <c r="I10" s="48">
        <v>0</v>
      </c>
      <c r="J10" s="21">
        <f t="shared" si="2"/>
        <v>24900</v>
      </c>
      <c r="K10" s="8" t="s">
        <v>203</v>
      </c>
      <c r="L10" s="9">
        <v>-800</v>
      </c>
      <c r="M10" s="9"/>
      <c r="N10" s="48">
        <v>0</v>
      </c>
      <c r="O10" s="21">
        <f t="shared" si="3"/>
        <v>41000</v>
      </c>
      <c r="P10" s="8" t="s">
        <v>204</v>
      </c>
      <c r="Q10" s="9">
        <v>1600</v>
      </c>
      <c r="R10" s="9"/>
      <c r="S10" s="48">
        <v>0</v>
      </c>
      <c r="T10" s="21">
        <f t="shared" si="4"/>
        <v>39100</v>
      </c>
      <c r="U10" s="53">
        <f>IF($J10="","",ROUND(($J10-$J$3)/1000,1)+(_xlfn.RANK.AVG($J10,($J10,$O10,$T10),1)-2)*20)</f>
        <v>-30.1</v>
      </c>
      <c r="V10" s="54">
        <f>IF($O10="","",ROUND(($O10-$O$3)/1000,1)+(_xlfn.RANK.AVG($O10,($J10,$O10,$T10),1)-2)*20)</f>
        <v>26</v>
      </c>
      <c r="W10" s="55">
        <f>IF($T10="","",ROUND(($T10-$T$3)/1000,1)+(_xlfn.RANK.AVG($T10,($J10,$O10,$T10),1)-2)*20)</f>
        <v>4.0999999999999996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30</v>
      </c>
      <c r="BU10" s="40" t="s">
        <v>82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203</v>
      </c>
      <c r="G11" s="9">
        <v>-2000</v>
      </c>
      <c r="H11" s="9">
        <v>-1000</v>
      </c>
      <c r="I11" s="48">
        <v>-500</v>
      </c>
      <c r="J11" s="21">
        <f t="shared" si="2"/>
        <v>21400</v>
      </c>
      <c r="K11" s="8" t="s">
        <v>204</v>
      </c>
      <c r="L11" s="9">
        <v>5300</v>
      </c>
      <c r="M11" s="9">
        <v>2000</v>
      </c>
      <c r="N11" s="48">
        <v>1000</v>
      </c>
      <c r="O11" s="21">
        <f t="shared" si="3"/>
        <v>49300</v>
      </c>
      <c r="P11" s="8" t="s">
        <v>203</v>
      </c>
      <c r="Q11" s="9">
        <v>-3300</v>
      </c>
      <c r="R11" s="9">
        <v>-1000</v>
      </c>
      <c r="S11" s="48">
        <v>-500</v>
      </c>
      <c r="T11" s="21">
        <f t="shared" si="4"/>
        <v>34300</v>
      </c>
      <c r="U11" s="53">
        <f>IF($J11="","",ROUND(($J11-$J$3)/1000,1)+(_xlfn.RANK.AVG($J11,($J11,$O11,$T11),1)-2)*20)</f>
        <v>-33.6</v>
      </c>
      <c r="V11" s="54">
        <f>IF($O11="","",ROUND(($O11-$O$3)/1000,1)+(_xlfn.RANK.AVG($O11,($J11,$O11,$T11),1)-2)*20)</f>
        <v>34.299999999999997</v>
      </c>
      <c r="W11" s="55">
        <f>IF($T11="","",ROUND(($T11-$T$3)/1000,1)+(_xlfn.RANK.AVG($T11,($J11,$O11,$T11),1)-2)*20)</f>
        <v>-0.7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199</v>
      </c>
      <c r="BA11" s="41" t="s">
        <v>82</v>
      </c>
      <c r="BB11" s="41" t="s">
        <v>83</v>
      </c>
      <c r="BC11" s="41" t="s">
        <v>200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-3000</v>
      </c>
      <c r="H12" s="9"/>
      <c r="I12" s="48"/>
      <c r="J12" s="21">
        <f t="shared" si="2"/>
        <v>18400</v>
      </c>
      <c r="K12" s="8" t="s">
        <v>202</v>
      </c>
      <c r="L12" s="9">
        <v>1500</v>
      </c>
      <c r="M12" s="9"/>
      <c r="N12" s="48"/>
      <c r="O12" s="21">
        <f t="shared" si="3"/>
        <v>50800</v>
      </c>
      <c r="P12" s="8" t="s">
        <v>202</v>
      </c>
      <c r="Q12" s="9">
        <v>1500</v>
      </c>
      <c r="R12" s="9"/>
      <c r="S12" s="48"/>
      <c r="T12" s="21">
        <f t="shared" si="4"/>
        <v>35800</v>
      </c>
      <c r="U12" s="53">
        <f>IF($J12="","",ROUND(($J12-$J$3)/1000,1)+(_xlfn.RANK.AVG($J12,($J12,$O12,$T12),1)-2)*20)</f>
        <v>-36.6</v>
      </c>
      <c r="V12" s="54">
        <f>IF($O12="","",ROUND(($O12-$O$3)/1000,1)+(_xlfn.RANK.AVG($O12,($J12,$O12,$T12),1)-2)*20)</f>
        <v>35.799999999999997</v>
      </c>
      <c r="W12" s="55">
        <f>IF($T12="","",ROUND(($T12-$T$3)/1000,1)+(_xlfn.RANK.AVG($T12,($J12,$O12,$T12),1)-2)*20)</f>
        <v>0.8</v>
      </c>
      <c r="Y12" s="8" t="s">
        <v>205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201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201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B2D2750-D9C3-43B5-A89E-AA052EC20521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2AE7-5305-4A26-9FD2-903EE063096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203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203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204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-2.9</v>
      </c>
      <c r="V4" s="54">
        <f>IF($O4="","",ROUND(($O4-$O$3)/1000,1)+(_xlfn.RANK.AVG($O4,($J4,$O4,$T4),1)-2)*20)</f>
        <v>-24.8</v>
      </c>
      <c r="W4" s="55">
        <f>IF($T4="","",ROUND(($T4-$T$3)/1000,1)+(_xlfn.RANK.AVG($T4,($J4,$O4,$T4),1)-2)*20)</f>
        <v>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199</v>
      </c>
      <c r="BV4" s="41" t="s">
        <v>82</v>
      </c>
      <c r="BW4" s="41" t="s">
        <v>92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198</v>
      </c>
      <c r="G5" s="9">
        <v>-7700</v>
      </c>
      <c r="H5" s="9"/>
      <c r="I5" s="48">
        <v>0</v>
      </c>
      <c r="J5" s="21">
        <f t="shared" ref="J5:J30" si="2">IF(COUNTA($F5,$K5,$P5)&gt;0,J4+SUM(G5:I5),"")</f>
        <v>24400</v>
      </c>
      <c r="K5" s="8"/>
      <c r="L5" s="9"/>
      <c r="M5" s="9"/>
      <c r="N5" s="48"/>
      <c r="O5" s="21">
        <f t="shared" ref="O5:O30" si="3">IF(COUNTA($F5,$K5,$P5)&gt;0,O4+SUM(L5:N5),"")</f>
        <v>30200</v>
      </c>
      <c r="P5" s="8" t="s">
        <v>197</v>
      </c>
      <c r="Q5" s="9">
        <v>7700</v>
      </c>
      <c r="R5" s="9"/>
      <c r="S5" s="48">
        <v>0</v>
      </c>
      <c r="T5" s="21">
        <f t="shared" ref="T5:T30" si="4">IF(COUNTA($F5,$K5,$P5)&gt;0,T4+SUM(Q5:S5),"")</f>
        <v>50400</v>
      </c>
      <c r="U5" s="53">
        <f>IF($J5="","",ROUND(($J5-$J$3)/1000,1)+(_xlfn.RANK.AVG($J5,($J5,$O5,$T5),1)-2)*20)</f>
        <v>-30.6</v>
      </c>
      <c r="V5" s="54">
        <f>IF($O5="","",ROUND(($O5-$O$3)/1000,1)+(_xlfn.RANK.AVG($O5,($J5,$O5,$T5),1)-2)*20)</f>
        <v>-4.8</v>
      </c>
      <c r="W5" s="55">
        <f>IF($T5="","",ROUND(($T5-$T$3)/1000,1)+(_xlfn.RANK.AVG($T5,($J5,$O5,$T5),1)-2)*20)</f>
        <v>35.4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199</v>
      </c>
      <c r="BV5" s="41" t="s">
        <v>79</v>
      </c>
      <c r="BW5" s="41" t="s">
        <v>209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207</v>
      </c>
      <c r="F6" s="8" t="s">
        <v>203</v>
      </c>
      <c r="G6" s="9">
        <v>-500</v>
      </c>
      <c r="H6" s="9"/>
      <c r="I6" s="48">
        <v>-500</v>
      </c>
      <c r="J6" s="21">
        <f t="shared" si="2"/>
        <v>23400</v>
      </c>
      <c r="K6" s="8" t="s">
        <v>204</v>
      </c>
      <c r="L6" s="9">
        <v>1200</v>
      </c>
      <c r="M6" s="9">
        <v>1000</v>
      </c>
      <c r="N6" s="48">
        <v>1000</v>
      </c>
      <c r="O6" s="21">
        <f t="shared" si="3"/>
        <v>33400</v>
      </c>
      <c r="P6" s="8" t="s">
        <v>203</v>
      </c>
      <c r="Q6" s="9">
        <v>-700</v>
      </c>
      <c r="R6" s="9">
        <v>-1000</v>
      </c>
      <c r="S6" s="48">
        <v>-500</v>
      </c>
      <c r="T6" s="21">
        <f t="shared" si="4"/>
        <v>48200</v>
      </c>
      <c r="U6" s="53">
        <f>IF($J6="","",ROUND(($J6-$J$3)/1000,1)+(_xlfn.RANK.AVG($J6,($J6,$O6,$T6),1)-2)*20)</f>
        <v>-31.6</v>
      </c>
      <c r="V6" s="54">
        <f>IF($O6="","",ROUND(($O6-$O$3)/1000,1)+(_xlfn.RANK.AVG($O6,($J6,$O6,$T6),1)-2)*20)</f>
        <v>-1.6</v>
      </c>
      <c r="W6" s="55">
        <f>IF($T6="","",ROUND(($T6-$T$3)/1000,1)+(_xlfn.RANK.AVG($T6,($J6,$O6,$T6),1)-2)*20)</f>
        <v>33.200000000000003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203</v>
      </c>
      <c r="G7" s="9">
        <v>-5000</v>
      </c>
      <c r="H7" s="9"/>
      <c r="I7" s="48">
        <v>0</v>
      </c>
      <c r="J7" s="21">
        <f t="shared" si="2"/>
        <v>18400</v>
      </c>
      <c r="K7" s="8" t="s">
        <v>203</v>
      </c>
      <c r="L7" s="9">
        <v>-3000</v>
      </c>
      <c r="M7" s="9"/>
      <c r="N7" s="48">
        <v>0</v>
      </c>
      <c r="O7" s="21">
        <f t="shared" si="3"/>
        <v>30400</v>
      </c>
      <c r="P7" s="8" t="s">
        <v>204</v>
      </c>
      <c r="Q7" s="9">
        <v>8000</v>
      </c>
      <c r="R7" s="9"/>
      <c r="S7" s="48">
        <v>0</v>
      </c>
      <c r="T7" s="21">
        <f t="shared" si="4"/>
        <v>56200</v>
      </c>
      <c r="U7" s="53">
        <f>IF($J7="","",ROUND(($J7-$J$3)/1000,1)+(_xlfn.RANK.AVG($J7,($J7,$O7,$T7),1)-2)*20)</f>
        <v>-36.6</v>
      </c>
      <c r="V7" s="54">
        <f>IF($O7="","",ROUND(($O7-$O$3)/1000,1)+(_xlfn.RANK.AVG($O7,($J7,$O7,$T7),1)-2)*20)</f>
        <v>-4.5999999999999996</v>
      </c>
      <c r="W7" s="55">
        <f>IF($T7="","",ROUND(($T7-$T$3)/1000,1)+(_xlfn.RANK.AVG($T7,($J7,$O7,$T7),1)-2)*20)</f>
        <v>41.2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210</v>
      </c>
      <c r="BU7" s="40" t="s">
        <v>104</v>
      </c>
      <c r="BV7" s="41" t="s">
        <v>86</v>
      </c>
      <c r="BW7" s="41" t="s">
        <v>86</v>
      </c>
      <c r="BX7" s="41" t="s">
        <v>200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-500</v>
      </c>
      <c r="H8" s="9"/>
      <c r="I8" s="48">
        <v>0</v>
      </c>
      <c r="J8" s="21">
        <f t="shared" si="2"/>
        <v>17900</v>
      </c>
      <c r="K8" s="8" t="s">
        <v>203</v>
      </c>
      <c r="L8" s="9">
        <v>-700</v>
      </c>
      <c r="M8" s="9"/>
      <c r="N8" s="48">
        <v>0</v>
      </c>
      <c r="O8" s="21">
        <f t="shared" si="3"/>
        <v>29700</v>
      </c>
      <c r="P8" s="8" t="s">
        <v>204</v>
      </c>
      <c r="Q8" s="9">
        <v>1200</v>
      </c>
      <c r="R8" s="9"/>
      <c r="S8" s="48">
        <v>0</v>
      </c>
      <c r="T8" s="21">
        <f t="shared" si="4"/>
        <v>57400</v>
      </c>
      <c r="U8" s="53">
        <f>IF($J8="","",ROUND(($J8-$J$3)/1000,1)+(_xlfn.RANK.AVG($J8,($J8,$O8,$T8),1)-2)*20)</f>
        <v>-37.1</v>
      </c>
      <c r="V8" s="54">
        <f>IF($O8="","",ROUND(($O8-$O$3)/1000,1)+(_xlfn.RANK.AVG($O8,($J8,$O8,$T8),1)-2)*20)</f>
        <v>-5.3</v>
      </c>
      <c r="W8" s="55">
        <f>IF($T8="","",ROUND(($T8-$T$3)/1000,1)+(_xlfn.RANK.AVG($T8,($J8,$O8,$T8),1)-2)*20)</f>
        <v>42.4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30</v>
      </c>
      <c r="BU8" s="40" t="s">
        <v>82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207</v>
      </c>
      <c r="F9" s="8" t="s">
        <v>204</v>
      </c>
      <c r="G9" s="9">
        <v>7700</v>
      </c>
      <c r="H9" s="9"/>
      <c r="I9" s="48">
        <v>0</v>
      </c>
      <c r="J9" s="21">
        <f t="shared" si="2"/>
        <v>25600</v>
      </c>
      <c r="K9" s="8" t="s">
        <v>203</v>
      </c>
      <c r="L9" s="9">
        <v>-2900</v>
      </c>
      <c r="M9" s="9"/>
      <c r="N9" s="48">
        <v>0</v>
      </c>
      <c r="O9" s="21">
        <f t="shared" si="3"/>
        <v>26800</v>
      </c>
      <c r="P9" s="8" t="s">
        <v>203</v>
      </c>
      <c r="Q9" s="9">
        <v>-4800</v>
      </c>
      <c r="R9" s="9"/>
      <c r="S9" s="48">
        <v>0</v>
      </c>
      <c r="T9" s="21">
        <f t="shared" si="4"/>
        <v>52600</v>
      </c>
      <c r="U9" s="53">
        <f>IF($J9="","",ROUND(($J9-$J$3)/1000,1)+(_xlfn.RANK.AVG($J9,($J9,$O9,$T9),1)-2)*20)</f>
        <v>-29.4</v>
      </c>
      <c r="V9" s="54">
        <f>IF($O9="","",ROUND(($O9-$O$3)/1000,1)+(_xlfn.RANK.AVG($O9,($J9,$O9,$T9),1)-2)*20)</f>
        <v>-8.1999999999999993</v>
      </c>
      <c r="W9" s="55">
        <f>IF($T9="","",ROUND(($T9-$T$3)/1000,1)+(_xlfn.RANK.AVG($T9,($J9,$O9,$T9),1)-2)*20)</f>
        <v>37.6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104</v>
      </c>
      <c r="AF9" s="41" t="s">
        <v>86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211</v>
      </c>
      <c r="G10" s="9">
        <v>0</v>
      </c>
      <c r="H10" s="9"/>
      <c r="I10" s="48"/>
      <c r="J10" s="21">
        <f t="shared" si="2"/>
        <v>25600</v>
      </c>
      <c r="K10" s="8" t="s">
        <v>211</v>
      </c>
      <c r="L10" s="9">
        <v>0</v>
      </c>
      <c r="M10" s="9"/>
      <c r="N10" s="48"/>
      <c r="O10" s="21">
        <f t="shared" si="3"/>
        <v>26800</v>
      </c>
      <c r="P10" s="8" t="s">
        <v>211</v>
      </c>
      <c r="Q10" s="9">
        <v>0</v>
      </c>
      <c r="R10" s="9"/>
      <c r="S10" s="48"/>
      <c r="T10" s="21">
        <f t="shared" si="4"/>
        <v>52600</v>
      </c>
      <c r="U10" s="53">
        <f>IF($J10="","",ROUND(($J10-$J$3)/1000,1)+(_xlfn.RANK.AVG($J10,($J10,$O10,$T10),1)-2)*20)</f>
        <v>-29.4</v>
      </c>
      <c r="V10" s="54">
        <f>IF($O10="","",ROUND(($O10-$O$3)/1000,1)+(_xlfn.RANK.AVG($O10,($J10,$O10,$T10),1)-2)*20)</f>
        <v>-8.1999999999999993</v>
      </c>
      <c r="W10" s="55">
        <f>IF($T10="","",ROUND(($T10-$T$3)/1000,1)+(_xlfn.RANK.AVG($T10,($J10,$O10,$T10),1)-2)*20)</f>
        <v>37.6</v>
      </c>
      <c r="Y10" s="8" t="s">
        <v>205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DD2A95E-478C-451C-9755-BEC73447C2D9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281EC412-15F5-4E72-A01B-7A423973A9A8}">
      <formula1>"ロン,ツモ,放銃,ツモ支払,流局,チョンボ"</formula1>
    </dataValidation>
    <dataValidation type="list" allowBlank="1" showInputMessage="1" showErrorMessage="1" sqref="E4:E30" xr:uid="{E2D34AB4-880A-47FB-BC90-971E5449BA0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8998-AC64-4332-956A-C86975AA0C4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210</v>
      </c>
      <c r="BU4" s="40" t="s">
        <v>199</v>
      </c>
      <c r="BV4" s="41" t="s">
        <v>79</v>
      </c>
      <c r="BW4" s="41" t="s">
        <v>80</v>
      </c>
      <c r="BX4" s="41" t="s">
        <v>80</v>
      </c>
      <c r="BY4" s="41" t="s">
        <v>200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203</v>
      </c>
      <c r="G5" s="9">
        <v>-4500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203</v>
      </c>
      <c r="L5" s="9">
        <v>-7500</v>
      </c>
      <c r="M5" s="9"/>
      <c r="N5" s="48">
        <v>0</v>
      </c>
      <c r="O5" s="21">
        <f t="shared" ref="O5:O30" si="3">IF(COUNTA($F5,$K5,$P5)&gt;0,O4+SUM(L5:N5),"")</f>
        <v>27500</v>
      </c>
      <c r="P5" s="8" t="s">
        <v>204</v>
      </c>
      <c r="Q5" s="9">
        <v>12000</v>
      </c>
      <c r="R5" s="9"/>
      <c r="S5" s="48">
        <v>0</v>
      </c>
      <c r="T5" s="21">
        <f t="shared" ref="T5:T30" si="4">IF(COUNTA($F5,$K5,$P5)&gt;0,T4+SUM(Q5:S5),"")</f>
        <v>55000</v>
      </c>
      <c r="U5" s="53">
        <f>IF($J5="","",ROUND(($J5-$J$3)/1000,1)+(_xlfn.RANK.AVG($J5,($J5,$O5,$T5),1)-2)*20)</f>
        <v>-32.5</v>
      </c>
      <c r="V5" s="54">
        <f>IF($O5="","",ROUND(($O5-$O$3)/1000,1)+(_xlfn.RANK.AVG($O5,($J5,$O5,$T5),1)-2)*20)</f>
        <v>-7.5</v>
      </c>
      <c r="W5" s="55">
        <f>IF($T5="","",ROUND(($T5-$T$3)/1000,1)+(_xlfn.RANK.AVG($T5,($J5,$O5,$T5),1)-2)*20)</f>
        <v>40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210</v>
      </c>
      <c r="BU5" s="40" t="s">
        <v>104</v>
      </c>
      <c r="BV5" s="41" t="s">
        <v>104</v>
      </c>
      <c r="BW5" s="41" t="s">
        <v>86</v>
      </c>
      <c r="BX5" s="41" t="s">
        <v>200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/>
      <c r="G6" s="9"/>
      <c r="H6" s="9"/>
      <c r="I6" s="48"/>
      <c r="J6" s="21">
        <f t="shared" si="2"/>
        <v>22500</v>
      </c>
      <c r="K6" s="8" t="s">
        <v>198</v>
      </c>
      <c r="L6" s="9">
        <v>-11600</v>
      </c>
      <c r="M6" s="9">
        <v>-1000</v>
      </c>
      <c r="N6" s="48">
        <v>0</v>
      </c>
      <c r="O6" s="21">
        <f t="shared" si="3"/>
        <v>14900</v>
      </c>
      <c r="P6" s="8" t="s">
        <v>197</v>
      </c>
      <c r="Q6" s="9">
        <v>11600</v>
      </c>
      <c r="R6" s="9">
        <v>1000</v>
      </c>
      <c r="S6" s="48">
        <v>0</v>
      </c>
      <c r="T6" s="21">
        <f t="shared" si="4"/>
        <v>67600</v>
      </c>
      <c r="U6" s="53">
        <f>IF($J6="","",ROUND(($J6-$J$3)/1000,1)+(_xlfn.RANK.AVG($J6,($J6,$O6,$T6),1)-2)*20)</f>
        <v>-12.5</v>
      </c>
      <c r="V6" s="54">
        <f>IF($O6="","",ROUND(($O6-$O$3)/1000,1)+(_xlfn.RANK.AVG($O6,($J6,$O6,$T6),1)-2)*20)</f>
        <v>-40.1</v>
      </c>
      <c r="W6" s="55">
        <f>IF($T6="","",ROUND(($T6-$T$3)/1000,1)+(_xlfn.RANK.AVG($T6,($J6,$O6,$T6),1)-2)*20)</f>
        <v>52.6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199</v>
      </c>
      <c r="BV6" s="41" t="s">
        <v>83</v>
      </c>
      <c r="BW6" s="41" t="s">
        <v>79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207</v>
      </c>
      <c r="F7" s="8" t="s">
        <v>198</v>
      </c>
      <c r="G7" s="9">
        <v>-1000</v>
      </c>
      <c r="H7" s="9"/>
      <c r="I7" s="48">
        <v>-1000</v>
      </c>
      <c r="J7" s="21">
        <f t="shared" si="2"/>
        <v>20500</v>
      </c>
      <c r="K7" s="8" t="s">
        <v>197</v>
      </c>
      <c r="L7" s="9">
        <v>1000</v>
      </c>
      <c r="M7" s="9"/>
      <c r="N7" s="48">
        <v>1000</v>
      </c>
      <c r="O7" s="21">
        <f t="shared" si="3"/>
        <v>16900</v>
      </c>
      <c r="P7" s="8"/>
      <c r="Q7" s="9"/>
      <c r="R7" s="9"/>
      <c r="S7" s="48"/>
      <c r="T7" s="21">
        <f t="shared" si="4"/>
        <v>67600</v>
      </c>
      <c r="U7" s="53">
        <f>IF($J7="","",ROUND(($J7-$J$3)/1000,1)+(_xlfn.RANK.AVG($J7,($J7,$O7,$T7),1)-2)*20)</f>
        <v>-14.5</v>
      </c>
      <c r="V7" s="54">
        <f>IF($O7="","",ROUND(($O7-$O$3)/1000,1)+(_xlfn.RANK.AVG($O7,($J7,$O7,$T7),1)-2)*20)</f>
        <v>-38.1</v>
      </c>
      <c r="W7" s="55">
        <f>IF($T7="","",ROUND(($T7-$T$3)/1000,1)+(_xlfn.RANK.AVG($T7,($J7,$O7,$T7),1)-2)*20)</f>
        <v>52.6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-8000</v>
      </c>
      <c r="H8" s="9"/>
      <c r="I8" s="48">
        <v>0</v>
      </c>
      <c r="J8" s="21">
        <f t="shared" si="2"/>
        <v>12500</v>
      </c>
      <c r="K8" s="8" t="s">
        <v>197</v>
      </c>
      <c r="L8" s="9">
        <v>8000</v>
      </c>
      <c r="M8" s="9"/>
      <c r="N8" s="48">
        <v>0</v>
      </c>
      <c r="O8" s="21">
        <f t="shared" si="3"/>
        <v>24900</v>
      </c>
      <c r="P8" s="8"/>
      <c r="Q8" s="9"/>
      <c r="R8" s="9"/>
      <c r="S8" s="48"/>
      <c r="T8" s="21">
        <f t="shared" si="4"/>
        <v>67600</v>
      </c>
      <c r="U8" s="53">
        <f>IF($J8="","",ROUND(($J8-$J$3)/1000,1)+(_xlfn.RANK.AVG($J8,($J8,$O8,$T8),1)-2)*20)</f>
        <v>-42.5</v>
      </c>
      <c r="V8" s="54">
        <f>IF($O8="","",ROUND(($O8-$O$3)/1000,1)+(_xlfn.RANK.AVG($O8,($J8,$O8,$T8),1)-2)*20)</f>
        <v>-10.1</v>
      </c>
      <c r="W8" s="55">
        <f>IF($T8="","",ROUND(($T8-$T$3)/1000,1)+(_xlfn.RANK.AVG($T8,($J8,$O8,$T8),1)-2)*20)</f>
        <v>52.6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210</v>
      </c>
      <c r="AZ8" s="40" t="s">
        <v>199</v>
      </c>
      <c r="BA8" s="41" t="s">
        <v>209</v>
      </c>
      <c r="BB8" s="41" t="s">
        <v>83</v>
      </c>
      <c r="BC8" s="41" t="s">
        <v>85</v>
      </c>
      <c r="BD8" s="41" t="s">
        <v>84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203</v>
      </c>
      <c r="G9" s="9">
        <v>-5800</v>
      </c>
      <c r="H9" s="9"/>
      <c r="I9" s="48">
        <v>0</v>
      </c>
      <c r="J9" s="21">
        <f t="shared" si="2"/>
        <v>6700</v>
      </c>
      <c r="K9" s="8" t="s">
        <v>204</v>
      </c>
      <c r="L9" s="9">
        <v>11600</v>
      </c>
      <c r="M9" s="9"/>
      <c r="N9" s="48">
        <v>0</v>
      </c>
      <c r="O9" s="21">
        <f t="shared" si="3"/>
        <v>36500</v>
      </c>
      <c r="P9" s="8" t="s">
        <v>203</v>
      </c>
      <c r="Q9" s="9">
        <v>-5800</v>
      </c>
      <c r="R9" s="9"/>
      <c r="S9" s="48">
        <v>0</v>
      </c>
      <c r="T9" s="21">
        <f t="shared" si="4"/>
        <v>61800</v>
      </c>
      <c r="U9" s="53">
        <f>IF($J9="","",ROUND(($J9-$J$3)/1000,1)+(_xlfn.RANK.AVG($J9,($J9,$O9,$T9),1)-2)*20)</f>
        <v>-48.3</v>
      </c>
      <c r="V9" s="54">
        <f>IF($O9="","",ROUND(($O9-$O$3)/1000,1)+(_xlfn.RANK.AVG($O9,($J9,$O9,$T9),1)-2)*20)</f>
        <v>1.5</v>
      </c>
      <c r="W9" s="55">
        <f>IF($T9="","",ROUND(($T9-$T$3)/1000,1)+(_xlfn.RANK.AVG($T9,($J9,$O9,$T9),1)-2)*20)</f>
        <v>46.8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104</v>
      </c>
      <c r="BA9" s="41" t="s">
        <v>86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6700</v>
      </c>
      <c r="K10" s="8" t="s">
        <v>198</v>
      </c>
      <c r="L10" s="9">
        <v>-8000</v>
      </c>
      <c r="M10" s="9"/>
      <c r="N10" s="48">
        <v>-1000</v>
      </c>
      <c r="O10" s="21">
        <f t="shared" si="3"/>
        <v>27500</v>
      </c>
      <c r="P10" s="8" t="s">
        <v>197</v>
      </c>
      <c r="Q10" s="9">
        <v>8000</v>
      </c>
      <c r="R10" s="9"/>
      <c r="S10" s="48">
        <v>1000</v>
      </c>
      <c r="T10" s="21">
        <f t="shared" si="4"/>
        <v>70800</v>
      </c>
      <c r="U10" s="53">
        <f>IF($J10="","",ROUND(($J10-$J$3)/1000,1)+(_xlfn.RANK.AVG($J10,($J10,$O10,$T10),1)-2)*20)</f>
        <v>-48.3</v>
      </c>
      <c r="V10" s="54">
        <f>IF($O10="","",ROUND(($O10-$O$3)/1000,1)+(_xlfn.RANK.AVG($O10,($J10,$O10,$T10),1)-2)*20)</f>
        <v>-7.5</v>
      </c>
      <c r="W10" s="55">
        <f>IF($T10="","",ROUND(($T10-$T$3)/1000,1)+(_xlfn.RANK.AVG($T10,($J10,$O10,$T10),1)-2)*20)</f>
        <v>55.8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210</v>
      </c>
      <c r="BU10" s="40" t="s">
        <v>104</v>
      </c>
      <c r="BV10" s="41" t="s">
        <v>86</v>
      </c>
      <c r="BW10" s="41" t="s">
        <v>200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207</v>
      </c>
      <c r="F11" s="8"/>
      <c r="G11" s="9"/>
      <c r="H11" s="9"/>
      <c r="I11" s="48"/>
      <c r="J11" s="21">
        <f t="shared" si="2"/>
        <v>6700</v>
      </c>
      <c r="K11" s="8" t="s">
        <v>197</v>
      </c>
      <c r="L11" s="9">
        <v>2600</v>
      </c>
      <c r="M11" s="9"/>
      <c r="N11" s="48">
        <v>0</v>
      </c>
      <c r="O11" s="21">
        <f t="shared" si="3"/>
        <v>30100</v>
      </c>
      <c r="P11" s="8" t="s">
        <v>198</v>
      </c>
      <c r="Q11" s="9">
        <v>-2600</v>
      </c>
      <c r="R11" s="9"/>
      <c r="S11" s="48">
        <v>0</v>
      </c>
      <c r="T11" s="21">
        <f t="shared" si="4"/>
        <v>68200</v>
      </c>
      <c r="U11" s="53">
        <f>IF($J11="","",ROUND(($J11-$J$3)/1000,1)+(_xlfn.RANK.AVG($J11,($J11,$O11,$T11),1)-2)*20)</f>
        <v>-48.3</v>
      </c>
      <c r="V11" s="54">
        <f>IF($O11="","",ROUND(($O11-$O$3)/1000,1)+(_xlfn.RANK.AVG($O11,($J11,$O11,$T11),1)-2)*20)</f>
        <v>-4.9000000000000004</v>
      </c>
      <c r="W11" s="55">
        <f>IF($T11="","",ROUND(($T11-$T$3)/1000,1)+(_xlfn.RANK.AVG($T11,($J11,$O11,$T11),1)-2)*20)</f>
        <v>53.2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40</v>
      </c>
      <c r="AZ11" s="40" t="s">
        <v>199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A01CF56-63F6-4858-9A5C-D36891421CB2}">
      <formula1>$U$2:$W$2</formula1>
    </dataValidation>
    <dataValidation type="list" showInputMessage="1" showErrorMessage="1" sqref="K4:K30 P4:P30 F4:F30" xr:uid="{A14D1F74-815E-4174-A685-7B6B207993B8}">
      <formula1>"ロン,ツモ,放銃,ツモ支払,流局,チョンボ"</formula1>
    </dataValidation>
    <dataValidation type="list" allowBlank="1" showInputMessage="1" sqref="F1:T1" xr:uid="{086C892B-5018-47C3-ACD7-9E442FDF00D7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2019-07-14T16:22:51Z</dcterms:modified>
</cp:coreProperties>
</file>