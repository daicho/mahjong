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対局\"/>
    </mc:Choice>
  </mc:AlternateContent>
  <xr:revisionPtr revIDLastSave="0" documentId="13_ncr:1_{2315E007-EAAA-4425-9D2F-93821B8AB125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9" r:id="rId1"/>
    <sheet name="Sheet2" sheetId="20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20" l="1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 s="1"/>
  <c r="T12" i="20"/>
  <c r="O12" i="20"/>
  <c r="J12" i="20"/>
  <c r="D12" i="20"/>
  <c r="C12" i="20"/>
  <c r="B12" i="20"/>
  <c r="A12" i="20" s="1"/>
  <c r="T11" i="20"/>
  <c r="O11" i="20"/>
  <c r="J11" i="20"/>
  <c r="U11" i="20" s="1"/>
  <c r="D11" i="20"/>
  <c r="C11" i="20"/>
  <c r="B11" i="20"/>
  <c r="A11" i="20" s="1"/>
  <c r="T10" i="20"/>
  <c r="O10" i="20"/>
  <c r="V10" i="20" s="1"/>
  <c r="J10" i="20"/>
  <c r="D10" i="20"/>
  <c r="C10" i="20"/>
  <c r="B10" i="20"/>
  <c r="A10" i="20"/>
  <c r="D9" i="20"/>
  <c r="C9" i="20"/>
  <c r="D8" i="20"/>
  <c r="D7" i="20"/>
  <c r="C7" i="20"/>
  <c r="C8" i="20" s="1"/>
  <c r="D6" i="20"/>
  <c r="C6" i="20"/>
  <c r="B6" i="20"/>
  <c r="B7" i="20" s="1"/>
  <c r="T5" i="20"/>
  <c r="D5" i="20"/>
  <c r="C5" i="20"/>
  <c r="B5" i="20"/>
  <c r="A5" i="20" s="1"/>
  <c r="T4" i="20"/>
  <c r="O4" i="20"/>
  <c r="O5" i="20" s="1"/>
  <c r="J4" i="20"/>
  <c r="W3" i="20"/>
  <c r="V3" i="20"/>
  <c r="U3" i="20"/>
  <c r="W2" i="20"/>
  <c r="V2" i="20"/>
  <c r="U2" i="20"/>
  <c r="BO1" i="20"/>
  <c r="AT1" i="20"/>
  <c r="Y1" i="20"/>
  <c r="V12" i="20" l="1"/>
  <c r="W12" i="20"/>
  <c r="U12" i="20"/>
  <c r="V11" i="20"/>
  <c r="W11" i="20"/>
  <c r="U10" i="20"/>
  <c r="W10" i="20"/>
  <c r="A6" i="20"/>
  <c r="W4" i="20"/>
  <c r="V4" i="20"/>
  <c r="O6" i="20"/>
  <c r="B8" i="20"/>
  <c r="A8" i="20" s="1"/>
  <c r="J5" i="20"/>
  <c r="A7" i="20"/>
  <c r="U4" i="20"/>
  <c r="T6" i="20"/>
  <c r="J6" i="20" l="1"/>
  <c r="V6" i="20" s="1"/>
  <c r="U5" i="20"/>
  <c r="O7" i="20"/>
  <c r="T7" i="20"/>
  <c r="B9" i="20"/>
  <c r="A9" i="20" s="1"/>
  <c r="V5" i="20"/>
  <c r="W5" i="20"/>
  <c r="W6" i="20" l="1"/>
  <c r="O8" i="20"/>
  <c r="U6" i="20"/>
  <c r="J7" i="20"/>
  <c r="V7" i="20" s="1"/>
  <c r="T8" i="20"/>
  <c r="W7" i="20" l="1"/>
  <c r="O9" i="20"/>
  <c r="U7" i="20"/>
  <c r="J8" i="20"/>
  <c r="V8" i="20" s="1"/>
  <c r="T9" i="20"/>
  <c r="W8" i="20"/>
  <c r="U8" i="20" l="1"/>
  <c r="J9" i="20"/>
  <c r="U9" i="20" s="1"/>
  <c r="W9" i="20" l="1"/>
  <c r="V9" i="20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/>
  <c r="T10" i="19"/>
  <c r="W10" i="19" s="1"/>
  <c r="O10" i="19"/>
  <c r="V10" i="19" s="1"/>
  <c r="J10" i="19"/>
  <c r="U10" i="19" s="1"/>
  <c r="D10" i="19"/>
  <c r="C10" i="19"/>
  <c r="B10" i="19"/>
  <c r="A10" i="19"/>
  <c r="T9" i="19"/>
  <c r="O9" i="19"/>
  <c r="V9" i="19" s="1"/>
  <c r="J9" i="19"/>
  <c r="U9" i="19" s="1"/>
  <c r="D9" i="19"/>
  <c r="C9" i="19"/>
  <c r="B9" i="19"/>
  <c r="A9" i="19" s="1"/>
  <c r="T8" i="19"/>
  <c r="O8" i="19"/>
  <c r="V8" i="19" s="1"/>
  <c r="J8" i="19"/>
  <c r="U8" i="19" s="1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D6" i="19"/>
  <c r="C6" i="19"/>
  <c r="B6" i="19"/>
  <c r="A6" i="19" s="1"/>
  <c r="D5" i="19"/>
  <c r="C5" i="19"/>
  <c r="B5" i="19"/>
  <c r="A5" i="19"/>
  <c r="T4" i="19"/>
  <c r="O4" i="19"/>
  <c r="J4" i="19"/>
  <c r="W3" i="19"/>
  <c r="V3" i="19"/>
  <c r="U3" i="19"/>
  <c r="W2" i="19"/>
  <c r="V2" i="19"/>
  <c r="U2" i="19"/>
  <c r="BO1" i="19"/>
  <c r="AT1" i="19"/>
  <c r="Y1" i="19"/>
  <c r="W9" i="19" l="1"/>
  <c r="W8" i="19"/>
  <c r="V7" i="19"/>
  <c r="U7" i="19"/>
  <c r="W7" i="19"/>
  <c r="U6" i="19"/>
  <c r="W6" i="19"/>
  <c r="V6" i="19"/>
  <c r="U4" i="19"/>
  <c r="V4" i="19"/>
  <c r="T5" i="19"/>
  <c r="W4" i="19"/>
  <c r="J5" i="19"/>
  <c r="O5" i="19"/>
  <c r="V5" i="19" l="1"/>
  <c r="W5" i="19"/>
  <c r="U5" i="19"/>
</calcChain>
</file>

<file path=xl/sharedStrings.xml><?xml version="1.0" encoding="utf-8"?>
<sst xmlns="http://schemas.openxmlformats.org/spreadsheetml/2006/main" count="656" uniqueCount="156">
  <si>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</si>
  <si>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</si>
  <si>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</si>
  <si>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</si>
  <si>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</si>
  <si>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</si>
  <si>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</si>
  <si>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</si>
  <si>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</si>
  <si>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</si>
  <si>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</si>
  <si>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</si>
  <si>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</si>
  <si>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</si>
  <si>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</si>
  <si>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</si>
  <si>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</si>
  <si>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</si>
  <si>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</si>
  <si>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</si>
  <si>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</si>
  <si>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</si>
  <si>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</si>
  <si>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</si>
  <si>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</si>
  <si>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</si>
  <si>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</si>
  <si>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</si>
  <si>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</si>
  <si>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</si>
  <si>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</si>
  <si>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</si>
  <si>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</si>
  <si>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</si>
  <si>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</si>
  <si>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</si>
  <si>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</si>
  <si>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</si>
  <si>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</si>
  <si>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</si>
  <si>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</si>
  <si>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</si>
  <si>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</si>
  <si>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</si>
  <si>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</si>
  <si>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</si>
  <si>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</si>
  <si>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</si>
  <si>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</si>
  <si>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</si>
  <si>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</si>
  <si>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</si>
  <si>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</si>
  <si>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</si>
  <si>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</si>
  <si>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</si>
  <si>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</si>
  <si>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</si>
  <si>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</si>
  <si>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</si>
  <si>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</si>
  <si>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</si>
  <si>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</si>
  <si>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</si>
  <si>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</si>
  <si>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</si>
  <si>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</si>
  <si>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</si>
  <si>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</si>
  <si>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</si>
  <si>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</si>
  <si>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</si>
  <si>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</si>
  <si>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</si>
  <si>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</si>
  <si>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</si>
  <si>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</si>
  <si>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</si>
  <si>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</si>
  <si>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</si>
  <si>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</si>
  <si>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</si>
  <si>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</si>
  <si>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</si>
  <si>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</si>
  <si>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</si>
  <si>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</si>
  <si>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</si>
  <si>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</si>
  <si>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</si>
  <si>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</si>
  <si>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</si>
  <si>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</si>
  <si>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</si>
  <si>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</si>
  <si>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</si>
  <si>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</si>
  <si>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</si>
  <si>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</si>
  <si>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</si>
  <si>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</si>
  <si>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</si>
  <si>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</si>
  <si>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</si>
  <si>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</si>
  <si>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</si>
  <si>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</si>
  <si>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</si>
  <si>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</si>
  <si>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</si>
  <si>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</si>
  <si>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</si>
  <si>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</si>
  <si>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</si>
  <si>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</si>
  <si>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</si>
  <si>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</si>
  <si>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</si>
  <si>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</si>
  <si>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</si>
  <si>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</si>
  <si>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</si>
  <si>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</si>
  <si>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</si>
  <si>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</si>
  <si>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</si>
  <si>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</si>
  <si>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</si>
  <si>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</si>
  <si>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</si>
  <si>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</si>
  <si>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</si>
  <si>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</si>
  <si>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</si>
  <si>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</si>
  <si>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</si>
  <si>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</si>
  <si>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</si>
  <si>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りくと</t>
  </si>
  <si>
    <t>りくと</t>
    <phoneticPr fontId="1"/>
  </si>
  <si>
    <t>れんたろう</t>
  </si>
  <si>
    <t>れんたろう</t>
    <phoneticPr fontId="1"/>
  </si>
  <si>
    <t>だいち</t>
  </si>
  <si>
    <t>だいち</t>
    <phoneticPr fontId="1"/>
  </si>
  <si>
    <t>ツモ支払</t>
  </si>
  <si>
    <t>ツモ</t>
  </si>
  <si>
    <t>01</t>
  </si>
  <si>
    <t>*</t>
  </si>
  <si>
    <t>51</t>
  </si>
  <si>
    <t>52</t>
  </si>
  <si>
    <t>放銃</t>
  </si>
  <si>
    <t>ロン</t>
  </si>
  <si>
    <t>N</t>
  </si>
  <si>
    <t>T</t>
  </si>
  <si>
    <t>流局</t>
    <phoneticPr fontId="1"/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</si>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</sst>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139</v>
      </c>
      <c r="G1" s="72"/>
      <c r="H1" s="72"/>
      <c r="I1" s="73"/>
      <c r="J1" s="74"/>
      <c r="K1" s="71" t="s">
        <v>141</v>
      </c>
      <c r="L1" s="72"/>
      <c r="M1" s="72"/>
      <c r="N1" s="73"/>
      <c r="O1" s="74"/>
      <c r="P1" s="71" t="s">
        <v>143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りくと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れんたろう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だいち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りくと</v>
      </c>
      <c r="V2" s="64" t="str">
        <f>$K$1</f>
        <v>れんたろう</v>
      </c>
      <c r="W2" s="16" t="str">
        <f>$P$1</f>
        <v>だいち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138</v>
      </c>
      <c r="F4" s="8" t="s">
        <v>144</v>
      </c>
      <c r="G4" s="9">
        <v>-4800</v>
      </c>
      <c r="H4" s="9">
        <v>-1000</v>
      </c>
      <c r="I4" s="48">
        <v>0</v>
      </c>
      <c r="J4" s="21">
        <f>IF(COUNTA($F4,$K4,$P4)&gt;0,J3+SUM(G4:I4),"")</f>
        <v>29200</v>
      </c>
      <c r="K4" s="8" t="s">
        <v>144</v>
      </c>
      <c r="L4" s="9">
        <v>-2900</v>
      </c>
      <c r="M4" s="9"/>
      <c r="N4" s="48">
        <v>0</v>
      </c>
      <c r="O4" s="21">
        <f>IF(COUNTA($F4,$K4,$P4)&gt;0,O3+SUM(L4:N4),"")</f>
        <v>32100</v>
      </c>
      <c r="P4" s="8" t="s">
        <v>145</v>
      </c>
      <c r="Q4" s="9">
        <v>7700</v>
      </c>
      <c r="R4" s="9">
        <v>1000</v>
      </c>
      <c r="S4" s="48">
        <v>0</v>
      </c>
      <c r="T4" s="21">
        <f>IF(COUNTA($F4,$K4,$P4)&gt;0,T3+SUM(Q4:S4),"")</f>
        <v>43700</v>
      </c>
      <c r="U4" s="53">
        <f>IF($J4="","",ROUND(($J4-$J$3)/1000,1)+(_xlfn.RANK.AVG($J4,($J4,$O4,$T4),1)-2)*20)</f>
        <v>-25.8</v>
      </c>
      <c r="V4" s="54">
        <f>IF($O4="","",ROUND(($O4-$O$3)/1000,1)+(_xlfn.RANK.AVG($O4,($J4,$O4,$T4),1)-2)*20)</f>
        <v>-2.9</v>
      </c>
      <c r="W4" s="55">
        <f>IF($T4="","",ROUND(($T4-$T$3)/1000,1)+(_xlfn.RANK.AVG($T4,($J4,$O4,$T4),1)-2)*20)</f>
        <v>28.7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4</v>
      </c>
      <c r="BT4" s="30">
        <v>30</v>
      </c>
      <c r="BU4" s="40" t="s">
        <v>146</v>
      </c>
      <c r="BV4" s="41" t="s">
        <v>82</v>
      </c>
      <c r="BW4" s="41" t="s">
        <v>79</v>
      </c>
      <c r="BX4" s="41" t="s">
        <v>79</v>
      </c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140</v>
      </c>
      <c r="F5" s="8" t="s">
        <v>144</v>
      </c>
      <c r="G5" s="9">
        <v>-6000</v>
      </c>
      <c r="H5" s="9">
        <v>-1000</v>
      </c>
      <c r="I5" s="48">
        <v>0</v>
      </c>
      <c r="J5" s="21">
        <f t="shared" ref="J5:J30" si="2">IF(COUNTA($F5,$K5,$P5)&gt;0,J4+SUM(G5:I5),"")</f>
        <v>22200</v>
      </c>
      <c r="K5" s="8" t="s">
        <v>144</v>
      </c>
      <c r="L5" s="9">
        <v>-10000</v>
      </c>
      <c r="M5" s="9">
        <v>-1000</v>
      </c>
      <c r="N5" s="48">
        <v>0</v>
      </c>
      <c r="O5" s="21">
        <f t="shared" ref="O5:O30" si="3">IF(COUNTA($F5,$K5,$P5)&gt;0,O4+SUM(L5:N5),"")</f>
        <v>21100</v>
      </c>
      <c r="P5" s="8" t="s">
        <v>145</v>
      </c>
      <c r="Q5" s="9">
        <v>16000</v>
      </c>
      <c r="R5" s="9">
        <v>2000</v>
      </c>
      <c r="S5" s="48">
        <v>0</v>
      </c>
      <c r="T5" s="21">
        <f t="shared" ref="T5:T30" si="4">IF(COUNTA($F5,$K5,$P5)&gt;0,T4+SUM(Q5:S5),"")</f>
        <v>61700</v>
      </c>
      <c r="U5" s="53">
        <f>IF($J5="","",ROUND(($J5-$J$3)/1000,1)+(_xlfn.RANK.AVG($J5,($J5,$O5,$T5),1)-2)*20)</f>
        <v>-12.8</v>
      </c>
      <c r="V5" s="54">
        <f>IF($O5="","",ROUND(($O5-$O$3)/1000,1)+(_xlfn.RANK.AVG($O5,($J5,$O5,$T5),1)-2)*20)</f>
        <v>-33.9</v>
      </c>
      <c r="W5" s="55">
        <f>IF($T5="","",ROUND(($T5-$T$3)/1000,1)+(_xlfn.RANK.AVG($T5,($J5,$O5,$T5),1)-2)*20)</f>
        <v>46.7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9</v>
      </c>
      <c r="BT5" s="30" t="s">
        <v>147</v>
      </c>
      <c r="BU5" s="40" t="s">
        <v>148</v>
      </c>
      <c r="BV5" s="41" t="s">
        <v>82</v>
      </c>
      <c r="BW5" s="41" t="s">
        <v>92</v>
      </c>
      <c r="BX5" s="41" t="s">
        <v>149</v>
      </c>
      <c r="BY5" s="41" t="s">
        <v>149</v>
      </c>
      <c r="BZ5" s="41" t="s">
        <v>80</v>
      </c>
      <c r="CA5" s="41" t="s">
        <v>80</v>
      </c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142</v>
      </c>
      <c r="F6" s="8" t="s">
        <v>144</v>
      </c>
      <c r="G6" s="9">
        <v>-6000</v>
      </c>
      <c r="H6" s="9"/>
      <c r="I6" s="48">
        <v>0</v>
      </c>
      <c r="J6" s="21">
        <f t="shared" si="2"/>
        <v>16200</v>
      </c>
      <c r="K6" s="8" t="s">
        <v>144</v>
      </c>
      <c r="L6" s="9">
        <v>-6000</v>
      </c>
      <c r="M6" s="9"/>
      <c r="N6" s="48">
        <v>0</v>
      </c>
      <c r="O6" s="21">
        <f t="shared" si="3"/>
        <v>15100</v>
      </c>
      <c r="P6" s="8" t="s">
        <v>145</v>
      </c>
      <c r="Q6" s="9">
        <v>12000</v>
      </c>
      <c r="R6" s="9"/>
      <c r="S6" s="48">
        <v>0</v>
      </c>
      <c r="T6" s="21">
        <f t="shared" si="4"/>
        <v>73700</v>
      </c>
      <c r="U6" s="53">
        <f>IF($J6="","",ROUND(($J6-$J$3)/1000,1)+(_xlfn.RANK.AVG($J6,($J6,$O6,$T6),1)-2)*20)</f>
        <v>-18.8</v>
      </c>
      <c r="V6" s="54">
        <f>IF($O6="","",ROUND(($O6-$O$3)/1000,1)+(_xlfn.RANK.AVG($O6,($J6,$O6,$T6),1)-2)*20)</f>
        <v>-39.9</v>
      </c>
      <c r="W6" s="55">
        <f>IF($T6="","",ROUND(($T6-$T$3)/1000,1)+(_xlfn.RANK.AVG($T6,($J6,$O6,$T6),1)-2)*20)</f>
        <v>58.7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5</v>
      </c>
      <c r="BT6" s="30" t="s">
        <v>147</v>
      </c>
      <c r="BU6" s="40" t="s">
        <v>146</v>
      </c>
      <c r="BV6" s="41" t="s">
        <v>82</v>
      </c>
      <c r="BW6" s="41" t="s">
        <v>80</v>
      </c>
      <c r="BX6" s="41" t="s">
        <v>80</v>
      </c>
      <c r="BY6" s="41" t="s">
        <v>149</v>
      </c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142</v>
      </c>
      <c r="F7" s="8" t="s">
        <v>144</v>
      </c>
      <c r="G7" s="9">
        <v>-3000</v>
      </c>
      <c r="H7" s="9"/>
      <c r="I7" s="48">
        <v>-500</v>
      </c>
      <c r="J7" s="21">
        <f t="shared" si="2"/>
        <v>12700</v>
      </c>
      <c r="K7" s="8" t="s">
        <v>144</v>
      </c>
      <c r="L7" s="9">
        <v>-3000</v>
      </c>
      <c r="M7" s="9"/>
      <c r="N7" s="48">
        <v>-500</v>
      </c>
      <c r="O7" s="21">
        <f t="shared" si="3"/>
        <v>11600</v>
      </c>
      <c r="P7" s="8" t="s">
        <v>145</v>
      </c>
      <c r="Q7" s="9">
        <v>6000</v>
      </c>
      <c r="R7" s="9"/>
      <c r="S7" s="48">
        <v>1000</v>
      </c>
      <c r="T7" s="21">
        <f t="shared" si="4"/>
        <v>80700</v>
      </c>
      <c r="U7" s="53">
        <f>IF($J7="","",ROUND(($J7-$J$3)/1000,1)+(_xlfn.RANK.AVG($J7,($J7,$O7,$T7),1)-2)*20)</f>
        <v>-22.3</v>
      </c>
      <c r="V7" s="54">
        <f>IF($O7="","",ROUND(($O7-$O$3)/1000,1)+(_xlfn.RANK.AVG($O7,($J7,$O7,$T7),1)-2)*20)</f>
        <v>-43.4</v>
      </c>
      <c r="W7" s="55">
        <f>IF($T7="","",ROUND(($T7-$T$3)/1000,1)+(_xlfn.RANK.AVG($T7,($J7,$O7,$T7),1)-2)*20)</f>
        <v>65.7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3</v>
      </c>
      <c r="BT7" s="30">
        <v>30</v>
      </c>
      <c r="BU7" s="40" t="s">
        <v>146</v>
      </c>
      <c r="BV7" s="41" t="s">
        <v>82</v>
      </c>
      <c r="BW7" s="41" t="s">
        <v>149</v>
      </c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2</v>
      </c>
      <c r="D8" s="18">
        <f t="shared" si="1"/>
        <v>0</v>
      </c>
      <c r="E8" s="4" t="s">
        <v>142</v>
      </c>
      <c r="F8" s="8" t="s">
        <v>144</v>
      </c>
      <c r="G8" s="9">
        <v>-2900</v>
      </c>
      <c r="H8" s="9"/>
      <c r="I8" s="48">
        <v>-1000</v>
      </c>
      <c r="J8" s="21">
        <f t="shared" si="2"/>
        <v>8800</v>
      </c>
      <c r="K8" s="8" t="s">
        <v>145</v>
      </c>
      <c r="L8" s="9">
        <v>7700</v>
      </c>
      <c r="M8" s="9"/>
      <c r="N8" s="48">
        <v>2000</v>
      </c>
      <c r="O8" s="21">
        <f t="shared" si="3"/>
        <v>21300</v>
      </c>
      <c r="P8" s="8" t="s">
        <v>144</v>
      </c>
      <c r="Q8" s="9">
        <v>-4800</v>
      </c>
      <c r="R8" s="9"/>
      <c r="S8" s="48">
        <v>-1000</v>
      </c>
      <c r="T8" s="21">
        <f t="shared" si="4"/>
        <v>74900</v>
      </c>
      <c r="U8" s="53">
        <f>IF($J8="","",ROUND(($J8-$J$3)/1000,1)+(_xlfn.RANK.AVG($J8,($J8,$O8,$T8),1)-2)*20)</f>
        <v>-46.2</v>
      </c>
      <c r="V8" s="54">
        <f>IF($O8="","",ROUND(($O8-$O$3)/1000,1)+(_xlfn.RANK.AVG($O8,($J8,$O8,$T8),1)-2)*20)</f>
        <v>-13.7</v>
      </c>
      <c r="W8" s="55">
        <f>IF($T8="","",ROUND(($T8-$T$3)/1000,1)+(_xlfn.RANK.AVG($T8,($J8,$O8,$T8),1)-2)*20)</f>
        <v>59.9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4</v>
      </c>
      <c r="AY8" s="30">
        <v>30</v>
      </c>
      <c r="AZ8" s="40" t="s">
        <v>146</v>
      </c>
      <c r="BA8" s="41" t="s">
        <v>82</v>
      </c>
      <c r="BB8" s="41" t="s">
        <v>79</v>
      </c>
      <c r="BC8" s="41" t="s">
        <v>149</v>
      </c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138</v>
      </c>
      <c r="F9" s="8" t="s">
        <v>150</v>
      </c>
      <c r="G9" s="9">
        <v>-12000</v>
      </c>
      <c r="H9" s="9">
        <v>-1000</v>
      </c>
      <c r="I9" s="48">
        <v>0</v>
      </c>
      <c r="J9" s="21">
        <f t="shared" si="2"/>
        <v>-4200</v>
      </c>
      <c r="K9" s="8" t="s">
        <v>151</v>
      </c>
      <c r="L9" s="9">
        <v>12000</v>
      </c>
      <c r="M9" s="9">
        <v>1000</v>
      </c>
      <c r="N9" s="48">
        <v>0</v>
      </c>
      <c r="O9" s="21">
        <f t="shared" si="3"/>
        <v>34300</v>
      </c>
      <c r="P9" s="8"/>
      <c r="Q9" s="9"/>
      <c r="R9" s="9"/>
      <c r="S9" s="48"/>
      <c r="T9" s="21">
        <f t="shared" si="4"/>
        <v>74900</v>
      </c>
      <c r="U9" s="53">
        <f>IF($J9="","",ROUND(($J9-$J$3)/1000,1)+(_xlfn.RANK.AVG($J9,($J9,$O9,$T9),1)-2)*20)</f>
        <v>-59.2</v>
      </c>
      <c r="V9" s="54">
        <f>IF($O9="","",ROUND(($O9-$O$3)/1000,1)+(_xlfn.RANK.AVG($O9,($J9,$O9,$T9),1)-2)*20)</f>
        <v>-0.7</v>
      </c>
      <c r="W9" s="55">
        <f>IF($T9="","",ROUND(($T9-$T$3)/1000,1)+(_xlfn.RANK.AVG($T9,($J9,$O9,$T9),1)-2)*20)</f>
        <v>59.9</v>
      </c>
      <c r="Y9" s="8"/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6</v>
      </c>
      <c r="AY9" s="30" t="s">
        <v>147</v>
      </c>
      <c r="AZ9" s="40" t="s">
        <v>146</v>
      </c>
      <c r="BA9" s="41" t="s">
        <v>149</v>
      </c>
      <c r="BB9" s="41" t="s">
        <v>79</v>
      </c>
      <c r="BC9" s="41" t="s">
        <v>80</v>
      </c>
      <c r="BD9" s="41" t="s">
        <v>92</v>
      </c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02BBA-7A48-465C-B830-E921C152E246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139</v>
      </c>
      <c r="G1" s="72"/>
      <c r="H1" s="72"/>
      <c r="I1" s="73"/>
      <c r="J1" s="74"/>
      <c r="K1" s="71" t="s">
        <v>141</v>
      </c>
      <c r="L1" s="72"/>
      <c r="M1" s="72"/>
      <c r="N1" s="73"/>
      <c r="O1" s="74"/>
      <c r="P1" s="71" t="s">
        <v>143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りくと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れんたろう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だいち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りくと</v>
      </c>
      <c r="V2" s="70" t="str">
        <f>$K$1</f>
        <v>れんたろう</v>
      </c>
      <c r="W2" s="16" t="str">
        <f>$P$1</f>
        <v>だいち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138</v>
      </c>
      <c r="F4" s="8"/>
      <c r="G4" s="9"/>
      <c r="H4" s="9"/>
      <c r="I4" s="48"/>
      <c r="J4" s="21">
        <f>IF(COUNTA($F4,$K4,$P4)&gt;0,J3+SUM(G4:I4),"")</f>
        <v>35000</v>
      </c>
      <c r="K4" s="8" t="s">
        <v>150</v>
      </c>
      <c r="L4" s="9">
        <v>-8000</v>
      </c>
      <c r="M4" s="9"/>
      <c r="N4" s="48">
        <v>0</v>
      </c>
      <c r="O4" s="21">
        <f>IF(COUNTA($F4,$K4,$P4)&gt;0,O3+SUM(L4:N4),"")</f>
        <v>27000</v>
      </c>
      <c r="P4" s="8" t="s">
        <v>151</v>
      </c>
      <c r="Q4" s="9">
        <v>8000</v>
      </c>
      <c r="R4" s="9"/>
      <c r="S4" s="48">
        <v>0</v>
      </c>
      <c r="T4" s="21">
        <f>IF(COUNTA($F4,$K4,$P4)&gt;0,T3+SUM(Q4:S4),"")</f>
        <v>43000</v>
      </c>
      <c r="U4" s="53">
        <f>IF($J4="","",ROUND(($J4-$J$3)/1000,1)+(_xlfn.RANK.AVG($J4,($J4,$O4,$T4),1)-2)*20)</f>
        <v>0</v>
      </c>
      <c r="V4" s="54">
        <f>IF($O4="","",ROUND(($O4-$O$3)/1000,1)+(_xlfn.RANK.AVG($O4,($J4,$O4,$T4),1)-2)*20)</f>
        <v>-28</v>
      </c>
      <c r="W4" s="55">
        <f>IF($T4="","",ROUND(($T4-$T$3)/1000,1)+(_xlfn.RANK.AVG($T4,($J4,$O4,$T4),1)-2)*20)</f>
        <v>28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>
        <v>5</v>
      </c>
      <c r="BT4" s="30" t="s">
        <v>147</v>
      </c>
      <c r="BU4" s="40" t="s">
        <v>104</v>
      </c>
      <c r="BV4" s="41" t="s">
        <v>86</v>
      </c>
      <c r="BW4" s="41" t="s">
        <v>86</v>
      </c>
      <c r="BX4" s="41" t="s">
        <v>149</v>
      </c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140</v>
      </c>
      <c r="F5" s="8" t="s">
        <v>151</v>
      </c>
      <c r="G5" s="9">
        <v>12000</v>
      </c>
      <c r="H5" s="9">
        <v>1000</v>
      </c>
      <c r="I5" s="48">
        <v>0</v>
      </c>
      <c r="J5" s="21">
        <f t="shared" ref="J5:J30" si="2">IF(COUNTA($F5,$K5,$P5)&gt;0,J4+SUM(G5:I5),"")</f>
        <v>48000</v>
      </c>
      <c r="K5" s="8"/>
      <c r="L5" s="9"/>
      <c r="M5" s="9"/>
      <c r="N5" s="48"/>
      <c r="O5" s="21">
        <f t="shared" ref="O5:O30" si="3">IF(COUNTA($F5,$K5,$P5)&gt;0,O4+SUM(L5:N5),"")</f>
        <v>27000</v>
      </c>
      <c r="P5" s="8" t="s">
        <v>150</v>
      </c>
      <c r="Q5" s="9">
        <v>-12000</v>
      </c>
      <c r="R5" s="9">
        <v>-1000</v>
      </c>
      <c r="S5" s="48">
        <v>0</v>
      </c>
      <c r="T5" s="21">
        <f t="shared" ref="T5:T30" si="4">IF(COUNTA($F5,$K5,$P5)&gt;0,T4+SUM(Q5:S5),"")</f>
        <v>30000</v>
      </c>
      <c r="U5" s="53">
        <f>IF($J5="","",ROUND(($J5-$J$3)/1000,1)+(_xlfn.RANK.AVG($J5,($J5,$O5,$T5),1)-2)*20)</f>
        <v>33</v>
      </c>
      <c r="V5" s="54">
        <f>IF($O5="","",ROUND(($O5-$O$3)/1000,1)+(_xlfn.RANK.AVG($O5,($J5,$O5,$T5),1)-2)*20)</f>
        <v>-28</v>
      </c>
      <c r="W5" s="55">
        <f>IF($T5="","",ROUND(($T5-$T$3)/1000,1)+(_xlfn.RANK.AVG($T5,($J5,$O5,$T5),1)-2)*20)</f>
        <v>-5</v>
      </c>
      <c r="Y5" s="8"/>
      <c r="Z5" s="34"/>
      <c r="AA5" s="26">
        <v>1</v>
      </c>
      <c r="AB5" s="26"/>
      <c r="AC5" s="26">
        <v>6</v>
      </c>
      <c r="AD5" s="30" t="s">
        <v>147</v>
      </c>
      <c r="AE5" s="40" t="s">
        <v>146</v>
      </c>
      <c r="AF5" s="41" t="s">
        <v>83</v>
      </c>
      <c r="AG5" s="41" t="s">
        <v>84</v>
      </c>
      <c r="AH5" s="41" t="s">
        <v>79</v>
      </c>
      <c r="AI5" s="41" t="s">
        <v>80</v>
      </c>
      <c r="AJ5" s="41" t="s">
        <v>80</v>
      </c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142</v>
      </c>
      <c r="F6" s="8" t="s">
        <v>150</v>
      </c>
      <c r="G6" s="9">
        <v>-4800</v>
      </c>
      <c r="H6" s="9"/>
      <c r="I6" s="48">
        <v>0</v>
      </c>
      <c r="J6" s="21">
        <f t="shared" si="2"/>
        <v>43200</v>
      </c>
      <c r="K6" s="8"/>
      <c r="L6" s="9"/>
      <c r="M6" s="9"/>
      <c r="N6" s="48"/>
      <c r="O6" s="21">
        <f t="shared" si="3"/>
        <v>27000</v>
      </c>
      <c r="P6" s="8" t="s">
        <v>151</v>
      </c>
      <c r="Q6" s="9">
        <v>4800</v>
      </c>
      <c r="R6" s="9"/>
      <c r="S6" s="48">
        <v>0</v>
      </c>
      <c r="T6" s="21">
        <f t="shared" si="4"/>
        <v>34800</v>
      </c>
      <c r="U6" s="53">
        <f>IF($J6="","",ROUND(($J6-$J$3)/1000,1)+(_xlfn.RANK.AVG($J6,($J6,$O6,$T6),1)-2)*20)</f>
        <v>28.2</v>
      </c>
      <c r="V6" s="54">
        <f>IF($O6="","",ROUND(($O6-$O$3)/1000,1)+(_xlfn.RANK.AVG($O6,($J6,$O6,$T6),1)-2)*20)</f>
        <v>-28</v>
      </c>
      <c r="W6" s="55">
        <f>IF($T6="","",ROUND(($T6-$T$3)/1000,1)+(_xlfn.RANK.AVG($T6,($J6,$O6,$T6),1)-2)*20)</f>
        <v>-0.2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>
        <v>3</v>
      </c>
      <c r="BT6" s="30">
        <v>25</v>
      </c>
      <c r="BU6" s="40" t="s">
        <v>101</v>
      </c>
      <c r="BV6" s="41" t="s">
        <v>149</v>
      </c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142</v>
      </c>
      <c r="F7" s="8" t="s">
        <v>154</v>
      </c>
      <c r="G7" s="9">
        <v>-3000</v>
      </c>
      <c r="H7" s="9"/>
      <c r="I7" s="48"/>
      <c r="J7" s="21">
        <f t="shared" si="2"/>
        <v>40200</v>
      </c>
      <c r="K7" s="8" t="s">
        <v>154</v>
      </c>
      <c r="L7" s="9">
        <v>1500</v>
      </c>
      <c r="M7" s="9"/>
      <c r="N7" s="48"/>
      <c r="O7" s="21">
        <f t="shared" si="3"/>
        <v>28500</v>
      </c>
      <c r="P7" s="8" t="s">
        <v>154</v>
      </c>
      <c r="Q7" s="9">
        <v>1500</v>
      </c>
      <c r="R7" s="9"/>
      <c r="S7" s="48"/>
      <c r="T7" s="21">
        <f t="shared" si="4"/>
        <v>36300</v>
      </c>
      <c r="U7" s="53">
        <f>IF($J7="","",ROUND(($J7-$J$3)/1000,1)+(_xlfn.RANK.AVG($J7,($J7,$O7,$T7),1)-2)*20)</f>
        <v>25.2</v>
      </c>
      <c r="V7" s="54">
        <f>IF($O7="","",ROUND(($O7-$O$3)/1000,1)+(_xlfn.RANK.AVG($O7,($J7,$O7,$T7),1)-2)*20)</f>
        <v>-26.5</v>
      </c>
      <c r="W7" s="55">
        <f>IF($T7="","",ROUND(($T7-$T$3)/1000,1)+(_xlfn.RANK.AVG($T7,($J7,$O7,$T7),1)-2)*20)</f>
        <v>1.3</v>
      </c>
      <c r="Y7" s="8" t="s">
        <v>152</v>
      </c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153</v>
      </c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153</v>
      </c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2</v>
      </c>
      <c r="D8" s="18">
        <f t="shared" si="1"/>
        <v>0</v>
      </c>
      <c r="E8" s="4" t="s">
        <v>142</v>
      </c>
      <c r="F8" s="8" t="s">
        <v>144</v>
      </c>
      <c r="G8" s="9">
        <v>-1500</v>
      </c>
      <c r="H8" s="9"/>
      <c r="I8" s="48">
        <v>-1000</v>
      </c>
      <c r="J8" s="21">
        <f t="shared" si="2"/>
        <v>37700</v>
      </c>
      <c r="K8" s="8" t="s">
        <v>145</v>
      </c>
      <c r="L8" s="9">
        <v>4000</v>
      </c>
      <c r="M8" s="9"/>
      <c r="N8" s="48">
        <v>2000</v>
      </c>
      <c r="O8" s="21">
        <f t="shared" si="3"/>
        <v>34500</v>
      </c>
      <c r="P8" s="8" t="s">
        <v>144</v>
      </c>
      <c r="Q8" s="9">
        <v>-2500</v>
      </c>
      <c r="R8" s="9"/>
      <c r="S8" s="48">
        <v>-1000</v>
      </c>
      <c r="T8" s="21">
        <f t="shared" si="4"/>
        <v>32800</v>
      </c>
      <c r="U8" s="53">
        <f>IF($J8="","",ROUND(($J8-$J$3)/1000,1)+(_xlfn.RANK.AVG($J8,($J8,$O8,$T8),1)-2)*20)</f>
        <v>22.7</v>
      </c>
      <c r="V8" s="54">
        <f>IF($O8="","",ROUND(($O8-$O$3)/1000,1)+(_xlfn.RANK.AVG($O8,($J8,$O8,$T8),1)-2)*20)</f>
        <v>-0.5</v>
      </c>
      <c r="W8" s="55">
        <f>IF($T8="","",ROUND(($T8-$T$3)/1000,1)+(_xlfn.RANK.AVG($T8,($J8,$O8,$T8),1)-2)*20)</f>
        <v>-22.2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>
        <v>3</v>
      </c>
      <c r="AY8" s="30">
        <v>30</v>
      </c>
      <c r="AZ8" s="40" t="s">
        <v>82</v>
      </c>
      <c r="BA8" s="41" t="s">
        <v>79</v>
      </c>
      <c r="BB8" s="41" t="s">
        <v>149</v>
      </c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138</v>
      </c>
      <c r="F9" s="8" t="s">
        <v>145</v>
      </c>
      <c r="G9" s="9">
        <v>12000</v>
      </c>
      <c r="H9" s="9"/>
      <c r="I9" s="48">
        <v>0</v>
      </c>
      <c r="J9" s="21">
        <f t="shared" si="2"/>
        <v>49700</v>
      </c>
      <c r="K9" s="8" t="s">
        <v>144</v>
      </c>
      <c r="L9" s="9">
        <v>-6000</v>
      </c>
      <c r="M9" s="9"/>
      <c r="N9" s="48">
        <v>0</v>
      </c>
      <c r="O9" s="21">
        <f t="shared" si="3"/>
        <v>28500</v>
      </c>
      <c r="P9" s="8" t="s">
        <v>144</v>
      </c>
      <c r="Q9" s="9">
        <v>-6000</v>
      </c>
      <c r="R9" s="9"/>
      <c r="S9" s="48">
        <v>0</v>
      </c>
      <c r="T9" s="21">
        <f t="shared" si="4"/>
        <v>26800</v>
      </c>
      <c r="U9" s="53">
        <f>IF($J9="","",ROUND(($J9-$J$3)/1000,1)+(_xlfn.RANK.AVG($J9,($J9,$O9,$T9),1)-2)*20)</f>
        <v>34.700000000000003</v>
      </c>
      <c r="V9" s="54">
        <f>IF($O9="","",ROUND(($O9-$O$3)/1000,1)+(_xlfn.RANK.AVG($O9,($J9,$O9,$T9),1)-2)*20)</f>
        <v>-6.5</v>
      </c>
      <c r="W9" s="55">
        <f>IF($T9="","",ROUND(($T9-$T$3)/1000,1)+(_xlfn.RANK.AVG($T9,($J9,$O9,$T9),1)-2)*20)</f>
        <v>-28.2</v>
      </c>
      <c r="Y9" s="8"/>
      <c r="Z9" s="34"/>
      <c r="AA9" s="26">
        <v>1</v>
      </c>
      <c r="AB9" s="26"/>
      <c r="AC9" s="26">
        <v>5</v>
      </c>
      <c r="AD9" s="30" t="s">
        <v>147</v>
      </c>
      <c r="AE9" s="40" t="s">
        <v>146</v>
      </c>
      <c r="AF9" s="41" t="s">
        <v>82</v>
      </c>
      <c r="AG9" s="41" t="s">
        <v>83</v>
      </c>
      <c r="AH9" s="41" t="s">
        <v>79</v>
      </c>
      <c r="AI9" s="41" t="s">
        <v>80</v>
      </c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1</v>
      </c>
      <c r="D10" s="18">
        <f t="shared" si="1"/>
        <v>0</v>
      </c>
      <c r="E10" s="4" t="s">
        <v>138</v>
      </c>
      <c r="F10" s="8" t="s">
        <v>144</v>
      </c>
      <c r="G10" s="9">
        <v>-4800</v>
      </c>
      <c r="H10" s="9"/>
      <c r="I10" s="48">
        <v>-500</v>
      </c>
      <c r="J10" s="21">
        <f t="shared" si="2"/>
        <v>44400</v>
      </c>
      <c r="K10" s="8" t="s">
        <v>145</v>
      </c>
      <c r="L10" s="9">
        <v>7700</v>
      </c>
      <c r="M10" s="9"/>
      <c r="N10" s="48">
        <v>1000</v>
      </c>
      <c r="O10" s="21">
        <f t="shared" si="3"/>
        <v>37200</v>
      </c>
      <c r="P10" s="8" t="s">
        <v>144</v>
      </c>
      <c r="Q10" s="9">
        <v>-2900</v>
      </c>
      <c r="R10" s="9"/>
      <c r="S10" s="48">
        <v>-500</v>
      </c>
      <c r="T10" s="21">
        <f t="shared" si="4"/>
        <v>23400</v>
      </c>
      <c r="U10" s="53">
        <f>IF($J10="","",ROUND(($J10-$J$3)/1000,1)+(_xlfn.RANK.AVG($J10,($J10,$O10,$T10),1)-2)*20)</f>
        <v>29.4</v>
      </c>
      <c r="V10" s="54">
        <f>IF($O10="","",ROUND(($O10-$O$3)/1000,1)+(_xlfn.RANK.AVG($O10,($J10,$O10,$T10),1)-2)*20)</f>
        <v>2.2000000000000002</v>
      </c>
      <c r="W10" s="55">
        <f>IF($T10="","",ROUND(($T10-$T$3)/1000,1)+(_xlfn.RANK.AVG($T10,($J10,$O10,$T10),1)-2)*20)</f>
        <v>-31.6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4</v>
      </c>
      <c r="AY10" s="30">
        <v>30</v>
      </c>
      <c r="AZ10" s="40" t="s">
        <v>146</v>
      </c>
      <c r="BA10" s="41" t="s">
        <v>82</v>
      </c>
      <c r="BB10" s="41" t="s">
        <v>155</v>
      </c>
      <c r="BC10" s="41" t="s">
        <v>84</v>
      </c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">
        <v>140</v>
      </c>
      <c r="F11" s="8" t="s">
        <v>145</v>
      </c>
      <c r="G11" s="9">
        <v>12000</v>
      </c>
      <c r="H11" s="9"/>
      <c r="I11" s="48">
        <v>0</v>
      </c>
      <c r="J11" s="21">
        <f t="shared" si="2"/>
        <v>56400</v>
      </c>
      <c r="K11" s="8" t="s">
        <v>144</v>
      </c>
      <c r="L11" s="9">
        <v>-7500</v>
      </c>
      <c r="M11" s="9"/>
      <c r="N11" s="48">
        <v>0</v>
      </c>
      <c r="O11" s="21">
        <f t="shared" si="3"/>
        <v>29700</v>
      </c>
      <c r="P11" s="8" t="s">
        <v>144</v>
      </c>
      <c r="Q11" s="9">
        <v>-4500</v>
      </c>
      <c r="R11" s="9"/>
      <c r="S11" s="48">
        <v>0</v>
      </c>
      <c r="T11" s="21">
        <f t="shared" si="4"/>
        <v>18900</v>
      </c>
      <c r="U11" s="53">
        <f>IF($J11="","",ROUND(($J11-$J$3)/1000,1)+(_xlfn.RANK.AVG($J11,($J11,$O11,$T11),1)-2)*20)</f>
        <v>41.4</v>
      </c>
      <c r="V11" s="54">
        <f>IF($O11="","",ROUND(($O11-$O$3)/1000,1)+(_xlfn.RANK.AVG($O11,($J11,$O11,$T11),1)-2)*20)</f>
        <v>-5.3</v>
      </c>
      <c r="W11" s="55">
        <f>IF($T11="","",ROUND(($T11-$T$3)/1000,1)+(_xlfn.RANK.AVG($T11,($J11,$O11,$T11),1)-2)*20)</f>
        <v>-36.1</v>
      </c>
      <c r="Y11" s="8"/>
      <c r="Z11" s="34"/>
      <c r="AA11" s="26">
        <v>1</v>
      </c>
      <c r="AB11" s="26"/>
      <c r="AC11" s="26">
        <v>7</v>
      </c>
      <c r="AD11" s="30" t="s">
        <v>147</v>
      </c>
      <c r="AE11" s="40" t="s">
        <v>146</v>
      </c>
      <c r="AF11" s="41" t="s">
        <v>82</v>
      </c>
      <c r="AG11" s="41" t="s">
        <v>83</v>
      </c>
      <c r="AH11" s="41" t="s">
        <v>79</v>
      </c>
      <c r="AI11" s="41" t="s">
        <v>80</v>
      </c>
      <c r="AJ11" s="41" t="s">
        <v>80</v>
      </c>
      <c r="AK11" s="41" t="s">
        <v>149</v>
      </c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">
        <v>142</v>
      </c>
      <c r="F12" s="8" t="s">
        <v>144</v>
      </c>
      <c r="G12" s="9">
        <v>-6000</v>
      </c>
      <c r="H12" s="9"/>
      <c r="I12" s="48">
        <v>0</v>
      </c>
      <c r="J12" s="21">
        <f t="shared" si="2"/>
        <v>50400</v>
      </c>
      <c r="K12" s="8" t="s">
        <v>145</v>
      </c>
      <c r="L12" s="9">
        <v>16000</v>
      </c>
      <c r="M12" s="9"/>
      <c r="N12" s="48">
        <v>0</v>
      </c>
      <c r="O12" s="21">
        <f t="shared" si="3"/>
        <v>45700</v>
      </c>
      <c r="P12" s="8" t="s">
        <v>144</v>
      </c>
      <c r="Q12" s="9">
        <v>-10000</v>
      </c>
      <c r="R12" s="9"/>
      <c r="S12" s="48">
        <v>0</v>
      </c>
      <c r="T12" s="21">
        <f t="shared" si="4"/>
        <v>8900</v>
      </c>
      <c r="U12" s="53">
        <f>IF($J12="","",ROUND(($J12-$J$3)/1000,1)+(_xlfn.RANK.AVG($J12,($J12,$O12,$T12),1)-2)*20)</f>
        <v>35.4</v>
      </c>
      <c r="V12" s="54">
        <f>IF($O12="","",ROUND(($O12-$O$3)/1000,1)+(_xlfn.RANK.AVG($O12,($J12,$O12,$T12),1)-2)*20)</f>
        <v>10.7</v>
      </c>
      <c r="W12" s="55">
        <f>IF($T12="","",ROUND(($T12-$T$3)/1000,1)+(_xlfn.RANK.AVG($T12,($J12,$O12,$T12),1)-2)*20)</f>
        <v>-46.1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>
        <v>1</v>
      </c>
      <c r="AX12" s="26">
        <v>10</v>
      </c>
      <c r="AY12" s="30" t="s">
        <v>147</v>
      </c>
      <c r="AZ12" s="40" t="s">
        <v>96</v>
      </c>
      <c r="BA12" s="41" t="s">
        <v>98</v>
      </c>
      <c r="BB12" s="41" t="s">
        <v>104</v>
      </c>
      <c r="BC12" s="41" t="s">
        <v>79</v>
      </c>
      <c r="BD12" s="41" t="s">
        <v>79</v>
      </c>
      <c r="BE12" s="41" t="s">
        <v>79</v>
      </c>
      <c r="BF12" s="41" t="s">
        <v>86</v>
      </c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60CBE4CE-F420-4E1A-BCAA-11447B77960D}">
      <formula1>"ロン,ツモ,放銃,ツモ支払,流局,チョンボ"</formula1>
    </dataValidation>
    <dataValidation type="list" allowBlank="1" showInputMessage="1" showErrorMessage="1" sqref="E4:E30" xr:uid="{501EA605-C9B1-49BB-B1AA-87D1FCD59678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3"/>
  <sheetViews>
    <sheetView workbookViewId="0"/>
  </sheetViews>
  <sheetFormatPr defaultRowHeight="18.75" x14ac:dyDescent="0.4"/>
  <cols>
    <col min="1" max="1" width="9" style="36" customWidth="1"/>
    <col min="2" max="2" width="19.25" style="15" bestFit="1" customWidth="1"/>
    <col min="3" max="4" width="6.5" style="15" customWidth="1"/>
  </cols>
  <sheetData>
    <row r="1" spans="1:4" x14ac:dyDescent="0.4">
      <c r="A1" s="36" t="s">
        <v>27</v>
      </c>
      <c r="B1" s="15" t="s">
        <v>28</v>
      </c>
      <c r="C1" s="15" t="s">
        <v>29</v>
      </c>
      <c r="D1" s="15" t="s">
        <v>30</v>
      </c>
    </row>
    <row r="2" spans="1:4" x14ac:dyDescent="0.4">
      <c r="A2" s="36" t="s">
        <v>77</v>
      </c>
      <c r="B2" s="15" t="s">
        <v>132</v>
      </c>
      <c r="C2" s="15">
        <v>1</v>
      </c>
    </row>
    <row r="3" spans="1:4" x14ac:dyDescent="0.4">
      <c r="A3" s="36" t="s">
        <v>78</v>
      </c>
      <c r="B3" s="15" t="s">
        <v>31</v>
      </c>
      <c r="C3" s="15">
        <v>1</v>
      </c>
    </row>
    <row r="4" spans="1:4" x14ac:dyDescent="0.4">
      <c r="A4" s="36" t="s">
        <v>79</v>
      </c>
      <c r="B4" s="15" t="s">
        <v>32</v>
      </c>
      <c r="C4" s="15">
        <v>1</v>
      </c>
      <c r="D4" s="15">
        <v>1</v>
      </c>
    </row>
    <row r="5" spans="1:4" x14ac:dyDescent="0.4">
      <c r="A5" s="36" t="s">
        <v>80</v>
      </c>
      <c r="B5" s="15" t="s">
        <v>33</v>
      </c>
      <c r="C5" s="15">
        <v>1</v>
      </c>
    </row>
    <row r="6" spans="1:4" x14ac:dyDescent="0.4">
      <c r="A6" s="36" t="s">
        <v>81</v>
      </c>
      <c r="B6" s="15" t="s">
        <v>34</v>
      </c>
      <c r="C6" s="15">
        <v>1</v>
      </c>
      <c r="D6" s="15">
        <v>1</v>
      </c>
    </row>
    <row r="7" spans="1:4" x14ac:dyDescent="0.4">
      <c r="A7" s="36" t="s">
        <v>82</v>
      </c>
      <c r="B7" s="15" t="s">
        <v>35</v>
      </c>
      <c r="C7" s="15">
        <v>1</v>
      </c>
    </row>
    <row r="8" spans="1:4" x14ac:dyDescent="0.4">
      <c r="A8" s="36" t="s">
        <v>83</v>
      </c>
      <c r="B8" s="15" t="s">
        <v>36</v>
      </c>
      <c r="C8" s="15">
        <v>1</v>
      </c>
    </row>
    <row r="9" spans="1:4" x14ac:dyDescent="0.4">
      <c r="A9" s="36" t="s">
        <v>84</v>
      </c>
      <c r="B9" s="15" t="s">
        <v>37</v>
      </c>
      <c r="C9" s="15">
        <v>1</v>
      </c>
    </row>
    <row r="10" spans="1:4" x14ac:dyDescent="0.4">
      <c r="A10" s="36" t="s">
        <v>85</v>
      </c>
      <c r="B10" s="15" t="s">
        <v>129</v>
      </c>
      <c r="C10" s="15">
        <v>1</v>
      </c>
      <c r="D10" s="15">
        <v>1</v>
      </c>
    </row>
    <row r="11" spans="1:4" x14ac:dyDescent="0.4">
      <c r="A11" s="36" t="s">
        <v>86</v>
      </c>
      <c r="B11" s="15" t="s">
        <v>38</v>
      </c>
      <c r="C11" s="15">
        <v>1</v>
      </c>
      <c r="D11" s="15">
        <v>1</v>
      </c>
    </row>
    <row r="12" spans="1:4" x14ac:dyDescent="0.4">
      <c r="A12" s="36" t="s">
        <v>87</v>
      </c>
      <c r="B12" s="15" t="s">
        <v>39</v>
      </c>
      <c r="C12" s="15">
        <v>1</v>
      </c>
      <c r="D12" s="15">
        <v>1</v>
      </c>
    </row>
    <row r="13" spans="1:4" x14ac:dyDescent="0.4">
      <c r="A13" s="36" t="s">
        <v>88</v>
      </c>
      <c r="B13" s="15" t="s">
        <v>40</v>
      </c>
      <c r="C13" s="15">
        <v>1</v>
      </c>
      <c r="D13" s="15">
        <v>1</v>
      </c>
    </row>
    <row r="14" spans="1:4" x14ac:dyDescent="0.4">
      <c r="A14" s="36" t="s">
        <v>89</v>
      </c>
      <c r="B14" s="15" t="s">
        <v>41</v>
      </c>
      <c r="C14" s="15">
        <v>1</v>
      </c>
      <c r="D14" s="15">
        <v>1</v>
      </c>
    </row>
    <row r="15" spans="1:4" x14ac:dyDescent="0.4">
      <c r="A15" s="36" t="s">
        <v>90</v>
      </c>
      <c r="B15" s="15" t="s">
        <v>42</v>
      </c>
      <c r="C15" s="15">
        <v>1</v>
      </c>
      <c r="D15" s="15">
        <v>1</v>
      </c>
    </row>
    <row r="16" spans="1:4" x14ac:dyDescent="0.4">
      <c r="A16" s="36" t="s">
        <v>91</v>
      </c>
      <c r="B16" s="15" t="s">
        <v>43</v>
      </c>
      <c r="C16" s="15">
        <v>2</v>
      </c>
    </row>
    <row r="17" spans="1:4" x14ac:dyDescent="0.4">
      <c r="A17" s="36" t="s">
        <v>92</v>
      </c>
      <c r="B17" s="15" t="s">
        <v>44</v>
      </c>
      <c r="C17" s="15">
        <v>2</v>
      </c>
      <c r="D17" s="15">
        <v>1</v>
      </c>
    </row>
    <row r="18" spans="1:4" x14ac:dyDescent="0.4">
      <c r="A18" s="36" t="s">
        <v>93</v>
      </c>
      <c r="B18" s="15" t="s">
        <v>131</v>
      </c>
      <c r="C18" s="15">
        <v>2</v>
      </c>
      <c r="D18" s="15">
        <v>1</v>
      </c>
    </row>
    <row r="19" spans="1:4" x14ac:dyDescent="0.4">
      <c r="A19" s="36" t="s">
        <v>94</v>
      </c>
      <c r="B19" s="15" t="s">
        <v>45</v>
      </c>
      <c r="C19" s="15">
        <v>2</v>
      </c>
      <c r="D19" s="15">
        <v>1</v>
      </c>
    </row>
    <row r="20" spans="1:4" x14ac:dyDescent="0.4">
      <c r="A20" s="36" t="s">
        <v>95</v>
      </c>
      <c r="B20" s="15" t="s">
        <v>46</v>
      </c>
      <c r="C20" s="15">
        <v>2</v>
      </c>
      <c r="D20" s="15">
        <v>2</v>
      </c>
    </row>
    <row r="21" spans="1:4" x14ac:dyDescent="0.4">
      <c r="A21" s="36" t="s">
        <v>96</v>
      </c>
      <c r="B21" s="15" t="s">
        <v>47</v>
      </c>
      <c r="C21" s="15">
        <v>2</v>
      </c>
      <c r="D21" s="15">
        <v>2</v>
      </c>
    </row>
    <row r="22" spans="1:4" x14ac:dyDescent="0.4">
      <c r="A22" s="36" t="s">
        <v>97</v>
      </c>
      <c r="B22" s="15" t="s">
        <v>48</v>
      </c>
      <c r="C22" s="15">
        <v>2</v>
      </c>
      <c r="D22" s="15">
        <v>2</v>
      </c>
    </row>
    <row r="23" spans="1:4" x14ac:dyDescent="0.4">
      <c r="A23" s="36" t="s">
        <v>98</v>
      </c>
      <c r="B23" s="15" t="s">
        <v>49</v>
      </c>
      <c r="C23" s="15">
        <v>2</v>
      </c>
      <c r="D23" s="15">
        <v>2</v>
      </c>
    </row>
    <row r="24" spans="1:4" x14ac:dyDescent="0.4">
      <c r="A24" s="36" t="s">
        <v>99</v>
      </c>
      <c r="B24" s="15" t="s">
        <v>50</v>
      </c>
      <c r="C24" s="15">
        <v>2</v>
      </c>
      <c r="D24" s="15">
        <v>2</v>
      </c>
    </row>
    <row r="25" spans="1:4" x14ac:dyDescent="0.4">
      <c r="A25" s="36" t="s">
        <v>100</v>
      </c>
      <c r="B25" s="15" t="s">
        <v>51</v>
      </c>
      <c r="C25" s="15">
        <v>2</v>
      </c>
      <c r="D25" s="15">
        <v>2</v>
      </c>
    </row>
    <row r="26" spans="1:4" x14ac:dyDescent="0.4">
      <c r="A26" s="36" t="s">
        <v>101</v>
      </c>
      <c r="B26" s="15" t="s">
        <v>52</v>
      </c>
      <c r="C26" s="15">
        <v>2</v>
      </c>
    </row>
    <row r="27" spans="1:4" x14ac:dyDescent="0.4">
      <c r="A27" s="36" t="s">
        <v>102</v>
      </c>
      <c r="B27" s="15" t="s">
        <v>53</v>
      </c>
      <c r="C27" s="15">
        <v>3</v>
      </c>
    </row>
    <row r="28" spans="1:4" x14ac:dyDescent="0.4">
      <c r="A28" s="36" t="s">
        <v>103</v>
      </c>
      <c r="B28" s="15" t="s">
        <v>130</v>
      </c>
      <c r="C28" s="15">
        <v>3</v>
      </c>
      <c r="D28" s="15">
        <v>2</v>
      </c>
    </row>
    <row r="29" spans="1:4" x14ac:dyDescent="0.4">
      <c r="A29" s="36" t="s">
        <v>104</v>
      </c>
      <c r="B29" s="15" t="s">
        <v>54</v>
      </c>
      <c r="C29" s="15">
        <v>3</v>
      </c>
      <c r="D29" s="15">
        <v>2</v>
      </c>
    </row>
    <row r="30" spans="1:4" x14ac:dyDescent="0.4">
      <c r="A30" s="36" t="s">
        <v>105</v>
      </c>
      <c r="B30" s="15" t="s">
        <v>55</v>
      </c>
      <c r="C30" s="15">
        <v>5</v>
      </c>
    </row>
    <row r="31" spans="1:4" x14ac:dyDescent="0.4">
      <c r="A31" s="36" t="s">
        <v>106</v>
      </c>
      <c r="B31" s="15" t="s">
        <v>56</v>
      </c>
      <c r="C31" s="15">
        <v>6</v>
      </c>
      <c r="D31" s="15">
        <v>5</v>
      </c>
    </row>
    <row r="32" spans="1:4" x14ac:dyDescent="0.4">
      <c r="A32" s="36" t="s">
        <v>107</v>
      </c>
      <c r="B32" s="15" t="s">
        <v>57</v>
      </c>
      <c r="C32" s="15">
        <v>13</v>
      </c>
    </row>
    <row r="33" spans="1:4" x14ac:dyDescent="0.4">
      <c r="A33" s="36" t="s">
        <v>108</v>
      </c>
      <c r="B33" s="15" t="s">
        <v>58</v>
      </c>
      <c r="C33" s="15">
        <v>13</v>
      </c>
    </row>
    <row r="34" spans="1:4" x14ac:dyDescent="0.4">
      <c r="A34" s="36" t="s">
        <v>109</v>
      </c>
      <c r="B34" s="15" t="s">
        <v>59</v>
      </c>
      <c r="C34" s="15">
        <v>13</v>
      </c>
      <c r="D34" s="15">
        <v>13</v>
      </c>
    </row>
    <row r="35" spans="1:4" x14ac:dyDescent="0.4">
      <c r="A35" s="36" t="s">
        <v>110</v>
      </c>
      <c r="B35" s="15" t="s">
        <v>60</v>
      </c>
      <c r="C35" s="15">
        <v>13</v>
      </c>
      <c r="D35" s="15">
        <v>13</v>
      </c>
    </row>
    <row r="36" spans="1:4" x14ac:dyDescent="0.4">
      <c r="A36" s="36" t="s">
        <v>111</v>
      </c>
      <c r="B36" s="15" t="s">
        <v>61</v>
      </c>
      <c r="C36" s="15">
        <v>26</v>
      </c>
      <c r="D36" s="15">
        <v>26</v>
      </c>
    </row>
    <row r="37" spans="1:4" x14ac:dyDescent="0.4">
      <c r="A37" s="36" t="s">
        <v>112</v>
      </c>
      <c r="B37" s="15" t="s">
        <v>62</v>
      </c>
      <c r="C37" s="15">
        <v>13</v>
      </c>
      <c r="D37" s="15">
        <v>13</v>
      </c>
    </row>
    <row r="38" spans="1:4" x14ac:dyDescent="0.4">
      <c r="A38" s="36" t="s">
        <v>113</v>
      </c>
      <c r="B38" s="15" t="s">
        <v>63</v>
      </c>
      <c r="C38" s="15">
        <v>13</v>
      </c>
      <c r="D38" s="15">
        <v>13</v>
      </c>
    </row>
    <row r="39" spans="1:4" x14ac:dyDescent="0.4">
      <c r="A39" s="36" t="s">
        <v>114</v>
      </c>
      <c r="B39" s="15" t="s">
        <v>64</v>
      </c>
      <c r="C39" s="15">
        <v>13</v>
      </c>
      <c r="D39" s="15">
        <v>13</v>
      </c>
    </row>
    <row r="40" spans="1:4" x14ac:dyDescent="0.4">
      <c r="A40" s="36" t="s">
        <v>115</v>
      </c>
      <c r="B40" s="15" t="s">
        <v>65</v>
      </c>
      <c r="C40" s="15">
        <v>13</v>
      </c>
      <c r="D40" s="15">
        <v>13</v>
      </c>
    </row>
    <row r="41" spans="1:4" x14ac:dyDescent="0.4">
      <c r="A41" s="36" t="s">
        <v>116</v>
      </c>
      <c r="B41" s="15" t="s">
        <v>66</v>
      </c>
      <c r="C41" s="15">
        <v>13</v>
      </c>
    </row>
    <row r="42" spans="1:4" x14ac:dyDescent="0.4">
      <c r="A42" s="36" t="s">
        <v>117</v>
      </c>
      <c r="B42" s="15" t="s">
        <v>67</v>
      </c>
      <c r="C42" s="15">
        <v>13</v>
      </c>
    </row>
    <row r="43" spans="1:4" x14ac:dyDescent="0.4">
      <c r="A43" s="36" t="s">
        <v>118</v>
      </c>
      <c r="B43" s="15" t="s">
        <v>68</v>
      </c>
      <c r="C43" s="15">
        <v>13</v>
      </c>
    </row>
    <row r="44" spans="1:4" x14ac:dyDescent="0.4">
      <c r="A44" s="36" t="s">
        <v>119</v>
      </c>
      <c r="B44" s="15" t="s">
        <v>69</v>
      </c>
      <c r="C44" s="15">
        <v>13</v>
      </c>
    </row>
    <row r="45" spans="1:4" x14ac:dyDescent="0.4">
      <c r="A45" s="36" t="s">
        <v>120</v>
      </c>
      <c r="B45" s="15" t="s">
        <v>70</v>
      </c>
      <c r="C45" s="15">
        <v>26</v>
      </c>
    </row>
    <row r="46" spans="1:4" x14ac:dyDescent="0.4">
      <c r="A46" s="36" t="s">
        <v>121</v>
      </c>
      <c r="B46" s="15" t="s">
        <v>71</v>
      </c>
      <c r="C46" s="15">
        <v>26</v>
      </c>
    </row>
    <row r="47" spans="1:4" x14ac:dyDescent="0.4">
      <c r="A47" s="36" t="s">
        <v>122</v>
      </c>
      <c r="B47" s="15" t="s">
        <v>72</v>
      </c>
      <c r="C47" s="15">
        <v>26</v>
      </c>
    </row>
    <row r="48" spans="1:4" x14ac:dyDescent="0.4">
      <c r="A48" s="36" t="s">
        <v>123</v>
      </c>
      <c r="B48" s="15" t="s">
        <v>73</v>
      </c>
      <c r="C48" s="15">
        <v>13</v>
      </c>
    </row>
    <row r="49" spans="1:4" x14ac:dyDescent="0.4">
      <c r="A49" s="36" t="s">
        <v>124</v>
      </c>
      <c r="B49" s="15" t="s">
        <v>74</v>
      </c>
      <c r="C49" s="15">
        <v>13</v>
      </c>
    </row>
    <row r="50" spans="1:4" x14ac:dyDescent="0.4">
      <c r="A50" s="36" t="s">
        <v>125</v>
      </c>
      <c r="B50" s="15" t="s">
        <v>75</v>
      </c>
      <c r="C50" s="15">
        <v>13</v>
      </c>
    </row>
    <row r="51" spans="1:4" x14ac:dyDescent="0.4">
      <c r="A51" s="36" t="s">
        <v>126</v>
      </c>
      <c r="B51" s="15" t="s">
        <v>76</v>
      </c>
      <c r="C51" s="15">
        <v>13</v>
      </c>
    </row>
    <row r="52" spans="1:4" x14ac:dyDescent="0.4">
      <c r="A52" s="36" t="s">
        <v>134</v>
      </c>
      <c r="B52" s="15" t="s">
        <v>135</v>
      </c>
      <c r="C52" s="15">
        <v>2</v>
      </c>
    </row>
    <row r="53" spans="1:4" x14ac:dyDescent="0.4">
      <c r="A53" s="36" t="s">
        <v>136</v>
      </c>
      <c r="B53" s="15" t="s">
        <v>137</v>
      </c>
      <c r="C53" s="15">
        <v>1</v>
      </c>
      <c r="D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2019-05-14T14:44:53Z</dcterms:modified>
</cp:coreProperties>
</file>