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0CC4B19D-66CD-4A9C-8375-21ADF832D9D1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J12" i="21"/>
  <c r="D12" i="21"/>
  <c r="C12" i="21"/>
  <c r="B12" i="21"/>
  <c r="A12" i="21" s="1"/>
  <c r="D11" i="21"/>
  <c r="D10" i="21"/>
  <c r="D9" i="21"/>
  <c r="D8" i="21"/>
  <c r="D7" i="21"/>
  <c r="C7" i="21"/>
  <c r="C8" i="21" s="1"/>
  <c r="C9" i="21" s="1"/>
  <c r="C10" i="21" s="1"/>
  <c r="C11" i="21" s="1"/>
  <c r="J6" i="21"/>
  <c r="D6" i="21"/>
  <c r="C6" i="21"/>
  <c r="T5" i="21"/>
  <c r="O5" i="21"/>
  <c r="J5" i="21"/>
  <c r="D5" i="21"/>
  <c r="C5" i="21"/>
  <c r="B5" i="21"/>
  <c r="B6" i="21" s="1"/>
  <c r="T4" i="21"/>
  <c r="O4" i="21"/>
  <c r="V4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B7" i="20"/>
  <c r="B8" i="20" s="1"/>
  <c r="T6" i="20"/>
  <c r="D6" i="20"/>
  <c r="D7" i="20" s="1"/>
  <c r="B6" i="20"/>
  <c r="T5" i="20"/>
  <c r="O5" i="20"/>
  <c r="D5" i="20"/>
  <c r="C5" i="20"/>
  <c r="C6" i="20" s="1"/>
  <c r="C7" i="20" s="1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V12" i="21" l="1"/>
  <c r="U12" i="21"/>
  <c r="V5" i="21"/>
  <c r="W5" i="21"/>
  <c r="A5" i="21"/>
  <c r="U4" i="21"/>
  <c r="W4" i="21"/>
  <c r="B7" i="21"/>
  <c r="A7" i="21" s="1"/>
  <c r="T6" i="21"/>
  <c r="U5" i="21"/>
  <c r="O6" i="21"/>
  <c r="J7" i="21"/>
  <c r="A6" i="21"/>
  <c r="A7" i="20"/>
  <c r="A6" i="20"/>
  <c r="U4" i="20"/>
  <c r="W4" i="20"/>
  <c r="B9" i="20"/>
  <c r="A9" i="20" s="1"/>
  <c r="J5" i="20"/>
  <c r="V5" i="20" s="1"/>
  <c r="V4" i="20"/>
  <c r="A8" i="20"/>
  <c r="O6" i="20"/>
  <c r="T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V13" i="19" s="1"/>
  <c r="J13" i="19"/>
  <c r="U13" i="19" s="1"/>
  <c r="D13" i="19"/>
  <c r="C13" i="19"/>
  <c r="B13" i="19"/>
  <c r="A13" i="19" s="1"/>
  <c r="T12" i="19"/>
  <c r="O12" i="19"/>
  <c r="J12" i="19"/>
  <c r="U12" i="19" s="1"/>
  <c r="D12" i="19"/>
  <c r="C12" i="19"/>
  <c r="B12" i="19"/>
  <c r="A12" i="19"/>
  <c r="T11" i="19"/>
  <c r="O11" i="19"/>
  <c r="V11" i="19" s="1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V8" i="19" s="1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J8" i="21" l="1"/>
  <c r="W6" i="21"/>
  <c r="T7" i="21"/>
  <c r="V6" i="21"/>
  <c r="O7" i="21"/>
  <c r="U7" i="21" s="1"/>
  <c r="U6" i="21"/>
  <c r="B8" i="21"/>
  <c r="A8" i="21" s="1"/>
  <c r="W5" i="20"/>
  <c r="U5" i="20"/>
  <c r="J6" i="20"/>
  <c r="V6" i="20" s="1"/>
  <c r="O7" i="20"/>
  <c r="B10" i="20"/>
  <c r="A10" i="20" s="1"/>
  <c r="T8" i="20"/>
  <c r="W13" i="19"/>
  <c r="V12" i="19"/>
  <c r="W12" i="19"/>
  <c r="W11" i="19"/>
  <c r="V10" i="19"/>
  <c r="W10" i="19"/>
  <c r="V9" i="19"/>
  <c r="W9" i="19"/>
  <c r="U8" i="19"/>
  <c r="W8" i="19"/>
  <c r="V7" i="19"/>
  <c r="W7" i="19"/>
  <c r="U6" i="19"/>
  <c r="V6" i="19"/>
  <c r="W6" i="19"/>
  <c r="U4" i="19"/>
  <c r="V4" i="19"/>
  <c r="W4" i="19"/>
  <c r="J5" i="19"/>
  <c r="O5" i="19"/>
  <c r="O8" i="21" l="1"/>
  <c r="V7" i="21"/>
  <c r="B9" i="21"/>
  <c r="W7" i="21"/>
  <c r="T8" i="21"/>
  <c r="J9" i="21"/>
  <c r="T9" i="20"/>
  <c r="B11" i="20"/>
  <c r="A11" i="20" s="1"/>
  <c r="O8" i="20"/>
  <c r="U6" i="20"/>
  <c r="J7" i="20"/>
  <c r="W6" i="20"/>
  <c r="V5" i="19"/>
  <c r="W5" i="19"/>
  <c r="U5" i="19"/>
  <c r="O9" i="21" l="1"/>
  <c r="V8" i="21"/>
  <c r="J10" i="21"/>
  <c r="U8" i="21"/>
  <c r="W8" i="21"/>
  <c r="T9" i="21"/>
  <c r="B10" i="21"/>
  <c r="A9" i="21"/>
  <c r="O9" i="20"/>
  <c r="U7" i="20"/>
  <c r="J8" i="20"/>
  <c r="W7" i="20"/>
  <c r="V7" i="20"/>
  <c r="B12" i="20"/>
  <c r="A12" i="20" s="1"/>
  <c r="T10" i="20"/>
  <c r="A10" i="21" l="1"/>
  <c r="U9" i="21"/>
  <c r="J11" i="21"/>
  <c r="B11" i="21"/>
  <c r="A11" i="21" s="1"/>
  <c r="W9" i="21"/>
  <c r="T10" i="21"/>
  <c r="U10" i="21" s="1"/>
  <c r="V9" i="21"/>
  <c r="O10" i="21"/>
  <c r="O10" i="20"/>
  <c r="B13" i="20"/>
  <c r="A13" i="20" s="1"/>
  <c r="U8" i="20"/>
  <c r="J9" i="20"/>
  <c r="V9" i="20" s="1"/>
  <c r="W8" i="20"/>
  <c r="T11" i="20"/>
  <c r="V8" i="20"/>
  <c r="V10" i="21" l="1"/>
  <c r="O11" i="21"/>
  <c r="W10" i="21"/>
  <c r="T11" i="21"/>
  <c r="W11" i="21" s="1"/>
  <c r="U9" i="20"/>
  <c r="J10" i="20"/>
  <c r="W9" i="20"/>
  <c r="T12" i="20"/>
  <c r="O11" i="20"/>
  <c r="V10" i="20"/>
  <c r="U11" i="21" l="1"/>
  <c r="V11" i="21"/>
  <c r="O12" i="20"/>
  <c r="V11" i="20"/>
  <c r="T13" i="20"/>
  <c r="U10" i="20"/>
  <c r="J11" i="20"/>
  <c r="W10" i="20"/>
  <c r="O13" i="20" l="1"/>
  <c r="U11" i="20"/>
  <c r="J12" i="20"/>
  <c r="W11" i="20"/>
  <c r="U12" i="20" l="1"/>
  <c r="J13" i="20"/>
  <c r="W12" i="20"/>
  <c r="V12" i="20"/>
  <c r="V13" i="20"/>
  <c r="U13" i="20" l="1"/>
  <c r="W13" i="20"/>
</calcChain>
</file>

<file path=xl/sharedStrings.xml><?xml version="1.0" encoding="utf-8"?>
<sst xmlns="http://schemas.openxmlformats.org/spreadsheetml/2006/main" count="797" uniqueCount="207">
  <si>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</si>
  <si>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</si>
  <si>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</si>
  <si>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</si>
  <si>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</si>
  <si>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</si>
  <si>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</si>
  <si>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</si>
  <si>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</si>
  <si>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</si>
  <si>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</si>
  <si>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</si>
  <si>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</si>
  <si>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</si>
  <si>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</si>
  <si>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</si>
  <si>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</si>
  <si>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</si>
  <si>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</si>
  <si>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</si>
  <si>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</si>
  <si>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</si>
  <si>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</si>
  <si>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</si>
  <si>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</si>
  <si>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</si>
  <si>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</si>
  <si>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</si>
  <si>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</si>
  <si>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</si>
  <si>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</si>
  <si>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</si>
  <si>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</si>
  <si>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</si>
  <si>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</si>
  <si>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</si>
  <si>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</si>
  <si>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</si>
  <si>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</si>
  <si>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</si>
  <si>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</si>
  <si>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</si>
  <si>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</si>
  <si>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</si>
  <si>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</si>
  <si>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</si>
  <si>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</si>
  <si>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</si>
  <si>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</si>
  <si>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</si>
  <si>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</si>
  <si>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</si>
  <si>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</si>
  <si>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</si>
  <si>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</si>
  <si>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</si>
  <si>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</si>
  <si>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</si>
  <si>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</si>
  <si>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</si>
  <si>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</si>
  <si>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</si>
  <si>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</si>
  <si>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</si>
  <si>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</si>
  <si>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</si>
  <si>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</si>
  <si>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</si>
  <si>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</si>
  <si>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</si>
  <si>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</si>
  <si>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</si>
  <si>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</si>
  <si>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</si>
  <si>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</si>
  <si>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</si>
  <si>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</si>
  <si>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</si>
  <si>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</si>
  <si>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</si>
  <si>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</si>
  <si>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</si>
  <si>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</si>
  <si>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</si>
  <si>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</si>
  <si>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</si>
  <si>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</si>
  <si>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</si>
  <si>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</si>
  <si>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</si>
  <si>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</si>
  <si>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</si>
  <si>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</si>
  <si>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</si>
  <si>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</si>
  <si>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</si>
  <si>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</si>
  <si>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</si>
  <si>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</si>
  <si>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</si>
  <si>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</si>
  <si>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</si>
  <si>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</si>
  <si>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</si>
  <si>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</si>
  <si>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</si>
  <si>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</si>
  <si>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</si>
  <si>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</si>
  <si>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</si>
  <si>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</si>
  <si>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</si>
  <si>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</si>
  <si>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</si>
  <si>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</si>
  <si>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</si>
  <si>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</si>
  <si>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</si>
  <si>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</si>
  <si>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</si>
  <si>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</si>
  <si>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</si>
  <si>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</si>
  <si>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</si>
  <si>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</si>
  <si>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</si>
  <si>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</si>
  <si>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</si>
  <si>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</si>
  <si>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</si>
  <si>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</si>
  <si>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</si>
  <si>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</si>
  <si>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</si>
  <si>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</si>
  <si>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</si>
  <si>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</si>
  <si>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</si>
  <si>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</si>
  <si>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</si>
  <si>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</si>
  <si>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</si>
  <si>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</si>
  <si>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</si>
  <si>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</si>
  <si>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</si>
  <si>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</si>
  <si>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</si>
  <si>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</si>
  <si>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</si>
  <si>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</si>
  <si>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</si>
  <si>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</si>
  <si>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</si>
  <si>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</si>
  <si>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</si>
  <si>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</si>
  <si>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</si>
  <si>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</si>
  <si>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</si>
  <si>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</si>
  <si>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</si>
  <si>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</si>
  <si>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</si>
  <si>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</si>
  <si>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</si>
  <si>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</si>
  <si>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</si>
  <si>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</si>
  <si>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</si>
  <si>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</si>
  <si>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</si>
  <si>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</si>
  <si>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</si>
  <si>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</si>
  <si>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</si>
  <si>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</si>
  <si>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</si>
  <si>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</si>
  <si>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</si>
  <si>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</si>
  <si>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</si>
  <si>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</si>
  <si>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</si>
  <si>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</si>
  <si>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</si>
  <si>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</si>
  <si>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</si>
  <si>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</si>
  <si>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</si>
  <si>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</si>
  <si>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</si>
  <si>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たかの</t>
  </si>
  <si>
    <t>まっつん</t>
  </si>
  <si>
    <t>放銃</t>
  </si>
  <si>
    <t>ロン</t>
  </si>
  <si>
    <t>*</t>
  </si>
  <si>
    <t>N</t>
  </si>
  <si>
    <t>T</t>
  </si>
  <si>
    <t>流局</t>
    <phoneticPr fontId="1"/>
  </si>
  <si>
    <t>01</t>
  </si>
  <si>
    <t>02</t>
  </si>
  <si>
    <t>52</t>
  </si>
  <si>
    <t>ツモ</t>
  </si>
  <si>
    <t>ツモ支払</t>
  </si>
  <si>
    <t>ただ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</si>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</sst>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たかの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-18000</v>
      </c>
      <c r="M4" s="9"/>
      <c r="N4" s="48">
        <v>0</v>
      </c>
      <c r="O4" s="21">
        <f>IF(COUNTA($F4,$K4,$P4)&gt;0,O3+SUM(L4:N4),"")</f>
        <v>17000</v>
      </c>
      <c r="P4" s="8" t="s">
        <v>195</v>
      </c>
      <c r="Q4" s="9">
        <v>18000</v>
      </c>
      <c r="R4" s="9"/>
      <c r="S4" s="48">
        <v>0</v>
      </c>
      <c r="T4" s="21">
        <f>IF(COUNTA($F4,$K4,$P4)&gt;0,T3+SUM(Q4:S4),"")</f>
        <v>53000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-38</v>
      </c>
      <c r="W4" s="55">
        <f>IF($T4="","",ROUND(($T4-$T$3)/1000,1)+(_xlfn.RANK.AVG($T4,($J4,$O4,$T4),1)-2)*20)</f>
        <v>38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7</v>
      </c>
      <c r="BT4" s="30" t="s">
        <v>196</v>
      </c>
      <c r="BU4" s="40" t="s">
        <v>86</v>
      </c>
      <c r="BV4" s="41" t="s">
        <v>86</v>
      </c>
      <c r="BW4" s="41" t="s">
        <v>86</v>
      </c>
      <c r="BX4" s="41" t="s">
        <v>104</v>
      </c>
      <c r="BY4" s="41" t="s">
        <v>98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199</v>
      </c>
      <c r="L5" s="9">
        <v>-1500</v>
      </c>
      <c r="M5" s="9"/>
      <c r="N5" s="48"/>
      <c r="O5" s="21">
        <f t="shared" ref="O5:O30" si="3">IF(COUNTA($F5,$K5,$P5)&gt;0,O4+SUM(L5:N5),"")</f>
        <v>15500</v>
      </c>
      <c r="P5" s="8" t="s">
        <v>199</v>
      </c>
      <c r="Q5" s="9">
        <v>3000</v>
      </c>
      <c r="R5" s="9"/>
      <c r="S5" s="48"/>
      <c r="T5" s="21">
        <f t="shared" ref="T5:T30" si="4">IF(COUNTA($F5,$K5,$P5)&gt;0,T4+SUM(Q5:S5),"")</f>
        <v>56000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-39.5</v>
      </c>
      <c r="W5" s="55">
        <f>IF($T5="","",ROUND(($T5-$T$3)/1000,1)+(_xlfn.RANK.AVG($T5,($J5,$O5,$T5),1)-2)*20)</f>
        <v>41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199</v>
      </c>
      <c r="G6" s="9">
        <v>0</v>
      </c>
      <c r="H6" s="9">
        <v>-1000</v>
      </c>
      <c r="I6" s="48"/>
      <c r="J6" s="21">
        <f t="shared" si="2"/>
        <v>32500</v>
      </c>
      <c r="K6" s="8" t="s">
        <v>199</v>
      </c>
      <c r="L6" s="9">
        <v>0</v>
      </c>
      <c r="M6" s="9"/>
      <c r="N6" s="48"/>
      <c r="O6" s="21">
        <f t="shared" si="3"/>
        <v>15500</v>
      </c>
      <c r="P6" s="8" t="s">
        <v>199</v>
      </c>
      <c r="Q6" s="9">
        <v>0</v>
      </c>
      <c r="R6" s="9">
        <v>-1000</v>
      </c>
      <c r="S6" s="48"/>
      <c r="T6" s="21">
        <f t="shared" si="4"/>
        <v>55000</v>
      </c>
      <c r="U6" s="53">
        <f>IF($J6="","",ROUND(($J6-$J$3)/1000,1)+(_xlfn.RANK.AVG($J6,($J6,$O6,$T6),1)-2)*20)</f>
        <v>-2.5</v>
      </c>
      <c r="V6" s="54">
        <f>IF($O6="","",ROUND(($O6-$O$3)/1000,1)+(_xlfn.RANK.AVG($O6,($J6,$O6,$T6),1)-2)*20)</f>
        <v>-39.5</v>
      </c>
      <c r="W6" s="55">
        <f>IF($T6="","",ROUND(($T6-$T$3)/1000,1)+(_xlfn.RANK.AVG($T6,($J6,$O6,$T6),1)-2)*20)</f>
        <v>40</v>
      </c>
      <c r="Y6" s="8" t="s">
        <v>198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2</v>
      </c>
      <c r="E7" s="4" t="s">
        <v>193</v>
      </c>
      <c r="F7" s="8" t="s">
        <v>195</v>
      </c>
      <c r="G7" s="9">
        <v>8000</v>
      </c>
      <c r="H7" s="9">
        <v>2000</v>
      </c>
      <c r="I7" s="48">
        <v>3000</v>
      </c>
      <c r="J7" s="21">
        <f t="shared" si="2"/>
        <v>45500</v>
      </c>
      <c r="K7" s="8" t="s">
        <v>194</v>
      </c>
      <c r="L7" s="9">
        <v>-8000</v>
      </c>
      <c r="M7" s="9"/>
      <c r="N7" s="48">
        <v>-3000</v>
      </c>
      <c r="O7" s="21">
        <f t="shared" si="3"/>
        <v>4500</v>
      </c>
      <c r="P7" s="8"/>
      <c r="Q7" s="9"/>
      <c r="R7" s="9"/>
      <c r="S7" s="48"/>
      <c r="T7" s="21">
        <f t="shared" si="4"/>
        <v>55000</v>
      </c>
      <c r="U7" s="53">
        <f>IF($J7="","",ROUND(($J7-$J$3)/1000,1)+(_xlfn.RANK.AVG($J7,($J7,$O7,$T7),1)-2)*20)</f>
        <v>10.5</v>
      </c>
      <c r="V7" s="54">
        <f>IF($O7="","",ROUND(($O7-$O$3)/1000,1)+(_xlfn.RANK.AVG($O7,($J7,$O7,$T7),1)-2)*20)</f>
        <v>-50.5</v>
      </c>
      <c r="W7" s="55">
        <f>IF($T7="","",ROUND(($T7-$T$3)/1000,1)+(_xlfn.RANK.AVG($T7,($J7,$O7,$T7),1)-2)*20)</f>
        <v>40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200</v>
      </c>
      <c r="AF7" s="41" t="s">
        <v>201</v>
      </c>
      <c r="AG7" s="41" t="s">
        <v>93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194</v>
      </c>
      <c r="G8" s="9">
        <v>-2600</v>
      </c>
      <c r="H8" s="9">
        <v>-1000</v>
      </c>
      <c r="I8" s="48">
        <v>0</v>
      </c>
      <c r="J8" s="21">
        <f t="shared" si="2"/>
        <v>41900</v>
      </c>
      <c r="K8" s="8" t="s">
        <v>195</v>
      </c>
      <c r="L8" s="9">
        <v>2600</v>
      </c>
      <c r="M8" s="9">
        <v>1000</v>
      </c>
      <c r="N8" s="48">
        <v>0</v>
      </c>
      <c r="O8" s="21">
        <f t="shared" si="3"/>
        <v>8100</v>
      </c>
      <c r="P8" s="8"/>
      <c r="Q8" s="9"/>
      <c r="R8" s="9"/>
      <c r="S8" s="48"/>
      <c r="T8" s="21">
        <f t="shared" si="4"/>
        <v>55000</v>
      </c>
      <c r="U8" s="53">
        <f>IF($J8="","",ROUND(($J8-$J$3)/1000,1)+(_xlfn.RANK.AVG($J8,($J8,$O8,$T8),1)-2)*20)</f>
        <v>6.9</v>
      </c>
      <c r="V8" s="54">
        <f>IF($O8="","",ROUND(($O8-$O$3)/1000,1)+(_xlfn.RANK.AVG($O8,($J8,$O8,$T8),1)-2)*20)</f>
        <v>-46.9</v>
      </c>
      <c r="W8" s="55">
        <f>IF($T8="","",ROUND(($T8-$T$3)/1000,1)+(_xlfn.RANK.AVG($T8,($J8,$O8,$T8),1)-2)*20)</f>
        <v>40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40</v>
      </c>
      <c r="AZ8" s="40" t="s">
        <v>202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194</v>
      </c>
      <c r="G9" s="9">
        <v>-2000</v>
      </c>
      <c r="H9" s="9"/>
      <c r="I9" s="48">
        <v>0</v>
      </c>
      <c r="J9" s="21">
        <f t="shared" si="2"/>
        <v>39900</v>
      </c>
      <c r="K9" s="8"/>
      <c r="L9" s="9"/>
      <c r="M9" s="9"/>
      <c r="N9" s="48"/>
      <c r="O9" s="21">
        <f t="shared" si="3"/>
        <v>8100</v>
      </c>
      <c r="P9" s="8" t="s">
        <v>195</v>
      </c>
      <c r="Q9" s="9">
        <v>2000</v>
      </c>
      <c r="R9" s="9"/>
      <c r="S9" s="48">
        <v>0</v>
      </c>
      <c r="T9" s="21">
        <f t="shared" si="4"/>
        <v>57000</v>
      </c>
      <c r="U9" s="53">
        <f>IF($J9="","",ROUND(($J9-$J$3)/1000,1)+(_xlfn.RANK.AVG($J9,($J9,$O9,$T9),1)-2)*20)</f>
        <v>4.9000000000000004</v>
      </c>
      <c r="V9" s="54">
        <f>IF($O9="","",ROUND(($O9-$O$3)/1000,1)+(_xlfn.RANK.AVG($O9,($J9,$O9,$T9),1)-2)*20)</f>
        <v>-46.9</v>
      </c>
      <c r="W9" s="55">
        <f>IF($T9="","",ROUND(($T9-$T$3)/1000,1)+(_xlfn.RANK.AVG($T9,($J9,$O9,$T9),1)-2)*20)</f>
        <v>42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202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203</v>
      </c>
      <c r="G10" s="9">
        <v>12000</v>
      </c>
      <c r="H10" s="9"/>
      <c r="I10" s="48">
        <v>0</v>
      </c>
      <c r="J10" s="21">
        <f t="shared" si="2"/>
        <v>51900</v>
      </c>
      <c r="K10" s="8" t="s">
        <v>204</v>
      </c>
      <c r="L10" s="9">
        <v>-4500</v>
      </c>
      <c r="M10" s="9"/>
      <c r="N10" s="48">
        <v>0</v>
      </c>
      <c r="O10" s="21">
        <f t="shared" si="3"/>
        <v>3600</v>
      </c>
      <c r="P10" s="8" t="s">
        <v>204</v>
      </c>
      <c r="Q10" s="9">
        <v>-7500</v>
      </c>
      <c r="R10" s="9"/>
      <c r="S10" s="48">
        <v>0</v>
      </c>
      <c r="T10" s="21">
        <f t="shared" si="4"/>
        <v>49500</v>
      </c>
      <c r="U10" s="53">
        <f>IF($J10="","",ROUND(($J10-$J$3)/1000,1)+(_xlfn.RANK.AVG($J10,($J10,$O10,$T10),1)-2)*20)</f>
        <v>36.9</v>
      </c>
      <c r="V10" s="54">
        <f>IF($O10="","",ROUND(($O10-$O$3)/1000,1)+(_xlfn.RANK.AVG($O10,($J10,$O10,$T10),1)-2)*20)</f>
        <v>-51.4</v>
      </c>
      <c r="W10" s="55">
        <f>IF($T10="","",ROUND(($T10-$T$3)/1000,1)+(_xlfn.RANK.AVG($T10,($J10,$O10,$T10),1)-2)*20)</f>
        <v>14.5</v>
      </c>
      <c r="Y10" s="8"/>
      <c r="Z10" s="34"/>
      <c r="AA10" s="26">
        <v>1</v>
      </c>
      <c r="AB10" s="26"/>
      <c r="AC10" s="26">
        <v>6</v>
      </c>
      <c r="AD10" s="30" t="s">
        <v>196</v>
      </c>
      <c r="AE10" s="40" t="s">
        <v>200</v>
      </c>
      <c r="AF10" s="41" t="s">
        <v>82</v>
      </c>
      <c r="AG10" s="41" t="s">
        <v>79</v>
      </c>
      <c r="AH10" s="41" t="s">
        <v>79</v>
      </c>
      <c r="AI10" s="41" t="s">
        <v>80</v>
      </c>
      <c r="AJ10" s="41" t="s">
        <v>80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194</v>
      </c>
      <c r="G11" s="9">
        <v>-3900</v>
      </c>
      <c r="H11" s="9"/>
      <c r="I11" s="48">
        <v>0</v>
      </c>
      <c r="J11" s="21">
        <f t="shared" si="2"/>
        <v>48000</v>
      </c>
      <c r="K11" s="8" t="s">
        <v>195</v>
      </c>
      <c r="L11" s="9">
        <v>3900</v>
      </c>
      <c r="M11" s="9"/>
      <c r="N11" s="48">
        <v>0</v>
      </c>
      <c r="O11" s="21">
        <f t="shared" si="3"/>
        <v>7500</v>
      </c>
      <c r="P11" s="8"/>
      <c r="Q11" s="9"/>
      <c r="R11" s="9"/>
      <c r="S11" s="48"/>
      <c r="T11" s="21">
        <f t="shared" si="4"/>
        <v>49500</v>
      </c>
      <c r="U11" s="53">
        <f>IF($J11="","",ROUND(($J11-$J$3)/1000,1)+(_xlfn.RANK.AVG($J11,($J11,$O11,$T11),1)-2)*20)</f>
        <v>13</v>
      </c>
      <c r="V11" s="54">
        <f>IF($O11="","",ROUND(($O11-$O$3)/1000,1)+(_xlfn.RANK.AVG($O11,($J11,$O11,$T11),1)-2)*20)</f>
        <v>-47.5</v>
      </c>
      <c r="W11" s="55">
        <f>IF($T11="","",ROUND(($T11-$T$3)/1000,1)+(_xlfn.RANK.AVG($T11,($J11,$O11,$T11),1)-2)*20)</f>
        <v>34.5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79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192</v>
      </c>
      <c r="F12" s="8"/>
      <c r="G12" s="9"/>
      <c r="H12" s="9"/>
      <c r="I12" s="48"/>
      <c r="J12" s="21">
        <f t="shared" si="2"/>
        <v>48000</v>
      </c>
      <c r="K12" s="8" t="s">
        <v>195</v>
      </c>
      <c r="L12" s="9">
        <v>2900</v>
      </c>
      <c r="M12" s="9"/>
      <c r="N12" s="48">
        <v>0</v>
      </c>
      <c r="O12" s="21">
        <f t="shared" si="3"/>
        <v>10400</v>
      </c>
      <c r="P12" s="8" t="s">
        <v>194</v>
      </c>
      <c r="Q12" s="9">
        <v>-2900</v>
      </c>
      <c r="R12" s="9"/>
      <c r="S12" s="48">
        <v>0</v>
      </c>
      <c r="T12" s="21">
        <f t="shared" si="4"/>
        <v>46600</v>
      </c>
      <c r="U12" s="53">
        <f>IF($J12="","",ROUND(($J12-$J$3)/1000,1)+(_xlfn.RANK.AVG($J12,($J12,$O12,$T12),1)-2)*20)</f>
        <v>33</v>
      </c>
      <c r="V12" s="54">
        <f>IF($O12="","",ROUND(($O12-$O$3)/1000,1)+(_xlfn.RANK.AVG($O12,($J12,$O12,$T12),1)-2)*20)</f>
        <v>-44.6</v>
      </c>
      <c r="W12" s="55">
        <f>IF($T12="","",ROUND(($T12-$T$3)/1000,1)+(_xlfn.RANK.AVG($T12,($J12,$O12,$T12),1)-2)*20)</f>
        <v>11.6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86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192</v>
      </c>
      <c r="F13" s="8" t="s">
        <v>195</v>
      </c>
      <c r="G13" s="9">
        <v>1000</v>
      </c>
      <c r="H13" s="9"/>
      <c r="I13" s="48">
        <v>1000</v>
      </c>
      <c r="J13" s="21">
        <f t="shared" si="2"/>
        <v>50000</v>
      </c>
      <c r="K13" s="8"/>
      <c r="L13" s="9"/>
      <c r="M13" s="9"/>
      <c r="N13" s="48"/>
      <c r="O13" s="21">
        <f t="shared" si="3"/>
        <v>10400</v>
      </c>
      <c r="P13" s="8" t="s">
        <v>194</v>
      </c>
      <c r="Q13" s="9">
        <v>-1000</v>
      </c>
      <c r="R13" s="9"/>
      <c r="S13" s="48">
        <v>-1000</v>
      </c>
      <c r="T13" s="21">
        <f t="shared" si="4"/>
        <v>44600</v>
      </c>
      <c r="U13" s="53">
        <f>IF($J13="","",ROUND(($J13-$J$3)/1000,1)+(_xlfn.RANK.AVG($J13,($J13,$O13,$T13),1)-2)*20)</f>
        <v>35</v>
      </c>
      <c r="V13" s="54">
        <f>IF($O13="","",ROUND(($O13-$O$3)/1000,1)+(_xlfn.RANK.AVG($O13,($J13,$O13,$T13),1)-2)*20)</f>
        <v>-44.6</v>
      </c>
      <c r="W13" s="55">
        <f>IF($T13="","",ROUND(($T13-$T$3)/1000,1)+(_xlfn.RANK.AVG($T13,($J13,$O13,$T13),1)-2)*20)</f>
        <v>9.6</v>
      </c>
      <c r="Y13" s="8"/>
      <c r="Z13" s="34"/>
      <c r="AA13" s="26"/>
      <c r="AB13" s="26">
        <v>1</v>
      </c>
      <c r="AC13" s="26">
        <v>1</v>
      </c>
      <c r="AD13" s="30">
        <v>30</v>
      </c>
      <c r="AE13" s="40" t="s">
        <v>86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897F274-BE4C-4353-B7E5-A2FE7E42A125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F54C9-D07D-4661-BABD-2BB85A22FB4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22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-22</v>
      </c>
      <c r="Y4" s="8"/>
      <c r="Z4" s="34"/>
      <c r="AA4" s="26"/>
      <c r="AB4" s="26"/>
      <c r="AC4" s="26">
        <v>2</v>
      </c>
      <c r="AD4" s="30">
        <v>30</v>
      </c>
      <c r="AE4" s="40" t="s">
        <v>83</v>
      </c>
      <c r="AF4" s="41" t="s">
        <v>202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205</v>
      </c>
      <c r="F5" s="8" t="s">
        <v>194</v>
      </c>
      <c r="G5" s="9">
        <v>-7700</v>
      </c>
      <c r="H5" s="9"/>
      <c r="I5" s="48">
        <v>0</v>
      </c>
      <c r="J5" s="21">
        <f t="shared" ref="J5:J30" si="2">IF(COUNTA($F5,$K5,$P5)&gt;0,J4+SUM(G5:I5),"")</f>
        <v>29300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195</v>
      </c>
      <c r="Q5" s="9">
        <v>7700</v>
      </c>
      <c r="R5" s="9"/>
      <c r="S5" s="48">
        <v>0</v>
      </c>
      <c r="T5" s="21">
        <f t="shared" ref="T5:T30" si="4">IF(COUNTA($F5,$K5,$P5)&gt;0,T4+SUM(Q5:S5),"")</f>
        <v>40700</v>
      </c>
      <c r="U5" s="53">
        <f>IF($J5="","",ROUND(($J5-$J$3)/1000,1)+(_xlfn.RANK.AVG($J5,($J5,$O5,$T5),1)-2)*20)</f>
        <v>-25.7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200</v>
      </c>
      <c r="BV5" s="41" t="s">
        <v>79</v>
      </c>
      <c r="BW5" s="41" t="s">
        <v>202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205</v>
      </c>
      <c r="F6" s="8" t="s">
        <v>194</v>
      </c>
      <c r="G6" s="9">
        <v>-5800</v>
      </c>
      <c r="H6" s="9"/>
      <c r="I6" s="48">
        <v>-1000</v>
      </c>
      <c r="J6" s="21">
        <f t="shared" si="2"/>
        <v>22500</v>
      </c>
      <c r="K6" s="8"/>
      <c r="L6" s="9"/>
      <c r="M6" s="9"/>
      <c r="N6" s="48"/>
      <c r="O6" s="21">
        <f t="shared" si="3"/>
        <v>35000</v>
      </c>
      <c r="P6" s="8" t="s">
        <v>195</v>
      </c>
      <c r="Q6" s="9">
        <v>5800</v>
      </c>
      <c r="R6" s="9"/>
      <c r="S6" s="48">
        <v>1000</v>
      </c>
      <c r="T6" s="21">
        <f t="shared" si="4"/>
        <v>47500</v>
      </c>
      <c r="U6" s="53">
        <f>IF($J6="","",ROUND(($J6-$J$3)/1000,1)+(_xlfn.RANK.AVG($J6,($J6,$O6,$T6),1)-2)*20)</f>
        <v>-32.5</v>
      </c>
      <c r="V6" s="54">
        <f>IF($O6="","",ROUND(($O6-$O$3)/1000,1)+(_xlfn.RANK.AVG($O6,($J6,$O6,$T6),1)-2)*20)</f>
        <v>0</v>
      </c>
      <c r="W6" s="55">
        <f>IF($T6="","",ROUND(($T6-$T$3)/1000,1)+(_xlfn.RANK.AVG($T6,($J6,$O6,$T6),1)-2)*20)</f>
        <v>32.5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86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205</v>
      </c>
      <c r="F7" s="8" t="s">
        <v>204</v>
      </c>
      <c r="G7" s="9">
        <v>-3000</v>
      </c>
      <c r="H7" s="9"/>
      <c r="I7" s="48">
        <v>-1000</v>
      </c>
      <c r="J7" s="21">
        <f t="shared" si="2"/>
        <v>18500</v>
      </c>
      <c r="K7" s="8" t="s">
        <v>204</v>
      </c>
      <c r="L7" s="9">
        <v>-3000</v>
      </c>
      <c r="M7" s="9"/>
      <c r="N7" s="48">
        <v>-1000</v>
      </c>
      <c r="O7" s="21">
        <f t="shared" si="3"/>
        <v>31000</v>
      </c>
      <c r="P7" s="8" t="s">
        <v>203</v>
      </c>
      <c r="Q7" s="9">
        <v>6000</v>
      </c>
      <c r="R7" s="9"/>
      <c r="S7" s="48">
        <v>2000</v>
      </c>
      <c r="T7" s="21">
        <f t="shared" si="4"/>
        <v>55500</v>
      </c>
      <c r="U7" s="53">
        <f>IF($J7="","",ROUND(($J7-$J$3)/1000,1)+(_xlfn.RANK.AVG($J7,($J7,$O7,$T7),1)-2)*20)</f>
        <v>-36.5</v>
      </c>
      <c r="V7" s="54">
        <f>IF($O7="","",ROUND(($O7-$O$3)/1000,1)+(_xlfn.RANK.AVG($O7,($J7,$O7,$T7),1)-2)*20)</f>
        <v>-4</v>
      </c>
      <c r="W7" s="55">
        <f>IF($T7="","",ROUND(($T7-$T$3)/1000,1)+(_xlfn.RANK.AVG($T7,($J7,$O7,$T7),1)-2)*20)</f>
        <v>40.5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30</v>
      </c>
      <c r="BU7" s="40" t="s">
        <v>82</v>
      </c>
      <c r="BV7" s="41" t="s">
        <v>96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205</v>
      </c>
      <c r="F8" s="8" t="s">
        <v>206</v>
      </c>
      <c r="G8" s="9">
        <v>3000</v>
      </c>
      <c r="H8" s="9">
        <v>-1000</v>
      </c>
      <c r="I8" s="48"/>
      <c r="J8" s="21">
        <f t="shared" si="2"/>
        <v>20500</v>
      </c>
      <c r="K8" s="8" t="s">
        <v>206</v>
      </c>
      <c r="L8" s="9">
        <v>-1500</v>
      </c>
      <c r="M8" s="9"/>
      <c r="N8" s="48"/>
      <c r="O8" s="21">
        <f t="shared" si="3"/>
        <v>29500</v>
      </c>
      <c r="P8" s="8" t="s">
        <v>206</v>
      </c>
      <c r="Q8" s="9">
        <v>-1500</v>
      </c>
      <c r="R8" s="9"/>
      <c r="S8" s="48"/>
      <c r="T8" s="21">
        <f t="shared" si="4"/>
        <v>54000</v>
      </c>
      <c r="U8" s="53">
        <f>IF($J8="","",ROUND(($J8-$J$3)/1000,1)+(_xlfn.RANK.AVG($J8,($J8,$O8,$T8),1)-2)*20)</f>
        <v>-34.5</v>
      </c>
      <c r="V8" s="54">
        <f>IF($O8="","",ROUND(($O8-$O$3)/1000,1)+(_xlfn.RANK.AVG($O8,($J8,$O8,$T8),1)-2)*20)</f>
        <v>-5.5</v>
      </c>
      <c r="W8" s="55">
        <f>IF($T8="","",ROUND(($T8-$T$3)/1000,1)+(_xlfn.RANK.AVG($T8,($J8,$O8,$T8),1)-2)*20)</f>
        <v>39</v>
      </c>
      <c r="Y8" s="8" t="s">
        <v>198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197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1</v>
      </c>
      <c r="E9" s="4" t="s">
        <v>192</v>
      </c>
      <c r="F9" s="8" t="s">
        <v>195</v>
      </c>
      <c r="G9" s="9">
        <v>5800</v>
      </c>
      <c r="H9" s="9">
        <v>1000</v>
      </c>
      <c r="I9" s="48">
        <v>4000</v>
      </c>
      <c r="J9" s="21">
        <f t="shared" si="2"/>
        <v>31300</v>
      </c>
      <c r="K9" s="8" t="s">
        <v>194</v>
      </c>
      <c r="L9" s="9">
        <v>-5800</v>
      </c>
      <c r="M9" s="9"/>
      <c r="N9" s="48">
        <v>-4000</v>
      </c>
      <c r="O9" s="21">
        <f t="shared" si="3"/>
        <v>19700</v>
      </c>
      <c r="P9" s="8"/>
      <c r="Q9" s="9"/>
      <c r="R9" s="9"/>
      <c r="S9" s="48"/>
      <c r="T9" s="21">
        <f t="shared" si="4"/>
        <v>54000</v>
      </c>
      <c r="U9" s="53">
        <f>IF($J9="","",ROUND(($J9-$J$3)/1000,1)+(_xlfn.RANK.AVG($J9,($J9,$O9,$T9),1)-2)*20)</f>
        <v>-3.7</v>
      </c>
      <c r="V9" s="54">
        <f>IF($O9="","",ROUND(($O9-$O$3)/1000,1)+(_xlfn.RANK.AVG($O9,($J9,$O9,$T9),1)-2)*20)</f>
        <v>-35.299999999999997</v>
      </c>
      <c r="W9" s="55">
        <f>IF($T9="","",ROUND(($T9-$T$3)/1000,1)+(_xlfn.RANK.AVG($T9,($J9,$O9,$T9),1)-2)*20)</f>
        <v>39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200</v>
      </c>
      <c r="AF9" s="41" t="s">
        <v>83</v>
      </c>
      <c r="AG9" s="41" t="s">
        <v>84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">
        <v>192</v>
      </c>
      <c r="F10" s="8" t="s">
        <v>195</v>
      </c>
      <c r="G10" s="9">
        <v>18000</v>
      </c>
      <c r="H10" s="9"/>
      <c r="I10" s="48">
        <v>5000</v>
      </c>
      <c r="J10" s="21">
        <f t="shared" si="2"/>
        <v>54300</v>
      </c>
      <c r="K10" s="8"/>
      <c r="L10" s="9"/>
      <c r="M10" s="9"/>
      <c r="N10" s="48"/>
      <c r="O10" s="21">
        <f t="shared" si="3"/>
        <v>19700</v>
      </c>
      <c r="P10" s="8" t="s">
        <v>194</v>
      </c>
      <c r="Q10" s="9">
        <v>-18000</v>
      </c>
      <c r="R10" s="9"/>
      <c r="S10" s="48">
        <v>-5000</v>
      </c>
      <c r="T10" s="21">
        <f t="shared" si="4"/>
        <v>31000</v>
      </c>
      <c r="U10" s="53">
        <f>IF($J10="","",ROUND(($J10-$J$3)/1000,1)+(_xlfn.RANK.AVG($J10,($J10,$O10,$T10),1)-2)*20)</f>
        <v>39.299999999999997</v>
      </c>
      <c r="V10" s="54">
        <f>IF($O10="","",ROUND(($O10-$O$3)/1000,1)+(_xlfn.RANK.AVG($O10,($J10,$O10,$T10),1)-2)*20)</f>
        <v>-35.299999999999997</v>
      </c>
      <c r="W10" s="55">
        <f>IF($T10="","",ROUND(($T10-$T$3)/1000,1)+(_xlfn.RANK.AVG($T10,($J10,$O10,$T10),1)-2)*20)</f>
        <v>-4</v>
      </c>
      <c r="Y10" s="8"/>
      <c r="Z10" s="34"/>
      <c r="AA10" s="26"/>
      <c r="AB10" s="26">
        <v>1</v>
      </c>
      <c r="AC10" s="26">
        <v>6</v>
      </c>
      <c r="AD10" s="30" t="s">
        <v>196</v>
      </c>
      <c r="AE10" s="40" t="s">
        <v>79</v>
      </c>
      <c r="AF10" s="41" t="s">
        <v>79</v>
      </c>
      <c r="AG10" s="41" t="s">
        <v>79</v>
      </c>
      <c r="AH10" s="41" t="s">
        <v>98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6</v>
      </c>
      <c r="D11" s="18">
        <f t="shared" si="1"/>
        <v>0</v>
      </c>
      <c r="E11" s="4" t="s">
        <v>192</v>
      </c>
      <c r="F11" s="8"/>
      <c r="G11" s="9"/>
      <c r="H11" s="9"/>
      <c r="I11" s="48"/>
      <c r="J11" s="21">
        <f t="shared" si="2"/>
        <v>54300</v>
      </c>
      <c r="K11" s="8" t="s">
        <v>194</v>
      </c>
      <c r="L11" s="9">
        <v>-16000</v>
      </c>
      <c r="M11" s="9">
        <v>-1000</v>
      </c>
      <c r="N11" s="48">
        <v>-6000</v>
      </c>
      <c r="O11" s="21">
        <f t="shared" si="3"/>
        <v>-3300</v>
      </c>
      <c r="P11" s="8" t="s">
        <v>195</v>
      </c>
      <c r="Q11" s="9">
        <v>16000</v>
      </c>
      <c r="R11" s="9">
        <v>1000</v>
      </c>
      <c r="S11" s="48">
        <v>6000</v>
      </c>
      <c r="T11" s="21">
        <f t="shared" si="4"/>
        <v>54000</v>
      </c>
      <c r="U11" s="53">
        <f>IF($J11="","",ROUND(($J11-$J$3)/1000,1)+(_xlfn.RANK.AVG($J11,($J11,$O11,$T11),1)-2)*20)</f>
        <v>39.299999999999997</v>
      </c>
      <c r="V11" s="54">
        <f>IF($O11="","",ROUND(($O11-$O$3)/1000,1)+(_xlfn.RANK.AVG($O11,($J11,$O11,$T11),1)-2)*20)</f>
        <v>-58.3</v>
      </c>
      <c r="W11" s="55">
        <f>IF($T11="","",ROUND(($T11-$T$3)/1000,1)+(_xlfn.RANK.AVG($T11,($J11,$O11,$T11),1)-2)*20)</f>
        <v>19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8</v>
      </c>
      <c r="BT11" s="30" t="s">
        <v>196</v>
      </c>
      <c r="BU11" s="40" t="s">
        <v>79</v>
      </c>
      <c r="BV11" s="41" t="s">
        <v>79</v>
      </c>
      <c r="BW11" s="41" t="s">
        <v>79</v>
      </c>
      <c r="BX11" s="41" t="s">
        <v>100</v>
      </c>
      <c r="BY11" s="41" t="s">
        <v>98</v>
      </c>
      <c r="BZ11" s="41" t="s">
        <v>86</v>
      </c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3F7CDB60-AB68-4B3A-884C-31BA849D0C37}">
      <formula1>"ロン,ツモ,放銃,ツモ支払,流局,チョンボ"</formula1>
    </dataValidation>
    <dataValidation type="list" allowBlank="1" showInputMessage="1" showErrorMessage="1" sqref="E4:E30" xr:uid="{47AAB8AA-3960-4CB6-B93B-8D4BF43282DC}">
      <formula1>$U$2:$W$2</formula1>
    </dataValidation>
    <dataValidation type="list" allowBlank="1" showInputMessage="1" sqref="F1:T1" xr:uid="{58091268-B12C-4497-9025-174EDE869A53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6460B-B570-41AF-AA83-201BE1038D8C}">
  <sheetPr codeName="Sheet12">
    <pageSetUpPr fitToPage="1"/>
  </sheetPr>
  <dimension ref="A1:CI30"/>
  <sheetViews>
    <sheetView tabSelected="1" zoomScaleNormal="100" workbookViewId="0">
      <selection activeCell="R13" sqref="R13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204</v>
      </c>
      <c r="G4" s="9">
        <v>-2500</v>
      </c>
      <c r="H4" s="9">
        <v>-1000</v>
      </c>
      <c r="I4" s="48">
        <v>0</v>
      </c>
      <c r="J4" s="21">
        <f>IF(COUNTA($F4,$K4,$P4)&gt;0,J3+SUM(G4:I4),"")</f>
        <v>31500</v>
      </c>
      <c r="K4" s="8" t="s">
        <v>204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203</v>
      </c>
      <c r="Q4" s="9">
        <v>4000</v>
      </c>
      <c r="R4" s="9">
        <v>1000</v>
      </c>
      <c r="S4" s="48">
        <v>0</v>
      </c>
      <c r="T4" s="21">
        <f>IF(COUNTA($F4,$K4,$P4)&gt;0,T3+SUM(Q4:S4),"")</f>
        <v>40000</v>
      </c>
      <c r="U4" s="53">
        <f>IF($J4="","",ROUND(($J4-$J$3)/1000,1)+(_xlfn.RANK.AVG($J4,($J4,$O4,$T4),1)-2)*20)</f>
        <v>-23.5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25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200</v>
      </c>
      <c r="BV4" s="41" t="s">
        <v>82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194</v>
      </c>
      <c r="G5" s="9">
        <v>-3900</v>
      </c>
      <c r="H5" s="9"/>
      <c r="I5" s="48">
        <v>0</v>
      </c>
      <c r="J5" s="21">
        <f t="shared" ref="J5:J30" si="2">IF(COUNTA($F5,$K5,$P5)&gt;0,J4+SUM(G5:I5),"")</f>
        <v>27600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195</v>
      </c>
      <c r="Q5" s="9">
        <v>3900</v>
      </c>
      <c r="R5" s="9"/>
      <c r="S5" s="48">
        <v>0</v>
      </c>
      <c r="T5" s="21">
        <f t="shared" ref="T5:T30" si="4">IF(COUNTA($F5,$K5,$P5)&gt;0,T4+SUM(Q5:S5),"")</f>
        <v>43900</v>
      </c>
      <c r="U5" s="53">
        <f>IF($J5="","",ROUND(($J5-$J$3)/1000,1)+(_xlfn.RANK.AVG($J5,($J5,$O5,$T5),1)-2)*20)</f>
        <v>-27.4</v>
      </c>
      <c r="V5" s="54">
        <f>IF($O5="","",ROUND(($O5-$O$3)/1000,1)+(_xlfn.RANK.AVG($O5,($J5,$O5,$T5),1)-2)*20)</f>
        <v>-1.5</v>
      </c>
      <c r="W5" s="55">
        <f>IF($T5="","",ROUND(($T5-$T$3)/1000,1)+(_xlfn.RANK.AVG($T5,($J5,$O5,$T5),1)-2)*20)</f>
        <v>28.9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104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205</v>
      </c>
      <c r="F6" s="8" t="s">
        <v>195</v>
      </c>
      <c r="G6" s="9">
        <v>7700</v>
      </c>
      <c r="H6" s="9"/>
      <c r="I6" s="48">
        <v>0</v>
      </c>
      <c r="J6" s="21">
        <f t="shared" si="2"/>
        <v>35300</v>
      </c>
      <c r="K6" s="8" t="s">
        <v>194</v>
      </c>
      <c r="L6" s="9">
        <v>-7700</v>
      </c>
      <c r="M6" s="9"/>
      <c r="N6" s="48">
        <v>0</v>
      </c>
      <c r="O6" s="21">
        <f t="shared" si="3"/>
        <v>25800</v>
      </c>
      <c r="P6" s="8"/>
      <c r="Q6" s="9"/>
      <c r="R6" s="9"/>
      <c r="S6" s="48"/>
      <c r="T6" s="21">
        <f t="shared" si="4"/>
        <v>43900</v>
      </c>
      <c r="U6" s="53">
        <f>IF($J6="","",ROUND(($J6-$J$3)/1000,1)+(_xlfn.RANK.AVG($J6,($J6,$O6,$T6),1)-2)*20)</f>
        <v>0.3</v>
      </c>
      <c r="V6" s="54">
        <f>IF($O6="","",ROUND(($O6-$O$3)/1000,1)+(_xlfn.RANK.AVG($O6,($J6,$O6,$T6),1)-2)*20)</f>
        <v>-29.2</v>
      </c>
      <c r="W6" s="55">
        <f>IF($T6="","",ROUND(($T6-$T$3)/1000,1)+(_xlfn.RANK.AVG($T6,($J6,$O6,$T6),1)-2)*20)</f>
        <v>28.9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200</v>
      </c>
      <c r="AF6" s="41" t="s">
        <v>83</v>
      </c>
      <c r="AG6" s="41" t="s">
        <v>85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203</v>
      </c>
      <c r="G7" s="9">
        <v>12000</v>
      </c>
      <c r="H7" s="9"/>
      <c r="I7" s="48">
        <v>0</v>
      </c>
      <c r="J7" s="21">
        <f t="shared" si="2"/>
        <v>47300</v>
      </c>
      <c r="K7" s="8" t="s">
        <v>204</v>
      </c>
      <c r="L7" s="9">
        <v>-6000</v>
      </c>
      <c r="M7" s="9"/>
      <c r="N7" s="48">
        <v>0</v>
      </c>
      <c r="O7" s="21">
        <f t="shared" si="3"/>
        <v>19800</v>
      </c>
      <c r="P7" s="8" t="s">
        <v>204</v>
      </c>
      <c r="Q7" s="9">
        <v>-6000</v>
      </c>
      <c r="R7" s="9"/>
      <c r="S7" s="48">
        <v>0</v>
      </c>
      <c r="T7" s="21">
        <f t="shared" si="4"/>
        <v>37900</v>
      </c>
      <c r="U7" s="53">
        <f>IF($J7="","",ROUND(($J7-$J$3)/1000,1)+(_xlfn.RANK.AVG($J7,($J7,$O7,$T7),1)-2)*20)</f>
        <v>32.299999999999997</v>
      </c>
      <c r="V7" s="54">
        <f>IF($O7="","",ROUND(($O7-$O$3)/1000,1)+(_xlfn.RANK.AVG($O7,($J7,$O7,$T7),1)-2)*20)</f>
        <v>-35.200000000000003</v>
      </c>
      <c r="W7" s="55">
        <f>IF($T7="","",ROUND(($T7-$T$3)/1000,1)+(_xlfn.RANK.AVG($T7,($J7,$O7,$T7),1)-2)*20)</f>
        <v>2.9</v>
      </c>
      <c r="Y7" s="8"/>
      <c r="Z7" s="34"/>
      <c r="AA7" s="26">
        <v>1</v>
      </c>
      <c r="AB7" s="26"/>
      <c r="AC7" s="26">
        <v>5</v>
      </c>
      <c r="AD7" s="30" t="s">
        <v>196</v>
      </c>
      <c r="AE7" s="40" t="s">
        <v>200</v>
      </c>
      <c r="AF7" s="41" t="s">
        <v>82</v>
      </c>
      <c r="AG7" s="41" t="s">
        <v>79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192</v>
      </c>
      <c r="F8" s="8" t="s">
        <v>195</v>
      </c>
      <c r="G8" s="9">
        <v>2000</v>
      </c>
      <c r="H8" s="9"/>
      <c r="I8" s="48">
        <v>1000</v>
      </c>
      <c r="J8" s="21">
        <f t="shared" si="2"/>
        <v>50300</v>
      </c>
      <c r="K8" s="8" t="s">
        <v>194</v>
      </c>
      <c r="L8" s="9">
        <v>-2000</v>
      </c>
      <c r="M8" s="9"/>
      <c r="N8" s="48">
        <v>-1000</v>
      </c>
      <c r="O8" s="21">
        <f t="shared" si="3"/>
        <v>16800</v>
      </c>
      <c r="P8" s="8"/>
      <c r="Q8" s="9"/>
      <c r="R8" s="9"/>
      <c r="S8" s="48"/>
      <c r="T8" s="21">
        <f t="shared" si="4"/>
        <v>37900</v>
      </c>
      <c r="U8" s="53">
        <f>IF($J8="","",ROUND(($J8-$J$3)/1000,1)+(_xlfn.RANK.AVG($J8,($J8,$O8,$T8),1)-2)*20)</f>
        <v>35.299999999999997</v>
      </c>
      <c r="V8" s="54">
        <f>IF($O8="","",ROUND(($O8-$O$3)/1000,1)+(_xlfn.RANK.AVG($O8,($J8,$O8,$T8),1)-2)*20)</f>
        <v>-38.200000000000003</v>
      </c>
      <c r="W8" s="55">
        <f>IF($T8="","",ROUND(($T8-$T$3)/1000,1)+(_xlfn.RANK.AVG($T8,($J8,$O8,$T8),1)-2)*20)</f>
        <v>2.9</v>
      </c>
      <c r="Y8" s="8"/>
      <c r="Z8" s="34"/>
      <c r="AA8" s="26">
        <v>1</v>
      </c>
      <c r="AB8" s="26"/>
      <c r="AC8" s="26">
        <v>1</v>
      </c>
      <c r="AD8" s="30">
        <v>40</v>
      </c>
      <c r="AE8" s="40" t="s">
        <v>200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192</v>
      </c>
      <c r="F9" s="8" t="s">
        <v>194</v>
      </c>
      <c r="G9" s="9">
        <v>-2600</v>
      </c>
      <c r="H9" s="9"/>
      <c r="I9" s="48">
        <v>-2000</v>
      </c>
      <c r="J9" s="21">
        <f t="shared" si="2"/>
        <v>45700</v>
      </c>
      <c r="K9" s="8"/>
      <c r="L9" s="9"/>
      <c r="M9" s="9"/>
      <c r="N9" s="48"/>
      <c r="O9" s="21">
        <f t="shared" si="3"/>
        <v>16800</v>
      </c>
      <c r="P9" s="8" t="s">
        <v>195</v>
      </c>
      <c r="Q9" s="9">
        <v>2600</v>
      </c>
      <c r="R9" s="9"/>
      <c r="S9" s="48">
        <v>2000</v>
      </c>
      <c r="T9" s="21">
        <f t="shared" si="4"/>
        <v>42500</v>
      </c>
      <c r="U9" s="53">
        <f>IF($J9="","",ROUND(($J9-$J$3)/1000,1)+(_xlfn.RANK.AVG($J9,($J9,$O9,$T9),1)-2)*20)</f>
        <v>30.7</v>
      </c>
      <c r="V9" s="54">
        <f>IF($O9="","",ROUND(($O9-$O$3)/1000,1)+(_xlfn.RANK.AVG($O9,($J9,$O9,$T9),1)-2)*20)</f>
        <v>-38.200000000000003</v>
      </c>
      <c r="W9" s="55">
        <f>IF($T9="","",ROUND(($T9-$T$3)/1000,1)+(_xlfn.RANK.AVG($T9,($J9,$O9,$T9),1)-2)*20)</f>
        <v>7.5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202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194</v>
      </c>
      <c r="G10" s="9">
        <v>-2400</v>
      </c>
      <c r="H10" s="9"/>
      <c r="I10" s="48">
        <v>0</v>
      </c>
      <c r="J10" s="21">
        <f t="shared" si="2"/>
        <v>43300</v>
      </c>
      <c r="K10" s="8" t="s">
        <v>195</v>
      </c>
      <c r="L10" s="9">
        <v>2400</v>
      </c>
      <c r="M10" s="9"/>
      <c r="N10" s="48">
        <v>0</v>
      </c>
      <c r="O10" s="21">
        <f t="shared" si="3"/>
        <v>19200</v>
      </c>
      <c r="P10" s="8"/>
      <c r="Q10" s="9"/>
      <c r="R10" s="9"/>
      <c r="S10" s="48"/>
      <c r="T10" s="21">
        <f t="shared" si="4"/>
        <v>42500</v>
      </c>
      <c r="U10" s="53">
        <f>IF($J10="","",ROUND(($J10-$J$3)/1000,1)+(_xlfn.RANK.AVG($J10,($J10,$O10,$T10),1)-2)*20)</f>
        <v>28.3</v>
      </c>
      <c r="V10" s="54">
        <f>IF($O10="","",ROUND(($O10-$O$3)/1000,1)+(_xlfn.RANK.AVG($O10,($J10,$O10,$T10),1)-2)*20)</f>
        <v>-35.799999999999997</v>
      </c>
      <c r="W10" s="55">
        <f>IF($T10="","",ROUND(($T10-$T$3)/1000,1)+(_xlfn.RANK.AVG($T10,($J10,$O10,$T10),1)-2)*20)</f>
        <v>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25</v>
      </c>
      <c r="AZ10" s="40" t="s">
        <v>101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194</v>
      </c>
      <c r="G11" s="9">
        <v>-5200</v>
      </c>
      <c r="H11" s="9"/>
      <c r="I11" s="48">
        <v>-1000</v>
      </c>
      <c r="J11" s="21">
        <f t="shared" si="2"/>
        <v>37100</v>
      </c>
      <c r="K11" s="8"/>
      <c r="L11" s="9"/>
      <c r="M11" s="9"/>
      <c r="N11" s="48"/>
      <c r="O11" s="21">
        <f t="shared" si="3"/>
        <v>19200</v>
      </c>
      <c r="P11" s="8" t="s">
        <v>195</v>
      </c>
      <c r="Q11" s="9">
        <v>5200</v>
      </c>
      <c r="R11" s="9"/>
      <c r="S11" s="48">
        <v>1000</v>
      </c>
      <c r="T11" s="21">
        <f t="shared" si="4"/>
        <v>48700</v>
      </c>
      <c r="U11" s="53">
        <f>IF($J11="","",ROUND(($J11-$J$3)/1000,1)+(_xlfn.RANK.AVG($J11,($J11,$O11,$T11),1)-2)*20)</f>
        <v>2.1</v>
      </c>
      <c r="V11" s="54">
        <f>IF($O11="","",ROUND(($O11-$O$3)/1000,1)+(_xlfn.RANK.AVG($O11,($J11,$O11,$T11),1)-2)*20)</f>
        <v>-35.799999999999997</v>
      </c>
      <c r="W11" s="55">
        <f>IF($T11="","",ROUND(($T11-$T$3)/1000,1)+(_xlfn.RANK.AVG($T11,($J11,$O11,$T11),1)-2)*20)</f>
        <v>33.700000000000003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40</v>
      </c>
      <c r="BU11" s="40" t="s">
        <v>86</v>
      </c>
      <c r="BV11" s="41" t="s">
        <v>104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205</v>
      </c>
      <c r="F12" s="8" t="s">
        <v>206</v>
      </c>
      <c r="G12" s="9">
        <v>0</v>
      </c>
      <c r="H12" s="9">
        <v>-1000</v>
      </c>
      <c r="I12" s="48"/>
      <c r="J12" s="21">
        <f t="shared" si="2"/>
        <v>36100</v>
      </c>
      <c r="K12" s="8" t="s">
        <v>206</v>
      </c>
      <c r="L12" s="9">
        <v>0</v>
      </c>
      <c r="M12" s="9"/>
      <c r="N12" s="48"/>
      <c r="O12" s="21">
        <f t="shared" si="3"/>
        <v>19200</v>
      </c>
      <c r="P12" s="8" t="s">
        <v>206</v>
      </c>
      <c r="Q12" s="9">
        <v>0</v>
      </c>
      <c r="R12" s="9">
        <v>1000</v>
      </c>
      <c r="S12" s="48"/>
      <c r="T12" s="21">
        <f t="shared" si="4"/>
        <v>49700</v>
      </c>
      <c r="U12" s="53">
        <f>IF($J12="","",ROUND(($J12-$J$3)/1000,1)+(_xlfn.RANK.AVG($J12,($J12,$O12,$T12),1)-2)*20)</f>
        <v>1.1000000000000001</v>
      </c>
      <c r="V12" s="54">
        <f>IF($O12="","",ROUND(($O12-$O$3)/1000,1)+(_xlfn.RANK.AVG($O12,($J12,$O12,$T12),1)-2)*20)</f>
        <v>-35.799999999999997</v>
      </c>
      <c r="W12" s="55">
        <f>IF($T12="","",ROUND(($T12-$T$3)/1000,1)+(_xlfn.RANK.AVG($T12,($J12,$O12,$T12),1)-2)*20)</f>
        <v>34.700000000000003</v>
      </c>
      <c r="Y12" s="8" t="s">
        <v>198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198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198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205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482B28F7-5E2B-4ADA-B6C6-57F37B667EB7}">
      <formula1>"だいち,りくと,ただ,れんたろう,たかの,ぱぱ,まっつん,あさひ,いっしー,ほたに,かわたつ,やがさき,のり,"</formula1>
    </dataValidation>
    <dataValidation type="list" allowBlank="1" showInputMessage="1" showErrorMessage="1" sqref="E4:E30" xr:uid="{A226ABBA-CBD3-4690-9709-CF5EA9E93CF9}">
      <formula1>$U$2:$W$2</formula1>
    </dataValidation>
    <dataValidation type="list" showInputMessage="1" showErrorMessage="1" sqref="K4:K30 P4:P30 F4:F30" xr:uid="{70CD15B5-D9D7-4A89-BE45-0DD8907E340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2019-07-04T16:26:06Z</dcterms:modified>
</cp:coreProperties>
</file>