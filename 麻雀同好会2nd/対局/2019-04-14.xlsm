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84C10C7-8941-4938-93A4-57B2C75594A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D9" i="20"/>
  <c r="C9" i="20"/>
  <c r="D8" i="20"/>
  <c r="C8" i="20"/>
  <c r="D7" i="20"/>
  <c r="C7" i="20"/>
  <c r="B7" i="20"/>
  <c r="B8" i="20" s="1"/>
  <c r="D6" i="20"/>
  <c r="C6" i="20"/>
  <c r="B6" i="20"/>
  <c r="A7" i="20" s="1"/>
  <c r="T5" i="20"/>
  <c r="O5" i="20"/>
  <c r="D5" i="20"/>
  <c r="C5" i="20"/>
  <c r="B5" i="20"/>
  <c r="A5" i="20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D16" i="19"/>
  <c r="D15" i="19"/>
  <c r="C15" i="19"/>
  <c r="C16" i="19" s="1"/>
  <c r="D14" i="19"/>
  <c r="D13" i="19"/>
  <c r="C13" i="19"/>
  <c r="C14" i="19" s="1"/>
  <c r="D12" i="19"/>
  <c r="C12" i="19"/>
  <c r="D11" i="19"/>
  <c r="D10" i="19"/>
  <c r="D9" i="19"/>
  <c r="C9" i="19"/>
  <c r="C10" i="19" s="1"/>
  <c r="C11" i="19" s="1"/>
  <c r="D8" i="19"/>
  <c r="C8" i="19"/>
  <c r="D7" i="19"/>
  <c r="B7" i="19"/>
  <c r="D6" i="19"/>
  <c r="B6" i="19"/>
  <c r="A7" i="19" s="1"/>
  <c r="A6" i="19"/>
  <c r="T5" i="19"/>
  <c r="O5" i="19"/>
  <c r="V5" i="19" s="1"/>
  <c r="D5" i="19"/>
  <c r="C5" i="19"/>
  <c r="C6" i="19" s="1"/>
  <c r="C7" i="19" s="1"/>
  <c r="B5" i="19"/>
  <c r="A5" i="19" s="1"/>
  <c r="T4" i="19"/>
  <c r="O4" i="19"/>
  <c r="J4" i="19"/>
  <c r="J5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 s="1"/>
  <c r="D11" i="18"/>
  <c r="C11" i="18"/>
  <c r="D10" i="18"/>
  <c r="C10" i="18"/>
  <c r="D9" i="18"/>
  <c r="C9" i="18"/>
  <c r="D8" i="18"/>
  <c r="C8" i="18"/>
  <c r="D7" i="18"/>
  <c r="C7" i="18"/>
  <c r="B7" i="18"/>
  <c r="D6" i="18"/>
  <c r="C6" i="18"/>
  <c r="B6" i="18"/>
  <c r="O5" i="18"/>
  <c r="J5" i="18"/>
  <c r="D5" i="18"/>
  <c r="C5" i="18"/>
  <c r="B5" i="18"/>
  <c r="T4" i="18"/>
  <c r="T5" i="18" s="1"/>
  <c r="O4" i="18"/>
  <c r="V4" i="18" s="1"/>
  <c r="J4" i="18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O11" i="17"/>
  <c r="J11" i="17"/>
  <c r="U11" i="17" s="1"/>
  <c r="D11" i="17"/>
  <c r="C11" i="17"/>
  <c r="B11" i="17"/>
  <c r="A11" i="17" s="1"/>
  <c r="T10" i="17"/>
  <c r="O10" i="17"/>
  <c r="J10" i="17"/>
  <c r="U10" i="17" s="1"/>
  <c r="D10" i="17"/>
  <c r="C10" i="17"/>
  <c r="B10" i="17"/>
  <c r="A10" i="17"/>
  <c r="T9" i="17"/>
  <c r="O9" i="17"/>
  <c r="J9" i="17"/>
  <c r="U9" i="17" s="1"/>
  <c r="D9" i="17"/>
  <c r="C9" i="17"/>
  <c r="B9" i="17"/>
  <c r="A9" i="17"/>
  <c r="D8" i="17"/>
  <c r="D7" i="17"/>
  <c r="C7" i="17"/>
  <c r="C8" i="17" s="1"/>
  <c r="D6" i="17"/>
  <c r="C6" i="17"/>
  <c r="T5" i="17"/>
  <c r="T6" i="17" s="1"/>
  <c r="O5" i="17"/>
  <c r="D5" i="17"/>
  <c r="C5" i="17"/>
  <c r="B5" i="17"/>
  <c r="B6" i="17" s="1"/>
  <c r="T4" i="17"/>
  <c r="O4" i="17"/>
  <c r="J4" i="17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D16" i="16"/>
  <c r="D15" i="16"/>
  <c r="C15" i="16"/>
  <c r="C16" i="16" s="1"/>
  <c r="D14" i="16"/>
  <c r="D13" i="16"/>
  <c r="C13" i="16"/>
  <c r="C14" i="16" s="1"/>
  <c r="D12" i="16"/>
  <c r="C12" i="16"/>
  <c r="D11" i="16"/>
  <c r="D10" i="16"/>
  <c r="D9" i="16"/>
  <c r="C9" i="16"/>
  <c r="C10" i="16" s="1"/>
  <c r="C11" i="16" s="1"/>
  <c r="D8" i="16"/>
  <c r="C8" i="16"/>
  <c r="D7" i="16"/>
  <c r="B7" i="16"/>
  <c r="D6" i="16"/>
  <c r="B6" i="16"/>
  <c r="A7" i="16" s="1"/>
  <c r="T5" i="16"/>
  <c r="O5" i="16"/>
  <c r="D5" i="16"/>
  <c r="C5" i="16"/>
  <c r="C6" i="16" s="1"/>
  <c r="C7" i="16" s="1"/>
  <c r="B5" i="16"/>
  <c r="A5" i="16" s="1"/>
  <c r="T4" i="16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6" i="20" l="1"/>
  <c r="W4" i="20"/>
  <c r="B9" i="20"/>
  <c r="J5" i="20"/>
  <c r="V4" i="20"/>
  <c r="A8" i="20"/>
  <c r="O6" i="20"/>
  <c r="T6" i="20"/>
  <c r="W5" i="19"/>
  <c r="V4" i="19"/>
  <c r="W4" i="19"/>
  <c r="U4" i="19"/>
  <c r="U5" i="19"/>
  <c r="J6" i="19"/>
  <c r="A8" i="19"/>
  <c r="O6" i="19"/>
  <c r="B8" i="19"/>
  <c r="T6" i="19"/>
  <c r="W5" i="18"/>
  <c r="T6" i="18"/>
  <c r="U5" i="18"/>
  <c r="V5" i="18"/>
  <c r="J6" i="18"/>
  <c r="W4" i="18"/>
  <c r="O6" i="18"/>
  <c r="B8" i="18"/>
  <c r="U4" i="18"/>
  <c r="A5" i="18"/>
  <c r="A6" i="18" s="1"/>
  <c r="A7" i="18" s="1"/>
  <c r="V11" i="17"/>
  <c r="W11" i="17"/>
  <c r="V10" i="17"/>
  <c r="W10" i="17"/>
  <c r="V9" i="17"/>
  <c r="W9" i="17"/>
  <c r="W4" i="17"/>
  <c r="V4" i="17"/>
  <c r="U4" i="17"/>
  <c r="T7" i="17"/>
  <c r="B7" i="17"/>
  <c r="J5" i="17"/>
  <c r="O6" i="17"/>
  <c r="A5" i="17"/>
  <c r="A6" i="17" s="1"/>
  <c r="A6" i="16"/>
  <c r="W4" i="16"/>
  <c r="J5" i="16"/>
  <c r="W5" i="16" s="1"/>
  <c r="O6" i="16"/>
  <c r="B8" i="16"/>
  <c r="T6" i="16"/>
  <c r="A9" i="20" l="1"/>
  <c r="O7" i="20"/>
  <c r="U5" i="20"/>
  <c r="J6" i="20"/>
  <c r="W6" i="20" s="1"/>
  <c r="W5" i="20"/>
  <c r="T7" i="20"/>
  <c r="V5" i="20"/>
  <c r="W6" i="19"/>
  <c r="T7" i="19"/>
  <c r="B9" i="19"/>
  <c r="A9" i="19" s="1"/>
  <c r="V6" i="19"/>
  <c r="O7" i="19"/>
  <c r="U6" i="19"/>
  <c r="J7" i="19"/>
  <c r="W6" i="18"/>
  <c r="T7" i="18"/>
  <c r="U6" i="18"/>
  <c r="J7" i="18"/>
  <c r="B9" i="18"/>
  <c r="A8" i="18"/>
  <c r="V6" i="18"/>
  <c r="O7" i="18"/>
  <c r="A7" i="17"/>
  <c r="O7" i="17"/>
  <c r="B8" i="17"/>
  <c r="A8" i="17" s="1"/>
  <c r="T8" i="17"/>
  <c r="J6" i="17"/>
  <c r="U5" i="17"/>
  <c r="W5" i="17"/>
  <c r="V5" i="17"/>
  <c r="B9" i="16"/>
  <c r="A9" i="16" s="1"/>
  <c r="T7" i="16"/>
  <c r="J6" i="16"/>
  <c r="U5" i="16"/>
  <c r="O7" i="16"/>
  <c r="V6" i="16"/>
  <c r="A8" i="16"/>
  <c r="V5" i="16"/>
  <c r="T8" i="20" l="1"/>
  <c r="U6" i="20"/>
  <c r="J7" i="20"/>
  <c r="O8" i="20"/>
  <c r="V7" i="20"/>
  <c r="V6" i="20"/>
  <c r="U7" i="19"/>
  <c r="J8" i="19"/>
  <c r="B10" i="19"/>
  <c r="A10" i="19" s="1"/>
  <c r="O8" i="19"/>
  <c r="V7" i="19"/>
  <c r="W7" i="19"/>
  <c r="T8" i="19"/>
  <c r="B10" i="18"/>
  <c r="A10" i="18" s="1"/>
  <c r="O8" i="18"/>
  <c r="V7" i="18"/>
  <c r="U7" i="18"/>
  <c r="J8" i="18"/>
  <c r="A9" i="18"/>
  <c r="W7" i="18"/>
  <c r="T8" i="18"/>
  <c r="J7" i="17"/>
  <c r="U6" i="17"/>
  <c r="W6" i="17"/>
  <c r="V6" i="17"/>
  <c r="O8" i="17"/>
  <c r="V7" i="17"/>
  <c r="U6" i="16"/>
  <c r="J7" i="16"/>
  <c r="W7" i="16"/>
  <c r="T8" i="16"/>
  <c r="W6" i="16"/>
  <c r="O8" i="16"/>
  <c r="V7" i="16"/>
  <c r="B10" i="16"/>
  <c r="A10" i="16"/>
  <c r="O9" i="20" l="1"/>
  <c r="T9" i="20"/>
  <c r="U7" i="20"/>
  <c r="J8" i="20"/>
  <c r="W7" i="20"/>
  <c r="T9" i="19"/>
  <c r="W8" i="19"/>
  <c r="V8" i="19"/>
  <c r="O9" i="19"/>
  <c r="B11" i="19"/>
  <c r="A11" i="19" s="1"/>
  <c r="J9" i="19"/>
  <c r="U8" i="19"/>
  <c r="T9" i="18"/>
  <c r="W8" i="18"/>
  <c r="J9" i="18"/>
  <c r="U8" i="18"/>
  <c r="V8" i="18"/>
  <c r="O9" i="18"/>
  <c r="B11" i="18"/>
  <c r="A11" i="18" s="1"/>
  <c r="U7" i="17"/>
  <c r="J8" i="17"/>
  <c r="W7" i="17"/>
  <c r="B11" i="16"/>
  <c r="A11" i="16" s="1"/>
  <c r="O9" i="16"/>
  <c r="T9" i="16"/>
  <c r="W8" i="16"/>
  <c r="U7" i="16"/>
  <c r="J8" i="16"/>
  <c r="U8" i="20" l="1"/>
  <c r="J9" i="20"/>
  <c r="U9" i="20" s="1"/>
  <c r="W8" i="20"/>
  <c r="V8" i="20"/>
  <c r="J10" i="19"/>
  <c r="U9" i="19"/>
  <c r="B12" i="19"/>
  <c r="V9" i="19"/>
  <c r="O10" i="19"/>
  <c r="W9" i="19"/>
  <c r="T10" i="19"/>
  <c r="V9" i="18"/>
  <c r="O10" i="18"/>
  <c r="J10" i="18"/>
  <c r="U9" i="18"/>
  <c r="W9" i="18"/>
  <c r="T10" i="18"/>
  <c r="U8" i="17"/>
  <c r="W8" i="17"/>
  <c r="V8" i="17"/>
  <c r="T10" i="16"/>
  <c r="U8" i="16"/>
  <c r="J9" i="16"/>
  <c r="V9" i="16"/>
  <c r="O10" i="16"/>
  <c r="V8" i="16"/>
  <c r="A12" i="16"/>
  <c r="B12" i="16"/>
  <c r="V9" i="20" l="1"/>
  <c r="W9" i="20"/>
  <c r="V10" i="19"/>
  <c r="O11" i="19"/>
  <c r="W10" i="19"/>
  <c r="T11" i="19"/>
  <c r="B13" i="19"/>
  <c r="A12" i="19"/>
  <c r="U10" i="19"/>
  <c r="J11" i="19"/>
  <c r="V10" i="18"/>
  <c r="O11" i="18"/>
  <c r="U10" i="18"/>
  <c r="J11" i="18"/>
  <c r="W10" i="18"/>
  <c r="T11" i="18"/>
  <c r="U9" i="16"/>
  <c r="J10" i="16"/>
  <c r="O11" i="16"/>
  <c r="V10" i="16"/>
  <c r="W10" i="16"/>
  <c r="T11" i="16"/>
  <c r="B13" i="16"/>
  <c r="A13" i="16" s="1"/>
  <c r="W9" i="16"/>
  <c r="B14" i="19" l="1"/>
  <c r="A14" i="19" s="1"/>
  <c r="W11" i="19"/>
  <c r="T12" i="19"/>
  <c r="A13" i="19"/>
  <c r="O12" i="19"/>
  <c r="V11" i="19"/>
  <c r="U11" i="19"/>
  <c r="J12" i="19"/>
  <c r="W11" i="18"/>
  <c r="V11" i="18"/>
  <c r="U11" i="18"/>
  <c r="T12" i="16"/>
  <c r="O12" i="16"/>
  <c r="U10" i="16"/>
  <c r="J11" i="16"/>
  <c r="B14" i="16"/>
  <c r="V12" i="19" l="1"/>
  <c r="O13" i="19"/>
  <c r="W12" i="19"/>
  <c r="T13" i="19"/>
  <c r="U12" i="19"/>
  <c r="J13" i="19"/>
  <c r="B15" i="19"/>
  <c r="U11" i="16"/>
  <c r="J12" i="16"/>
  <c r="B15" i="16"/>
  <c r="A15" i="16" s="1"/>
  <c r="O13" i="16"/>
  <c r="V12" i="16"/>
  <c r="A14" i="16"/>
  <c r="W11" i="16"/>
  <c r="V11" i="16"/>
  <c r="T13" i="16"/>
  <c r="W12" i="16"/>
  <c r="B16" i="19" l="1"/>
  <c r="J14" i="19"/>
  <c r="U13" i="19"/>
  <c r="A15" i="19"/>
  <c r="A16" i="19" s="1"/>
  <c r="W13" i="19"/>
  <c r="T14" i="19"/>
  <c r="V13" i="19"/>
  <c r="O14" i="19"/>
  <c r="B16" i="16"/>
  <c r="A16" i="16" s="1"/>
  <c r="O14" i="16"/>
  <c r="W13" i="16"/>
  <c r="T14" i="16"/>
  <c r="U12" i="16"/>
  <c r="J13" i="16"/>
  <c r="U14" i="19" l="1"/>
  <c r="J15" i="19"/>
  <c r="W14" i="19"/>
  <c r="T15" i="19"/>
  <c r="V14" i="19"/>
  <c r="O15" i="19"/>
  <c r="T15" i="16"/>
  <c r="U13" i="16"/>
  <c r="J14" i="16"/>
  <c r="V13" i="16"/>
  <c r="O15" i="16"/>
  <c r="V14" i="16"/>
  <c r="W15" i="19" l="1"/>
  <c r="T16" i="19"/>
  <c r="U15" i="19"/>
  <c r="J16" i="19"/>
  <c r="U16" i="19" s="1"/>
  <c r="O16" i="19"/>
  <c r="V16" i="19" s="1"/>
  <c r="V15" i="19"/>
  <c r="U14" i="16"/>
  <c r="J15" i="16"/>
  <c r="O16" i="16"/>
  <c r="V15" i="16"/>
  <c r="W14" i="16"/>
  <c r="W15" i="16"/>
  <c r="T16" i="16"/>
  <c r="W16" i="19" l="1"/>
  <c r="U15" i="16"/>
  <c r="J16" i="16"/>
  <c r="U16" i="16" s="1"/>
  <c r="V16" i="16" l="1"/>
  <c r="W16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16" i="1" l="1"/>
  <c r="W16" i="1"/>
  <c r="U4" i="1"/>
  <c r="W4" i="1"/>
  <c r="V4" i="1"/>
  <c r="J6" i="1"/>
  <c r="T5" i="1"/>
  <c r="U5" i="1" s="1"/>
  <c r="O6" i="1"/>
  <c r="B10" i="1"/>
  <c r="V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U8" i="1" l="1"/>
  <c r="V9" i="1"/>
  <c r="U9" i="1"/>
  <c r="V8" i="1"/>
  <c r="V7" i="1"/>
  <c r="W7" i="1"/>
  <c r="J10" i="1"/>
  <c r="J11" i="1"/>
  <c r="O10" i="1"/>
  <c r="T9" i="1"/>
  <c r="B14" i="1"/>
  <c r="A14" i="1" s="1"/>
  <c r="W9" i="1" l="1"/>
  <c r="O11" i="1"/>
  <c r="J12" i="1"/>
  <c r="T10" i="1"/>
  <c r="V10" i="1" s="1"/>
  <c r="U10" i="1" l="1"/>
  <c r="W10" i="1"/>
  <c r="J13" i="1"/>
  <c r="O12" i="1"/>
  <c r="T11" i="1"/>
  <c r="U11" i="1" s="1"/>
  <c r="V11" i="1" l="1"/>
  <c r="W11" i="1"/>
  <c r="J14" i="1"/>
  <c r="O13" i="1"/>
  <c r="T12" i="1"/>
  <c r="U12" i="1" s="1"/>
  <c r="V12" i="1" l="1"/>
  <c r="W12" i="1"/>
  <c r="O14" i="1"/>
  <c r="J15" i="1"/>
  <c r="T13" i="1"/>
  <c r="U13" i="1" s="1"/>
  <c r="V13" i="1" l="1"/>
  <c r="V14" i="1"/>
  <c r="W13" i="1"/>
  <c r="T14" i="1"/>
  <c r="U14" i="1" s="1"/>
  <c r="O15" i="1"/>
  <c r="W14" i="1" l="1"/>
  <c r="T15" i="1"/>
  <c r="V15" i="1" s="1"/>
  <c r="U15" i="1" l="1"/>
  <c r="W15" i="1"/>
</calcChain>
</file>

<file path=xl/sharedStrings.xml><?xml version="1.0" encoding="utf-8"?>
<sst xmlns="http://schemas.openxmlformats.org/spreadsheetml/2006/main" count="1056" uniqueCount="163">
  <si>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</si>
  <si>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</si>
  <si>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</si>
  <si>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</si>
  <si>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</si>
  <si>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</si>
  <si>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</si>
  <si>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</si>
  <si>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</si>
  <si>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</si>
  <si>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</si>
  <si>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</si>
  <si>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</si>
  <si>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</si>
  <si>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</si>
  <si>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</si>
  <si>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</si>
  <si>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</si>
  <si>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</si>
  <si>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</si>
  <si>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</si>
  <si>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</si>
  <si>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</si>
  <si>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</si>
  <si>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</si>
  <si>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</si>
  <si>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</si>
  <si>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</si>
  <si>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</si>
  <si>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</si>
  <si>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</si>
  <si>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</si>
  <si>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</si>
  <si>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</si>
  <si>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</si>
  <si>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</si>
  <si>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</si>
  <si>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</si>
  <si>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</si>
  <si>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</si>
  <si>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</si>
  <si>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</si>
  <si>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</si>
  <si>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</si>
  <si>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</si>
  <si>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</si>
  <si>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</si>
  <si>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</si>
  <si>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</si>
  <si>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</si>
  <si>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</si>
  <si>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</si>
  <si>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</si>
  <si>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</si>
  <si>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</si>
  <si>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</si>
  <si>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</si>
  <si>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</si>
  <si>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</si>
  <si>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</si>
  <si>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</si>
  <si>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</si>
  <si>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</si>
  <si>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</si>
  <si>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</si>
  <si>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</si>
  <si>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</si>
  <si>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</si>
  <si>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</si>
  <si>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</si>
  <si>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</si>
  <si>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</si>
  <si>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</si>
  <si>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</si>
  <si>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</si>
  <si>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</si>
  <si>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</si>
  <si>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</si>
  <si>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</si>
  <si>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</si>
  <si>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</si>
  <si>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</si>
  <si>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</si>
  <si>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</si>
  <si>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</si>
  <si>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</si>
  <si>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</si>
  <si>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</si>
  <si>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</si>
  <si>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</si>
  <si>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</si>
  <si>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</si>
  <si>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</si>
  <si>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</si>
  <si>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</si>
  <si>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</si>
  <si>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</si>
  <si>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</si>
  <si>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</si>
  <si>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</si>
  <si>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</si>
  <si>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</si>
  <si>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</si>
  <si>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</si>
  <si>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</si>
  <si>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</si>
  <si>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</si>
  <si>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</si>
  <si>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</si>
  <si>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</si>
  <si>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</si>
  <si>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</si>
  <si>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</si>
  <si>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</si>
  <si>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</si>
  <si>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</si>
  <si>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</si>
  <si>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</si>
  <si>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</si>
  <si>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</si>
  <si>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</si>
  <si>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</si>
  <si>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</si>
  <si>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</si>
  <si>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</si>
  <si>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</si>
  <si>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</si>
  <si>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</si>
  <si>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</si>
  <si>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</si>
  <si>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</si>
  <si>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</si>
  <si>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</si>
  <si>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</si>
  <si>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</si>
  <si>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</si>
  <si>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</si>
  <si>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</si>
  <si>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</si>
  <si>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</si>
  <si>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</si>
  <si>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</si>
  <si>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</si>
  <si>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</si>
  <si>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</si>
  <si>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</si>
  <si>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</si>
  <si>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</si>
  <si>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</si>
  <si>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</si>
  <si>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</si>
  <si>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</si>
  <si>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02</t>
  </si>
  <si>
    <t>51</t>
  </si>
  <si>
    <t>ただ</t>
  </si>
  <si>
    <t>ただ</t>
    <phoneticPr fontId="1"/>
  </si>
  <si>
    <t>たかの</t>
  </si>
  <si>
    <t>たかの</t>
    <phoneticPr fontId="1"/>
  </si>
  <si>
    <t>N</t>
  </si>
  <si>
    <t>T</t>
  </si>
  <si>
    <t>流局</t>
    <phoneticPr fontId="1"/>
  </si>
  <si>
    <t>ぱぱ</t>
  </si>
  <si>
    <t>ぱぱ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</si>
</sst>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れんたろう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146</v>
      </c>
      <c r="L4" s="9">
        <v>16000</v>
      </c>
      <c r="M4" s="9"/>
      <c r="N4" s="55">
        <v>0</v>
      </c>
      <c r="O4" s="21">
        <f>IF(COUNTA($F4,$K4,$P4)&gt;0,O3+SUM(L4:N4),"")</f>
        <v>51000</v>
      </c>
      <c r="P4" s="8" t="s">
        <v>145</v>
      </c>
      <c r="Q4" s="9">
        <v>-10000</v>
      </c>
      <c r="R4" s="9"/>
      <c r="S4" s="55">
        <v>0</v>
      </c>
      <c r="T4" s="21">
        <f>IF(COUNTA($F4,$K4,$P4)&gt;0,T3+SUM(Q4:S4),"")</f>
        <v>25000</v>
      </c>
      <c r="U4" s="60">
        <f>IF($J4="","",ROUND(($J4-$J$3)/1000,1)+(_xlfn.RANK.AVG($J4,($J4,$O4,$T4),1)-2)*20)</f>
        <v>-6</v>
      </c>
      <c r="V4" s="61">
        <f>IF($O4="","",ROUND(($O4-$O$3)/1000,1)+(_xlfn.RANK.AVG($O4,($J4,$O4,$T4),1)-2)*20)</f>
        <v>36</v>
      </c>
      <c r="W4" s="62">
        <f>IF($T4="","",ROUND(($T4-$T$3)/1000,1)+(_xlfn.RANK.AVG($T4,($J4,$O4,$T4),1)-2)*20)</f>
        <v>-30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8</v>
      </c>
      <c r="AY4" s="36" t="s">
        <v>147</v>
      </c>
      <c r="AZ4" s="47" t="s">
        <v>148</v>
      </c>
      <c r="BA4" s="48" t="s">
        <v>83</v>
      </c>
      <c r="BB4" s="48" t="s">
        <v>85</v>
      </c>
      <c r="BC4" s="48" t="s">
        <v>84</v>
      </c>
      <c r="BD4" s="48" t="s">
        <v>80</v>
      </c>
      <c r="BE4" s="48" t="s">
        <v>80</v>
      </c>
      <c r="BF4" s="48" t="s">
        <v>81</v>
      </c>
      <c r="BG4" s="48" t="s">
        <v>149</v>
      </c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146</v>
      </c>
      <c r="G5" s="9">
        <v>18000</v>
      </c>
      <c r="H5" s="9"/>
      <c r="I5" s="55">
        <v>0</v>
      </c>
      <c r="J5" s="21">
        <f t="shared" ref="J5:J30" si="2">IF(COUNTA($F5,$K5,$P5)&gt;0,J4+SUM(G5:I5),"")</f>
        <v>47000</v>
      </c>
      <c r="K5" s="8" t="s">
        <v>145</v>
      </c>
      <c r="L5" s="9">
        <v>-9000</v>
      </c>
      <c r="M5" s="9"/>
      <c r="N5" s="55">
        <v>0</v>
      </c>
      <c r="O5" s="21">
        <f t="shared" ref="O5:O30" si="3">IF(COUNTA($F5,$K5,$P5)&gt;0,O4+SUM(L5:N5),"")</f>
        <v>42000</v>
      </c>
      <c r="P5" s="8" t="s">
        <v>145</v>
      </c>
      <c r="Q5" s="9">
        <v>-9000</v>
      </c>
      <c r="R5" s="9"/>
      <c r="S5" s="55">
        <v>0</v>
      </c>
      <c r="T5" s="21">
        <f t="shared" ref="T5:T30" si="4">IF(COUNTA($F5,$K5,$P5)&gt;0,T4+SUM(Q5:S5),"")</f>
        <v>16000</v>
      </c>
      <c r="U5" s="60">
        <f>IF($J5="","",ROUND(($J5-$J$3)/1000,1)+(_xlfn.RANK.AVG($J5,($J5,$O5,$T5),1)-2)*20)</f>
        <v>32</v>
      </c>
      <c r="V5" s="61">
        <f>IF($O5="","",ROUND(($O5-$O$3)/1000,1)+(_xlfn.RANK.AVG($O5,($J5,$O5,$T5),1)-2)*20)</f>
        <v>7</v>
      </c>
      <c r="W5" s="62">
        <f>IF($T5="","",ROUND(($T5-$T$3)/1000,1)+(_xlfn.RANK.AVG($T5,($J5,$O5,$T5),1)-2)*20)</f>
        <v>-39</v>
      </c>
      <c r="Y5" s="8"/>
      <c r="Z5" s="41"/>
      <c r="AA5" s="32">
        <v>1</v>
      </c>
      <c r="AB5" s="32"/>
      <c r="AC5" s="32">
        <v>6</v>
      </c>
      <c r="AD5" s="36" t="s">
        <v>147</v>
      </c>
      <c r="AE5" s="47" t="s">
        <v>148</v>
      </c>
      <c r="AF5" s="48" t="s">
        <v>83</v>
      </c>
      <c r="AG5" s="48" t="s">
        <v>105</v>
      </c>
      <c r="AH5" s="48" t="s">
        <v>87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150</v>
      </c>
      <c r="G6" s="9">
        <v>2000</v>
      </c>
      <c r="H6" s="9"/>
      <c r="I6" s="55">
        <v>1000</v>
      </c>
      <c r="J6" s="21">
        <f t="shared" si="2"/>
        <v>50000</v>
      </c>
      <c r="K6" s="8" t="s">
        <v>151</v>
      </c>
      <c r="L6" s="9">
        <v>-2000</v>
      </c>
      <c r="M6" s="9"/>
      <c r="N6" s="55">
        <v>-1000</v>
      </c>
      <c r="O6" s="21">
        <f t="shared" si="3"/>
        <v>39000</v>
      </c>
      <c r="P6" s="8"/>
      <c r="Q6" s="9"/>
      <c r="R6" s="9"/>
      <c r="S6" s="55"/>
      <c r="T6" s="21">
        <f t="shared" si="4"/>
        <v>16000</v>
      </c>
      <c r="U6" s="60">
        <f>IF($J6="","",ROUND(($J6-$J$3)/1000,1)+(_xlfn.RANK.AVG($J6,($J6,$O6,$T6),1)-2)*20)</f>
        <v>35</v>
      </c>
      <c r="V6" s="61">
        <f>IF($O6="","",ROUND(($O6-$O$3)/1000,1)+(_xlfn.RANK.AVG($O6,($J6,$O6,$T6),1)-2)*20)</f>
        <v>4</v>
      </c>
      <c r="W6" s="62">
        <f>IF($T6="","",ROUND(($T6-$T$3)/1000,1)+(_xlfn.RANK.AVG($T6,($J6,$O6,$T6),1)-2)*20)</f>
        <v>-39</v>
      </c>
      <c r="Y6" s="8"/>
      <c r="Z6" s="41"/>
      <c r="AA6" s="32"/>
      <c r="AB6" s="32"/>
      <c r="AC6" s="32">
        <v>1</v>
      </c>
      <c r="AD6" s="36">
        <v>40</v>
      </c>
      <c r="AE6" s="47" t="s">
        <v>85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50000</v>
      </c>
      <c r="K7" s="8" t="s">
        <v>151</v>
      </c>
      <c r="L7" s="9">
        <v>-1300</v>
      </c>
      <c r="M7" s="9"/>
      <c r="N7" s="55">
        <v>-2000</v>
      </c>
      <c r="O7" s="21">
        <f t="shared" si="3"/>
        <v>35700</v>
      </c>
      <c r="P7" s="8" t="s">
        <v>150</v>
      </c>
      <c r="Q7" s="9">
        <v>1300</v>
      </c>
      <c r="R7" s="9"/>
      <c r="S7" s="55">
        <v>2000</v>
      </c>
      <c r="T7" s="21">
        <f t="shared" si="4"/>
        <v>19300</v>
      </c>
      <c r="U7" s="60">
        <f>IF($J7="","",ROUND(($J7-$J$3)/1000,1)+(_xlfn.RANK.AVG($J7,($J7,$O7,$T7),1)-2)*20)</f>
        <v>35</v>
      </c>
      <c r="V7" s="61">
        <f>IF($O7="","",ROUND(($O7-$O$3)/1000,1)+(_xlfn.RANK.AVG($O7,($J7,$O7,$T7),1)-2)*20)</f>
        <v>0.7</v>
      </c>
      <c r="W7" s="62">
        <f>IF($T7="","",ROUND(($T7-$T$3)/1000,1)+(_xlfn.RANK.AVG($T7,($J7,$O7,$T7),1)-2)*20)</f>
        <v>-35.700000000000003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</v>
      </c>
      <c r="BT7" s="36">
        <v>40</v>
      </c>
      <c r="BU7" s="47" t="s">
        <v>148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146</v>
      </c>
      <c r="G8" s="9">
        <v>7700</v>
      </c>
      <c r="H8" s="9">
        <v>1000</v>
      </c>
      <c r="I8" s="55">
        <v>0</v>
      </c>
      <c r="J8" s="21">
        <f t="shared" si="2"/>
        <v>58700</v>
      </c>
      <c r="K8" s="8" t="s">
        <v>145</v>
      </c>
      <c r="L8" s="9">
        <v>-4800</v>
      </c>
      <c r="M8" s="9">
        <v>-1000</v>
      </c>
      <c r="N8" s="55">
        <v>0</v>
      </c>
      <c r="O8" s="21">
        <f t="shared" si="3"/>
        <v>29900</v>
      </c>
      <c r="P8" s="8" t="s">
        <v>145</v>
      </c>
      <c r="Q8" s="9">
        <v>-2900</v>
      </c>
      <c r="R8" s="9"/>
      <c r="S8" s="55">
        <v>0</v>
      </c>
      <c r="T8" s="21">
        <f t="shared" si="4"/>
        <v>16400</v>
      </c>
      <c r="U8" s="60">
        <f>IF($J8="","",ROUND(($J8-$J$3)/1000,1)+(_xlfn.RANK.AVG($J8,($J8,$O8,$T8),1)-2)*20)</f>
        <v>43.7</v>
      </c>
      <c r="V8" s="61">
        <f>IF($O8="","",ROUND(($O8-$O$3)/1000,1)+(_xlfn.RANK.AVG($O8,($J8,$O8,$T8),1)-2)*20)</f>
        <v>-5.0999999999999996</v>
      </c>
      <c r="W8" s="62">
        <f>IF($T8="","",ROUND(($T8-$T$3)/1000,1)+(_xlfn.RANK.AVG($T8,($J8,$O8,$T8),1)-2)*20)</f>
        <v>-38.6</v>
      </c>
      <c r="Y8" s="8"/>
      <c r="Z8" s="41"/>
      <c r="AA8" s="32"/>
      <c r="AB8" s="32"/>
      <c r="AC8" s="32">
        <v>4</v>
      </c>
      <c r="AD8" s="36">
        <v>30</v>
      </c>
      <c r="AE8" s="47" t="s">
        <v>83</v>
      </c>
      <c r="AF8" s="48" t="s">
        <v>86</v>
      </c>
      <c r="AG8" s="48" t="s">
        <v>85</v>
      </c>
      <c r="AH8" s="48" t="s">
        <v>149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145</v>
      </c>
      <c r="G9" s="9">
        <v>-800</v>
      </c>
      <c r="H9" s="9">
        <v>-1000</v>
      </c>
      <c r="I9" s="55">
        <v>0</v>
      </c>
      <c r="J9" s="21">
        <f t="shared" si="2"/>
        <v>56900</v>
      </c>
      <c r="K9" s="8" t="s">
        <v>145</v>
      </c>
      <c r="L9" s="9">
        <v>-800</v>
      </c>
      <c r="M9" s="9">
        <v>-1000</v>
      </c>
      <c r="N9" s="55">
        <v>0</v>
      </c>
      <c r="O9" s="21">
        <f t="shared" si="3"/>
        <v>28100</v>
      </c>
      <c r="P9" s="8" t="s">
        <v>146</v>
      </c>
      <c r="Q9" s="9">
        <v>1600</v>
      </c>
      <c r="R9" s="9">
        <v>2000</v>
      </c>
      <c r="S9" s="55">
        <v>0</v>
      </c>
      <c r="T9" s="21">
        <f t="shared" si="4"/>
        <v>20000</v>
      </c>
      <c r="U9" s="60">
        <f>IF($J9="","",ROUND(($J9-$J$3)/1000,1)+(_xlfn.RANK.AVG($J9,($J9,$O9,$T9),1)-2)*20)</f>
        <v>41.9</v>
      </c>
      <c r="V9" s="61">
        <f>IF($O9="","",ROUND(($O9-$O$3)/1000,1)+(_xlfn.RANK.AVG($O9,($J9,$O9,$T9),1)-2)*20)</f>
        <v>-6.9</v>
      </c>
      <c r="W9" s="62">
        <f>IF($T9="","",ROUND(($T9-$T$3)/1000,1)+(_xlfn.RANK.AVG($T9,($J9,$O9,$T9),1)-2)*20)</f>
        <v>-35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1</v>
      </c>
      <c r="BT9" s="36">
        <v>30</v>
      </c>
      <c r="BU9" s="47" t="s">
        <v>87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143</v>
      </c>
      <c r="F10" s="8" t="s">
        <v>151</v>
      </c>
      <c r="G10" s="9">
        <v>-18000</v>
      </c>
      <c r="H10" s="9"/>
      <c r="I10" s="55">
        <v>-1000</v>
      </c>
      <c r="J10" s="21">
        <f t="shared" si="2"/>
        <v>37900</v>
      </c>
      <c r="K10" s="8"/>
      <c r="L10" s="9"/>
      <c r="M10" s="9"/>
      <c r="N10" s="55"/>
      <c r="O10" s="21">
        <f t="shared" si="3"/>
        <v>28100</v>
      </c>
      <c r="P10" s="8" t="s">
        <v>150</v>
      </c>
      <c r="Q10" s="9">
        <v>18000</v>
      </c>
      <c r="R10" s="9"/>
      <c r="S10" s="55">
        <v>1000</v>
      </c>
      <c r="T10" s="21">
        <f t="shared" si="4"/>
        <v>39000</v>
      </c>
      <c r="U10" s="60">
        <f>IF($J10="","",ROUND(($J10-$J$3)/1000,1)+(_xlfn.RANK.AVG($J10,($J10,$O10,$T10),1)-2)*20)</f>
        <v>2.9</v>
      </c>
      <c r="V10" s="61">
        <f>IF($O10="","",ROUND(($O10-$O$3)/1000,1)+(_xlfn.RANK.AVG($O10,($J10,$O10,$T10),1)-2)*20)</f>
        <v>-26.9</v>
      </c>
      <c r="W10" s="62">
        <f>IF($T10="","",ROUND(($T10-$T$3)/1000,1)+(_xlfn.RANK.AVG($T10,($J10,$O10,$T10),1)-2)*20)</f>
        <v>24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147</v>
      </c>
      <c r="BU10" s="47" t="s">
        <v>148</v>
      </c>
      <c r="BV10" s="48" t="s">
        <v>152</v>
      </c>
      <c r="BW10" s="48" t="s">
        <v>84</v>
      </c>
      <c r="BX10" s="48" t="s">
        <v>149</v>
      </c>
      <c r="BY10" s="48" t="s">
        <v>149</v>
      </c>
      <c r="BZ10" s="48" t="s">
        <v>80</v>
      </c>
      <c r="CA10" s="48" t="s">
        <v>81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143</v>
      </c>
      <c r="F11" s="8"/>
      <c r="G11" s="9"/>
      <c r="H11" s="9"/>
      <c r="I11" s="55"/>
      <c r="J11" s="21">
        <f t="shared" si="2"/>
        <v>37900</v>
      </c>
      <c r="K11" s="8" t="s">
        <v>150</v>
      </c>
      <c r="L11" s="9">
        <v>12000</v>
      </c>
      <c r="M11" s="9"/>
      <c r="N11" s="55">
        <v>2000</v>
      </c>
      <c r="O11" s="21">
        <f t="shared" si="3"/>
        <v>42100</v>
      </c>
      <c r="P11" s="8" t="s">
        <v>151</v>
      </c>
      <c r="Q11" s="9">
        <v>-12000</v>
      </c>
      <c r="R11" s="9"/>
      <c r="S11" s="55">
        <v>-2000</v>
      </c>
      <c r="T11" s="21">
        <f t="shared" si="4"/>
        <v>25000</v>
      </c>
      <c r="U11" s="60">
        <f>IF($J11="","",ROUND(($J11-$J$3)/1000,1)+(_xlfn.RANK.AVG($J11,($J11,$O11,$T11),1)-2)*20)</f>
        <v>2.9</v>
      </c>
      <c r="V11" s="61">
        <f>IF($O11="","",ROUND(($O11-$O$3)/1000,1)+(_xlfn.RANK.AVG($O11,($J11,$O11,$T11),1)-2)*20)</f>
        <v>27.1</v>
      </c>
      <c r="W11" s="62">
        <f>IF($T11="","",ROUND(($T11-$T$3)/1000,1)+(_xlfn.RANK.AVG($T11,($J11,$O11,$T11),1)-2)*20)</f>
        <v>-30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7</v>
      </c>
      <c r="AY11" s="36" t="s">
        <v>147</v>
      </c>
      <c r="AZ11" s="47" t="s">
        <v>148</v>
      </c>
      <c r="BA11" s="48" t="s">
        <v>152</v>
      </c>
      <c r="BB11" s="48" t="s">
        <v>84</v>
      </c>
      <c r="BC11" s="48" t="s">
        <v>93</v>
      </c>
      <c r="BD11" s="48" t="s">
        <v>80</v>
      </c>
      <c r="BE11" s="48" t="s">
        <v>81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139</v>
      </c>
      <c r="F12" s="8" t="s">
        <v>150</v>
      </c>
      <c r="G12" s="9">
        <v>12000</v>
      </c>
      <c r="H12" s="9"/>
      <c r="I12" s="55">
        <v>0</v>
      </c>
      <c r="J12" s="21">
        <f t="shared" si="2"/>
        <v>49900</v>
      </c>
      <c r="K12" s="8"/>
      <c r="L12" s="9"/>
      <c r="M12" s="9"/>
      <c r="N12" s="55"/>
      <c r="O12" s="21">
        <f t="shared" si="3"/>
        <v>42100</v>
      </c>
      <c r="P12" s="8" t="s">
        <v>151</v>
      </c>
      <c r="Q12" s="9">
        <v>-12000</v>
      </c>
      <c r="R12" s="9"/>
      <c r="S12" s="55">
        <v>0</v>
      </c>
      <c r="T12" s="21">
        <f t="shared" si="4"/>
        <v>13000</v>
      </c>
      <c r="U12" s="60">
        <f>IF($J12="","",ROUND(($J12-$J$3)/1000,1)+(_xlfn.RANK.AVG($J12,($J12,$O12,$T12),1)-2)*20)</f>
        <v>34.9</v>
      </c>
      <c r="V12" s="61">
        <f>IF($O12="","",ROUND(($O12-$O$3)/1000,1)+(_xlfn.RANK.AVG($O12,($J12,$O12,$T12),1)-2)*20)</f>
        <v>7.1</v>
      </c>
      <c r="W12" s="62">
        <f>IF($T12="","",ROUND(($T12-$T$3)/1000,1)+(_xlfn.RANK.AVG($T12,($J12,$O12,$T12),1)-2)*20)</f>
        <v>-42</v>
      </c>
      <c r="Y12" s="8"/>
      <c r="Z12" s="41"/>
      <c r="AA12" s="32">
        <v>1</v>
      </c>
      <c r="AB12" s="32"/>
      <c r="AC12" s="32">
        <v>5</v>
      </c>
      <c r="AD12" s="36" t="s">
        <v>147</v>
      </c>
      <c r="AE12" s="47" t="s">
        <v>148</v>
      </c>
      <c r="AF12" s="48" t="s">
        <v>152</v>
      </c>
      <c r="AG12" s="48" t="s">
        <v>85</v>
      </c>
      <c r="AH12" s="48" t="s">
        <v>149</v>
      </c>
      <c r="AI12" s="48" t="s">
        <v>87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139</v>
      </c>
      <c r="F13" s="8" t="s">
        <v>150</v>
      </c>
      <c r="G13" s="9">
        <v>7700</v>
      </c>
      <c r="H13" s="9"/>
      <c r="I13" s="55">
        <v>1000</v>
      </c>
      <c r="J13" s="21">
        <f t="shared" si="2"/>
        <v>58600</v>
      </c>
      <c r="K13" s="8"/>
      <c r="L13" s="9"/>
      <c r="M13" s="9"/>
      <c r="N13" s="55"/>
      <c r="O13" s="21">
        <f t="shared" si="3"/>
        <v>42100</v>
      </c>
      <c r="P13" s="8" t="s">
        <v>151</v>
      </c>
      <c r="Q13" s="9">
        <v>-7700</v>
      </c>
      <c r="R13" s="9"/>
      <c r="S13" s="55">
        <v>-1000</v>
      </c>
      <c r="T13" s="21">
        <f t="shared" si="4"/>
        <v>4300</v>
      </c>
      <c r="U13" s="60">
        <f>IF($J13="","",ROUND(($J13-$J$3)/1000,1)+(_xlfn.RANK.AVG($J13,($J13,$O13,$T13),1)-2)*20)</f>
        <v>43.6</v>
      </c>
      <c r="V13" s="61">
        <f>IF($O13="","",ROUND(($O13-$O$3)/1000,1)+(_xlfn.RANK.AVG($O13,($J13,$O13,$T13),1)-2)*20)</f>
        <v>7.1</v>
      </c>
      <c r="W13" s="62">
        <f>IF($T13="","",ROUND(($T13-$T$3)/1000,1)+(_xlfn.RANK.AVG($T13,($J13,$O13,$T13),1)-2)*20)</f>
        <v>-50.7</v>
      </c>
      <c r="Y13" s="8"/>
      <c r="Z13" s="41"/>
      <c r="AA13" s="32">
        <v>1</v>
      </c>
      <c r="AB13" s="32"/>
      <c r="AC13" s="32">
        <v>3</v>
      </c>
      <c r="AD13" s="36">
        <v>40</v>
      </c>
      <c r="AE13" s="47" t="s">
        <v>148</v>
      </c>
      <c r="AF13" s="48" t="s">
        <v>81</v>
      </c>
      <c r="AG13" s="48" t="s">
        <v>87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139</v>
      </c>
      <c r="F14" s="8" t="s">
        <v>145</v>
      </c>
      <c r="G14" s="9">
        <v>-7500</v>
      </c>
      <c r="H14" s="9"/>
      <c r="I14" s="55">
        <v>-1000</v>
      </c>
      <c r="J14" s="21">
        <f t="shared" si="2"/>
        <v>50100</v>
      </c>
      <c r="K14" s="8" t="s">
        <v>145</v>
      </c>
      <c r="L14" s="9">
        <v>-4500</v>
      </c>
      <c r="M14" s="9"/>
      <c r="N14" s="55">
        <v>-1000</v>
      </c>
      <c r="O14" s="21">
        <f t="shared" si="3"/>
        <v>36600</v>
      </c>
      <c r="P14" s="8" t="s">
        <v>146</v>
      </c>
      <c r="Q14" s="9">
        <v>12000</v>
      </c>
      <c r="R14" s="9"/>
      <c r="S14" s="55">
        <v>2000</v>
      </c>
      <c r="T14" s="21">
        <f t="shared" si="4"/>
        <v>18300</v>
      </c>
      <c r="U14" s="60">
        <f>IF($J14="","",ROUND(($J14-$J$3)/1000,1)+(_xlfn.RANK.AVG($J14,($J14,$O14,$T14),1)-2)*20)</f>
        <v>35.1</v>
      </c>
      <c r="V14" s="61">
        <f>IF($O14="","",ROUND(($O14-$O$3)/1000,1)+(_xlfn.RANK.AVG($O14,($J14,$O14,$T14),1)-2)*20)</f>
        <v>1.6</v>
      </c>
      <c r="W14" s="62">
        <f>IF($T14="","",ROUND(($T14-$T$3)/1000,1)+(_xlfn.RANK.AVG($T14,($J14,$O14,$T14),1)-2)*20)</f>
        <v>-36.700000000000003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>
        <v>7</v>
      </c>
      <c r="BT14" s="36" t="s">
        <v>147</v>
      </c>
      <c r="BU14" s="47" t="s">
        <v>83</v>
      </c>
      <c r="BV14" s="48" t="s">
        <v>102</v>
      </c>
      <c r="BW14" s="48" t="s">
        <v>80</v>
      </c>
      <c r="BX14" s="48" t="s">
        <v>80</v>
      </c>
      <c r="BY14" s="48" t="s">
        <v>80</v>
      </c>
      <c r="BZ14" s="48" t="s">
        <v>80</v>
      </c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141</v>
      </c>
      <c r="F15" s="8" t="s">
        <v>150</v>
      </c>
      <c r="G15" s="9">
        <v>2600</v>
      </c>
      <c r="H15" s="9">
        <v>1000</v>
      </c>
      <c r="I15" s="55">
        <v>0</v>
      </c>
      <c r="J15" s="21">
        <f t="shared" si="2"/>
        <v>53700</v>
      </c>
      <c r="K15" s="8" t="s">
        <v>150</v>
      </c>
      <c r="L15" s="9">
        <v>12000</v>
      </c>
      <c r="M15" s="9"/>
      <c r="N15" s="55"/>
      <c r="O15" s="21">
        <f t="shared" si="3"/>
        <v>48600</v>
      </c>
      <c r="P15" s="8" t="s">
        <v>151</v>
      </c>
      <c r="Q15" s="9">
        <v>-14600</v>
      </c>
      <c r="R15" s="9">
        <v>-1000</v>
      </c>
      <c r="S15" s="55">
        <v>0</v>
      </c>
      <c r="T15" s="21">
        <f t="shared" si="4"/>
        <v>2700</v>
      </c>
      <c r="U15" s="60">
        <f>IF($J15="","",ROUND(($J15-$J$3)/1000,1)+(_xlfn.RANK.AVG($J15,($J15,$O15,$T15),1)-2)*20)</f>
        <v>38.700000000000003</v>
      </c>
      <c r="V15" s="61">
        <f>IF($O15="","",ROUND(($O15-$O$3)/1000,1)+(_xlfn.RANK.AVG($O15,($J15,$O15,$T15),1)-2)*20)</f>
        <v>13.6</v>
      </c>
      <c r="W15" s="62">
        <f>IF($T15="","",ROUND(($T15-$T$3)/1000,1)+(_xlfn.RANK.AVG($T15,($J15,$O15,$T15),1)-2)*20)</f>
        <v>-52.3</v>
      </c>
      <c r="Y15" s="8"/>
      <c r="Z15" s="41"/>
      <c r="AA15" s="32">
        <v>1</v>
      </c>
      <c r="AB15" s="32"/>
      <c r="AC15" s="32">
        <v>2</v>
      </c>
      <c r="AD15" s="36">
        <v>40</v>
      </c>
      <c r="AE15" s="47" t="s">
        <v>153</v>
      </c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>
        <v>1</v>
      </c>
      <c r="AW15" s="32"/>
      <c r="AX15" s="32">
        <v>5</v>
      </c>
      <c r="AY15" s="36" t="s">
        <v>147</v>
      </c>
      <c r="AZ15" s="47" t="s">
        <v>153</v>
      </c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>
        <v>1</v>
      </c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142</v>
      </c>
      <c r="F16" s="8" t="s">
        <v>150</v>
      </c>
      <c r="G16" s="9">
        <v>7700</v>
      </c>
      <c r="H16" s="9"/>
      <c r="I16" s="55">
        <v>1000</v>
      </c>
      <c r="J16" s="21">
        <f t="shared" si="2"/>
        <v>62400</v>
      </c>
      <c r="K16" s="8" t="s">
        <v>151</v>
      </c>
      <c r="L16" s="9">
        <v>-7700</v>
      </c>
      <c r="M16" s="9"/>
      <c r="N16" s="55">
        <v>-1000</v>
      </c>
      <c r="O16" s="21">
        <f t="shared" si="3"/>
        <v>39900</v>
      </c>
      <c r="P16" s="8"/>
      <c r="Q16" s="9"/>
      <c r="R16" s="9"/>
      <c r="S16" s="55"/>
      <c r="T16" s="21">
        <f t="shared" si="4"/>
        <v>2700</v>
      </c>
      <c r="U16" s="60">
        <f>IF($J16="","",ROUND(($J16-$J$3)/1000,1)+(_xlfn.RANK.AVG($J16,($J16,$O16,$T16),1)-2)*20)</f>
        <v>47.4</v>
      </c>
      <c r="V16" s="61">
        <f>IF($O16="","",ROUND(($O16-$O$3)/1000,1)+(_xlfn.RANK.AVG($O16,($J16,$O16,$T16),1)-2)*20)</f>
        <v>4.9000000000000004</v>
      </c>
      <c r="W16" s="62">
        <f>IF($T16="","",ROUND(($T16-$T$3)/1000,1)+(_xlfn.RANK.AVG($T16,($J16,$O16,$T16),1)-2)*20)</f>
        <v>-52.3</v>
      </c>
      <c r="Y16" s="8"/>
      <c r="Z16" s="41"/>
      <c r="AA16" s="32">
        <v>1</v>
      </c>
      <c r="AB16" s="32"/>
      <c r="AC16" s="32">
        <v>4</v>
      </c>
      <c r="AD16" s="36">
        <v>30</v>
      </c>
      <c r="AE16" s="47" t="s">
        <v>148</v>
      </c>
      <c r="AF16" s="48" t="s">
        <v>84</v>
      </c>
      <c r="AG16" s="48" t="s">
        <v>86</v>
      </c>
      <c r="AH16" s="48" t="s">
        <v>149</v>
      </c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>
        <v>1</v>
      </c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9C75-5D68-43DA-AE73-C9F6B570224F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157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154</v>
      </c>
      <c r="F4" s="8" t="s">
        <v>151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/>
      <c r="N4" s="55"/>
      <c r="O4" s="21">
        <f>IF(COUNTA($F4,$K4,$P4)&gt;0,O3+SUM(L4:N4),"")</f>
        <v>35000</v>
      </c>
      <c r="P4" s="8" t="s">
        <v>150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>IF($J4="","",ROUND(($J4-$J$3)/1000,1)+(_xlfn.RANK.AVG($J4,($J4,$O4,$T4),1)-2)*20)</f>
        <v>-28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147</v>
      </c>
      <c r="BU4" s="47" t="s">
        <v>148</v>
      </c>
      <c r="BV4" s="48" t="s">
        <v>152</v>
      </c>
      <c r="BW4" s="48" t="s">
        <v>85</v>
      </c>
      <c r="BX4" s="48" t="s">
        <v>81</v>
      </c>
      <c r="BY4" s="48" t="s">
        <v>149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156</v>
      </c>
      <c r="F5" s="8" t="s">
        <v>150</v>
      </c>
      <c r="G5" s="9">
        <v>16000</v>
      </c>
      <c r="H5" s="9"/>
      <c r="I5" s="55">
        <v>0</v>
      </c>
      <c r="J5" s="21">
        <f t="shared" ref="J5:J30" si="2">IF(COUNTA($F5,$K5,$P5)&gt;0,J4+SUM(G5:I5),"")</f>
        <v>43000</v>
      </c>
      <c r="K5" s="8" t="s">
        <v>151</v>
      </c>
      <c r="L5" s="9">
        <v>-16000</v>
      </c>
      <c r="M5" s="9"/>
      <c r="N5" s="55">
        <v>0</v>
      </c>
      <c r="O5" s="21">
        <f t="shared" ref="O5:O30" si="3">IF(COUNTA($F5,$K5,$P5)&gt;0,O4+SUM(L5:N5),"")</f>
        <v>19000</v>
      </c>
      <c r="P5" s="8"/>
      <c r="Q5" s="9"/>
      <c r="R5" s="9"/>
      <c r="S5" s="55"/>
      <c r="T5" s="21">
        <f t="shared" ref="T5:T30" si="4">IF(COUNTA($F5,$K5,$P5)&gt;0,T4+SUM(Q5:S5),"")</f>
        <v>43000</v>
      </c>
      <c r="U5" s="60">
        <f>IF($J5="","",ROUND(($J5-$J$3)/1000,1)+(_xlfn.RANK.AVG($J5,($J5,$O5,$T5),1)-2)*20)</f>
        <v>18</v>
      </c>
      <c r="V5" s="61">
        <f>IF($O5="","",ROUND(($O5-$O$3)/1000,1)+(_xlfn.RANK.AVG($O5,($J5,$O5,$T5),1)-2)*20)</f>
        <v>-36</v>
      </c>
      <c r="W5" s="62">
        <f>IF($T5="","",ROUND(($T5-$T$3)/1000,1)+(_xlfn.RANK.AVG($T5,($J5,$O5,$T5),1)-2)*20)</f>
        <v>18</v>
      </c>
      <c r="Y5" s="8"/>
      <c r="Z5" s="41"/>
      <c r="AA5" s="32"/>
      <c r="AB5" s="32"/>
      <c r="AC5" s="32">
        <v>10</v>
      </c>
      <c r="AD5" s="36" t="s">
        <v>147</v>
      </c>
      <c r="AE5" s="47" t="s">
        <v>87</v>
      </c>
      <c r="AF5" s="48" t="s">
        <v>87</v>
      </c>
      <c r="AG5" s="48" t="s">
        <v>87</v>
      </c>
      <c r="AH5" s="48" t="s">
        <v>100</v>
      </c>
      <c r="AI5" s="48" t="s">
        <v>105</v>
      </c>
      <c r="AJ5" s="48" t="s">
        <v>94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146</v>
      </c>
      <c r="G6" s="9">
        <v>18000</v>
      </c>
      <c r="H6" s="9"/>
      <c r="I6" s="55">
        <v>0</v>
      </c>
      <c r="J6" s="21">
        <f t="shared" si="2"/>
        <v>61000</v>
      </c>
      <c r="K6" s="8" t="s">
        <v>145</v>
      </c>
      <c r="L6" s="9">
        <v>-9000</v>
      </c>
      <c r="M6" s="9"/>
      <c r="N6" s="55">
        <v>0</v>
      </c>
      <c r="O6" s="21">
        <f t="shared" si="3"/>
        <v>10000</v>
      </c>
      <c r="P6" s="8" t="s">
        <v>145</v>
      </c>
      <c r="Q6" s="9">
        <v>-9000</v>
      </c>
      <c r="R6" s="9"/>
      <c r="S6" s="55">
        <v>0</v>
      </c>
      <c r="T6" s="21">
        <f t="shared" si="4"/>
        <v>34000</v>
      </c>
      <c r="U6" s="60">
        <f>IF($J6="","",ROUND(($J6-$J$3)/1000,1)+(_xlfn.RANK.AVG($J6,($J6,$O6,$T6),1)-2)*20)</f>
        <v>46</v>
      </c>
      <c r="V6" s="61">
        <f>IF($O6="","",ROUND(($O6-$O$3)/1000,1)+(_xlfn.RANK.AVG($O6,($J6,$O6,$T6),1)-2)*20)</f>
        <v>-45</v>
      </c>
      <c r="W6" s="62">
        <f>IF($T6="","",ROUND(($T6-$T$3)/1000,1)+(_xlfn.RANK.AVG($T6,($J6,$O6,$T6),1)-2)*20)</f>
        <v>-1</v>
      </c>
      <c r="Y6" s="8"/>
      <c r="Z6" s="41"/>
      <c r="AA6" s="32">
        <v>1</v>
      </c>
      <c r="AB6" s="32"/>
      <c r="AC6" s="32">
        <v>6</v>
      </c>
      <c r="AD6" s="36" t="s">
        <v>147</v>
      </c>
      <c r="AE6" s="47" t="s">
        <v>148</v>
      </c>
      <c r="AF6" s="48" t="s">
        <v>83</v>
      </c>
      <c r="AG6" s="48" t="s">
        <v>84</v>
      </c>
      <c r="AH6" s="48" t="s">
        <v>80</v>
      </c>
      <c r="AI6" s="48" t="s">
        <v>80</v>
      </c>
      <c r="AJ6" s="48" t="s">
        <v>149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146</v>
      </c>
      <c r="G7" s="9">
        <v>11600</v>
      </c>
      <c r="H7" s="9">
        <v>1000</v>
      </c>
      <c r="I7" s="55">
        <v>1000</v>
      </c>
      <c r="J7" s="21">
        <f t="shared" si="2"/>
        <v>74600</v>
      </c>
      <c r="K7" s="8" t="s">
        <v>145</v>
      </c>
      <c r="L7" s="9">
        <v>-5800</v>
      </c>
      <c r="M7" s="9">
        <v>-1000</v>
      </c>
      <c r="N7" s="55">
        <v>-500</v>
      </c>
      <c r="O7" s="21">
        <f t="shared" si="3"/>
        <v>2700</v>
      </c>
      <c r="P7" s="8" t="s">
        <v>145</v>
      </c>
      <c r="Q7" s="9">
        <v>-5800</v>
      </c>
      <c r="R7" s="9"/>
      <c r="S7" s="55">
        <v>-500</v>
      </c>
      <c r="T7" s="21">
        <f t="shared" si="4"/>
        <v>27700</v>
      </c>
      <c r="U7" s="60">
        <f>IF($J7="","",ROUND(($J7-$J$3)/1000,1)+(_xlfn.RANK.AVG($J7,($J7,$O7,$T7),1)-2)*20)</f>
        <v>59.6</v>
      </c>
      <c r="V7" s="61">
        <f>IF($O7="","",ROUND(($O7-$O$3)/1000,1)+(_xlfn.RANK.AVG($O7,($J7,$O7,$T7),1)-2)*20)</f>
        <v>-52.3</v>
      </c>
      <c r="W7" s="62">
        <f>IF($T7="","",ROUND(($T7-$T$3)/1000,1)+(_xlfn.RANK.AVG($T7,($J7,$O7,$T7),1)-2)*20)</f>
        <v>-7.3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148</v>
      </c>
      <c r="AF7" s="48" t="s">
        <v>83</v>
      </c>
      <c r="AG7" s="48" t="s">
        <v>149</v>
      </c>
      <c r="AH7" s="48" t="s">
        <v>149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139</v>
      </c>
      <c r="F8" s="8" t="s">
        <v>150</v>
      </c>
      <c r="G8" s="9">
        <v>12000</v>
      </c>
      <c r="H8" s="9"/>
      <c r="I8" s="55">
        <v>2000</v>
      </c>
      <c r="J8" s="21">
        <f t="shared" si="2"/>
        <v>88600</v>
      </c>
      <c r="K8" s="8" t="s">
        <v>151</v>
      </c>
      <c r="L8" s="9">
        <v>-12000</v>
      </c>
      <c r="M8" s="9"/>
      <c r="N8" s="55">
        <v>-2000</v>
      </c>
      <c r="O8" s="21">
        <f t="shared" si="3"/>
        <v>-11300</v>
      </c>
      <c r="P8" s="8"/>
      <c r="Q8" s="9"/>
      <c r="R8" s="9"/>
      <c r="S8" s="55"/>
      <c r="T8" s="21">
        <f t="shared" si="4"/>
        <v>27700</v>
      </c>
      <c r="U8" s="60">
        <f>IF($J8="","",ROUND(($J8-$J$3)/1000,1)+(_xlfn.RANK.AVG($J8,($J8,$O8,$T8),1)-2)*20)</f>
        <v>73.599999999999994</v>
      </c>
      <c r="V8" s="61">
        <f>IF($O8="","",ROUND(($O8-$O$3)/1000,1)+(_xlfn.RANK.AVG($O8,($J8,$O8,$T8),1)-2)*20)</f>
        <v>-66.3</v>
      </c>
      <c r="W8" s="62">
        <f>IF($T8="","",ROUND(($T8-$T$3)/1000,1)+(_xlfn.RANK.AVG($T8,($J8,$O8,$T8),1)-2)*20)</f>
        <v>-7.3</v>
      </c>
      <c r="Y8" s="8"/>
      <c r="Z8" s="41"/>
      <c r="AA8" s="32">
        <v>1</v>
      </c>
      <c r="AB8" s="32"/>
      <c r="AC8" s="32">
        <v>5</v>
      </c>
      <c r="AD8" s="36" t="s">
        <v>147</v>
      </c>
      <c r="AE8" s="47" t="s">
        <v>148</v>
      </c>
      <c r="AF8" s="48" t="s">
        <v>104</v>
      </c>
      <c r="AG8" s="48" t="s">
        <v>80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F5DCA948-BB9E-4727-9B3A-DE13EE5B25AF}">
      <formula1>$U$2:$W$2</formula1>
    </dataValidation>
    <dataValidation type="list" showInputMessage="1" showErrorMessage="1" sqref="K4:K30 P4:P30 F4:F30" xr:uid="{D3025DCE-961A-4780-B4A1-9312EB1EC88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CFE98-96B1-4444-8881-02D184C2A38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157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>
        <v>-1000</v>
      </c>
      <c r="I4" s="55"/>
      <c r="J4" s="21">
        <f>IF(COUNTA($F4,$K4,$P4)&gt;0,J3+SUM(G4:I4),"")</f>
        <v>34000</v>
      </c>
      <c r="K4" s="8" t="s">
        <v>151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 t="s">
        <v>150</v>
      </c>
      <c r="Q4" s="9">
        <v>8000</v>
      </c>
      <c r="R4" s="9">
        <v>1000</v>
      </c>
      <c r="S4" s="55">
        <v>0</v>
      </c>
      <c r="T4" s="21">
        <f>IF(COUNTA($F4,$K4,$P4)&gt;0,T3+SUM(Q4:S4),"")</f>
        <v>44000</v>
      </c>
      <c r="U4" s="60">
        <f>IF($J4="","",ROUND(($J4-$J$3)/1000,1)+(_xlfn.RANK.AVG($J4,($J4,$O4,$T4),1)-2)*20)</f>
        <v>-1</v>
      </c>
      <c r="V4" s="61">
        <f>IF($O4="","",ROUND(($O4-$O$3)/1000,1)+(_xlfn.RANK.AVG($O4,($J4,$O4,$T4),1)-2)*20)</f>
        <v>-28</v>
      </c>
      <c r="W4" s="62">
        <f>IF($T4="","",ROUND(($T4-$T$3)/1000,1)+(_xlfn.RANK.AVG($T4,($J4,$O4,$T4),1)-2)*20)</f>
        <v>29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4</v>
      </c>
      <c r="BT4" s="36">
        <v>40</v>
      </c>
      <c r="BU4" s="47" t="s">
        <v>87</v>
      </c>
      <c r="BV4" s="48" t="s">
        <v>80</v>
      </c>
      <c r="BW4" s="48" t="s">
        <v>80</v>
      </c>
      <c r="BX4" s="48" t="s">
        <v>80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151</v>
      </c>
      <c r="G5" s="9">
        <v>-2000</v>
      </c>
      <c r="H5" s="9"/>
      <c r="I5" s="55">
        <v>0</v>
      </c>
      <c r="J5" s="21">
        <f t="shared" ref="J5:J30" si="2">IF(COUNTA($F5,$K5,$P5)&gt;0,J4+SUM(G5:I5),"")</f>
        <v>32000</v>
      </c>
      <c r="K5" s="8"/>
      <c r="L5" s="9"/>
      <c r="M5" s="9"/>
      <c r="N5" s="55"/>
      <c r="O5" s="21">
        <f t="shared" ref="O5:O30" si="3">IF(COUNTA($F5,$K5,$P5)&gt;0,O4+SUM(L5:N5),"")</f>
        <v>27000</v>
      </c>
      <c r="P5" s="8" t="s">
        <v>150</v>
      </c>
      <c r="Q5" s="9">
        <v>2000</v>
      </c>
      <c r="R5" s="9"/>
      <c r="S5" s="55">
        <v>0</v>
      </c>
      <c r="T5" s="21">
        <f t="shared" ref="T5:T30" si="4">IF(COUNTA($F5,$K5,$P5)&gt;0,T4+SUM(Q5:S5),"")</f>
        <v>46000</v>
      </c>
      <c r="U5" s="60">
        <f>IF($J5="","",ROUND(($J5-$J$3)/1000,1)+(_xlfn.RANK.AVG($J5,($J5,$O5,$T5),1)-2)*20)</f>
        <v>-3</v>
      </c>
      <c r="V5" s="61">
        <f>IF($O5="","",ROUND(($O5-$O$3)/1000,1)+(_xlfn.RANK.AVG($O5,($J5,$O5,$T5),1)-2)*20)</f>
        <v>-28</v>
      </c>
      <c r="W5" s="62">
        <f>IF($T5="","",ROUND(($T5-$T$3)/1000,1)+(_xlfn.RANK.AVG($T5,($J5,$O5,$T5),1)-2)*20)</f>
        <v>31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80</v>
      </c>
      <c r="BV5" s="48" t="s">
        <v>87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156</v>
      </c>
      <c r="F6" s="8" t="s">
        <v>145</v>
      </c>
      <c r="G6" s="9">
        <v>-3000</v>
      </c>
      <c r="H6" s="9"/>
      <c r="I6" s="55">
        <v>0</v>
      </c>
      <c r="J6" s="21">
        <f t="shared" si="2"/>
        <v>29000</v>
      </c>
      <c r="K6" s="8" t="s">
        <v>146</v>
      </c>
      <c r="L6" s="9">
        <v>8000</v>
      </c>
      <c r="M6" s="9"/>
      <c r="N6" s="55">
        <v>0</v>
      </c>
      <c r="O6" s="21">
        <f t="shared" si="3"/>
        <v>35000</v>
      </c>
      <c r="P6" s="8" t="s">
        <v>145</v>
      </c>
      <c r="Q6" s="9">
        <v>-5000</v>
      </c>
      <c r="R6" s="9"/>
      <c r="S6" s="55">
        <v>0</v>
      </c>
      <c r="T6" s="21">
        <f t="shared" si="4"/>
        <v>41000</v>
      </c>
      <c r="U6" s="60">
        <f>IF($J6="","",ROUND(($J6-$J$3)/1000,1)+(_xlfn.RANK.AVG($J6,($J6,$O6,$T6),1)-2)*20)</f>
        <v>-26</v>
      </c>
      <c r="V6" s="61">
        <f>IF($O6="","",ROUND(($O6-$O$3)/1000,1)+(_xlfn.RANK.AVG($O6,($J6,$O6,$T6),1)-2)*20)</f>
        <v>0</v>
      </c>
      <c r="W6" s="62">
        <f>IF($T6="","",ROUND(($T6-$T$3)/1000,1)+(_xlfn.RANK.AVG($T6,($J6,$O6,$T6),1)-2)*20)</f>
        <v>26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148</v>
      </c>
      <c r="BA6" s="48" t="s">
        <v>83</v>
      </c>
      <c r="BB6" s="48" t="s">
        <v>85</v>
      </c>
      <c r="BC6" s="48" t="s">
        <v>149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145</v>
      </c>
      <c r="G7" s="9">
        <v>-1300</v>
      </c>
      <c r="H7" s="9"/>
      <c r="I7" s="55">
        <v>0</v>
      </c>
      <c r="J7" s="21">
        <f t="shared" si="2"/>
        <v>27700</v>
      </c>
      <c r="K7" s="8" t="s">
        <v>146</v>
      </c>
      <c r="L7" s="9">
        <v>2100</v>
      </c>
      <c r="M7" s="9"/>
      <c r="N7" s="55">
        <v>0</v>
      </c>
      <c r="O7" s="21">
        <f t="shared" si="3"/>
        <v>37100</v>
      </c>
      <c r="P7" s="8" t="s">
        <v>145</v>
      </c>
      <c r="Q7" s="9">
        <v>-800</v>
      </c>
      <c r="R7" s="9"/>
      <c r="S7" s="55">
        <v>0</v>
      </c>
      <c r="T7" s="21">
        <f t="shared" si="4"/>
        <v>40200</v>
      </c>
      <c r="U7" s="60">
        <f>IF($J7="","",ROUND(($J7-$J$3)/1000,1)+(_xlfn.RANK.AVG($J7,($J7,$O7,$T7),1)-2)*20)</f>
        <v>-27.3</v>
      </c>
      <c r="V7" s="61">
        <f>IF($O7="","",ROUND(($O7-$O$3)/1000,1)+(_xlfn.RANK.AVG($O7,($J7,$O7,$T7),1)-2)*20)</f>
        <v>2.1</v>
      </c>
      <c r="W7" s="62">
        <f>IF($T7="","",ROUND(($T7-$T$3)/1000,1)+(_xlfn.RANK.AVG($T7,($J7,$O7,$T7),1)-2)*20)</f>
        <v>25.2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2</v>
      </c>
      <c r="AY7" s="36">
        <v>30</v>
      </c>
      <c r="AZ7" s="47" t="s">
        <v>148</v>
      </c>
      <c r="BA7" s="48" t="s">
        <v>85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154</v>
      </c>
      <c r="F8" s="8" t="s">
        <v>160</v>
      </c>
      <c r="G8" s="9">
        <v>-3000</v>
      </c>
      <c r="H8" s="9"/>
      <c r="I8" s="55"/>
      <c r="J8" s="21">
        <f t="shared" si="2"/>
        <v>24700</v>
      </c>
      <c r="K8" s="8" t="s">
        <v>160</v>
      </c>
      <c r="L8" s="9">
        <v>1500</v>
      </c>
      <c r="M8" s="9"/>
      <c r="N8" s="55"/>
      <c r="O8" s="21">
        <f t="shared" si="3"/>
        <v>38600</v>
      </c>
      <c r="P8" s="8" t="s">
        <v>160</v>
      </c>
      <c r="Q8" s="9">
        <v>1500</v>
      </c>
      <c r="R8" s="9"/>
      <c r="S8" s="55"/>
      <c r="T8" s="21">
        <f t="shared" si="4"/>
        <v>41700</v>
      </c>
      <c r="U8" s="60">
        <f>IF($J8="","",ROUND(($J8-$J$3)/1000,1)+(_xlfn.RANK.AVG($J8,($J8,$O8,$T8),1)-2)*20)</f>
        <v>-30.3</v>
      </c>
      <c r="V8" s="61">
        <f>IF($O8="","",ROUND(($O8-$O$3)/1000,1)+(_xlfn.RANK.AVG($O8,($J8,$O8,$T8),1)-2)*20)</f>
        <v>3.6</v>
      </c>
      <c r="W8" s="62">
        <f>IF($T8="","",ROUND(($T8-$T$3)/1000,1)+(_xlfn.RANK.AVG($T8,($J8,$O8,$T8),1)-2)*20)</f>
        <v>26.7</v>
      </c>
      <c r="Y8" s="8" t="s">
        <v>158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159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159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154</v>
      </c>
      <c r="F9" s="8" t="s">
        <v>145</v>
      </c>
      <c r="G9" s="9">
        <v>-2000</v>
      </c>
      <c r="H9" s="9">
        <v>-1000</v>
      </c>
      <c r="I9" s="55">
        <v>-500</v>
      </c>
      <c r="J9" s="21">
        <f t="shared" si="2"/>
        <v>21200</v>
      </c>
      <c r="K9" s="8" t="s">
        <v>146</v>
      </c>
      <c r="L9" s="9">
        <v>4000</v>
      </c>
      <c r="M9" s="9">
        <v>2000</v>
      </c>
      <c r="N9" s="55">
        <v>1000</v>
      </c>
      <c r="O9" s="21">
        <f t="shared" si="3"/>
        <v>45600</v>
      </c>
      <c r="P9" s="8" t="s">
        <v>145</v>
      </c>
      <c r="Q9" s="9">
        <v>-2000</v>
      </c>
      <c r="R9" s="9">
        <v>-1000</v>
      </c>
      <c r="S9" s="55">
        <v>-500</v>
      </c>
      <c r="T9" s="21">
        <f t="shared" si="4"/>
        <v>38200</v>
      </c>
      <c r="U9" s="60">
        <f>IF($J9="","",ROUND(($J9-$J$3)/1000,1)+(_xlfn.RANK.AVG($J9,($J9,$O9,$T9),1)-2)*20)</f>
        <v>-33.799999999999997</v>
      </c>
      <c r="V9" s="61">
        <f>IF($O9="","",ROUND(($O9-$O$3)/1000,1)+(_xlfn.RANK.AVG($O9,($J9,$O9,$T9),1)-2)*20)</f>
        <v>30.6</v>
      </c>
      <c r="W9" s="62">
        <f>IF($T9="","",ROUND(($T9-$T$3)/1000,1)+(_xlfn.RANK.AVG($T9,($J9,$O9,$T9),1)-2)*20)</f>
        <v>3.2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3</v>
      </c>
      <c r="AY9" s="36">
        <v>20</v>
      </c>
      <c r="AZ9" s="47" t="s">
        <v>83</v>
      </c>
      <c r="BA9" s="48" t="s">
        <v>84</v>
      </c>
      <c r="BB9" s="48" t="s">
        <v>149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154</v>
      </c>
      <c r="F10" s="8" t="s">
        <v>145</v>
      </c>
      <c r="G10" s="9">
        <v>-2000</v>
      </c>
      <c r="H10" s="9">
        <v>-1000</v>
      </c>
      <c r="I10" s="55">
        <v>-1000</v>
      </c>
      <c r="J10" s="21">
        <f t="shared" si="2"/>
        <v>17200</v>
      </c>
      <c r="K10" s="8" t="s">
        <v>145</v>
      </c>
      <c r="L10" s="9">
        <v>-3300</v>
      </c>
      <c r="M10" s="9">
        <v>-1000</v>
      </c>
      <c r="N10" s="55">
        <v>-1000</v>
      </c>
      <c r="O10" s="21">
        <f t="shared" si="3"/>
        <v>40300</v>
      </c>
      <c r="P10" s="8" t="s">
        <v>146</v>
      </c>
      <c r="Q10" s="9">
        <v>5300</v>
      </c>
      <c r="R10" s="9">
        <v>2000</v>
      </c>
      <c r="S10" s="55">
        <v>2000</v>
      </c>
      <c r="T10" s="21">
        <f t="shared" si="4"/>
        <v>47500</v>
      </c>
      <c r="U10" s="60">
        <f>IF($J10="","",ROUND(($J10-$J$3)/1000,1)+(_xlfn.RANK.AVG($J10,($J10,$O10,$T10),1)-2)*20)</f>
        <v>-37.799999999999997</v>
      </c>
      <c r="V10" s="61">
        <f>IF($O10="","",ROUND(($O10-$O$3)/1000,1)+(_xlfn.RANK.AVG($O10,($J10,$O10,$T10),1)-2)*20)</f>
        <v>5.3</v>
      </c>
      <c r="W10" s="62">
        <f>IF($T10="","",ROUND(($T10-$T$3)/1000,1)+(_xlfn.RANK.AVG($T10,($J10,$O10,$T10),1)-2)*20)</f>
        <v>32.5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20</v>
      </c>
      <c r="BU10" s="47" t="s">
        <v>148</v>
      </c>
      <c r="BV10" s="48" t="s">
        <v>83</v>
      </c>
      <c r="BW10" s="48" t="s">
        <v>84</v>
      </c>
      <c r="BX10" s="48" t="s">
        <v>149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156</v>
      </c>
      <c r="F11" s="8" t="s">
        <v>150</v>
      </c>
      <c r="G11" s="9">
        <v>3200</v>
      </c>
      <c r="H11" s="9">
        <v>1000</v>
      </c>
      <c r="I11" s="55">
        <v>0</v>
      </c>
      <c r="J11" s="21">
        <f t="shared" si="2"/>
        <v>21400</v>
      </c>
      <c r="K11" s="8" t="s">
        <v>151</v>
      </c>
      <c r="L11" s="9">
        <v>-3200</v>
      </c>
      <c r="M11" s="9">
        <v>-1000</v>
      </c>
      <c r="N11" s="55">
        <v>0</v>
      </c>
      <c r="O11" s="21">
        <f t="shared" si="3"/>
        <v>36100</v>
      </c>
      <c r="P11" s="8"/>
      <c r="Q11" s="9"/>
      <c r="R11" s="9"/>
      <c r="S11" s="55"/>
      <c r="T11" s="21">
        <f t="shared" si="4"/>
        <v>47500</v>
      </c>
      <c r="U11" s="60">
        <f>IF($J11="","",ROUND(($J11-$J$3)/1000,1)+(_xlfn.RANK.AVG($J11,($J11,$O11,$T11),1)-2)*20)</f>
        <v>-33.6</v>
      </c>
      <c r="V11" s="61">
        <f>IF($O11="","",ROUND(($O11-$O$3)/1000,1)+(_xlfn.RANK.AVG($O11,($J11,$O11,$T11),1)-2)*20)</f>
        <v>1.1000000000000001</v>
      </c>
      <c r="W11" s="62">
        <f>IF($T11="","",ROUND(($T11-$T$3)/1000,1)+(_xlfn.RANK.AVG($T11,($J11,$O11,$T11),1)-2)*20)</f>
        <v>32.5</v>
      </c>
      <c r="Y11" s="8"/>
      <c r="Z11" s="41"/>
      <c r="AA11" s="32">
        <v>1</v>
      </c>
      <c r="AB11" s="32"/>
      <c r="AC11" s="32">
        <v>3</v>
      </c>
      <c r="AD11" s="36">
        <v>25</v>
      </c>
      <c r="AE11" s="47" t="s">
        <v>148</v>
      </c>
      <c r="AF11" s="48" t="s">
        <v>102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9C284057-71F9-4ED4-9790-423D6AFD7568}">
      <formula1>"ロン,ツモ,放銃,ツモ支払,流局,チョンボ"</formula1>
    </dataValidation>
    <dataValidation type="list" allowBlank="1" showInputMessage="1" showErrorMessage="1" sqref="E4:E30" xr:uid="{ECA5C509-A234-4E9A-8779-8C15EBC5E0A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BD11-A3BA-4CD6-9F83-5774492D511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162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157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ただ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156</v>
      </c>
      <c r="F4" s="8" t="s">
        <v>151</v>
      </c>
      <c r="G4" s="9">
        <v>-5800</v>
      </c>
      <c r="H4" s="9"/>
      <c r="I4" s="55">
        <v>0</v>
      </c>
      <c r="J4" s="21">
        <f>IF(COUNTA($F4,$K4,$P4)&gt;0,J3+SUM(G4:I4),"")</f>
        <v>29200</v>
      </c>
      <c r="K4" s="8"/>
      <c r="L4" s="9"/>
      <c r="M4" s="9"/>
      <c r="N4" s="55"/>
      <c r="O4" s="21">
        <f>IF(COUNTA($F4,$K4,$P4)&gt;0,O3+SUM(L4:N4),"")</f>
        <v>35000</v>
      </c>
      <c r="P4" s="8" t="s">
        <v>150</v>
      </c>
      <c r="Q4" s="9">
        <v>5800</v>
      </c>
      <c r="R4" s="9"/>
      <c r="S4" s="55">
        <v>0</v>
      </c>
      <c r="T4" s="21">
        <f>IF(COUNTA($F4,$K4,$P4)&gt;0,T3+SUM(Q4:S4),"")</f>
        <v>40800</v>
      </c>
      <c r="U4" s="60">
        <f>IF($J4="","",ROUND(($J4-$J$3)/1000,1)+(_xlfn.RANK.AVG($J4,($J4,$O4,$T4),1)-2)*20)</f>
        <v>-25.8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25.8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87</v>
      </c>
      <c r="BV4" s="48" t="s">
        <v>87</v>
      </c>
      <c r="BW4" s="48" t="s">
        <v>87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156</v>
      </c>
      <c r="F5" s="8" t="s">
        <v>151</v>
      </c>
      <c r="G5" s="9">
        <v>-12000</v>
      </c>
      <c r="H5" s="9"/>
      <c r="I5" s="55">
        <v>-1000</v>
      </c>
      <c r="J5" s="21">
        <f t="shared" ref="J5:J30" si="2">IF(COUNTA($F5,$K5,$P5)&gt;0,J4+SUM(G5:I5),"")</f>
        <v>16200</v>
      </c>
      <c r="K5" s="8" t="s">
        <v>150</v>
      </c>
      <c r="L5" s="9">
        <v>12000</v>
      </c>
      <c r="M5" s="9"/>
      <c r="N5" s="55">
        <v>1000</v>
      </c>
      <c r="O5" s="21">
        <f t="shared" ref="O5:O30" si="3">IF(COUNTA($F5,$K5,$P5)&gt;0,O4+SUM(L5:N5),"")</f>
        <v>48000</v>
      </c>
      <c r="P5" s="8"/>
      <c r="Q5" s="9"/>
      <c r="R5" s="9"/>
      <c r="S5" s="55"/>
      <c r="T5" s="21">
        <f t="shared" ref="T5:T30" si="4">IF(COUNTA($F5,$K5,$P5)&gt;0,T4+SUM(Q5:S5),"")</f>
        <v>40800</v>
      </c>
      <c r="U5" s="60">
        <f>IF($J5="","",ROUND(($J5-$J$3)/1000,1)+(_xlfn.RANK.AVG($J5,($J5,$O5,$T5),1)-2)*20)</f>
        <v>-38.799999999999997</v>
      </c>
      <c r="V5" s="61">
        <f>IF($O5="","",ROUND(($O5-$O$3)/1000,1)+(_xlfn.RANK.AVG($O5,($J5,$O5,$T5),1)-2)*20)</f>
        <v>33</v>
      </c>
      <c r="W5" s="62">
        <f>IF($T5="","",ROUND(($T5-$T$3)/1000,1)+(_xlfn.RANK.AVG($T5,($J5,$O5,$T5),1)-2)*20)</f>
        <v>5.8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147</v>
      </c>
      <c r="AZ5" s="47" t="s">
        <v>152</v>
      </c>
      <c r="BA5" s="48" t="s">
        <v>84</v>
      </c>
      <c r="BB5" s="48" t="s">
        <v>85</v>
      </c>
      <c r="BC5" s="48" t="s">
        <v>81</v>
      </c>
      <c r="BD5" s="48" t="s">
        <v>149</v>
      </c>
      <c r="BE5" s="48" t="s">
        <v>148</v>
      </c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161</v>
      </c>
      <c r="F6" s="8" t="s">
        <v>145</v>
      </c>
      <c r="G6" s="9">
        <v>-700</v>
      </c>
      <c r="H6" s="9"/>
      <c r="I6" s="55">
        <v>0</v>
      </c>
      <c r="J6" s="21">
        <f t="shared" si="2"/>
        <v>15500</v>
      </c>
      <c r="K6" s="8" t="s">
        <v>145</v>
      </c>
      <c r="L6" s="9">
        <v>-500</v>
      </c>
      <c r="M6" s="9"/>
      <c r="N6" s="55">
        <v>0</v>
      </c>
      <c r="O6" s="21">
        <f t="shared" si="3"/>
        <v>47500</v>
      </c>
      <c r="P6" s="8" t="s">
        <v>146</v>
      </c>
      <c r="Q6" s="9">
        <v>1200</v>
      </c>
      <c r="R6" s="9"/>
      <c r="S6" s="55">
        <v>0</v>
      </c>
      <c r="T6" s="21">
        <f t="shared" si="4"/>
        <v>42000</v>
      </c>
      <c r="U6" s="60">
        <f>IF($J6="","",ROUND(($J6-$J$3)/1000,1)+(_xlfn.RANK.AVG($J6,($J6,$O6,$T6),1)-2)*20)</f>
        <v>-39.5</v>
      </c>
      <c r="V6" s="61">
        <f>IF($O6="","",ROUND(($O6-$O$3)/1000,1)+(_xlfn.RANK.AVG($O6,($J6,$O6,$T6),1)-2)*20)</f>
        <v>32.5</v>
      </c>
      <c r="W6" s="62">
        <f>IF($T6="","",ROUND(($T6-$T$3)/1000,1)+(_xlfn.RANK.AVG($T6,($J6,$O6,$T6),1)-2)*20)</f>
        <v>7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</v>
      </c>
      <c r="BT6" s="36">
        <v>30</v>
      </c>
      <c r="BU6" s="47" t="s">
        <v>87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154</v>
      </c>
      <c r="F7" s="8" t="s">
        <v>151</v>
      </c>
      <c r="G7" s="9">
        <v>-1000</v>
      </c>
      <c r="H7" s="9"/>
      <c r="I7" s="55">
        <v>0</v>
      </c>
      <c r="J7" s="21">
        <f t="shared" si="2"/>
        <v>14500</v>
      </c>
      <c r="K7" s="8"/>
      <c r="L7" s="9"/>
      <c r="M7" s="9"/>
      <c r="N7" s="55"/>
      <c r="O7" s="21">
        <f t="shared" si="3"/>
        <v>47500</v>
      </c>
      <c r="P7" s="8" t="s">
        <v>150</v>
      </c>
      <c r="Q7" s="9">
        <v>1000</v>
      </c>
      <c r="R7" s="9"/>
      <c r="S7" s="55">
        <v>0</v>
      </c>
      <c r="T7" s="21">
        <f t="shared" si="4"/>
        <v>43000</v>
      </c>
      <c r="U7" s="60">
        <f>IF($J7="","",ROUND(($J7-$J$3)/1000,1)+(_xlfn.RANK.AVG($J7,($J7,$O7,$T7),1)-2)*20)</f>
        <v>-40.5</v>
      </c>
      <c r="V7" s="61">
        <f>IF($O7="","",ROUND(($O7-$O$3)/1000,1)+(_xlfn.RANK.AVG($O7,($J7,$O7,$T7),1)-2)*20)</f>
        <v>32.5</v>
      </c>
      <c r="W7" s="62">
        <f>IF($T7="","",ROUND(($T7-$T$3)/1000,1)+(_xlfn.RANK.AVG($T7,($J7,$O7,$T7),1)-2)*20)</f>
        <v>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1</v>
      </c>
      <c r="BT7" s="36">
        <v>30</v>
      </c>
      <c r="BU7" s="47" t="s">
        <v>87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156</v>
      </c>
      <c r="F8" s="8" t="s">
        <v>146</v>
      </c>
      <c r="G8" s="9">
        <v>5300</v>
      </c>
      <c r="H8" s="9"/>
      <c r="I8" s="55">
        <v>0</v>
      </c>
      <c r="J8" s="21">
        <f t="shared" si="2"/>
        <v>19800</v>
      </c>
      <c r="K8" s="8" t="s">
        <v>145</v>
      </c>
      <c r="L8" s="9">
        <v>-2000</v>
      </c>
      <c r="M8" s="9"/>
      <c r="N8" s="55">
        <v>0</v>
      </c>
      <c r="O8" s="21">
        <f t="shared" si="3"/>
        <v>45500</v>
      </c>
      <c r="P8" s="8" t="s">
        <v>145</v>
      </c>
      <c r="Q8" s="9">
        <v>-3300</v>
      </c>
      <c r="R8" s="9"/>
      <c r="S8" s="55">
        <v>0</v>
      </c>
      <c r="T8" s="21">
        <f t="shared" si="4"/>
        <v>39700</v>
      </c>
      <c r="U8" s="60">
        <f>IF($J8="","",ROUND(($J8-$J$3)/1000,1)+(_xlfn.RANK.AVG($J8,($J8,$O8,$T8),1)-2)*20)</f>
        <v>-35.200000000000003</v>
      </c>
      <c r="V8" s="61">
        <f>IF($O8="","",ROUND(($O8-$O$3)/1000,1)+(_xlfn.RANK.AVG($O8,($J8,$O8,$T8),1)-2)*20)</f>
        <v>30.5</v>
      </c>
      <c r="W8" s="62">
        <f>IF($T8="","",ROUND(($T8-$T$3)/1000,1)+(_xlfn.RANK.AVG($T8,($J8,$O8,$T8),1)-2)*20)</f>
        <v>4.7</v>
      </c>
      <c r="Y8" s="8"/>
      <c r="Z8" s="41"/>
      <c r="AA8" s="32">
        <v>1</v>
      </c>
      <c r="AB8" s="32"/>
      <c r="AC8" s="32">
        <v>4</v>
      </c>
      <c r="AD8" s="36">
        <v>20</v>
      </c>
      <c r="AE8" s="47" t="s">
        <v>148</v>
      </c>
      <c r="AF8" s="48" t="s">
        <v>83</v>
      </c>
      <c r="AG8" s="48" t="s">
        <v>84</v>
      </c>
      <c r="AH8" s="48" t="s">
        <v>80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161</v>
      </c>
      <c r="F9" s="8" t="s">
        <v>146</v>
      </c>
      <c r="G9" s="9">
        <v>11600</v>
      </c>
      <c r="H9" s="9">
        <v>1000</v>
      </c>
      <c r="I9" s="55">
        <v>0</v>
      </c>
      <c r="J9" s="21">
        <f t="shared" si="2"/>
        <v>32400</v>
      </c>
      <c r="K9" s="8" t="s">
        <v>145</v>
      </c>
      <c r="L9" s="9">
        <v>-5800</v>
      </c>
      <c r="M9" s="9"/>
      <c r="N9" s="55">
        <v>0</v>
      </c>
      <c r="O9" s="21">
        <f t="shared" si="3"/>
        <v>39700</v>
      </c>
      <c r="P9" s="8" t="s">
        <v>145</v>
      </c>
      <c r="Q9" s="9">
        <v>-5800</v>
      </c>
      <c r="R9" s="9">
        <v>-1000</v>
      </c>
      <c r="S9" s="55">
        <v>0</v>
      </c>
      <c r="T9" s="21">
        <f t="shared" si="4"/>
        <v>32900</v>
      </c>
      <c r="U9" s="60">
        <f>IF($J9="","",ROUND(($J9-$J$3)/1000,1)+(_xlfn.RANK.AVG($J9,($J9,$O9,$T9),1)-2)*20)</f>
        <v>-22.6</v>
      </c>
      <c r="V9" s="61">
        <f>IF($O9="","",ROUND(($O9-$O$3)/1000,1)+(_xlfn.RANK.AVG($O9,($J9,$O9,$T9),1)-2)*20)</f>
        <v>24.7</v>
      </c>
      <c r="W9" s="62">
        <f>IF($T9="","",ROUND(($T9-$T$3)/1000,1)+(_xlfn.RANK.AVG($T9,($J9,$O9,$T9),1)-2)*20)</f>
        <v>-2.1</v>
      </c>
      <c r="Y9" s="8"/>
      <c r="Z9" s="41"/>
      <c r="AA9" s="32">
        <v>1</v>
      </c>
      <c r="AB9" s="32"/>
      <c r="AC9" s="32">
        <v>4</v>
      </c>
      <c r="AD9" s="36">
        <v>30</v>
      </c>
      <c r="AE9" s="47" t="s">
        <v>83</v>
      </c>
      <c r="AF9" s="48" t="s">
        <v>148</v>
      </c>
      <c r="AG9" s="48" t="s">
        <v>152</v>
      </c>
      <c r="AH9" s="48" t="s">
        <v>149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161</v>
      </c>
      <c r="F10" s="8"/>
      <c r="G10" s="9"/>
      <c r="H10" s="9"/>
      <c r="I10" s="55"/>
      <c r="J10" s="21">
        <f t="shared" si="2"/>
        <v>32400</v>
      </c>
      <c r="K10" s="8" t="s">
        <v>151</v>
      </c>
      <c r="L10" s="9">
        <v>-8000</v>
      </c>
      <c r="M10" s="9"/>
      <c r="N10" s="55">
        <v>-1000</v>
      </c>
      <c r="O10" s="21">
        <f t="shared" si="3"/>
        <v>30700</v>
      </c>
      <c r="P10" s="8" t="s">
        <v>150</v>
      </c>
      <c r="Q10" s="9">
        <v>8000</v>
      </c>
      <c r="R10" s="9"/>
      <c r="S10" s="55">
        <v>1000</v>
      </c>
      <c r="T10" s="21">
        <f t="shared" si="4"/>
        <v>41900</v>
      </c>
      <c r="U10" s="60">
        <f>IF($J10="","",ROUND(($J10-$J$3)/1000,1)+(_xlfn.RANK.AVG($J10,($J10,$O10,$T10),1)-2)*20)</f>
        <v>-2.6</v>
      </c>
      <c r="V10" s="61">
        <f>IF($O10="","",ROUND(($O10-$O$3)/1000,1)+(_xlfn.RANK.AVG($O10,($J10,$O10,$T10),1)-2)*20)</f>
        <v>-24.3</v>
      </c>
      <c r="W10" s="62">
        <f>IF($T10="","",ROUND(($T10-$T$3)/1000,1)+(_xlfn.RANK.AVG($T10,($J10,$O10,$T10),1)-2)*20)</f>
        <v>26.9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4</v>
      </c>
      <c r="BT10" s="36">
        <v>40</v>
      </c>
      <c r="BU10" s="47" t="s">
        <v>97</v>
      </c>
      <c r="BV10" s="48" t="s">
        <v>99</v>
      </c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154</v>
      </c>
      <c r="F11" s="8" t="s">
        <v>150</v>
      </c>
      <c r="G11" s="9">
        <v>8000</v>
      </c>
      <c r="H11" s="9"/>
      <c r="I11" s="55">
        <v>0</v>
      </c>
      <c r="J11" s="21">
        <f t="shared" si="2"/>
        <v>40400</v>
      </c>
      <c r="K11" s="8" t="s">
        <v>151</v>
      </c>
      <c r="L11" s="9">
        <v>-8000</v>
      </c>
      <c r="M11" s="9"/>
      <c r="N11" s="55">
        <v>0</v>
      </c>
      <c r="O11" s="21">
        <f t="shared" si="3"/>
        <v>22700</v>
      </c>
      <c r="P11" s="8"/>
      <c r="Q11" s="9"/>
      <c r="R11" s="9"/>
      <c r="S11" s="55"/>
      <c r="T11" s="21">
        <f t="shared" si="4"/>
        <v>41900</v>
      </c>
      <c r="U11" s="60">
        <f>IF($J11="","",ROUND(($J11-$J$3)/1000,1)+(_xlfn.RANK.AVG($J11,($J11,$O11,$T11),1)-2)*20)</f>
        <v>5.4</v>
      </c>
      <c r="V11" s="61">
        <f>IF($O11="","",ROUND(($O11-$O$3)/1000,1)+(_xlfn.RANK.AVG($O11,($J11,$O11,$T11),1)-2)*20)</f>
        <v>-32.299999999999997</v>
      </c>
      <c r="W11" s="62">
        <f>IF($T11="","",ROUND(($T11-$T$3)/1000,1)+(_xlfn.RANK.AVG($T11,($J11,$O11,$T11),1)-2)*20)</f>
        <v>26.9</v>
      </c>
      <c r="Y11" s="8"/>
      <c r="Z11" s="41"/>
      <c r="AA11" s="32">
        <v>1</v>
      </c>
      <c r="AB11" s="32"/>
      <c r="AC11" s="32">
        <v>4</v>
      </c>
      <c r="AD11" s="36">
        <v>40</v>
      </c>
      <c r="AE11" s="47" t="s">
        <v>148</v>
      </c>
      <c r="AF11" s="48" t="s">
        <v>80</v>
      </c>
      <c r="AG11" s="48" t="s">
        <v>80</v>
      </c>
      <c r="AH11" s="48" t="s">
        <v>87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45C84F8-3E1D-40D4-BB0E-09C3243D1C24}">
      <formula1>$U$2:$W$2</formula1>
    </dataValidation>
    <dataValidation type="list" showInputMessage="1" showErrorMessage="1" sqref="K4:K30 P4:P30 F4:F30" xr:uid="{5E3A0AE5-2CE3-471F-AE3A-1E4D1D5019F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C3BC4-FD42-4D38-8725-9367696B335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れんたろう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151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150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-32</v>
      </c>
      <c r="W4" s="62">
        <f>IF($T4="","",ROUND(($T4-$T$3)/1000,1)+(_xlfn.RANK.AVG($T4,($J4,$O4,$T4),1)-2)*20)</f>
        <v>32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7</v>
      </c>
      <c r="BT4" s="36" t="s">
        <v>147</v>
      </c>
      <c r="BU4" s="47" t="s">
        <v>105</v>
      </c>
      <c r="BV4" s="48" t="s">
        <v>99</v>
      </c>
      <c r="BW4" s="48" t="s">
        <v>87</v>
      </c>
      <c r="BX4" s="48" t="s">
        <v>87</v>
      </c>
      <c r="BY4" s="48" t="s">
        <v>87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146</v>
      </c>
      <c r="G5" s="9">
        <v>2100</v>
      </c>
      <c r="H5" s="9">
        <v>1000</v>
      </c>
      <c r="I5" s="55">
        <v>0</v>
      </c>
      <c r="J5" s="21">
        <f t="shared" ref="J5:J30" si="2">IF(COUNTA($F5,$K5,$P5)&gt;0,J4+SUM(G5:I5),"")</f>
        <v>38100</v>
      </c>
      <c r="K5" s="8" t="s">
        <v>145</v>
      </c>
      <c r="L5" s="9">
        <v>-1300</v>
      </c>
      <c r="M5" s="9">
        <v>-1000</v>
      </c>
      <c r="N5" s="55">
        <v>0</v>
      </c>
      <c r="O5" s="21">
        <f t="shared" ref="O5:O30" si="3">IF(COUNTA($F5,$K5,$P5)&gt;0,O4+SUM(L5:N5),"")</f>
        <v>20700</v>
      </c>
      <c r="P5" s="8" t="s">
        <v>145</v>
      </c>
      <c r="Q5" s="9">
        <v>-800</v>
      </c>
      <c r="R5" s="9"/>
      <c r="S5" s="55">
        <v>0</v>
      </c>
      <c r="T5" s="21">
        <f t="shared" ref="T5:T30" si="4">IF(COUNTA($F5,$K5,$P5)&gt;0,T4+SUM(Q5:S5),"")</f>
        <v>46200</v>
      </c>
      <c r="U5" s="60">
        <f>IF($J5="","",ROUND(($J5-$J$3)/1000,1)+(_xlfn.RANK.AVG($J5,($J5,$O5,$T5),1)-2)*20)</f>
        <v>3.1</v>
      </c>
      <c r="V5" s="61">
        <f>IF($O5="","",ROUND(($O5-$O$3)/1000,1)+(_xlfn.RANK.AVG($O5,($J5,$O5,$T5),1)-2)*20)</f>
        <v>-34.299999999999997</v>
      </c>
      <c r="W5" s="62">
        <f>IF($T5="","",ROUND(($T5-$T$3)/1000,1)+(_xlfn.RANK.AVG($T5,($J5,$O5,$T5),1)-2)*20)</f>
        <v>31.2</v>
      </c>
      <c r="Y5" s="8"/>
      <c r="Z5" s="41"/>
      <c r="AA5" s="32"/>
      <c r="AB5" s="32"/>
      <c r="AC5" s="32">
        <v>2</v>
      </c>
      <c r="AD5" s="36">
        <v>30</v>
      </c>
      <c r="AE5" s="47" t="s">
        <v>83</v>
      </c>
      <c r="AF5" s="48" t="s">
        <v>149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150</v>
      </c>
      <c r="G6" s="9">
        <v>8000</v>
      </c>
      <c r="H6" s="9"/>
      <c r="I6" s="55">
        <v>0</v>
      </c>
      <c r="J6" s="21">
        <f t="shared" si="2"/>
        <v>46100</v>
      </c>
      <c r="K6" s="8" t="s">
        <v>151</v>
      </c>
      <c r="L6" s="9">
        <v>-8000</v>
      </c>
      <c r="M6" s="9"/>
      <c r="N6" s="55">
        <v>0</v>
      </c>
      <c r="O6" s="21">
        <f t="shared" si="3"/>
        <v>12700</v>
      </c>
      <c r="P6" s="8"/>
      <c r="Q6" s="9"/>
      <c r="R6" s="9"/>
      <c r="S6" s="55"/>
      <c r="T6" s="21">
        <f t="shared" si="4"/>
        <v>46200</v>
      </c>
      <c r="U6" s="60">
        <f>IF($J6="","",ROUND(($J6-$J$3)/1000,1)+(_xlfn.RANK.AVG($J6,($J6,$O6,$T6),1)-2)*20)</f>
        <v>11.1</v>
      </c>
      <c r="V6" s="61">
        <f>IF($O6="","",ROUND(($O6-$O$3)/1000,1)+(_xlfn.RANK.AVG($O6,($J6,$O6,$T6),1)-2)*20)</f>
        <v>-42.3</v>
      </c>
      <c r="W6" s="62">
        <f>IF($T6="","",ROUND(($T6-$T$3)/1000,1)+(_xlfn.RANK.AVG($T6,($J6,$O6,$T6),1)-2)*20)</f>
        <v>31.2</v>
      </c>
      <c r="Y6" s="8"/>
      <c r="Z6" s="41"/>
      <c r="AA6" s="32"/>
      <c r="AB6" s="32">
        <v>1</v>
      </c>
      <c r="AC6" s="32">
        <v>4</v>
      </c>
      <c r="AD6" s="36">
        <v>40</v>
      </c>
      <c r="AE6" s="47" t="s">
        <v>87</v>
      </c>
      <c r="AF6" s="48" t="s">
        <v>105</v>
      </c>
      <c r="AG6" s="48" t="s">
        <v>89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151</v>
      </c>
      <c r="G7" s="9">
        <v>-12000</v>
      </c>
      <c r="H7" s="9"/>
      <c r="I7" s="55">
        <v>0</v>
      </c>
      <c r="J7" s="21">
        <f t="shared" si="2"/>
        <v>34100</v>
      </c>
      <c r="K7" s="8"/>
      <c r="L7" s="9"/>
      <c r="M7" s="9"/>
      <c r="N7" s="55"/>
      <c r="O7" s="21">
        <f t="shared" si="3"/>
        <v>12700</v>
      </c>
      <c r="P7" s="8" t="s">
        <v>150</v>
      </c>
      <c r="Q7" s="9">
        <v>12000</v>
      </c>
      <c r="R7" s="9"/>
      <c r="S7" s="55">
        <v>0</v>
      </c>
      <c r="T7" s="21">
        <f t="shared" si="4"/>
        <v>58200</v>
      </c>
      <c r="U7" s="60">
        <f>IF($J7="","",ROUND(($J7-$J$3)/1000,1)+(_xlfn.RANK.AVG($J7,($J7,$O7,$T7),1)-2)*20)</f>
        <v>-0.9</v>
      </c>
      <c r="V7" s="61">
        <f>IF($O7="","",ROUND(($O7-$O$3)/1000,1)+(_xlfn.RANK.AVG($O7,($J7,$O7,$T7),1)-2)*20)</f>
        <v>-42.3</v>
      </c>
      <c r="W7" s="62">
        <f>IF($T7="","",ROUND(($T7-$T$3)/1000,1)+(_xlfn.RANK.AVG($T7,($J7,$O7,$T7),1)-2)*20)</f>
        <v>43.2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147</v>
      </c>
      <c r="BU7" s="47" t="s">
        <v>148</v>
      </c>
      <c r="BV7" s="48" t="s">
        <v>149</v>
      </c>
      <c r="BW7" s="48" t="s">
        <v>81</v>
      </c>
      <c r="BX7" s="48" t="s">
        <v>80</v>
      </c>
      <c r="BY7" s="48" t="s">
        <v>80</v>
      </c>
      <c r="BZ7" s="48" t="s">
        <v>80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146</v>
      </c>
      <c r="G8" s="9">
        <v>8000</v>
      </c>
      <c r="H8" s="9"/>
      <c r="I8" s="55">
        <v>0</v>
      </c>
      <c r="J8" s="21">
        <f t="shared" si="2"/>
        <v>42100</v>
      </c>
      <c r="K8" s="8" t="s">
        <v>145</v>
      </c>
      <c r="L8" s="9">
        <v>-5000</v>
      </c>
      <c r="M8" s="9"/>
      <c r="N8" s="55">
        <v>0</v>
      </c>
      <c r="O8" s="21">
        <f t="shared" si="3"/>
        <v>7700</v>
      </c>
      <c r="P8" s="8" t="s">
        <v>145</v>
      </c>
      <c r="Q8" s="9">
        <v>-3000</v>
      </c>
      <c r="R8" s="9"/>
      <c r="S8" s="55">
        <v>0</v>
      </c>
      <c r="T8" s="21">
        <f t="shared" si="4"/>
        <v>55200</v>
      </c>
      <c r="U8" s="60">
        <f>IF($J8="","",ROUND(($J8-$J$3)/1000,1)+(_xlfn.RANK.AVG($J8,($J8,$O8,$T8),1)-2)*20)</f>
        <v>7.1</v>
      </c>
      <c r="V8" s="61">
        <f>IF($O8="","",ROUND(($O8-$O$3)/1000,1)+(_xlfn.RANK.AVG($O8,($J8,$O8,$T8),1)-2)*20)</f>
        <v>-47.3</v>
      </c>
      <c r="W8" s="62">
        <f>IF($T8="","",ROUND(($T8-$T$3)/1000,1)+(_xlfn.RANK.AVG($T8,($J8,$O8,$T8),1)-2)*20)</f>
        <v>40.200000000000003</v>
      </c>
      <c r="Y8" s="8"/>
      <c r="Z8" s="41"/>
      <c r="AA8" s="32">
        <v>1</v>
      </c>
      <c r="AB8" s="32"/>
      <c r="AC8" s="32">
        <v>5</v>
      </c>
      <c r="AD8" s="36" t="s">
        <v>147</v>
      </c>
      <c r="AE8" s="47" t="s">
        <v>148</v>
      </c>
      <c r="AF8" s="48" t="s">
        <v>83</v>
      </c>
      <c r="AG8" s="48" t="s">
        <v>152</v>
      </c>
      <c r="AH8" s="48" t="s">
        <v>85</v>
      </c>
      <c r="AI8" s="48" t="s">
        <v>81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146</v>
      </c>
      <c r="G9" s="9">
        <v>8000</v>
      </c>
      <c r="H9" s="9"/>
      <c r="I9" s="55">
        <v>0</v>
      </c>
      <c r="J9" s="21">
        <f t="shared" si="2"/>
        <v>50100</v>
      </c>
      <c r="K9" s="8" t="s">
        <v>145</v>
      </c>
      <c r="L9" s="9">
        <v>-3000</v>
      </c>
      <c r="M9" s="9"/>
      <c r="N9" s="55">
        <v>0</v>
      </c>
      <c r="O9" s="21">
        <f t="shared" si="3"/>
        <v>4700</v>
      </c>
      <c r="P9" s="8" t="s">
        <v>145</v>
      </c>
      <c r="Q9" s="9">
        <v>-5000</v>
      </c>
      <c r="R9" s="9"/>
      <c r="S9" s="55">
        <v>0</v>
      </c>
      <c r="T9" s="21">
        <f t="shared" si="4"/>
        <v>50200</v>
      </c>
      <c r="U9" s="60">
        <f>IF($J9="","",ROUND(($J9-$J$3)/1000,1)+(_xlfn.RANK.AVG($J9,($J9,$O9,$T9),1)-2)*20)</f>
        <v>15.1</v>
      </c>
      <c r="V9" s="61">
        <f>IF($O9="","",ROUND(($O9-$O$3)/1000,1)+(_xlfn.RANK.AVG($O9,($J9,$O9,$T9),1)-2)*20)</f>
        <v>-50.3</v>
      </c>
      <c r="W9" s="62">
        <f>IF($T9="","",ROUND(($T9-$T$3)/1000,1)+(_xlfn.RANK.AVG($T9,($J9,$O9,$T9),1)-2)*20)</f>
        <v>35.200000000000003</v>
      </c>
      <c r="Y9" s="8"/>
      <c r="Z9" s="41"/>
      <c r="AA9" s="32">
        <v>1</v>
      </c>
      <c r="AB9" s="32"/>
      <c r="AC9" s="32">
        <v>5</v>
      </c>
      <c r="AD9" s="36" t="s">
        <v>147</v>
      </c>
      <c r="AE9" s="47" t="s">
        <v>153</v>
      </c>
      <c r="AF9" s="48" t="s">
        <v>83</v>
      </c>
      <c r="AG9" s="48" t="s">
        <v>80</v>
      </c>
      <c r="AH9" s="48" t="s">
        <v>81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CB59E48-04A6-471C-9D43-3FBB3D7355DA}">
      <formula1>$U$2:$W$2</formula1>
    </dataValidation>
    <dataValidation type="list" showInputMessage="1" showErrorMessage="1" sqref="K4:K30 P4:P30 F4:F30" xr:uid="{80C8FBA0-0420-47B1-BEE3-91F1F857EA6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DA29-0BDB-45DA-B26F-F6E8166F81A2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162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れんたろう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161</v>
      </c>
      <c r="F4" s="8" t="s">
        <v>145</v>
      </c>
      <c r="G4" s="9">
        <v>-4800</v>
      </c>
      <c r="H4" s="9"/>
      <c r="I4" s="55">
        <v>0</v>
      </c>
      <c r="J4" s="21">
        <f>IF(COUNTA($F4,$K4,$P4)&gt;0,J3+SUM(G4:I4),"")</f>
        <v>30200</v>
      </c>
      <c r="K4" s="8" t="s">
        <v>146</v>
      </c>
      <c r="L4" s="9">
        <v>7700</v>
      </c>
      <c r="M4" s="9">
        <v>1000</v>
      </c>
      <c r="N4" s="55">
        <v>0</v>
      </c>
      <c r="O4" s="21">
        <f>IF(COUNTA($F4,$K4,$P4)&gt;0,O3+SUM(L4:N4),"")</f>
        <v>43700</v>
      </c>
      <c r="P4" s="8" t="s">
        <v>145</v>
      </c>
      <c r="Q4" s="9">
        <v>-2900</v>
      </c>
      <c r="R4" s="9">
        <v>-1000</v>
      </c>
      <c r="S4" s="55">
        <v>0</v>
      </c>
      <c r="T4" s="21">
        <f>IF(COUNTA($F4,$K4,$P4)&gt;0,T3+SUM(Q4:S4),"")</f>
        <v>31100</v>
      </c>
      <c r="U4" s="60">
        <f>IF($J4="","",ROUND(($J4-$J$3)/1000,1)+(_xlfn.RANK.AVG($J4,($J4,$O4,$T4),1)-2)*20)</f>
        <v>-24.8</v>
      </c>
      <c r="V4" s="61">
        <f>IF($O4="","",ROUND(($O4-$O$3)/1000,1)+(_xlfn.RANK.AVG($O4,($J4,$O4,$T4),1)-2)*20)</f>
        <v>28.7</v>
      </c>
      <c r="W4" s="62">
        <f>IF($T4="","",ROUND(($T4-$T$3)/1000,1)+(_xlfn.RANK.AVG($T4,($J4,$O4,$T4),1)-2)*20)</f>
        <v>-3.9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4</v>
      </c>
      <c r="AY4" s="36">
        <v>30</v>
      </c>
      <c r="AZ4" s="47" t="s">
        <v>83</v>
      </c>
      <c r="BA4" s="48" t="s">
        <v>80</v>
      </c>
      <c r="BB4" s="48" t="s">
        <v>80</v>
      </c>
      <c r="BC4" s="48" t="s">
        <v>80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-3000</v>
      </c>
      <c r="H5" s="9"/>
      <c r="I5" s="55">
        <v>0</v>
      </c>
      <c r="J5" s="21">
        <f t="shared" ref="J5:J30" si="2">IF(COUNTA($F5,$K5,$P5)&gt;0,J4+SUM(G5:I5),"")</f>
        <v>27200</v>
      </c>
      <c r="K5" s="8" t="s">
        <v>145</v>
      </c>
      <c r="L5" s="9">
        <v>-5000</v>
      </c>
      <c r="M5" s="9"/>
      <c r="N5" s="55">
        <v>0</v>
      </c>
      <c r="O5" s="21">
        <f t="shared" ref="O5:O30" si="3">IF(COUNTA($F5,$K5,$P5)&gt;0,O4+SUM(L5:N5),"")</f>
        <v>38700</v>
      </c>
      <c r="P5" s="8" t="s">
        <v>146</v>
      </c>
      <c r="Q5" s="9">
        <v>8000</v>
      </c>
      <c r="R5" s="9"/>
      <c r="S5" s="55">
        <v>0</v>
      </c>
      <c r="T5" s="21">
        <f t="shared" ref="T5:T30" si="4">IF(COUNTA($F5,$K5,$P5)&gt;0,T4+SUM(Q5:S5),"")</f>
        <v>39100</v>
      </c>
      <c r="U5" s="60">
        <f>IF($J5="","",ROUND(($J5-$J$3)/1000,1)+(_xlfn.RANK.AVG($J5,($J5,$O5,$T5),1)-2)*20)</f>
        <v>-27.8</v>
      </c>
      <c r="V5" s="61">
        <f>IF($O5="","",ROUND(($O5-$O$3)/1000,1)+(_xlfn.RANK.AVG($O5,($J5,$O5,$T5),1)-2)*20)</f>
        <v>3.7</v>
      </c>
      <c r="W5" s="62">
        <f>IF($T5="","",ROUND(($T5-$T$3)/1000,1)+(_xlfn.RANK.AVG($T5,($J5,$O5,$T5),1)-2)*20)</f>
        <v>24.1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147</v>
      </c>
      <c r="BU5" s="47" t="s">
        <v>148</v>
      </c>
      <c r="BV5" s="48" t="s">
        <v>83</v>
      </c>
      <c r="BW5" s="48" t="s">
        <v>84</v>
      </c>
      <c r="BX5" s="48" t="s">
        <v>80</v>
      </c>
      <c r="BY5" s="48" t="s">
        <v>80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150</v>
      </c>
      <c r="G6" s="9">
        <v>5200</v>
      </c>
      <c r="H6" s="9"/>
      <c r="I6" s="55">
        <v>0</v>
      </c>
      <c r="J6" s="21">
        <f t="shared" si="2"/>
        <v>32400</v>
      </c>
      <c r="K6" s="8"/>
      <c r="L6" s="9"/>
      <c r="M6" s="9"/>
      <c r="N6" s="55"/>
      <c r="O6" s="21">
        <f t="shared" si="3"/>
        <v>38700</v>
      </c>
      <c r="P6" s="8" t="s">
        <v>151</v>
      </c>
      <c r="Q6" s="9">
        <v>-5200</v>
      </c>
      <c r="R6" s="9"/>
      <c r="S6" s="55">
        <v>0</v>
      </c>
      <c r="T6" s="21">
        <f t="shared" si="4"/>
        <v>33900</v>
      </c>
      <c r="U6" s="60">
        <f>IF($J6="","",ROUND(($J6-$J$3)/1000,1)+(_xlfn.RANK.AVG($J6,($J6,$O6,$T6),1)-2)*20)</f>
        <v>-22.6</v>
      </c>
      <c r="V6" s="61">
        <f>IF($O6="","",ROUND(($O6-$O$3)/1000,1)+(_xlfn.RANK.AVG($O6,($J6,$O6,$T6),1)-2)*20)</f>
        <v>23.7</v>
      </c>
      <c r="W6" s="62">
        <f>IF($T6="","",ROUND(($T6-$T$3)/1000,1)+(_xlfn.RANK.AVG($T6,($J6,$O6,$T6),1)-2)*20)</f>
        <v>-1.1000000000000001</v>
      </c>
      <c r="Y6" s="8"/>
      <c r="Z6" s="41"/>
      <c r="AA6" s="32"/>
      <c r="AB6" s="32"/>
      <c r="AC6" s="32">
        <v>3</v>
      </c>
      <c r="AD6" s="36">
        <v>40</v>
      </c>
      <c r="AE6" s="47" t="s">
        <v>87</v>
      </c>
      <c r="AF6" s="48" t="s">
        <v>149</v>
      </c>
      <c r="AG6" s="48" t="s">
        <v>149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161</v>
      </c>
      <c r="F7" s="8"/>
      <c r="G7" s="9"/>
      <c r="H7" s="9"/>
      <c r="I7" s="55"/>
      <c r="J7" s="21">
        <f t="shared" si="2"/>
        <v>32400</v>
      </c>
      <c r="K7" s="8" t="s">
        <v>151</v>
      </c>
      <c r="L7" s="9">
        <v>-2600</v>
      </c>
      <c r="M7" s="9"/>
      <c r="N7" s="55">
        <v>0</v>
      </c>
      <c r="O7" s="21">
        <f t="shared" si="3"/>
        <v>36100</v>
      </c>
      <c r="P7" s="8" t="s">
        <v>150</v>
      </c>
      <c r="Q7" s="9">
        <v>2600</v>
      </c>
      <c r="R7" s="9"/>
      <c r="S7" s="55">
        <v>0</v>
      </c>
      <c r="T7" s="21">
        <f t="shared" si="4"/>
        <v>36500</v>
      </c>
      <c r="U7" s="60">
        <f>IF($J7="","",ROUND(($J7-$J$3)/1000,1)+(_xlfn.RANK.AVG($J7,($J7,$O7,$T7),1)-2)*20)</f>
        <v>-22.6</v>
      </c>
      <c r="V7" s="61">
        <f>IF($O7="","",ROUND(($O7-$O$3)/1000,1)+(_xlfn.RANK.AVG($O7,($J7,$O7,$T7),1)-2)*20)</f>
        <v>1.1000000000000001</v>
      </c>
      <c r="W7" s="62">
        <f>IF($T7="","",ROUND(($T7-$T$3)/1000,1)+(_xlfn.RANK.AVG($T7,($J7,$O7,$T7),1)-2)*20)</f>
        <v>21.5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2</v>
      </c>
      <c r="BT7" s="36">
        <v>40</v>
      </c>
      <c r="BU7" s="47" t="s">
        <v>85</v>
      </c>
      <c r="BV7" s="48" t="s">
        <v>149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150</v>
      </c>
      <c r="G8" s="9">
        <v>6400</v>
      </c>
      <c r="H8" s="9"/>
      <c r="I8" s="55">
        <v>0</v>
      </c>
      <c r="J8" s="21">
        <f t="shared" si="2"/>
        <v>38800</v>
      </c>
      <c r="K8" s="8" t="s">
        <v>151</v>
      </c>
      <c r="L8" s="9">
        <v>-6400</v>
      </c>
      <c r="M8" s="9"/>
      <c r="N8" s="55">
        <v>0</v>
      </c>
      <c r="O8" s="21">
        <f t="shared" si="3"/>
        <v>29700</v>
      </c>
      <c r="P8" s="8"/>
      <c r="Q8" s="9"/>
      <c r="R8" s="9"/>
      <c r="S8" s="55"/>
      <c r="T8" s="21">
        <f t="shared" si="4"/>
        <v>36500</v>
      </c>
      <c r="U8" s="60">
        <f>IF($J8="","",ROUND(($J8-$J$3)/1000,1)+(_xlfn.RANK.AVG($J8,($J8,$O8,$T8),1)-2)*20)</f>
        <v>23.8</v>
      </c>
      <c r="V8" s="61">
        <f>IF($O8="","",ROUND(($O8-$O$3)/1000,1)+(_xlfn.RANK.AVG($O8,($J8,$O8,$T8),1)-2)*20)</f>
        <v>-25.3</v>
      </c>
      <c r="W8" s="62">
        <f>IF($T8="","",ROUND(($T8-$T$3)/1000,1)+(_xlfn.RANK.AVG($T8,($J8,$O8,$T8),1)-2)*20)</f>
        <v>1.5</v>
      </c>
      <c r="Y8" s="8"/>
      <c r="Z8" s="41"/>
      <c r="AA8" s="32"/>
      <c r="AB8" s="32"/>
      <c r="AC8" s="32">
        <v>4</v>
      </c>
      <c r="AD8" s="36">
        <v>25</v>
      </c>
      <c r="AE8" s="47" t="s">
        <v>102</v>
      </c>
      <c r="AF8" s="48" t="s">
        <v>80</v>
      </c>
      <c r="AG8" s="48" t="s">
        <v>80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151</v>
      </c>
      <c r="G9" s="9">
        <v>-12000</v>
      </c>
      <c r="H9" s="9"/>
      <c r="I9" s="55">
        <v>0</v>
      </c>
      <c r="J9" s="21">
        <f t="shared" si="2"/>
        <v>26800</v>
      </c>
      <c r="K9" s="8"/>
      <c r="L9" s="9"/>
      <c r="M9" s="9"/>
      <c r="N9" s="55"/>
      <c r="O9" s="21">
        <f t="shared" si="3"/>
        <v>29700</v>
      </c>
      <c r="P9" s="8" t="s">
        <v>150</v>
      </c>
      <c r="Q9" s="9">
        <v>12000</v>
      </c>
      <c r="R9" s="9"/>
      <c r="S9" s="55">
        <v>0</v>
      </c>
      <c r="T9" s="21">
        <f t="shared" si="4"/>
        <v>48500</v>
      </c>
      <c r="U9" s="60">
        <f>IF($J9="","",ROUND(($J9-$J$3)/1000,1)+(_xlfn.RANK.AVG($J9,($J9,$O9,$T9),1)-2)*20)</f>
        <v>-28.2</v>
      </c>
      <c r="V9" s="61">
        <f>IF($O9="","",ROUND(($O9-$O$3)/1000,1)+(_xlfn.RANK.AVG($O9,($J9,$O9,$T9),1)-2)*20)</f>
        <v>-5.3</v>
      </c>
      <c r="W9" s="62">
        <f>IF($T9="","",ROUND(($T9-$T$3)/1000,1)+(_xlfn.RANK.AVG($T9,($J9,$O9,$T9),1)-2)*20)</f>
        <v>33.5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5</v>
      </c>
      <c r="BT9" s="36" t="s">
        <v>147</v>
      </c>
      <c r="BU9" s="47" t="s">
        <v>87</v>
      </c>
      <c r="BV9" s="48" t="s">
        <v>149</v>
      </c>
      <c r="BW9" s="48" t="s">
        <v>80</v>
      </c>
      <c r="BX9" s="48" t="s">
        <v>80</v>
      </c>
      <c r="BY9" s="48" t="s">
        <v>80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17CAC8EA-753E-480B-9841-AAA89A9D8048}">
      <formula1>"ロン,ツモ,放銃,ツモ支払,流局,チョンボ"</formula1>
    </dataValidation>
    <dataValidation type="list" allowBlank="1" showInputMessage="1" showErrorMessage="1" sqref="E4:E30" xr:uid="{67552ED0-D498-4967-A7B1-2D2B89DDADF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2019-04-14T15:08:51Z</dcterms:modified>
</cp:coreProperties>
</file>