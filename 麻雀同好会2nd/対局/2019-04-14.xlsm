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B974413A-02A4-446F-9CF4-DD8734A9933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16" i="1" l="1"/>
  <c r="W16" i="1"/>
  <c r="U4" i="1"/>
  <c r="W4" i="1"/>
  <c r="V4" i="1"/>
  <c r="J6" i="1"/>
  <c r="T5" i="1"/>
  <c r="U5" i="1" s="1"/>
  <c r="O6" i="1"/>
  <c r="B10" i="1"/>
  <c r="V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9" i="1"/>
  <c r="U9" i="1"/>
  <c r="V8" i="1"/>
  <c r="V7" i="1"/>
  <c r="W7" i="1"/>
  <c r="J10" i="1"/>
  <c r="J11" i="1"/>
  <c r="O10" i="1"/>
  <c r="T9" i="1"/>
  <c r="B14" i="1"/>
  <c r="A14" i="1" s="1"/>
  <c r="W9" i="1" l="1"/>
  <c r="O11" i="1"/>
  <c r="J12" i="1"/>
  <c r="T10" i="1"/>
  <c r="V10" i="1" s="1"/>
  <c r="U10" i="1" l="1"/>
  <c r="W10" i="1"/>
  <c r="J13" i="1"/>
  <c r="O12" i="1"/>
  <c r="T11" i="1"/>
  <c r="U11" i="1" s="1"/>
  <c r="V11" i="1" l="1"/>
  <c r="W11" i="1"/>
  <c r="J14" i="1"/>
  <c r="O13" i="1"/>
  <c r="T12" i="1"/>
  <c r="U12" i="1" s="1"/>
  <c r="V12" i="1" l="1"/>
  <c r="W12" i="1"/>
  <c r="O14" i="1"/>
  <c r="J15" i="1"/>
  <c r="T13" i="1"/>
  <c r="U13" i="1" s="1"/>
  <c r="V13" i="1" l="1"/>
  <c r="V14" i="1"/>
  <c r="W13" i="1"/>
  <c r="T14" i="1"/>
  <c r="U14" i="1" s="1"/>
  <c r="O15" i="1"/>
  <c r="W14" i="1" l="1"/>
  <c r="T15" i="1"/>
  <c r="V15" i="1" s="1"/>
  <c r="U15" i="1" l="1"/>
  <c r="W15" i="1"/>
</calcChain>
</file>

<file path=xl/sharedStrings.xml><?xml version="1.0" encoding="utf-8"?>
<sst xmlns="http://schemas.openxmlformats.org/spreadsheetml/2006/main" count="581" uniqueCount="154">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</sst>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140</v>
      </c>
      <c r="G1" s="68"/>
      <c r="H1" s="68"/>
      <c r="I1" s="77"/>
      <c r="J1" s="69"/>
      <c r="K1" s="66" t="s">
        <v>142</v>
      </c>
      <c r="L1" s="68"/>
      <c r="M1" s="68"/>
      <c r="N1" s="77"/>
      <c r="O1" s="69"/>
      <c r="P1" s="66" t="s">
        <v>144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りくと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れんたろう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だいち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れんたろう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146</v>
      </c>
      <c r="L4" s="9">
        <v>16000</v>
      </c>
      <c r="M4" s="9"/>
      <c r="N4" s="55">
        <v>0</v>
      </c>
      <c r="O4" s="21">
        <f>IF(COUNTA($F4,$K4,$P4)&gt;0,O3+SUM(L4:N4),"")</f>
        <v>51000</v>
      </c>
      <c r="P4" s="8" t="s">
        <v>145</v>
      </c>
      <c r="Q4" s="9">
        <v>-10000</v>
      </c>
      <c r="R4" s="9"/>
      <c r="S4" s="55">
        <v>0</v>
      </c>
      <c r="T4" s="21">
        <f>IF(COUNTA($F4,$K4,$P4)&gt;0,T3+SUM(Q4:S4),"")</f>
        <v>25000</v>
      </c>
      <c r="U4" s="60">
        <f>IF($J4="","",ROUND(($J4-$J$3)/1000,1)+(_xlfn.RANK.AVG($J4,($J4,$O4,$T4),1)-2)*20)</f>
        <v>-6</v>
      </c>
      <c r="V4" s="61">
        <f>IF($O4="","",ROUND(($O4-$O$3)/1000,1)+(_xlfn.RANK.AVG($O4,($J4,$O4,$T4),1)-2)*20)</f>
        <v>36</v>
      </c>
      <c r="W4" s="62">
        <f>IF($T4="","",ROUND(($T4-$T$3)/1000,1)+(_xlfn.RANK.AVG($T4,($J4,$O4,$T4),1)-2)*20)</f>
        <v>-30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8</v>
      </c>
      <c r="AY4" s="36" t="s">
        <v>147</v>
      </c>
      <c r="AZ4" s="47" t="s">
        <v>148</v>
      </c>
      <c r="BA4" s="48" t="s">
        <v>83</v>
      </c>
      <c r="BB4" s="48" t="s">
        <v>85</v>
      </c>
      <c r="BC4" s="48" t="s">
        <v>84</v>
      </c>
      <c r="BD4" s="48" t="s">
        <v>80</v>
      </c>
      <c r="BE4" s="48" t="s">
        <v>80</v>
      </c>
      <c r="BF4" s="48" t="s">
        <v>81</v>
      </c>
      <c r="BG4" s="48" t="s">
        <v>149</v>
      </c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18000</v>
      </c>
      <c r="H5" s="9"/>
      <c r="I5" s="55">
        <v>0</v>
      </c>
      <c r="J5" s="21">
        <f t="shared" ref="J5:J30" si="2">IF(COUNTA($F5,$K5,$P5)&gt;0,J4+SUM(G5:I5),"")</f>
        <v>47000</v>
      </c>
      <c r="K5" s="8" t="s">
        <v>145</v>
      </c>
      <c r="L5" s="9">
        <v>-9000</v>
      </c>
      <c r="M5" s="9"/>
      <c r="N5" s="55">
        <v>0</v>
      </c>
      <c r="O5" s="21">
        <f t="shared" ref="O5:O30" si="3">IF(COUNTA($F5,$K5,$P5)&gt;0,O4+SUM(L5:N5),"")</f>
        <v>42000</v>
      </c>
      <c r="P5" s="8" t="s">
        <v>145</v>
      </c>
      <c r="Q5" s="9">
        <v>-9000</v>
      </c>
      <c r="R5" s="9"/>
      <c r="S5" s="55">
        <v>0</v>
      </c>
      <c r="T5" s="21">
        <f t="shared" ref="T5:T30" si="4">IF(COUNTA($F5,$K5,$P5)&gt;0,T4+SUM(Q5:S5),"")</f>
        <v>16000</v>
      </c>
      <c r="U5" s="60">
        <f>IF($J5="","",ROUND(($J5-$J$3)/1000,1)+(_xlfn.RANK.AVG($J5,($J5,$O5,$T5),1)-2)*20)</f>
        <v>32</v>
      </c>
      <c r="V5" s="61">
        <f>IF($O5="","",ROUND(($O5-$O$3)/1000,1)+(_xlfn.RANK.AVG($O5,($J5,$O5,$T5),1)-2)*20)</f>
        <v>7</v>
      </c>
      <c r="W5" s="62">
        <f>IF($T5="","",ROUND(($T5-$T$3)/1000,1)+(_xlfn.RANK.AVG($T5,($J5,$O5,$T5),1)-2)*20)</f>
        <v>-39</v>
      </c>
      <c r="Y5" s="8"/>
      <c r="Z5" s="41"/>
      <c r="AA5" s="32">
        <v>1</v>
      </c>
      <c r="AB5" s="32"/>
      <c r="AC5" s="32">
        <v>6</v>
      </c>
      <c r="AD5" s="36" t="s">
        <v>147</v>
      </c>
      <c r="AE5" s="47" t="s">
        <v>148</v>
      </c>
      <c r="AF5" s="48" t="s">
        <v>83</v>
      </c>
      <c r="AG5" s="48" t="s">
        <v>105</v>
      </c>
      <c r="AH5" s="48" t="s">
        <v>87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150</v>
      </c>
      <c r="G6" s="9">
        <v>2000</v>
      </c>
      <c r="H6" s="9"/>
      <c r="I6" s="55">
        <v>1000</v>
      </c>
      <c r="J6" s="21">
        <f t="shared" si="2"/>
        <v>50000</v>
      </c>
      <c r="K6" s="8" t="s">
        <v>151</v>
      </c>
      <c r="L6" s="9">
        <v>-2000</v>
      </c>
      <c r="M6" s="9"/>
      <c r="N6" s="55">
        <v>-1000</v>
      </c>
      <c r="O6" s="21">
        <f t="shared" si="3"/>
        <v>39000</v>
      </c>
      <c r="P6" s="8"/>
      <c r="Q6" s="9"/>
      <c r="R6" s="9"/>
      <c r="S6" s="55"/>
      <c r="T6" s="21">
        <f t="shared" si="4"/>
        <v>16000</v>
      </c>
      <c r="U6" s="60">
        <f>IF($J6="","",ROUND(($J6-$J$3)/1000,1)+(_xlfn.RANK.AVG($J6,($J6,$O6,$T6),1)-2)*20)</f>
        <v>35</v>
      </c>
      <c r="V6" s="61">
        <f>IF($O6="","",ROUND(($O6-$O$3)/1000,1)+(_xlfn.RANK.AVG($O6,($J6,$O6,$T6),1)-2)*20)</f>
        <v>4</v>
      </c>
      <c r="W6" s="62">
        <f>IF($T6="","",ROUND(($T6-$T$3)/1000,1)+(_xlfn.RANK.AVG($T6,($J6,$O6,$T6),1)-2)*20)</f>
        <v>-39</v>
      </c>
      <c r="Y6" s="8"/>
      <c r="Z6" s="41"/>
      <c r="AA6" s="32"/>
      <c r="AB6" s="32"/>
      <c r="AC6" s="32">
        <v>1</v>
      </c>
      <c r="AD6" s="36">
        <v>40</v>
      </c>
      <c r="AE6" s="47" t="s">
        <v>85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50000</v>
      </c>
      <c r="K7" s="8" t="s">
        <v>151</v>
      </c>
      <c r="L7" s="9">
        <v>-1300</v>
      </c>
      <c r="M7" s="9"/>
      <c r="N7" s="55">
        <v>-2000</v>
      </c>
      <c r="O7" s="21">
        <f t="shared" si="3"/>
        <v>35700</v>
      </c>
      <c r="P7" s="8" t="s">
        <v>150</v>
      </c>
      <c r="Q7" s="9">
        <v>1300</v>
      </c>
      <c r="R7" s="9"/>
      <c r="S7" s="55">
        <v>2000</v>
      </c>
      <c r="T7" s="21">
        <f t="shared" si="4"/>
        <v>19300</v>
      </c>
      <c r="U7" s="60">
        <f>IF($J7="","",ROUND(($J7-$J$3)/1000,1)+(_xlfn.RANK.AVG($J7,($J7,$O7,$T7),1)-2)*20)</f>
        <v>35</v>
      </c>
      <c r="V7" s="61">
        <f>IF($O7="","",ROUND(($O7-$O$3)/1000,1)+(_xlfn.RANK.AVG($O7,($J7,$O7,$T7),1)-2)*20)</f>
        <v>0.7</v>
      </c>
      <c r="W7" s="62">
        <f>IF($T7="","",ROUND(($T7-$T$3)/1000,1)+(_xlfn.RANK.AVG($T7,($J7,$O7,$T7),1)-2)*20)</f>
        <v>-35.700000000000003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</v>
      </c>
      <c r="BT7" s="36">
        <v>40</v>
      </c>
      <c r="BU7" s="47" t="s">
        <v>148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146</v>
      </c>
      <c r="G8" s="9">
        <v>7700</v>
      </c>
      <c r="H8" s="9">
        <v>1000</v>
      </c>
      <c r="I8" s="55">
        <v>0</v>
      </c>
      <c r="J8" s="21">
        <f t="shared" si="2"/>
        <v>58700</v>
      </c>
      <c r="K8" s="8" t="s">
        <v>145</v>
      </c>
      <c r="L8" s="9">
        <v>-4800</v>
      </c>
      <c r="M8" s="9">
        <v>-1000</v>
      </c>
      <c r="N8" s="55">
        <v>0</v>
      </c>
      <c r="O8" s="21">
        <f t="shared" si="3"/>
        <v>29900</v>
      </c>
      <c r="P8" s="8" t="s">
        <v>145</v>
      </c>
      <c r="Q8" s="9">
        <v>-2900</v>
      </c>
      <c r="R8" s="9"/>
      <c r="S8" s="55">
        <v>0</v>
      </c>
      <c r="T8" s="21">
        <f t="shared" si="4"/>
        <v>16400</v>
      </c>
      <c r="U8" s="60">
        <f>IF($J8="","",ROUND(($J8-$J$3)/1000,1)+(_xlfn.RANK.AVG($J8,($J8,$O8,$T8),1)-2)*20)</f>
        <v>43.7</v>
      </c>
      <c r="V8" s="61">
        <f>IF($O8="","",ROUND(($O8-$O$3)/1000,1)+(_xlfn.RANK.AVG($O8,($J8,$O8,$T8),1)-2)*20)</f>
        <v>-5.0999999999999996</v>
      </c>
      <c r="W8" s="62">
        <f>IF($T8="","",ROUND(($T8-$T$3)/1000,1)+(_xlfn.RANK.AVG($T8,($J8,$O8,$T8),1)-2)*20)</f>
        <v>-38.6</v>
      </c>
      <c r="Y8" s="8"/>
      <c r="Z8" s="41"/>
      <c r="AA8" s="32"/>
      <c r="AB8" s="32"/>
      <c r="AC8" s="32">
        <v>4</v>
      </c>
      <c r="AD8" s="36">
        <v>30</v>
      </c>
      <c r="AE8" s="47" t="s">
        <v>83</v>
      </c>
      <c r="AF8" s="48" t="s">
        <v>86</v>
      </c>
      <c r="AG8" s="48" t="s">
        <v>85</v>
      </c>
      <c r="AH8" s="48" t="s">
        <v>149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145</v>
      </c>
      <c r="G9" s="9">
        <v>-800</v>
      </c>
      <c r="H9" s="9">
        <v>-1000</v>
      </c>
      <c r="I9" s="55">
        <v>0</v>
      </c>
      <c r="J9" s="21">
        <f t="shared" si="2"/>
        <v>56900</v>
      </c>
      <c r="K9" s="8" t="s">
        <v>145</v>
      </c>
      <c r="L9" s="9">
        <v>-800</v>
      </c>
      <c r="M9" s="9">
        <v>-1000</v>
      </c>
      <c r="N9" s="55">
        <v>0</v>
      </c>
      <c r="O9" s="21">
        <f t="shared" si="3"/>
        <v>28100</v>
      </c>
      <c r="P9" s="8" t="s">
        <v>146</v>
      </c>
      <c r="Q9" s="9">
        <v>1600</v>
      </c>
      <c r="R9" s="9">
        <v>2000</v>
      </c>
      <c r="S9" s="55">
        <v>0</v>
      </c>
      <c r="T9" s="21">
        <f t="shared" si="4"/>
        <v>20000</v>
      </c>
      <c r="U9" s="60">
        <f>IF($J9="","",ROUND(($J9-$J$3)/1000,1)+(_xlfn.RANK.AVG($J9,($J9,$O9,$T9),1)-2)*20)</f>
        <v>41.9</v>
      </c>
      <c r="V9" s="61">
        <f>IF($O9="","",ROUND(($O9-$O$3)/1000,1)+(_xlfn.RANK.AVG($O9,($J9,$O9,$T9),1)-2)*20)</f>
        <v>-6.9</v>
      </c>
      <c r="W9" s="62">
        <f>IF($T9="","",ROUND(($T9-$T$3)/1000,1)+(_xlfn.RANK.AVG($T9,($J9,$O9,$T9),1)-2)*20)</f>
        <v>-35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1</v>
      </c>
      <c r="BT9" s="36">
        <v>30</v>
      </c>
      <c r="BU9" s="47" t="s">
        <v>87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143</v>
      </c>
      <c r="F10" s="8" t="s">
        <v>151</v>
      </c>
      <c r="G10" s="9">
        <v>-18000</v>
      </c>
      <c r="H10" s="9"/>
      <c r="I10" s="55">
        <v>-1000</v>
      </c>
      <c r="J10" s="21">
        <f t="shared" si="2"/>
        <v>37900</v>
      </c>
      <c r="K10" s="8"/>
      <c r="L10" s="9"/>
      <c r="M10" s="9"/>
      <c r="N10" s="55"/>
      <c r="O10" s="21">
        <f t="shared" si="3"/>
        <v>28100</v>
      </c>
      <c r="P10" s="8" t="s">
        <v>150</v>
      </c>
      <c r="Q10" s="9">
        <v>18000</v>
      </c>
      <c r="R10" s="9"/>
      <c r="S10" s="55">
        <v>1000</v>
      </c>
      <c r="T10" s="21">
        <f t="shared" si="4"/>
        <v>39000</v>
      </c>
      <c r="U10" s="60">
        <f>IF($J10="","",ROUND(($J10-$J$3)/1000,1)+(_xlfn.RANK.AVG($J10,($J10,$O10,$T10),1)-2)*20)</f>
        <v>2.9</v>
      </c>
      <c r="V10" s="61">
        <f>IF($O10="","",ROUND(($O10-$O$3)/1000,1)+(_xlfn.RANK.AVG($O10,($J10,$O10,$T10),1)-2)*20)</f>
        <v>-26.9</v>
      </c>
      <c r="W10" s="62">
        <f>IF($T10="","",ROUND(($T10-$T$3)/1000,1)+(_xlfn.RANK.AVG($T10,($J10,$O10,$T10),1)-2)*20)</f>
        <v>24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147</v>
      </c>
      <c r="BU10" s="47" t="s">
        <v>148</v>
      </c>
      <c r="BV10" s="48" t="s">
        <v>152</v>
      </c>
      <c r="BW10" s="48" t="s">
        <v>84</v>
      </c>
      <c r="BX10" s="48" t="s">
        <v>149</v>
      </c>
      <c r="BY10" s="48" t="s">
        <v>149</v>
      </c>
      <c r="BZ10" s="48" t="s">
        <v>80</v>
      </c>
      <c r="CA10" s="48" t="s">
        <v>81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143</v>
      </c>
      <c r="F11" s="8"/>
      <c r="G11" s="9"/>
      <c r="H11" s="9"/>
      <c r="I11" s="55"/>
      <c r="J11" s="21">
        <f t="shared" si="2"/>
        <v>37900</v>
      </c>
      <c r="K11" s="8" t="s">
        <v>150</v>
      </c>
      <c r="L11" s="9">
        <v>12000</v>
      </c>
      <c r="M11" s="9"/>
      <c r="N11" s="55">
        <v>2000</v>
      </c>
      <c r="O11" s="21">
        <f t="shared" si="3"/>
        <v>42100</v>
      </c>
      <c r="P11" s="8" t="s">
        <v>151</v>
      </c>
      <c r="Q11" s="9">
        <v>-12000</v>
      </c>
      <c r="R11" s="9"/>
      <c r="S11" s="55">
        <v>-2000</v>
      </c>
      <c r="T11" s="21">
        <f t="shared" si="4"/>
        <v>25000</v>
      </c>
      <c r="U11" s="60">
        <f>IF($J11="","",ROUND(($J11-$J$3)/1000,1)+(_xlfn.RANK.AVG($J11,($J11,$O11,$T11),1)-2)*20)</f>
        <v>2.9</v>
      </c>
      <c r="V11" s="61">
        <f>IF($O11="","",ROUND(($O11-$O$3)/1000,1)+(_xlfn.RANK.AVG($O11,($J11,$O11,$T11),1)-2)*20)</f>
        <v>27.1</v>
      </c>
      <c r="W11" s="62">
        <f>IF($T11="","",ROUND(($T11-$T$3)/1000,1)+(_xlfn.RANK.AVG($T11,($J11,$O11,$T11),1)-2)*20)</f>
        <v>-30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7</v>
      </c>
      <c r="AY11" s="36" t="s">
        <v>147</v>
      </c>
      <c r="AZ11" s="47" t="s">
        <v>148</v>
      </c>
      <c r="BA11" s="48" t="s">
        <v>152</v>
      </c>
      <c r="BB11" s="48" t="s">
        <v>84</v>
      </c>
      <c r="BC11" s="48" t="s">
        <v>93</v>
      </c>
      <c r="BD11" s="48" t="s">
        <v>80</v>
      </c>
      <c r="BE11" s="48" t="s">
        <v>81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150</v>
      </c>
      <c r="G12" s="9">
        <v>12000</v>
      </c>
      <c r="H12" s="9"/>
      <c r="I12" s="55">
        <v>0</v>
      </c>
      <c r="J12" s="21">
        <f t="shared" si="2"/>
        <v>49900</v>
      </c>
      <c r="K12" s="8"/>
      <c r="L12" s="9"/>
      <c r="M12" s="9"/>
      <c r="N12" s="55"/>
      <c r="O12" s="21">
        <f t="shared" si="3"/>
        <v>42100</v>
      </c>
      <c r="P12" s="8" t="s">
        <v>151</v>
      </c>
      <c r="Q12" s="9">
        <v>-12000</v>
      </c>
      <c r="R12" s="9"/>
      <c r="S12" s="55">
        <v>0</v>
      </c>
      <c r="T12" s="21">
        <f t="shared" si="4"/>
        <v>13000</v>
      </c>
      <c r="U12" s="60">
        <f>IF($J12="","",ROUND(($J12-$J$3)/1000,1)+(_xlfn.RANK.AVG($J12,($J12,$O12,$T12),1)-2)*20)</f>
        <v>34.9</v>
      </c>
      <c r="V12" s="61">
        <f>IF($O12="","",ROUND(($O12-$O$3)/1000,1)+(_xlfn.RANK.AVG($O12,($J12,$O12,$T12),1)-2)*20)</f>
        <v>7.1</v>
      </c>
      <c r="W12" s="62">
        <f>IF($T12="","",ROUND(($T12-$T$3)/1000,1)+(_xlfn.RANK.AVG($T12,($J12,$O12,$T12),1)-2)*20)</f>
        <v>-42</v>
      </c>
      <c r="Y12" s="8"/>
      <c r="Z12" s="41"/>
      <c r="AA12" s="32">
        <v>1</v>
      </c>
      <c r="AB12" s="32"/>
      <c r="AC12" s="32">
        <v>5</v>
      </c>
      <c r="AD12" s="36" t="s">
        <v>147</v>
      </c>
      <c r="AE12" s="47" t="s">
        <v>148</v>
      </c>
      <c r="AF12" s="48" t="s">
        <v>152</v>
      </c>
      <c r="AG12" s="48" t="s">
        <v>85</v>
      </c>
      <c r="AH12" s="48" t="s">
        <v>149</v>
      </c>
      <c r="AI12" s="48" t="s">
        <v>87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139</v>
      </c>
      <c r="F13" s="8" t="s">
        <v>150</v>
      </c>
      <c r="G13" s="9">
        <v>7700</v>
      </c>
      <c r="H13" s="9"/>
      <c r="I13" s="55">
        <v>1000</v>
      </c>
      <c r="J13" s="21">
        <f t="shared" si="2"/>
        <v>58600</v>
      </c>
      <c r="K13" s="8"/>
      <c r="L13" s="9"/>
      <c r="M13" s="9"/>
      <c r="N13" s="55"/>
      <c r="O13" s="21">
        <f t="shared" si="3"/>
        <v>42100</v>
      </c>
      <c r="P13" s="8" t="s">
        <v>151</v>
      </c>
      <c r="Q13" s="9">
        <v>-7700</v>
      </c>
      <c r="R13" s="9"/>
      <c r="S13" s="55">
        <v>-1000</v>
      </c>
      <c r="T13" s="21">
        <f t="shared" si="4"/>
        <v>4300</v>
      </c>
      <c r="U13" s="60">
        <f>IF($J13="","",ROUND(($J13-$J$3)/1000,1)+(_xlfn.RANK.AVG($J13,($J13,$O13,$T13),1)-2)*20)</f>
        <v>43.6</v>
      </c>
      <c r="V13" s="61">
        <f>IF($O13="","",ROUND(($O13-$O$3)/1000,1)+(_xlfn.RANK.AVG($O13,($J13,$O13,$T13),1)-2)*20)</f>
        <v>7.1</v>
      </c>
      <c r="W13" s="62">
        <f>IF($T13="","",ROUND(($T13-$T$3)/1000,1)+(_xlfn.RANK.AVG($T13,($J13,$O13,$T13),1)-2)*20)</f>
        <v>-50.7</v>
      </c>
      <c r="Y13" s="8"/>
      <c r="Z13" s="41"/>
      <c r="AA13" s="32">
        <v>1</v>
      </c>
      <c r="AB13" s="32"/>
      <c r="AC13" s="32">
        <v>3</v>
      </c>
      <c r="AD13" s="36">
        <v>40</v>
      </c>
      <c r="AE13" s="47" t="s">
        <v>148</v>
      </c>
      <c r="AF13" s="48" t="s">
        <v>81</v>
      </c>
      <c r="AG13" s="48" t="s">
        <v>87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139</v>
      </c>
      <c r="F14" s="8" t="s">
        <v>145</v>
      </c>
      <c r="G14" s="9">
        <v>-7500</v>
      </c>
      <c r="H14" s="9"/>
      <c r="I14" s="55">
        <v>-1000</v>
      </c>
      <c r="J14" s="21">
        <f t="shared" si="2"/>
        <v>50100</v>
      </c>
      <c r="K14" s="8" t="s">
        <v>145</v>
      </c>
      <c r="L14" s="9">
        <v>-4500</v>
      </c>
      <c r="M14" s="9"/>
      <c r="N14" s="55">
        <v>-1000</v>
      </c>
      <c r="O14" s="21">
        <f t="shared" si="3"/>
        <v>36600</v>
      </c>
      <c r="P14" s="8" t="s">
        <v>146</v>
      </c>
      <c r="Q14" s="9">
        <v>12000</v>
      </c>
      <c r="R14" s="9"/>
      <c r="S14" s="55">
        <v>2000</v>
      </c>
      <c r="T14" s="21">
        <f t="shared" si="4"/>
        <v>18300</v>
      </c>
      <c r="U14" s="60">
        <f>IF($J14="","",ROUND(($J14-$J$3)/1000,1)+(_xlfn.RANK.AVG($J14,($J14,$O14,$T14),1)-2)*20)</f>
        <v>35.1</v>
      </c>
      <c r="V14" s="61">
        <f>IF($O14="","",ROUND(($O14-$O$3)/1000,1)+(_xlfn.RANK.AVG($O14,($J14,$O14,$T14),1)-2)*20)</f>
        <v>1.6</v>
      </c>
      <c r="W14" s="62">
        <f>IF($T14="","",ROUND(($T14-$T$3)/1000,1)+(_xlfn.RANK.AVG($T14,($J14,$O14,$T14),1)-2)*20)</f>
        <v>-36.700000000000003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>
        <v>7</v>
      </c>
      <c r="BT14" s="36" t="s">
        <v>147</v>
      </c>
      <c r="BU14" s="47" t="s">
        <v>83</v>
      </c>
      <c r="BV14" s="48" t="s">
        <v>102</v>
      </c>
      <c r="BW14" s="48" t="s">
        <v>80</v>
      </c>
      <c r="BX14" s="48" t="s">
        <v>80</v>
      </c>
      <c r="BY14" s="48" t="s">
        <v>80</v>
      </c>
      <c r="BZ14" s="48" t="s">
        <v>80</v>
      </c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141</v>
      </c>
      <c r="F15" s="8" t="s">
        <v>150</v>
      </c>
      <c r="G15" s="9">
        <v>2600</v>
      </c>
      <c r="H15" s="9">
        <v>1000</v>
      </c>
      <c r="I15" s="55">
        <v>0</v>
      </c>
      <c r="J15" s="21">
        <f t="shared" si="2"/>
        <v>53700</v>
      </c>
      <c r="K15" s="8" t="s">
        <v>150</v>
      </c>
      <c r="L15" s="9">
        <v>12000</v>
      </c>
      <c r="M15" s="9"/>
      <c r="N15" s="55"/>
      <c r="O15" s="21">
        <f t="shared" si="3"/>
        <v>48600</v>
      </c>
      <c r="P15" s="8" t="s">
        <v>151</v>
      </c>
      <c r="Q15" s="9">
        <v>-14600</v>
      </c>
      <c r="R15" s="9">
        <v>-1000</v>
      </c>
      <c r="S15" s="55">
        <v>0</v>
      </c>
      <c r="T15" s="21">
        <f t="shared" si="4"/>
        <v>2700</v>
      </c>
      <c r="U15" s="60">
        <f>IF($J15="","",ROUND(($J15-$J$3)/1000,1)+(_xlfn.RANK.AVG($J15,($J15,$O15,$T15),1)-2)*20)</f>
        <v>38.700000000000003</v>
      </c>
      <c r="V15" s="61">
        <f>IF($O15="","",ROUND(($O15-$O$3)/1000,1)+(_xlfn.RANK.AVG($O15,($J15,$O15,$T15),1)-2)*20)</f>
        <v>13.6</v>
      </c>
      <c r="W15" s="62">
        <f>IF($T15="","",ROUND(($T15-$T$3)/1000,1)+(_xlfn.RANK.AVG($T15,($J15,$O15,$T15),1)-2)*20)</f>
        <v>-52.3</v>
      </c>
      <c r="Y15" s="8"/>
      <c r="Z15" s="41"/>
      <c r="AA15" s="32">
        <v>1</v>
      </c>
      <c r="AB15" s="32"/>
      <c r="AC15" s="32">
        <v>2</v>
      </c>
      <c r="AD15" s="36">
        <v>40</v>
      </c>
      <c r="AE15" s="47" t="s">
        <v>153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>
        <v>5</v>
      </c>
      <c r="AY15" s="36" t="s">
        <v>147</v>
      </c>
      <c r="AZ15" s="47" t="s">
        <v>153</v>
      </c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142</v>
      </c>
      <c r="F16" s="8" t="s">
        <v>150</v>
      </c>
      <c r="G16" s="9">
        <v>7700</v>
      </c>
      <c r="H16" s="9"/>
      <c r="I16" s="55">
        <v>1000</v>
      </c>
      <c r="J16" s="21">
        <f t="shared" si="2"/>
        <v>62400</v>
      </c>
      <c r="K16" s="8" t="s">
        <v>151</v>
      </c>
      <c r="L16" s="9">
        <v>-7700</v>
      </c>
      <c r="M16" s="9"/>
      <c r="N16" s="55">
        <v>-1000</v>
      </c>
      <c r="O16" s="21">
        <f t="shared" si="3"/>
        <v>39900</v>
      </c>
      <c r="P16" s="8"/>
      <c r="Q16" s="9"/>
      <c r="R16" s="9"/>
      <c r="S16" s="55"/>
      <c r="T16" s="21">
        <f t="shared" si="4"/>
        <v>2700</v>
      </c>
      <c r="U16" s="60">
        <f>IF($J16="","",ROUND(($J16-$J$3)/1000,1)+(_xlfn.RANK.AVG($J16,($J16,$O16,$T16),1)-2)*20)</f>
        <v>47.4</v>
      </c>
      <c r="V16" s="61">
        <f>IF($O16="","",ROUND(($O16-$O$3)/1000,1)+(_xlfn.RANK.AVG($O16,($J16,$O16,$T16),1)-2)*20)</f>
        <v>4.9000000000000004</v>
      </c>
      <c r="W16" s="62">
        <f>IF($T16="","",ROUND(($T16-$T$3)/1000,1)+(_xlfn.RANK.AVG($T16,($J16,$O16,$T16),1)-2)*20)</f>
        <v>-52.3</v>
      </c>
      <c r="Y16" s="8"/>
      <c r="Z16" s="41"/>
      <c r="AA16" s="32">
        <v>1</v>
      </c>
      <c r="AB16" s="32"/>
      <c r="AC16" s="32">
        <v>4</v>
      </c>
      <c r="AD16" s="36">
        <v>30</v>
      </c>
      <c r="AE16" s="47" t="s">
        <v>148</v>
      </c>
      <c r="AF16" s="48" t="s">
        <v>84</v>
      </c>
      <c r="AG16" s="48" t="s">
        <v>86</v>
      </c>
      <c r="AH16" s="48" t="s">
        <v>149</v>
      </c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>
        <v>1</v>
      </c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2019-04-14T11:00:16Z</dcterms:modified>
</cp:coreProperties>
</file>