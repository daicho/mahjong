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C3192EC-3AC5-4395-A34B-937B1E836336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 s="1"/>
  <c r="T18" i="16"/>
  <c r="O18" i="16"/>
  <c r="J18" i="16"/>
  <c r="U18" i="16" s="1"/>
  <c r="D18" i="16"/>
  <c r="C18" i="16"/>
  <c r="B18" i="16"/>
  <c r="A18" i="16" s="1"/>
  <c r="T17" i="16"/>
  <c r="O17" i="16"/>
  <c r="V17" i="16" s="1"/>
  <c r="J17" i="16"/>
  <c r="U17" i="16" s="1"/>
  <c r="D17" i="16"/>
  <c r="C17" i="16"/>
  <c r="B17" i="16"/>
  <c r="A17" i="16"/>
  <c r="T16" i="16"/>
  <c r="O16" i="16"/>
  <c r="J16" i="16"/>
  <c r="U16" i="16" s="1"/>
  <c r="D16" i="16"/>
  <c r="C16" i="16"/>
  <c r="B16" i="16"/>
  <c r="A16" i="16" s="1"/>
  <c r="T15" i="16"/>
  <c r="O15" i="16"/>
  <c r="J15" i="16"/>
  <c r="U15" i="16" s="1"/>
  <c r="D15" i="16"/>
  <c r="C15" i="16"/>
  <c r="B15" i="16"/>
  <c r="A15" i="16" s="1"/>
  <c r="T14" i="16"/>
  <c r="O14" i="16"/>
  <c r="J14" i="16"/>
  <c r="U14" i="16" s="1"/>
  <c r="D14" i="16"/>
  <c r="C14" i="16"/>
  <c r="B14" i="16"/>
  <c r="A14" i="16" s="1"/>
  <c r="T13" i="16"/>
  <c r="O13" i="16"/>
  <c r="J13" i="16"/>
  <c r="D13" i="16"/>
  <c r="C13" i="16"/>
  <c r="B13" i="16"/>
  <c r="A13" i="16" s="1"/>
  <c r="T12" i="16"/>
  <c r="O12" i="16"/>
  <c r="V12" i="16" s="1"/>
  <c r="J12" i="16"/>
  <c r="D12" i="16"/>
  <c r="C12" i="16"/>
  <c r="B12" i="16"/>
  <c r="A12" i="16" s="1"/>
  <c r="T11" i="16"/>
  <c r="O11" i="16"/>
  <c r="V11" i="16" s="1"/>
  <c r="J11" i="16"/>
  <c r="U11" i="16" s="1"/>
  <c r="D11" i="16"/>
  <c r="C11" i="16"/>
  <c r="B11" i="16"/>
  <c r="A11" i="16"/>
  <c r="D10" i="16"/>
  <c r="D9" i="16"/>
  <c r="D8" i="16"/>
  <c r="D7" i="16"/>
  <c r="C7" i="16"/>
  <c r="C8" i="16" s="1"/>
  <c r="C9" i="16" s="1"/>
  <c r="C10" i="16" s="1"/>
  <c r="D6" i="16"/>
  <c r="B6" i="16"/>
  <c r="B7" i="16" s="1"/>
  <c r="D5" i="16"/>
  <c r="C5" i="16"/>
  <c r="C6" i="16" s="1"/>
  <c r="B5" i="16"/>
  <c r="A5" i="16" s="1"/>
  <c r="T4" i="16"/>
  <c r="O4" i="16"/>
  <c r="O5" i="16" s="1"/>
  <c r="J4" i="16"/>
  <c r="W3" i="16"/>
  <c r="V3" i="16"/>
  <c r="U3" i="16"/>
  <c r="W2" i="16"/>
  <c r="V2" i="16"/>
  <c r="U2" i="16"/>
  <c r="BO1" i="16"/>
  <c r="AT1" i="16"/>
  <c r="Y1" i="16"/>
  <c r="V18" i="16" l="1"/>
  <c r="W18" i="16"/>
  <c r="W17" i="16"/>
  <c r="V16" i="16"/>
  <c r="W16" i="16"/>
  <c r="W15" i="16"/>
  <c r="V15" i="16"/>
  <c r="V14" i="16"/>
  <c r="W14" i="16"/>
  <c r="V13" i="16"/>
  <c r="W13" i="16"/>
  <c r="U13" i="16"/>
  <c r="W12" i="16"/>
  <c r="U12" i="16"/>
  <c r="W11" i="16"/>
  <c r="A6" i="16"/>
  <c r="W4" i="16"/>
  <c r="V4" i="16"/>
  <c r="B8" i="16"/>
  <c r="A8" i="16" s="1"/>
  <c r="A7" i="16"/>
  <c r="O6" i="16"/>
  <c r="U4" i="16"/>
  <c r="J5" i="16"/>
  <c r="V5" i="16" s="1"/>
  <c r="T5" i="16"/>
  <c r="B9" i="16" l="1"/>
  <c r="A9" i="16" s="1"/>
  <c r="W5" i="16"/>
  <c r="T6" i="16"/>
  <c r="J6" i="16"/>
  <c r="U5" i="16"/>
  <c r="V6" i="16"/>
  <c r="O7" i="16"/>
  <c r="O8" i="16" l="1"/>
  <c r="W6" i="16"/>
  <c r="T7" i="16"/>
  <c r="U6" i="16"/>
  <c r="J7" i="16"/>
  <c r="B10" i="16"/>
  <c r="A10" i="16"/>
  <c r="U7" i="16" l="1"/>
  <c r="J8" i="16"/>
  <c r="W7" i="16"/>
  <c r="T8" i="16"/>
  <c r="V7" i="16"/>
  <c r="V8" i="16"/>
  <c r="O9" i="16"/>
  <c r="T9" i="16" l="1"/>
  <c r="V9" i="16" s="1"/>
  <c r="W8" i="16"/>
  <c r="U8" i="16"/>
  <c r="J9" i="16"/>
  <c r="O10" i="16"/>
  <c r="U9" i="16" l="1"/>
  <c r="J10" i="16"/>
  <c r="U10" i="16" s="1"/>
  <c r="W9" i="16"/>
  <c r="T10" i="16"/>
  <c r="W10" i="16" s="1"/>
  <c r="V10" i="16" l="1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8" i="1" l="1"/>
  <c r="U6" i="1"/>
  <c r="W6" i="1"/>
  <c r="T7" i="1"/>
  <c r="U7" i="1" s="1"/>
  <c r="J9" i="1"/>
  <c r="T8" i="1"/>
  <c r="W8" i="1" s="1"/>
  <c r="O9" i="1"/>
  <c r="B13" i="1"/>
  <c r="A13" i="1" s="1"/>
  <c r="V8" i="1" l="1"/>
  <c r="V7" i="1"/>
  <c r="W7" i="1"/>
  <c r="J10" i="1"/>
  <c r="J11" i="1"/>
  <c r="U11" i="1" s="1"/>
  <c r="O10" i="1"/>
  <c r="T9" i="1"/>
  <c r="V9" i="1" s="1"/>
  <c r="B14" i="1"/>
  <c r="A14" i="1" s="1"/>
  <c r="U9" i="1" l="1"/>
  <c r="W9" i="1"/>
  <c r="O11" i="1"/>
  <c r="J12" i="1"/>
  <c r="U12" i="1" s="1"/>
  <c r="T10" i="1"/>
  <c r="V10" i="1" s="1"/>
  <c r="U10" i="1" l="1"/>
  <c r="V11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<sst xmlns="http://schemas.openxmlformats.org/spreadsheetml/2006/main" count="705" uniqueCount="158">
  <si>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</si>
  <si>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</si>
  <si>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</si>
  <si>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</si>
  <si>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</si>
  <si>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</si>
  <si>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</si>
  <si>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</si>
  <si>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</si>
  <si>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</si>
  <si>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</si>
  <si>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</si>
  <si>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</si>
  <si>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</si>
  <si>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</si>
  <si>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</si>
  <si>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</si>
  <si>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</si>
  <si>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</si>
  <si>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</si>
  <si>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</si>
  <si>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</si>
  <si>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</si>
  <si>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</si>
  <si>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</si>
  <si>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</si>
  <si>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</si>
  <si>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</si>
  <si>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</si>
  <si>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</si>
  <si>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</si>
  <si>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</si>
  <si>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</si>
  <si>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</si>
  <si>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</si>
  <si>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</si>
  <si>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</si>
  <si>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</si>
  <si>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</si>
  <si>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</si>
  <si>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</si>
  <si>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</si>
  <si>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</si>
  <si>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</si>
  <si>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</si>
  <si>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</si>
  <si>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</si>
  <si>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</si>
  <si>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</si>
  <si>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</si>
  <si>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</si>
  <si>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</si>
  <si>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</si>
  <si>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</si>
  <si>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</si>
  <si>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</si>
  <si>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</si>
  <si>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</si>
  <si>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</si>
  <si>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</si>
  <si>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</si>
  <si>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</si>
  <si>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</si>
  <si>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</si>
  <si>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</si>
  <si>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</si>
  <si>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</si>
  <si>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</si>
  <si>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</si>
  <si>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</si>
  <si>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</si>
  <si>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</si>
  <si>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</si>
  <si>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</si>
  <si>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</si>
  <si>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</si>
  <si>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</si>
  <si>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</si>
  <si>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</si>
  <si>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</si>
  <si>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</si>
  <si>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</si>
  <si>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</si>
  <si>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</si>
  <si>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</si>
  <si>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</si>
  <si>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</si>
  <si>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</si>
  <si>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</si>
  <si>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</si>
  <si>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</si>
  <si>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</si>
  <si>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</si>
  <si>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</si>
  <si>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</si>
  <si>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</si>
  <si>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</si>
  <si>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</si>
  <si>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</si>
  <si>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</si>
  <si>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</si>
  <si>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</si>
  <si>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</si>
  <si>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</si>
  <si>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</si>
  <si>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</si>
  <si>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</si>
  <si>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</si>
  <si>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</si>
  <si>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</si>
  <si>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</si>
  <si>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</si>
  <si>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</si>
  <si>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</si>
  <si>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</si>
  <si>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</si>
  <si>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</si>
  <si>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</si>
  <si>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</si>
  <si>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</si>
  <si>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</si>
  <si>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</si>
  <si>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</si>
  <si>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</si>
  <si>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</si>
  <si>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</si>
  <si>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</si>
  <si>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</si>
  <si>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</si>
  <si>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</si>
  <si>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</si>
  <si>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</si>
  <si>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</si>
  <si>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</si>
  <si>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</si>
  <si>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</si>
  <si>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</si>
  <si>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</si>
  <si>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</si>
  <si>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</si>
  <si>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</si>
  <si>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</si>
  <si>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</si>
  <si>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</si>
  <si>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</si>
  <si>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</si>
  <si>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</si>
  <si>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</si>
  <si>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</si>
  <si>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</si>
  <si>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</si>
  <si>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</si>
  <si>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ぱぱ</t>
  </si>
  <si>
    <t>ぱぱ</t>
    <phoneticPr fontId="1"/>
  </si>
  <si>
    <t>T</t>
  </si>
  <si>
    <t>流局</t>
    <phoneticPr fontId="1"/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</si>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</sst>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146</v>
      </c>
      <c r="L4" s="9">
        <v>24000</v>
      </c>
      <c r="M4" s="9"/>
      <c r="N4" s="55">
        <v>0</v>
      </c>
      <c r="O4" s="21">
        <f>IF(COUNTA($F4,$K4,$P4)&gt;0,O3+SUM(L4:N4),"")</f>
        <v>59000</v>
      </c>
      <c r="P4" s="8" t="s">
        <v>145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>IF($J4="","",ROUND(($J4-$J$3)/1000,1)+(_xlfn.RANK.AVG($J4,($J4,$O4,$T4),1)-2)*20)</f>
        <v>-22</v>
      </c>
      <c r="V4" s="61">
        <f>IF($O4="","",ROUND(($O4-$O$3)/1000,1)+(_xlfn.RANK.AVG($O4,($J4,$O4,$T4),1)-2)*20)</f>
        <v>44</v>
      </c>
      <c r="W4" s="62">
        <f>IF($T4="","",ROUND(($T4-$T$3)/1000,1)+(_xlfn.RANK.AVG($T4,($J4,$O4,$T4),1)-2)*20)</f>
        <v>-22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8</v>
      </c>
      <c r="AY4" s="36" t="s">
        <v>147</v>
      </c>
      <c r="AZ4" s="47" t="s">
        <v>148</v>
      </c>
      <c r="BA4" s="48" t="s">
        <v>83</v>
      </c>
      <c r="BB4" s="48" t="s">
        <v>84</v>
      </c>
      <c r="BC4" s="48" t="s">
        <v>86</v>
      </c>
      <c r="BD4" s="48" t="s">
        <v>85</v>
      </c>
      <c r="BE4" s="48" t="s">
        <v>81</v>
      </c>
      <c r="BF4" s="48" t="s">
        <v>81</v>
      </c>
      <c r="BG4" s="48" t="s">
        <v>81</v>
      </c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-6000</v>
      </c>
      <c r="H5" s="9"/>
      <c r="I5" s="55">
        <v>-500</v>
      </c>
      <c r="J5" s="21">
        <f t="shared" ref="J5:J30" si="2">IF(COUNTA($F5,$K5,$P5)&gt;0,J4+SUM(G5:I5),"")</f>
        <v>16500</v>
      </c>
      <c r="K5" s="8" t="s">
        <v>146</v>
      </c>
      <c r="L5" s="9">
        <v>12000</v>
      </c>
      <c r="M5" s="9"/>
      <c r="N5" s="55">
        <v>1000</v>
      </c>
      <c r="O5" s="21">
        <f t="shared" ref="O5:O30" si="3">IF(COUNTA($F5,$K5,$P5)&gt;0,O4+SUM(L5:N5),"")</f>
        <v>72000</v>
      </c>
      <c r="P5" s="8" t="s">
        <v>145</v>
      </c>
      <c r="Q5" s="9">
        <v>-6000</v>
      </c>
      <c r="R5" s="9"/>
      <c r="S5" s="55">
        <v>-500</v>
      </c>
      <c r="T5" s="21">
        <f t="shared" ref="T5:T30" si="4">IF(COUNTA($F5,$K5,$P5)&gt;0,T4+SUM(Q5:S5),"")</f>
        <v>16500</v>
      </c>
      <c r="U5" s="60">
        <f>IF($J5="","",ROUND(($J5-$J$3)/1000,1)+(_xlfn.RANK.AVG($J5,($J5,$O5,$T5),1)-2)*20)</f>
        <v>-28.5</v>
      </c>
      <c r="V5" s="61">
        <f>IF($O5="","",ROUND(($O5-$O$3)/1000,1)+(_xlfn.RANK.AVG($O5,($J5,$O5,$T5),1)-2)*20)</f>
        <v>57</v>
      </c>
      <c r="W5" s="62">
        <f>IF($T5="","",ROUND(($T5-$T$3)/1000,1)+(_xlfn.RANK.AVG($T5,($J5,$O5,$T5),1)-2)*20)</f>
        <v>-28.5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5</v>
      </c>
      <c r="AY5" s="36" t="s">
        <v>147</v>
      </c>
      <c r="AZ5" s="47" t="s">
        <v>105</v>
      </c>
      <c r="BA5" s="48" t="s">
        <v>87</v>
      </c>
      <c r="BB5" s="48" t="s">
        <v>149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 t="s">
        <v>150</v>
      </c>
      <c r="G6" s="9">
        <v>12000</v>
      </c>
      <c r="H6" s="9"/>
      <c r="I6" s="55">
        <v>2000</v>
      </c>
      <c r="J6" s="21">
        <f t="shared" si="2"/>
        <v>30500</v>
      </c>
      <c r="K6" s="8"/>
      <c r="L6" s="9"/>
      <c r="M6" s="9"/>
      <c r="N6" s="55"/>
      <c r="O6" s="21">
        <f t="shared" si="3"/>
        <v>72000</v>
      </c>
      <c r="P6" s="8" t="s">
        <v>151</v>
      </c>
      <c r="Q6" s="9">
        <v>-12000</v>
      </c>
      <c r="R6" s="9"/>
      <c r="S6" s="55">
        <v>-2000</v>
      </c>
      <c r="T6" s="21">
        <f t="shared" si="4"/>
        <v>2500</v>
      </c>
      <c r="U6" s="60">
        <f>IF($J6="","",ROUND(($J6-$J$3)/1000,1)+(_xlfn.RANK.AVG($J6,($J6,$O6,$T6),1)-2)*20)</f>
        <v>-4.5</v>
      </c>
      <c r="V6" s="61">
        <f>IF($O6="","",ROUND(($O6-$O$3)/1000,1)+(_xlfn.RANK.AVG($O6,($J6,$O6,$T6),1)-2)*20)</f>
        <v>57</v>
      </c>
      <c r="W6" s="62">
        <f>IF($T6="","",ROUND(($T6-$T$3)/1000,1)+(_xlfn.RANK.AVG($T6,($J6,$O6,$T6),1)-2)*20)</f>
        <v>-52.5</v>
      </c>
      <c r="Y6" s="8"/>
      <c r="Z6" s="41"/>
      <c r="AA6" s="32"/>
      <c r="AB6" s="32">
        <v>1</v>
      </c>
      <c r="AC6" s="32">
        <v>7</v>
      </c>
      <c r="AD6" s="36" t="s">
        <v>147</v>
      </c>
      <c r="AE6" s="47" t="s">
        <v>105</v>
      </c>
      <c r="AF6" s="48" t="s">
        <v>87</v>
      </c>
      <c r="AG6" s="48" t="s">
        <v>87</v>
      </c>
      <c r="AH6" s="48" t="s">
        <v>80</v>
      </c>
      <c r="AI6" s="48" t="s">
        <v>80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145</v>
      </c>
      <c r="G7" s="9">
        <v>-12000</v>
      </c>
      <c r="H7" s="9"/>
      <c r="I7" s="55">
        <v>0</v>
      </c>
      <c r="J7" s="21">
        <f t="shared" si="2"/>
        <v>18500</v>
      </c>
      <c r="K7" s="8" t="s">
        <v>145</v>
      </c>
      <c r="L7" s="9">
        <v>-12000</v>
      </c>
      <c r="M7" s="9">
        <v>-1000</v>
      </c>
      <c r="N7" s="55">
        <v>0</v>
      </c>
      <c r="O7" s="21">
        <f t="shared" si="3"/>
        <v>59000</v>
      </c>
      <c r="P7" s="8" t="s">
        <v>146</v>
      </c>
      <c r="Q7" s="9">
        <v>24000</v>
      </c>
      <c r="R7" s="9">
        <v>1000</v>
      </c>
      <c r="S7" s="55">
        <v>0</v>
      </c>
      <c r="T7" s="21">
        <f t="shared" si="4"/>
        <v>27500</v>
      </c>
      <c r="U7" s="60">
        <f>IF($J7="","",ROUND(($J7-$J$3)/1000,1)+(_xlfn.RANK.AVG($J7,($J7,$O7,$T7),1)-2)*20)</f>
        <v>-36.5</v>
      </c>
      <c r="V7" s="61">
        <f>IF($O7="","",ROUND(($O7-$O$3)/1000,1)+(_xlfn.RANK.AVG($O7,($J7,$O7,$T7),1)-2)*20)</f>
        <v>44</v>
      </c>
      <c r="W7" s="62">
        <f>IF($T7="","",ROUND(($T7-$T$3)/1000,1)+(_xlfn.RANK.AVG($T7,($J7,$O7,$T7),1)-2)*20)</f>
        <v>-7.5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9</v>
      </c>
      <c r="BT7" s="36" t="s">
        <v>147</v>
      </c>
      <c r="BU7" s="47" t="s">
        <v>148</v>
      </c>
      <c r="BV7" s="48" t="s">
        <v>83</v>
      </c>
      <c r="BW7" s="48" t="s">
        <v>81</v>
      </c>
      <c r="BX7" s="48" t="s">
        <v>81</v>
      </c>
      <c r="BY7" s="48" t="s">
        <v>81</v>
      </c>
      <c r="BZ7" s="48" t="s">
        <v>80</v>
      </c>
      <c r="CA7" s="48" t="s">
        <v>80</v>
      </c>
      <c r="CB7" s="48" t="s">
        <v>87</v>
      </c>
      <c r="CC7" s="48" t="s">
        <v>149</v>
      </c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143</v>
      </c>
      <c r="F8" s="8" t="s">
        <v>151</v>
      </c>
      <c r="G8" s="9">
        <v>-2900</v>
      </c>
      <c r="H8" s="9"/>
      <c r="I8" s="55">
        <v>-1000</v>
      </c>
      <c r="J8" s="21">
        <f t="shared" si="2"/>
        <v>14600</v>
      </c>
      <c r="K8" s="8"/>
      <c r="L8" s="9"/>
      <c r="M8" s="9"/>
      <c r="N8" s="55"/>
      <c r="O8" s="21">
        <f t="shared" si="3"/>
        <v>59000</v>
      </c>
      <c r="P8" s="8" t="s">
        <v>150</v>
      </c>
      <c r="Q8" s="9">
        <v>2900</v>
      </c>
      <c r="R8" s="9"/>
      <c r="S8" s="55">
        <v>1000</v>
      </c>
      <c r="T8" s="21">
        <f t="shared" si="4"/>
        <v>31400</v>
      </c>
      <c r="U8" s="60">
        <f>IF($J8="","",ROUND(($J8-$J$3)/1000,1)+(_xlfn.RANK.AVG($J8,($J8,$O8,$T8),1)-2)*20)</f>
        <v>-40.4</v>
      </c>
      <c r="V8" s="61">
        <f>IF($O8="","",ROUND(($O8-$O$3)/1000,1)+(_xlfn.RANK.AVG($O8,($J8,$O8,$T8),1)-2)*20)</f>
        <v>44</v>
      </c>
      <c r="W8" s="62">
        <f>IF($T8="","",ROUND(($T8-$T$3)/1000,1)+(_xlfn.RANK.AVG($T8,($J8,$O8,$T8),1)-2)*20)</f>
        <v>-3.6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143</v>
      </c>
      <c r="F9" s="8" t="s">
        <v>145</v>
      </c>
      <c r="G9" s="9">
        <v>-6000</v>
      </c>
      <c r="H9" s="9"/>
      <c r="I9" s="55">
        <v>-1000</v>
      </c>
      <c r="J9" s="21">
        <f t="shared" si="2"/>
        <v>7600</v>
      </c>
      <c r="K9" s="8" t="s">
        <v>145</v>
      </c>
      <c r="L9" s="9">
        <v>-6000</v>
      </c>
      <c r="M9" s="9"/>
      <c r="N9" s="55">
        <v>-1000</v>
      </c>
      <c r="O9" s="21">
        <f t="shared" si="3"/>
        <v>52000</v>
      </c>
      <c r="P9" s="8" t="s">
        <v>146</v>
      </c>
      <c r="Q9" s="9">
        <v>12000</v>
      </c>
      <c r="R9" s="9"/>
      <c r="S9" s="55">
        <v>2000</v>
      </c>
      <c r="T9" s="21">
        <f t="shared" si="4"/>
        <v>45400</v>
      </c>
      <c r="U9" s="60">
        <f>IF($J9="","",ROUND(($J9-$J$3)/1000,1)+(_xlfn.RANK.AVG($J9,($J9,$O9,$T9),1)-2)*20)</f>
        <v>-47.4</v>
      </c>
      <c r="V9" s="61">
        <f>IF($O9="","",ROUND(($O9-$O$3)/1000,1)+(_xlfn.RANK.AVG($O9,($J9,$O9,$T9),1)-2)*20)</f>
        <v>37</v>
      </c>
      <c r="W9" s="62">
        <f>IF($T9="","",ROUND(($T9-$T$3)/1000,1)+(_xlfn.RANK.AVG($T9,($J9,$O9,$T9),1)-2)*20)</f>
        <v>10.4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147</v>
      </c>
      <c r="BU9" s="47" t="s">
        <v>148</v>
      </c>
      <c r="BV9" s="48" t="s">
        <v>83</v>
      </c>
      <c r="BW9" s="48" t="s">
        <v>84</v>
      </c>
      <c r="BX9" s="48" t="s">
        <v>80</v>
      </c>
      <c r="BY9" s="48" t="s">
        <v>149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東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143</v>
      </c>
      <c r="F10" s="8" t="s">
        <v>145</v>
      </c>
      <c r="G10" s="9">
        <v>-12000</v>
      </c>
      <c r="H10" s="9"/>
      <c r="I10" s="55">
        <v>-1500</v>
      </c>
      <c r="J10" s="21">
        <f t="shared" si="2"/>
        <v>-5900</v>
      </c>
      <c r="K10" s="8" t="s">
        <v>145</v>
      </c>
      <c r="L10" s="9">
        <v>-12000</v>
      </c>
      <c r="M10" s="9"/>
      <c r="N10" s="55">
        <v>-1500</v>
      </c>
      <c r="O10" s="21">
        <f t="shared" si="3"/>
        <v>38500</v>
      </c>
      <c r="P10" s="8" t="s">
        <v>146</v>
      </c>
      <c r="Q10" s="9">
        <v>24000</v>
      </c>
      <c r="R10" s="9"/>
      <c r="S10" s="55">
        <v>3000</v>
      </c>
      <c r="T10" s="21">
        <f t="shared" si="4"/>
        <v>72400</v>
      </c>
      <c r="U10" s="60">
        <f>IF($J10="","",ROUND(($J10-$J$3)/1000,1)+(_xlfn.RANK.AVG($J10,($J10,$O10,$T10),1)-2)*20)</f>
        <v>-60.9</v>
      </c>
      <c r="V10" s="61">
        <f>IF($O10="","",ROUND(($O10-$O$3)/1000,1)+(_xlfn.RANK.AVG($O10,($J10,$O10,$T10),1)-2)*20)</f>
        <v>3.5</v>
      </c>
      <c r="W10" s="62">
        <f>IF($T10="","",ROUND(($T10-$T$3)/1000,1)+(_xlfn.RANK.AVG($T10,($J10,$O10,$T10),1)-2)*20)</f>
        <v>57.4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9</v>
      </c>
      <c r="BT10" s="36" t="s">
        <v>147</v>
      </c>
      <c r="BU10" s="47" t="s">
        <v>148</v>
      </c>
      <c r="BV10" s="48" t="s">
        <v>83</v>
      </c>
      <c r="BW10" s="48" t="s">
        <v>84</v>
      </c>
      <c r="BX10" s="48" t="s">
        <v>107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7F538-42A1-4405-B6CD-BD4C0414841A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ぱぱ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155</v>
      </c>
      <c r="G4" s="9">
        <v>0</v>
      </c>
      <c r="H4" s="9"/>
      <c r="I4" s="55"/>
      <c r="J4" s="21">
        <f>IF(COUNTA($F4,$K4,$P4)&gt;0,J3+SUM(G4:I4),"")</f>
        <v>35000</v>
      </c>
      <c r="K4" s="8" t="s">
        <v>155</v>
      </c>
      <c r="L4" s="9">
        <v>0</v>
      </c>
      <c r="M4" s="9"/>
      <c r="N4" s="55"/>
      <c r="O4" s="21">
        <f>IF(COUNTA($F4,$K4,$P4)&gt;0,O3+SUM(L4:N4),"")</f>
        <v>35000</v>
      </c>
      <c r="P4" s="8" t="s">
        <v>155</v>
      </c>
      <c r="Q4" s="9">
        <v>0</v>
      </c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0</v>
      </c>
      <c r="Y4" s="8" t="s">
        <v>154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154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154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-900</v>
      </c>
      <c r="H5" s="9"/>
      <c r="I5" s="55">
        <v>-500</v>
      </c>
      <c r="J5" s="21">
        <f t="shared" ref="J5:J30" si="2">IF(COUNTA($F5,$K5,$P5)&gt;0,J4+SUM(G5:I5),"")</f>
        <v>33600</v>
      </c>
      <c r="K5" s="8" t="s">
        <v>145</v>
      </c>
      <c r="L5" s="9">
        <v>-600</v>
      </c>
      <c r="M5" s="9"/>
      <c r="N5" s="55">
        <v>-500</v>
      </c>
      <c r="O5" s="21">
        <f t="shared" ref="O5:O30" si="3">IF(COUNTA($F5,$K5,$P5)&gt;0,O4+SUM(L5:N5),"")</f>
        <v>33900</v>
      </c>
      <c r="P5" s="8" t="s">
        <v>146</v>
      </c>
      <c r="Q5" s="9">
        <v>1500</v>
      </c>
      <c r="R5" s="9"/>
      <c r="S5" s="55">
        <v>1000</v>
      </c>
      <c r="T5" s="21">
        <f t="shared" ref="T5:T30" si="4">IF(COUNTA($F5,$K5,$P5)&gt;0,T4+SUM(Q5:S5),"")</f>
        <v>37500</v>
      </c>
      <c r="U5" s="60">
        <f>IF($J5="","",ROUND(($J5-$J$3)/1000,1)+(_xlfn.RANK.AVG($J5,($J5,$O5,$T5),1)-2)*20)</f>
        <v>-21.4</v>
      </c>
      <c r="V5" s="61">
        <f>IF($O5="","",ROUND(($O5-$O$3)/1000,1)+(_xlfn.RANK.AVG($O5,($J5,$O5,$T5),1)-2)*20)</f>
        <v>-1.1000000000000001</v>
      </c>
      <c r="W5" s="62">
        <f>IF($T5="","",ROUND(($T5-$T$3)/1000,1)+(_xlfn.RANK.AVG($T5,($J5,$O5,$T5),1)-2)*20)</f>
        <v>22.5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2</v>
      </c>
      <c r="BT5" s="36">
        <v>20</v>
      </c>
      <c r="BU5" s="47" t="s">
        <v>83</v>
      </c>
      <c r="BV5" s="48" t="s">
        <v>84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152</v>
      </c>
      <c r="F6" s="8" t="s">
        <v>145</v>
      </c>
      <c r="G6" s="9">
        <v>-9000</v>
      </c>
      <c r="H6" s="9"/>
      <c r="I6" s="55">
        <v>0</v>
      </c>
      <c r="J6" s="21">
        <f t="shared" si="2"/>
        <v>24600</v>
      </c>
      <c r="K6" s="8" t="s">
        <v>146</v>
      </c>
      <c r="L6" s="9">
        <v>18000</v>
      </c>
      <c r="M6" s="9"/>
      <c r="N6" s="55">
        <v>0</v>
      </c>
      <c r="O6" s="21">
        <f t="shared" si="3"/>
        <v>51900</v>
      </c>
      <c r="P6" s="8" t="s">
        <v>145</v>
      </c>
      <c r="Q6" s="9">
        <v>-9000</v>
      </c>
      <c r="R6" s="9"/>
      <c r="S6" s="55">
        <v>0</v>
      </c>
      <c r="T6" s="21">
        <f t="shared" si="4"/>
        <v>28500</v>
      </c>
      <c r="U6" s="60">
        <f>IF($J6="","",ROUND(($J6-$J$3)/1000,1)+(_xlfn.RANK.AVG($J6,($J6,$O6,$T6),1)-2)*20)</f>
        <v>-30.4</v>
      </c>
      <c r="V6" s="61">
        <f>IF($O6="","",ROUND(($O6-$O$3)/1000,1)+(_xlfn.RANK.AVG($O6,($J6,$O6,$T6),1)-2)*20)</f>
        <v>36.9</v>
      </c>
      <c r="W6" s="62">
        <f>IF($T6="","",ROUND(($T6-$T$3)/1000,1)+(_xlfn.RANK.AVG($T6,($J6,$O6,$T6),1)-2)*20)</f>
        <v>-6.5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147</v>
      </c>
      <c r="AZ6" s="47" t="s">
        <v>148</v>
      </c>
      <c r="BA6" s="48" t="s">
        <v>83</v>
      </c>
      <c r="BB6" s="48" t="s">
        <v>80</v>
      </c>
      <c r="BC6" s="48" t="s">
        <v>80</v>
      </c>
      <c r="BD6" s="48" t="s">
        <v>80</v>
      </c>
      <c r="BE6" s="48" t="s">
        <v>149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152</v>
      </c>
      <c r="F7" s="8" t="s">
        <v>145</v>
      </c>
      <c r="G7" s="9">
        <v>-800</v>
      </c>
      <c r="H7" s="9"/>
      <c r="I7" s="55">
        <v>-500</v>
      </c>
      <c r="J7" s="21">
        <f t="shared" si="2"/>
        <v>23300</v>
      </c>
      <c r="K7" s="8" t="s">
        <v>145</v>
      </c>
      <c r="L7" s="9">
        <v>-1300</v>
      </c>
      <c r="M7" s="9"/>
      <c r="N7" s="55">
        <v>-500</v>
      </c>
      <c r="O7" s="21">
        <f t="shared" si="3"/>
        <v>50100</v>
      </c>
      <c r="P7" s="8" t="s">
        <v>146</v>
      </c>
      <c r="Q7" s="9">
        <v>2100</v>
      </c>
      <c r="R7" s="9"/>
      <c r="S7" s="55">
        <v>1000</v>
      </c>
      <c r="T7" s="21">
        <f t="shared" si="4"/>
        <v>31600</v>
      </c>
      <c r="U7" s="60">
        <f>IF($J7="","",ROUND(($J7-$J$3)/1000,1)+(_xlfn.RANK.AVG($J7,($J7,$O7,$T7),1)-2)*20)</f>
        <v>-31.7</v>
      </c>
      <c r="V7" s="61">
        <f>IF($O7="","",ROUND(($O7-$O$3)/1000,1)+(_xlfn.RANK.AVG($O7,($J7,$O7,$T7),1)-2)*20)</f>
        <v>35.1</v>
      </c>
      <c r="W7" s="62">
        <f>IF($T7="","",ROUND(($T7-$T$3)/1000,1)+(_xlfn.RANK.AVG($T7,($J7,$O7,$T7),1)-2)*20)</f>
        <v>-3.4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149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150</v>
      </c>
      <c r="G8" s="9">
        <v>12000</v>
      </c>
      <c r="H8" s="9"/>
      <c r="I8" s="55">
        <v>0</v>
      </c>
      <c r="J8" s="21">
        <f t="shared" si="2"/>
        <v>35300</v>
      </c>
      <c r="K8" s="8" t="s">
        <v>151</v>
      </c>
      <c r="L8" s="9">
        <v>-12000</v>
      </c>
      <c r="M8" s="9"/>
      <c r="N8" s="55">
        <v>0</v>
      </c>
      <c r="O8" s="21">
        <f t="shared" si="3"/>
        <v>38100</v>
      </c>
      <c r="P8" s="8"/>
      <c r="Q8" s="9"/>
      <c r="R8" s="9"/>
      <c r="S8" s="55"/>
      <c r="T8" s="21">
        <f t="shared" si="4"/>
        <v>31600</v>
      </c>
      <c r="U8" s="60">
        <f>IF($J8="","",ROUND(($J8-$J$3)/1000,1)+(_xlfn.RANK.AVG($J8,($J8,$O8,$T8),1)-2)*20)</f>
        <v>0.3</v>
      </c>
      <c r="V8" s="61">
        <f>IF($O8="","",ROUND(($O8-$O$3)/1000,1)+(_xlfn.RANK.AVG($O8,($J8,$O8,$T8),1)-2)*20)</f>
        <v>23.1</v>
      </c>
      <c r="W8" s="62">
        <f>IF($T8="","",ROUND(($T8-$T$3)/1000,1)+(_xlfn.RANK.AVG($T8,($J8,$O8,$T8),1)-2)*20)</f>
        <v>-23.4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156</v>
      </c>
      <c r="AG8" s="48" t="s">
        <v>105</v>
      </c>
      <c r="AH8" s="48" t="s">
        <v>87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150</v>
      </c>
      <c r="G9" s="9">
        <v>3900</v>
      </c>
      <c r="H9" s="9"/>
      <c r="I9" s="55">
        <v>0</v>
      </c>
      <c r="J9" s="21">
        <f t="shared" si="2"/>
        <v>39200</v>
      </c>
      <c r="K9" s="8" t="s">
        <v>150</v>
      </c>
      <c r="L9" s="9">
        <v>2600</v>
      </c>
      <c r="M9" s="9"/>
      <c r="N9" s="55"/>
      <c r="O9" s="21">
        <f t="shared" si="3"/>
        <v>40700</v>
      </c>
      <c r="P9" s="8" t="s">
        <v>151</v>
      </c>
      <c r="Q9" s="9">
        <v>-6500</v>
      </c>
      <c r="R9" s="9"/>
      <c r="S9" s="55">
        <v>0</v>
      </c>
      <c r="T9" s="21">
        <f t="shared" si="4"/>
        <v>25100</v>
      </c>
      <c r="U9" s="60">
        <f>IF($J9="","",ROUND(($J9-$J$3)/1000,1)+(_xlfn.RANK.AVG($J9,($J9,$O9,$T9),1)-2)*20)</f>
        <v>4.2</v>
      </c>
      <c r="V9" s="61">
        <f>IF($O9="","",ROUND(($O9-$O$3)/1000,1)+(_xlfn.RANK.AVG($O9,($J9,$O9,$T9),1)-2)*20)</f>
        <v>25.7</v>
      </c>
      <c r="W9" s="62">
        <f>IF($T9="","",ROUND(($T9-$T$3)/1000,1)+(_xlfn.RANK.AVG($T9,($J9,$O9,$T9),1)-2)*20)</f>
        <v>-29.9</v>
      </c>
      <c r="Y9" s="8"/>
      <c r="Z9" s="41"/>
      <c r="AA9" s="32"/>
      <c r="AB9" s="32"/>
      <c r="AC9" s="32">
        <v>2</v>
      </c>
      <c r="AD9" s="36">
        <v>40</v>
      </c>
      <c r="AE9" s="47" t="s">
        <v>85</v>
      </c>
      <c r="AF9" s="48" t="s">
        <v>80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85</v>
      </c>
      <c r="BA9" s="48" t="s">
        <v>80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145</v>
      </c>
      <c r="G10" s="9">
        <v>-7500</v>
      </c>
      <c r="H10" s="9"/>
      <c r="I10" s="55">
        <v>-500</v>
      </c>
      <c r="J10" s="21">
        <f t="shared" si="2"/>
        <v>31200</v>
      </c>
      <c r="K10" s="8" t="s">
        <v>145</v>
      </c>
      <c r="L10" s="9">
        <v>-4500</v>
      </c>
      <c r="M10" s="9"/>
      <c r="N10" s="55">
        <v>-500</v>
      </c>
      <c r="O10" s="21">
        <f t="shared" si="3"/>
        <v>35700</v>
      </c>
      <c r="P10" s="8" t="s">
        <v>146</v>
      </c>
      <c r="Q10" s="9">
        <v>12000</v>
      </c>
      <c r="R10" s="9"/>
      <c r="S10" s="55">
        <v>1000</v>
      </c>
      <c r="T10" s="21">
        <f t="shared" si="4"/>
        <v>38100</v>
      </c>
      <c r="U10" s="60">
        <f>IF($J10="","",ROUND(($J10-$J$3)/1000,1)+(_xlfn.RANK.AVG($J10,($J10,$O10,$T10),1)-2)*20)</f>
        <v>-23.8</v>
      </c>
      <c r="V10" s="61">
        <f>IF($O10="","",ROUND(($O10-$O$3)/1000,1)+(_xlfn.RANK.AVG($O10,($J10,$O10,$T10),1)-2)*20)</f>
        <v>0.7</v>
      </c>
      <c r="W10" s="62">
        <f>IF($T10="","",ROUND(($T10-$T$3)/1000,1)+(_xlfn.RANK.AVG($T10,($J10,$O10,$T10),1)-2)*20)</f>
        <v>23.1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147</v>
      </c>
      <c r="BU10" s="47" t="s">
        <v>148</v>
      </c>
      <c r="BV10" s="48" t="s">
        <v>83</v>
      </c>
      <c r="BW10" s="48" t="s">
        <v>86</v>
      </c>
      <c r="BX10" s="48" t="s">
        <v>80</v>
      </c>
      <c r="BY10" s="48" t="s">
        <v>149</v>
      </c>
      <c r="BZ10" s="48" t="s">
        <v>85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155</v>
      </c>
      <c r="G11" s="9">
        <v>-3000</v>
      </c>
      <c r="H11" s="9"/>
      <c r="I11" s="55"/>
      <c r="J11" s="21">
        <f t="shared" si="2"/>
        <v>28200</v>
      </c>
      <c r="K11" s="8" t="s">
        <v>155</v>
      </c>
      <c r="L11" s="9">
        <v>1500</v>
      </c>
      <c r="M11" s="9"/>
      <c r="N11" s="55"/>
      <c r="O11" s="21">
        <f t="shared" si="3"/>
        <v>37200</v>
      </c>
      <c r="P11" s="8" t="s">
        <v>155</v>
      </c>
      <c r="Q11" s="9">
        <v>1500</v>
      </c>
      <c r="R11" s="9"/>
      <c r="S11" s="55"/>
      <c r="T11" s="21">
        <f t="shared" si="4"/>
        <v>39600</v>
      </c>
      <c r="U11" s="60">
        <f>IF($J11="","",ROUND(($J11-$J$3)/1000,1)+(_xlfn.RANK.AVG($J11,($J11,$O11,$T11),1)-2)*20)</f>
        <v>-26.8</v>
      </c>
      <c r="V11" s="61">
        <f>IF($O11="","",ROUND(($O11-$O$3)/1000,1)+(_xlfn.RANK.AVG($O11,($J11,$O11,$T11),1)-2)*20)</f>
        <v>2.2000000000000002</v>
      </c>
      <c r="W11" s="62">
        <f>IF($T11="","",ROUND(($T11-$T$3)/1000,1)+(_xlfn.RANK.AVG($T11,($J11,$O11,$T11),1)-2)*20)</f>
        <v>24.6</v>
      </c>
      <c r="Y11" s="8" t="s">
        <v>157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154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154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152</v>
      </c>
      <c r="F12" s="8"/>
      <c r="G12" s="9"/>
      <c r="H12" s="9"/>
      <c r="I12" s="55"/>
      <c r="J12" s="21">
        <f t="shared" si="2"/>
        <v>28200</v>
      </c>
      <c r="K12" s="8" t="s">
        <v>150</v>
      </c>
      <c r="L12" s="9">
        <v>5800</v>
      </c>
      <c r="M12" s="9"/>
      <c r="N12" s="55">
        <v>1000</v>
      </c>
      <c r="O12" s="21">
        <f t="shared" si="3"/>
        <v>44000</v>
      </c>
      <c r="P12" s="8" t="s">
        <v>151</v>
      </c>
      <c r="Q12" s="9">
        <v>-5800</v>
      </c>
      <c r="R12" s="9"/>
      <c r="S12" s="55">
        <v>-1000</v>
      </c>
      <c r="T12" s="21">
        <f t="shared" si="4"/>
        <v>32800</v>
      </c>
      <c r="U12" s="60">
        <f>IF($J12="","",ROUND(($J12-$J$3)/1000,1)+(_xlfn.RANK.AVG($J12,($J12,$O12,$T12),1)-2)*20)</f>
        <v>-26.8</v>
      </c>
      <c r="V12" s="61">
        <f>IF($O12="","",ROUND(($O12-$O$3)/1000,1)+(_xlfn.RANK.AVG($O12,($J12,$O12,$T12),1)-2)*20)</f>
        <v>29</v>
      </c>
      <c r="W12" s="62">
        <f>IF($T12="","",ROUND(($T12-$T$3)/1000,1)+(_xlfn.RANK.AVG($T12,($J12,$O12,$T12),1)-2)*20)</f>
        <v>-2.2000000000000002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30</v>
      </c>
      <c r="AZ12" s="47" t="s">
        <v>105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152</v>
      </c>
      <c r="F13" s="8" t="s">
        <v>145</v>
      </c>
      <c r="G13" s="9">
        <v>-12000</v>
      </c>
      <c r="H13" s="9"/>
      <c r="I13" s="55">
        <v>-1000</v>
      </c>
      <c r="J13" s="21">
        <f t="shared" si="2"/>
        <v>15200</v>
      </c>
      <c r="K13" s="8" t="s">
        <v>146</v>
      </c>
      <c r="L13" s="9">
        <v>24000</v>
      </c>
      <c r="M13" s="9"/>
      <c r="N13" s="55">
        <v>2000</v>
      </c>
      <c r="O13" s="21">
        <f t="shared" si="3"/>
        <v>70000</v>
      </c>
      <c r="P13" s="8" t="s">
        <v>145</v>
      </c>
      <c r="Q13" s="9">
        <v>-12000</v>
      </c>
      <c r="R13" s="9"/>
      <c r="S13" s="55">
        <v>-1000</v>
      </c>
      <c r="T13" s="21">
        <f t="shared" si="4"/>
        <v>19800</v>
      </c>
      <c r="U13" s="60">
        <f>IF($J13="","",ROUND(($J13-$J$3)/1000,1)+(_xlfn.RANK.AVG($J13,($J13,$O13,$T13),1)-2)*20)</f>
        <v>-39.799999999999997</v>
      </c>
      <c r="V13" s="61">
        <f>IF($O13="","",ROUND(($O13-$O$3)/1000,1)+(_xlfn.RANK.AVG($O13,($J13,$O13,$T13),1)-2)*20)</f>
        <v>55</v>
      </c>
      <c r="W13" s="62">
        <f>IF($T13="","",ROUND(($T13-$T$3)/1000,1)+(_xlfn.RANK.AVG($T13,($J13,$O13,$T13),1)-2)*20)</f>
        <v>-15.2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8</v>
      </c>
      <c r="AY13" s="36" t="s">
        <v>147</v>
      </c>
      <c r="AZ13" s="47" t="s">
        <v>148</v>
      </c>
      <c r="BA13" s="48" t="s">
        <v>83</v>
      </c>
      <c r="BB13" s="48" t="s">
        <v>87</v>
      </c>
      <c r="BC13" s="48" t="s">
        <v>85</v>
      </c>
      <c r="BD13" s="48" t="s">
        <v>149</v>
      </c>
      <c r="BE13" s="48" t="s">
        <v>81</v>
      </c>
      <c r="BF13" s="48" t="s">
        <v>81</v>
      </c>
      <c r="BG13" s="48" t="s">
        <v>81</v>
      </c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">
        <v>152</v>
      </c>
      <c r="F14" s="8" t="s">
        <v>151</v>
      </c>
      <c r="G14" s="9">
        <v>-8000</v>
      </c>
      <c r="H14" s="9"/>
      <c r="I14" s="55">
        <v>-3000</v>
      </c>
      <c r="J14" s="21">
        <f t="shared" si="2"/>
        <v>4200</v>
      </c>
      <c r="K14" s="8"/>
      <c r="L14" s="9"/>
      <c r="M14" s="9"/>
      <c r="N14" s="55"/>
      <c r="O14" s="21">
        <f t="shared" si="3"/>
        <v>70000</v>
      </c>
      <c r="P14" s="8" t="s">
        <v>150</v>
      </c>
      <c r="Q14" s="9">
        <v>8000</v>
      </c>
      <c r="R14" s="9"/>
      <c r="S14" s="55">
        <v>3000</v>
      </c>
      <c r="T14" s="21">
        <f t="shared" si="4"/>
        <v>30800</v>
      </c>
      <c r="U14" s="60">
        <f>IF($J14="","",ROUND(($J14-$J$3)/1000,1)+(_xlfn.RANK.AVG($J14,($J14,$O14,$T14),1)-2)*20)</f>
        <v>-50.8</v>
      </c>
      <c r="V14" s="61">
        <f>IF($O14="","",ROUND(($O14-$O$3)/1000,1)+(_xlfn.RANK.AVG($O14,($J14,$O14,$T14),1)-2)*20)</f>
        <v>55</v>
      </c>
      <c r="W14" s="62">
        <f>IF($T14="","",ROUND(($T14-$T$3)/1000,1)+(_xlfn.RANK.AVG($T14,($J14,$O14,$T14),1)-2)*20)</f>
        <v>-4.2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147</v>
      </c>
      <c r="BU14" s="47" t="s">
        <v>87</v>
      </c>
      <c r="BV14" s="48" t="s">
        <v>149</v>
      </c>
      <c r="BW14" s="48" t="s">
        <v>149</v>
      </c>
      <c r="BX14" s="48" t="s">
        <v>87</v>
      </c>
      <c r="BY14" s="48" t="s">
        <v>87</v>
      </c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151</v>
      </c>
      <c r="G15" s="9">
        <v>-3900</v>
      </c>
      <c r="H15" s="9"/>
      <c r="I15" s="55">
        <v>0</v>
      </c>
      <c r="J15" s="21">
        <f t="shared" si="2"/>
        <v>300</v>
      </c>
      <c r="K15" s="8"/>
      <c r="L15" s="9"/>
      <c r="M15" s="9"/>
      <c r="N15" s="55"/>
      <c r="O15" s="21">
        <f t="shared" si="3"/>
        <v>70000</v>
      </c>
      <c r="P15" s="8" t="s">
        <v>150</v>
      </c>
      <c r="Q15" s="9">
        <v>3900</v>
      </c>
      <c r="R15" s="9"/>
      <c r="S15" s="55">
        <v>0</v>
      </c>
      <c r="T15" s="21">
        <f t="shared" si="4"/>
        <v>34700</v>
      </c>
      <c r="U15" s="60">
        <f>IF($J15="","",ROUND(($J15-$J$3)/1000,1)+(_xlfn.RANK.AVG($J15,($J15,$O15,$T15),1)-2)*20)</f>
        <v>-54.7</v>
      </c>
      <c r="V15" s="61">
        <f>IF($O15="","",ROUND(($O15-$O$3)/1000,1)+(_xlfn.RANK.AVG($O15,($J15,$O15,$T15),1)-2)*20)</f>
        <v>55</v>
      </c>
      <c r="W15" s="62">
        <f>IF($T15="","",ROUND(($T15-$T$3)/1000,1)+(_xlfn.RANK.AVG($T15,($J15,$O15,$T15),1)-2)*20)</f>
        <v>-0.3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>
        <v>2</v>
      </c>
      <c r="BT15" s="36">
        <v>40</v>
      </c>
      <c r="BU15" s="47" t="s">
        <v>93</v>
      </c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143</v>
      </c>
      <c r="F16" s="8"/>
      <c r="G16" s="9"/>
      <c r="H16" s="9"/>
      <c r="I16" s="55"/>
      <c r="J16" s="21">
        <f t="shared" si="2"/>
        <v>300</v>
      </c>
      <c r="K16" s="8" t="s">
        <v>151</v>
      </c>
      <c r="L16" s="9">
        <v>-7700</v>
      </c>
      <c r="M16" s="9"/>
      <c r="N16" s="55">
        <v>-1000</v>
      </c>
      <c r="O16" s="21">
        <f t="shared" si="3"/>
        <v>61300</v>
      </c>
      <c r="P16" s="8" t="s">
        <v>150</v>
      </c>
      <c r="Q16" s="9">
        <v>7700</v>
      </c>
      <c r="R16" s="9"/>
      <c r="S16" s="55">
        <v>1000</v>
      </c>
      <c r="T16" s="21">
        <f t="shared" si="4"/>
        <v>43400</v>
      </c>
      <c r="U16" s="60">
        <f>IF($J16="","",ROUND(($J16-$J$3)/1000,1)+(_xlfn.RANK.AVG($J16,($J16,$O16,$T16),1)-2)*20)</f>
        <v>-54.7</v>
      </c>
      <c r="V16" s="61">
        <f>IF($O16="","",ROUND(($O16-$O$3)/1000,1)+(_xlfn.RANK.AVG($O16,($J16,$O16,$T16),1)-2)*20)</f>
        <v>46.3</v>
      </c>
      <c r="W16" s="62">
        <f>IF($T16="","",ROUND(($T16-$T$3)/1000,1)+(_xlfn.RANK.AVG($T16,($J16,$O16,$T16),1)-2)*20)</f>
        <v>8.4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>
        <v>1</v>
      </c>
      <c r="BR16" s="32"/>
      <c r="BS16" s="32">
        <v>3</v>
      </c>
      <c r="BT16" s="36">
        <v>40</v>
      </c>
      <c r="BU16" s="47" t="s">
        <v>148</v>
      </c>
      <c r="BV16" s="48" t="s">
        <v>149</v>
      </c>
      <c r="BW16" s="48" t="s">
        <v>85</v>
      </c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143</v>
      </c>
      <c r="F17" s="8"/>
      <c r="G17" s="9"/>
      <c r="H17" s="9"/>
      <c r="I17" s="55"/>
      <c r="J17" s="21">
        <f t="shared" si="2"/>
        <v>300</v>
      </c>
      <c r="K17" s="8" t="s">
        <v>151</v>
      </c>
      <c r="L17" s="9">
        <v>-2900</v>
      </c>
      <c r="M17" s="9"/>
      <c r="N17" s="55">
        <v>-2000</v>
      </c>
      <c r="O17" s="21">
        <f t="shared" si="3"/>
        <v>56400</v>
      </c>
      <c r="P17" s="8" t="s">
        <v>150</v>
      </c>
      <c r="Q17" s="9">
        <v>2900</v>
      </c>
      <c r="R17" s="9"/>
      <c r="S17" s="55">
        <v>2000</v>
      </c>
      <c r="T17" s="21">
        <f t="shared" si="4"/>
        <v>48300</v>
      </c>
      <c r="U17" s="60">
        <f>IF($J17="","",ROUND(($J17-$J$3)/1000,1)+(_xlfn.RANK.AVG($J17,($J17,$O17,$T17),1)-2)*20)</f>
        <v>-54.7</v>
      </c>
      <c r="V17" s="61">
        <f>IF($O17="","",ROUND(($O17-$O$3)/1000,1)+(_xlfn.RANK.AVG($O17,($J17,$O17,$T17),1)-2)*20)</f>
        <v>41.4</v>
      </c>
      <c r="W17" s="62">
        <f>IF($T17="","",ROUND(($T17-$T$3)/1000,1)+(_xlfn.RANK.AVG($T17,($J17,$O17,$T17),1)-2)*20)</f>
        <v>13.3</v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>
        <v>1</v>
      </c>
      <c r="BS17" s="32">
        <v>2</v>
      </c>
      <c r="BT17" s="36">
        <v>30</v>
      </c>
      <c r="BU17" s="47" t="s">
        <v>105</v>
      </c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3</v>
      </c>
      <c r="D18" s="18">
        <f t="shared" si="1"/>
        <v>0</v>
      </c>
      <c r="E18" s="4" t="s">
        <v>143</v>
      </c>
      <c r="F18" s="8" t="s">
        <v>155</v>
      </c>
      <c r="G18" s="9">
        <v>-3000</v>
      </c>
      <c r="H18" s="9"/>
      <c r="I18" s="55"/>
      <c r="J18" s="21">
        <f t="shared" si="2"/>
        <v>-2700</v>
      </c>
      <c r="K18" s="8" t="s">
        <v>155</v>
      </c>
      <c r="L18" s="9">
        <v>1500</v>
      </c>
      <c r="M18" s="9">
        <v>1000</v>
      </c>
      <c r="N18" s="55"/>
      <c r="O18" s="21">
        <f t="shared" si="3"/>
        <v>58900</v>
      </c>
      <c r="P18" s="8" t="s">
        <v>155</v>
      </c>
      <c r="Q18" s="9">
        <v>1500</v>
      </c>
      <c r="R18" s="9">
        <v>-1000</v>
      </c>
      <c r="S18" s="55"/>
      <c r="T18" s="21">
        <f t="shared" si="4"/>
        <v>48800</v>
      </c>
      <c r="U18" s="60">
        <f>IF($J18="","",ROUND(($J18-$J$3)/1000,1)+(_xlfn.RANK.AVG($J18,($J18,$O18,$T18),1)-2)*20)</f>
        <v>-57.7</v>
      </c>
      <c r="V18" s="61">
        <f>IF($O18="","",ROUND(($O18-$O$3)/1000,1)+(_xlfn.RANK.AVG($O18,($J18,$O18,$T18),1)-2)*20)</f>
        <v>43.9</v>
      </c>
      <c r="W18" s="62">
        <f>IF($T18="","",ROUND(($T18-$T$3)/1000,1)+(_xlfn.RANK.AVG($T18,($J18,$O18,$T18),1)-2)*20)</f>
        <v>13.8</v>
      </c>
      <c r="Y18" s="8" t="s">
        <v>157</v>
      </c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 t="s">
        <v>154</v>
      </c>
      <c r="AU18" s="41"/>
      <c r="AV18" s="32">
        <v>1</v>
      </c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 t="s">
        <v>154</v>
      </c>
      <c r="BP18" s="41"/>
      <c r="BQ18" s="32">
        <v>1</v>
      </c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DE2B021-7FB2-4C61-AB50-1020DB2E3CC9}">
      <formula1>$U$2:$W$2</formula1>
    </dataValidation>
    <dataValidation type="list" showInputMessage="1" showErrorMessage="1" sqref="K4:K30 P4:P30 F4:F30" xr:uid="{89F01FA4-DB9A-4088-A58E-22A6E6D3A66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2019-04-15T16:02:05Z</dcterms:modified>
</cp:coreProperties>
</file>