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7E003079-B8D5-43DA-8821-63BA44F8CB0A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7" r:id="rId2"/>
    <sheet name="Sheet3" sheetId="18" r:id="rId3"/>
    <sheet name="Sheet4" sheetId="20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D15" i="20"/>
  <c r="C15" i="20"/>
  <c r="D14" i="20"/>
  <c r="D13" i="20"/>
  <c r="D11" i="20"/>
  <c r="D12" i="20" s="1"/>
  <c r="C11" i="20"/>
  <c r="C12" i="20" s="1"/>
  <c r="C13" i="20" s="1"/>
  <c r="C14" i="20" s="1"/>
  <c r="D10" i="20"/>
  <c r="D9" i="20"/>
  <c r="D8" i="20"/>
  <c r="C8" i="20"/>
  <c r="C9" i="20" s="1"/>
  <c r="C10" i="20" s="1"/>
  <c r="D7" i="20"/>
  <c r="C7" i="20"/>
  <c r="B7" i="20"/>
  <c r="B8" i="20" s="1"/>
  <c r="D6" i="20"/>
  <c r="C6" i="20"/>
  <c r="B6" i="20"/>
  <c r="O5" i="20"/>
  <c r="J5" i="20"/>
  <c r="D5" i="20"/>
  <c r="C5" i="20"/>
  <c r="B5" i="20"/>
  <c r="A5" i="20" s="1"/>
  <c r="A6" i="20" s="1"/>
  <c r="A7" i="20" s="1"/>
  <c r="T4" i="20"/>
  <c r="W4" i="20" s="1"/>
  <c r="O4" i="20"/>
  <c r="J4" i="20"/>
  <c r="W3" i="20"/>
  <c r="V3" i="20"/>
  <c r="U3" i="20"/>
  <c r="W2" i="20"/>
  <c r="V2" i="20"/>
  <c r="U2" i="20"/>
  <c r="BO1" i="20"/>
  <c r="AT1" i="20"/>
  <c r="Y1" i="20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 s="1"/>
  <c r="T15" i="18"/>
  <c r="O15" i="18"/>
  <c r="J15" i="18"/>
  <c r="D15" i="18"/>
  <c r="C15" i="18"/>
  <c r="B15" i="18"/>
  <c r="A15" i="18" s="1"/>
  <c r="T14" i="18"/>
  <c r="O14" i="18"/>
  <c r="J14" i="18"/>
  <c r="D14" i="18"/>
  <c r="C14" i="18"/>
  <c r="B14" i="18"/>
  <c r="A14" i="18" s="1"/>
  <c r="T13" i="18"/>
  <c r="W13" i="18" s="1"/>
  <c r="O13" i="18"/>
  <c r="J13" i="18"/>
  <c r="D13" i="18"/>
  <c r="C13" i="18"/>
  <c r="B13" i="18"/>
  <c r="A13" i="18"/>
  <c r="T12" i="18"/>
  <c r="W12" i="18" s="1"/>
  <c r="O12" i="18"/>
  <c r="V12" i="18" s="1"/>
  <c r="J12" i="18"/>
  <c r="D12" i="18"/>
  <c r="C12" i="18"/>
  <c r="B12" i="18"/>
  <c r="A12" i="18" s="1"/>
  <c r="T11" i="18"/>
  <c r="O11" i="18"/>
  <c r="V11" i="18" s="1"/>
  <c r="J11" i="18"/>
  <c r="U11" i="18" s="1"/>
  <c r="D11" i="18"/>
  <c r="C11" i="18"/>
  <c r="B11" i="18"/>
  <c r="A11" i="18" s="1"/>
  <c r="T10" i="18"/>
  <c r="O10" i="18"/>
  <c r="J10" i="18"/>
  <c r="D10" i="18"/>
  <c r="C10" i="18"/>
  <c r="B10" i="18"/>
  <c r="A10" i="18"/>
  <c r="D9" i="18"/>
  <c r="C9" i="18"/>
  <c r="D8" i="18"/>
  <c r="C8" i="18"/>
  <c r="C7" i="18"/>
  <c r="D6" i="18"/>
  <c r="D7" i="18" s="1"/>
  <c r="C6" i="18"/>
  <c r="T5" i="18"/>
  <c r="T6" i="18" s="1"/>
  <c r="O5" i="18"/>
  <c r="D5" i="18"/>
  <c r="C5" i="18"/>
  <c r="B5" i="18"/>
  <c r="A5" i="18" s="1"/>
  <c r="T4" i="18"/>
  <c r="O4" i="18"/>
  <c r="J4" i="18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D14" i="17"/>
  <c r="D13" i="17"/>
  <c r="C13" i="17"/>
  <c r="C14" i="17" s="1"/>
  <c r="D12" i="17"/>
  <c r="D11" i="17"/>
  <c r="D10" i="17"/>
  <c r="D9" i="17"/>
  <c r="C9" i="17"/>
  <c r="C10" i="17" s="1"/>
  <c r="C11" i="17" s="1"/>
  <c r="C12" i="17" s="1"/>
  <c r="D8" i="17"/>
  <c r="C8" i="17"/>
  <c r="D7" i="17"/>
  <c r="C7" i="17"/>
  <c r="D6" i="17"/>
  <c r="T5" i="17"/>
  <c r="T6" i="17" s="1"/>
  <c r="O5" i="17"/>
  <c r="D5" i="17"/>
  <c r="C5" i="17"/>
  <c r="C6" i="17" s="1"/>
  <c r="B5" i="17"/>
  <c r="A5" i="17" s="1"/>
  <c r="T4" i="17"/>
  <c r="O4" i="17"/>
  <c r="V4" i="17" s="1"/>
  <c r="J4" i="17"/>
  <c r="W3" i="17"/>
  <c r="V3" i="17"/>
  <c r="U3" i="17"/>
  <c r="W2" i="17"/>
  <c r="V2" i="17"/>
  <c r="U2" i="17"/>
  <c r="BO1" i="17"/>
  <c r="AT1" i="17"/>
  <c r="Y1" i="17"/>
  <c r="B9" i="20" l="1"/>
  <c r="U4" i="20"/>
  <c r="T5" i="20"/>
  <c r="U5" i="20" s="1"/>
  <c r="A8" i="20"/>
  <c r="A9" i="20" s="1"/>
  <c r="V4" i="20"/>
  <c r="J6" i="20"/>
  <c r="O6" i="20"/>
  <c r="U15" i="18"/>
  <c r="V15" i="18"/>
  <c r="W15" i="18"/>
  <c r="U14" i="18"/>
  <c r="W14" i="18"/>
  <c r="V14" i="18"/>
  <c r="V13" i="18"/>
  <c r="U13" i="18"/>
  <c r="U12" i="18"/>
  <c r="W11" i="18"/>
  <c r="U10" i="18"/>
  <c r="W10" i="18"/>
  <c r="V10" i="18"/>
  <c r="W4" i="18"/>
  <c r="V4" i="18"/>
  <c r="U4" i="18"/>
  <c r="T7" i="18"/>
  <c r="V5" i="18"/>
  <c r="B6" i="18"/>
  <c r="J5" i="18"/>
  <c r="O6" i="18"/>
  <c r="W4" i="17"/>
  <c r="U4" i="17"/>
  <c r="T7" i="17"/>
  <c r="B6" i="17"/>
  <c r="A6" i="17" s="1"/>
  <c r="J5" i="17"/>
  <c r="V5" i="17" s="1"/>
  <c r="O6" i="17"/>
  <c r="W3" i="1"/>
  <c r="V3" i="1"/>
  <c r="U3" i="1"/>
  <c r="W5" i="20" l="1"/>
  <c r="T6" i="20"/>
  <c r="V5" i="20"/>
  <c r="O7" i="20"/>
  <c r="J7" i="20"/>
  <c r="B10" i="20"/>
  <c r="A10" i="20" s="1"/>
  <c r="T8" i="18"/>
  <c r="O7" i="18"/>
  <c r="U5" i="18"/>
  <c r="J6" i="18"/>
  <c r="W5" i="18"/>
  <c r="B7" i="18"/>
  <c r="A6" i="18"/>
  <c r="W5" i="17"/>
  <c r="U5" i="17"/>
  <c r="J6" i="17"/>
  <c r="V6" i="17" s="1"/>
  <c r="O7" i="17"/>
  <c r="B7" i="17"/>
  <c r="A7" i="17" s="1"/>
  <c r="T8" i="17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6" i="20" l="1"/>
  <c r="T7" i="20"/>
  <c r="B11" i="20"/>
  <c r="J8" i="20"/>
  <c r="U6" i="20"/>
  <c r="O8" i="20"/>
  <c r="V7" i="20"/>
  <c r="V6" i="20"/>
  <c r="A7" i="18"/>
  <c r="O8" i="18"/>
  <c r="T9" i="18"/>
  <c r="B8" i="18"/>
  <c r="A8" i="18" s="1"/>
  <c r="J7" i="18"/>
  <c r="U6" i="18"/>
  <c r="W6" i="18"/>
  <c r="V6" i="18"/>
  <c r="B8" i="17"/>
  <c r="T9" i="17"/>
  <c r="O8" i="17"/>
  <c r="U6" i="17"/>
  <c r="J7" i="17"/>
  <c r="V7" i="17" s="1"/>
  <c r="W6" i="17"/>
  <c r="B5" i="1"/>
  <c r="A5" i="1" s="1"/>
  <c r="D6" i="1"/>
  <c r="B6" i="1"/>
  <c r="A6" i="1" s="1"/>
  <c r="D5" i="1"/>
  <c r="W7" i="20" l="1"/>
  <c r="T8" i="20"/>
  <c r="V8" i="20"/>
  <c r="O9" i="20"/>
  <c r="B12" i="20"/>
  <c r="U8" i="20"/>
  <c r="J9" i="20"/>
  <c r="U7" i="20"/>
  <c r="A11" i="20"/>
  <c r="A12" i="20" s="1"/>
  <c r="U7" i="18"/>
  <c r="J8" i="18"/>
  <c r="W7" i="18"/>
  <c r="O9" i="18"/>
  <c r="V7" i="18"/>
  <c r="B9" i="18"/>
  <c r="A9" i="18" s="1"/>
  <c r="B9" i="17"/>
  <c r="U7" i="17"/>
  <c r="J8" i="17"/>
  <c r="W7" i="17"/>
  <c r="V8" i="17"/>
  <c r="O9" i="17"/>
  <c r="T10" i="17"/>
  <c r="A8" i="17"/>
  <c r="Y1" i="1"/>
  <c r="J10" i="20" l="1"/>
  <c r="B13" i="20"/>
  <c r="A13" i="20" s="1"/>
  <c r="O10" i="20"/>
  <c r="W8" i="20"/>
  <c r="T9" i="20"/>
  <c r="U9" i="20" s="1"/>
  <c r="U8" i="18"/>
  <c r="J9" i="18"/>
  <c r="W8" i="18"/>
  <c r="V8" i="18"/>
  <c r="A9" i="17"/>
  <c r="B10" i="17"/>
  <c r="T11" i="17"/>
  <c r="O10" i="17"/>
  <c r="U8" i="17"/>
  <c r="J9" i="17"/>
  <c r="W8" i="17"/>
  <c r="BO1" i="1"/>
  <c r="AT1" i="1"/>
  <c r="V9" i="20" l="1"/>
  <c r="J11" i="20"/>
  <c r="W9" i="20"/>
  <c r="T10" i="20"/>
  <c r="U10" i="20" s="1"/>
  <c r="V10" i="20"/>
  <c r="O11" i="20"/>
  <c r="B14" i="20"/>
  <c r="A14" i="20" s="1"/>
  <c r="U9" i="18"/>
  <c r="W9" i="18"/>
  <c r="V9" i="18"/>
  <c r="U9" i="17"/>
  <c r="J10" i="17"/>
  <c r="W9" i="17"/>
  <c r="B11" i="17"/>
  <c r="A11" i="17"/>
  <c r="V10" i="17"/>
  <c r="O11" i="17"/>
  <c r="T12" i="17"/>
  <c r="V9" i="17"/>
  <c r="A10" i="17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J12" i="20" l="1"/>
  <c r="B15" i="20"/>
  <c r="A15" i="20" s="1"/>
  <c r="O12" i="20"/>
  <c r="W10" i="20"/>
  <c r="T11" i="20"/>
  <c r="O12" i="17"/>
  <c r="T13" i="17"/>
  <c r="B12" i="17"/>
  <c r="A12" i="17"/>
  <c r="U10" i="17"/>
  <c r="J11" i="17"/>
  <c r="W10" i="17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11" i="20" l="1"/>
  <c r="T12" i="20"/>
  <c r="V11" i="20"/>
  <c r="V12" i="20"/>
  <c r="O13" i="20"/>
  <c r="U12" i="20"/>
  <c r="J13" i="20"/>
  <c r="U11" i="20"/>
  <c r="J12" i="17"/>
  <c r="U11" i="17"/>
  <c r="W11" i="17"/>
  <c r="B13" i="17"/>
  <c r="T14" i="17"/>
  <c r="V12" i="17"/>
  <c r="O13" i="17"/>
  <c r="V11" i="17"/>
  <c r="W2" i="1"/>
  <c r="V2" i="1"/>
  <c r="U2" i="1"/>
  <c r="O14" i="20" l="1"/>
  <c r="J14" i="20"/>
  <c r="W12" i="20"/>
  <c r="T13" i="20"/>
  <c r="B14" i="17"/>
  <c r="A14" i="17" s="1"/>
  <c r="A13" i="17"/>
  <c r="V13" i="17"/>
  <c r="O14" i="17"/>
  <c r="U12" i="17"/>
  <c r="J13" i="17"/>
  <c r="W12" i="17"/>
  <c r="J4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J15" i="20" l="1"/>
  <c r="W13" i="20"/>
  <c r="T14" i="20"/>
  <c r="U13" i="20"/>
  <c r="V14" i="20"/>
  <c r="O15" i="20"/>
  <c r="V13" i="20"/>
  <c r="U13" i="17"/>
  <c r="J14" i="17"/>
  <c r="W13" i="17"/>
  <c r="V14" i="17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W14" i="20" l="1"/>
  <c r="T15" i="20"/>
  <c r="W15" i="20" s="1"/>
  <c r="U15" i="20"/>
  <c r="U14" i="20"/>
  <c r="U14" i="17"/>
  <c r="W14" i="17"/>
  <c r="U4" i="1"/>
  <c r="V4" i="1"/>
  <c r="J6" i="1"/>
  <c r="T5" i="1"/>
  <c r="W5" i="1" s="1"/>
  <c r="O6" i="1"/>
  <c r="B10" i="1"/>
  <c r="V15" i="20" l="1"/>
  <c r="U5" i="1"/>
  <c r="V5" i="1"/>
  <c r="O7" i="1"/>
  <c r="J7" i="1"/>
  <c r="J8" i="1"/>
  <c r="B11" i="1"/>
  <c r="A11" i="1" s="1"/>
  <c r="A10" i="1"/>
  <c r="O8" i="1"/>
  <c r="T6" i="1"/>
  <c r="W6" i="1" s="1"/>
  <c r="B12" i="1"/>
  <c r="A12" i="1" s="1"/>
  <c r="U7" i="1" l="1"/>
  <c r="V7" i="1"/>
  <c r="U6" i="1"/>
  <c r="V6" i="1"/>
  <c r="T7" i="1"/>
  <c r="W7" i="1" s="1"/>
  <c r="J9" i="1"/>
  <c r="T8" i="1"/>
  <c r="W8" i="1" s="1"/>
  <c r="O9" i="1"/>
  <c r="B13" i="1"/>
  <c r="A13" i="1" s="1"/>
  <c r="U8" i="1" l="1"/>
  <c r="V8" i="1"/>
  <c r="J10" i="1"/>
  <c r="J11" i="1"/>
  <c r="O10" i="1"/>
  <c r="T9" i="1"/>
  <c r="W9" i="1" s="1"/>
  <c r="B14" i="1"/>
  <c r="A14" i="1" s="1"/>
  <c r="U9" i="1" l="1"/>
  <c r="V9" i="1"/>
  <c r="O11" i="1"/>
  <c r="J12" i="1"/>
  <c r="T10" i="1"/>
  <c r="W10" i="1" s="1"/>
  <c r="U10" i="1" l="1"/>
  <c r="V10" i="1"/>
  <c r="J13" i="1"/>
  <c r="O12" i="1"/>
  <c r="T11" i="1"/>
  <c r="W11" i="1" s="1"/>
  <c r="U11" i="1" l="1"/>
  <c r="V11" i="1"/>
  <c r="J14" i="1"/>
  <c r="O13" i="1"/>
  <c r="T12" i="1"/>
  <c r="W12" i="1" s="1"/>
  <c r="V12" i="1" l="1"/>
  <c r="U12" i="1"/>
  <c r="O14" i="1"/>
  <c r="J15" i="1"/>
  <c r="U15" i="1" s="1"/>
  <c r="T13" i="1"/>
  <c r="W13" i="1" s="1"/>
  <c r="V13" i="1" l="1"/>
  <c r="U13" i="1"/>
  <c r="T14" i="1"/>
  <c r="O15" i="1"/>
  <c r="V15" i="1" s="1"/>
  <c r="W14" i="1" l="1"/>
  <c r="U14" i="1"/>
  <c r="V14" i="1"/>
  <c r="T15" i="1"/>
  <c r="W15" i="1" s="1"/>
</calcChain>
</file>

<file path=xl/sharedStrings.xml><?xml version="1.0" encoding="utf-8"?>
<sst xmlns="http://schemas.openxmlformats.org/spreadsheetml/2006/main" count="890" uniqueCount="164">
  <si>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</si>
  <si>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</si>
  <si>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</si>
  <si>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</si>
  <si>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</si>
  <si>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</si>
  <si>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</si>
  <si>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</si>
  <si>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</si>
  <si>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</si>
  <si>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</si>
  <si>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</si>
  <si>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</si>
  <si>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</si>
  <si>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</si>
  <si>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</si>
  <si>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</si>
  <si>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</si>
  <si>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</si>
  <si>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</si>
  <si>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</si>
  <si>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</si>
  <si>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</si>
  <si>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</si>
  <si>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</si>
  <si>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</si>
  <si>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</si>
  <si>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</si>
  <si>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</si>
  <si>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</si>
  <si>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</si>
  <si>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</si>
  <si>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</si>
  <si>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</si>
  <si>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</si>
  <si>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</si>
  <si>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</si>
  <si>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</si>
  <si>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</si>
  <si>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</si>
  <si>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</si>
  <si>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</si>
  <si>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</si>
  <si>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</si>
  <si>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</si>
  <si>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</si>
  <si>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</si>
  <si>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</si>
  <si>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</si>
  <si>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</si>
  <si>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</si>
  <si>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</si>
  <si>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</si>
  <si>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</si>
  <si>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</si>
  <si>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</si>
  <si>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</si>
  <si>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</si>
  <si>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</si>
  <si>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</si>
  <si>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</si>
  <si>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</si>
  <si>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</si>
  <si>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</si>
  <si>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</si>
  <si>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</si>
  <si>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</si>
  <si>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</si>
  <si>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</si>
  <si>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</si>
  <si>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</si>
  <si>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</si>
  <si>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</si>
  <si>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</si>
  <si>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</si>
  <si>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</si>
  <si>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</si>
  <si>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</si>
  <si>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</si>
  <si>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</si>
  <si>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</si>
  <si>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</si>
  <si>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</si>
  <si>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</si>
  <si>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</si>
  <si>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</si>
  <si>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</si>
  <si>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</si>
  <si>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</si>
  <si>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</si>
  <si>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</si>
  <si>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</si>
  <si>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</si>
  <si>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</si>
  <si>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</si>
  <si>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</si>
  <si>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</si>
  <si>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</si>
  <si>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</si>
  <si>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</si>
  <si>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</si>
  <si>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</si>
  <si>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</si>
  <si>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</si>
  <si>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</si>
  <si>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</si>
  <si>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</si>
  <si>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</si>
  <si>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</si>
  <si>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</si>
  <si>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</si>
  <si>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</si>
  <si>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</si>
  <si>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</si>
  <si>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</si>
  <si>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</si>
  <si>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</si>
  <si>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</si>
  <si>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</si>
  <si>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</si>
  <si>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</si>
  <si>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</si>
  <si>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</si>
  <si>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</si>
  <si>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</si>
  <si>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</si>
  <si>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</si>
  <si>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</si>
  <si>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</si>
  <si>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</si>
  <si>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</si>
  <si>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</si>
  <si>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</si>
  <si>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</si>
  <si>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</si>
  <si>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</si>
  <si>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</si>
  <si>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</si>
  <si>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</si>
  <si>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</si>
  <si>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</si>
  <si>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いっしー</t>
  </si>
  <si>
    <t>いっしー</t>
    <phoneticPr fontId="1"/>
  </si>
  <si>
    <t>だいち</t>
  </si>
  <si>
    <t>だいち</t>
    <phoneticPr fontId="1"/>
  </si>
  <si>
    <t>ツモ支払</t>
  </si>
  <si>
    <t>ツモ</t>
  </si>
  <si>
    <t>*</t>
  </si>
  <si>
    <t>01</t>
  </si>
  <si>
    <t>52</t>
  </si>
  <si>
    <t>ロン</t>
  </si>
  <si>
    <t>放銃</t>
  </si>
  <si>
    <t>51</t>
  </si>
  <si>
    <t>02</t>
  </si>
  <si>
    <t>ただ</t>
  </si>
  <si>
    <t>ただ</t>
    <phoneticPr fontId="1"/>
  </si>
  <si>
    <t>T</t>
  </si>
  <si>
    <t>N</t>
  </si>
  <si>
    <t>流局</t>
    <phoneticPr fontId="1"/>
  </si>
  <si>
    <t>チョンボ</t>
  </si>
  <si>
    <t>ぱぱ</t>
  </si>
  <si>
    <t>ぱぱ</t>
    <phoneticPr fontId="1"/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</si>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</sst>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いっしー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いっしー</v>
      </c>
      <c r="W2" s="16" t="str">
        <f>$P$1</f>
        <v>だいち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-7500</v>
      </c>
      <c r="H4" s="9"/>
      <c r="I4" s="55">
        <v>0</v>
      </c>
      <c r="J4" s="21">
        <f>IF(COUNTA($F4,$K4,$P4)&gt;0,J3+SUM(G4:I4),"")</f>
        <v>27500</v>
      </c>
      <c r="K4" s="8" t="s">
        <v>145</v>
      </c>
      <c r="L4" s="9">
        <v>-4500</v>
      </c>
      <c r="M4" s="9"/>
      <c r="N4" s="55">
        <v>0</v>
      </c>
      <c r="O4" s="21">
        <f>IF(COUNTA($F4,$K4,$P4)&gt;0,O3+SUM(L4:N4),"")</f>
        <v>30500</v>
      </c>
      <c r="P4" s="8" t="s">
        <v>146</v>
      </c>
      <c r="Q4" s="9">
        <v>12000</v>
      </c>
      <c r="R4" s="9"/>
      <c r="S4" s="55">
        <v>0</v>
      </c>
      <c r="T4" s="21">
        <f>IF(COUNTA($F4,$K4,$P4)&gt;0,T3+SUM(Q4:S4),"")</f>
        <v>47000</v>
      </c>
      <c r="U4" s="60">
        <f>IF($J4="","",ROUND(($J4-$J$3)/1000,1)+(_xlfn.RANK.AVG($J4,($J4,$O4,$T4),1)-2)*20)</f>
        <v>-27.5</v>
      </c>
      <c r="V4" s="61">
        <f>IF($O4="","",ROUND(($O4-$O$3)/1000,1)+(_xlfn.RANK.AVG($O4,($J4,$O4,$T4),1)-2)*20)</f>
        <v>-4.5</v>
      </c>
      <c r="W4" s="62">
        <f>IF($T4="","",ROUND(($T4-$T$3)/1000,1)+(_xlfn.RANK.AVG($T4,($J4,$O4,$T4),1)-2)*20)</f>
        <v>32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7</v>
      </c>
      <c r="BT4" s="36" t="s">
        <v>147</v>
      </c>
      <c r="BU4" s="47" t="s">
        <v>148</v>
      </c>
      <c r="BV4" s="48" t="s">
        <v>83</v>
      </c>
      <c r="BW4" s="48" t="s">
        <v>86</v>
      </c>
      <c r="BX4" s="48" t="s">
        <v>80</v>
      </c>
      <c r="BY4" s="48" t="s">
        <v>149</v>
      </c>
      <c r="BZ4" s="48" t="s">
        <v>97</v>
      </c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145</v>
      </c>
      <c r="G5" s="9">
        <v>-5800</v>
      </c>
      <c r="H5" s="9">
        <v>-1000</v>
      </c>
      <c r="I5" s="55">
        <v>0</v>
      </c>
      <c r="J5" s="21">
        <f t="shared" ref="J5:J30" si="2">IF(COUNTA($F5,$K5,$P5)&gt;0,J4+SUM(G5:I5),"")</f>
        <v>20700</v>
      </c>
      <c r="K5" s="8" t="s">
        <v>146</v>
      </c>
      <c r="L5" s="9">
        <v>11600</v>
      </c>
      <c r="M5" s="9">
        <v>1000</v>
      </c>
      <c r="N5" s="55">
        <v>0</v>
      </c>
      <c r="O5" s="21">
        <f t="shared" ref="O5:O30" si="3">IF(COUNTA($F5,$K5,$P5)&gt;0,O4+SUM(L5:N5),"")</f>
        <v>43100</v>
      </c>
      <c r="P5" s="8" t="s">
        <v>145</v>
      </c>
      <c r="Q5" s="9">
        <v>-5800</v>
      </c>
      <c r="R5" s="9"/>
      <c r="S5" s="55">
        <v>0</v>
      </c>
      <c r="T5" s="21">
        <f t="shared" ref="T5:T30" si="4">IF(COUNTA($F5,$K5,$P5)&gt;0,T4+SUM(Q5:S5),"")</f>
        <v>41200</v>
      </c>
      <c r="U5" s="60">
        <f>IF($J5="","",ROUND(($J5-$J$3)/1000,1)+(_xlfn.RANK.AVG($J5,($J5,$O5,$T5),1)-2)*20)</f>
        <v>-34.299999999999997</v>
      </c>
      <c r="V5" s="61">
        <f>IF($O5="","",ROUND(($O5-$O$3)/1000,1)+(_xlfn.RANK.AVG($O5,($J5,$O5,$T5),1)-2)*20)</f>
        <v>28.1</v>
      </c>
      <c r="W5" s="62">
        <f>IF($T5="","",ROUND(($T5-$T$3)/1000,1)+(_xlfn.RANK.AVG($T5,($J5,$O5,$T5),1)-2)*20)</f>
        <v>6.2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30</v>
      </c>
      <c r="AZ5" s="47" t="s">
        <v>148</v>
      </c>
      <c r="BA5" s="48" t="s">
        <v>83</v>
      </c>
      <c r="BB5" s="48" t="s">
        <v>81</v>
      </c>
      <c r="BC5" s="48" t="s">
        <v>81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141</v>
      </c>
      <c r="F6" s="8" t="s">
        <v>150</v>
      </c>
      <c r="G6" s="9">
        <v>3900</v>
      </c>
      <c r="H6" s="9"/>
      <c r="I6" s="55">
        <v>1000</v>
      </c>
      <c r="J6" s="21">
        <f t="shared" si="2"/>
        <v>25600</v>
      </c>
      <c r="K6" s="8"/>
      <c r="L6" s="9"/>
      <c r="M6" s="9"/>
      <c r="N6" s="55"/>
      <c r="O6" s="21">
        <f t="shared" si="3"/>
        <v>43100</v>
      </c>
      <c r="P6" s="8" t="s">
        <v>151</v>
      </c>
      <c r="Q6" s="9">
        <v>-3900</v>
      </c>
      <c r="R6" s="9"/>
      <c r="S6" s="55">
        <v>-1000</v>
      </c>
      <c r="T6" s="21">
        <f t="shared" si="4"/>
        <v>36300</v>
      </c>
      <c r="U6" s="60">
        <f>IF($J6="","",ROUND(($J6-$J$3)/1000,1)+(_xlfn.RANK.AVG($J6,($J6,$O6,$T6),1)-2)*20)</f>
        <v>-29.4</v>
      </c>
      <c r="V6" s="61">
        <f>IF($O6="","",ROUND(($O6-$O$3)/1000,1)+(_xlfn.RANK.AVG($O6,($J6,$O6,$T6),1)-2)*20)</f>
        <v>28.1</v>
      </c>
      <c r="W6" s="62">
        <f>IF($T6="","",ROUND(($T6-$T$3)/1000,1)+(_xlfn.RANK.AVG($T6,($J6,$O6,$T6),1)-2)*20)</f>
        <v>1.3</v>
      </c>
      <c r="Y6" s="8"/>
      <c r="Z6" s="41"/>
      <c r="AA6" s="32"/>
      <c r="AB6" s="32">
        <v>1</v>
      </c>
      <c r="AC6" s="32">
        <v>3</v>
      </c>
      <c r="AD6" s="36">
        <v>30</v>
      </c>
      <c r="AE6" s="47" t="s">
        <v>80</v>
      </c>
      <c r="AF6" s="48" t="s">
        <v>87</v>
      </c>
      <c r="AG6" s="48" t="s">
        <v>87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143</v>
      </c>
      <c r="F7" s="8" t="s">
        <v>150</v>
      </c>
      <c r="G7" s="9">
        <v>1300</v>
      </c>
      <c r="H7" s="9">
        <v>1000</v>
      </c>
      <c r="I7" s="55">
        <v>0</v>
      </c>
      <c r="J7" s="21">
        <f t="shared" si="2"/>
        <v>27900</v>
      </c>
      <c r="K7" s="8" t="s">
        <v>151</v>
      </c>
      <c r="L7" s="9">
        <v>-1300</v>
      </c>
      <c r="M7" s="9">
        <v>-1000</v>
      </c>
      <c r="N7" s="55">
        <v>0</v>
      </c>
      <c r="O7" s="21">
        <f t="shared" si="3"/>
        <v>40800</v>
      </c>
      <c r="P7" s="8"/>
      <c r="Q7" s="9"/>
      <c r="R7" s="9"/>
      <c r="S7" s="55"/>
      <c r="T7" s="21">
        <f t="shared" si="4"/>
        <v>36300</v>
      </c>
      <c r="U7" s="60">
        <f>IF($J7="","",ROUND(($J7-$J$3)/1000,1)+(_xlfn.RANK.AVG($J7,($J7,$O7,$T7),1)-2)*20)</f>
        <v>-27.1</v>
      </c>
      <c r="V7" s="61">
        <f>IF($O7="","",ROUND(($O7-$O$3)/1000,1)+(_xlfn.RANK.AVG($O7,($J7,$O7,$T7),1)-2)*20)</f>
        <v>25.8</v>
      </c>
      <c r="W7" s="62">
        <f>IF($T7="","",ROUND(($T7-$T$3)/1000,1)+(_xlfn.RANK.AVG($T7,($J7,$O7,$T7),1)-2)*20)</f>
        <v>1.3</v>
      </c>
      <c r="Y7" s="8"/>
      <c r="Z7" s="41"/>
      <c r="AA7" s="32">
        <v>1</v>
      </c>
      <c r="AB7" s="32"/>
      <c r="AC7" s="32">
        <v>1</v>
      </c>
      <c r="AD7" s="36">
        <v>40</v>
      </c>
      <c r="AE7" s="47" t="s">
        <v>148</v>
      </c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139</v>
      </c>
      <c r="F8" s="8" t="s">
        <v>145</v>
      </c>
      <c r="G8" s="9">
        <v>-7500</v>
      </c>
      <c r="H8" s="9"/>
      <c r="I8" s="55">
        <v>0</v>
      </c>
      <c r="J8" s="21">
        <f t="shared" si="2"/>
        <v>20400</v>
      </c>
      <c r="K8" s="8" t="s">
        <v>146</v>
      </c>
      <c r="L8" s="9">
        <v>12000</v>
      </c>
      <c r="M8" s="9"/>
      <c r="N8" s="55">
        <v>0</v>
      </c>
      <c r="O8" s="21">
        <f t="shared" si="3"/>
        <v>52800</v>
      </c>
      <c r="P8" s="8" t="s">
        <v>145</v>
      </c>
      <c r="Q8" s="9">
        <v>-4500</v>
      </c>
      <c r="R8" s="9"/>
      <c r="S8" s="55">
        <v>0</v>
      </c>
      <c r="T8" s="21">
        <f t="shared" si="4"/>
        <v>31800</v>
      </c>
      <c r="U8" s="60">
        <f>IF($J8="","",ROUND(($J8-$J$3)/1000,1)+(_xlfn.RANK.AVG($J8,($J8,$O8,$T8),1)-2)*20)</f>
        <v>-34.6</v>
      </c>
      <c r="V8" s="61">
        <f>IF($O8="","",ROUND(($O8-$O$3)/1000,1)+(_xlfn.RANK.AVG($O8,($J8,$O8,$T8),1)-2)*20)</f>
        <v>37.799999999999997</v>
      </c>
      <c r="W8" s="62">
        <f>IF($T8="","",ROUND(($T8-$T$3)/1000,1)+(_xlfn.RANK.AVG($T8,($J8,$O8,$T8),1)-2)*20)</f>
        <v>-3.2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7</v>
      </c>
      <c r="AY8" s="36" t="s">
        <v>147</v>
      </c>
      <c r="AZ8" s="47" t="s">
        <v>148</v>
      </c>
      <c r="BA8" s="48" t="s">
        <v>83</v>
      </c>
      <c r="BB8" s="48" t="s">
        <v>90</v>
      </c>
      <c r="BC8" s="48" t="s">
        <v>87</v>
      </c>
      <c r="BD8" s="48" t="s">
        <v>87</v>
      </c>
      <c r="BE8" s="48" t="s">
        <v>80</v>
      </c>
      <c r="BF8" s="48" t="s">
        <v>80</v>
      </c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141</v>
      </c>
      <c r="F9" s="8" t="s">
        <v>145</v>
      </c>
      <c r="G9" s="9">
        <v>-6000</v>
      </c>
      <c r="H9" s="9"/>
      <c r="I9" s="55">
        <v>0</v>
      </c>
      <c r="J9" s="21">
        <f t="shared" si="2"/>
        <v>14400</v>
      </c>
      <c r="K9" s="8" t="s">
        <v>146</v>
      </c>
      <c r="L9" s="9">
        <v>12000</v>
      </c>
      <c r="M9" s="9"/>
      <c r="N9" s="55">
        <v>0</v>
      </c>
      <c r="O9" s="21">
        <f t="shared" si="3"/>
        <v>64800</v>
      </c>
      <c r="P9" s="8" t="s">
        <v>145</v>
      </c>
      <c r="Q9" s="9">
        <v>-6000</v>
      </c>
      <c r="R9" s="9"/>
      <c r="S9" s="55">
        <v>0</v>
      </c>
      <c r="T9" s="21">
        <f t="shared" si="4"/>
        <v>25800</v>
      </c>
      <c r="U9" s="60">
        <f>IF($J9="","",ROUND(($J9-$J$3)/1000,1)+(_xlfn.RANK.AVG($J9,($J9,$O9,$T9),1)-2)*20)</f>
        <v>-40.6</v>
      </c>
      <c r="V9" s="61">
        <f>IF($O9="","",ROUND(($O9-$O$3)/1000,1)+(_xlfn.RANK.AVG($O9,($J9,$O9,$T9),1)-2)*20)</f>
        <v>49.8</v>
      </c>
      <c r="W9" s="62">
        <f>IF($T9="","",ROUND(($T9-$T$3)/1000,1)+(_xlfn.RANK.AVG($T9,($J9,$O9,$T9),1)-2)*20)</f>
        <v>-9.1999999999999993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5</v>
      </c>
      <c r="AY9" s="36" t="s">
        <v>147</v>
      </c>
      <c r="AZ9" s="47" t="s">
        <v>87</v>
      </c>
      <c r="BA9" s="48" t="s">
        <v>87</v>
      </c>
      <c r="BB9" s="48" t="s">
        <v>105</v>
      </c>
      <c r="BC9" s="48" t="s">
        <v>88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141</v>
      </c>
      <c r="F10" s="8" t="s">
        <v>150</v>
      </c>
      <c r="G10" s="9">
        <v>8000</v>
      </c>
      <c r="H10" s="9">
        <v>1000</v>
      </c>
      <c r="I10" s="55">
        <v>1000</v>
      </c>
      <c r="J10" s="21">
        <f t="shared" si="2"/>
        <v>24400</v>
      </c>
      <c r="K10" s="8" t="s">
        <v>150</v>
      </c>
      <c r="L10" s="9">
        <v>5800</v>
      </c>
      <c r="M10" s="9"/>
      <c r="N10" s="55"/>
      <c r="O10" s="21">
        <f t="shared" si="3"/>
        <v>70600</v>
      </c>
      <c r="P10" s="8" t="s">
        <v>151</v>
      </c>
      <c r="Q10" s="9">
        <v>-13800</v>
      </c>
      <c r="R10" s="9">
        <v>-1000</v>
      </c>
      <c r="S10" s="55">
        <v>-1000</v>
      </c>
      <c r="T10" s="21">
        <f t="shared" si="4"/>
        <v>10000</v>
      </c>
      <c r="U10" s="60">
        <f>IF($J10="","",ROUND(($J10-$J$3)/1000,1)+(_xlfn.RANK.AVG($J10,($J10,$O10,$T10),1)-2)*20)</f>
        <v>-10.6</v>
      </c>
      <c r="V10" s="61">
        <f>IF($O10="","",ROUND(($O10-$O$3)/1000,1)+(_xlfn.RANK.AVG($O10,($J10,$O10,$T10),1)-2)*20)</f>
        <v>55.6</v>
      </c>
      <c r="W10" s="62">
        <f>IF($T10="","",ROUND(($T10-$T$3)/1000,1)+(_xlfn.RANK.AVG($T10,($J10,$O10,$T10),1)-2)*20)</f>
        <v>-45</v>
      </c>
      <c r="Y10" s="8"/>
      <c r="Z10" s="41"/>
      <c r="AA10" s="32">
        <v>1</v>
      </c>
      <c r="AB10" s="32"/>
      <c r="AC10" s="32">
        <v>4</v>
      </c>
      <c r="AD10" s="36">
        <v>40</v>
      </c>
      <c r="AE10" s="47" t="s">
        <v>148</v>
      </c>
      <c r="AF10" s="48" t="s">
        <v>80</v>
      </c>
      <c r="AG10" s="48" t="s">
        <v>94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3</v>
      </c>
      <c r="AY10" s="36">
        <v>30</v>
      </c>
      <c r="AZ10" s="47" t="s">
        <v>148</v>
      </c>
      <c r="BA10" s="48" t="s">
        <v>80</v>
      </c>
      <c r="BB10" s="48" t="s">
        <v>94</v>
      </c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142</v>
      </c>
      <c r="F11" s="8"/>
      <c r="G11" s="9"/>
      <c r="H11" s="9"/>
      <c r="I11" s="55"/>
      <c r="J11" s="21">
        <f t="shared" si="2"/>
        <v>24400</v>
      </c>
      <c r="K11" s="8" t="s">
        <v>150</v>
      </c>
      <c r="L11" s="9">
        <v>5800</v>
      </c>
      <c r="M11" s="9"/>
      <c r="N11" s="55">
        <v>2000</v>
      </c>
      <c r="O11" s="21">
        <f t="shared" si="3"/>
        <v>78400</v>
      </c>
      <c r="P11" s="8" t="s">
        <v>151</v>
      </c>
      <c r="Q11" s="9">
        <v>-5800</v>
      </c>
      <c r="R11" s="9"/>
      <c r="S11" s="55">
        <v>-2000</v>
      </c>
      <c r="T11" s="21">
        <f t="shared" si="4"/>
        <v>2200</v>
      </c>
      <c r="U11" s="60">
        <f>IF($J11="","",ROUND(($J11-$J$3)/1000,1)+(_xlfn.RANK.AVG($J11,($J11,$O11,$T11),1)-2)*20)</f>
        <v>-10.6</v>
      </c>
      <c r="V11" s="61">
        <f>IF($O11="","",ROUND(($O11-$O$3)/1000,1)+(_xlfn.RANK.AVG($O11,($J11,$O11,$T11),1)-2)*20)</f>
        <v>63.4</v>
      </c>
      <c r="W11" s="62">
        <f>IF($T11="","",ROUND(($T11-$T$3)/1000,1)+(_xlfn.RANK.AVG($T11,($J11,$O11,$T11),1)-2)*20)</f>
        <v>-52.8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>
        <v>3</v>
      </c>
      <c r="AY11" s="36">
        <v>30</v>
      </c>
      <c r="AZ11" s="47" t="s">
        <v>99</v>
      </c>
      <c r="BA11" s="48" t="s">
        <v>87</v>
      </c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141</v>
      </c>
      <c r="F12" s="8" t="s">
        <v>145</v>
      </c>
      <c r="G12" s="9">
        <v>-500</v>
      </c>
      <c r="H12" s="9"/>
      <c r="I12" s="55">
        <v>-1500</v>
      </c>
      <c r="J12" s="21">
        <f t="shared" si="2"/>
        <v>22400</v>
      </c>
      <c r="K12" s="8" t="s">
        <v>145</v>
      </c>
      <c r="L12" s="9">
        <v>-700</v>
      </c>
      <c r="M12" s="9">
        <v>-1000</v>
      </c>
      <c r="N12" s="55">
        <v>-1500</v>
      </c>
      <c r="O12" s="21">
        <f t="shared" si="3"/>
        <v>75200</v>
      </c>
      <c r="P12" s="8" t="s">
        <v>146</v>
      </c>
      <c r="Q12" s="9">
        <v>1200</v>
      </c>
      <c r="R12" s="9">
        <v>1000</v>
      </c>
      <c r="S12" s="55">
        <v>3000</v>
      </c>
      <c r="T12" s="21">
        <f t="shared" si="4"/>
        <v>7400</v>
      </c>
      <c r="U12" s="60">
        <f>IF($J12="","",ROUND(($J12-$J$3)/1000,1)+(_xlfn.RANK.AVG($J12,($J12,$O12,$T12),1)-2)*20)</f>
        <v>-12.6</v>
      </c>
      <c r="V12" s="61">
        <f>IF($O12="","",ROUND(($O12-$O$3)/1000,1)+(_xlfn.RANK.AVG($O12,($J12,$O12,$T12),1)-2)*20)</f>
        <v>60.2</v>
      </c>
      <c r="W12" s="62">
        <f>IF($T12="","",ROUND(($T12-$T$3)/1000,1)+(_xlfn.RANK.AVG($T12,($J12,$O12,$T12),1)-2)*20)</f>
        <v>-47.6</v>
      </c>
      <c r="Y12" s="8"/>
      <c r="Z12" s="41"/>
      <c r="AA12" s="32"/>
      <c r="AB12" s="32">
        <v>1</v>
      </c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>
        <v>1</v>
      </c>
      <c r="BT12" s="36">
        <v>30</v>
      </c>
      <c r="BU12" s="47" t="s">
        <v>148</v>
      </c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143</v>
      </c>
      <c r="F13" s="8" t="s">
        <v>145</v>
      </c>
      <c r="G13" s="9">
        <v>-9000</v>
      </c>
      <c r="H13" s="9"/>
      <c r="I13" s="55">
        <v>0</v>
      </c>
      <c r="J13" s="21">
        <f t="shared" si="2"/>
        <v>13400</v>
      </c>
      <c r="K13" s="8" t="s">
        <v>145</v>
      </c>
      <c r="L13" s="9">
        <v>-9000</v>
      </c>
      <c r="M13" s="9"/>
      <c r="N13" s="55">
        <v>0</v>
      </c>
      <c r="O13" s="21">
        <f t="shared" si="3"/>
        <v>66200</v>
      </c>
      <c r="P13" s="8" t="s">
        <v>146</v>
      </c>
      <c r="Q13" s="9">
        <v>18000</v>
      </c>
      <c r="R13" s="9"/>
      <c r="S13" s="55">
        <v>0</v>
      </c>
      <c r="T13" s="21">
        <f t="shared" si="4"/>
        <v>25400</v>
      </c>
      <c r="U13" s="60">
        <f>IF($J13="","",ROUND(($J13-$J$3)/1000,1)+(_xlfn.RANK.AVG($J13,($J13,$O13,$T13),1)-2)*20)</f>
        <v>-41.6</v>
      </c>
      <c r="V13" s="61">
        <f>IF($O13="","",ROUND(($O13-$O$3)/1000,1)+(_xlfn.RANK.AVG($O13,($J13,$O13,$T13),1)-2)*20)</f>
        <v>51.2</v>
      </c>
      <c r="W13" s="62">
        <f>IF($T13="","",ROUND(($T13-$T$3)/1000,1)+(_xlfn.RANK.AVG($T13,($J13,$O13,$T13),1)-2)*20)</f>
        <v>-9.6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6</v>
      </c>
      <c r="BT13" s="36" t="s">
        <v>147</v>
      </c>
      <c r="BU13" s="47" t="s">
        <v>152</v>
      </c>
      <c r="BV13" s="48" t="s">
        <v>83</v>
      </c>
      <c r="BW13" s="48" t="s">
        <v>153</v>
      </c>
      <c r="BX13" s="48" t="s">
        <v>149</v>
      </c>
      <c r="BY13" s="48" t="s">
        <v>81</v>
      </c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143</v>
      </c>
      <c r="F14" s="8" t="s">
        <v>146</v>
      </c>
      <c r="G14" s="9">
        <v>8000</v>
      </c>
      <c r="H14" s="9"/>
      <c r="I14" s="55">
        <v>1000</v>
      </c>
      <c r="J14" s="21">
        <f t="shared" si="2"/>
        <v>22400</v>
      </c>
      <c r="K14" s="8" t="s">
        <v>145</v>
      </c>
      <c r="L14" s="9">
        <v>-3000</v>
      </c>
      <c r="M14" s="9"/>
      <c r="N14" s="55">
        <v>-500</v>
      </c>
      <c r="O14" s="21">
        <f t="shared" si="3"/>
        <v>62700</v>
      </c>
      <c r="P14" s="8" t="s">
        <v>145</v>
      </c>
      <c r="Q14" s="9">
        <v>-5000</v>
      </c>
      <c r="R14" s="9"/>
      <c r="S14" s="55">
        <v>-500</v>
      </c>
      <c r="T14" s="21">
        <f t="shared" si="4"/>
        <v>19900</v>
      </c>
      <c r="U14" s="60">
        <f>IF($J14="","",ROUND(($J14-$J$3)/1000,1)+(_xlfn.RANK.AVG($J14,($J14,$O14,$T14),1)-2)*20)</f>
        <v>-12.6</v>
      </c>
      <c r="V14" s="61">
        <f>IF($O14="","",ROUND(($O14-$O$3)/1000,1)+(_xlfn.RANK.AVG($O14,($J14,$O14,$T14),1)-2)*20)</f>
        <v>47.7</v>
      </c>
      <c r="W14" s="62">
        <f>IF($T14="","",ROUND(($T14-$T$3)/1000,1)+(_xlfn.RANK.AVG($T14,($J14,$O14,$T14),1)-2)*20)</f>
        <v>-35.1</v>
      </c>
      <c r="Y14" s="8"/>
      <c r="Z14" s="41"/>
      <c r="AA14" s="32">
        <v>1</v>
      </c>
      <c r="AB14" s="32"/>
      <c r="AC14" s="32">
        <v>5</v>
      </c>
      <c r="AD14" s="36" t="s">
        <v>147</v>
      </c>
      <c r="AE14" s="47" t="s">
        <v>148</v>
      </c>
      <c r="AF14" s="48" t="s">
        <v>83</v>
      </c>
      <c r="AG14" s="48" t="s">
        <v>84</v>
      </c>
      <c r="AH14" s="48" t="s">
        <v>149</v>
      </c>
      <c r="AI14" s="48" t="s">
        <v>81</v>
      </c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FCDD4-C6AC-43FC-A5AB-8A4EA17642C7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155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ただ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158</v>
      </c>
      <c r="G4" s="9">
        <v>3000</v>
      </c>
      <c r="H4" s="9">
        <v>-1000</v>
      </c>
      <c r="I4" s="55"/>
      <c r="J4" s="21">
        <f>IF(COUNTA($F4,$K4,$P4)&gt;0,J3+SUM(G4:I4),"")</f>
        <v>37000</v>
      </c>
      <c r="K4" s="8" t="s">
        <v>158</v>
      </c>
      <c r="L4" s="9">
        <v>-1500</v>
      </c>
      <c r="M4" s="9"/>
      <c r="N4" s="55"/>
      <c r="O4" s="21">
        <f>IF(COUNTA($F4,$K4,$P4)&gt;0,O3+SUM(L4:N4),"")</f>
        <v>33500</v>
      </c>
      <c r="P4" s="8" t="s">
        <v>158</v>
      </c>
      <c r="Q4" s="9">
        <v>-1500</v>
      </c>
      <c r="R4" s="9"/>
      <c r="S4" s="55"/>
      <c r="T4" s="21">
        <f>IF(COUNTA($F4,$K4,$P4)&gt;0,T3+SUM(Q4:S4),"")</f>
        <v>33500</v>
      </c>
      <c r="U4" s="60">
        <f>IF($J4="","",ROUND(($J4-$J$3)/1000,1)+(_xlfn.RANK.AVG($J4,($J4,$O4,$T4),1)-2)*20)</f>
        <v>22</v>
      </c>
      <c r="V4" s="61">
        <f>IF($O4="","",ROUND(($O4-$O$3)/1000,1)+(_xlfn.RANK.AVG($O4,($J4,$O4,$T4),1)-2)*20)</f>
        <v>-11.5</v>
      </c>
      <c r="W4" s="62">
        <f>IF($T4="","",ROUND(($T4-$T$3)/1000,1)+(_xlfn.RANK.AVG($T4,($J4,$O4,$T4),1)-2)*20)</f>
        <v>-11.5</v>
      </c>
      <c r="Y4" s="8" t="s">
        <v>156</v>
      </c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157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157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139</v>
      </c>
      <c r="F5" s="8" t="s">
        <v>145</v>
      </c>
      <c r="G5" s="9">
        <v>-1300</v>
      </c>
      <c r="H5" s="9"/>
      <c r="I5" s="55">
        <v>-500</v>
      </c>
      <c r="J5" s="21">
        <f t="shared" ref="J5:J30" si="2">IF(COUNTA($F5,$K5,$P5)&gt;0,J4+SUM(G5:I5),"")</f>
        <v>35200</v>
      </c>
      <c r="K5" s="8" t="s">
        <v>146</v>
      </c>
      <c r="L5" s="9">
        <v>2100</v>
      </c>
      <c r="M5" s="9">
        <v>2000</v>
      </c>
      <c r="N5" s="55">
        <v>1000</v>
      </c>
      <c r="O5" s="21">
        <f t="shared" ref="O5:O30" si="3">IF(COUNTA($F5,$K5,$P5)&gt;0,O4+SUM(L5:N5),"")</f>
        <v>38600</v>
      </c>
      <c r="P5" s="8" t="s">
        <v>145</v>
      </c>
      <c r="Q5" s="9">
        <v>-800</v>
      </c>
      <c r="R5" s="9">
        <v>-1000</v>
      </c>
      <c r="S5" s="55">
        <v>-500</v>
      </c>
      <c r="T5" s="21">
        <f t="shared" ref="T5:T30" si="4">IF(COUNTA($F5,$K5,$P5)&gt;0,T4+SUM(Q5:S5),"")</f>
        <v>31200</v>
      </c>
      <c r="U5" s="60">
        <f>IF($J5="","",ROUND(($J5-$J$3)/1000,1)+(_xlfn.RANK.AVG($J5,($J5,$O5,$T5),1)-2)*20)</f>
        <v>0.2</v>
      </c>
      <c r="V5" s="61">
        <f>IF($O5="","",ROUND(($O5-$O$3)/1000,1)+(_xlfn.RANK.AVG($O5,($J5,$O5,$T5),1)-2)*20)</f>
        <v>23.6</v>
      </c>
      <c r="W5" s="62">
        <f>IF($T5="","",ROUND(($T5-$T$3)/1000,1)+(_xlfn.RANK.AVG($T5,($J5,$O5,$T5),1)-2)*20)</f>
        <v>-23.8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2</v>
      </c>
      <c r="AY5" s="36">
        <v>30</v>
      </c>
      <c r="AZ5" s="47" t="s">
        <v>87</v>
      </c>
      <c r="BA5" s="48" t="s">
        <v>80</v>
      </c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154</v>
      </c>
      <c r="F6" s="8" t="s">
        <v>158</v>
      </c>
      <c r="G6" s="9">
        <v>3000</v>
      </c>
      <c r="H6" s="9">
        <v>-1000</v>
      </c>
      <c r="I6" s="55"/>
      <c r="J6" s="21">
        <f t="shared" si="2"/>
        <v>37200</v>
      </c>
      <c r="K6" s="8" t="s">
        <v>158</v>
      </c>
      <c r="L6" s="9">
        <v>-1500</v>
      </c>
      <c r="M6" s="9"/>
      <c r="N6" s="55"/>
      <c r="O6" s="21">
        <f t="shared" si="3"/>
        <v>37100</v>
      </c>
      <c r="P6" s="8" t="s">
        <v>158</v>
      </c>
      <c r="Q6" s="9">
        <v>-1500</v>
      </c>
      <c r="R6" s="9"/>
      <c r="S6" s="55"/>
      <c r="T6" s="21">
        <f t="shared" si="4"/>
        <v>29700</v>
      </c>
      <c r="U6" s="60">
        <f>IF($J6="","",ROUND(($J6-$J$3)/1000,1)+(_xlfn.RANK.AVG($J6,($J6,$O6,$T6),1)-2)*20)</f>
        <v>22.2</v>
      </c>
      <c r="V6" s="61">
        <f>IF($O6="","",ROUND(($O6-$O$3)/1000,1)+(_xlfn.RANK.AVG($O6,($J6,$O6,$T6),1)-2)*20)</f>
        <v>2.1</v>
      </c>
      <c r="W6" s="62">
        <f>IF($T6="","",ROUND(($T6-$T$3)/1000,1)+(_xlfn.RANK.AVG($T6,($J6,$O6,$T6),1)-2)*20)</f>
        <v>-25.3</v>
      </c>
      <c r="Y6" s="8" t="s">
        <v>156</v>
      </c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157</v>
      </c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157</v>
      </c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143</v>
      </c>
      <c r="F7" s="8" t="s">
        <v>146</v>
      </c>
      <c r="G7" s="9">
        <v>8000</v>
      </c>
      <c r="H7" s="9">
        <v>2000</v>
      </c>
      <c r="I7" s="55">
        <v>1000</v>
      </c>
      <c r="J7" s="21">
        <f t="shared" si="2"/>
        <v>48200</v>
      </c>
      <c r="K7" s="8" t="s">
        <v>145</v>
      </c>
      <c r="L7" s="9">
        <v>-3000</v>
      </c>
      <c r="M7" s="9"/>
      <c r="N7" s="55">
        <v>-500</v>
      </c>
      <c r="O7" s="21">
        <f t="shared" si="3"/>
        <v>33600</v>
      </c>
      <c r="P7" s="8" t="s">
        <v>145</v>
      </c>
      <c r="Q7" s="9">
        <v>-5000</v>
      </c>
      <c r="R7" s="9">
        <v>-1000</v>
      </c>
      <c r="S7" s="55">
        <v>-500</v>
      </c>
      <c r="T7" s="21">
        <f t="shared" si="4"/>
        <v>23200</v>
      </c>
      <c r="U7" s="60">
        <f>IF($J7="","",ROUND(($J7-$J$3)/1000,1)+(_xlfn.RANK.AVG($J7,($J7,$O7,$T7),1)-2)*20)</f>
        <v>33.200000000000003</v>
      </c>
      <c r="V7" s="61">
        <f>IF($O7="","",ROUND(($O7-$O$3)/1000,1)+(_xlfn.RANK.AVG($O7,($J7,$O7,$T7),1)-2)*20)</f>
        <v>-1.4</v>
      </c>
      <c r="W7" s="62">
        <f>IF($T7="","",ROUND(($T7-$T$3)/1000,1)+(_xlfn.RANK.AVG($T7,($J7,$O7,$T7),1)-2)*20)</f>
        <v>-31.8</v>
      </c>
      <c r="Y7" s="8"/>
      <c r="Z7" s="41"/>
      <c r="AA7" s="32"/>
      <c r="AB7" s="32"/>
      <c r="AC7" s="32">
        <v>5</v>
      </c>
      <c r="AD7" s="36" t="s">
        <v>147</v>
      </c>
      <c r="AE7" s="47" t="s">
        <v>83</v>
      </c>
      <c r="AF7" s="48" t="s">
        <v>80</v>
      </c>
      <c r="AG7" s="48" t="s">
        <v>80</v>
      </c>
      <c r="AH7" s="48" t="s">
        <v>80</v>
      </c>
      <c r="AI7" s="48" t="s">
        <v>80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139</v>
      </c>
      <c r="F8" s="8" t="s">
        <v>150</v>
      </c>
      <c r="G8" s="9">
        <v>18000</v>
      </c>
      <c r="H8" s="9">
        <v>1000</v>
      </c>
      <c r="I8" s="55">
        <v>0</v>
      </c>
      <c r="J8" s="21">
        <f t="shared" si="2"/>
        <v>67200</v>
      </c>
      <c r="K8" s="8"/>
      <c r="L8" s="9"/>
      <c r="M8" s="9"/>
      <c r="N8" s="55"/>
      <c r="O8" s="21">
        <f t="shared" si="3"/>
        <v>33600</v>
      </c>
      <c r="P8" s="8" t="s">
        <v>151</v>
      </c>
      <c r="Q8" s="9">
        <v>-18000</v>
      </c>
      <c r="R8" s="9">
        <v>-1000</v>
      </c>
      <c r="S8" s="55">
        <v>0</v>
      </c>
      <c r="T8" s="21">
        <f t="shared" si="4"/>
        <v>4200</v>
      </c>
      <c r="U8" s="60">
        <f>IF($J8="","",ROUND(($J8-$J$3)/1000,1)+(_xlfn.RANK.AVG($J8,($J8,$O8,$T8),1)-2)*20)</f>
        <v>52.2</v>
      </c>
      <c r="V8" s="61">
        <f>IF($O8="","",ROUND(($O8-$O$3)/1000,1)+(_xlfn.RANK.AVG($O8,($J8,$O8,$T8),1)-2)*20)</f>
        <v>-1.4</v>
      </c>
      <c r="W8" s="62">
        <f>IF($T8="","",ROUND(($T8-$T$3)/1000,1)+(_xlfn.RANK.AVG($T8,($J8,$O8,$T8),1)-2)*20)</f>
        <v>-50.8</v>
      </c>
      <c r="Y8" s="8"/>
      <c r="Z8" s="41"/>
      <c r="AA8" s="32">
        <v>1</v>
      </c>
      <c r="AB8" s="32"/>
      <c r="AC8" s="32">
        <v>7</v>
      </c>
      <c r="AD8" s="36" t="s">
        <v>147</v>
      </c>
      <c r="AE8" s="47" t="s">
        <v>148</v>
      </c>
      <c r="AF8" s="48" t="s">
        <v>87</v>
      </c>
      <c r="AG8" s="48" t="s">
        <v>80</v>
      </c>
      <c r="AH8" s="48" t="s">
        <v>80</v>
      </c>
      <c r="AI8" s="48" t="s">
        <v>81</v>
      </c>
      <c r="AJ8" s="48" t="s">
        <v>81</v>
      </c>
      <c r="AK8" s="48" t="s">
        <v>149</v>
      </c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139</v>
      </c>
      <c r="F9" s="8" t="s">
        <v>146</v>
      </c>
      <c r="G9" s="9">
        <v>12000</v>
      </c>
      <c r="H9" s="9">
        <v>1000</v>
      </c>
      <c r="I9" s="55">
        <v>1000</v>
      </c>
      <c r="J9" s="21">
        <f t="shared" si="2"/>
        <v>81200</v>
      </c>
      <c r="K9" s="8" t="s">
        <v>145</v>
      </c>
      <c r="L9" s="9">
        <v>-6000</v>
      </c>
      <c r="M9" s="9">
        <v>-1000</v>
      </c>
      <c r="N9" s="55">
        <v>-500</v>
      </c>
      <c r="O9" s="21">
        <f t="shared" si="3"/>
        <v>26100</v>
      </c>
      <c r="P9" s="8" t="s">
        <v>145</v>
      </c>
      <c r="Q9" s="9">
        <v>-6000</v>
      </c>
      <c r="R9" s="9"/>
      <c r="S9" s="55">
        <v>-500</v>
      </c>
      <c r="T9" s="21">
        <f t="shared" si="4"/>
        <v>-2300</v>
      </c>
      <c r="U9" s="60">
        <f>IF($J9="","",ROUND(($J9-$J$3)/1000,1)+(_xlfn.RANK.AVG($J9,($J9,$O9,$T9),1)-2)*20)</f>
        <v>66.2</v>
      </c>
      <c r="V9" s="61">
        <f>IF($O9="","",ROUND(($O9-$O$3)/1000,1)+(_xlfn.RANK.AVG($O9,($J9,$O9,$T9),1)-2)*20)</f>
        <v>-8.9</v>
      </c>
      <c r="W9" s="62">
        <f>IF($T9="","",ROUND(($T9-$T$3)/1000,1)+(_xlfn.RANK.AVG($T9,($J9,$O9,$T9),1)-2)*20)</f>
        <v>-57.3</v>
      </c>
      <c r="Y9" s="8"/>
      <c r="Z9" s="41"/>
      <c r="AA9" s="32"/>
      <c r="AB9" s="32">
        <v>1</v>
      </c>
      <c r="AC9" s="32">
        <v>5</v>
      </c>
      <c r="AD9" s="36" t="s">
        <v>147</v>
      </c>
      <c r="AE9" s="47" t="s">
        <v>87</v>
      </c>
      <c r="AF9" s="48" t="s">
        <v>87</v>
      </c>
      <c r="AG9" s="48" t="s">
        <v>149</v>
      </c>
      <c r="AH9" s="48" t="s">
        <v>105</v>
      </c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4B3F3FF3-B062-4CFC-BAB9-C81F890B8087}">
      <formula1>$U$2:$W$2</formula1>
    </dataValidation>
    <dataValidation type="list" showInputMessage="1" showErrorMessage="1" sqref="K4:K30 P4:P30 F4:F30" xr:uid="{DE018A1C-4A9E-4BF6-B341-9A678160568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77AEE-165A-41F0-85E5-4144A0E3FD80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155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ただ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146</v>
      </c>
      <c r="G4" s="9">
        <v>18000</v>
      </c>
      <c r="H4" s="9"/>
      <c r="I4" s="55">
        <v>0</v>
      </c>
      <c r="J4" s="21">
        <f>IF(COUNTA($F4,$K4,$P4)&gt;0,J3+SUM(G4:I4),"")</f>
        <v>53000</v>
      </c>
      <c r="K4" s="8" t="s">
        <v>145</v>
      </c>
      <c r="L4" s="9">
        <v>-9000</v>
      </c>
      <c r="M4" s="9"/>
      <c r="N4" s="55">
        <v>0</v>
      </c>
      <c r="O4" s="21">
        <f>IF(COUNTA($F4,$K4,$P4)&gt;0,O3+SUM(L4:N4),"")</f>
        <v>26000</v>
      </c>
      <c r="P4" s="8" t="s">
        <v>145</v>
      </c>
      <c r="Q4" s="9">
        <v>-9000</v>
      </c>
      <c r="R4" s="9"/>
      <c r="S4" s="55">
        <v>0</v>
      </c>
      <c r="T4" s="21">
        <f>IF(COUNTA($F4,$K4,$P4)&gt;0,T3+SUM(Q4:S4),"")</f>
        <v>26000</v>
      </c>
      <c r="U4" s="60">
        <f>IF($J4="","",ROUND(($J4-$J$3)/1000,1)+(_xlfn.RANK.AVG($J4,($J4,$O4,$T4),1)-2)*20)</f>
        <v>38</v>
      </c>
      <c r="V4" s="61">
        <f>IF($O4="","",ROUND(($O4-$O$3)/1000,1)+(_xlfn.RANK.AVG($O4,($J4,$O4,$T4),1)-2)*20)</f>
        <v>-19</v>
      </c>
      <c r="W4" s="62">
        <f>IF($T4="","",ROUND(($T4-$T$3)/1000,1)+(_xlfn.RANK.AVG($T4,($J4,$O4,$T4),1)-2)*20)</f>
        <v>-19</v>
      </c>
      <c r="Y4" s="8"/>
      <c r="Z4" s="41"/>
      <c r="AA4" s="32">
        <v>1</v>
      </c>
      <c r="AB4" s="32"/>
      <c r="AC4" s="32">
        <v>7</v>
      </c>
      <c r="AD4" s="36" t="s">
        <v>147</v>
      </c>
      <c r="AE4" s="47" t="s">
        <v>148</v>
      </c>
      <c r="AF4" s="48" t="s">
        <v>83</v>
      </c>
      <c r="AG4" s="48" t="s">
        <v>153</v>
      </c>
      <c r="AH4" s="48" t="s">
        <v>80</v>
      </c>
      <c r="AI4" s="48" t="s">
        <v>80</v>
      </c>
      <c r="AJ4" s="48" t="s">
        <v>81</v>
      </c>
      <c r="AK4" s="48" t="s">
        <v>84</v>
      </c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150</v>
      </c>
      <c r="G5" s="9">
        <v>12000</v>
      </c>
      <c r="H5" s="9"/>
      <c r="I5" s="55">
        <v>1000</v>
      </c>
      <c r="J5" s="21">
        <f t="shared" ref="J5:J30" si="2">IF(COUNTA($F5,$K5,$P5)&gt;0,J4+SUM(G5:I5),"")</f>
        <v>66000</v>
      </c>
      <c r="K5" s="8"/>
      <c r="L5" s="9"/>
      <c r="M5" s="9"/>
      <c r="N5" s="55"/>
      <c r="O5" s="21">
        <f t="shared" ref="O5:O30" si="3">IF(COUNTA($F5,$K5,$P5)&gt;0,O4+SUM(L5:N5),"")</f>
        <v>26000</v>
      </c>
      <c r="P5" s="8" t="s">
        <v>151</v>
      </c>
      <c r="Q5" s="9">
        <v>-12000</v>
      </c>
      <c r="R5" s="9"/>
      <c r="S5" s="55">
        <v>-1000</v>
      </c>
      <c r="T5" s="21">
        <f t="shared" ref="T5:T30" si="4">IF(COUNTA($F5,$K5,$P5)&gt;0,T4+SUM(Q5:S5),"")</f>
        <v>13000</v>
      </c>
      <c r="U5" s="60">
        <f>IF($J5="","",ROUND(($J5-$J$3)/1000,1)+(_xlfn.RANK.AVG($J5,($J5,$O5,$T5),1)-2)*20)</f>
        <v>51</v>
      </c>
      <c r="V5" s="61">
        <f>IF($O5="","",ROUND(($O5-$O$3)/1000,1)+(_xlfn.RANK.AVG($O5,($J5,$O5,$T5),1)-2)*20)</f>
        <v>-9</v>
      </c>
      <c r="W5" s="62">
        <f>IF($T5="","",ROUND(($T5-$T$3)/1000,1)+(_xlfn.RANK.AVG($T5,($J5,$O5,$T5),1)-2)*20)</f>
        <v>-42</v>
      </c>
      <c r="Y5" s="8"/>
      <c r="Z5" s="41"/>
      <c r="AA5" s="32">
        <v>1</v>
      </c>
      <c r="AB5" s="32"/>
      <c r="AC5" s="32">
        <v>5</v>
      </c>
      <c r="AD5" s="36" t="s">
        <v>147</v>
      </c>
      <c r="AE5" s="47" t="s">
        <v>148</v>
      </c>
      <c r="AF5" s="48" t="s">
        <v>153</v>
      </c>
      <c r="AG5" s="48" t="s">
        <v>87</v>
      </c>
      <c r="AH5" s="48" t="s">
        <v>87</v>
      </c>
      <c r="AI5" s="48" t="s">
        <v>81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139</v>
      </c>
      <c r="F6" s="8" t="s">
        <v>151</v>
      </c>
      <c r="G6" s="9">
        <v>-8000</v>
      </c>
      <c r="H6" s="9"/>
      <c r="I6" s="55">
        <v>-2000</v>
      </c>
      <c r="J6" s="21">
        <f t="shared" si="2"/>
        <v>56000</v>
      </c>
      <c r="K6" s="8"/>
      <c r="L6" s="9"/>
      <c r="M6" s="9"/>
      <c r="N6" s="55"/>
      <c r="O6" s="21">
        <f t="shared" si="3"/>
        <v>26000</v>
      </c>
      <c r="P6" s="8" t="s">
        <v>150</v>
      </c>
      <c r="Q6" s="9">
        <v>8000</v>
      </c>
      <c r="R6" s="9"/>
      <c r="S6" s="55">
        <v>2000</v>
      </c>
      <c r="T6" s="21">
        <f t="shared" si="4"/>
        <v>23000</v>
      </c>
      <c r="U6" s="60">
        <f>IF($J6="","",ROUND(($J6-$J$3)/1000,1)+(_xlfn.RANK.AVG($J6,($J6,$O6,$T6),1)-2)*20)</f>
        <v>41</v>
      </c>
      <c r="V6" s="61">
        <f>IF($O6="","",ROUND(($O6-$O$3)/1000,1)+(_xlfn.RANK.AVG($O6,($J6,$O6,$T6),1)-2)*20)</f>
        <v>-9</v>
      </c>
      <c r="W6" s="62">
        <f>IF($T6="","",ROUND(($T6-$T$3)/1000,1)+(_xlfn.RANK.AVG($T6,($J6,$O6,$T6),1)-2)*20)</f>
        <v>-32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4</v>
      </c>
      <c r="BT6" s="36">
        <v>40</v>
      </c>
      <c r="BU6" s="47" t="s">
        <v>148</v>
      </c>
      <c r="BV6" s="48" t="s">
        <v>153</v>
      </c>
      <c r="BW6" s="48" t="s">
        <v>87</v>
      </c>
      <c r="BX6" s="48" t="s">
        <v>149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154</v>
      </c>
      <c r="F7" s="8" t="s">
        <v>145</v>
      </c>
      <c r="G7" s="9">
        <v>-4500</v>
      </c>
      <c r="H7" s="9"/>
      <c r="I7" s="55">
        <v>0</v>
      </c>
      <c r="J7" s="21">
        <f t="shared" si="2"/>
        <v>51500</v>
      </c>
      <c r="K7" s="8" t="s">
        <v>145</v>
      </c>
      <c r="L7" s="9">
        <v>-7500</v>
      </c>
      <c r="M7" s="9"/>
      <c r="N7" s="55">
        <v>0</v>
      </c>
      <c r="O7" s="21">
        <f t="shared" si="3"/>
        <v>18500</v>
      </c>
      <c r="P7" s="8" t="s">
        <v>146</v>
      </c>
      <c r="Q7" s="9">
        <v>12000</v>
      </c>
      <c r="R7" s="9"/>
      <c r="S7" s="55">
        <v>0</v>
      </c>
      <c r="T7" s="21">
        <f t="shared" si="4"/>
        <v>35000</v>
      </c>
      <c r="U7" s="60">
        <f>IF($J7="","",ROUND(($J7-$J$3)/1000,1)+(_xlfn.RANK.AVG($J7,($J7,$O7,$T7),1)-2)*20)</f>
        <v>36.5</v>
      </c>
      <c r="V7" s="61">
        <f>IF($O7="","",ROUND(($O7-$O$3)/1000,1)+(_xlfn.RANK.AVG($O7,($J7,$O7,$T7),1)-2)*20)</f>
        <v>-36.5</v>
      </c>
      <c r="W7" s="62">
        <f>IF($T7="","",ROUND(($T7-$T$3)/1000,1)+(_xlfn.RANK.AVG($T7,($J7,$O7,$T7),1)-2)*20)</f>
        <v>0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6</v>
      </c>
      <c r="BT7" s="36" t="s">
        <v>147</v>
      </c>
      <c r="BU7" s="47" t="s">
        <v>149</v>
      </c>
      <c r="BV7" s="48" t="s">
        <v>107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151</v>
      </c>
      <c r="G8" s="9">
        <v>-9600</v>
      </c>
      <c r="H8" s="9"/>
      <c r="I8" s="55">
        <v>0</v>
      </c>
      <c r="J8" s="21">
        <f t="shared" si="2"/>
        <v>41900</v>
      </c>
      <c r="K8" s="8"/>
      <c r="L8" s="9"/>
      <c r="M8" s="9"/>
      <c r="N8" s="55"/>
      <c r="O8" s="21">
        <f t="shared" si="3"/>
        <v>18500</v>
      </c>
      <c r="P8" s="8" t="s">
        <v>150</v>
      </c>
      <c r="Q8" s="9">
        <v>9600</v>
      </c>
      <c r="R8" s="9"/>
      <c r="S8" s="55">
        <v>0</v>
      </c>
      <c r="T8" s="21">
        <f t="shared" si="4"/>
        <v>44600</v>
      </c>
      <c r="U8" s="60">
        <f>IF($J8="","",ROUND(($J8-$J$3)/1000,1)+(_xlfn.RANK.AVG($J8,($J8,$O8,$T8),1)-2)*20)</f>
        <v>6.9</v>
      </c>
      <c r="V8" s="61">
        <f>IF($O8="","",ROUND(($O8-$O$3)/1000,1)+(_xlfn.RANK.AVG($O8,($J8,$O8,$T8),1)-2)*20)</f>
        <v>-36.5</v>
      </c>
      <c r="W8" s="62">
        <f>IF($T8="","",ROUND(($T8-$T$3)/1000,1)+(_xlfn.RANK.AVG($T8,($J8,$O8,$T8),1)-2)*20)</f>
        <v>29.6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4</v>
      </c>
      <c r="BT8" s="36">
        <v>25</v>
      </c>
      <c r="BU8" s="47" t="s">
        <v>148</v>
      </c>
      <c r="BV8" s="48" t="s">
        <v>153</v>
      </c>
      <c r="BW8" s="48" t="s">
        <v>102</v>
      </c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143</v>
      </c>
      <c r="F9" s="8" t="s">
        <v>158</v>
      </c>
      <c r="G9" s="9">
        <v>1500</v>
      </c>
      <c r="H9" s="9"/>
      <c r="I9" s="55"/>
      <c r="J9" s="21">
        <f t="shared" si="2"/>
        <v>43400</v>
      </c>
      <c r="K9" s="8" t="s">
        <v>158</v>
      </c>
      <c r="L9" s="9">
        <v>1500</v>
      </c>
      <c r="M9" s="9"/>
      <c r="N9" s="55"/>
      <c r="O9" s="21">
        <f t="shared" si="3"/>
        <v>20000</v>
      </c>
      <c r="P9" s="8" t="s">
        <v>158</v>
      </c>
      <c r="Q9" s="9">
        <v>-3000</v>
      </c>
      <c r="R9" s="9"/>
      <c r="S9" s="55"/>
      <c r="T9" s="21">
        <f t="shared" si="4"/>
        <v>41600</v>
      </c>
      <c r="U9" s="60">
        <f>IF($J9="","",ROUND(($J9-$J$3)/1000,1)+(_xlfn.RANK.AVG($J9,($J9,$O9,$T9),1)-2)*20)</f>
        <v>28.4</v>
      </c>
      <c r="V9" s="61">
        <f>IF($O9="","",ROUND(($O9-$O$3)/1000,1)+(_xlfn.RANK.AVG($O9,($J9,$O9,$T9),1)-2)*20)</f>
        <v>-35</v>
      </c>
      <c r="W9" s="62">
        <f>IF($T9="","",ROUND(($T9-$T$3)/1000,1)+(_xlfn.RANK.AVG($T9,($J9,$O9,$T9),1)-2)*20)</f>
        <v>6.6</v>
      </c>
      <c r="Y9" s="8" t="s">
        <v>156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156</v>
      </c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157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139</v>
      </c>
      <c r="F10" s="8" t="s">
        <v>145</v>
      </c>
      <c r="G10" s="9">
        <v>-7500</v>
      </c>
      <c r="H10" s="9"/>
      <c r="I10" s="55">
        <v>-1000</v>
      </c>
      <c r="J10" s="21">
        <f t="shared" si="2"/>
        <v>34900</v>
      </c>
      <c r="K10" s="8" t="s">
        <v>145</v>
      </c>
      <c r="L10" s="9">
        <v>-4500</v>
      </c>
      <c r="M10" s="9"/>
      <c r="N10" s="55">
        <v>-1000</v>
      </c>
      <c r="O10" s="21">
        <f t="shared" si="3"/>
        <v>14500</v>
      </c>
      <c r="P10" s="8" t="s">
        <v>146</v>
      </c>
      <c r="Q10" s="9">
        <v>12000</v>
      </c>
      <c r="R10" s="9"/>
      <c r="S10" s="55">
        <v>2000</v>
      </c>
      <c r="T10" s="21">
        <f t="shared" si="4"/>
        <v>55600</v>
      </c>
      <c r="U10" s="60">
        <f>IF($J10="","",ROUND(($J10-$J$3)/1000,1)+(_xlfn.RANK.AVG($J10,($J10,$O10,$T10),1)-2)*20)</f>
        <v>-0.1</v>
      </c>
      <c r="V10" s="61">
        <f>IF($O10="","",ROUND(($O10-$O$3)/1000,1)+(_xlfn.RANK.AVG($O10,($J10,$O10,$T10),1)-2)*20)</f>
        <v>-40.5</v>
      </c>
      <c r="W10" s="62">
        <f>IF($T10="","",ROUND(($T10-$T$3)/1000,1)+(_xlfn.RANK.AVG($T10,($J10,$O10,$T10),1)-2)*20)</f>
        <v>40.6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7</v>
      </c>
      <c r="BT10" s="36" t="s">
        <v>147</v>
      </c>
      <c r="BU10" s="47" t="s">
        <v>148</v>
      </c>
      <c r="BV10" s="48" t="s">
        <v>83</v>
      </c>
      <c r="BW10" s="48" t="s">
        <v>153</v>
      </c>
      <c r="BX10" s="48" t="s">
        <v>149</v>
      </c>
      <c r="BY10" s="48" t="s">
        <v>80</v>
      </c>
      <c r="BZ10" s="48" t="s">
        <v>81</v>
      </c>
      <c r="CA10" s="48" t="s">
        <v>84</v>
      </c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154</v>
      </c>
      <c r="F11" s="8" t="s">
        <v>159</v>
      </c>
      <c r="G11" s="9">
        <v>-8000</v>
      </c>
      <c r="H11" s="9">
        <v>-1000</v>
      </c>
      <c r="I11" s="55"/>
      <c r="J11" s="21">
        <f t="shared" si="2"/>
        <v>25900</v>
      </c>
      <c r="K11" s="8" t="s">
        <v>159</v>
      </c>
      <c r="L11" s="9">
        <v>5000</v>
      </c>
      <c r="M11" s="9"/>
      <c r="N11" s="55"/>
      <c r="O11" s="21">
        <f t="shared" si="3"/>
        <v>19500</v>
      </c>
      <c r="P11" s="8" t="s">
        <v>159</v>
      </c>
      <c r="Q11" s="9">
        <v>3000</v>
      </c>
      <c r="R11" s="9"/>
      <c r="S11" s="55"/>
      <c r="T11" s="21">
        <f t="shared" si="4"/>
        <v>58600</v>
      </c>
      <c r="U11" s="60">
        <f>IF($J11="","",ROUND(($J11-$J$3)/1000,1)+(_xlfn.RANK.AVG($J11,($J11,$O11,$T11),1)-2)*20)</f>
        <v>-9.1</v>
      </c>
      <c r="V11" s="61">
        <f>IF($O11="","",ROUND(($O11-$O$3)/1000,1)+(_xlfn.RANK.AVG($O11,($J11,$O11,$T11),1)-2)*20)</f>
        <v>-35.5</v>
      </c>
      <c r="W11" s="62">
        <f>IF($T11="","",ROUND(($T11-$T$3)/1000,1)+(_xlfn.RANK.AVG($T11,($J11,$O11,$T11),1)-2)*20)</f>
        <v>43.6</v>
      </c>
      <c r="Y11" s="8"/>
      <c r="Z11" s="41">
        <v>1</v>
      </c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1</v>
      </c>
      <c r="E12" s="4" t="s">
        <v>154</v>
      </c>
      <c r="F12" s="8"/>
      <c r="G12" s="9"/>
      <c r="H12" s="9"/>
      <c r="I12" s="55"/>
      <c r="J12" s="21">
        <f t="shared" si="2"/>
        <v>25900</v>
      </c>
      <c r="K12" s="8" t="s">
        <v>150</v>
      </c>
      <c r="L12" s="9">
        <v>2900</v>
      </c>
      <c r="M12" s="9">
        <v>1000</v>
      </c>
      <c r="N12" s="55">
        <v>0</v>
      </c>
      <c r="O12" s="21">
        <f t="shared" si="3"/>
        <v>23400</v>
      </c>
      <c r="P12" s="8" t="s">
        <v>151</v>
      </c>
      <c r="Q12" s="9">
        <v>-2900</v>
      </c>
      <c r="R12" s="9"/>
      <c r="S12" s="55">
        <v>0</v>
      </c>
      <c r="T12" s="21">
        <f t="shared" si="4"/>
        <v>55700</v>
      </c>
      <c r="U12" s="60">
        <f>IF($J12="","",ROUND(($J12-$J$3)/1000,1)+(_xlfn.RANK.AVG($J12,($J12,$O12,$T12),1)-2)*20)</f>
        <v>-9.1</v>
      </c>
      <c r="V12" s="61">
        <f>IF($O12="","",ROUND(($O12-$O$3)/1000,1)+(_xlfn.RANK.AVG($O12,($J12,$O12,$T12),1)-2)*20)</f>
        <v>-31.6</v>
      </c>
      <c r="W12" s="62">
        <f>IF($T12="","",ROUND(($T12-$T$3)/1000,1)+(_xlfn.RANK.AVG($T12,($J12,$O12,$T12),1)-2)*20)</f>
        <v>40.700000000000003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2</v>
      </c>
      <c r="AY12" s="36">
        <v>30</v>
      </c>
      <c r="AZ12" s="47" t="s">
        <v>87</v>
      </c>
      <c r="BA12" s="48" t="s">
        <v>80</v>
      </c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154</v>
      </c>
      <c r="F13" s="8"/>
      <c r="G13" s="9"/>
      <c r="H13" s="9"/>
      <c r="I13" s="55"/>
      <c r="J13" s="21">
        <f t="shared" si="2"/>
        <v>25900</v>
      </c>
      <c r="K13" s="8" t="s">
        <v>150</v>
      </c>
      <c r="L13" s="9">
        <v>11600</v>
      </c>
      <c r="M13" s="9">
        <v>1000</v>
      </c>
      <c r="N13" s="55">
        <v>1000</v>
      </c>
      <c r="O13" s="21">
        <f t="shared" si="3"/>
        <v>37000</v>
      </c>
      <c r="P13" s="8" t="s">
        <v>151</v>
      </c>
      <c r="Q13" s="9">
        <v>-11600</v>
      </c>
      <c r="R13" s="9">
        <v>-1000</v>
      </c>
      <c r="S13" s="55">
        <v>-1000</v>
      </c>
      <c r="T13" s="21">
        <f t="shared" si="4"/>
        <v>42100</v>
      </c>
      <c r="U13" s="60">
        <f>IF($J13="","",ROUND(($J13-$J$3)/1000,1)+(_xlfn.RANK.AVG($J13,($J13,$O13,$T13),1)-2)*20)</f>
        <v>-29.1</v>
      </c>
      <c r="V13" s="61">
        <f>IF($O13="","",ROUND(($O13-$O$3)/1000,1)+(_xlfn.RANK.AVG($O13,($J13,$O13,$T13),1)-2)*20)</f>
        <v>2</v>
      </c>
      <c r="W13" s="62">
        <f>IF($T13="","",ROUND(($T13-$T$3)/1000,1)+(_xlfn.RANK.AVG($T13,($J13,$O13,$T13),1)-2)*20)</f>
        <v>27.1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>
        <v>4</v>
      </c>
      <c r="AY13" s="36">
        <v>30</v>
      </c>
      <c r="AZ13" s="47" t="s">
        <v>149</v>
      </c>
      <c r="BA13" s="48" t="s">
        <v>149</v>
      </c>
      <c r="BB13" s="48" t="s">
        <v>87</v>
      </c>
      <c r="BC13" s="48" t="s">
        <v>80</v>
      </c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2</v>
      </c>
      <c r="D14" s="18">
        <f t="shared" si="1"/>
        <v>0</v>
      </c>
      <c r="E14" s="4" t="s">
        <v>154</v>
      </c>
      <c r="F14" s="8" t="s">
        <v>145</v>
      </c>
      <c r="G14" s="9">
        <v>-3000</v>
      </c>
      <c r="H14" s="9">
        <v>-1000</v>
      </c>
      <c r="I14" s="55">
        <v>-1000</v>
      </c>
      <c r="J14" s="21">
        <f t="shared" si="2"/>
        <v>20900</v>
      </c>
      <c r="K14" s="8" t="s">
        <v>145</v>
      </c>
      <c r="L14" s="9">
        <v>-5000</v>
      </c>
      <c r="M14" s="9">
        <v>-1000</v>
      </c>
      <c r="N14" s="55">
        <v>-1000</v>
      </c>
      <c r="O14" s="21">
        <f t="shared" si="3"/>
        <v>30000</v>
      </c>
      <c r="P14" s="8" t="s">
        <v>146</v>
      </c>
      <c r="Q14" s="9">
        <v>8000</v>
      </c>
      <c r="R14" s="9">
        <v>2000</v>
      </c>
      <c r="S14" s="55">
        <v>2000</v>
      </c>
      <c r="T14" s="21">
        <f t="shared" si="4"/>
        <v>54100</v>
      </c>
      <c r="U14" s="60">
        <f>IF($J14="","",ROUND(($J14-$J$3)/1000,1)+(_xlfn.RANK.AVG($J14,($J14,$O14,$T14),1)-2)*20)</f>
        <v>-34.1</v>
      </c>
      <c r="V14" s="61">
        <f>IF($O14="","",ROUND(($O14-$O$3)/1000,1)+(_xlfn.RANK.AVG($O14,($J14,$O14,$T14),1)-2)*20)</f>
        <v>-5</v>
      </c>
      <c r="W14" s="62">
        <f>IF($T14="","",ROUND(($T14-$T$3)/1000,1)+(_xlfn.RANK.AVG($T14,($J14,$O14,$T14),1)-2)*20)</f>
        <v>39.1</v>
      </c>
      <c r="Y14" s="8"/>
      <c r="Z14" s="41"/>
      <c r="AA14" s="32">
        <v>1</v>
      </c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>
        <v>1</v>
      </c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>
        <v>1</v>
      </c>
      <c r="BS14" s="32">
        <v>5</v>
      </c>
      <c r="BT14" s="36" t="s">
        <v>147</v>
      </c>
      <c r="BU14" s="47" t="s">
        <v>80</v>
      </c>
      <c r="BV14" s="48" t="s">
        <v>80</v>
      </c>
      <c r="BW14" s="48" t="s">
        <v>87</v>
      </c>
      <c r="BX14" s="48" t="s">
        <v>99</v>
      </c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143</v>
      </c>
      <c r="F15" s="8" t="s">
        <v>158</v>
      </c>
      <c r="G15" s="9">
        <v>-1500</v>
      </c>
      <c r="H15" s="9"/>
      <c r="I15" s="55"/>
      <c r="J15" s="21">
        <f t="shared" si="2"/>
        <v>19400</v>
      </c>
      <c r="K15" s="8" t="s">
        <v>158</v>
      </c>
      <c r="L15" s="9">
        <v>3000</v>
      </c>
      <c r="M15" s="9"/>
      <c r="N15" s="55"/>
      <c r="O15" s="21">
        <f t="shared" si="3"/>
        <v>33000</v>
      </c>
      <c r="P15" s="8" t="s">
        <v>158</v>
      </c>
      <c r="Q15" s="9">
        <v>-1500</v>
      </c>
      <c r="R15" s="9">
        <v>1000</v>
      </c>
      <c r="S15" s="55"/>
      <c r="T15" s="21">
        <f t="shared" si="4"/>
        <v>53600</v>
      </c>
      <c r="U15" s="60">
        <f>IF($J15="","",ROUND(($J15-$J$3)/1000,1)+(_xlfn.RANK.AVG($J15,($J15,$O15,$T15),1)-2)*20)</f>
        <v>-35.6</v>
      </c>
      <c r="V15" s="61">
        <f>IF($O15="","",ROUND(($O15-$O$3)/1000,1)+(_xlfn.RANK.AVG($O15,($J15,$O15,$T15),1)-2)*20)</f>
        <v>-2</v>
      </c>
      <c r="W15" s="62">
        <f>IF($T15="","",ROUND(($T15-$T$3)/1000,1)+(_xlfn.RANK.AVG($T15,($J15,$O15,$T15),1)-2)*20)</f>
        <v>38.6</v>
      </c>
      <c r="Y15" s="8" t="s">
        <v>157</v>
      </c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 t="s">
        <v>156</v>
      </c>
      <c r="AU15" s="41"/>
      <c r="AV15" s="32">
        <v>1</v>
      </c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 t="s">
        <v>157</v>
      </c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77B60CB1-092B-46BB-904F-9E6CF9DEC0D4}">
      <formula1>"ロン,ツモ,放銃,ツモ支払,流局,チョンボ"</formula1>
    </dataValidation>
    <dataValidation type="list" allowBlank="1" showInputMessage="1" showErrorMessage="1" sqref="E4:E30" xr:uid="{5B0F0AA8-14A2-42BD-914E-BAC1EC6945C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6ADA6-94AF-4A3D-B129-946F07FF741C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161</v>
      </c>
      <c r="G1" s="74"/>
      <c r="H1" s="74"/>
      <c r="I1" s="83"/>
      <c r="J1" s="75"/>
      <c r="K1" s="72" t="s">
        <v>163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ぱぱ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ぱぱ</v>
      </c>
      <c r="V2" s="71" t="str">
        <f>$K$1</f>
        <v>れんたろう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160</v>
      </c>
      <c r="F4" s="8" t="s">
        <v>151</v>
      </c>
      <c r="G4" s="9">
        <v>-2000</v>
      </c>
      <c r="H4" s="9">
        <v>-1000</v>
      </c>
      <c r="I4" s="55">
        <v>0</v>
      </c>
      <c r="J4" s="21">
        <f>IF(COUNTA($F4,$K4,$P4)&gt;0,J3+SUM(G4:I4),"")</f>
        <v>32000</v>
      </c>
      <c r="K4" s="8"/>
      <c r="L4" s="9"/>
      <c r="M4" s="9"/>
      <c r="N4" s="55"/>
      <c r="O4" s="21">
        <f>IF(COUNTA($F4,$K4,$P4)&gt;0,O3+SUM(L4:N4),"")</f>
        <v>35000</v>
      </c>
      <c r="P4" s="8" t="s">
        <v>150</v>
      </c>
      <c r="Q4" s="9">
        <v>2000</v>
      </c>
      <c r="R4" s="9">
        <v>1000</v>
      </c>
      <c r="S4" s="55">
        <v>0</v>
      </c>
      <c r="T4" s="21">
        <f>IF(COUNTA($F4,$K4,$P4)&gt;0,T3+SUM(Q4:S4),"")</f>
        <v>38000</v>
      </c>
      <c r="U4" s="60">
        <f>IF($J4="","",ROUND(($J4-$J$3)/1000,1)+(_xlfn.RANK.AVG($J4,($J4,$O4,$T4),1)-2)*20)</f>
        <v>-23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23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2</v>
      </c>
      <c r="BT4" s="36">
        <v>30</v>
      </c>
      <c r="BU4" s="47" t="s">
        <v>87</v>
      </c>
      <c r="BV4" s="48" t="s">
        <v>149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162</v>
      </c>
      <c r="F5" s="8" t="s">
        <v>151</v>
      </c>
      <c r="G5" s="9">
        <v>-5200</v>
      </c>
      <c r="H5" s="9"/>
      <c r="I5" s="55">
        <v>0</v>
      </c>
      <c r="J5" s="21">
        <f t="shared" ref="J5:J30" si="2">IF(COUNTA($F5,$K5,$P5)&gt;0,J4+SUM(G5:I5),"")</f>
        <v>26800</v>
      </c>
      <c r="K5" s="8"/>
      <c r="L5" s="9"/>
      <c r="M5" s="9"/>
      <c r="N5" s="55"/>
      <c r="O5" s="21">
        <f t="shared" ref="O5:O30" si="3">IF(COUNTA($F5,$K5,$P5)&gt;0,O4+SUM(L5:N5),"")</f>
        <v>35000</v>
      </c>
      <c r="P5" s="8" t="s">
        <v>150</v>
      </c>
      <c r="Q5" s="9">
        <v>5200</v>
      </c>
      <c r="R5" s="9"/>
      <c r="S5" s="55">
        <v>0</v>
      </c>
      <c r="T5" s="21">
        <f t="shared" ref="T5:T30" si="4">IF(COUNTA($F5,$K5,$P5)&gt;0,T4+SUM(Q5:S5),"")</f>
        <v>43200</v>
      </c>
      <c r="U5" s="60">
        <f>IF($J5="","",ROUND(($J5-$J$3)/1000,1)+(_xlfn.RANK.AVG($J5,($J5,$O5,$T5),1)-2)*20)</f>
        <v>-28.2</v>
      </c>
      <c r="V5" s="61">
        <f>IF($O5="","",ROUND(($O5-$O$3)/1000,1)+(_xlfn.RANK.AVG($O5,($J5,$O5,$T5),1)-2)*20)</f>
        <v>0</v>
      </c>
      <c r="W5" s="62">
        <f>IF($T5="","",ROUND(($T5-$T$3)/1000,1)+(_xlfn.RANK.AVG($T5,($J5,$O5,$T5),1)-2)*20)</f>
        <v>28.2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3</v>
      </c>
      <c r="BT5" s="36">
        <v>40</v>
      </c>
      <c r="BU5" s="47" t="s">
        <v>148</v>
      </c>
      <c r="BV5" s="48" t="s">
        <v>80</v>
      </c>
      <c r="BW5" s="48" t="s">
        <v>81</v>
      </c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146</v>
      </c>
      <c r="G6" s="9">
        <v>7700</v>
      </c>
      <c r="H6" s="9">
        <v>2000</v>
      </c>
      <c r="I6" s="55">
        <v>0</v>
      </c>
      <c r="J6" s="21">
        <f t="shared" si="2"/>
        <v>36500</v>
      </c>
      <c r="K6" s="8" t="s">
        <v>145</v>
      </c>
      <c r="L6" s="9">
        <v>-2900</v>
      </c>
      <c r="M6" s="9">
        <v>-1000</v>
      </c>
      <c r="N6" s="55">
        <v>0</v>
      </c>
      <c r="O6" s="21">
        <f t="shared" si="3"/>
        <v>31100</v>
      </c>
      <c r="P6" s="8" t="s">
        <v>145</v>
      </c>
      <c r="Q6" s="9">
        <v>-4800</v>
      </c>
      <c r="R6" s="9">
        <v>-1000</v>
      </c>
      <c r="S6" s="55">
        <v>0</v>
      </c>
      <c r="T6" s="21">
        <f t="shared" si="4"/>
        <v>37400</v>
      </c>
      <c r="U6" s="60">
        <f>IF($J6="","",ROUND(($J6-$J$3)/1000,1)+(_xlfn.RANK.AVG($J6,($J6,$O6,$T6),1)-2)*20)</f>
        <v>1.5</v>
      </c>
      <c r="V6" s="61">
        <f>IF($O6="","",ROUND(($O6-$O$3)/1000,1)+(_xlfn.RANK.AVG($O6,($J6,$O6,$T6),1)-2)*20)</f>
        <v>-23.9</v>
      </c>
      <c r="W6" s="62">
        <f>IF($T6="","",ROUND(($T6-$T$3)/1000,1)+(_xlfn.RANK.AVG($T6,($J6,$O6,$T6),1)-2)*20)</f>
        <v>22.4</v>
      </c>
      <c r="Y6" s="8"/>
      <c r="Z6" s="41"/>
      <c r="AA6" s="32"/>
      <c r="AB6" s="32">
        <v>1</v>
      </c>
      <c r="AC6" s="32">
        <v>4</v>
      </c>
      <c r="AD6" s="36">
        <v>30</v>
      </c>
      <c r="AE6" s="47" t="s">
        <v>87</v>
      </c>
      <c r="AF6" s="48" t="s">
        <v>87</v>
      </c>
      <c r="AG6" s="48" t="s">
        <v>105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160</v>
      </c>
      <c r="F7" s="8"/>
      <c r="G7" s="9"/>
      <c r="H7" s="9"/>
      <c r="I7" s="55"/>
      <c r="J7" s="21">
        <f t="shared" si="2"/>
        <v>36500</v>
      </c>
      <c r="K7" s="8" t="s">
        <v>150</v>
      </c>
      <c r="L7" s="9">
        <v>3900</v>
      </c>
      <c r="M7" s="9"/>
      <c r="N7" s="55">
        <v>0</v>
      </c>
      <c r="O7" s="21">
        <f t="shared" si="3"/>
        <v>35000</v>
      </c>
      <c r="P7" s="8" t="s">
        <v>151</v>
      </c>
      <c r="Q7" s="9">
        <v>-3900</v>
      </c>
      <c r="R7" s="9"/>
      <c r="S7" s="55">
        <v>0</v>
      </c>
      <c r="T7" s="21">
        <f t="shared" si="4"/>
        <v>33500</v>
      </c>
      <c r="U7" s="60">
        <f>IF($J7="","",ROUND(($J7-$J$3)/1000,1)+(_xlfn.RANK.AVG($J7,($J7,$O7,$T7),1)-2)*20)</f>
        <v>21.5</v>
      </c>
      <c r="V7" s="61">
        <f>IF($O7="","",ROUND(($O7-$O$3)/1000,1)+(_xlfn.RANK.AVG($O7,($J7,$O7,$T7),1)-2)*20)</f>
        <v>0</v>
      </c>
      <c r="W7" s="62">
        <f>IF($T7="","",ROUND(($T7-$T$3)/1000,1)+(_xlfn.RANK.AVG($T7,($J7,$O7,$T7),1)-2)*20)</f>
        <v>-21.5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3</v>
      </c>
      <c r="AY7" s="36">
        <v>30</v>
      </c>
      <c r="AZ7" s="47" t="s">
        <v>105</v>
      </c>
      <c r="BA7" s="48" t="s">
        <v>87</v>
      </c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162</v>
      </c>
      <c r="F8" s="8"/>
      <c r="G8" s="9"/>
      <c r="H8" s="9"/>
      <c r="I8" s="55"/>
      <c r="J8" s="21">
        <f t="shared" si="2"/>
        <v>36500</v>
      </c>
      <c r="K8" s="8" t="s">
        <v>150</v>
      </c>
      <c r="L8" s="9">
        <v>11600</v>
      </c>
      <c r="M8" s="9"/>
      <c r="N8" s="55">
        <v>0</v>
      </c>
      <c r="O8" s="21">
        <f t="shared" si="3"/>
        <v>46600</v>
      </c>
      <c r="P8" s="8" t="s">
        <v>151</v>
      </c>
      <c r="Q8" s="9">
        <v>-11600</v>
      </c>
      <c r="R8" s="9"/>
      <c r="S8" s="55">
        <v>0</v>
      </c>
      <c r="T8" s="21">
        <f t="shared" si="4"/>
        <v>21900</v>
      </c>
      <c r="U8" s="60">
        <f>IF($J8="","",ROUND(($J8-$J$3)/1000,1)+(_xlfn.RANK.AVG($J8,($J8,$O8,$T8),1)-2)*20)</f>
        <v>1.5</v>
      </c>
      <c r="V8" s="61">
        <f>IF($O8="","",ROUND(($O8-$O$3)/1000,1)+(_xlfn.RANK.AVG($O8,($J8,$O8,$T8),1)-2)*20)</f>
        <v>31.6</v>
      </c>
      <c r="W8" s="62">
        <f>IF($T8="","",ROUND(($T8-$T$3)/1000,1)+(_xlfn.RANK.AVG($T8,($J8,$O8,$T8),1)-2)*20)</f>
        <v>-33.1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4</v>
      </c>
      <c r="AY8" s="36">
        <v>30</v>
      </c>
      <c r="AZ8" s="47" t="s">
        <v>105</v>
      </c>
      <c r="BA8" s="48" t="s">
        <v>80</v>
      </c>
      <c r="BB8" s="48" t="s">
        <v>87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162</v>
      </c>
      <c r="F9" s="8" t="s">
        <v>146</v>
      </c>
      <c r="G9" s="9">
        <v>8000</v>
      </c>
      <c r="H9" s="9">
        <v>1000</v>
      </c>
      <c r="I9" s="55">
        <v>1000</v>
      </c>
      <c r="J9" s="21">
        <f t="shared" si="2"/>
        <v>46500</v>
      </c>
      <c r="K9" s="8" t="s">
        <v>145</v>
      </c>
      <c r="L9" s="9">
        <v>-5000</v>
      </c>
      <c r="M9" s="9"/>
      <c r="N9" s="55">
        <v>-500</v>
      </c>
      <c r="O9" s="21">
        <f t="shared" si="3"/>
        <v>41100</v>
      </c>
      <c r="P9" s="8" t="s">
        <v>145</v>
      </c>
      <c r="Q9" s="9">
        <v>-3000</v>
      </c>
      <c r="R9" s="9">
        <v>-1000</v>
      </c>
      <c r="S9" s="55">
        <v>-500</v>
      </c>
      <c r="T9" s="21">
        <f t="shared" si="4"/>
        <v>17400</v>
      </c>
      <c r="U9" s="60">
        <f>IF($J9="","",ROUND(($J9-$J$3)/1000,1)+(_xlfn.RANK.AVG($J9,($J9,$O9,$T9),1)-2)*20)</f>
        <v>31.5</v>
      </c>
      <c r="V9" s="61">
        <f>IF($O9="","",ROUND(($O9-$O$3)/1000,1)+(_xlfn.RANK.AVG($O9,($J9,$O9,$T9),1)-2)*20)</f>
        <v>6.1</v>
      </c>
      <c r="W9" s="62">
        <f>IF($T9="","",ROUND(($T9-$T$3)/1000,1)+(_xlfn.RANK.AVG($T9,($J9,$O9,$T9),1)-2)*20)</f>
        <v>-37.6</v>
      </c>
      <c r="Y9" s="8"/>
      <c r="Z9" s="41"/>
      <c r="AA9" s="32"/>
      <c r="AB9" s="32"/>
      <c r="AC9" s="32">
        <v>5</v>
      </c>
      <c r="AD9" s="36" t="s">
        <v>147</v>
      </c>
      <c r="AE9" s="47" t="s">
        <v>83</v>
      </c>
      <c r="AF9" s="48" t="s">
        <v>80</v>
      </c>
      <c r="AG9" s="48" t="s">
        <v>80</v>
      </c>
      <c r="AH9" s="48" t="s">
        <v>80</v>
      </c>
      <c r="AI9" s="48" t="s">
        <v>80</v>
      </c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143</v>
      </c>
      <c r="F10" s="8" t="s">
        <v>150</v>
      </c>
      <c r="G10" s="9">
        <v>1000</v>
      </c>
      <c r="H10" s="9"/>
      <c r="I10" s="55">
        <v>0</v>
      </c>
      <c r="J10" s="21">
        <f t="shared" si="2"/>
        <v>47500</v>
      </c>
      <c r="K10" s="8"/>
      <c r="L10" s="9"/>
      <c r="M10" s="9"/>
      <c r="N10" s="55"/>
      <c r="O10" s="21">
        <f t="shared" si="3"/>
        <v>41100</v>
      </c>
      <c r="P10" s="8" t="s">
        <v>151</v>
      </c>
      <c r="Q10" s="9">
        <v>-1000</v>
      </c>
      <c r="R10" s="9"/>
      <c r="S10" s="55">
        <v>0</v>
      </c>
      <c r="T10" s="21">
        <f t="shared" si="4"/>
        <v>16400</v>
      </c>
      <c r="U10" s="60">
        <f>IF($J10="","",ROUND(($J10-$J$3)/1000,1)+(_xlfn.RANK.AVG($J10,($J10,$O10,$T10),1)-2)*20)</f>
        <v>32.5</v>
      </c>
      <c r="V10" s="61">
        <f>IF($O10="","",ROUND(($O10-$O$3)/1000,1)+(_xlfn.RANK.AVG($O10,($J10,$O10,$T10),1)-2)*20)</f>
        <v>6.1</v>
      </c>
      <c r="W10" s="62">
        <f>IF($T10="","",ROUND(($T10-$T$3)/1000,1)+(_xlfn.RANK.AVG($T10,($J10,$O10,$T10),1)-2)*20)</f>
        <v>-38.6</v>
      </c>
      <c r="Y10" s="8"/>
      <c r="Z10" s="41"/>
      <c r="AA10" s="32"/>
      <c r="AB10" s="32">
        <v>1</v>
      </c>
      <c r="AC10" s="32">
        <v>1</v>
      </c>
      <c r="AD10" s="36">
        <v>30</v>
      </c>
      <c r="AE10" s="47" t="s">
        <v>87</v>
      </c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284EF65A-6EB1-4B5F-B472-718D19CDC718}">
      <formula1>$U$2:$W$2</formula1>
    </dataValidation>
    <dataValidation type="list" showInputMessage="1" showErrorMessage="1" sqref="K4:K30 P4:P30 F4:F30" xr:uid="{99412AE1-1D0A-4FCF-91D2-1357F2AEC83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2019-05-07T14:22:06Z</dcterms:modified>
</cp:coreProperties>
</file>