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2nd\対局\"/>
    </mc:Choice>
  </mc:AlternateContent>
  <xr:revisionPtr revIDLastSave="0" documentId="13_ncr:1_{897BE764-24D8-428A-80A4-9E3473020DA6}" xr6:coauthVersionLast="36" xr6:coauthVersionMax="36" xr10:uidLastSave="{00000000-0000-0000-0000-000000000000}"/>
  <bookViews>
    <workbookView xWindow="0" yWindow="0" windowWidth="28800" windowHeight="12720" activeTab="1" xr2:uid="{4CDB34E1-560F-4998-ABAB-D6F7F2862621}"/>
  </bookViews>
  <sheets>
    <sheet name="Sheet1" sheetId="19" r:id="rId1"/>
    <sheet name="Sheet2" sheetId="20" r:id="rId2"/>
    <sheet name="役一覧" sheetId="15" state="hidden" r:id="rId3"/>
    <sheet name="点数表(親ロン)" sheetId="4" state="hidden" r:id="rId4"/>
    <sheet name="点数表(親ツモ)" sheetId="9" state="hidden" r:id="rId5"/>
    <sheet name="点数表(子→親)" sheetId="7" state="hidden" r:id="rId6"/>
    <sheet name="点数表(子ロン)" sheetId="3" state="hidden" r:id="rId7"/>
    <sheet name="点数表(子ツモ)" sheetId="10" state="hidden" r:id="rId8"/>
    <sheet name="点数表(子→子)" sheetId="5" state="hidden" r:id="rId9"/>
    <sheet name="点数表(親→子)" sheetId="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30" i="20" l="1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D14" i="20"/>
  <c r="C14" i="20"/>
  <c r="D12" i="20"/>
  <c r="D13" i="20" s="1"/>
  <c r="C12" i="20"/>
  <c r="C13" i="20" s="1"/>
  <c r="D11" i="20"/>
  <c r="D10" i="20"/>
  <c r="C10" i="20"/>
  <c r="C11" i="20" s="1"/>
  <c r="D9" i="20"/>
  <c r="D8" i="20"/>
  <c r="D7" i="20"/>
  <c r="C7" i="20"/>
  <c r="C8" i="20" s="1"/>
  <c r="C9" i="20" s="1"/>
  <c r="D6" i="20"/>
  <c r="C6" i="20"/>
  <c r="O5" i="20"/>
  <c r="J5" i="20"/>
  <c r="D5" i="20"/>
  <c r="C5" i="20"/>
  <c r="B5" i="20"/>
  <c r="B6" i="20" s="1"/>
  <c r="T4" i="20"/>
  <c r="W4" i="20" s="1"/>
  <c r="O4" i="20"/>
  <c r="J4" i="20"/>
  <c r="U4" i="20" s="1"/>
  <c r="W3" i="20"/>
  <c r="V3" i="20"/>
  <c r="U3" i="20"/>
  <c r="W2" i="20"/>
  <c r="V2" i="20"/>
  <c r="U2" i="20"/>
  <c r="BO1" i="20"/>
  <c r="AT1" i="20"/>
  <c r="Y1" i="20"/>
  <c r="A5" i="20" l="1"/>
  <c r="A6" i="20"/>
  <c r="B7" i="20"/>
  <c r="A7" i="20"/>
  <c r="T5" i="20"/>
  <c r="U5" i="20" s="1"/>
  <c r="J6" i="20"/>
  <c r="V4" i="20"/>
  <c r="O6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J14" i="19"/>
  <c r="D14" i="19"/>
  <c r="C14" i="19"/>
  <c r="B14" i="19"/>
  <c r="A14" i="19" s="1"/>
  <c r="T13" i="19"/>
  <c r="O13" i="19"/>
  <c r="J13" i="19"/>
  <c r="U13" i="19" s="1"/>
  <c r="D13" i="19"/>
  <c r="C13" i="19"/>
  <c r="B13" i="19"/>
  <c r="A13" i="19"/>
  <c r="T12" i="19"/>
  <c r="O12" i="19"/>
  <c r="J12" i="19"/>
  <c r="D12" i="19"/>
  <c r="C12" i="19"/>
  <c r="B12" i="19"/>
  <c r="A12" i="19" s="1"/>
  <c r="T11" i="19"/>
  <c r="O11" i="19"/>
  <c r="J11" i="19"/>
  <c r="U11" i="19" s="1"/>
  <c r="D11" i="19"/>
  <c r="C11" i="19"/>
  <c r="B11" i="19"/>
  <c r="A11" i="19"/>
  <c r="T10" i="19"/>
  <c r="O10" i="19"/>
  <c r="V10" i="19" s="1"/>
  <c r="J10" i="19"/>
  <c r="U10" i="19" s="1"/>
  <c r="D10" i="19"/>
  <c r="C10" i="19"/>
  <c r="B10" i="19"/>
  <c r="A10" i="19" s="1"/>
  <c r="T9" i="19"/>
  <c r="W9" i="19" s="1"/>
  <c r="O9" i="19"/>
  <c r="J9" i="19"/>
  <c r="U9" i="19" s="1"/>
  <c r="D9" i="19"/>
  <c r="C9" i="19"/>
  <c r="B9" i="19"/>
  <c r="A9" i="19" s="1"/>
  <c r="T8" i="19"/>
  <c r="W8" i="19" s="1"/>
  <c r="O8" i="19"/>
  <c r="V8" i="19" s="1"/>
  <c r="J8" i="19"/>
  <c r="U8" i="19" s="1"/>
  <c r="D8" i="19"/>
  <c r="C8" i="19"/>
  <c r="B8" i="19"/>
  <c r="A8" i="19" s="1"/>
  <c r="T7" i="19"/>
  <c r="O7" i="19"/>
  <c r="V7" i="19" s="1"/>
  <c r="J7" i="19"/>
  <c r="D7" i="19"/>
  <c r="C7" i="19"/>
  <c r="B7" i="19"/>
  <c r="A7" i="19"/>
  <c r="T6" i="19"/>
  <c r="O6" i="19"/>
  <c r="J6" i="19"/>
  <c r="D6" i="19"/>
  <c r="C6" i="19"/>
  <c r="B6" i="19"/>
  <c r="A6" i="19" s="1"/>
  <c r="D5" i="19"/>
  <c r="C5" i="19"/>
  <c r="B5" i="19"/>
  <c r="A5" i="19" s="1"/>
  <c r="T4" i="19"/>
  <c r="T5" i="19" s="1"/>
  <c r="O4" i="19"/>
  <c r="J4" i="19"/>
  <c r="W3" i="19"/>
  <c r="V3" i="19"/>
  <c r="U3" i="19"/>
  <c r="W2" i="19"/>
  <c r="V2" i="19"/>
  <c r="U2" i="19"/>
  <c r="BO1" i="19"/>
  <c r="AT1" i="19"/>
  <c r="Y1" i="19"/>
  <c r="V5" i="20" l="1"/>
  <c r="B8" i="20"/>
  <c r="A8" i="20"/>
  <c r="V6" i="20"/>
  <c r="O7" i="20"/>
  <c r="U6" i="20"/>
  <c r="J7" i="20"/>
  <c r="W5" i="20"/>
  <c r="T6" i="20"/>
  <c r="U14" i="19"/>
  <c r="V14" i="19"/>
  <c r="W13" i="19"/>
  <c r="V13" i="19"/>
  <c r="U12" i="19"/>
  <c r="V12" i="19"/>
  <c r="W12" i="19"/>
  <c r="V11" i="19"/>
  <c r="W11" i="19"/>
  <c r="W10" i="19"/>
  <c r="V9" i="19"/>
  <c r="U7" i="19"/>
  <c r="W7" i="19"/>
  <c r="U6" i="19"/>
  <c r="V6" i="19"/>
  <c r="W6" i="19"/>
  <c r="U4" i="19"/>
  <c r="V4" i="19"/>
  <c r="W4" i="19"/>
  <c r="J5" i="19"/>
  <c r="O5" i="19"/>
  <c r="V5" i="19" s="1"/>
  <c r="O8" i="20" l="1"/>
  <c r="V7" i="20"/>
  <c r="B9" i="20"/>
  <c r="W6" i="20"/>
  <c r="T7" i="20"/>
  <c r="U7" i="20"/>
  <c r="J8" i="20"/>
  <c r="W5" i="19"/>
  <c r="U5" i="19"/>
  <c r="B10" i="20" l="1"/>
  <c r="A10" i="20" s="1"/>
  <c r="V8" i="20"/>
  <c r="O9" i="20"/>
  <c r="U8" i="20"/>
  <c r="J9" i="20"/>
  <c r="A9" i="20"/>
  <c r="W7" i="20"/>
  <c r="T8" i="20"/>
  <c r="U9" i="20" l="1"/>
  <c r="J10" i="20"/>
  <c r="W8" i="20"/>
  <c r="T9" i="20"/>
  <c r="B11" i="20"/>
  <c r="A11" i="20" s="1"/>
  <c r="V9" i="20"/>
  <c r="O10" i="20"/>
  <c r="O11" i="20" l="1"/>
  <c r="W9" i="20"/>
  <c r="T10" i="20"/>
  <c r="V10" i="20" s="1"/>
  <c r="B12" i="20"/>
  <c r="A12" i="20" s="1"/>
  <c r="U10" i="20"/>
  <c r="J11" i="20"/>
  <c r="U11" i="20" l="1"/>
  <c r="J12" i="20"/>
  <c r="B13" i="20"/>
  <c r="A13" i="20"/>
  <c r="W10" i="20"/>
  <c r="T11" i="20"/>
  <c r="O12" i="20"/>
  <c r="V11" i="20"/>
  <c r="U12" i="20" l="1"/>
  <c r="J13" i="20"/>
  <c r="O13" i="20"/>
  <c r="W11" i="20"/>
  <c r="T12" i="20"/>
  <c r="B14" i="20"/>
  <c r="A14" i="20" s="1"/>
  <c r="J14" i="20" l="1"/>
  <c r="W12" i="20"/>
  <c r="T13" i="20"/>
  <c r="V13" i="20"/>
  <c r="O14" i="20"/>
  <c r="V12" i="20"/>
  <c r="W13" i="20" l="1"/>
  <c r="T14" i="20"/>
  <c r="W14" i="20" s="1"/>
  <c r="U14" i="20"/>
  <c r="U13" i="20"/>
  <c r="V14" i="20" l="1"/>
</calcChain>
</file>

<file path=xl/sharedStrings.xml><?xml version="1.0" encoding="utf-8"?>
<sst xmlns="http://schemas.openxmlformats.org/spreadsheetml/2006/main" count="711" uniqueCount="205">
  <si>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</si>
  <si>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</si>
  <si>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</si>
  <si>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</si>
  <si>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</si>
  <si>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</si>
  <si>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</si>
  <si>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</si>
  <si>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</si>
  <si>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</si>
  <si>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</si>
  <si>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</si>
  <si>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</si>
  <si>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</si>
  <si>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</si>
  <si>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</si>
  <si>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</si>
  <si>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</si>
  <si>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</si>
  <si>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</si>
  <si>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</si>
  <si>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</si>
  <si>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</si>
  <si>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</si>
  <si>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</si>
  <si>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</si>
  <si>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</si>
  <si>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</si>
  <si>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</si>
  <si>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</si>
  <si>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</si>
  <si>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</si>
  <si>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</si>
  <si>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</si>
  <si>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</si>
  <si>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</si>
  <si>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</si>
  <si>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</si>
  <si>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</si>
  <si>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</si>
  <si>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</si>
  <si>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</si>
  <si>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</si>
  <si>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</si>
  <si>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</si>
  <si>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</si>
  <si>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</si>
  <si>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</si>
  <si>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</si>
  <si>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</si>
  <si>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</si>
  <si>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</si>
  <si>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</si>
  <si>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</si>
  <si>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</si>
  <si>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</si>
  <si>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</si>
  <si>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</si>
  <si>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</si>
  <si>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</si>
  <si>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</si>
  <si>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</si>
  <si>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</si>
  <si>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</si>
  <si>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</si>
  <si>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</si>
  <si>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</si>
  <si>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</si>
  <si>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</si>
  <si>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</si>
  <si>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</si>
  <si>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</si>
  <si>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</si>
  <si>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</si>
  <si>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</si>
  <si>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</si>
  <si>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</si>
  <si>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</si>
  <si>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</si>
  <si>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</si>
  <si>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</si>
  <si>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</si>
  <si>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</si>
  <si>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</si>
  <si>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</si>
  <si>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</si>
  <si>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</si>
  <si>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</si>
  <si>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</si>
  <si>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</si>
  <si>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</si>
  <si>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</si>
  <si>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</si>
  <si>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</si>
  <si>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</si>
  <si>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</si>
  <si>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</si>
  <si>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</si>
  <si>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</si>
  <si>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</si>
  <si>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</si>
  <si>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</si>
  <si>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</si>
  <si>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</si>
  <si>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</si>
  <si>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</si>
  <si>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</si>
  <si>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</si>
  <si>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</si>
  <si>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</si>
  <si>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</si>
  <si>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</si>
  <si>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</si>
  <si>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</si>
  <si>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</si>
  <si>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</si>
  <si>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</si>
  <si>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</si>
  <si>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</si>
  <si>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</si>
  <si>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</si>
  <si>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</si>
  <si>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</si>
  <si>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</si>
  <si>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</si>
  <si>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</si>
  <si>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</si>
  <si>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</si>
  <si>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</si>
  <si>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</si>
  <si>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</si>
  <si>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</si>
  <si>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</si>
  <si>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</si>
  <si>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</si>
  <si>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</si>
  <si>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</si>
  <si>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</si>
  <si>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</si>
  <si>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</si>
  <si>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</si>
  <si>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</si>
  <si>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</si>
  <si>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</si>
  <si>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</si>
  <si>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</si>
  <si>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</si>
  <si>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</si>
  <si>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</si>
  <si>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</si>
  <si>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</si>
  <si>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</si>
  <si>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</si>
  <si>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</si>
  <si>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</si>
  <si>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</si>
  <si>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</si>
  <si>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</si>
  <si>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</si>
  <si>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</si>
  <si>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</si>
  <si>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</si>
  <si>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</si>
  <si>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</si>
  <si>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</si>
  <si>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</si>
  <si>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</si>
  <si>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</si>
  <si>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</si>
  <si>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</si>
  <si>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</si>
  <si>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</si>
  <si>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</si>
  <si>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</si>
  <si>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</si>
  <si>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</si>
  <si>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</si>
  <si>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</si>
  <si>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</si>
  <si>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</si>
  <si>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</si>
  <si>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</si>
  <si>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</si>
  <si>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</si>
  <si>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</si>
  <si>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</si>
  <si>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</si>
  <si>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</si>
  <si>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</si>
  <si>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</si>
  <si>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</si>
  <si>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だいち</t>
  </si>
  <si>
    <t>りくと</t>
  </si>
  <si>
    <t>ただ</t>
  </si>
  <si>
    <t>ロン</t>
  </si>
  <si>
    <t>放銃</t>
  </si>
  <si>
    <t>52</t>
  </si>
  <si>
    <t>ツモ支払</t>
  </si>
  <si>
    <t>ツモ</t>
  </si>
  <si>
    <t>01</t>
  </si>
  <si>
    <t>*</t>
  </si>
  <si>
    <t>02</t>
  </si>
  <si>
    <t>T</t>
  </si>
  <si>
    <t>流局</t>
    <phoneticPr fontId="1"/>
  </si>
  <si>
    <t>流局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</si>
</sst>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1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191</v>
      </c>
      <c r="G1" s="73"/>
      <c r="H1" s="73"/>
      <c r="I1" s="74"/>
      <c r="J1" s="75"/>
      <c r="K1" s="72" t="s">
        <v>192</v>
      </c>
      <c r="L1" s="73"/>
      <c r="M1" s="73"/>
      <c r="N1" s="74"/>
      <c r="O1" s="75"/>
      <c r="P1" s="72" t="s">
        <v>193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だいち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りくと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ただ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だいち</v>
      </c>
      <c r="V2" s="64" t="str">
        <f>$K$1</f>
        <v>りくと</v>
      </c>
      <c r="W2" s="16" t="str">
        <f>$P$1</f>
        <v>ただ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191</v>
      </c>
      <c r="F4" s="8" t="s">
        <v>194</v>
      </c>
      <c r="G4" s="9">
        <v>12000</v>
      </c>
      <c r="H4" s="9"/>
      <c r="I4" s="48">
        <v>0</v>
      </c>
      <c r="J4" s="21">
        <f>IF(COUNTA($F4,$K4,$P4)&gt;0,J3+SUM(G4:I4),"")</f>
        <v>47000</v>
      </c>
      <c r="K4" s="8" t="s">
        <v>195</v>
      </c>
      <c r="L4" s="9">
        <v>-12000</v>
      </c>
      <c r="M4" s="9"/>
      <c r="N4" s="48">
        <v>0</v>
      </c>
      <c r="O4" s="21">
        <f>IF(COUNTA($F4,$K4,$P4)&gt;0,O3+SUM(L4:N4),"")</f>
        <v>23000</v>
      </c>
      <c r="P4" s="8"/>
      <c r="Q4" s="9"/>
      <c r="R4" s="9"/>
      <c r="S4" s="48"/>
      <c r="T4" s="21">
        <f>IF(COUNTA($F4,$K4,$P4)&gt;0,T3+SUM(Q4:S4),"")</f>
        <v>35000</v>
      </c>
      <c r="U4" s="53">
        <f>IF($J4="","",ROUND(($J4-$J$3)/1000,1)+(_xlfn.RANK.AVG($J4,($J4,$O4,$T4),1)-2)*20)</f>
        <v>32</v>
      </c>
      <c r="V4" s="54">
        <f>IF($O4="","",ROUND(($O4-$O$3)/1000,1)+(_xlfn.RANK.AVG($O4,($J4,$O4,$T4),1)-2)*20)</f>
        <v>-32</v>
      </c>
      <c r="W4" s="55">
        <f>IF($T4="","",ROUND(($T4-$T$3)/1000,1)+(_xlfn.RANK.AVG($T4,($J4,$O4,$T4),1)-2)*20)</f>
        <v>0</v>
      </c>
      <c r="Y4" s="8"/>
      <c r="Z4" s="34"/>
      <c r="AA4" s="26"/>
      <c r="AB4" s="26">
        <v>1</v>
      </c>
      <c r="AC4" s="26">
        <v>4</v>
      </c>
      <c r="AD4" s="30">
        <v>40</v>
      </c>
      <c r="AE4" s="40" t="s">
        <v>86</v>
      </c>
      <c r="AF4" s="41" t="s">
        <v>86</v>
      </c>
      <c r="AG4" s="41" t="s">
        <v>196</v>
      </c>
      <c r="AH4" s="41" t="s">
        <v>79</v>
      </c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191</v>
      </c>
      <c r="F5" s="8" t="s">
        <v>197</v>
      </c>
      <c r="G5" s="9">
        <v>-2500</v>
      </c>
      <c r="H5" s="9"/>
      <c r="I5" s="48">
        <v>-500</v>
      </c>
      <c r="J5" s="21">
        <f t="shared" ref="J5:J30" si="2">IF(COUNTA($F5,$K5,$P5)&gt;0,J4+SUM(G5:I5),"")</f>
        <v>44000</v>
      </c>
      <c r="K5" s="8" t="s">
        <v>198</v>
      </c>
      <c r="L5" s="9">
        <v>4000</v>
      </c>
      <c r="M5" s="9"/>
      <c r="N5" s="48">
        <v>1000</v>
      </c>
      <c r="O5" s="21">
        <f t="shared" ref="O5:O30" si="3">IF(COUNTA($F5,$K5,$P5)&gt;0,O4+SUM(L5:N5),"")</f>
        <v>28000</v>
      </c>
      <c r="P5" s="8" t="s">
        <v>197</v>
      </c>
      <c r="Q5" s="9">
        <v>-1500</v>
      </c>
      <c r="R5" s="9"/>
      <c r="S5" s="48">
        <v>-500</v>
      </c>
      <c r="T5" s="21">
        <f t="shared" ref="T5:T30" si="4">IF(COUNTA($F5,$K5,$P5)&gt;0,T4+SUM(Q5:S5),"")</f>
        <v>33000</v>
      </c>
      <c r="U5" s="53">
        <f>IF($J5="","",ROUND(($J5-$J$3)/1000,1)+(_xlfn.RANK.AVG($J5,($J5,$O5,$T5),1)-2)*20)</f>
        <v>29</v>
      </c>
      <c r="V5" s="54">
        <f>IF($O5="","",ROUND(($O5-$O$3)/1000,1)+(_xlfn.RANK.AVG($O5,($J5,$O5,$T5),1)-2)*20)</f>
        <v>-27</v>
      </c>
      <c r="W5" s="55">
        <f>IF($T5="","",ROUND(($T5-$T$3)/1000,1)+(_xlfn.RANK.AVG($T5,($J5,$O5,$T5),1)-2)*20)</f>
        <v>-2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3</v>
      </c>
      <c r="AY5" s="30">
        <v>30</v>
      </c>
      <c r="AZ5" s="40" t="s">
        <v>199</v>
      </c>
      <c r="BA5" s="41" t="s">
        <v>82</v>
      </c>
      <c r="BB5" s="41" t="s">
        <v>86</v>
      </c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192</v>
      </c>
      <c r="F6" s="8" t="s">
        <v>194</v>
      </c>
      <c r="G6" s="9">
        <v>8000</v>
      </c>
      <c r="H6" s="9"/>
      <c r="I6" s="48">
        <v>0</v>
      </c>
      <c r="J6" s="21">
        <f t="shared" si="2"/>
        <v>52000</v>
      </c>
      <c r="K6" s="8"/>
      <c r="L6" s="9"/>
      <c r="M6" s="9"/>
      <c r="N6" s="48"/>
      <c r="O6" s="21">
        <f t="shared" si="3"/>
        <v>28000</v>
      </c>
      <c r="P6" s="8" t="s">
        <v>195</v>
      </c>
      <c r="Q6" s="9">
        <v>-8000</v>
      </c>
      <c r="R6" s="9"/>
      <c r="S6" s="48">
        <v>0</v>
      </c>
      <c r="T6" s="21">
        <f t="shared" si="4"/>
        <v>25000</v>
      </c>
      <c r="U6" s="53">
        <f>IF($J6="","",ROUND(($J6-$J$3)/1000,1)+(_xlfn.RANK.AVG($J6,($J6,$O6,$T6),1)-2)*20)</f>
        <v>37</v>
      </c>
      <c r="V6" s="54">
        <f>IF($O6="","",ROUND(($O6-$O$3)/1000,1)+(_xlfn.RANK.AVG($O6,($J6,$O6,$T6),1)-2)*20)</f>
        <v>-7</v>
      </c>
      <c r="W6" s="55">
        <f>IF($T6="","",ROUND(($T6-$T$3)/1000,1)+(_xlfn.RANK.AVG($T6,($J6,$O6,$T6),1)-2)*20)</f>
        <v>-30</v>
      </c>
      <c r="Y6" s="8"/>
      <c r="Z6" s="34"/>
      <c r="AA6" s="26"/>
      <c r="AB6" s="26">
        <v>1</v>
      </c>
      <c r="AC6" s="26">
        <v>5</v>
      </c>
      <c r="AD6" s="30" t="s">
        <v>200</v>
      </c>
      <c r="AE6" s="40" t="s">
        <v>86</v>
      </c>
      <c r="AF6" s="41" t="s">
        <v>98</v>
      </c>
      <c r="AG6" s="41" t="s">
        <v>100</v>
      </c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193</v>
      </c>
      <c r="F7" s="8" t="s">
        <v>197</v>
      </c>
      <c r="G7" s="9">
        <v>-5800</v>
      </c>
      <c r="H7" s="9">
        <v>-1000</v>
      </c>
      <c r="I7" s="48">
        <v>0</v>
      </c>
      <c r="J7" s="21">
        <f t="shared" si="2"/>
        <v>45200</v>
      </c>
      <c r="K7" s="8" t="s">
        <v>197</v>
      </c>
      <c r="L7" s="9">
        <v>-5800</v>
      </c>
      <c r="M7" s="9"/>
      <c r="N7" s="48">
        <v>0</v>
      </c>
      <c r="O7" s="21">
        <f t="shared" si="3"/>
        <v>22200</v>
      </c>
      <c r="P7" s="8" t="s">
        <v>198</v>
      </c>
      <c r="Q7" s="9">
        <v>11600</v>
      </c>
      <c r="R7" s="9">
        <v>1000</v>
      </c>
      <c r="S7" s="48">
        <v>0</v>
      </c>
      <c r="T7" s="21">
        <f t="shared" si="4"/>
        <v>37600</v>
      </c>
      <c r="U7" s="53">
        <f>IF($J7="","",ROUND(($J7-$J$3)/1000,1)+(_xlfn.RANK.AVG($J7,($J7,$O7,$T7),1)-2)*20)</f>
        <v>30.2</v>
      </c>
      <c r="V7" s="54">
        <f>IF($O7="","",ROUND(($O7-$O$3)/1000,1)+(_xlfn.RANK.AVG($O7,($J7,$O7,$T7),1)-2)*20)</f>
        <v>-32.799999999999997</v>
      </c>
      <c r="W7" s="55">
        <f>IF($T7="","",ROUND(($T7-$T$3)/1000,1)+(_xlfn.RANK.AVG($T7,($J7,$O7,$T7),1)-2)*20)</f>
        <v>2.6</v>
      </c>
      <c r="Y7" s="8"/>
      <c r="Z7" s="34"/>
      <c r="AA7" s="26">
        <v>1</v>
      </c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>
        <v>4</v>
      </c>
      <c r="BT7" s="30">
        <v>30</v>
      </c>
      <c r="BU7" s="40" t="s">
        <v>199</v>
      </c>
      <c r="BV7" s="41" t="s">
        <v>82</v>
      </c>
      <c r="BW7" s="41" t="s">
        <v>80</v>
      </c>
      <c r="BX7" s="41" t="s">
        <v>84</v>
      </c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1</v>
      </c>
      <c r="D8" s="18">
        <f t="shared" si="1"/>
        <v>0</v>
      </c>
      <c r="E8" s="4" t="s">
        <v>193</v>
      </c>
      <c r="F8" s="8" t="s">
        <v>195</v>
      </c>
      <c r="G8" s="9">
        <v>-12000</v>
      </c>
      <c r="H8" s="9"/>
      <c r="I8" s="48">
        <v>-1000</v>
      </c>
      <c r="J8" s="21">
        <f t="shared" si="2"/>
        <v>32200</v>
      </c>
      <c r="K8" s="8"/>
      <c r="L8" s="9"/>
      <c r="M8" s="9"/>
      <c r="N8" s="48"/>
      <c r="O8" s="21">
        <f t="shared" si="3"/>
        <v>22200</v>
      </c>
      <c r="P8" s="8" t="s">
        <v>194</v>
      </c>
      <c r="Q8" s="9">
        <v>12000</v>
      </c>
      <c r="R8" s="9"/>
      <c r="S8" s="48">
        <v>1000</v>
      </c>
      <c r="T8" s="21">
        <f t="shared" si="4"/>
        <v>50600</v>
      </c>
      <c r="U8" s="53">
        <f>IF($J8="","",ROUND(($J8-$J$3)/1000,1)+(_xlfn.RANK.AVG($J8,($J8,$O8,$T8),1)-2)*20)</f>
        <v>-2.8</v>
      </c>
      <c r="V8" s="54">
        <f>IF($O8="","",ROUND(($O8-$O$3)/1000,1)+(_xlfn.RANK.AVG($O8,($J8,$O8,$T8),1)-2)*20)</f>
        <v>-32.799999999999997</v>
      </c>
      <c r="W8" s="55">
        <f>IF($T8="","",ROUND(($T8-$T$3)/1000,1)+(_xlfn.RANK.AVG($T8,($J8,$O8,$T8),1)-2)*20)</f>
        <v>35.6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>
        <v>4</v>
      </c>
      <c r="BT8" s="30">
        <v>40</v>
      </c>
      <c r="BU8" s="40" t="s">
        <v>199</v>
      </c>
      <c r="BV8" s="41" t="s">
        <v>85</v>
      </c>
      <c r="BW8" s="41" t="s">
        <v>196</v>
      </c>
      <c r="BX8" s="41" t="s">
        <v>201</v>
      </c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2</v>
      </c>
      <c r="D9" s="18">
        <f t="shared" si="1"/>
        <v>0</v>
      </c>
      <c r="E9" s="4" t="s">
        <v>193</v>
      </c>
      <c r="F9" s="8" t="s">
        <v>197</v>
      </c>
      <c r="G9" s="9">
        <v>-4500</v>
      </c>
      <c r="H9" s="9">
        <v>-1000</v>
      </c>
      <c r="I9" s="48">
        <v>-1000</v>
      </c>
      <c r="J9" s="21">
        <f t="shared" si="2"/>
        <v>25700</v>
      </c>
      <c r="K9" s="8" t="s">
        <v>198</v>
      </c>
      <c r="L9" s="9">
        <v>12000</v>
      </c>
      <c r="M9" s="9">
        <v>1000</v>
      </c>
      <c r="N9" s="48">
        <v>2000</v>
      </c>
      <c r="O9" s="21">
        <f t="shared" si="3"/>
        <v>37200</v>
      </c>
      <c r="P9" s="8" t="s">
        <v>197</v>
      </c>
      <c r="Q9" s="9">
        <v>-7500</v>
      </c>
      <c r="R9" s="9"/>
      <c r="S9" s="48">
        <v>-1000</v>
      </c>
      <c r="T9" s="21">
        <f t="shared" si="4"/>
        <v>42100</v>
      </c>
      <c r="U9" s="53">
        <f>IF($J9="","",ROUND(($J9-$J$3)/1000,1)+(_xlfn.RANK.AVG($J9,($J9,$O9,$T9),1)-2)*20)</f>
        <v>-29.3</v>
      </c>
      <c r="V9" s="54">
        <f>IF($O9="","",ROUND(($O9-$O$3)/1000,1)+(_xlfn.RANK.AVG($O9,($J9,$O9,$T9),1)-2)*20)</f>
        <v>2.2000000000000002</v>
      </c>
      <c r="W9" s="55">
        <f>IF($T9="","",ROUND(($T9-$T$3)/1000,1)+(_xlfn.RANK.AVG($T9,($J9,$O9,$T9),1)-2)*20)</f>
        <v>27.1</v>
      </c>
      <c r="Y9" s="8"/>
      <c r="Z9" s="34"/>
      <c r="AA9" s="26">
        <v>1</v>
      </c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>
        <v>7</v>
      </c>
      <c r="AY9" s="30" t="s">
        <v>200</v>
      </c>
      <c r="AZ9" s="40" t="s">
        <v>199</v>
      </c>
      <c r="BA9" s="41" t="s">
        <v>82</v>
      </c>
      <c r="BB9" s="41" t="s">
        <v>196</v>
      </c>
      <c r="BC9" s="41" t="s">
        <v>85</v>
      </c>
      <c r="BD9" s="41" t="s">
        <v>80</v>
      </c>
      <c r="BE9" s="41" t="s">
        <v>80</v>
      </c>
      <c r="BF9" s="41" t="s">
        <v>80</v>
      </c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0</v>
      </c>
      <c r="D10" s="18">
        <f t="shared" si="1"/>
        <v>0</v>
      </c>
      <c r="E10" s="4" t="s">
        <v>191</v>
      </c>
      <c r="F10" s="8" t="s">
        <v>198</v>
      </c>
      <c r="G10" s="9">
        <v>12000</v>
      </c>
      <c r="H10" s="9"/>
      <c r="I10" s="48">
        <v>0</v>
      </c>
      <c r="J10" s="21">
        <f t="shared" si="2"/>
        <v>37700</v>
      </c>
      <c r="K10" s="8" t="s">
        <v>197</v>
      </c>
      <c r="L10" s="9">
        <v>-6000</v>
      </c>
      <c r="M10" s="9"/>
      <c r="N10" s="48">
        <v>0</v>
      </c>
      <c r="O10" s="21">
        <f t="shared" si="3"/>
        <v>31200</v>
      </c>
      <c r="P10" s="8" t="s">
        <v>197</v>
      </c>
      <c r="Q10" s="9">
        <v>-6000</v>
      </c>
      <c r="R10" s="9"/>
      <c r="S10" s="48">
        <v>0</v>
      </c>
      <c r="T10" s="21">
        <f t="shared" si="4"/>
        <v>36100</v>
      </c>
      <c r="U10" s="53">
        <f>IF($J10="","",ROUND(($J10-$J$3)/1000,1)+(_xlfn.RANK.AVG($J10,($J10,$O10,$T10),1)-2)*20)</f>
        <v>22.7</v>
      </c>
      <c r="V10" s="54">
        <f>IF($O10="","",ROUND(($O10-$O$3)/1000,1)+(_xlfn.RANK.AVG($O10,($J10,$O10,$T10),1)-2)*20)</f>
        <v>-23.8</v>
      </c>
      <c r="W10" s="55">
        <f>IF($T10="","",ROUND(($T10-$T$3)/1000,1)+(_xlfn.RANK.AVG($T10,($J10,$O10,$T10),1)-2)*20)</f>
        <v>1.1000000000000001</v>
      </c>
      <c r="Y10" s="8"/>
      <c r="Z10" s="34"/>
      <c r="AA10" s="26"/>
      <c r="AB10" s="26">
        <v>1</v>
      </c>
      <c r="AC10" s="26">
        <v>5</v>
      </c>
      <c r="AD10" s="30" t="s">
        <v>200</v>
      </c>
      <c r="AE10" s="40" t="s">
        <v>98</v>
      </c>
      <c r="AF10" s="41" t="s">
        <v>86</v>
      </c>
      <c r="AG10" s="41" t="s">
        <v>79</v>
      </c>
      <c r="AH10" s="41" t="s">
        <v>79</v>
      </c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1</v>
      </c>
      <c r="C11" s="18">
        <f t="shared" si="6"/>
        <v>1</v>
      </c>
      <c r="D11" s="18">
        <f t="shared" si="1"/>
        <v>0</v>
      </c>
      <c r="E11" s="4" t="s">
        <v>191</v>
      </c>
      <c r="F11" s="8" t="s">
        <v>195</v>
      </c>
      <c r="G11" s="9">
        <v>-5200</v>
      </c>
      <c r="H11" s="9"/>
      <c r="I11" s="48">
        <v>-1000</v>
      </c>
      <c r="J11" s="21">
        <f t="shared" si="2"/>
        <v>31500</v>
      </c>
      <c r="K11" s="8" t="s">
        <v>194</v>
      </c>
      <c r="L11" s="9">
        <v>5200</v>
      </c>
      <c r="M11" s="9"/>
      <c r="N11" s="48">
        <v>1000</v>
      </c>
      <c r="O11" s="21">
        <f t="shared" si="3"/>
        <v>37400</v>
      </c>
      <c r="P11" s="8"/>
      <c r="Q11" s="9"/>
      <c r="R11" s="9"/>
      <c r="S11" s="48"/>
      <c r="T11" s="21">
        <f t="shared" si="4"/>
        <v>36100</v>
      </c>
      <c r="U11" s="53">
        <f>IF($J11="","",ROUND(($J11-$J$3)/1000,1)+(_xlfn.RANK.AVG($J11,($J11,$O11,$T11),1)-2)*20)</f>
        <v>-23.5</v>
      </c>
      <c r="V11" s="54">
        <f>IF($O11="","",ROUND(($O11-$O$3)/1000,1)+(_xlfn.RANK.AVG($O11,($J11,$O11,$T11),1)-2)*20)</f>
        <v>22.4</v>
      </c>
      <c r="W11" s="55">
        <f>IF($T11="","",ROUND(($T11-$T$3)/1000,1)+(_xlfn.RANK.AVG($T11,($J11,$O11,$T11),1)-2)*20)</f>
        <v>1.1000000000000001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>
        <v>3</v>
      </c>
      <c r="AY11" s="30">
        <v>40</v>
      </c>
      <c r="AZ11" s="40" t="s">
        <v>84</v>
      </c>
      <c r="BA11" s="41" t="s">
        <v>93</v>
      </c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2</v>
      </c>
      <c r="C12" s="18">
        <f t="shared" si="6"/>
        <v>0</v>
      </c>
      <c r="D12" s="18">
        <f t="shared" si="1"/>
        <v>0</v>
      </c>
      <c r="E12" s="4" t="s">
        <v>192</v>
      </c>
      <c r="F12" s="8" t="s">
        <v>203</v>
      </c>
      <c r="G12" s="9">
        <v>0</v>
      </c>
      <c r="H12" s="9"/>
      <c r="I12" s="48"/>
      <c r="J12" s="21">
        <f t="shared" si="2"/>
        <v>31500</v>
      </c>
      <c r="K12" s="8" t="s">
        <v>203</v>
      </c>
      <c r="L12" s="9">
        <v>0</v>
      </c>
      <c r="M12" s="9"/>
      <c r="N12" s="48"/>
      <c r="O12" s="21">
        <f t="shared" si="3"/>
        <v>37400</v>
      </c>
      <c r="P12" s="8" t="s">
        <v>203</v>
      </c>
      <c r="Q12" s="9">
        <v>0</v>
      </c>
      <c r="R12" s="9"/>
      <c r="S12" s="48"/>
      <c r="T12" s="21">
        <f t="shared" si="4"/>
        <v>36100</v>
      </c>
      <c r="U12" s="53">
        <f>IF($J12="","",ROUND(($J12-$J$3)/1000,1)+(_xlfn.RANK.AVG($J12,($J12,$O12,$T12),1)-2)*20)</f>
        <v>-23.5</v>
      </c>
      <c r="V12" s="54">
        <f>IF($O12="","",ROUND(($O12-$O$3)/1000,1)+(_xlfn.RANK.AVG($O12,($J12,$O12,$T12),1)-2)*20)</f>
        <v>22.4</v>
      </c>
      <c r="W12" s="55">
        <f>IF($T12="","",ROUND(($T12-$T$3)/1000,1)+(_xlfn.RANK.AVG($T12,($J12,$O12,$T12),1)-2)*20)</f>
        <v>1.1000000000000001</v>
      </c>
      <c r="Y12" s="8" t="s">
        <v>202</v>
      </c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 t="s">
        <v>202</v>
      </c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 t="s">
        <v>202</v>
      </c>
      <c r="BP12" s="34"/>
      <c r="BQ12" s="26"/>
      <c r="BR12" s="26">
        <v>1</v>
      </c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2</v>
      </c>
      <c r="C13" s="18">
        <f t="shared" si="6"/>
        <v>1</v>
      </c>
      <c r="D13" s="18">
        <f t="shared" si="1"/>
        <v>0</v>
      </c>
      <c r="E13" s="4" t="s">
        <v>192</v>
      </c>
      <c r="F13" s="8" t="s">
        <v>194</v>
      </c>
      <c r="G13" s="9">
        <v>5200</v>
      </c>
      <c r="H13" s="9">
        <v>1000</v>
      </c>
      <c r="I13" s="48">
        <v>1000</v>
      </c>
      <c r="J13" s="21">
        <f t="shared" si="2"/>
        <v>38700</v>
      </c>
      <c r="K13" s="8" t="s">
        <v>195</v>
      </c>
      <c r="L13" s="9">
        <v>-5200</v>
      </c>
      <c r="M13" s="9">
        <v>-1000</v>
      </c>
      <c r="N13" s="48">
        <v>-1000</v>
      </c>
      <c r="O13" s="21">
        <f t="shared" si="3"/>
        <v>30200</v>
      </c>
      <c r="P13" s="8"/>
      <c r="Q13" s="9"/>
      <c r="R13" s="9"/>
      <c r="S13" s="48"/>
      <c r="T13" s="21">
        <f t="shared" si="4"/>
        <v>36100</v>
      </c>
      <c r="U13" s="53">
        <f>IF($J13="","",ROUND(($J13-$J$3)/1000,1)+(_xlfn.RANK.AVG($J13,($J13,$O13,$T13),1)-2)*20)</f>
        <v>23.7</v>
      </c>
      <c r="V13" s="54">
        <f>IF($O13="","",ROUND(($O13-$O$3)/1000,1)+(_xlfn.RANK.AVG($O13,($J13,$O13,$T13),1)-2)*20)</f>
        <v>-24.8</v>
      </c>
      <c r="W13" s="55">
        <f>IF($T13="","",ROUND(($T13-$T$3)/1000,1)+(_xlfn.RANK.AVG($T13,($J13,$O13,$T13),1)-2)*20)</f>
        <v>1.1000000000000001</v>
      </c>
      <c r="Y13" s="8"/>
      <c r="Z13" s="34"/>
      <c r="AA13" s="26"/>
      <c r="AB13" s="26">
        <v>1</v>
      </c>
      <c r="AC13" s="26">
        <v>3</v>
      </c>
      <c r="AD13" s="30">
        <v>40</v>
      </c>
      <c r="AE13" s="40" t="s">
        <v>98</v>
      </c>
      <c r="AF13" s="41" t="s">
        <v>86</v>
      </c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>
        <v>1</v>
      </c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>
        <v>1</v>
      </c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>南</v>
      </c>
      <c r="B14" s="18">
        <f t="shared" si="5"/>
        <v>3</v>
      </c>
      <c r="C14" s="18">
        <f t="shared" si="6"/>
        <v>0</v>
      </c>
      <c r="D14" s="18">
        <f t="shared" si="1"/>
        <v>0</v>
      </c>
      <c r="E14" s="4" t="s">
        <v>193</v>
      </c>
      <c r="F14" s="8"/>
      <c r="G14" s="9"/>
      <c r="H14" s="9"/>
      <c r="I14" s="48"/>
      <c r="J14" s="21">
        <f t="shared" si="2"/>
        <v>38700</v>
      </c>
      <c r="K14" s="8" t="s">
        <v>194</v>
      </c>
      <c r="L14" s="9">
        <v>2600</v>
      </c>
      <c r="M14" s="9"/>
      <c r="N14" s="48">
        <v>0</v>
      </c>
      <c r="O14" s="21">
        <f t="shared" si="3"/>
        <v>32800</v>
      </c>
      <c r="P14" s="8" t="s">
        <v>195</v>
      </c>
      <c r="Q14" s="9">
        <v>-2600</v>
      </c>
      <c r="R14" s="9"/>
      <c r="S14" s="48">
        <v>0</v>
      </c>
      <c r="T14" s="21">
        <f t="shared" si="4"/>
        <v>33500</v>
      </c>
      <c r="U14" s="53">
        <f>IF($J14="","",ROUND(($J14-$J$3)/1000,1)+(_xlfn.RANK.AVG($J14,($J14,$O14,$T14),1)-2)*20)</f>
        <v>23.7</v>
      </c>
      <c r="V14" s="54">
        <f>IF($O14="","",ROUND(($O14-$O$3)/1000,1)+(_xlfn.RANK.AVG($O14,($J14,$O14,$T14),1)-2)*20)</f>
        <v>-22.2</v>
      </c>
      <c r="W14" s="55">
        <f>IF($T14="","",ROUND(($T14-$T$3)/1000,1)+(_xlfn.RANK.AVG($T14,($J14,$O14,$T14),1)-2)*20)</f>
        <v>-1.5</v>
      </c>
      <c r="Y14" s="8"/>
      <c r="Z14" s="34"/>
      <c r="AA14" s="26"/>
      <c r="AB14" s="26">
        <v>1</v>
      </c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>
        <v>1</v>
      </c>
      <c r="AW14" s="26"/>
      <c r="AX14" s="26">
        <v>2</v>
      </c>
      <c r="AY14" s="30">
        <v>40</v>
      </c>
      <c r="AZ14" s="40" t="s">
        <v>199</v>
      </c>
      <c r="BA14" s="41" t="s">
        <v>79</v>
      </c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87113849-381F-4A4E-9A8C-8C439931C47C}">
      <formula1>"だいち,りくと,ただ,れんたろう,たかの,ぱぱ,まっつん,あさひ,いっしー,ほたに,かわたつ,やがさき,"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3F1C65-C5D2-4E0C-87EB-3121DC830195}">
  <sheetPr codeName="Sheet11">
    <pageSetUpPr fitToPage="1"/>
  </sheetPr>
  <dimension ref="A1:CI30"/>
  <sheetViews>
    <sheetView tabSelected="1" zoomScaleNormal="100" workbookViewId="0">
      <selection activeCell="E4" sqref="E4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191</v>
      </c>
      <c r="G1" s="73"/>
      <c r="H1" s="73"/>
      <c r="I1" s="74"/>
      <c r="J1" s="75"/>
      <c r="K1" s="72" t="s">
        <v>192</v>
      </c>
      <c r="L1" s="73"/>
      <c r="M1" s="73"/>
      <c r="N1" s="74"/>
      <c r="O1" s="75"/>
      <c r="P1" s="72" t="s">
        <v>193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だいち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りくと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ただ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だいち</v>
      </c>
      <c r="V2" s="69" t="str">
        <f>$K$1</f>
        <v>りくと</v>
      </c>
      <c r="W2" s="16" t="str">
        <f>$P$1</f>
        <v>ただ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193</v>
      </c>
      <c r="F4" s="8" t="s">
        <v>194</v>
      </c>
      <c r="G4" s="9">
        <v>1600</v>
      </c>
      <c r="H4" s="9"/>
      <c r="I4" s="48">
        <v>0</v>
      </c>
      <c r="J4" s="21">
        <f>IF(COUNTA($F4,$K4,$P4)&gt;0,J3+SUM(G4:I4),"")</f>
        <v>36600</v>
      </c>
      <c r="K4" s="8"/>
      <c r="L4" s="9"/>
      <c r="M4" s="9"/>
      <c r="N4" s="48"/>
      <c r="O4" s="21">
        <f>IF(COUNTA($F4,$K4,$P4)&gt;0,O3+SUM(L4:N4),"")</f>
        <v>35000</v>
      </c>
      <c r="P4" s="8" t="s">
        <v>195</v>
      </c>
      <c r="Q4" s="9">
        <v>-1600</v>
      </c>
      <c r="R4" s="9"/>
      <c r="S4" s="48">
        <v>0</v>
      </c>
      <c r="T4" s="21">
        <f>IF(COUNTA($F4,$K4,$P4)&gt;0,T3+SUM(Q4:S4),"")</f>
        <v>33400</v>
      </c>
      <c r="U4" s="53">
        <f>IF($J4="","",ROUND(($J4-$J$3)/1000,1)+(_xlfn.RANK.AVG($J4,($J4,$O4,$T4),1)-2)*20)</f>
        <v>21.6</v>
      </c>
      <c r="V4" s="54">
        <f>IF($O4="","",ROUND(($O4-$O$3)/1000,1)+(_xlfn.RANK.AVG($O4,($J4,$O4,$T4),1)-2)*20)</f>
        <v>0</v>
      </c>
      <c r="W4" s="55">
        <f>IF($T4="","",ROUND(($T4-$T$3)/1000,1)+(_xlfn.RANK.AVG($T4,($J4,$O4,$T4),1)-2)*20)</f>
        <v>-21.6</v>
      </c>
      <c r="Y4" s="8"/>
      <c r="Z4" s="34"/>
      <c r="AA4" s="26"/>
      <c r="AB4" s="26"/>
      <c r="AC4" s="26">
        <v>1</v>
      </c>
      <c r="AD4" s="30">
        <v>50</v>
      </c>
      <c r="AE4" s="40" t="s">
        <v>86</v>
      </c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191</v>
      </c>
      <c r="F5" s="8" t="s">
        <v>194</v>
      </c>
      <c r="G5" s="9">
        <v>2400</v>
      </c>
      <c r="H5" s="9"/>
      <c r="I5" s="48">
        <v>0</v>
      </c>
      <c r="J5" s="21">
        <f t="shared" ref="J5:J30" si="2">IF(COUNTA($F5,$K5,$P5)&gt;0,J4+SUM(G5:I5),"")</f>
        <v>39000</v>
      </c>
      <c r="K5" s="8"/>
      <c r="L5" s="9"/>
      <c r="M5" s="9"/>
      <c r="N5" s="48"/>
      <c r="O5" s="21">
        <f t="shared" ref="O5:O30" si="3">IF(COUNTA($F5,$K5,$P5)&gt;0,O4+SUM(L5:N5),"")</f>
        <v>35000</v>
      </c>
      <c r="P5" s="8" t="s">
        <v>195</v>
      </c>
      <c r="Q5" s="9">
        <v>-2400</v>
      </c>
      <c r="R5" s="9"/>
      <c r="S5" s="48">
        <v>0</v>
      </c>
      <c r="T5" s="21">
        <f t="shared" ref="T5:T30" si="4">IF(COUNTA($F5,$K5,$P5)&gt;0,T4+SUM(Q5:S5),"")</f>
        <v>31000</v>
      </c>
      <c r="U5" s="53">
        <f>IF($J5="","",ROUND(($J5-$J$3)/1000,1)+(_xlfn.RANK.AVG($J5,($J5,$O5,$T5),1)-2)*20)</f>
        <v>24</v>
      </c>
      <c r="V5" s="54">
        <f>IF($O5="","",ROUND(($O5-$O$3)/1000,1)+(_xlfn.RANK.AVG($O5,($J5,$O5,$T5),1)-2)*20)</f>
        <v>0</v>
      </c>
      <c r="W5" s="55">
        <f>IF($T5="","",ROUND(($T5-$T$3)/1000,1)+(_xlfn.RANK.AVG($T5,($J5,$O5,$T5),1)-2)*20)</f>
        <v>-24</v>
      </c>
      <c r="Y5" s="8"/>
      <c r="Z5" s="34"/>
      <c r="AA5" s="26"/>
      <c r="AB5" s="26"/>
      <c r="AC5" s="26">
        <v>1</v>
      </c>
      <c r="AD5" s="30">
        <v>50</v>
      </c>
      <c r="AE5" s="40" t="s">
        <v>84</v>
      </c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191</v>
      </c>
      <c r="F6" s="8" t="s">
        <v>204</v>
      </c>
      <c r="G6" s="9">
        <v>0</v>
      </c>
      <c r="H6" s="9"/>
      <c r="I6" s="48"/>
      <c r="J6" s="21">
        <f t="shared" si="2"/>
        <v>39000</v>
      </c>
      <c r="K6" s="8" t="s">
        <v>204</v>
      </c>
      <c r="L6" s="9">
        <v>0</v>
      </c>
      <c r="M6" s="9">
        <v>-1000</v>
      </c>
      <c r="N6" s="48"/>
      <c r="O6" s="21">
        <f t="shared" si="3"/>
        <v>34000</v>
      </c>
      <c r="P6" s="8" t="s">
        <v>204</v>
      </c>
      <c r="Q6" s="9">
        <v>0</v>
      </c>
      <c r="R6" s="9">
        <v>-1000</v>
      </c>
      <c r="S6" s="48"/>
      <c r="T6" s="21">
        <f t="shared" si="4"/>
        <v>30000</v>
      </c>
      <c r="U6" s="53">
        <f>IF($J6="","",ROUND(($J6-$J$3)/1000,1)+(_xlfn.RANK.AVG($J6,($J6,$O6,$T6),1)-2)*20)</f>
        <v>24</v>
      </c>
      <c r="V6" s="54">
        <f>IF($O6="","",ROUND(($O6-$O$3)/1000,1)+(_xlfn.RANK.AVG($O6,($J6,$O6,$T6),1)-2)*20)</f>
        <v>-1</v>
      </c>
      <c r="W6" s="55">
        <f>IF($T6="","",ROUND(($T6-$T$3)/1000,1)+(_xlfn.RANK.AVG($T6,($J6,$O6,$T6),1)-2)*20)</f>
        <v>-25</v>
      </c>
      <c r="Y6" s="8" t="s">
        <v>202</v>
      </c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 t="s">
        <v>202</v>
      </c>
      <c r="AU6" s="34"/>
      <c r="AV6" s="26">
        <v>1</v>
      </c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 t="s">
        <v>202</v>
      </c>
      <c r="BP6" s="34"/>
      <c r="BQ6" s="26">
        <v>1</v>
      </c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2</v>
      </c>
      <c r="D7" s="18">
        <f t="shared" si="1"/>
        <v>2</v>
      </c>
      <c r="E7" s="4" t="s">
        <v>191</v>
      </c>
      <c r="F7" s="8" t="s">
        <v>197</v>
      </c>
      <c r="G7" s="9">
        <v>-7500</v>
      </c>
      <c r="H7" s="9"/>
      <c r="I7" s="48">
        <v>-1000</v>
      </c>
      <c r="J7" s="21">
        <f t="shared" si="2"/>
        <v>30500</v>
      </c>
      <c r="K7" s="8" t="s">
        <v>198</v>
      </c>
      <c r="L7" s="9">
        <v>12000</v>
      </c>
      <c r="M7" s="9">
        <v>2000</v>
      </c>
      <c r="N7" s="48">
        <v>2000</v>
      </c>
      <c r="O7" s="21">
        <f t="shared" si="3"/>
        <v>50000</v>
      </c>
      <c r="P7" s="8" t="s">
        <v>197</v>
      </c>
      <c r="Q7" s="9">
        <v>-4500</v>
      </c>
      <c r="R7" s="9"/>
      <c r="S7" s="48">
        <v>-1000</v>
      </c>
      <c r="T7" s="21">
        <f t="shared" si="4"/>
        <v>24500</v>
      </c>
      <c r="U7" s="53">
        <f>IF($J7="","",ROUND(($J7-$J$3)/1000,1)+(_xlfn.RANK.AVG($J7,($J7,$O7,$T7),1)-2)*20)</f>
        <v>-4.5</v>
      </c>
      <c r="V7" s="54">
        <f>IF($O7="","",ROUND(($O7-$O$3)/1000,1)+(_xlfn.RANK.AVG($O7,($J7,$O7,$T7),1)-2)*20)</f>
        <v>35</v>
      </c>
      <c r="W7" s="55">
        <f>IF($T7="","",ROUND(($T7-$T$3)/1000,1)+(_xlfn.RANK.AVG($T7,($J7,$O7,$T7),1)-2)*20)</f>
        <v>-30.5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6</v>
      </c>
      <c r="AY7" s="30" t="s">
        <v>200</v>
      </c>
      <c r="AZ7" s="40" t="s">
        <v>199</v>
      </c>
      <c r="BA7" s="41" t="s">
        <v>82</v>
      </c>
      <c r="BB7" s="41" t="s">
        <v>79</v>
      </c>
      <c r="BC7" s="41" t="s">
        <v>79</v>
      </c>
      <c r="BD7" s="41" t="s">
        <v>79</v>
      </c>
      <c r="BE7" s="41" t="s">
        <v>86</v>
      </c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0</v>
      </c>
      <c r="D8" s="18">
        <f t="shared" si="1"/>
        <v>0</v>
      </c>
      <c r="E8" s="4" t="s">
        <v>192</v>
      </c>
      <c r="F8" s="8" t="s">
        <v>197</v>
      </c>
      <c r="G8" s="9">
        <v>-2900</v>
      </c>
      <c r="H8" s="9"/>
      <c r="I8" s="48">
        <v>0</v>
      </c>
      <c r="J8" s="21">
        <f t="shared" si="2"/>
        <v>27600</v>
      </c>
      <c r="K8" s="8" t="s">
        <v>197</v>
      </c>
      <c r="L8" s="9">
        <v>-4800</v>
      </c>
      <c r="M8" s="9"/>
      <c r="N8" s="48">
        <v>0</v>
      </c>
      <c r="O8" s="21">
        <f t="shared" si="3"/>
        <v>45200</v>
      </c>
      <c r="P8" s="8" t="s">
        <v>198</v>
      </c>
      <c r="Q8" s="9">
        <v>7700</v>
      </c>
      <c r="R8" s="9"/>
      <c r="S8" s="48">
        <v>0</v>
      </c>
      <c r="T8" s="21">
        <f t="shared" si="4"/>
        <v>32200</v>
      </c>
      <c r="U8" s="53">
        <f>IF($J8="","",ROUND(($J8-$J$3)/1000,1)+(_xlfn.RANK.AVG($J8,($J8,$O8,$T8),1)-2)*20)</f>
        <v>-27.4</v>
      </c>
      <c r="V8" s="54">
        <f>IF($O8="","",ROUND(($O8-$O$3)/1000,1)+(_xlfn.RANK.AVG($O8,($J8,$O8,$T8),1)-2)*20)</f>
        <v>30.2</v>
      </c>
      <c r="W8" s="55">
        <f>IF($T8="","",ROUND(($T8-$T$3)/1000,1)+(_xlfn.RANK.AVG($T8,($J8,$O8,$T8),1)-2)*20)</f>
        <v>-2.8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>
        <v>4</v>
      </c>
      <c r="BT8" s="30">
        <v>30</v>
      </c>
      <c r="BU8" s="40" t="s">
        <v>196</v>
      </c>
      <c r="BV8" s="41" t="s">
        <v>86</v>
      </c>
      <c r="BW8" s="41" t="s">
        <v>104</v>
      </c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">
        <v>193</v>
      </c>
      <c r="F9" s="8" t="s">
        <v>198</v>
      </c>
      <c r="G9" s="9">
        <v>2100</v>
      </c>
      <c r="H9" s="9"/>
      <c r="I9" s="48">
        <v>0</v>
      </c>
      <c r="J9" s="21">
        <f t="shared" si="2"/>
        <v>29700</v>
      </c>
      <c r="K9" s="8" t="s">
        <v>197</v>
      </c>
      <c r="L9" s="9">
        <v>-800</v>
      </c>
      <c r="M9" s="9"/>
      <c r="N9" s="48">
        <v>0</v>
      </c>
      <c r="O9" s="21">
        <f t="shared" si="3"/>
        <v>44400</v>
      </c>
      <c r="P9" s="8" t="s">
        <v>197</v>
      </c>
      <c r="Q9" s="9">
        <v>-1300</v>
      </c>
      <c r="R9" s="9"/>
      <c r="S9" s="48">
        <v>0</v>
      </c>
      <c r="T9" s="21">
        <f t="shared" si="4"/>
        <v>30900</v>
      </c>
      <c r="U9" s="53">
        <f>IF($J9="","",ROUND(($J9-$J$3)/1000,1)+(_xlfn.RANK.AVG($J9,($J9,$O9,$T9),1)-2)*20)</f>
        <v>-25.3</v>
      </c>
      <c r="V9" s="54">
        <f>IF($O9="","",ROUND(($O9-$O$3)/1000,1)+(_xlfn.RANK.AVG($O9,($J9,$O9,$T9),1)-2)*20)</f>
        <v>29.4</v>
      </c>
      <c r="W9" s="55">
        <f>IF($T9="","",ROUND(($T9-$T$3)/1000,1)+(_xlfn.RANK.AVG($T9,($J9,$O9,$T9),1)-2)*20)</f>
        <v>-4.0999999999999996</v>
      </c>
      <c r="Y9" s="8"/>
      <c r="Z9" s="34"/>
      <c r="AA9" s="26"/>
      <c r="AB9" s="26"/>
      <c r="AC9" s="26">
        <v>2</v>
      </c>
      <c r="AD9" s="30">
        <v>30</v>
      </c>
      <c r="AE9" s="40" t="s">
        <v>82</v>
      </c>
      <c r="AF9" s="41" t="s">
        <v>196</v>
      </c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">
        <v>191</v>
      </c>
      <c r="F10" s="8"/>
      <c r="G10" s="9"/>
      <c r="H10" s="9"/>
      <c r="I10" s="48"/>
      <c r="J10" s="21">
        <f t="shared" si="2"/>
        <v>29700</v>
      </c>
      <c r="K10" s="8" t="s">
        <v>195</v>
      </c>
      <c r="L10" s="9">
        <v>-5200</v>
      </c>
      <c r="M10" s="9"/>
      <c r="N10" s="48">
        <v>0</v>
      </c>
      <c r="O10" s="21">
        <f t="shared" si="3"/>
        <v>39200</v>
      </c>
      <c r="P10" s="8" t="s">
        <v>194</v>
      </c>
      <c r="Q10" s="9">
        <v>5200</v>
      </c>
      <c r="R10" s="9"/>
      <c r="S10" s="48">
        <v>0</v>
      </c>
      <c r="T10" s="21">
        <f t="shared" si="4"/>
        <v>36100</v>
      </c>
      <c r="U10" s="53">
        <f>IF($J10="","",ROUND(($J10-$J$3)/1000,1)+(_xlfn.RANK.AVG($J10,($J10,$O10,$T10),1)-2)*20)</f>
        <v>-25.3</v>
      </c>
      <c r="V10" s="54">
        <f>IF($O10="","",ROUND(($O10-$O$3)/1000,1)+(_xlfn.RANK.AVG($O10,($J10,$O10,$T10),1)-2)*20)</f>
        <v>24.2</v>
      </c>
      <c r="W10" s="55">
        <f>IF($T10="","",ROUND(($T10-$T$3)/1000,1)+(_xlfn.RANK.AVG($T10,($J10,$O10,$T10),1)-2)*20)</f>
        <v>1.1000000000000001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>
        <v>3</v>
      </c>
      <c r="BT10" s="30">
        <v>40</v>
      </c>
      <c r="BU10" s="40" t="s">
        <v>199</v>
      </c>
      <c r="BV10" s="41" t="s">
        <v>196</v>
      </c>
      <c r="BW10" s="41" t="s">
        <v>196</v>
      </c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">
        <v>192</v>
      </c>
      <c r="F11" s="8" t="s">
        <v>198</v>
      </c>
      <c r="G11" s="9">
        <v>12000</v>
      </c>
      <c r="H11" s="9">
        <v>1000</v>
      </c>
      <c r="I11" s="48">
        <v>0</v>
      </c>
      <c r="J11" s="21">
        <f t="shared" si="2"/>
        <v>42700</v>
      </c>
      <c r="K11" s="8" t="s">
        <v>197</v>
      </c>
      <c r="L11" s="9">
        <v>-7500</v>
      </c>
      <c r="M11" s="9">
        <v>-1000</v>
      </c>
      <c r="N11" s="48">
        <v>0</v>
      </c>
      <c r="O11" s="21">
        <f t="shared" si="3"/>
        <v>30700</v>
      </c>
      <c r="P11" s="8" t="s">
        <v>197</v>
      </c>
      <c r="Q11" s="9">
        <v>-4500</v>
      </c>
      <c r="R11" s="9"/>
      <c r="S11" s="48">
        <v>0</v>
      </c>
      <c r="T11" s="21">
        <f t="shared" si="4"/>
        <v>31600</v>
      </c>
      <c r="U11" s="53">
        <f>IF($J11="","",ROUND(($J11-$J$3)/1000,1)+(_xlfn.RANK.AVG($J11,($J11,$O11,$T11),1)-2)*20)</f>
        <v>27.7</v>
      </c>
      <c r="V11" s="54">
        <f>IF($O11="","",ROUND(($O11-$O$3)/1000,1)+(_xlfn.RANK.AVG($O11,($J11,$O11,$T11),1)-2)*20)</f>
        <v>-24.3</v>
      </c>
      <c r="W11" s="55">
        <f>IF($T11="","",ROUND(($T11-$T$3)/1000,1)+(_xlfn.RANK.AVG($T11,($J11,$O11,$T11),1)-2)*20)</f>
        <v>-3.4</v>
      </c>
      <c r="Y11" s="8"/>
      <c r="Z11" s="34"/>
      <c r="AA11" s="26">
        <v>1</v>
      </c>
      <c r="AB11" s="26"/>
      <c r="AC11" s="26">
        <v>6</v>
      </c>
      <c r="AD11" s="30" t="s">
        <v>200</v>
      </c>
      <c r="AE11" s="40" t="s">
        <v>199</v>
      </c>
      <c r="AF11" s="41" t="s">
        <v>82</v>
      </c>
      <c r="AG11" s="41" t="s">
        <v>201</v>
      </c>
      <c r="AH11" s="41" t="s">
        <v>101</v>
      </c>
      <c r="AI11" s="41" t="s">
        <v>196</v>
      </c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>
        <v>1</v>
      </c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西</v>
      </c>
      <c r="B12" s="18">
        <f t="shared" si="5"/>
        <v>1</v>
      </c>
      <c r="C12" s="18">
        <f t="shared" si="6"/>
        <v>0</v>
      </c>
      <c r="D12" s="18">
        <f t="shared" si="1"/>
        <v>0</v>
      </c>
      <c r="E12" s="4" t="s">
        <v>193</v>
      </c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qref="F1:T1" xr:uid="{E1EA3FF7-38E2-42A6-A764-EAF3E62FFDEB}">
      <formula1>"だいち,りくと,ただ,れんたろう,たかの,ぱぱ,まっつん,あさひ,いっしー,ほたに,かわたつ,やがさき,"</formula1>
    </dataValidation>
    <dataValidation type="list" showInputMessage="1" showErrorMessage="1" sqref="K4:K30 P4:P30 F4:F30" xr:uid="{1E1BDF15-12AA-486F-9C6C-ED62386FC9B6}">
      <formula1>"ロン,ツモ,放銃,ツモ支払,流局,チョンボ"</formula1>
    </dataValidation>
    <dataValidation type="list" allowBlank="1" showInputMessage="1" showErrorMessage="1" sqref="E4:E30" xr:uid="{E63EE7FA-EE3D-4A67-BED4-4742AC653528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155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157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156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158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154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cp:lastPrinted>2018-10-03T09:15:05Z</cp:lastPrinted>
  <dcterms:created xsi:type="dcterms:W3CDTF">2018-10-02T11:54:05Z</dcterms:created>
  <dcterms:modified xsi:type="dcterms:W3CDTF">2019-06-08T11:58:33Z</dcterms:modified>
</cp:coreProperties>
</file>